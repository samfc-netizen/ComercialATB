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D0994BB0-CFFE-423F-BF1F-E0CBEC8CE208}" xr6:coauthVersionLast="47" xr6:coauthVersionMax="47" xr10:uidLastSave="{00000000-0000-0000-0000-000000000000}"/>
  <bookViews>
    <workbookView xWindow="-108" yWindow="-108" windowWidth="23256" windowHeight="12456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Planilha1" sheetId="5" r:id="rId4"/>
  </sheets>
  <externalReferences>
    <externalReference r:id="rId5"/>
  </externalReferences>
  <definedNames>
    <definedName name="_xlnm._FilterDatabase" localSheetId="2" hidden="1">'BASE DE CLIENTES'!$A$1:$E$323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8" i="3" l="1"/>
  <c r="E347" i="3"/>
  <c r="E346" i="3"/>
  <c r="E344" i="3"/>
  <c r="E340" i="3"/>
  <c r="E337" i="3"/>
  <c r="E336" i="3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I4154" i="2"/>
  <c r="J4154" i="2" s="1"/>
  <c r="I4155" i="2"/>
  <c r="J4155" i="2" s="1"/>
  <c r="I4156" i="2"/>
  <c r="J4156" i="2" s="1"/>
  <c r="I4157" i="2"/>
  <c r="J4157" i="2" s="1"/>
  <c r="I4158" i="2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J4014" i="2"/>
  <c r="J4033" i="2"/>
  <c r="J4104" i="2"/>
  <c r="J4134" i="2"/>
  <c r="J4153" i="2"/>
  <c r="J4158" i="2"/>
  <c r="J4314" i="2"/>
  <c r="J4320" i="2"/>
  <c r="J4326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J3732" i="2"/>
  <c r="J3934" i="2"/>
  <c r="J3942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47" i="2"/>
  <c r="L3650" i="2"/>
  <c r="L3652" i="2"/>
  <c r="L3654" i="2"/>
  <c r="L3655" i="2"/>
  <c r="L3657" i="2"/>
  <c r="L3662" i="2"/>
  <c r="L3663" i="2"/>
  <c r="L3666" i="2"/>
  <c r="L3667" i="2"/>
  <c r="L3668" i="2"/>
  <c r="L3671" i="2"/>
  <c r="L3672" i="2"/>
  <c r="L3673" i="2"/>
  <c r="L3674" i="2"/>
  <c r="L3680" i="2"/>
  <c r="L3684" i="2"/>
  <c r="L3685" i="2"/>
  <c r="L3686" i="2"/>
  <c r="L3688" i="2"/>
  <c r="L3691" i="2"/>
  <c r="L3692" i="2"/>
  <c r="L3693" i="2"/>
  <c r="L3694" i="2"/>
  <c r="L3695" i="2"/>
  <c r="L3697" i="2"/>
  <c r="L3698" i="2"/>
  <c r="L3699" i="2"/>
  <c r="L3701" i="2"/>
  <c r="L3705" i="2"/>
  <c r="L3708" i="2"/>
  <c r="L3712" i="2"/>
  <c r="L3713" i="2"/>
  <c r="L3714" i="2"/>
  <c r="L3715" i="2"/>
  <c r="L3718" i="2"/>
  <c r="L3719" i="2"/>
  <c r="L3720" i="2"/>
  <c r="L3721" i="2"/>
  <c r="L3724" i="2"/>
  <c r="L3725" i="2"/>
  <c r="L3731" i="2"/>
  <c r="L3734" i="2"/>
  <c r="L3735" i="2"/>
  <c r="L3738" i="2"/>
  <c r="L3739" i="2"/>
  <c r="L3741" i="2"/>
  <c r="L3742" i="2"/>
  <c r="L3743" i="2"/>
  <c r="L3744" i="2"/>
  <c r="L3748" i="2"/>
  <c r="L3749" i="2"/>
  <c r="L3750" i="2"/>
  <c r="L3752" i="2"/>
  <c r="L3754" i="2"/>
  <c r="L3758" i="2"/>
  <c r="L3760" i="2"/>
  <c r="L3761" i="2"/>
  <c r="L3763" i="2"/>
  <c r="L3764" i="2"/>
  <c r="L3765" i="2"/>
  <c r="L3766" i="2"/>
  <c r="L3767" i="2"/>
  <c r="L3769" i="2"/>
  <c r="L3770" i="2"/>
  <c r="L3771" i="2"/>
  <c r="L3774" i="2"/>
  <c r="L3776" i="2"/>
  <c r="L3777" i="2"/>
  <c r="L3778" i="2"/>
  <c r="L3780" i="2"/>
  <c r="L3781" i="2"/>
  <c r="L3782" i="2"/>
  <c r="L3787" i="2"/>
  <c r="L3789" i="2"/>
  <c r="L3794" i="2"/>
  <c r="L3795" i="2"/>
  <c r="L3797" i="2"/>
  <c r="L3798" i="2"/>
  <c r="L3801" i="2"/>
  <c r="L3802" i="2"/>
  <c r="L3803" i="2"/>
  <c r="L3806" i="2"/>
  <c r="L3807" i="2"/>
  <c r="L3810" i="2"/>
  <c r="L3814" i="2"/>
  <c r="L3816" i="2"/>
  <c r="L3817" i="2"/>
  <c r="L3820" i="2"/>
  <c r="L3821" i="2"/>
  <c r="L3822" i="2"/>
  <c r="L3824" i="2"/>
  <c r="L3828" i="2"/>
  <c r="L3830" i="2"/>
  <c r="L3831" i="2"/>
  <c r="L3832" i="2"/>
  <c r="L3833" i="2"/>
  <c r="L3834" i="2"/>
  <c r="L3835" i="2"/>
  <c r="L3844" i="2"/>
  <c r="L3845" i="2"/>
  <c r="L3850" i="2"/>
  <c r="L3855" i="2"/>
  <c r="L3856" i="2"/>
  <c r="L3857" i="2"/>
  <c r="L3859" i="2"/>
  <c r="L3860" i="2"/>
  <c r="L3861" i="2"/>
  <c r="L3862" i="2"/>
  <c r="L3865" i="2"/>
  <c r="L3866" i="2"/>
  <c r="L3867" i="2"/>
  <c r="L3879" i="2"/>
  <c r="L3880" i="2"/>
  <c r="L3885" i="2"/>
  <c r="L3886" i="2"/>
  <c r="L3887" i="2"/>
  <c r="L3891" i="2"/>
  <c r="L3894" i="2"/>
  <c r="L3895" i="2"/>
  <c r="L3897" i="2"/>
  <c r="L3900" i="2"/>
  <c r="L3901" i="2"/>
  <c r="L3904" i="2"/>
  <c r="L3905" i="2"/>
  <c r="L3906" i="2"/>
  <c r="L3907" i="2"/>
  <c r="L3909" i="2"/>
  <c r="L3910" i="2"/>
  <c r="L3915" i="2"/>
  <c r="L3916" i="2"/>
  <c r="L3917" i="2"/>
  <c r="L3918" i="2"/>
  <c r="L3919" i="2"/>
  <c r="L3921" i="2"/>
  <c r="L3922" i="2"/>
  <c r="L3923" i="2"/>
  <c r="L3924" i="2"/>
  <c r="L3926" i="2"/>
  <c r="L3927" i="2"/>
  <c r="L3928" i="2"/>
  <c r="L3929" i="2"/>
  <c r="L3931" i="2"/>
  <c r="L3934" i="2"/>
  <c r="L3935" i="2"/>
  <c r="L3939" i="2"/>
  <c r="L3946" i="2"/>
  <c r="L3948" i="2"/>
  <c r="L3949" i="2"/>
  <c r="L3950" i="2"/>
  <c r="L3951" i="2"/>
  <c r="L3952" i="2"/>
  <c r="L3953" i="2"/>
  <c r="L3954" i="2"/>
  <c r="L3960" i="2"/>
  <c r="L3964" i="2"/>
  <c r="L3966" i="2"/>
  <c r="L3973" i="2"/>
  <c r="L3974" i="2"/>
  <c r="L3978" i="2"/>
  <c r="L3979" i="2"/>
  <c r="L3980" i="2"/>
  <c r="L3984" i="2"/>
  <c r="L3986" i="2"/>
  <c r="L3988" i="2"/>
  <c r="L3990" i="2"/>
  <c r="L3991" i="2"/>
  <c r="L3993" i="2"/>
  <c r="L3994" i="2"/>
  <c r="L3995" i="2"/>
  <c r="L3996" i="2"/>
  <c r="L3998" i="2"/>
  <c r="L4" i="2"/>
  <c r="L5" i="2"/>
  <c r="L6" i="2"/>
  <c r="L7" i="2"/>
  <c r="L12" i="2"/>
  <c r="L13" i="2"/>
  <c r="L14" i="2"/>
  <c r="L15" i="2"/>
  <c r="L16" i="2"/>
  <c r="L22" i="2"/>
  <c r="L28" i="2"/>
  <c r="L34" i="2"/>
  <c r="L39" i="2"/>
  <c r="L40" i="2"/>
  <c r="L41" i="2"/>
  <c r="L42" i="2"/>
  <c r="L44" i="2"/>
  <c r="L45" i="2"/>
  <c r="L48" i="2"/>
  <c r="L49" i="2"/>
  <c r="L51" i="2"/>
  <c r="L52" i="2"/>
  <c r="L53" i="2"/>
  <c r="L58" i="2"/>
  <c r="L63" i="2"/>
  <c r="L64" i="2"/>
  <c r="L69" i="2"/>
  <c r="L70" i="2"/>
  <c r="L71" i="2"/>
  <c r="L74" i="2"/>
  <c r="L76" i="2"/>
  <c r="L78" i="2"/>
  <c r="L80" i="2"/>
  <c r="L81" i="2"/>
  <c r="L83" i="2"/>
  <c r="L85" i="2"/>
  <c r="L89" i="2"/>
  <c r="L91" i="2"/>
  <c r="L94" i="2"/>
  <c r="L96" i="2"/>
  <c r="L99" i="2"/>
  <c r="L100" i="2"/>
  <c r="L101" i="2"/>
  <c r="L102" i="2"/>
  <c r="L103" i="2"/>
  <c r="L105" i="2"/>
  <c r="L109" i="2"/>
  <c r="L112" i="2"/>
  <c r="L114" i="2"/>
  <c r="L115" i="2"/>
  <c r="L116" i="2"/>
  <c r="L117" i="2"/>
  <c r="L119" i="2"/>
  <c r="L120" i="2"/>
  <c r="L121" i="2"/>
  <c r="L124" i="2"/>
  <c r="L126" i="2"/>
  <c r="L128" i="2"/>
  <c r="L131" i="2"/>
  <c r="L135" i="2"/>
  <c r="L139" i="2"/>
  <c r="L142" i="2"/>
  <c r="L144" i="2"/>
  <c r="L145" i="2"/>
  <c r="L148" i="2"/>
  <c r="L149" i="2"/>
  <c r="L150" i="2"/>
  <c r="L154" i="2"/>
  <c r="L155" i="2"/>
  <c r="L160" i="2"/>
  <c r="L161" i="2"/>
  <c r="L164" i="2"/>
  <c r="L171" i="2"/>
  <c r="L172" i="2"/>
  <c r="L173" i="2"/>
  <c r="L176" i="2"/>
  <c r="L177" i="2"/>
  <c r="L179" i="2"/>
  <c r="L182" i="2"/>
  <c r="L184" i="2"/>
  <c r="L187" i="2"/>
  <c r="L190" i="2"/>
  <c r="L191" i="2"/>
  <c r="L192" i="2"/>
  <c r="L196" i="2"/>
  <c r="L199" i="2"/>
  <c r="L200" i="2"/>
  <c r="L205" i="2"/>
  <c r="L206" i="2"/>
  <c r="L213" i="2"/>
  <c r="L215" i="2"/>
  <c r="L217" i="2"/>
  <c r="L218" i="2"/>
  <c r="L219" i="2"/>
  <c r="L220" i="2"/>
  <c r="L221" i="2"/>
  <c r="L222" i="2"/>
  <c r="L226" i="2"/>
  <c r="L229" i="2"/>
  <c r="L231" i="2"/>
  <c r="L232" i="2"/>
  <c r="L233" i="2"/>
  <c r="L236" i="2"/>
  <c r="L237" i="2"/>
  <c r="L238" i="2"/>
  <c r="L240" i="2"/>
  <c r="L249" i="2"/>
  <c r="L250" i="2"/>
  <c r="L251" i="2"/>
  <c r="L256" i="2"/>
  <c r="L259" i="2"/>
  <c r="L261" i="2"/>
  <c r="L262" i="2"/>
  <c r="L263" i="2"/>
  <c r="L266" i="2"/>
  <c r="L268" i="2"/>
  <c r="L272" i="2"/>
  <c r="L273" i="2"/>
  <c r="L274" i="2"/>
  <c r="L279" i="2"/>
  <c r="L281" i="2"/>
  <c r="L285" i="2"/>
  <c r="L286" i="2"/>
  <c r="L287" i="2"/>
  <c r="L292" i="2"/>
  <c r="L294" i="2"/>
  <c r="L296" i="2"/>
  <c r="L298" i="2"/>
  <c r="L299" i="2"/>
  <c r="L301" i="2"/>
  <c r="L302" i="2"/>
  <c r="L304" i="2"/>
  <c r="L309" i="2"/>
  <c r="L310" i="2"/>
  <c r="L311" i="2"/>
  <c r="L312" i="2"/>
  <c r="L313" i="2"/>
  <c r="L314" i="2"/>
  <c r="L318" i="2"/>
  <c r="L321" i="2"/>
  <c r="L322" i="2"/>
  <c r="L323" i="2"/>
  <c r="L324" i="2"/>
  <c r="L325" i="2"/>
  <c r="L326" i="2"/>
  <c r="L331" i="2"/>
  <c r="L335" i="2"/>
  <c r="L340" i="2"/>
  <c r="L344" i="2"/>
  <c r="L346" i="2"/>
  <c r="L347" i="2"/>
  <c r="L348" i="2"/>
  <c r="L349" i="2"/>
  <c r="L351" i="2"/>
  <c r="L352" i="2"/>
  <c r="L354" i="2"/>
  <c r="L356" i="2"/>
  <c r="L357" i="2"/>
  <c r="L360" i="2"/>
  <c r="L361" i="2"/>
  <c r="L366" i="2"/>
  <c r="L367" i="2"/>
  <c r="L368" i="2"/>
  <c r="L369" i="2"/>
  <c r="L376" i="2"/>
  <c r="L379" i="2"/>
  <c r="L380" i="2"/>
  <c r="L382" i="2"/>
  <c r="L385" i="2"/>
  <c r="L386" i="2"/>
  <c r="L387" i="2"/>
  <c r="L388" i="2"/>
  <c r="L389" i="2"/>
  <c r="L392" i="2"/>
  <c r="L393" i="2"/>
  <c r="L397" i="2"/>
  <c r="L398" i="2"/>
  <c r="L399" i="2"/>
  <c r="L400" i="2"/>
  <c r="L401" i="2"/>
  <c r="L402" i="2"/>
  <c r="L408" i="2"/>
  <c r="L409" i="2"/>
  <c r="L410" i="2"/>
  <c r="L413" i="2"/>
  <c r="L420" i="2"/>
  <c r="L427" i="2"/>
  <c r="L428" i="2"/>
  <c r="L429" i="2"/>
  <c r="L431" i="2"/>
  <c r="L434" i="2"/>
  <c r="L438" i="2"/>
  <c r="L439" i="2"/>
  <c r="L440" i="2"/>
  <c r="L441" i="2"/>
  <c r="L442" i="2"/>
  <c r="L443" i="2"/>
  <c r="L445" i="2"/>
  <c r="L446" i="2"/>
  <c r="L448" i="2"/>
  <c r="L449" i="2"/>
  <c r="L450" i="2"/>
  <c r="L451" i="2"/>
  <c r="L452" i="2"/>
  <c r="L455" i="2"/>
  <c r="L459" i="2"/>
  <c r="L460" i="2"/>
  <c r="L463" i="2"/>
  <c r="L465" i="2"/>
  <c r="L466" i="2"/>
  <c r="L470" i="2"/>
  <c r="L473" i="2"/>
  <c r="L474" i="2"/>
  <c r="L475" i="2"/>
  <c r="L476" i="2"/>
  <c r="L478" i="2"/>
  <c r="L482" i="2"/>
  <c r="L483" i="2"/>
  <c r="L484" i="2"/>
  <c r="L487" i="2"/>
  <c r="L495" i="2"/>
  <c r="L496" i="2"/>
  <c r="L497" i="2"/>
  <c r="L498" i="2"/>
  <c r="L499" i="2"/>
  <c r="L500" i="2"/>
  <c r="L501" i="2"/>
  <c r="L505" i="2"/>
  <c r="L508" i="2"/>
  <c r="L509" i="2"/>
  <c r="L511" i="2"/>
  <c r="L512" i="2"/>
  <c r="L514" i="2"/>
  <c r="L515" i="2"/>
  <c r="L516" i="2"/>
  <c r="L517" i="2"/>
  <c r="L518" i="2"/>
  <c r="L521" i="2"/>
  <c r="L522" i="2"/>
  <c r="L523" i="2"/>
  <c r="L524" i="2"/>
  <c r="L525" i="2"/>
  <c r="L528" i="2"/>
  <c r="L529" i="2"/>
  <c r="L539" i="2"/>
  <c r="L540" i="2"/>
  <c r="L541" i="2"/>
  <c r="L542" i="2"/>
  <c r="L543" i="2"/>
  <c r="L545" i="2"/>
  <c r="L548" i="2"/>
  <c r="L550" i="2"/>
  <c r="L552" i="2"/>
  <c r="L554" i="2"/>
  <c r="L556" i="2"/>
  <c r="L557" i="2"/>
  <c r="L565" i="2"/>
  <c r="L566" i="2"/>
  <c r="L567" i="2"/>
  <c r="L568" i="2"/>
  <c r="L570" i="2"/>
  <c r="L574" i="2"/>
  <c r="L576" i="2"/>
  <c r="L579" i="2"/>
  <c r="L581" i="2"/>
  <c r="L582" i="2"/>
  <c r="L584" i="2"/>
  <c r="L586" i="2"/>
  <c r="L588" i="2"/>
  <c r="L593" i="2"/>
  <c r="L594" i="2"/>
  <c r="L597" i="2"/>
  <c r="L598" i="2"/>
  <c r="L599" i="2"/>
  <c r="L600" i="2"/>
  <c r="L603" i="2"/>
  <c r="L604" i="2"/>
  <c r="L606" i="2"/>
  <c r="L609" i="2"/>
  <c r="L610" i="2"/>
  <c r="L614" i="2"/>
  <c r="L615" i="2"/>
  <c r="L616" i="2"/>
  <c r="L617" i="2"/>
  <c r="L620" i="2"/>
  <c r="L622" i="2"/>
  <c r="L623" i="2"/>
  <c r="L624" i="2"/>
  <c r="L625" i="2"/>
  <c r="L626" i="2"/>
  <c r="L627" i="2"/>
  <c r="L632" i="2"/>
  <c r="L633" i="2"/>
  <c r="L634" i="2"/>
  <c r="L635" i="2"/>
  <c r="L637" i="2"/>
  <c r="L638" i="2"/>
  <c r="L639" i="2"/>
  <c r="L641" i="2"/>
  <c r="L642" i="2"/>
  <c r="L647" i="2"/>
  <c r="L651" i="2"/>
  <c r="L654" i="2"/>
  <c r="L655" i="2"/>
  <c r="L656" i="2"/>
  <c r="L657" i="2"/>
  <c r="L658" i="2"/>
  <c r="L659" i="2"/>
  <c r="L663" i="2"/>
  <c r="L669" i="2"/>
  <c r="L672" i="2"/>
  <c r="L675" i="2"/>
  <c r="L676" i="2"/>
  <c r="L678" i="2"/>
  <c r="L679" i="2"/>
  <c r="L681" i="2"/>
  <c r="L682" i="2"/>
  <c r="L686" i="2"/>
  <c r="L687" i="2"/>
  <c r="L691" i="2"/>
  <c r="L693" i="2"/>
  <c r="L694" i="2"/>
  <c r="L695" i="2"/>
  <c r="L697" i="2"/>
  <c r="L700" i="2"/>
  <c r="L703" i="2"/>
  <c r="L708" i="2"/>
  <c r="L709" i="2"/>
  <c r="L711" i="2"/>
  <c r="L714" i="2"/>
  <c r="L716" i="2"/>
  <c r="L717" i="2"/>
  <c r="L721" i="2"/>
  <c r="L722" i="2"/>
  <c r="L726" i="2"/>
  <c r="L731" i="2"/>
  <c r="L736" i="2"/>
  <c r="L737" i="2"/>
  <c r="L738" i="2"/>
  <c r="L739" i="2"/>
  <c r="L741" i="2"/>
  <c r="L742" i="2"/>
  <c r="L743" i="2"/>
  <c r="L744" i="2"/>
  <c r="L748" i="2"/>
  <c r="L749" i="2"/>
  <c r="L751" i="2"/>
  <c r="L752" i="2"/>
  <c r="L754" i="2"/>
  <c r="L768" i="2"/>
  <c r="L769" i="2"/>
  <c r="L770" i="2"/>
  <c r="L774" i="2"/>
  <c r="L775" i="2"/>
  <c r="L777" i="2"/>
  <c r="L780" i="2"/>
  <c r="L781" i="2"/>
  <c r="L783" i="2"/>
  <c r="L784" i="2"/>
  <c r="L787" i="2"/>
  <c r="L788" i="2"/>
  <c r="L789" i="2"/>
  <c r="L791" i="2"/>
  <c r="L793" i="2"/>
  <c r="L795" i="2"/>
  <c r="L798" i="2"/>
  <c r="L799" i="2"/>
  <c r="L800" i="2"/>
  <c r="L801" i="2"/>
  <c r="L802" i="2"/>
  <c r="L804" i="2"/>
  <c r="L805" i="2"/>
  <c r="L807" i="2"/>
  <c r="L813" i="2"/>
  <c r="L814" i="2"/>
  <c r="L817" i="2"/>
  <c r="L822" i="2"/>
  <c r="L824" i="2"/>
  <c r="L825" i="2"/>
  <c r="L826" i="2"/>
  <c r="L827" i="2"/>
  <c r="L828" i="2"/>
  <c r="L830" i="2"/>
  <c r="L831" i="2"/>
  <c r="L834" i="2"/>
  <c r="L837" i="2"/>
  <c r="L839" i="2"/>
  <c r="L840" i="2"/>
  <c r="L841" i="2"/>
  <c r="L846" i="2"/>
  <c r="L850" i="2"/>
  <c r="L851" i="2"/>
  <c r="L856" i="2"/>
  <c r="L857" i="2"/>
  <c r="L861" i="2"/>
  <c r="L862" i="2"/>
  <c r="L865" i="2"/>
  <c r="L866" i="2"/>
  <c r="L867" i="2"/>
  <c r="L868" i="2"/>
  <c r="L869" i="2"/>
  <c r="L870" i="2"/>
  <c r="L875" i="2"/>
  <c r="L878" i="2"/>
  <c r="L879" i="2"/>
  <c r="L881" i="2"/>
  <c r="L882" i="2"/>
  <c r="L883" i="2"/>
  <c r="L888" i="2"/>
  <c r="L889" i="2"/>
  <c r="L891" i="2"/>
  <c r="L894" i="2"/>
  <c r="L897" i="2"/>
  <c r="L898" i="2"/>
  <c r="L900" i="2"/>
  <c r="L901" i="2"/>
  <c r="L909" i="2"/>
  <c r="L911" i="2"/>
  <c r="L912" i="2"/>
  <c r="L914" i="2"/>
  <c r="L915" i="2"/>
  <c r="L920" i="2"/>
  <c r="L922" i="2"/>
  <c r="L923" i="2"/>
  <c r="L927" i="2"/>
  <c r="L928" i="2"/>
  <c r="L929" i="2"/>
  <c r="L930" i="2"/>
  <c r="L933" i="2"/>
  <c r="L934" i="2"/>
  <c r="L938" i="2"/>
  <c r="L941" i="2"/>
  <c r="L942" i="2"/>
  <c r="L944" i="2"/>
  <c r="L945" i="2"/>
  <c r="L946" i="2"/>
  <c r="L947" i="2"/>
  <c r="L948" i="2"/>
  <c r="L951" i="2"/>
  <c r="L952" i="2"/>
  <c r="L955" i="2"/>
  <c r="L956" i="2"/>
  <c r="L960" i="2"/>
  <c r="L964" i="2"/>
  <c r="L965" i="2"/>
  <c r="L966" i="2"/>
  <c r="L968" i="2"/>
  <c r="L971" i="2"/>
  <c r="L972" i="2"/>
  <c r="L975" i="2"/>
  <c r="L977" i="2"/>
  <c r="L978" i="2"/>
  <c r="L979" i="2"/>
  <c r="L982" i="2"/>
  <c r="L983" i="2"/>
  <c r="L984" i="2"/>
  <c r="L986" i="2"/>
  <c r="L987" i="2"/>
  <c r="L992" i="2"/>
  <c r="L994" i="2"/>
  <c r="L998" i="2"/>
  <c r="L1001" i="2"/>
  <c r="L1003" i="2"/>
  <c r="L1009" i="2"/>
  <c r="L1010" i="2"/>
  <c r="L1011" i="2"/>
  <c r="L1014" i="2"/>
  <c r="L1015" i="2"/>
  <c r="L1016" i="2"/>
  <c r="L1017" i="2"/>
  <c r="L1019" i="2"/>
  <c r="L1020" i="2"/>
  <c r="L1021" i="2"/>
  <c r="L1026" i="2"/>
  <c r="L1027" i="2"/>
  <c r="L1031" i="2"/>
  <c r="L1032" i="2"/>
  <c r="L1037" i="2"/>
  <c r="L1038" i="2"/>
  <c r="L1040" i="2"/>
  <c r="L1041" i="2"/>
  <c r="L1043" i="2"/>
  <c r="L1046" i="2"/>
  <c r="L1047" i="2"/>
  <c r="L1049" i="2"/>
  <c r="L1051" i="2"/>
  <c r="L1054" i="2"/>
  <c r="L1057" i="2"/>
  <c r="L1058" i="2"/>
  <c r="L1060" i="2"/>
  <c r="L1061" i="2"/>
  <c r="L1065" i="2"/>
  <c r="L1066" i="2"/>
  <c r="L1073" i="2"/>
  <c r="L1074" i="2"/>
  <c r="L1077" i="2"/>
  <c r="L1080" i="2"/>
  <c r="L1082" i="2"/>
  <c r="L1083" i="2"/>
  <c r="L1092" i="2"/>
  <c r="L1094" i="2"/>
  <c r="L1095" i="2"/>
  <c r="L1096" i="2"/>
  <c r="L1097" i="2"/>
  <c r="L1103" i="2"/>
  <c r="L1104" i="2"/>
  <c r="L1105" i="2"/>
  <c r="L1109" i="2"/>
  <c r="L1111" i="2"/>
  <c r="L1112" i="2"/>
  <c r="L1113" i="2"/>
  <c r="L1115" i="2"/>
  <c r="L1116" i="2"/>
  <c r="L1117" i="2"/>
  <c r="L1118" i="2"/>
  <c r="L1124" i="2"/>
  <c r="L1131" i="2"/>
  <c r="L1134" i="2"/>
  <c r="L1136" i="2"/>
  <c r="L1137" i="2"/>
  <c r="L1143" i="2"/>
  <c r="L1145" i="2"/>
  <c r="L1146" i="2"/>
  <c r="L1147" i="2"/>
  <c r="L1150" i="2"/>
  <c r="L1152" i="2"/>
  <c r="L1155" i="2"/>
  <c r="L1158" i="2"/>
  <c r="L1159" i="2"/>
  <c r="L1160" i="2"/>
  <c r="L1164" i="2"/>
  <c r="L1165" i="2"/>
  <c r="L1169" i="2"/>
  <c r="L1171" i="2"/>
  <c r="L1174" i="2"/>
  <c r="L1176" i="2"/>
  <c r="L1179" i="2"/>
  <c r="L1184" i="2"/>
  <c r="L1185" i="2"/>
  <c r="L1186" i="2"/>
  <c r="L1188" i="2"/>
  <c r="L1189" i="2"/>
  <c r="L1191" i="2"/>
  <c r="L1192" i="2"/>
  <c r="L1193" i="2"/>
  <c r="L1194" i="2"/>
  <c r="L1195" i="2"/>
  <c r="L1198" i="2"/>
  <c r="L1199" i="2"/>
  <c r="L1200" i="2"/>
  <c r="L1201" i="2"/>
  <c r="L1205" i="2"/>
  <c r="L1206" i="2"/>
  <c r="L1209" i="2"/>
  <c r="L1210" i="2"/>
  <c r="L1211" i="2"/>
  <c r="L1213" i="2"/>
  <c r="L1214" i="2"/>
  <c r="L1216" i="2"/>
  <c r="L1217" i="2"/>
  <c r="L1218" i="2"/>
  <c r="L1221" i="2"/>
  <c r="L1223" i="2"/>
  <c r="L1224" i="2"/>
  <c r="L1227" i="2"/>
  <c r="L1228" i="2"/>
  <c r="L1229" i="2"/>
  <c r="L1231" i="2"/>
  <c r="L1232" i="2"/>
  <c r="L1233" i="2"/>
  <c r="L1236" i="2"/>
  <c r="L1238" i="2"/>
  <c r="L1239" i="2"/>
  <c r="L1241" i="2"/>
  <c r="L1244" i="2"/>
  <c r="L1247" i="2"/>
  <c r="L1248" i="2"/>
  <c r="L1251" i="2"/>
  <c r="L1254" i="2"/>
  <c r="L1259" i="2"/>
  <c r="L1261" i="2"/>
  <c r="L1263" i="2"/>
  <c r="L1264" i="2"/>
  <c r="L1269" i="2"/>
  <c r="L1272" i="2"/>
  <c r="L1273" i="2"/>
  <c r="L1274" i="2"/>
  <c r="L1277" i="2"/>
  <c r="L1278" i="2"/>
  <c r="L1281" i="2"/>
  <c r="L1284" i="2"/>
  <c r="L1286" i="2"/>
  <c r="L1288" i="2"/>
  <c r="L1289" i="2"/>
  <c r="L1290" i="2"/>
  <c r="L1292" i="2"/>
  <c r="L1294" i="2"/>
  <c r="L1296" i="2"/>
  <c r="L1297" i="2"/>
  <c r="L1298" i="2"/>
  <c r="L1305" i="2"/>
  <c r="L1306" i="2"/>
  <c r="L1310" i="2"/>
  <c r="L1319" i="2"/>
  <c r="L1325" i="2"/>
  <c r="L1326" i="2"/>
  <c r="L1328" i="2"/>
  <c r="L1329" i="2"/>
  <c r="L1330" i="2"/>
  <c r="L1331" i="2"/>
  <c r="L1332" i="2"/>
  <c r="L1339" i="2"/>
  <c r="L1341" i="2"/>
  <c r="L1346" i="2"/>
  <c r="L1347" i="2"/>
  <c r="L1348" i="2"/>
  <c r="L1350" i="2"/>
  <c r="L1351" i="2"/>
  <c r="L1352" i="2"/>
  <c r="L1354" i="2"/>
  <c r="L1356" i="2"/>
  <c r="L1360" i="2"/>
  <c r="L1361" i="2"/>
  <c r="L1363" i="2"/>
  <c r="L1365" i="2"/>
  <c r="L1366" i="2"/>
  <c r="L1369" i="2"/>
  <c r="L1373" i="2"/>
  <c r="L1374" i="2"/>
  <c r="L1379" i="2"/>
  <c r="L1380" i="2"/>
  <c r="L1381" i="2"/>
  <c r="L1382" i="2"/>
  <c r="L1383" i="2"/>
  <c r="L1387" i="2"/>
  <c r="L1388" i="2"/>
  <c r="L1389" i="2"/>
  <c r="L1391" i="2"/>
  <c r="L1396" i="2"/>
  <c r="L1398" i="2"/>
  <c r="L1404" i="2"/>
  <c r="L1406" i="2"/>
  <c r="L1411" i="2"/>
  <c r="L1412" i="2"/>
  <c r="L1416" i="2"/>
  <c r="L1417" i="2"/>
  <c r="L1419" i="2"/>
  <c r="L1422" i="2"/>
  <c r="L1425" i="2"/>
  <c r="L1429" i="2"/>
  <c r="L1431" i="2"/>
  <c r="L1432" i="2"/>
  <c r="L1433" i="2"/>
  <c r="L1442" i="2"/>
  <c r="L1443" i="2"/>
  <c r="L1444" i="2"/>
  <c r="L1445" i="2"/>
  <c r="L1446" i="2"/>
  <c r="L1452" i="2"/>
  <c r="L1453" i="2"/>
  <c r="L1454" i="2"/>
  <c r="L1455" i="2"/>
  <c r="L1459" i="2"/>
  <c r="L1460" i="2"/>
  <c r="L1461" i="2"/>
  <c r="L1463" i="2"/>
  <c r="L1469" i="2"/>
  <c r="L1471" i="2"/>
  <c r="L1472" i="2"/>
  <c r="L1478" i="2"/>
  <c r="L1479" i="2"/>
  <c r="L1480" i="2"/>
  <c r="L1481" i="2"/>
  <c r="L1482" i="2"/>
  <c r="L1484" i="2"/>
  <c r="L1486" i="2"/>
  <c r="L1487" i="2"/>
  <c r="L1493" i="2"/>
  <c r="L1497" i="2"/>
  <c r="L1503" i="2"/>
  <c r="L1504" i="2"/>
  <c r="L1505" i="2"/>
  <c r="L1506" i="2"/>
  <c r="L1511" i="2"/>
  <c r="L1513" i="2"/>
  <c r="L1514" i="2"/>
  <c r="L1515" i="2"/>
  <c r="L1516" i="2"/>
  <c r="L1517" i="2"/>
  <c r="L1518" i="2"/>
  <c r="L1519" i="2"/>
  <c r="L1521" i="2"/>
  <c r="L1523" i="2"/>
  <c r="L1525" i="2"/>
  <c r="L1526" i="2"/>
  <c r="L1529" i="2"/>
  <c r="L1531" i="2"/>
  <c r="L1534" i="2"/>
  <c r="L1536" i="2"/>
  <c r="L1539" i="2"/>
  <c r="L1540" i="2"/>
  <c r="L1543" i="2"/>
  <c r="L1546" i="2"/>
  <c r="L1550" i="2"/>
  <c r="L1556" i="2"/>
  <c r="L1557" i="2"/>
  <c r="L1558" i="2"/>
  <c r="L1567" i="2"/>
  <c r="L1572" i="2"/>
  <c r="L1574" i="2"/>
  <c r="L1576" i="2"/>
  <c r="L1581" i="2"/>
  <c r="L1582" i="2"/>
  <c r="L1583" i="2"/>
  <c r="L1585" i="2"/>
  <c r="L1587" i="2"/>
  <c r="L1589" i="2"/>
  <c r="L1590" i="2"/>
  <c r="L1591" i="2"/>
  <c r="L1592" i="2"/>
  <c r="L1594" i="2"/>
  <c r="L1597" i="2"/>
  <c r="L1598" i="2"/>
  <c r="L1600" i="2"/>
  <c r="L1601" i="2"/>
  <c r="L1602" i="2"/>
  <c r="L1603" i="2"/>
  <c r="L1606" i="2"/>
  <c r="L1607" i="2"/>
  <c r="L1610" i="2"/>
  <c r="L1611" i="2"/>
  <c r="L1614" i="2"/>
  <c r="L1615" i="2"/>
  <c r="L1616" i="2"/>
  <c r="L1617" i="2"/>
  <c r="L1622" i="2"/>
  <c r="L1624" i="2"/>
  <c r="L1625" i="2"/>
  <c r="L1628" i="2"/>
  <c r="L1630" i="2"/>
  <c r="L1634" i="2"/>
  <c r="L1636" i="2"/>
  <c r="L1638" i="2"/>
  <c r="L1640" i="2"/>
  <c r="L1641" i="2"/>
  <c r="L1643" i="2"/>
  <c r="L1644" i="2"/>
  <c r="L1646" i="2"/>
  <c r="L1647" i="2"/>
  <c r="L1653" i="2"/>
  <c r="L1658" i="2"/>
  <c r="L1662" i="2"/>
  <c r="L1663" i="2"/>
  <c r="L1665" i="2"/>
  <c r="L1666" i="2"/>
  <c r="L1667" i="2"/>
  <c r="L1670" i="2"/>
  <c r="L1671" i="2"/>
  <c r="L1672" i="2"/>
  <c r="L1675" i="2"/>
  <c r="L1676" i="2"/>
  <c r="L1677" i="2"/>
  <c r="L1679" i="2"/>
  <c r="L1682" i="2"/>
  <c r="L1683" i="2"/>
  <c r="L1684" i="2"/>
  <c r="L1687" i="2"/>
  <c r="L1691" i="2"/>
  <c r="L1694" i="2"/>
  <c r="L1696" i="2"/>
  <c r="L1697" i="2"/>
  <c r="L1699" i="2"/>
  <c r="L1703" i="2"/>
  <c r="L1705" i="2"/>
  <c r="L1707" i="2"/>
  <c r="L1708" i="2"/>
  <c r="L1711" i="2"/>
  <c r="L1714" i="2"/>
  <c r="L1715" i="2"/>
  <c r="L1716" i="2"/>
  <c r="L1717" i="2"/>
  <c r="L1718" i="2"/>
  <c r="L1719" i="2"/>
  <c r="L1720" i="2"/>
  <c r="L1721" i="2"/>
  <c r="L1723" i="2"/>
  <c r="L1724" i="2"/>
  <c r="L1726" i="2"/>
  <c r="L1727" i="2"/>
  <c r="L1730" i="2"/>
  <c r="L1732" i="2"/>
  <c r="L1733" i="2"/>
  <c r="L1734" i="2"/>
  <c r="L1735" i="2"/>
  <c r="L1736" i="2"/>
  <c r="L1739" i="2"/>
  <c r="L1740" i="2"/>
  <c r="L1745" i="2"/>
  <c r="L1746" i="2"/>
  <c r="L1751" i="2"/>
  <c r="L1752" i="2"/>
  <c r="L1753" i="2"/>
  <c r="L1754" i="2"/>
  <c r="L1755" i="2"/>
  <c r="L1756" i="2"/>
  <c r="L1758" i="2"/>
  <c r="L1764" i="2"/>
  <c r="L1767" i="2"/>
  <c r="L1770" i="2"/>
  <c r="L1771" i="2"/>
  <c r="L1773" i="2"/>
  <c r="L1774" i="2"/>
  <c r="L1775" i="2"/>
  <c r="L1778" i="2"/>
  <c r="L1780" i="2"/>
  <c r="L1781" i="2"/>
  <c r="L1787" i="2"/>
  <c r="L1792" i="2"/>
  <c r="L1793" i="2"/>
  <c r="L1798" i="2"/>
  <c r="L1799" i="2"/>
  <c r="L1801" i="2"/>
  <c r="L1802" i="2"/>
  <c r="L1803" i="2"/>
  <c r="L1804" i="2"/>
  <c r="L1806" i="2"/>
  <c r="L1807" i="2"/>
  <c r="L1809" i="2"/>
  <c r="L1813" i="2"/>
  <c r="L1814" i="2"/>
  <c r="L1817" i="2"/>
  <c r="L1819" i="2"/>
  <c r="L1822" i="2"/>
  <c r="L1824" i="2"/>
  <c r="L1827" i="2"/>
  <c r="L1828" i="2"/>
  <c r="L1829" i="2"/>
  <c r="L1830" i="2"/>
  <c r="L1832" i="2"/>
  <c r="L1837" i="2"/>
  <c r="L1840" i="2"/>
  <c r="L1848" i="2"/>
  <c r="L1850" i="2"/>
  <c r="L1851" i="2"/>
  <c r="L1853" i="2"/>
  <c r="L1854" i="2"/>
  <c r="L1855" i="2"/>
  <c r="L1856" i="2"/>
  <c r="L1857" i="2"/>
  <c r="L1859" i="2"/>
  <c r="L1861" i="2"/>
  <c r="L1862" i="2"/>
  <c r="L1864" i="2"/>
  <c r="L1865" i="2"/>
  <c r="L1866" i="2"/>
  <c r="L1871" i="2"/>
  <c r="L1873" i="2"/>
  <c r="L1875" i="2"/>
  <c r="L1880" i="2"/>
  <c r="L1884" i="2"/>
  <c r="L1885" i="2"/>
  <c r="L1887" i="2"/>
  <c r="L1888" i="2"/>
  <c r="L1889" i="2"/>
  <c r="L1891" i="2"/>
  <c r="L1893" i="2"/>
  <c r="L1894" i="2"/>
  <c r="L1896" i="2"/>
  <c r="L1897" i="2"/>
  <c r="L1901" i="2"/>
  <c r="L1903" i="2"/>
  <c r="L1904" i="2"/>
  <c r="L1905" i="2"/>
  <c r="L1906" i="2"/>
  <c r="L1908" i="2"/>
  <c r="L1912" i="2"/>
  <c r="L1913" i="2"/>
  <c r="L1914" i="2"/>
  <c r="L1915" i="2"/>
  <c r="L1916" i="2"/>
  <c r="L1917" i="2"/>
  <c r="L1924" i="2"/>
  <c r="L1926" i="2"/>
  <c r="L1928" i="2"/>
  <c r="L1929" i="2"/>
  <c r="L1930" i="2"/>
  <c r="L1933" i="2"/>
  <c r="L1938" i="2"/>
  <c r="L1939" i="2"/>
  <c r="L1943" i="2"/>
  <c r="L1944" i="2"/>
  <c r="L1947" i="2"/>
  <c r="L1949" i="2"/>
  <c r="L1950" i="2"/>
  <c r="L1951" i="2"/>
  <c r="L1955" i="2"/>
  <c r="L1956" i="2"/>
  <c r="L1957" i="2"/>
  <c r="L1959" i="2"/>
  <c r="L1960" i="2"/>
  <c r="L1961" i="2"/>
  <c r="L1964" i="2"/>
  <c r="L1965" i="2"/>
  <c r="L1971" i="2"/>
  <c r="L1972" i="2"/>
  <c r="L1976" i="2"/>
  <c r="L1979" i="2"/>
  <c r="L1980" i="2"/>
  <c r="L1981" i="2"/>
  <c r="L1982" i="2"/>
  <c r="L1984" i="2"/>
  <c r="L1993" i="2"/>
  <c r="L1994" i="2"/>
  <c r="L2001" i="2"/>
  <c r="L2002" i="2"/>
  <c r="L2003" i="2"/>
  <c r="L2004" i="2"/>
  <c r="L2006" i="2"/>
  <c r="L2008" i="2"/>
  <c r="L2009" i="2"/>
  <c r="L2012" i="2"/>
  <c r="L2013" i="2"/>
  <c r="L2014" i="2"/>
  <c r="L2017" i="2"/>
  <c r="L2018" i="2"/>
  <c r="L2019" i="2"/>
  <c r="L2021" i="2"/>
  <c r="L2024" i="2"/>
  <c r="L2029" i="2"/>
  <c r="L2033" i="2"/>
  <c r="L2034" i="2"/>
  <c r="L2035" i="2"/>
  <c r="L2041" i="2"/>
  <c r="L2042" i="2"/>
  <c r="L2045" i="2"/>
  <c r="L2047" i="2"/>
  <c r="L2050" i="2"/>
  <c r="L2054" i="2"/>
  <c r="L2057" i="2"/>
  <c r="L2059" i="2"/>
  <c r="L2060" i="2"/>
  <c r="L2063" i="2"/>
  <c r="L2068" i="2"/>
  <c r="L2069" i="2"/>
  <c r="L2070" i="2"/>
  <c r="L2073" i="2"/>
  <c r="L2074" i="2"/>
  <c r="L2080" i="2"/>
  <c r="L2083" i="2"/>
  <c r="L2088" i="2"/>
  <c r="L2091" i="2"/>
  <c r="L2093" i="2"/>
  <c r="L2095" i="2"/>
  <c r="L2098" i="2"/>
  <c r="L2102" i="2"/>
  <c r="L2104" i="2"/>
  <c r="L2105" i="2"/>
  <c r="L2109" i="2"/>
  <c r="L2110" i="2"/>
  <c r="L2111" i="2"/>
  <c r="L2112" i="2"/>
  <c r="L2113" i="2"/>
  <c r="L2114" i="2"/>
  <c r="L2115" i="2"/>
  <c r="L2116" i="2"/>
  <c r="L2117" i="2"/>
  <c r="L2118" i="2"/>
  <c r="L2119" i="2"/>
  <c r="L2124" i="2"/>
  <c r="L2125" i="2"/>
  <c r="L2126" i="2"/>
  <c r="L2127" i="2"/>
  <c r="L2128" i="2"/>
  <c r="L2131" i="2"/>
  <c r="L2134" i="2"/>
  <c r="L2139" i="2"/>
  <c r="L2142" i="2"/>
  <c r="L2144" i="2"/>
  <c r="L2147" i="2"/>
  <c r="L2149" i="2"/>
  <c r="L2150" i="2"/>
  <c r="L2151" i="2"/>
  <c r="L2153" i="2"/>
  <c r="L2155" i="2"/>
  <c r="L2156" i="2"/>
  <c r="L2157" i="2"/>
  <c r="L2158" i="2"/>
  <c r="L2159" i="2"/>
  <c r="L2161" i="2"/>
  <c r="L2170" i="2"/>
  <c r="L2172" i="2"/>
  <c r="L2173" i="2"/>
  <c r="L2174" i="2"/>
  <c r="L2175" i="2"/>
  <c r="L2182" i="2"/>
  <c r="L2189" i="2"/>
  <c r="L2191" i="2"/>
  <c r="L2192" i="2"/>
  <c r="L2195" i="2"/>
  <c r="L2200" i="2"/>
  <c r="L2201" i="2"/>
  <c r="L2203" i="2"/>
  <c r="L2207" i="2"/>
  <c r="L2210" i="2"/>
  <c r="L2211" i="2"/>
  <c r="L2214" i="2"/>
  <c r="L2219" i="2"/>
  <c r="L2220" i="2"/>
  <c r="L2222" i="2"/>
  <c r="L2223" i="2"/>
  <c r="L2226" i="2"/>
  <c r="L2229" i="2"/>
  <c r="L2233" i="2"/>
  <c r="L2236" i="2"/>
  <c r="L2237" i="2"/>
  <c r="L2238" i="2"/>
  <c r="L2239" i="2"/>
  <c r="L2241" i="2"/>
  <c r="L2247" i="2"/>
  <c r="L2252" i="2"/>
  <c r="L2254" i="2"/>
  <c r="L2256" i="2"/>
  <c r="L2257" i="2"/>
  <c r="L2259" i="2"/>
  <c r="L2264" i="2"/>
  <c r="L2267" i="2"/>
  <c r="L2269" i="2"/>
  <c r="L2270" i="2"/>
  <c r="L2272" i="2"/>
  <c r="L2273" i="2"/>
  <c r="L2275" i="2"/>
  <c r="L2277" i="2"/>
  <c r="L2278" i="2"/>
  <c r="L2282" i="2"/>
  <c r="L2287" i="2"/>
  <c r="L2288" i="2"/>
  <c r="L2289" i="2"/>
  <c r="L2291" i="2"/>
  <c r="L2292" i="2"/>
  <c r="L2293" i="2"/>
  <c r="L2294" i="2"/>
  <c r="L2297" i="2"/>
  <c r="L2299" i="2"/>
  <c r="L2305" i="2"/>
  <c r="L2307" i="2"/>
  <c r="L2309" i="2"/>
  <c r="L2310" i="2"/>
  <c r="L2311" i="2"/>
  <c r="L2312" i="2"/>
  <c r="L2315" i="2"/>
  <c r="L2316" i="2"/>
  <c r="L2317" i="2"/>
  <c r="L2322" i="2"/>
  <c r="L2324" i="2"/>
  <c r="L2327" i="2"/>
  <c r="L2330" i="2"/>
  <c r="L2331" i="2"/>
  <c r="L2333" i="2"/>
  <c r="L2334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8" i="2"/>
  <c r="L2359" i="2"/>
  <c r="L2360" i="2"/>
  <c r="L2363" i="2"/>
  <c r="L2364" i="2"/>
  <c r="L2365" i="2"/>
  <c r="L2366" i="2"/>
  <c r="L2367" i="2"/>
  <c r="L2368" i="2"/>
  <c r="L2369" i="2"/>
  <c r="L2370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96" i="2"/>
  <c r="L2397" i="2"/>
  <c r="L2398" i="2"/>
  <c r="L2399" i="2"/>
  <c r="L2400" i="2"/>
  <c r="L2401" i="2"/>
  <c r="L2402" i="2"/>
  <c r="L2404" i="2"/>
  <c r="L2405" i="2"/>
  <c r="L2407" i="2"/>
  <c r="L2408" i="2"/>
  <c r="L2409" i="2"/>
  <c r="L2410" i="2"/>
  <c r="L2411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1" i="2"/>
  <c r="L2434" i="2"/>
  <c r="L2435" i="2"/>
  <c r="L2436" i="2"/>
  <c r="L2441" i="2"/>
  <c r="L2442" i="2"/>
  <c r="L2447" i="2"/>
  <c r="L2448" i="2"/>
  <c r="L2451" i="2"/>
  <c r="L2453" i="2"/>
  <c r="L2454" i="2"/>
  <c r="L2458" i="2"/>
  <c r="L2464" i="2"/>
  <c r="L2465" i="2"/>
  <c r="L2466" i="2"/>
  <c r="L2472" i="2"/>
  <c r="L2475" i="2"/>
  <c r="L2476" i="2"/>
  <c r="L2480" i="2"/>
  <c r="L2481" i="2"/>
  <c r="L2484" i="2"/>
  <c r="L2485" i="2"/>
  <c r="L2486" i="2"/>
  <c r="L2490" i="2"/>
  <c r="L2491" i="2"/>
  <c r="L2495" i="2"/>
  <c r="L2496" i="2"/>
  <c r="L2503" i="2"/>
  <c r="L2504" i="2"/>
  <c r="L2507" i="2"/>
  <c r="L2511" i="2"/>
  <c r="L2514" i="2"/>
  <c r="L2517" i="2"/>
  <c r="L2521" i="2"/>
  <c r="L2522" i="2"/>
  <c r="L2525" i="2"/>
  <c r="L2528" i="2"/>
  <c r="L2529" i="2"/>
  <c r="L2530" i="2"/>
  <c r="L2531" i="2"/>
  <c r="L2533" i="2"/>
  <c r="L2539" i="2"/>
  <c r="L2541" i="2"/>
  <c r="L2544" i="2"/>
  <c r="L2545" i="2"/>
  <c r="L2550" i="2"/>
  <c r="L2553" i="2"/>
  <c r="L2559" i="2"/>
  <c r="L2563" i="2"/>
  <c r="L2564" i="2"/>
  <c r="L2566" i="2"/>
  <c r="L2571" i="2"/>
  <c r="L2574" i="2"/>
  <c r="L2576" i="2"/>
  <c r="L2578" i="2"/>
  <c r="L2580" i="2"/>
  <c r="L2581" i="2"/>
  <c r="L2586" i="2"/>
  <c r="L2587" i="2"/>
  <c r="L2588" i="2"/>
  <c r="L2589" i="2"/>
  <c r="L2594" i="2"/>
  <c r="L2596" i="2"/>
  <c r="L2597" i="2"/>
  <c r="L2600" i="2"/>
  <c r="L2601" i="2"/>
  <c r="L2605" i="2"/>
  <c r="L2606" i="2"/>
  <c r="L2608" i="2"/>
  <c r="L2609" i="2"/>
  <c r="L2610" i="2"/>
  <c r="L2611" i="2"/>
  <c r="L2612" i="2"/>
  <c r="L2613" i="2"/>
  <c r="L2616" i="2"/>
  <c r="L2619" i="2"/>
  <c r="L2622" i="2"/>
  <c r="L2623" i="2"/>
  <c r="L2624" i="2"/>
  <c r="L2629" i="2"/>
  <c r="L2631" i="2"/>
  <c r="L2632" i="2"/>
  <c r="L2634" i="2"/>
  <c r="L2636" i="2"/>
  <c r="L2637" i="2"/>
  <c r="L2639" i="2"/>
  <c r="L2640" i="2"/>
  <c r="L2643" i="2"/>
  <c r="L2644" i="2"/>
  <c r="L2645" i="2"/>
  <c r="L2646" i="2"/>
  <c r="L2647" i="2"/>
  <c r="L2650" i="2"/>
  <c r="L2651" i="2"/>
  <c r="L2655" i="2"/>
  <c r="L2656" i="2"/>
  <c r="L2657" i="2"/>
  <c r="L2658" i="2"/>
  <c r="L2662" i="2"/>
  <c r="L2664" i="2"/>
  <c r="L2666" i="2"/>
  <c r="L2668" i="2"/>
  <c r="L2672" i="2"/>
  <c r="L2674" i="2"/>
  <c r="L2677" i="2"/>
  <c r="L2679" i="2"/>
  <c r="L2680" i="2"/>
  <c r="L2682" i="2"/>
  <c r="L2683" i="2"/>
  <c r="L2684" i="2"/>
  <c r="L2693" i="2"/>
  <c r="L2702" i="2"/>
  <c r="L2704" i="2"/>
  <c r="L2706" i="2"/>
  <c r="L2708" i="2"/>
  <c r="L2711" i="2"/>
  <c r="L2712" i="2"/>
  <c r="L2713" i="2"/>
  <c r="L2714" i="2"/>
  <c r="L2715" i="2"/>
  <c r="L2716" i="2"/>
  <c r="L2718" i="2"/>
  <c r="L2720" i="2"/>
  <c r="L2721" i="2"/>
  <c r="L2722" i="2"/>
  <c r="L2723" i="2"/>
  <c r="L2724" i="2"/>
  <c r="L2728" i="2"/>
  <c r="L2730" i="2"/>
  <c r="L2733" i="2"/>
  <c r="L2734" i="2"/>
  <c r="L2735" i="2"/>
  <c r="L2736" i="2"/>
  <c r="L2742" i="2"/>
  <c r="L2743" i="2"/>
  <c r="L2744" i="2"/>
  <c r="L2746" i="2"/>
  <c r="L2747" i="2"/>
  <c r="L2749" i="2"/>
  <c r="L2750" i="2"/>
  <c r="L2752" i="2"/>
  <c r="L2754" i="2"/>
  <c r="L2755" i="2"/>
  <c r="L2758" i="2"/>
  <c r="L2759" i="2"/>
  <c r="L2760" i="2"/>
  <c r="L2770" i="2"/>
  <c r="L2771" i="2"/>
  <c r="L2772" i="2"/>
  <c r="L2773" i="2"/>
  <c r="L2774" i="2"/>
  <c r="L2776" i="2"/>
  <c r="L2778" i="2"/>
  <c r="L2781" i="2"/>
  <c r="L2783" i="2"/>
  <c r="L2784" i="2"/>
  <c r="L2787" i="2"/>
  <c r="L2789" i="2"/>
  <c r="L2794" i="2"/>
  <c r="L2795" i="2"/>
  <c r="L2796" i="2"/>
  <c r="L2801" i="2"/>
  <c r="L2804" i="2"/>
  <c r="L2805" i="2"/>
  <c r="L2810" i="2"/>
  <c r="L2814" i="2"/>
  <c r="L2815" i="2"/>
  <c r="L2818" i="2"/>
  <c r="L2819" i="2"/>
  <c r="L2822" i="2"/>
  <c r="L2824" i="2"/>
  <c r="L2826" i="2"/>
  <c r="L2828" i="2"/>
  <c r="L2833" i="2"/>
  <c r="L2837" i="2"/>
  <c r="L2838" i="2"/>
  <c r="L2839" i="2"/>
  <c r="L2841" i="2"/>
  <c r="L2844" i="2"/>
  <c r="L2845" i="2"/>
  <c r="L2846" i="2"/>
  <c r="L2847" i="2"/>
  <c r="L2854" i="2"/>
  <c r="L2855" i="2"/>
  <c r="L2856" i="2"/>
  <c r="L2857" i="2"/>
  <c r="L2858" i="2"/>
  <c r="L2859" i="2"/>
  <c r="L2861" i="2"/>
  <c r="L2863" i="2"/>
  <c r="L2864" i="2"/>
  <c r="L2865" i="2"/>
  <c r="L2866" i="2"/>
  <c r="L2867" i="2"/>
  <c r="L2869" i="2"/>
  <c r="L2871" i="2"/>
  <c r="L2875" i="2"/>
  <c r="L2876" i="2"/>
  <c r="L2878" i="2"/>
  <c r="L2879" i="2"/>
  <c r="L2883" i="2"/>
  <c r="L2886" i="2"/>
  <c r="L2888" i="2"/>
  <c r="L2892" i="2"/>
  <c r="L2893" i="2"/>
  <c r="L2894" i="2"/>
  <c r="L2896" i="2"/>
  <c r="L2898" i="2"/>
  <c r="L2899" i="2"/>
  <c r="L2900" i="2"/>
  <c r="L2901" i="2"/>
  <c r="L2902" i="2"/>
  <c r="L2903" i="2"/>
  <c r="L2909" i="2"/>
  <c r="L2915" i="2"/>
  <c r="L2916" i="2"/>
  <c r="L2917" i="2"/>
  <c r="L2925" i="2"/>
  <c r="L2926" i="2"/>
  <c r="L2929" i="2"/>
  <c r="L2930" i="2"/>
  <c r="L2935" i="2"/>
  <c r="L2936" i="2"/>
  <c r="L2938" i="2"/>
  <c r="L2941" i="2"/>
  <c r="L2943" i="2"/>
  <c r="L2944" i="2"/>
  <c r="L2946" i="2"/>
  <c r="L2947" i="2"/>
  <c r="L2948" i="2"/>
  <c r="L2950" i="2"/>
  <c r="L2952" i="2"/>
  <c r="L2953" i="2"/>
  <c r="L2956" i="2"/>
  <c r="L2958" i="2"/>
  <c r="L2961" i="2"/>
  <c r="L2962" i="2"/>
  <c r="L2963" i="2"/>
  <c r="L2964" i="2"/>
  <c r="L2965" i="2"/>
  <c r="L2972" i="2"/>
  <c r="L2973" i="2"/>
  <c r="L2974" i="2"/>
  <c r="L2977" i="2"/>
  <c r="L2978" i="2"/>
  <c r="L2979" i="2"/>
  <c r="L2980" i="2"/>
  <c r="L2982" i="2"/>
  <c r="L2988" i="2"/>
  <c r="L2992" i="2"/>
  <c r="L2996" i="2"/>
  <c r="L2997" i="2"/>
  <c r="L3000" i="2"/>
  <c r="L3003" i="2"/>
  <c r="L3004" i="2"/>
  <c r="L3006" i="2"/>
  <c r="L3007" i="2"/>
  <c r="L3011" i="2"/>
  <c r="L3012" i="2"/>
  <c r="L3013" i="2"/>
  <c r="L3014" i="2"/>
  <c r="L3015" i="2"/>
  <c r="L3017" i="2"/>
  <c r="L3020" i="2"/>
  <c r="L3023" i="2"/>
  <c r="L3024" i="2"/>
  <c r="L3025" i="2"/>
  <c r="L3027" i="2"/>
  <c r="L3028" i="2"/>
  <c r="L3032" i="2"/>
  <c r="L3033" i="2"/>
  <c r="L3036" i="2"/>
  <c r="L3037" i="2"/>
  <c r="L3039" i="2"/>
  <c r="L3040" i="2"/>
  <c r="L3048" i="2"/>
  <c r="L3049" i="2"/>
  <c r="L3050" i="2"/>
  <c r="L3051" i="2"/>
  <c r="L3052" i="2"/>
  <c r="L3054" i="2"/>
  <c r="L3056" i="2"/>
  <c r="L3059" i="2"/>
  <c r="L3060" i="2"/>
  <c r="L3062" i="2"/>
  <c r="L3063" i="2"/>
  <c r="L3064" i="2"/>
  <c r="L3065" i="2"/>
  <c r="L3070" i="2"/>
  <c r="L3071" i="2"/>
  <c r="L3072" i="2"/>
  <c r="L3073" i="2"/>
  <c r="L3074" i="2"/>
  <c r="L3075" i="2"/>
  <c r="L3076" i="2"/>
  <c r="L3079" i="2"/>
  <c r="L3080" i="2"/>
  <c r="L3081" i="2"/>
  <c r="L3085" i="2"/>
  <c r="L3087" i="2"/>
  <c r="L3089" i="2"/>
  <c r="L3092" i="2"/>
  <c r="L3094" i="2"/>
  <c r="L3097" i="2"/>
  <c r="L3098" i="2"/>
  <c r="L3100" i="2"/>
  <c r="L3101" i="2"/>
  <c r="L3102" i="2"/>
  <c r="L3103" i="2"/>
  <c r="L3108" i="2"/>
  <c r="L3109" i="2"/>
  <c r="L3111" i="2"/>
  <c r="L3116" i="2"/>
  <c r="L3117" i="2"/>
  <c r="L3121" i="2"/>
  <c r="L3122" i="2"/>
  <c r="L3126" i="2"/>
  <c r="L3128" i="2"/>
  <c r="L3129" i="2"/>
  <c r="L3130" i="2"/>
  <c r="L3131" i="2"/>
  <c r="L3132" i="2"/>
  <c r="L3133" i="2"/>
  <c r="L3134" i="2"/>
  <c r="L3136" i="2"/>
  <c r="L3137" i="2"/>
  <c r="L3138" i="2"/>
  <c r="L3139" i="2"/>
  <c r="L3144" i="2"/>
  <c r="L3145" i="2"/>
  <c r="L3146" i="2"/>
  <c r="L3151" i="2"/>
  <c r="L3153" i="2"/>
  <c r="L3155" i="2"/>
  <c r="L3156" i="2"/>
  <c r="L3157" i="2"/>
  <c r="L3158" i="2"/>
  <c r="L3160" i="2"/>
  <c r="L3161" i="2"/>
  <c r="L3164" i="2"/>
  <c r="L3168" i="2"/>
  <c r="L3169" i="2"/>
  <c r="L3170" i="2"/>
  <c r="L3171" i="2"/>
  <c r="L3174" i="2"/>
  <c r="L3176" i="2"/>
  <c r="L3180" i="2"/>
  <c r="L3181" i="2"/>
  <c r="L3184" i="2"/>
  <c r="L3185" i="2"/>
  <c r="L3186" i="2"/>
  <c r="L3189" i="2"/>
  <c r="L3190" i="2"/>
  <c r="L3191" i="2"/>
  <c r="L3193" i="2"/>
  <c r="L3194" i="2"/>
  <c r="L3201" i="2"/>
  <c r="L3205" i="2"/>
  <c r="L3206" i="2"/>
  <c r="L3207" i="2"/>
  <c r="L3209" i="2"/>
  <c r="L3211" i="2"/>
  <c r="L3214" i="2"/>
  <c r="L3217" i="2"/>
  <c r="L3219" i="2"/>
  <c r="L3223" i="2"/>
  <c r="L3224" i="2"/>
  <c r="L3226" i="2"/>
  <c r="L3228" i="2"/>
  <c r="L3231" i="2"/>
  <c r="L3233" i="2"/>
  <c r="L3237" i="2"/>
  <c r="L3238" i="2"/>
  <c r="L3239" i="2"/>
  <c r="L3240" i="2"/>
  <c r="L3241" i="2"/>
  <c r="L3242" i="2"/>
  <c r="L3243" i="2"/>
  <c r="L3247" i="2"/>
  <c r="L3251" i="2"/>
  <c r="L3259" i="2"/>
  <c r="L3264" i="2"/>
  <c r="L3265" i="2"/>
  <c r="L3267" i="2"/>
  <c r="L3268" i="2"/>
  <c r="L3269" i="2"/>
  <c r="L3270" i="2"/>
  <c r="L3272" i="2"/>
  <c r="L3274" i="2"/>
  <c r="L3275" i="2"/>
  <c r="L3276" i="2"/>
  <c r="L3277" i="2"/>
  <c r="L3280" i="2"/>
  <c r="L3281" i="2"/>
  <c r="L3282" i="2"/>
  <c r="L3283" i="2"/>
  <c r="L3284" i="2"/>
  <c r="L3285" i="2"/>
  <c r="L3287" i="2"/>
  <c r="L3302" i="2"/>
  <c r="L3303" i="2"/>
  <c r="L3305" i="2"/>
  <c r="L3308" i="2"/>
  <c r="L3309" i="2"/>
  <c r="L3312" i="2"/>
  <c r="L3315" i="2"/>
  <c r="L3316" i="2"/>
  <c r="L3317" i="2"/>
  <c r="L3318" i="2"/>
  <c r="L3320" i="2"/>
  <c r="L3321" i="2"/>
  <c r="L3327" i="2"/>
  <c r="L3329" i="2"/>
  <c r="L3330" i="2"/>
  <c r="L3331" i="2"/>
  <c r="L3333" i="2"/>
  <c r="L3335" i="2"/>
  <c r="L3337" i="2"/>
  <c r="L3340" i="2"/>
  <c r="L3342" i="2"/>
  <c r="L3343" i="2"/>
  <c r="L3344" i="2"/>
  <c r="L3345" i="2"/>
  <c r="L3346" i="2"/>
  <c r="L3347" i="2"/>
  <c r="L3351" i="2"/>
  <c r="L3352" i="2"/>
  <c r="L3353" i="2"/>
  <c r="L3356" i="2"/>
  <c r="L3357" i="2"/>
  <c r="L3358" i="2"/>
  <c r="L3359" i="2"/>
  <c r="L3361" i="2"/>
  <c r="L3364" i="2"/>
  <c r="L3365" i="2"/>
  <c r="L3366" i="2"/>
  <c r="L3367" i="2"/>
  <c r="L3369" i="2"/>
  <c r="L3370" i="2"/>
  <c r="L3372" i="2"/>
  <c r="L3373" i="2"/>
  <c r="L3374" i="2"/>
  <c r="L3375" i="2"/>
  <c r="L3376" i="2"/>
  <c r="L3381" i="2"/>
  <c r="L3385" i="2"/>
  <c r="L3386" i="2"/>
  <c r="L3387" i="2"/>
  <c r="L3388" i="2"/>
  <c r="L3390" i="2"/>
  <c r="L3391" i="2"/>
  <c r="L3392" i="2"/>
  <c r="L3393" i="2"/>
  <c r="L3396" i="2"/>
  <c r="L3398" i="2"/>
  <c r="L3400" i="2"/>
  <c r="L3401" i="2"/>
  <c r="L3402" i="2"/>
  <c r="L3403" i="2"/>
  <c r="L3405" i="2"/>
  <c r="L3406" i="2"/>
  <c r="L3407" i="2"/>
  <c r="L3409" i="2"/>
  <c r="L3410" i="2"/>
  <c r="L3411" i="2"/>
  <c r="L3413" i="2"/>
  <c r="L3416" i="2"/>
  <c r="L3417" i="2"/>
  <c r="L3420" i="2"/>
  <c r="L3421" i="2"/>
  <c r="L3423" i="2"/>
  <c r="L3424" i="2"/>
  <c r="L3425" i="2"/>
  <c r="L3426" i="2"/>
  <c r="L3427" i="2"/>
  <c r="L3428" i="2"/>
  <c r="L3429" i="2"/>
  <c r="L3430" i="2"/>
  <c r="L3433" i="2"/>
  <c r="L3438" i="2"/>
  <c r="L3440" i="2"/>
  <c r="L3445" i="2"/>
  <c r="L3446" i="2"/>
  <c r="L3447" i="2"/>
  <c r="L3448" i="2"/>
  <c r="L3449" i="2"/>
  <c r="L3450" i="2"/>
  <c r="L3451" i="2"/>
  <c r="L3453" i="2"/>
  <c r="L3455" i="2"/>
  <c r="L3456" i="2"/>
  <c r="L3461" i="2"/>
  <c r="L3462" i="2"/>
  <c r="L3463" i="2"/>
  <c r="L3464" i="2"/>
  <c r="L3465" i="2"/>
  <c r="L3466" i="2"/>
  <c r="L3469" i="2"/>
  <c r="L3470" i="2"/>
  <c r="L3471" i="2"/>
  <c r="L3474" i="2"/>
  <c r="L3475" i="2"/>
  <c r="L3476" i="2"/>
  <c r="L3478" i="2"/>
  <c r="L3483" i="2"/>
  <c r="L3484" i="2"/>
  <c r="L3485" i="2"/>
  <c r="L3488" i="2"/>
  <c r="L3490" i="2"/>
  <c r="L3491" i="2"/>
  <c r="L3496" i="2"/>
  <c r="L3498" i="2"/>
  <c r="L3499" i="2"/>
  <c r="L3504" i="2"/>
  <c r="L3505" i="2"/>
  <c r="L3507" i="2"/>
  <c r="L3508" i="2"/>
  <c r="L3509" i="2"/>
  <c r="L3510" i="2"/>
  <c r="L3511" i="2"/>
  <c r="L3512" i="2"/>
  <c r="L3513" i="2"/>
  <c r="L3514" i="2"/>
  <c r="L3517" i="2"/>
  <c r="L3518" i="2"/>
  <c r="L3520" i="2"/>
  <c r="L3521" i="2"/>
  <c r="L3522" i="2"/>
  <c r="L3525" i="2"/>
  <c r="L3527" i="2"/>
  <c r="L3528" i="2"/>
  <c r="L3529" i="2"/>
  <c r="L3530" i="2"/>
  <c r="L3532" i="2"/>
  <c r="L3533" i="2"/>
  <c r="L3535" i="2"/>
  <c r="L3540" i="2"/>
  <c r="L3541" i="2"/>
  <c r="L3543" i="2"/>
  <c r="L3544" i="2"/>
  <c r="L3549" i="2"/>
  <c r="L3550" i="2"/>
  <c r="L3553" i="2"/>
  <c r="L3554" i="2"/>
  <c r="L3557" i="2"/>
  <c r="L3559" i="2"/>
  <c r="L3561" i="2"/>
  <c r="L3563" i="2"/>
  <c r="L3565" i="2"/>
  <c r="L3567" i="2"/>
  <c r="L3570" i="2"/>
  <c r="L3574" i="2"/>
  <c r="L3575" i="2"/>
  <c r="L3577" i="2"/>
  <c r="L3578" i="2"/>
  <c r="L3581" i="2"/>
  <c r="L3585" i="2"/>
  <c r="L3587" i="2"/>
  <c r="L3593" i="2"/>
  <c r="L3594" i="2"/>
  <c r="L3595" i="2"/>
  <c r="L3596" i="2"/>
  <c r="L3599" i="2"/>
  <c r="L3601" i="2"/>
  <c r="L3602" i="2"/>
  <c r="L3603" i="2"/>
  <c r="L3608" i="2"/>
  <c r="L3609" i="2"/>
  <c r="L3610" i="2"/>
  <c r="L3612" i="2"/>
  <c r="L3615" i="2"/>
  <c r="L3616" i="2"/>
  <c r="L3617" i="2"/>
  <c r="L3618" i="2"/>
  <c r="L3620" i="2"/>
  <c r="L3622" i="2"/>
  <c r="L3627" i="2"/>
  <c r="L3629" i="2"/>
  <c r="L3630" i="2"/>
  <c r="L3632" i="2"/>
  <c r="L3633" i="2"/>
  <c r="L3637" i="2"/>
  <c r="L3638" i="2"/>
  <c r="L3639" i="2"/>
  <c r="L3642" i="2"/>
  <c r="L3645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J88" i="2"/>
  <c r="J712" i="2"/>
  <c r="J1094" i="2"/>
  <c r="J1662" i="2"/>
  <c r="J2406" i="2"/>
  <c r="J2579" i="2"/>
  <c r="J2620" i="2"/>
  <c r="J2742" i="2"/>
  <c r="J2807" i="2"/>
  <c r="J3472" i="2"/>
  <c r="J3508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183" i="2" l="1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L1537" i="2" s="1"/>
  <c r="E264" i="3"/>
  <c r="E263" i="3"/>
  <c r="E262" i="3"/>
  <c r="E261" i="3"/>
  <c r="E260" i="3"/>
  <c r="L1568" i="2" s="1"/>
  <c r="E259" i="3"/>
  <c r="L403" i="2" s="1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E240" i="3"/>
  <c r="E239" i="3"/>
  <c r="E238" i="3"/>
  <c r="E237" i="3"/>
  <c r="L1157" i="2" s="1"/>
  <c r="E236" i="3"/>
  <c r="E235" i="3"/>
  <c r="E234" i="3"/>
  <c r="L1729" i="2" s="1"/>
  <c r="E233" i="3"/>
  <c r="E232" i="3"/>
  <c r="E231" i="3"/>
  <c r="E230" i="3"/>
  <c r="E229" i="3"/>
  <c r="E228" i="3"/>
  <c r="E227" i="3"/>
  <c r="E226" i="3"/>
  <c r="E225" i="3"/>
  <c r="L1645" i="2" s="1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L1737" i="2" s="1"/>
  <c r="E164" i="3"/>
  <c r="L1491" i="2" s="1"/>
  <c r="E163" i="3"/>
  <c r="E162" i="3"/>
  <c r="E161" i="3"/>
  <c r="E160" i="3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E144" i="3"/>
  <c r="L503" i="2" s="1"/>
  <c r="E143" i="3"/>
  <c r="E142" i="3"/>
  <c r="L771" i="2" s="1"/>
  <c r="E141" i="3"/>
  <c r="E140" i="3"/>
  <c r="E139" i="3"/>
  <c r="E138" i="3"/>
  <c r="L2473" i="2" s="1"/>
  <c r="E137" i="3"/>
  <c r="E136" i="3"/>
  <c r="E135" i="3"/>
  <c r="E134" i="3"/>
  <c r="E133" i="3"/>
  <c r="E132" i="3"/>
  <c r="E131" i="3"/>
  <c r="L720" i="2" s="1"/>
  <c r="E130" i="3"/>
  <c r="E128" i="3"/>
  <c r="L1418" i="2" s="1"/>
  <c r="E127" i="3"/>
  <c r="E126" i="3"/>
  <c r="E125" i="3"/>
  <c r="E124" i="3"/>
  <c r="E123" i="3"/>
  <c r="E122" i="3"/>
  <c r="L1322" i="2" s="1"/>
  <c r="E121" i="3"/>
  <c r="E120" i="3"/>
  <c r="E119" i="3"/>
  <c r="E118" i="3"/>
  <c r="E117" i="3"/>
  <c r="E116" i="3"/>
  <c r="E115" i="3"/>
  <c r="E114" i="3"/>
  <c r="E113" i="3"/>
  <c r="L2205" i="2" s="1"/>
  <c r="E112" i="3"/>
  <c r="E111" i="3"/>
  <c r="L1552" i="2" s="1"/>
  <c r="E110" i="3"/>
  <c r="L2228" i="2" s="1"/>
  <c r="E109" i="3"/>
  <c r="E108" i="3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E59" i="3"/>
  <c r="E58" i="3"/>
  <c r="E57" i="3"/>
  <c r="E56" i="3"/>
  <c r="E55" i="3"/>
  <c r="E54" i="3"/>
  <c r="E53" i="3"/>
  <c r="L985" i="2" s="1"/>
  <c r="E52" i="3"/>
  <c r="E51" i="3"/>
  <c r="E50" i="3"/>
  <c r="E49" i="3"/>
  <c r="L1140" i="2" s="1"/>
  <c r="E48" i="3"/>
  <c r="L201" i="2" s="1"/>
  <c r="E47" i="3"/>
  <c r="E46" i="3"/>
  <c r="L1700" i="2" s="1"/>
  <c r="E45" i="3"/>
  <c r="L1500" i="2" s="1"/>
  <c r="E44" i="3"/>
  <c r="L2221" i="2" s="1"/>
  <c r="E43" i="3"/>
  <c r="E42" i="3"/>
  <c r="E41" i="3"/>
  <c r="E40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L98" i="2" l="1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<sst xmlns="http://schemas.openxmlformats.org/spreadsheetml/2006/main" count="8922" uniqueCount="1159">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</sst>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0" fillId="0" borderId="0" xfId="3" applyFont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44" fontId="1" fillId="0" borderId="0" xfId="3" applyFon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0" fontId="0" fillId="0" borderId="2" xfId="0" applyBorder="1"/>
    <xf numFmtId="14" fontId="0" fillId="0" borderId="0" xfId="0" applyNumberFormat="1"/>
    <xf numFmtId="0" fontId="0" fillId="0" borderId="2" xfId="0" applyFont="1" applyBorder="1"/>
    <xf numFmtId="0" fontId="1" fillId="0" borderId="0" xfId="1" applyNumberFormat="1"/>
    <xf numFmtId="9" fontId="0" fillId="0" borderId="0" xfId="2" applyNumberFormat="1" applyFont="1"/>
  </cellXfs>
  <cellStyles count="4"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4363" totalsRowShown="0">
  <autoFilter ref="A1:L4363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/>
    <tableColumn id="8" xr3:uid="{AD4C50C1-D850-41A9-B8C8-33301579F41B}" name="Valor total" dataDxfId="14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655" totalsRowShown="0" dataDxfId="9" dataCellStyle="Moeda 2">
  <autoFilter ref="A1:M655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 2"/>
    <tableColumn id="6" xr3:uid="{AA119501-C77E-413B-8909-EB3AB2371A59}" name="Custo total" dataDxfId="6" dataCellStyle="Moeda 2"/>
    <tableColumn id="7" xr3:uid="{1B730929-B1DA-4CEB-A7D8-64B74907632C}" name="Valor médio" dataDxfId="5" dataCellStyle="Moeda 2"/>
    <tableColumn id="8" xr3:uid="{A7B67707-116B-4FF6-A768-2BBF0308C4B4}" name="Desconto" dataDxfId="4" dataCellStyle="Moeda 2"/>
    <tableColumn id="9" xr3:uid="{E5DC52DB-B420-4951-B2FC-126B8C9BCFCE}" name="Frete" dataDxfId="3" dataCellStyle="Moeda 2"/>
    <tableColumn id="10" xr3:uid="{F0A35AA9-59EF-4114-B2D8-1C7C07B2EBBF}" name="Valor total" dataDxfId="2" dataCellStyle="Moeda 2"/>
    <tableColumn id="11" xr3:uid="{A4874C53-38B1-4218-B6E7-9EAEA11E6429}" name="Lucro" dataDxfId="1" dataCellStyle="Moeda 2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4363"/>
  <sheetViews>
    <sheetView tabSelected="1" topLeftCell="C4303" zoomScale="85" zoomScaleNormal="85" workbookViewId="0">
      <selection activeCell="L3" sqref="L3:L436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44140625" style="1" bestFit="1" customWidth="1"/>
    <col min="8" max="8" width="14.6640625" style="1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">
        <v>811.63</v>
      </c>
      <c r="H2" s="1">
        <v>1750</v>
      </c>
      <c r="I2" s="6">
        <f>Tabela1[[#This Row],[Valor total]]-Tabela1[[#This Row],[Valor custo]]</f>
        <v>938.37</v>
      </c>
      <c r="J2" s="7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">
        <v>104.4</v>
      </c>
      <c r="H3" s="1">
        <v>364.6</v>
      </c>
      <c r="I3" s="6">
        <f>Tabela1[[#This Row],[Valor total]]-Tabela1[[#This Row],[Valor custo]]</f>
        <v>260.20000000000005</v>
      </c>
      <c r="J3" s="7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">
        <v>514.45000000000005</v>
      </c>
      <c r="H4" s="1">
        <v>805</v>
      </c>
      <c r="I4" s="6">
        <f>Tabela1[[#This Row],[Valor total]]-Tabela1[[#This Row],[Valor custo]]</f>
        <v>290.54999999999995</v>
      </c>
      <c r="J4" s="7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">
        <v>25.94</v>
      </c>
      <c r="H5" s="1">
        <v>40</v>
      </c>
      <c r="I5" s="6">
        <f>Tabela1[[#This Row],[Valor total]]-Tabela1[[#This Row],[Valor custo]]</f>
        <v>14.059999999999999</v>
      </c>
      <c r="J5" s="7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">
        <v>293.13</v>
      </c>
      <c r="H6" s="1">
        <v>450</v>
      </c>
      <c r="I6" s="6">
        <f>Tabela1[[#This Row],[Valor total]]-Tabela1[[#This Row],[Valor custo]]</f>
        <v>156.87</v>
      </c>
      <c r="J6" s="7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">
        <v>9078.2999999999993</v>
      </c>
      <c r="H7" s="1">
        <v>13375</v>
      </c>
      <c r="I7" s="6">
        <f>Tabela1[[#This Row],[Valor total]]-Tabela1[[#This Row],[Valor custo]]</f>
        <v>4296.7000000000007</v>
      </c>
      <c r="J7" s="7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">
        <v>878.4</v>
      </c>
      <c r="H8" s="1">
        <v>1320</v>
      </c>
      <c r="I8" s="6">
        <f>Tabela1[[#This Row],[Valor total]]-Tabela1[[#This Row],[Valor custo]]</f>
        <v>441.6</v>
      </c>
      <c r="J8" s="7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">
        <v>39.869999999999997</v>
      </c>
      <c r="H9" s="1">
        <v>60</v>
      </c>
      <c r="I9" s="6">
        <f>Tabela1[[#This Row],[Valor total]]-Tabela1[[#This Row],[Valor custo]]</f>
        <v>20.130000000000003</v>
      </c>
      <c r="J9" s="7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">
        <v>857.96</v>
      </c>
      <c r="H10" s="1">
        <v>1700</v>
      </c>
      <c r="I10" s="6">
        <f>Tabela1[[#This Row],[Valor total]]-Tabela1[[#This Row],[Valor custo]]</f>
        <v>842.04</v>
      </c>
      <c r="J10" s="7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">
        <v>1764.47</v>
      </c>
      <c r="H11" s="1">
        <v>2855</v>
      </c>
      <c r="I11" s="6">
        <f>Tabela1[[#This Row],[Valor total]]-Tabela1[[#This Row],[Valor custo]]</f>
        <v>1090.53</v>
      </c>
      <c r="J11" s="7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">
        <v>1187.6600000000001</v>
      </c>
      <c r="H12" s="1">
        <v>2050</v>
      </c>
      <c r="I12" s="6">
        <f>Tabela1[[#This Row],[Valor total]]-Tabela1[[#This Row],[Valor custo]]</f>
        <v>862.33999999999992</v>
      </c>
      <c r="J12" s="7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">
        <v>1317.6</v>
      </c>
      <c r="H13" s="1">
        <v>1935</v>
      </c>
      <c r="I13" s="6">
        <f>Tabela1[[#This Row],[Valor total]]-Tabela1[[#This Row],[Valor custo]]</f>
        <v>617.40000000000009</v>
      </c>
      <c r="J13" s="7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">
        <v>514.45000000000005</v>
      </c>
      <c r="H14" s="1">
        <v>720</v>
      </c>
      <c r="I14" s="6">
        <f>Tabela1[[#This Row],[Valor total]]-Tabela1[[#This Row],[Valor custo]]</f>
        <v>205.54999999999995</v>
      </c>
      <c r="J14" s="7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">
        <v>439.2</v>
      </c>
      <c r="H15" s="1">
        <v>645</v>
      </c>
      <c r="I15" s="6">
        <f>Tabela1[[#This Row],[Valor total]]-Tabela1[[#This Row],[Valor custo]]</f>
        <v>205.8</v>
      </c>
      <c r="J15" s="7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">
        <v>20.88</v>
      </c>
      <c r="H16" s="1">
        <v>90</v>
      </c>
      <c r="I16" s="6">
        <f>Tabela1[[#This Row],[Valor total]]-Tabela1[[#This Row],[Valor custo]]</f>
        <v>69.12</v>
      </c>
      <c r="J16" s="7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">
        <v>514.45000000000005</v>
      </c>
      <c r="H17" s="1">
        <v>741.6</v>
      </c>
      <c r="I17" s="6">
        <f>Tabela1[[#This Row],[Valor total]]-Tabela1[[#This Row],[Valor custo]]</f>
        <v>227.14999999999998</v>
      </c>
      <c r="J17" s="7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">
        <v>514.45000000000005</v>
      </c>
      <c r="H18" s="1">
        <v>720</v>
      </c>
      <c r="I18" s="6">
        <f>Tabela1[[#This Row],[Valor total]]-Tabela1[[#This Row],[Valor custo]]</f>
        <v>205.54999999999995</v>
      </c>
      <c r="J18" s="7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">
        <v>77.819999999999993</v>
      </c>
      <c r="H19" s="1">
        <v>108</v>
      </c>
      <c r="I19" s="6">
        <f>Tabela1[[#This Row],[Valor total]]-Tabela1[[#This Row],[Valor custo]]</f>
        <v>30.180000000000007</v>
      </c>
      <c r="J19" s="7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">
        <v>62.75</v>
      </c>
      <c r="H20" s="1">
        <v>70</v>
      </c>
      <c r="I20" s="6">
        <f>Tabela1[[#This Row],[Valor total]]-Tabela1[[#This Row],[Valor custo]]</f>
        <v>7.25</v>
      </c>
      <c r="J20" s="7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">
        <v>718.57</v>
      </c>
      <c r="H21" s="1">
        <v>1250</v>
      </c>
      <c r="I21" s="6">
        <f>Tabela1[[#This Row],[Valor total]]-Tabela1[[#This Row],[Valor custo]]</f>
        <v>531.42999999999995</v>
      </c>
      <c r="J21" s="7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">
        <v>1594.35</v>
      </c>
      <c r="H22" s="1">
        <v>2355</v>
      </c>
      <c r="I22" s="6">
        <f>Tabela1[[#This Row],[Valor total]]-Tabela1[[#This Row],[Valor custo]]</f>
        <v>760.65000000000009</v>
      </c>
      <c r="J22" s="7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">
        <v>543.6</v>
      </c>
      <c r="H23" s="1">
        <v>970</v>
      </c>
      <c r="I23" s="6">
        <f>Tabela1[[#This Row],[Valor total]]-Tabela1[[#This Row],[Valor custo]]</f>
        <v>426.4</v>
      </c>
      <c r="J23" s="7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">
        <v>52.2</v>
      </c>
      <c r="H24" s="1">
        <v>185</v>
      </c>
      <c r="I24" s="6">
        <f>Tabela1[[#This Row],[Valor total]]-Tabela1[[#This Row],[Valor custo]]</f>
        <v>132.80000000000001</v>
      </c>
      <c r="J24" s="7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">
        <v>903.4</v>
      </c>
      <c r="H25" s="1">
        <v>1270</v>
      </c>
      <c r="I25" s="6">
        <f>Tabela1[[#This Row],[Valor total]]-Tabela1[[#This Row],[Valor custo]]</f>
        <v>366.6</v>
      </c>
      <c r="J25" s="7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">
        <v>514.45000000000005</v>
      </c>
      <c r="H26" s="1">
        <v>720</v>
      </c>
      <c r="I26" s="6">
        <f>Tabela1[[#This Row],[Valor total]]-Tabela1[[#This Row],[Valor custo]]</f>
        <v>205.54999999999995</v>
      </c>
      <c r="J26" s="7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">
        <v>514.45000000000005</v>
      </c>
      <c r="H27" s="1">
        <v>757</v>
      </c>
      <c r="I27" s="6">
        <f>Tabela1[[#This Row],[Valor total]]-Tabela1[[#This Row],[Valor custo]]</f>
        <v>242.54999999999995</v>
      </c>
      <c r="J27" s="7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">
        <v>8607.27</v>
      </c>
      <c r="H28" s="1">
        <v>11600</v>
      </c>
      <c r="I28" s="6">
        <f>Tabela1[[#This Row],[Valor total]]-Tabela1[[#This Row],[Valor custo]]</f>
        <v>2992.7299999999996</v>
      </c>
      <c r="J28" s="7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">
        <v>122.74</v>
      </c>
      <c r="H29" s="1">
        <v>150</v>
      </c>
      <c r="I29" s="6">
        <f>Tabela1[[#This Row],[Valor total]]-Tabela1[[#This Row],[Valor custo]]</f>
        <v>27.260000000000005</v>
      </c>
      <c r="J29" s="7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">
        <v>268.45999999999998</v>
      </c>
      <c r="H30" s="1">
        <v>550</v>
      </c>
      <c r="I30" s="6">
        <f>Tabela1[[#This Row],[Valor total]]-Tabela1[[#This Row],[Valor custo]]</f>
        <v>281.54000000000002</v>
      </c>
      <c r="J30" s="7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">
        <v>1543.35</v>
      </c>
      <c r="H31" s="1">
        <v>2160</v>
      </c>
      <c r="I31" s="6">
        <f>Tabela1[[#This Row],[Valor total]]-Tabela1[[#This Row],[Valor custo]]</f>
        <v>616.65000000000009</v>
      </c>
      <c r="J31" s="7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">
        <v>439.2</v>
      </c>
      <c r="H32" s="1">
        <v>620</v>
      </c>
      <c r="I32" s="6">
        <f>Tabela1[[#This Row],[Valor total]]-Tabela1[[#This Row],[Valor custo]]</f>
        <v>180.8</v>
      </c>
      <c r="J32" s="7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">
        <v>707.23</v>
      </c>
      <c r="H33" s="1">
        <v>1450</v>
      </c>
      <c r="I33" s="6">
        <f>Tabela1[[#This Row],[Valor total]]-Tabela1[[#This Row],[Valor custo]]</f>
        <v>742.77</v>
      </c>
      <c r="J33" s="7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">
        <v>122.74</v>
      </c>
      <c r="H34" s="1">
        <v>170</v>
      </c>
      <c r="I34" s="6">
        <f>Tabela1[[#This Row],[Valor total]]-Tabela1[[#This Row],[Valor custo]]</f>
        <v>47.260000000000005</v>
      </c>
      <c r="J34" s="7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">
        <v>1078.6500000000001</v>
      </c>
      <c r="H35" s="1">
        <v>1585.96</v>
      </c>
      <c r="I35" s="6">
        <f>Tabela1[[#This Row],[Valor total]]-Tabela1[[#This Row],[Valor custo]]</f>
        <v>507.30999999999995</v>
      </c>
      <c r="J35" s="7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">
        <v>11880.42</v>
      </c>
      <c r="H36" s="1">
        <v>16400</v>
      </c>
      <c r="I36" s="6">
        <f>Tabela1[[#This Row],[Valor total]]-Tabela1[[#This Row],[Valor custo]]</f>
        <v>4519.58</v>
      </c>
      <c r="J36" s="7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">
        <v>50</v>
      </c>
      <c r="H37" s="1">
        <v>60</v>
      </c>
      <c r="I37" s="6">
        <f>Tabela1[[#This Row],[Valor total]]-Tabela1[[#This Row],[Valor custo]]</f>
        <v>10</v>
      </c>
      <c r="J37" s="7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">
        <v>1736.13</v>
      </c>
      <c r="H38" s="1">
        <v>2300</v>
      </c>
      <c r="I38" s="6">
        <f>Tabela1[[#This Row],[Valor total]]-Tabela1[[#This Row],[Valor custo]]</f>
        <v>563.86999999999989</v>
      </c>
      <c r="J38" s="7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">
        <v>1106.0899999999999</v>
      </c>
      <c r="H39" s="1">
        <v>1750</v>
      </c>
      <c r="I39" s="6">
        <f>Tabela1[[#This Row],[Valor total]]-Tabela1[[#This Row],[Valor custo]]</f>
        <v>643.91000000000008</v>
      </c>
      <c r="J39" s="7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">
        <v>1025.8699999999999</v>
      </c>
      <c r="H40" s="1">
        <v>1618</v>
      </c>
      <c r="I40" s="6">
        <f>Tabela1[[#This Row],[Valor total]]-Tabela1[[#This Row],[Valor custo]]</f>
        <v>592.13000000000011</v>
      </c>
      <c r="J40" s="7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">
        <v>593.83000000000004</v>
      </c>
      <c r="H41" s="1">
        <v>945</v>
      </c>
      <c r="I41" s="6">
        <f>Tabela1[[#This Row],[Valor total]]-Tabela1[[#This Row],[Valor custo]]</f>
        <v>351.16999999999996</v>
      </c>
      <c r="J41" s="7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">
        <v>291</v>
      </c>
      <c r="H42" s="1">
        <v>375</v>
      </c>
      <c r="I42" s="6">
        <f>Tabela1[[#This Row],[Valor total]]-Tabela1[[#This Row],[Valor custo]]</f>
        <v>84</v>
      </c>
      <c r="J42" s="7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">
        <v>4351.8999999999996</v>
      </c>
      <c r="H43" s="1">
        <v>8328</v>
      </c>
      <c r="I43" s="6">
        <f>Tabela1[[#This Row],[Valor total]]-Tabela1[[#This Row],[Valor custo]]</f>
        <v>3976.1000000000004</v>
      </c>
      <c r="J43" s="7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">
        <v>293.13</v>
      </c>
      <c r="H44" s="1">
        <v>400</v>
      </c>
      <c r="I44" s="6">
        <f>Tabela1[[#This Row],[Valor total]]-Tabela1[[#This Row],[Valor custo]]</f>
        <v>106.87</v>
      </c>
      <c r="J44" s="7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">
        <v>5378.45</v>
      </c>
      <c r="H45" s="1">
        <v>8000</v>
      </c>
      <c r="I45" s="6">
        <f>Tabela1[[#This Row],[Valor total]]-Tabela1[[#This Row],[Valor custo]]</f>
        <v>2621.55</v>
      </c>
      <c r="J45" s="7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">
        <v>782.91</v>
      </c>
      <c r="H46" s="1">
        <v>1160</v>
      </c>
      <c r="I46" s="6">
        <f>Tabela1[[#This Row],[Valor total]]-Tabela1[[#This Row],[Valor custo]]</f>
        <v>377.09000000000003</v>
      </c>
      <c r="J46" s="7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">
        <v>593.83000000000004</v>
      </c>
      <c r="H47" s="1">
        <v>960</v>
      </c>
      <c r="I47" s="6">
        <f>Tabela1[[#This Row],[Valor total]]-Tabela1[[#This Row],[Valor custo]]</f>
        <v>366.16999999999996</v>
      </c>
      <c r="J47" s="7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">
        <v>57.04</v>
      </c>
      <c r="H48" s="1">
        <v>89</v>
      </c>
      <c r="I48" s="6">
        <f>Tabela1[[#This Row],[Valor total]]-Tabela1[[#This Row],[Valor custo]]</f>
        <v>31.96</v>
      </c>
      <c r="J48" s="7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">
        <v>540.99</v>
      </c>
      <c r="H49" s="1">
        <v>850</v>
      </c>
      <c r="I49" s="6">
        <f>Tabela1[[#This Row],[Valor total]]-Tabela1[[#This Row],[Valor custo]]</f>
        <v>309.01</v>
      </c>
      <c r="J49" s="7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">
        <v>4975.2</v>
      </c>
      <c r="H50" s="1">
        <v>6965</v>
      </c>
      <c r="I50" s="6">
        <f>Tabela1[[#This Row],[Valor total]]-Tabela1[[#This Row],[Valor custo]]</f>
        <v>1989.8000000000002</v>
      </c>
      <c r="J50" s="7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">
        <v>878.4</v>
      </c>
      <c r="H51" s="1">
        <v>1290</v>
      </c>
      <c r="I51" s="6">
        <f>Tabela1[[#This Row],[Valor total]]-Tabela1[[#This Row],[Valor custo]]</f>
        <v>411.6</v>
      </c>
      <c r="J51" s="7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">
        <v>230</v>
      </c>
      <c r="H52" s="1">
        <v>460</v>
      </c>
      <c r="I52" s="6">
        <f>Tabela1[[#This Row],[Valor total]]-Tabela1[[#This Row],[Valor custo]]</f>
        <v>230</v>
      </c>
      <c r="J52" s="7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">
        <v>300</v>
      </c>
      <c r="H53" s="1">
        <v>840</v>
      </c>
      <c r="I53" s="6">
        <f>Tabela1[[#This Row],[Valor total]]-Tabela1[[#This Row],[Valor custo]]</f>
        <v>540</v>
      </c>
      <c r="J53" s="7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">
        <v>878.4</v>
      </c>
      <c r="H54" s="1">
        <v>1290</v>
      </c>
      <c r="I54" s="6">
        <f>Tabela1[[#This Row],[Valor total]]-Tabela1[[#This Row],[Valor custo]]</f>
        <v>411.6</v>
      </c>
      <c r="J54" s="7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">
        <v>68.45</v>
      </c>
      <c r="H55" s="1">
        <v>450</v>
      </c>
      <c r="I55" s="6">
        <f>Tabela1[[#This Row],[Valor total]]-Tabela1[[#This Row],[Valor custo]]</f>
        <v>381.55</v>
      </c>
      <c r="J55" s="7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">
        <v>368.22</v>
      </c>
      <c r="H56" s="1">
        <v>510</v>
      </c>
      <c r="I56" s="6">
        <f>Tabela1[[#This Row],[Valor total]]-Tabela1[[#This Row],[Valor custo]]</f>
        <v>141.77999999999997</v>
      </c>
      <c r="J56" s="7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">
        <v>953.65</v>
      </c>
      <c r="H57" s="1">
        <v>1365</v>
      </c>
      <c r="I57" s="6">
        <f>Tabela1[[#This Row],[Valor total]]-Tabela1[[#This Row],[Valor custo]]</f>
        <v>411.35</v>
      </c>
      <c r="J57" s="7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">
        <v>1317.6</v>
      </c>
      <c r="H58" s="1">
        <v>1935</v>
      </c>
      <c r="I58" s="6">
        <f>Tabela1[[#This Row],[Valor total]]-Tabela1[[#This Row],[Valor custo]]</f>
        <v>617.40000000000009</v>
      </c>
      <c r="J58" s="7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">
        <v>1468.1</v>
      </c>
      <c r="H59" s="1">
        <v>2085</v>
      </c>
      <c r="I59" s="6">
        <f>Tabela1[[#This Row],[Valor total]]-Tabela1[[#This Row],[Valor custo]]</f>
        <v>616.90000000000009</v>
      </c>
      <c r="J59" s="7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">
        <v>4392</v>
      </c>
      <c r="H60" s="1">
        <v>5800</v>
      </c>
      <c r="I60" s="6">
        <f>Tabela1[[#This Row],[Valor total]]-Tabela1[[#This Row],[Valor custo]]</f>
        <v>1408</v>
      </c>
      <c r="J60" s="7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">
        <v>1472.23</v>
      </c>
      <c r="H61" s="1">
        <v>2235</v>
      </c>
      <c r="I61" s="6">
        <f>Tabela1[[#This Row],[Valor total]]-Tabela1[[#This Row],[Valor custo]]</f>
        <v>762.77</v>
      </c>
      <c r="J61" s="7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">
        <v>183</v>
      </c>
      <c r="H62" s="1">
        <v>445</v>
      </c>
      <c r="I62" s="6">
        <f>Tabela1[[#This Row],[Valor total]]-Tabela1[[#This Row],[Valor custo]]</f>
        <v>262</v>
      </c>
      <c r="J62" s="7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">
        <v>878.4</v>
      </c>
      <c r="H63" s="1">
        <v>1280</v>
      </c>
      <c r="I63" s="6">
        <f>Tabela1[[#This Row],[Valor total]]-Tabela1[[#This Row],[Valor custo]]</f>
        <v>401.6</v>
      </c>
      <c r="J63" s="7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">
        <v>548.47</v>
      </c>
      <c r="H64" s="1">
        <v>195</v>
      </c>
      <c r="I64" s="6">
        <f>Tabela1[[#This Row],[Valor total]]-Tabela1[[#This Row],[Valor custo]]</f>
        <v>-353.47</v>
      </c>
      <c r="J64" s="7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">
        <v>251</v>
      </c>
      <c r="H65" s="1">
        <v>280</v>
      </c>
      <c r="I65" s="6">
        <f>Tabela1[[#This Row],[Valor total]]-Tabela1[[#This Row],[Valor custo]]</f>
        <v>29</v>
      </c>
      <c r="J65" s="7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">
        <v>531.45000000000005</v>
      </c>
      <c r="H66" s="1">
        <v>785</v>
      </c>
      <c r="I66" s="6">
        <f>Tabela1[[#This Row],[Valor total]]-Tabela1[[#This Row],[Valor custo]]</f>
        <v>253.54999999999995</v>
      </c>
      <c r="J66" s="7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">
        <v>268.45999999999998</v>
      </c>
      <c r="H67" s="1">
        <v>520</v>
      </c>
      <c r="I67" s="6">
        <f>Tabela1[[#This Row],[Valor total]]-Tabela1[[#This Row],[Valor custo]]</f>
        <v>251.54000000000002</v>
      </c>
      <c r="J67" s="7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">
        <v>150</v>
      </c>
      <c r="H68" s="1">
        <v>530</v>
      </c>
      <c r="I68" s="6">
        <f>Tabela1[[#This Row],[Valor total]]-Tabela1[[#This Row],[Valor custo]]</f>
        <v>380</v>
      </c>
      <c r="J68" s="7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">
        <v>5510.27</v>
      </c>
      <c r="H69" s="1">
        <v>7700</v>
      </c>
      <c r="I69" s="6">
        <f>Tabela1[[#This Row],[Valor total]]-Tabela1[[#This Row],[Valor custo]]</f>
        <v>2189.7299999999996</v>
      </c>
      <c r="J69" s="7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">
        <v>5258.76</v>
      </c>
      <c r="H70" s="1">
        <v>7000</v>
      </c>
      <c r="I70" s="6">
        <f>Tabela1[[#This Row],[Valor total]]-Tabela1[[#This Row],[Valor custo]]</f>
        <v>1741.2399999999998</v>
      </c>
      <c r="J70" s="7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">
        <v>472.2</v>
      </c>
      <c r="H71" s="1">
        <v>795</v>
      </c>
      <c r="I71" s="6">
        <f>Tabela1[[#This Row],[Valor total]]-Tabela1[[#This Row],[Valor custo]]</f>
        <v>322.8</v>
      </c>
      <c r="J71" s="7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">
        <v>5234.16</v>
      </c>
      <c r="H72" s="1">
        <v>7520</v>
      </c>
      <c r="I72" s="6">
        <f>Tabela1[[#This Row],[Valor total]]-Tabela1[[#This Row],[Valor custo]]</f>
        <v>2285.84</v>
      </c>
      <c r="J72" s="7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">
        <v>1123.75</v>
      </c>
      <c r="H73" s="1">
        <v>1895</v>
      </c>
      <c r="I73" s="6">
        <f>Tabela1[[#This Row],[Valor total]]-Tabela1[[#This Row],[Valor custo]]</f>
        <v>771.25</v>
      </c>
      <c r="J73" s="7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">
        <v>586.26</v>
      </c>
      <c r="H74" s="1">
        <v>950</v>
      </c>
      <c r="I74" s="6">
        <f>Tabela1[[#This Row],[Valor total]]-Tabela1[[#This Row],[Valor custo]]</f>
        <v>363.74</v>
      </c>
      <c r="J74" s="7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">
        <v>593.83000000000004</v>
      </c>
      <c r="H75" s="1">
        <v>945</v>
      </c>
      <c r="I75" s="6">
        <f>Tabela1[[#This Row],[Valor total]]-Tabela1[[#This Row],[Valor custo]]</f>
        <v>351.16999999999996</v>
      </c>
      <c r="J75" s="7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">
        <v>529.20000000000005</v>
      </c>
      <c r="H76" s="1">
        <v>1045</v>
      </c>
      <c r="I76" s="6">
        <f>Tabela1[[#This Row],[Valor total]]-Tabela1[[#This Row],[Valor custo]]</f>
        <v>515.79999999999995</v>
      </c>
      <c r="J76" s="7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">
        <v>784.55</v>
      </c>
      <c r="H77" s="1">
        <v>1414.9</v>
      </c>
      <c r="I77" s="6">
        <f>Tabela1[[#This Row],[Valor total]]-Tabela1[[#This Row],[Valor custo]]</f>
        <v>630.35000000000014</v>
      </c>
      <c r="J77" s="7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">
        <v>100.64</v>
      </c>
      <c r="H78" s="1">
        <v>380</v>
      </c>
      <c r="I78" s="6">
        <f>Tabela1[[#This Row],[Valor total]]-Tabela1[[#This Row],[Valor custo]]</f>
        <v>279.36</v>
      </c>
      <c r="J78" s="7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">
        <v>439.2</v>
      </c>
      <c r="H79" s="1">
        <v>645</v>
      </c>
      <c r="I79" s="6">
        <f>Tabela1[[#This Row],[Valor total]]-Tabela1[[#This Row],[Valor custo]]</f>
        <v>205.8</v>
      </c>
      <c r="J79" s="7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">
        <v>4621.6000000000004</v>
      </c>
      <c r="H80" s="1">
        <v>6350</v>
      </c>
      <c r="I80" s="6">
        <f>Tabela1[[#This Row],[Valor total]]-Tabela1[[#This Row],[Valor custo]]</f>
        <v>1728.3999999999996</v>
      </c>
      <c r="J80" s="7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">
        <v>268.45999999999998</v>
      </c>
      <c r="H81" s="1">
        <v>550</v>
      </c>
      <c r="I81" s="6">
        <f>Tabela1[[#This Row],[Valor total]]-Tabela1[[#This Row],[Valor custo]]</f>
        <v>281.54000000000002</v>
      </c>
      <c r="J81" s="7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">
        <v>122.74</v>
      </c>
      <c r="H82" s="1">
        <v>170</v>
      </c>
      <c r="I82" s="6">
        <f>Tabela1[[#This Row],[Valor total]]-Tabela1[[#This Row],[Valor custo]]</f>
        <v>47.260000000000005</v>
      </c>
      <c r="J82" s="7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">
        <v>293.13</v>
      </c>
      <c r="H83" s="1">
        <v>370</v>
      </c>
      <c r="I83" s="6">
        <f>Tabela1[[#This Row],[Valor total]]-Tabela1[[#This Row],[Valor custo]]</f>
        <v>76.87</v>
      </c>
      <c r="J83" s="7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">
        <v>122.74</v>
      </c>
      <c r="H84" s="1">
        <v>180</v>
      </c>
      <c r="I84" s="6">
        <f>Tabela1[[#This Row],[Valor total]]-Tabela1[[#This Row],[Valor custo]]</f>
        <v>57.260000000000005</v>
      </c>
      <c r="J84" s="7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">
        <v>2196</v>
      </c>
      <c r="H85" s="1">
        <v>3200</v>
      </c>
      <c r="I85" s="6">
        <f>Tabela1[[#This Row],[Valor total]]-Tabela1[[#This Row],[Valor custo]]</f>
        <v>1004</v>
      </c>
      <c r="J85" s="7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">
        <v>593.83000000000004</v>
      </c>
      <c r="H86" s="1">
        <v>945</v>
      </c>
      <c r="I86" s="6">
        <f>Tabela1[[#This Row],[Valor total]]-Tabela1[[#This Row],[Valor custo]]</f>
        <v>351.16999999999996</v>
      </c>
      <c r="J86" s="7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">
        <v>594.98</v>
      </c>
      <c r="H87" s="1">
        <v>878</v>
      </c>
      <c r="I87" s="6">
        <f>Tabela1[[#This Row],[Valor total]]-Tabela1[[#This Row],[Valor custo]]</f>
        <v>283.02</v>
      </c>
      <c r="J87" s="7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">
        <v>530.58000000000004</v>
      </c>
      <c r="H88" s="1">
        <v>645</v>
      </c>
      <c r="I88" s="6">
        <f>Tabela1[[#This Row],[Valor total]]-Tabela1[[#This Row],[Valor custo]]</f>
        <v>114.41999999999996</v>
      </c>
      <c r="J88" s="7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">
        <v>4098.7</v>
      </c>
      <c r="H89" s="1">
        <v>5850</v>
      </c>
      <c r="I89" s="6">
        <f>Tabela1[[#This Row],[Valor total]]-Tabela1[[#This Row],[Valor custo]]</f>
        <v>1751.3000000000002</v>
      </c>
      <c r="J89" s="7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">
        <v>41</v>
      </c>
      <c r="H90" s="1">
        <v>75</v>
      </c>
      <c r="I90" s="6">
        <f>Tabela1[[#This Row],[Valor total]]-Tabela1[[#This Row],[Valor custo]]</f>
        <v>34</v>
      </c>
      <c r="J90" s="7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">
        <v>593.83000000000004</v>
      </c>
      <c r="H91" s="1">
        <v>900</v>
      </c>
      <c r="I91" s="6">
        <f>Tabela1[[#This Row],[Valor total]]-Tabela1[[#This Row],[Valor custo]]</f>
        <v>306.16999999999996</v>
      </c>
      <c r="J91" s="7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">
        <v>718.57</v>
      </c>
      <c r="H92" s="1">
        <v>1250</v>
      </c>
      <c r="I92" s="6">
        <f>Tabela1[[#This Row],[Valor total]]-Tabela1[[#This Row],[Valor custo]]</f>
        <v>531.42999999999995</v>
      </c>
      <c r="J92" s="7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">
        <v>953.65</v>
      </c>
      <c r="H93" s="1">
        <v>1165</v>
      </c>
      <c r="I93" s="6">
        <f>Tabela1[[#This Row],[Valor total]]-Tabela1[[#This Row],[Valor custo]]</f>
        <v>211.35000000000002</v>
      </c>
      <c r="J93" s="7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">
        <v>293.13</v>
      </c>
      <c r="H94" s="1">
        <v>500</v>
      </c>
      <c r="I94" s="6">
        <f>Tabela1[[#This Row],[Valor total]]-Tabela1[[#This Row],[Valor custo]]</f>
        <v>206.87</v>
      </c>
      <c r="J94" s="7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">
        <v>2002.15</v>
      </c>
      <c r="H95" s="1">
        <v>3089.45</v>
      </c>
      <c r="I95" s="6">
        <f>Tabela1[[#This Row],[Valor total]]-Tabela1[[#This Row],[Valor custo]]</f>
        <v>1087.2999999999997</v>
      </c>
      <c r="J95" s="7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">
        <v>25</v>
      </c>
      <c r="H96" s="1">
        <v>30</v>
      </c>
      <c r="I96" s="6">
        <f>Tabela1[[#This Row],[Valor total]]-Tabela1[[#This Row],[Valor custo]]</f>
        <v>5</v>
      </c>
      <c r="J96" s="7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">
        <v>5221.3999999999996</v>
      </c>
      <c r="H97" s="1">
        <v>7391.4</v>
      </c>
      <c r="I97" s="6">
        <f>Tabela1[[#This Row],[Valor total]]-Tabela1[[#This Row],[Valor custo]]</f>
        <v>2170</v>
      </c>
      <c r="J97" s="7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">
        <v>439.2</v>
      </c>
      <c r="H98" s="1">
        <v>645</v>
      </c>
      <c r="I98" s="6">
        <f>Tabela1[[#This Row],[Valor total]]-Tabela1[[#This Row],[Valor custo]]</f>
        <v>205.8</v>
      </c>
      <c r="J98" s="7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">
        <v>1095.1099999999999</v>
      </c>
      <c r="H99" s="1">
        <v>1550</v>
      </c>
      <c r="I99" s="6">
        <f>Tabela1[[#This Row],[Valor total]]-Tabela1[[#This Row],[Valor custo]]</f>
        <v>454.8900000000001</v>
      </c>
      <c r="J99" s="7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">
        <v>122.74</v>
      </c>
      <c r="H100" s="1">
        <v>170</v>
      </c>
      <c r="I100" s="6">
        <f>Tabela1[[#This Row],[Valor total]]-Tabela1[[#This Row],[Valor custo]]</f>
        <v>47.260000000000005</v>
      </c>
      <c r="J100" s="7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">
        <v>0</v>
      </c>
      <c r="H101" s="1">
        <v>750</v>
      </c>
      <c r="I101" s="6">
        <f>Tabela1[[#This Row],[Valor total]]-Tabela1[[#This Row],[Valor custo]]</f>
        <v>750</v>
      </c>
      <c r="J101" s="7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">
        <v>20.88</v>
      </c>
      <c r="H102" s="1">
        <v>80</v>
      </c>
      <c r="I102" s="6">
        <f>Tabela1[[#This Row],[Valor total]]-Tabela1[[#This Row],[Valor custo]]</f>
        <v>59.120000000000005</v>
      </c>
      <c r="J102" s="7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">
        <v>514.45000000000005</v>
      </c>
      <c r="H103" s="1">
        <v>725</v>
      </c>
      <c r="I103" s="6">
        <f>Tabela1[[#This Row],[Valor total]]-Tabela1[[#This Row],[Valor custo]]</f>
        <v>210.54999999999995</v>
      </c>
      <c r="J103" s="7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">
        <v>7151.68</v>
      </c>
      <c r="H104" s="1">
        <v>10670</v>
      </c>
      <c r="I104" s="6">
        <f>Tabela1[[#This Row],[Valor total]]-Tabela1[[#This Row],[Valor custo]]</f>
        <v>3518.3199999999997</v>
      </c>
      <c r="J104" s="7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">
        <v>514.45000000000005</v>
      </c>
      <c r="H105" s="1">
        <v>720</v>
      </c>
      <c r="I105" s="6">
        <f>Tabela1[[#This Row],[Valor total]]-Tabela1[[#This Row],[Valor custo]]</f>
        <v>205.54999999999995</v>
      </c>
      <c r="J105" s="7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">
        <v>439.2</v>
      </c>
      <c r="H106" s="1">
        <v>645</v>
      </c>
      <c r="I106" s="6">
        <f>Tabela1[[#This Row],[Valor total]]-Tabela1[[#This Row],[Valor custo]]</f>
        <v>205.8</v>
      </c>
      <c r="J106" s="7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">
        <v>878.4</v>
      </c>
      <c r="H107" s="1">
        <v>1290</v>
      </c>
      <c r="I107" s="6">
        <f>Tabela1[[#This Row],[Valor total]]-Tabela1[[#This Row],[Valor custo]]</f>
        <v>411.6</v>
      </c>
      <c r="J107" s="7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">
        <v>545.14</v>
      </c>
      <c r="H108" s="1">
        <v>905</v>
      </c>
      <c r="I108" s="6">
        <f>Tabela1[[#This Row],[Valor total]]-Tabela1[[#This Row],[Valor custo]]</f>
        <v>359.86</v>
      </c>
      <c r="J108" s="7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">
        <v>1969.77</v>
      </c>
      <c r="H109" s="1">
        <v>3370</v>
      </c>
      <c r="I109" s="6">
        <f>Tabela1[[#This Row],[Valor total]]-Tabela1[[#This Row],[Valor custo]]</f>
        <v>1400.23</v>
      </c>
      <c r="J109" s="7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">
        <v>931.45</v>
      </c>
      <c r="H110" s="1">
        <v>1385</v>
      </c>
      <c r="I110" s="6">
        <f>Tabela1[[#This Row],[Valor total]]-Tabela1[[#This Row],[Valor custo]]</f>
        <v>453.54999999999995</v>
      </c>
      <c r="J110" s="7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">
        <v>2057.8000000000002</v>
      </c>
      <c r="H111" s="1">
        <v>2880</v>
      </c>
      <c r="I111" s="6">
        <f>Tabela1[[#This Row],[Valor total]]-Tabela1[[#This Row],[Valor custo]]</f>
        <v>822.19999999999982</v>
      </c>
      <c r="J111" s="7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">
        <v>878.4</v>
      </c>
      <c r="H112" s="1">
        <v>1290</v>
      </c>
      <c r="I112" s="6">
        <f>Tabela1[[#This Row],[Valor total]]-Tabela1[[#This Row],[Valor custo]]</f>
        <v>411.6</v>
      </c>
      <c r="J112" s="7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">
        <v>400</v>
      </c>
      <c r="H113" s="1">
        <v>600</v>
      </c>
      <c r="I113" s="6">
        <f>Tabela1[[#This Row],[Valor total]]-Tabela1[[#This Row],[Valor custo]]</f>
        <v>200</v>
      </c>
      <c r="J113" s="7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">
        <v>894</v>
      </c>
      <c r="H114" s="1">
        <v>1240</v>
      </c>
      <c r="I114" s="6">
        <f>Tabela1[[#This Row],[Valor total]]-Tabela1[[#This Row],[Valor custo]]</f>
        <v>346</v>
      </c>
      <c r="J114" s="7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">
        <v>4118.7</v>
      </c>
      <c r="H115" s="1">
        <v>5832</v>
      </c>
      <c r="I115" s="6">
        <f>Tabela1[[#This Row],[Valor total]]-Tabela1[[#This Row],[Valor custo]]</f>
        <v>1713.3000000000002</v>
      </c>
      <c r="J115" s="7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">
        <v>1157</v>
      </c>
      <c r="H116" s="1">
        <v>1870</v>
      </c>
      <c r="I116" s="6">
        <f>Tabela1[[#This Row],[Valor total]]-Tabela1[[#This Row],[Valor custo]]</f>
        <v>713</v>
      </c>
      <c r="J116" s="7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">
        <v>166</v>
      </c>
      <c r="H117" s="1">
        <v>200</v>
      </c>
      <c r="I117" s="6">
        <f>Tabela1[[#This Row],[Valor total]]-Tabela1[[#This Row],[Valor custo]]</f>
        <v>34</v>
      </c>
      <c r="J117" s="7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">
        <v>88.45</v>
      </c>
      <c r="H118" s="1">
        <v>300</v>
      </c>
      <c r="I118" s="6">
        <f>Tabela1[[#This Row],[Valor total]]-Tabela1[[#This Row],[Valor custo]]</f>
        <v>211.55</v>
      </c>
      <c r="J118" s="7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">
        <v>4098.7</v>
      </c>
      <c r="H119" s="1">
        <v>5800</v>
      </c>
      <c r="I119" s="6">
        <f>Tabela1[[#This Row],[Valor total]]-Tabela1[[#This Row],[Valor custo]]</f>
        <v>1701.3000000000002</v>
      </c>
      <c r="J119" s="7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">
        <v>1604</v>
      </c>
      <c r="H120" s="1">
        <v>2540</v>
      </c>
      <c r="I120" s="6">
        <f>Tabela1[[#This Row],[Valor total]]-Tabela1[[#This Row],[Valor custo]]</f>
        <v>936</v>
      </c>
      <c r="J120" s="7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">
        <v>1539</v>
      </c>
      <c r="H121" s="1">
        <v>2475</v>
      </c>
      <c r="I121" s="6">
        <f>Tabela1[[#This Row],[Valor total]]-Tabela1[[#This Row],[Valor custo]]</f>
        <v>936</v>
      </c>
      <c r="J121" s="7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">
        <v>514.45000000000005</v>
      </c>
      <c r="H122" s="1">
        <v>720</v>
      </c>
      <c r="I122" s="6">
        <f>Tabela1[[#This Row],[Valor total]]-Tabela1[[#This Row],[Valor custo]]</f>
        <v>205.54999999999995</v>
      </c>
      <c r="J122" s="7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">
        <v>10973.64</v>
      </c>
      <c r="H123" s="1">
        <v>15500</v>
      </c>
      <c r="I123" s="6">
        <f>Tabela1[[#This Row],[Valor total]]-Tabela1[[#This Row],[Valor custo]]</f>
        <v>4526.3600000000006</v>
      </c>
      <c r="J123" s="7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">
        <v>1028.9000000000001</v>
      </c>
      <c r="H124" s="1">
        <v>1440</v>
      </c>
      <c r="I124" s="6">
        <f>Tabela1[[#This Row],[Valor total]]-Tabela1[[#This Row],[Valor custo]]</f>
        <v>411.09999999999991</v>
      </c>
      <c r="J124" s="7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">
        <v>439.2</v>
      </c>
      <c r="H125" s="1">
        <v>645</v>
      </c>
      <c r="I125" s="6">
        <f>Tabela1[[#This Row],[Valor total]]-Tabela1[[#This Row],[Valor custo]]</f>
        <v>205.8</v>
      </c>
      <c r="J125" s="7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">
        <v>107.13</v>
      </c>
      <c r="H126" s="1">
        <v>280</v>
      </c>
      <c r="I126" s="6">
        <f>Tabela1[[#This Row],[Valor total]]-Tabela1[[#This Row],[Valor custo]]</f>
        <v>172.87</v>
      </c>
      <c r="J126" s="7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">
        <v>3814.6</v>
      </c>
      <c r="H127" s="1">
        <v>5240</v>
      </c>
      <c r="I127" s="6">
        <f>Tabela1[[#This Row],[Valor total]]-Tabela1[[#This Row],[Valor custo]]</f>
        <v>1425.4</v>
      </c>
      <c r="J127" s="7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">
        <v>4098.7</v>
      </c>
      <c r="H128" s="1">
        <v>5800</v>
      </c>
      <c r="I128" s="6">
        <f>Tabela1[[#This Row],[Valor total]]-Tabela1[[#This Row],[Valor custo]]</f>
        <v>1701.3000000000002</v>
      </c>
      <c r="J128" s="7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">
        <v>2833.03</v>
      </c>
      <c r="H129" s="1">
        <v>4300</v>
      </c>
      <c r="I129" s="6">
        <f>Tabela1[[#This Row],[Valor total]]-Tabela1[[#This Row],[Valor custo]]</f>
        <v>1466.9699999999998</v>
      </c>
      <c r="J129" s="7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">
        <v>1324.28</v>
      </c>
      <c r="H130" s="1">
        <v>1596</v>
      </c>
      <c r="I130" s="6">
        <f>Tabela1[[#This Row],[Valor total]]-Tabela1[[#This Row],[Valor custo]]</f>
        <v>271.72000000000003</v>
      </c>
      <c r="J130" s="7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">
        <v>3426.9</v>
      </c>
      <c r="H131" s="1">
        <v>5037</v>
      </c>
      <c r="I131" s="6">
        <f>Tabela1[[#This Row],[Valor total]]-Tabela1[[#This Row],[Valor custo]]</f>
        <v>1610.1</v>
      </c>
      <c r="J131" s="7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">
        <v>514.45000000000005</v>
      </c>
      <c r="H132" s="1">
        <v>720</v>
      </c>
      <c r="I132" s="6">
        <f>Tabela1[[#This Row],[Valor total]]-Tabela1[[#This Row],[Valor custo]]</f>
        <v>205.54999999999995</v>
      </c>
      <c r="J132" s="7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">
        <v>1028.9000000000001</v>
      </c>
      <c r="H133" s="1">
        <v>1440</v>
      </c>
      <c r="I133" s="6">
        <f>Tabela1[[#This Row],[Valor total]]-Tabela1[[#This Row],[Valor custo]]</f>
        <v>411.09999999999991</v>
      </c>
      <c r="J133" s="7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">
        <v>878.4</v>
      </c>
      <c r="H134" s="1">
        <v>1290</v>
      </c>
      <c r="I134" s="6">
        <f>Tabela1[[#This Row],[Valor total]]-Tabela1[[#This Row],[Valor custo]]</f>
        <v>411.6</v>
      </c>
      <c r="J134" s="7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">
        <v>2076.33</v>
      </c>
      <c r="H135" s="1">
        <v>3950</v>
      </c>
      <c r="I135" s="6">
        <f>Tabela1[[#This Row],[Valor total]]-Tabela1[[#This Row],[Valor custo]]</f>
        <v>1873.67</v>
      </c>
      <c r="J135" s="7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">
        <v>25</v>
      </c>
      <c r="H136" s="1">
        <v>30</v>
      </c>
      <c r="I136" s="6">
        <f>Tabela1[[#This Row],[Valor total]]-Tabela1[[#This Row],[Valor custo]]</f>
        <v>5</v>
      </c>
      <c r="J136" s="7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">
        <v>2371.1</v>
      </c>
      <c r="H137" s="1">
        <v>2655.8</v>
      </c>
      <c r="I137" s="6">
        <f>Tabela1[[#This Row],[Valor total]]-Tabela1[[#This Row],[Valor custo]]</f>
        <v>284.70000000000027</v>
      </c>
      <c r="J137" s="7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">
        <v>268.45999999999998</v>
      </c>
      <c r="H138" s="1">
        <v>520</v>
      </c>
      <c r="I138" s="6">
        <f>Tabela1[[#This Row],[Valor total]]-Tabela1[[#This Row],[Valor custo]]</f>
        <v>251.54000000000002</v>
      </c>
      <c r="J138" s="7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">
        <v>514.45000000000005</v>
      </c>
      <c r="H139" s="1">
        <v>720</v>
      </c>
      <c r="I139" s="6">
        <f>Tabela1[[#This Row],[Valor total]]-Tabela1[[#This Row],[Valor custo]]</f>
        <v>205.54999999999995</v>
      </c>
      <c r="J139" s="7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">
        <v>268.45999999999998</v>
      </c>
      <c r="H140" s="1">
        <v>500</v>
      </c>
      <c r="I140" s="6">
        <f>Tabela1[[#This Row],[Valor total]]-Tabela1[[#This Row],[Valor custo]]</f>
        <v>231.54000000000002</v>
      </c>
      <c r="J140" s="7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">
        <v>880.39</v>
      </c>
      <c r="H141" s="1">
        <v>1599.4</v>
      </c>
      <c r="I141" s="6">
        <f>Tabela1[[#This Row],[Valor total]]-Tabela1[[#This Row],[Valor custo]]</f>
        <v>719.0100000000001</v>
      </c>
      <c r="J141" s="7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">
        <v>4847.3</v>
      </c>
      <c r="H142" s="1">
        <v>6645</v>
      </c>
      <c r="I142" s="6">
        <f>Tabela1[[#This Row],[Valor total]]-Tabela1[[#This Row],[Valor custo]]</f>
        <v>1797.6999999999998</v>
      </c>
      <c r="J142" s="7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">
        <v>17027.009999999998</v>
      </c>
      <c r="H143" s="1">
        <v>19164.599999999999</v>
      </c>
      <c r="I143" s="6">
        <f>Tabela1[[#This Row],[Valor total]]-Tabela1[[#This Row],[Valor custo]]</f>
        <v>2137.59</v>
      </c>
      <c r="J143" s="7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">
        <v>1713.45</v>
      </c>
      <c r="H144" s="1">
        <v>2650</v>
      </c>
      <c r="I144" s="6">
        <f>Tabela1[[#This Row],[Valor total]]-Tabela1[[#This Row],[Valor custo]]</f>
        <v>936.55</v>
      </c>
      <c r="J144" s="7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">
        <v>531.45000000000005</v>
      </c>
      <c r="H145" s="1">
        <v>800</v>
      </c>
      <c r="I145" s="6">
        <f>Tabela1[[#This Row],[Valor total]]-Tabela1[[#This Row],[Valor custo]]</f>
        <v>268.54999999999995</v>
      </c>
      <c r="J145" s="7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">
        <v>911.35</v>
      </c>
      <c r="H146" s="1">
        <v>1802.5</v>
      </c>
      <c r="I146" s="6">
        <f>Tabela1[[#This Row],[Valor total]]-Tabela1[[#This Row],[Valor custo]]</f>
        <v>891.15</v>
      </c>
      <c r="J146" s="7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">
        <v>202.82</v>
      </c>
      <c r="H147" s="1">
        <v>269.39999999999998</v>
      </c>
      <c r="I147" s="6">
        <f>Tabela1[[#This Row],[Valor total]]-Tabela1[[#This Row],[Valor custo]]</f>
        <v>66.579999999999984</v>
      </c>
      <c r="J147" s="7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">
        <v>2814.08</v>
      </c>
      <c r="H148" s="1">
        <v>4100</v>
      </c>
      <c r="I148" s="6">
        <f>Tabela1[[#This Row],[Valor total]]-Tabela1[[#This Row],[Valor custo]]</f>
        <v>1285.92</v>
      </c>
      <c r="J148" s="7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">
        <v>946.26</v>
      </c>
      <c r="H149" s="1">
        <v>1657</v>
      </c>
      <c r="I149" s="6">
        <f>Tabela1[[#This Row],[Valor total]]-Tabela1[[#This Row],[Valor custo]]</f>
        <v>710.74</v>
      </c>
      <c r="J149" s="7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">
        <v>1914.4</v>
      </c>
      <c r="H150" s="1">
        <v>4250</v>
      </c>
      <c r="I150" s="6">
        <f>Tabela1[[#This Row],[Valor total]]-Tabela1[[#This Row],[Valor custo]]</f>
        <v>2335.6</v>
      </c>
      <c r="J150" s="7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">
        <v>514.45000000000005</v>
      </c>
      <c r="H151" s="1">
        <v>720</v>
      </c>
      <c r="I151" s="6">
        <f>Tabela1[[#This Row],[Valor total]]-Tabela1[[#This Row],[Valor custo]]</f>
        <v>205.54999999999995</v>
      </c>
      <c r="J151" s="7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">
        <v>2057.8000000000002</v>
      </c>
      <c r="H152" s="1">
        <v>2880</v>
      </c>
      <c r="I152" s="6">
        <f>Tabela1[[#This Row],[Valor total]]-Tabela1[[#This Row],[Valor custo]]</f>
        <v>822.19999999999982</v>
      </c>
      <c r="J152" s="7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">
        <v>707.23</v>
      </c>
      <c r="H153" s="1">
        <v>660</v>
      </c>
      <c r="I153" s="6">
        <f>Tabela1[[#This Row],[Valor total]]-Tabela1[[#This Row],[Valor custo]]</f>
        <v>-47.230000000000018</v>
      </c>
      <c r="J153" s="7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">
        <v>878.4</v>
      </c>
      <c r="H154" s="1">
        <v>1240</v>
      </c>
      <c r="I154" s="6">
        <f>Tabela1[[#This Row],[Valor total]]-Tabela1[[#This Row],[Valor custo]]</f>
        <v>361.6</v>
      </c>
      <c r="J154" s="7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">
        <v>2203.83</v>
      </c>
      <c r="H155" s="1">
        <v>4050</v>
      </c>
      <c r="I155" s="6">
        <f>Tabela1[[#This Row],[Valor total]]-Tabela1[[#This Row],[Valor custo]]</f>
        <v>1846.17</v>
      </c>
      <c r="J155" s="7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">
        <v>514.45000000000005</v>
      </c>
      <c r="H156" s="1">
        <v>720</v>
      </c>
      <c r="I156" s="6">
        <f>Tabela1[[#This Row],[Valor total]]-Tabela1[[#This Row],[Valor custo]]</f>
        <v>205.54999999999995</v>
      </c>
      <c r="J156" s="7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">
        <v>3045.45</v>
      </c>
      <c r="H157" s="1">
        <v>4375</v>
      </c>
      <c r="I157" s="6">
        <f>Tabela1[[#This Row],[Valor total]]-Tabela1[[#This Row],[Valor custo]]</f>
        <v>1329.5500000000002</v>
      </c>
      <c r="J157" s="7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">
        <v>531.45000000000005</v>
      </c>
      <c r="H158" s="1">
        <v>785</v>
      </c>
      <c r="I158" s="6">
        <f>Tabela1[[#This Row],[Valor total]]-Tabela1[[#This Row],[Valor custo]]</f>
        <v>253.54999999999995</v>
      </c>
      <c r="J158" s="7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">
        <v>84</v>
      </c>
      <c r="H159" s="1">
        <v>140</v>
      </c>
      <c r="I159" s="6">
        <f>Tabela1[[#This Row],[Valor total]]-Tabela1[[#This Row],[Valor custo]]</f>
        <v>56</v>
      </c>
      <c r="J159" s="7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">
        <v>439.2</v>
      </c>
      <c r="H160" s="1">
        <v>620</v>
      </c>
      <c r="I160" s="6">
        <f>Tabela1[[#This Row],[Valor total]]-Tabela1[[#This Row],[Valor custo]]</f>
        <v>180.8</v>
      </c>
      <c r="J160" s="7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">
        <v>439.2</v>
      </c>
      <c r="H161" s="1">
        <v>620</v>
      </c>
      <c r="I161" s="6">
        <f>Tabela1[[#This Row],[Valor total]]-Tabela1[[#This Row],[Valor custo]]</f>
        <v>180.8</v>
      </c>
      <c r="J161" s="7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">
        <v>1543.35</v>
      </c>
      <c r="H162" s="1">
        <v>2160</v>
      </c>
      <c r="I162" s="6">
        <f>Tabela1[[#This Row],[Valor total]]-Tabela1[[#This Row],[Valor custo]]</f>
        <v>616.65000000000009</v>
      </c>
      <c r="J162" s="7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">
        <v>1123.75</v>
      </c>
      <c r="H163" s="1">
        <v>1895</v>
      </c>
      <c r="I163" s="6">
        <f>Tabela1[[#This Row],[Valor total]]-Tabela1[[#This Row],[Valor custo]]</f>
        <v>771.25</v>
      </c>
      <c r="J163" s="7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">
        <v>593.83000000000004</v>
      </c>
      <c r="H164" s="1">
        <v>750</v>
      </c>
      <c r="I164" s="6">
        <f>Tabela1[[#This Row],[Valor total]]-Tabela1[[#This Row],[Valor custo]]</f>
        <v>156.16999999999996</v>
      </c>
      <c r="J164" s="7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">
        <v>135.5</v>
      </c>
      <c r="H165" s="1">
        <v>195</v>
      </c>
      <c r="I165" s="6">
        <f>Tabela1[[#This Row],[Valor total]]-Tabela1[[#This Row],[Valor custo]]</f>
        <v>59.5</v>
      </c>
      <c r="J165" s="7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">
        <v>12438.01</v>
      </c>
      <c r="H166" s="1">
        <v>17294.599999999999</v>
      </c>
      <c r="I166" s="6">
        <f>Tabela1[[#This Row],[Valor total]]-Tabela1[[#This Row],[Valor custo]]</f>
        <v>4856.5899999999983</v>
      </c>
      <c r="J166" s="7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">
        <v>514.45000000000005</v>
      </c>
      <c r="H167" s="1">
        <v>720</v>
      </c>
      <c r="I167" s="6">
        <f>Tabela1[[#This Row],[Valor total]]-Tabela1[[#This Row],[Valor custo]]</f>
        <v>205.54999999999995</v>
      </c>
      <c r="J167" s="7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">
        <v>113.75</v>
      </c>
      <c r="H168" s="1">
        <v>140</v>
      </c>
      <c r="I168" s="6">
        <f>Tabela1[[#This Row],[Valor total]]-Tabela1[[#This Row],[Valor custo]]</f>
        <v>26.25</v>
      </c>
      <c r="J168" s="7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">
        <v>122.74</v>
      </c>
      <c r="H169" s="1">
        <v>180</v>
      </c>
      <c r="I169" s="6">
        <f>Tabela1[[#This Row],[Valor total]]-Tabela1[[#This Row],[Valor custo]]</f>
        <v>57.260000000000005</v>
      </c>
      <c r="J169" s="7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">
        <v>1437.14</v>
      </c>
      <c r="H170" s="1">
        <v>2990</v>
      </c>
      <c r="I170" s="6">
        <f>Tabela1[[#This Row],[Valor total]]-Tabela1[[#This Row],[Valor custo]]</f>
        <v>1552.86</v>
      </c>
      <c r="J170" s="7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">
        <v>1559.69</v>
      </c>
      <c r="H171" s="1">
        <v>2070</v>
      </c>
      <c r="I171" s="6">
        <f>Tabela1[[#This Row],[Valor total]]-Tabela1[[#This Row],[Valor custo]]</f>
        <v>510.30999999999995</v>
      </c>
      <c r="J171" s="7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">
        <v>1096.94</v>
      </c>
      <c r="H172" s="1">
        <v>1625</v>
      </c>
      <c r="I172" s="6">
        <f>Tabela1[[#This Row],[Valor total]]-Tabela1[[#This Row],[Valor custo]]</f>
        <v>528.05999999999995</v>
      </c>
      <c r="J172" s="7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">
        <v>90</v>
      </c>
      <c r="H173" s="1">
        <v>200</v>
      </c>
      <c r="I173" s="6">
        <f>Tabela1[[#This Row],[Valor total]]-Tabela1[[#This Row],[Valor custo]]</f>
        <v>110</v>
      </c>
      <c r="J173" s="7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">
        <v>95.75</v>
      </c>
      <c r="H174" s="1">
        <v>160</v>
      </c>
      <c r="I174" s="6">
        <f>Tabela1[[#This Row],[Valor total]]-Tabela1[[#This Row],[Valor custo]]</f>
        <v>64.25</v>
      </c>
      <c r="J174" s="7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">
        <v>439.2</v>
      </c>
      <c r="H175" s="1">
        <v>645</v>
      </c>
      <c r="I175" s="6">
        <f>Tabela1[[#This Row],[Valor total]]-Tabela1[[#This Row],[Valor custo]]</f>
        <v>205.8</v>
      </c>
      <c r="J175" s="7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">
        <v>247.02</v>
      </c>
      <c r="H176" s="1">
        <v>330</v>
      </c>
      <c r="I176" s="6">
        <f>Tabela1[[#This Row],[Valor total]]-Tabela1[[#This Row],[Valor custo]]</f>
        <v>82.97999999999999</v>
      </c>
      <c r="J176" s="7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">
        <v>878.4</v>
      </c>
      <c r="H177" s="1">
        <v>1290</v>
      </c>
      <c r="I177" s="6">
        <f>Tabela1[[#This Row],[Valor total]]-Tabela1[[#This Row],[Valor custo]]</f>
        <v>411.6</v>
      </c>
      <c r="J177" s="7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">
        <v>10505.49</v>
      </c>
      <c r="H178" s="1">
        <v>14500</v>
      </c>
      <c r="I178" s="6">
        <f>Tabela1[[#This Row],[Valor total]]-Tabela1[[#This Row],[Valor custo]]</f>
        <v>3994.51</v>
      </c>
      <c r="J178" s="7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">
        <v>911.35</v>
      </c>
      <c r="H179" s="1">
        <v>1500</v>
      </c>
      <c r="I179" s="6">
        <f>Tabela1[[#This Row],[Valor total]]-Tabela1[[#This Row],[Valor custo]]</f>
        <v>588.65</v>
      </c>
      <c r="J179" s="7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">
        <v>268.25</v>
      </c>
      <c r="H180" s="1">
        <v>335</v>
      </c>
      <c r="I180" s="6">
        <f>Tabela1[[#This Row],[Valor total]]-Tabela1[[#This Row],[Valor custo]]</f>
        <v>66.75</v>
      </c>
      <c r="J180" s="7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">
        <v>588.73</v>
      </c>
      <c r="H181" s="1">
        <v>839.4</v>
      </c>
      <c r="I181" s="6">
        <f>Tabela1[[#This Row],[Valor total]]-Tabela1[[#This Row],[Valor custo]]</f>
        <v>250.66999999999996</v>
      </c>
      <c r="J181" s="7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">
        <v>574.09</v>
      </c>
      <c r="H182" s="1">
        <v>1045</v>
      </c>
      <c r="I182" s="6">
        <f>Tabela1[[#This Row],[Valor total]]-Tabela1[[#This Row],[Valor custo]]</f>
        <v>470.90999999999997</v>
      </c>
      <c r="J182" s="7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">
        <v>439.2</v>
      </c>
      <c r="H183" s="1">
        <v>645</v>
      </c>
      <c r="I183" s="6">
        <f>Tabela1[[#This Row],[Valor total]]-Tabela1[[#This Row],[Valor custo]]</f>
        <v>205.8</v>
      </c>
      <c r="J183" s="7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">
        <v>447</v>
      </c>
      <c r="H184" s="1">
        <v>620</v>
      </c>
      <c r="I184" s="6">
        <f>Tabela1[[#This Row],[Valor total]]-Tabela1[[#This Row],[Valor custo]]</f>
        <v>173</v>
      </c>
      <c r="J184" s="7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">
        <v>122.74</v>
      </c>
      <c r="H185" s="1">
        <v>180</v>
      </c>
      <c r="I185" s="6">
        <f>Tabela1[[#This Row],[Valor total]]-Tabela1[[#This Row],[Valor custo]]</f>
        <v>57.260000000000005</v>
      </c>
      <c r="J185" s="7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">
        <v>4249.6499999999996</v>
      </c>
      <c r="H186" s="1">
        <v>6200</v>
      </c>
      <c r="I186" s="6">
        <f>Tabela1[[#This Row],[Valor total]]-Tabela1[[#This Row],[Valor custo]]</f>
        <v>1950.3500000000004</v>
      </c>
      <c r="J186" s="7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">
        <v>993</v>
      </c>
      <c r="H187" s="1">
        <v>1370</v>
      </c>
      <c r="I187" s="6">
        <f>Tabela1[[#This Row],[Valor total]]-Tabela1[[#This Row],[Valor custo]]</f>
        <v>377</v>
      </c>
      <c r="J187" s="7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">
        <v>212.46</v>
      </c>
      <c r="H188" s="1">
        <v>840</v>
      </c>
      <c r="I188" s="6">
        <f>Tabela1[[#This Row],[Valor total]]-Tabela1[[#This Row],[Valor custo]]</f>
        <v>627.54</v>
      </c>
      <c r="J188" s="7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">
        <v>41</v>
      </c>
      <c r="H189" s="1">
        <v>73.5</v>
      </c>
      <c r="I189" s="6">
        <f>Tabela1[[#This Row],[Valor total]]-Tabela1[[#This Row],[Valor custo]]</f>
        <v>32.5</v>
      </c>
      <c r="J189" s="7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">
        <v>518.20000000000005</v>
      </c>
      <c r="H190" s="1">
        <v>858</v>
      </c>
      <c r="I190" s="6">
        <f>Tabela1[[#This Row],[Valor total]]-Tabela1[[#This Row],[Valor custo]]</f>
        <v>339.79999999999995</v>
      </c>
      <c r="J190" s="7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">
        <v>906.2</v>
      </c>
      <c r="H191" s="1">
        <v>1258</v>
      </c>
      <c r="I191" s="6">
        <f>Tabela1[[#This Row],[Valor total]]-Tabela1[[#This Row],[Valor custo]]</f>
        <v>351.79999999999995</v>
      </c>
      <c r="J191" s="7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">
        <v>508.01</v>
      </c>
      <c r="H192" s="1">
        <v>729</v>
      </c>
      <c r="I192" s="6">
        <f>Tabela1[[#This Row],[Valor total]]-Tabela1[[#This Row],[Valor custo]]</f>
        <v>220.99</v>
      </c>
      <c r="J192" s="7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">
        <v>439.2</v>
      </c>
      <c r="H193" s="1">
        <v>645</v>
      </c>
      <c r="I193" s="6">
        <f>Tabela1[[#This Row],[Valor total]]-Tabela1[[#This Row],[Valor custo]]</f>
        <v>205.8</v>
      </c>
      <c r="J193" s="7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">
        <v>684.55</v>
      </c>
      <c r="H194" s="1">
        <v>1250</v>
      </c>
      <c r="I194" s="6">
        <f>Tabela1[[#This Row],[Valor total]]-Tabela1[[#This Row],[Valor custo]]</f>
        <v>565.45000000000005</v>
      </c>
      <c r="J194" s="7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">
        <v>1854.44</v>
      </c>
      <c r="H195" s="1">
        <v>3184.4</v>
      </c>
      <c r="I195" s="6">
        <f>Tabela1[[#This Row],[Valor total]]-Tabela1[[#This Row],[Valor custo]]</f>
        <v>1329.96</v>
      </c>
      <c r="J195" s="7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">
        <v>584</v>
      </c>
      <c r="H196" s="1">
        <v>900</v>
      </c>
      <c r="I196" s="6">
        <f>Tabela1[[#This Row],[Valor total]]-Tabela1[[#This Row],[Valor custo]]</f>
        <v>316</v>
      </c>
      <c r="J196" s="7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">
        <v>514.45000000000005</v>
      </c>
      <c r="H197" s="1">
        <v>782.9</v>
      </c>
      <c r="I197" s="6">
        <f>Tabela1[[#This Row],[Valor total]]-Tabela1[[#This Row],[Valor custo]]</f>
        <v>268.44999999999993</v>
      </c>
      <c r="J197" s="7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">
        <v>439.2</v>
      </c>
      <c r="H198" s="1">
        <v>645</v>
      </c>
      <c r="I198" s="6">
        <f>Tabela1[[#This Row],[Valor total]]-Tabela1[[#This Row],[Valor custo]]</f>
        <v>205.8</v>
      </c>
      <c r="J198" s="7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">
        <v>894</v>
      </c>
      <c r="H199" s="1">
        <v>1240</v>
      </c>
      <c r="I199" s="6">
        <f>Tabela1[[#This Row],[Valor total]]-Tabela1[[#This Row],[Valor custo]]</f>
        <v>346</v>
      </c>
      <c r="J199" s="7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">
        <v>1074</v>
      </c>
      <c r="H200" s="1">
        <v>1440</v>
      </c>
      <c r="I200" s="6">
        <f>Tabela1[[#This Row],[Valor total]]-Tabela1[[#This Row],[Valor custo]]</f>
        <v>366</v>
      </c>
      <c r="J200" s="7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">
        <v>2235</v>
      </c>
      <c r="H201" s="1">
        <v>3100</v>
      </c>
      <c r="I201" s="6">
        <f>Tabela1[[#This Row],[Valor total]]-Tabela1[[#This Row],[Valor custo]]</f>
        <v>865</v>
      </c>
      <c r="J201" s="7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">
        <v>531.45000000000005</v>
      </c>
      <c r="H202" s="1">
        <v>650</v>
      </c>
      <c r="I202" s="6">
        <f>Tabela1[[#This Row],[Valor total]]-Tabela1[[#This Row],[Valor custo]]</f>
        <v>118.54999999999995</v>
      </c>
      <c r="J202" s="7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">
        <v>4747.05</v>
      </c>
      <c r="H203" s="1">
        <v>5343</v>
      </c>
      <c r="I203" s="6">
        <f>Tabela1[[#This Row],[Valor total]]-Tabela1[[#This Row],[Valor custo]]</f>
        <v>595.94999999999982</v>
      </c>
      <c r="J203" s="7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">
        <v>439.2</v>
      </c>
      <c r="H204" s="1">
        <v>645</v>
      </c>
      <c r="I204" s="6">
        <f>Tabela1[[#This Row],[Valor total]]-Tabela1[[#This Row],[Valor custo]]</f>
        <v>205.8</v>
      </c>
      <c r="J204" s="7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">
        <v>1341</v>
      </c>
      <c r="H205" s="1">
        <v>1660</v>
      </c>
      <c r="I205" s="6">
        <f>Tabela1[[#This Row],[Valor total]]-Tabela1[[#This Row],[Valor custo]]</f>
        <v>319</v>
      </c>
      <c r="J205" s="7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">
        <v>1842.81</v>
      </c>
      <c r="H206" s="1">
        <v>2940</v>
      </c>
      <c r="I206" s="6">
        <f>Tabela1[[#This Row],[Valor total]]-Tabela1[[#This Row],[Valor custo]]</f>
        <v>1097.19</v>
      </c>
      <c r="J206" s="7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">
        <v>803.37</v>
      </c>
      <c r="H207" s="1">
        <v>1444.4</v>
      </c>
      <c r="I207" s="6">
        <f>Tabela1[[#This Row],[Valor total]]-Tabela1[[#This Row],[Valor custo]]</f>
        <v>641.03000000000009</v>
      </c>
      <c r="J207" s="7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">
        <v>125</v>
      </c>
      <c r="H208" s="1">
        <v>165.92</v>
      </c>
      <c r="I208" s="6">
        <f>Tabela1[[#This Row],[Valor total]]-Tabela1[[#This Row],[Valor custo]]</f>
        <v>40.919999999999987</v>
      </c>
      <c r="J208" s="7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">
        <v>6094.64</v>
      </c>
      <c r="H209" s="1">
        <v>9111</v>
      </c>
      <c r="I209" s="6">
        <f>Tabela1[[#This Row],[Valor total]]-Tabela1[[#This Row],[Valor custo]]</f>
        <v>3016.3599999999997</v>
      </c>
      <c r="J209" s="7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">
        <v>155.63999999999999</v>
      </c>
      <c r="H210" s="1">
        <v>238.8</v>
      </c>
      <c r="I210" s="6">
        <f>Tabela1[[#This Row],[Valor total]]-Tabela1[[#This Row],[Valor custo]]</f>
        <v>83.160000000000025</v>
      </c>
      <c r="J210" s="7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">
        <v>684.55</v>
      </c>
      <c r="H211" s="1">
        <v>1150</v>
      </c>
      <c r="I211" s="6">
        <f>Tabela1[[#This Row],[Valor total]]-Tabela1[[#This Row],[Valor custo]]</f>
        <v>465.45000000000005</v>
      </c>
      <c r="J211" s="7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">
        <v>13.69</v>
      </c>
      <c r="H212" s="1">
        <v>120</v>
      </c>
      <c r="I212" s="6">
        <f>Tabela1[[#This Row],[Valor total]]-Tabela1[[#This Row],[Valor custo]]</f>
        <v>106.31</v>
      </c>
      <c r="J212" s="7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">
        <v>894</v>
      </c>
      <c r="H213" s="1">
        <v>1290</v>
      </c>
      <c r="I213" s="6">
        <f>Tabela1[[#This Row],[Valor total]]-Tabela1[[#This Row],[Valor custo]]</f>
        <v>396</v>
      </c>
      <c r="J213" s="7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">
        <v>593.83000000000004</v>
      </c>
      <c r="H214" s="1">
        <v>945</v>
      </c>
      <c r="I214" s="6">
        <f>Tabela1[[#This Row],[Valor total]]-Tabela1[[#This Row],[Valor custo]]</f>
        <v>351.16999999999996</v>
      </c>
      <c r="J214" s="7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">
        <v>1435</v>
      </c>
      <c r="H215" s="1">
        <v>2600</v>
      </c>
      <c r="I215" s="6">
        <f>Tabela1[[#This Row],[Valor total]]-Tabela1[[#This Row],[Valor custo]]</f>
        <v>1165</v>
      </c>
      <c r="J215" s="7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">
        <v>718.57</v>
      </c>
      <c r="H216" s="1">
        <v>1350</v>
      </c>
      <c r="I216" s="6">
        <f>Tabela1[[#This Row],[Valor total]]-Tabela1[[#This Row],[Valor custo]]</f>
        <v>631.42999999999995</v>
      </c>
      <c r="J216" s="7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">
        <v>1871.13</v>
      </c>
      <c r="H217" s="1">
        <v>2715</v>
      </c>
      <c r="I217" s="6">
        <f>Tabela1[[#This Row],[Valor total]]-Tabela1[[#This Row],[Valor custo]]</f>
        <v>843.86999999999989</v>
      </c>
      <c r="J217" s="7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">
        <v>2249.4</v>
      </c>
      <c r="H218" s="1">
        <v>3421</v>
      </c>
      <c r="I218" s="6">
        <f>Tabela1[[#This Row],[Valor total]]-Tabela1[[#This Row],[Valor custo]]</f>
        <v>1171.5999999999999</v>
      </c>
      <c r="J218" s="7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">
        <v>150</v>
      </c>
      <c r="H219" s="1">
        <v>180</v>
      </c>
      <c r="I219" s="6">
        <f>Tabela1[[#This Row],[Valor total]]-Tabela1[[#This Row],[Valor custo]]</f>
        <v>30</v>
      </c>
      <c r="J219" s="7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">
        <v>894</v>
      </c>
      <c r="H220" s="1">
        <v>1290</v>
      </c>
      <c r="I220" s="6">
        <f>Tabela1[[#This Row],[Valor total]]-Tabela1[[#This Row],[Valor custo]]</f>
        <v>396</v>
      </c>
      <c r="J220" s="7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">
        <v>1172</v>
      </c>
      <c r="H221" s="1">
        <v>1995</v>
      </c>
      <c r="I221" s="6">
        <f>Tabela1[[#This Row],[Valor total]]-Tabela1[[#This Row],[Valor custo]]</f>
        <v>823</v>
      </c>
      <c r="J221" s="7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">
        <v>1437.14</v>
      </c>
      <c r="H222" s="1">
        <v>2600</v>
      </c>
      <c r="I222" s="6">
        <f>Tabela1[[#This Row],[Valor total]]-Tabela1[[#This Row],[Valor custo]]</f>
        <v>1162.8599999999999</v>
      </c>
      <c r="J222" s="7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">
        <v>3173.28</v>
      </c>
      <c r="H223" s="1">
        <v>4500</v>
      </c>
      <c r="I223" s="6">
        <f>Tabela1[[#This Row],[Valor total]]-Tabela1[[#This Row],[Valor custo]]</f>
        <v>1326.7199999999998</v>
      </c>
      <c r="J223" s="7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">
        <v>684.55</v>
      </c>
      <c r="H224" s="1">
        <v>1250</v>
      </c>
      <c r="I224" s="6">
        <f>Tabela1[[#This Row],[Valor total]]-Tabela1[[#This Row],[Valor custo]]</f>
        <v>565.45000000000005</v>
      </c>
      <c r="J224" s="7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">
        <v>514.45000000000005</v>
      </c>
      <c r="H225" s="1">
        <v>720</v>
      </c>
      <c r="I225" s="6">
        <f>Tabela1[[#This Row],[Valor total]]-Tabela1[[#This Row],[Valor custo]]</f>
        <v>205.54999999999995</v>
      </c>
      <c r="J225" s="7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">
        <v>293.13</v>
      </c>
      <c r="H226" s="1">
        <v>390</v>
      </c>
      <c r="I226" s="6">
        <f>Tabela1[[#This Row],[Valor total]]-Tabela1[[#This Row],[Valor custo]]</f>
        <v>96.87</v>
      </c>
      <c r="J226" s="7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">
        <v>41.07</v>
      </c>
      <c r="H227" s="1">
        <v>436.18</v>
      </c>
      <c r="I227" s="6">
        <f>Tabela1[[#This Row],[Valor total]]-Tabela1[[#This Row],[Valor custo]]</f>
        <v>395.11</v>
      </c>
      <c r="J227" s="7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">
        <v>1345.02</v>
      </c>
      <c r="H228" s="1">
        <v>2400</v>
      </c>
      <c r="I228" s="6">
        <f>Tabela1[[#This Row],[Valor total]]-Tabela1[[#This Row],[Valor custo]]</f>
        <v>1054.98</v>
      </c>
      <c r="J228" s="7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">
        <v>447</v>
      </c>
      <c r="H229" s="1">
        <v>620</v>
      </c>
      <c r="I229" s="6">
        <f>Tabela1[[#This Row],[Valor total]]-Tabela1[[#This Row],[Valor custo]]</f>
        <v>173</v>
      </c>
      <c r="J229" s="7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">
        <v>6721.11</v>
      </c>
      <c r="H230" s="1">
        <v>9000</v>
      </c>
      <c r="I230" s="6">
        <f>Tabela1[[#This Row],[Valor total]]-Tabela1[[#This Row],[Valor custo]]</f>
        <v>2278.8900000000003</v>
      </c>
      <c r="J230" s="7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">
        <v>473</v>
      </c>
      <c r="H231" s="1">
        <v>720</v>
      </c>
      <c r="I231" s="6">
        <f>Tabela1[[#This Row],[Valor total]]-Tabela1[[#This Row],[Valor custo]]</f>
        <v>247</v>
      </c>
      <c r="J231" s="7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">
        <v>994</v>
      </c>
      <c r="H232" s="1">
        <v>1570</v>
      </c>
      <c r="I232" s="6">
        <f>Tabela1[[#This Row],[Valor total]]-Tabela1[[#This Row],[Valor custo]]</f>
        <v>576</v>
      </c>
      <c r="J232" s="7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">
        <v>447</v>
      </c>
      <c r="H233" s="1">
        <v>620</v>
      </c>
      <c r="I233" s="6">
        <f>Tabela1[[#This Row],[Valor total]]-Tabela1[[#This Row],[Valor custo]]</f>
        <v>173</v>
      </c>
      <c r="J233" s="7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">
        <v>496.33</v>
      </c>
      <c r="H234" s="1">
        <v>795</v>
      </c>
      <c r="I234" s="6">
        <f>Tabela1[[#This Row],[Valor total]]-Tabela1[[#This Row],[Valor custo]]</f>
        <v>298.67</v>
      </c>
      <c r="J234" s="7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">
        <v>571.29999999999995</v>
      </c>
      <c r="H235" s="1">
        <v>1800</v>
      </c>
      <c r="I235" s="6">
        <f>Tabela1[[#This Row],[Valor total]]-Tabela1[[#This Row],[Valor custo]]</f>
        <v>1228.7</v>
      </c>
      <c r="J235" s="7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">
        <v>894</v>
      </c>
      <c r="H236" s="1">
        <v>1240</v>
      </c>
      <c r="I236" s="6">
        <f>Tabela1[[#This Row],[Valor total]]-Tabela1[[#This Row],[Valor custo]]</f>
        <v>346</v>
      </c>
      <c r="J236" s="7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">
        <v>994</v>
      </c>
      <c r="H237" s="1">
        <v>1360</v>
      </c>
      <c r="I237" s="6">
        <f>Tabela1[[#This Row],[Valor total]]-Tabela1[[#This Row],[Valor custo]]</f>
        <v>366</v>
      </c>
      <c r="J237" s="7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">
        <v>1341</v>
      </c>
      <c r="H238" s="1">
        <v>1860</v>
      </c>
      <c r="I238" s="6">
        <f>Tabela1[[#This Row],[Valor total]]-Tabela1[[#This Row],[Valor custo]]</f>
        <v>519</v>
      </c>
      <c r="J238" s="7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">
        <v>514.45000000000005</v>
      </c>
      <c r="H239" s="1">
        <v>720</v>
      </c>
      <c r="I239" s="6">
        <f>Tabela1[[#This Row],[Valor total]]-Tabela1[[#This Row],[Valor custo]]</f>
        <v>205.54999999999995</v>
      </c>
      <c r="J239" s="7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">
        <v>894</v>
      </c>
      <c r="H240" s="1">
        <v>1240</v>
      </c>
      <c r="I240" s="6">
        <f>Tabela1[[#This Row],[Valor total]]-Tabela1[[#This Row],[Valor custo]]</f>
        <v>346</v>
      </c>
      <c r="J240" s="7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">
        <v>57.13</v>
      </c>
      <c r="H241" s="1">
        <v>180</v>
      </c>
      <c r="I241" s="6">
        <f>Tabela1[[#This Row],[Valor total]]-Tabela1[[#This Row],[Valor custo]]</f>
        <v>122.87</v>
      </c>
      <c r="J241" s="7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">
        <v>25</v>
      </c>
      <c r="H242" s="1">
        <v>30</v>
      </c>
      <c r="I242" s="6">
        <f>Tabela1[[#This Row],[Valor total]]-Tabela1[[#This Row],[Valor custo]]</f>
        <v>5</v>
      </c>
      <c r="J242" s="7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">
        <v>74.28</v>
      </c>
      <c r="H243" s="1">
        <v>107.25</v>
      </c>
      <c r="I243" s="6">
        <f>Tabela1[[#This Row],[Valor total]]-Tabela1[[#This Row],[Valor custo]]</f>
        <v>32.97</v>
      </c>
      <c r="J243" s="7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">
        <v>1468.1</v>
      </c>
      <c r="H244" s="1">
        <v>1800</v>
      </c>
      <c r="I244" s="6">
        <f>Tabela1[[#This Row],[Valor total]]-Tabela1[[#This Row],[Valor custo]]</f>
        <v>331.90000000000009</v>
      </c>
      <c r="J244" s="7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">
        <v>7165.75</v>
      </c>
      <c r="H245" s="1">
        <v>9490</v>
      </c>
      <c r="I245" s="6">
        <f>Tabela1[[#This Row],[Valor total]]-Tabela1[[#This Row],[Valor custo]]</f>
        <v>2324.25</v>
      </c>
      <c r="J245" s="7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">
        <v>548.47</v>
      </c>
      <c r="H246" s="1">
        <v>840</v>
      </c>
      <c r="I246" s="6">
        <f>Tabela1[[#This Row],[Valor total]]-Tabela1[[#This Row],[Valor custo]]</f>
        <v>291.52999999999997</v>
      </c>
      <c r="J246" s="7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">
        <v>909.72</v>
      </c>
      <c r="H247" s="1">
        <v>1345</v>
      </c>
      <c r="I247" s="6">
        <f>Tabela1[[#This Row],[Valor total]]-Tabela1[[#This Row],[Valor custo]]</f>
        <v>435.28</v>
      </c>
      <c r="J247" s="7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">
        <v>268.45999999999998</v>
      </c>
      <c r="H248" s="1">
        <v>550</v>
      </c>
      <c r="I248" s="6">
        <f>Tabela1[[#This Row],[Valor total]]-Tabela1[[#This Row],[Valor custo]]</f>
        <v>281.54000000000002</v>
      </c>
      <c r="J248" s="7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">
        <v>917.88</v>
      </c>
      <c r="H249" s="1">
        <v>1320</v>
      </c>
      <c r="I249" s="6">
        <f>Tabela1[[#This Row],[Valor total]]-Tabela1[[#This Row],[Valor custo]]</f>
        <v>402.12</v>
      </c>
      <c r="J249" s="7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">
        <v>1473.5</v>
      </c>
      <c r="H250" s="1">
        <v>2105</v>
      </c>
      <c r="I250" s="6">
        <f>Tabela1[[#This Row],[Valor total]]-Tabela1[[#This Row],[Valor custo]]</f>
        <v>631.5</v>
      </c>
      <c r="J250" s="7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">
        <v>1492.28</v>
      </c>
      <c r="H251" s="1">
        <v>2220</v>
      </c>
      <c r="I251" s="6">
        <f>Tabela1[[#This Row],[Valor total]]-Tabela1[[#This Row],[Valor custo]]</f>
        <v>727.72</v>
      </c>
      <c r="J251" s="7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">
        <v>547.45000000000005</v>
      </c>
      <c r="H252" s="1">
        <v>870</v>
      </c>
      <c r="I252" s="6">
        <f>Tabela1[[#This Row],[Valor total]]-Tabela1[[#This Row],[Valor custo]]</f>
        <v>322.54999999999995</v>
      </c>
      <c r="J252" s="7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">
        <v>1982.55</v>
      </c>
      <c r="H253" s="1">
        <v>2690</v>
      </c>
      <c r="I253" s="6">
        <f>Tabela1[[#This Row],[Valor total]]-Tabela1[[#This Row],[Valor custo]]</f>
        <v>707.45</v>
      </c>
      <c r="J253" s="7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">
        <v>4632.5</v>
      </c>
      <c r="H254" s="1">
        <v>6520</v>
      </c>
      <c r="I254" s="6">
        <f>Tabela1[[#This Row],[Valor total]]-Tabela1[[#This Row],[Valor custo]]</f>
        <v>1887.5</v>
      </c>
      <c r="J254" s="7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">
        <v>986.65</v>
      </c>
      <c r="H255" s="1">
        <v>1500</v>
      </c>
      <c r="I255" s="6">
        <f>Tabela1[[#This Row],[Valor total]]-Tabela1[[#This Row],[Valor custo]]</f>
        <v>513.35</v>
      </c>
      <c r="J255" s="7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">
        <v>882.87</v>
      </c>
      <c r="H256" s="1">
        <v>1320</v>
      </c>
      <c r="I256" s="6">
        <f>Tabela1[[#This Row],[Valor total]]-Tabela1[[#This Row],[Valor custo]]</f>
        <v>437.13</v>
      </c>
      <c r="J256" s="7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">
        <v>268.45999999999998</v>
      </c>
      <c r="H257" s="1">
        <v>550</v>
      </c>
      <c r="I257" s="6">
        <f>Tabela1[[#This Row],[Valor total]]-Tabela1[[#This Row],[Valor custo]]</f>
        <v>281.54000000000002</v>
      </c>
      <c r="J257" s="7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">
        <v>707.66</v>
      </c>
      <c r="H258" s="1">
        <v>1545</v>
      </c>
      <c r="I258" s="6">
        <f>Tabela1[[#This Row],[Valor total]]-Tabela1[[#This Row],[Valor custo]]</f>
        <v>837.34</v>
      </c>
      <c r="J258" s="7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">
        <v>1374.74</v>
      </c>
      <c r="H259" s="1">
        <v>2030</v>
      </c>
      <c r="I259" s="6">
        <f>Tabela1[[#This Row],[Valor total]]-Tabela1[[#This Row],[Valor custo]]</f>
        <v>655.26</v>
      </c>
      <c r="J259" s="7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">
        <v>180</v>
      </c>
      <c r="H260" s="1">
        <v>400</v>
      </c>
      <c r="I260" s="6">
        <f>Tabela1[[#This Row],[Valor total]]-Tabela1[[#This Row],[Valor custo]]</f>
        <v>220</v>
      </c>
      <c r="J260" s="7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">
        <v>98.14</v>
      </c>
      <c r="H261" s="1">
        <v>129</v>
      </c>
      <c r="I261" s="6">
        <f>Tabela1[[#This Row],[Valor total]]-Tabela1[[#This Row],[Valor custo]]</f>
        <v>30.86</v>
      </c>
      <c r="J261" s="7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">
        <v>894</v>
      </c>
      <c r="H262" s="1">
        <v>1240</v>
      </c>
      <c r="I262" s="6">
        <f>Tabela1[[#This Row],[Valor total]]-Tabela1[[#This Row],[Valor custo]]</f>
        <v>346</v>
      </c>
      <c r="J262" s="7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">
        <v>3626</v>
      </c>
      <c r="H263" s="1">
        <v>4640</v>
      </c>
      <c r="I263" s="6">
        <f>Tabela1[[#This Row],[Valor total]]-Tabela1[[#This Row],[Valor custo]]</f>
        <v>1014</v>
      </c>
      <c r="J263" s="7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">
        <v>1585.63</v>
      </c>
      <c r="H264" s="1">
        <v>2540</v>
      </c>
      <c r="I264" s="6">
        <f>Tabela1[[#This Row],[Valor total]]-Tabela1[[#This Row],[Valor custo]]</f>
        <v>954.36999999999989</v>
      </c>
      <c r="J264" s="7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">
        <v>5428.76</v>
      </c>
      <c r="H265" s="1">
        <v>7900</v>
      </c>
      <c r="I265" s="6">
        <f>Tabela1[[#This Row],[Valor total]]-Tabela1[[#This Row],[Valor custo]]</f>
        <v>2471.2399999999998</v>
      </c>
      <c r="J265" s="7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">
        <v>522.38</v>
      </c>
      <c r="H266" s="1">
        <v>960</v>
      </c>
      <c r="I266" s="6">
        <f>Tabela1[[#This Row],[Valor total]]-Tabela1[[#This Row],[Valor custo]]</f>
        <v>437.62</v>
      </c>
      <c r="J266" s="7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">
        <v>548.47</v>
      </c>
      <c r="H267" s="1">
        <v>640</v>
      </c>
      <c r="I267" s="6">
        <f>Tabela1[[#This Row],[Valor total]]-Tabela1[[#This Row],[Valor custo]]</f>
        <v>91.529999999999973</v>
      </c>
      <c r="J267" s="7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">
        <v>1043.1400000000001</v>
      </c>
      <c r="H268" s="1">
        <v>1520</v>
      </c>
      <c r="I268" s="6">
        <f>Tabela1[[#This Row],[Valor total]]-Tabela1[[#This Row],[Valor custo]]</f>
        <v>476.8599999999999</v>
      </c>
      <c r="J268" s="7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">
        <v>268.45999999999998</v>
      </c>
      <c r="H269" s="1">
        <v>550</v>
      </c>
      <c r="I269" s="6">
        <f>Tabela1[[#This Row],[Valor total]]-Tabela1[[#This Row],[Valor custo]]</f>
        <v>281.54000000000002</v>
      </c>
      <c r="J269" s="7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">
        <v>13.69</v>
      </c>
      <c r="H270" s="1">
        <v>120</v>
      </c>
      <c r="I270" s="6">
        <f>Tabela1[[#This Row],[Valor total]]-Tabela1[[#This Row],[Valor custo]]</f>
        <v>106.31</v>
      </c>
      <c r="J270" s="7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">
        <v>104.4</v>
      </c>
      <c r="H271" s="1">
        <v>350</v>
      </c>
      <c r="I271" s="6">
        <f>Tabela1[[#This Row],[Valor total]]-Tabela1[[#This Row],[Valor custo]]</f>
        <v>245.6</v>
      </c>
      <c r="J271" s="7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">
        <v>477.5</v>
      </c>
      <c r="H272" s="1">
        <v>665</v>
      </c>
      <c r="I272" s="6">
        <f>Tabela1[[#This Row],[Valor total]]-Tabela1[[#This Row],[Valor custo]]</f>
        <v>187.5</v>
      </c>
      <c r="J272" s="7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">
        <v>97.82</v>
      </c>
      <c r="H273" s="1">
        <v>151.4</v>
      </c>
      <c r="I273" s="6">
        <f>Tabela1[[#This Row],[Valor total]]-Tabela1[[#This Row],[Valor custo]]</f>
        <v>53.580000000000013</v>
      </c>
      <c r="J273" s="7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">
        <v>1393</v>
      </c>
      <c r="H274" s="1">
        <v>2000</v>
      </c>
      <c r="I274" s="6">
        <f>Tabela1[[#This Row],[Valor total]]-Tabela1[[#This Row],[Valor custo]]</f>
        <v>607</v>
      </c>
      <c r="J274" s="7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">
        <v>975.69</v>
      </c>
      <c r="H275" s="1">
        <v>1200</v>
      </c>
      <c r="I275" s="6">
        <f>Tabela1[[#This Row],[Valor total]]-Tabela1[[#This Row],[Valor custo]]</f>
        <v>224.30999999999995</v>
      </c>
      <c r="J275" s="7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">
        <v>1317.6</v>
      </c>
      <c r="H276" s="1">
        <v>2050</v>
      </c>
      <c r="I276" s="6">
        <f>Tabela1[[#This Row],[Valor total]]-Tabela1[[#This Row],[Valor custo]]</f>
        <v>732.40000000000009</v>
      </c>
      <c r="J276" s="7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">
        <v>439.2</v>
      </c>
      <c r="H277" s="1">
        <v>645</v>
      </c>
      <c r="I277" s="6">
        <f>Tabela1[[#This Row],[Valor total]]-Tabela1[[#This Row],[Valor custo]]</f>
        <v>205.8</v>
      </c>
      <c r="J277" s="7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">
        <v>1076.74</v>
      </c>
      <c r="H278" s="1">
        <v>1860</v>
      </c>
      <c r="I278" s="6">
        <f>Tabela1[[#This Row],[Valor total]]-Tabela1[[#This Row],[Valor custo]]</f>
        <v>783.26</v>
      </c>
      <c r="J278" s="7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">
        <v>62.19</v>
      </c>
      <c r="H279" s="1">
        <v>78</v>
      </c>
      <c r="I279" s="6">
        <f>Tabela1[[#This Row],[Valor total]]-Tabela1[[#This Row],[Valor custo]]</f>
        <v>15.810000000000002</v>
      </c>
      <c r="J279" s="7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">
        <v>707.23</v>
      </c>
      <c r="H280" s="1">
        <v>1300</v>
      </c>
      <c r="I280" s="6">
        <f>Tabela1[[#This Row],[Valor total]]-Tabela1[[#This Row],[Valor custo]]</f>
        <v>592.77</v>
      </c>
      <c r="J280" s="7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">
        <v>2050</v>
      </c>
      <c r="H281" s="1">
        <v>3300</v>
      </c>
      <c r="I281" s="6">
        <f>Tabela1[[#This Row],[Valor total]]-Tabela1[[#This Row],[Valor custo]]</f>
        <v>1250</v>
      </c>
      <c r="J281" s="7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">
        <v>4869.6899999999996</v>
      </c>
      <c r="H282" s="1">
        <v>7071</v>
      </c>
      <c r="I282" s="6">
        <f>Tabela1[[#This Row],[Valor total]]-Tabela1[[#This Row],[Valor custo]]</f>
        <v>2201.3100000000004</v>
      </c>
      <c r="J282" s="7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">
        <v>90</v>
      </c>
      <c r="H283" s="1">
        <v>200</v>
      </c>
      <c r="I283" s="6">
        <f>Tabela1[[#This Row],[Valor total]]-Tabela1[[#This Row],[Valor custo]]</f>
        <v>110</v>
      </c>
      <c r="J283" s="7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">
        <v>1756.8</v>
      </c>
      <c r="H284" s="1">
        <v>1680</v>
      </c>
      <c r="I284" s="6">
        <f>Tabela1[[#This Row],[Valor total]]-Tabela1[[#This Row],[Valor custo]]</f>
        <v>-76.799999999999955</v>
      </c>
      <c r="J284" s="7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">
        <v>490.58</v>
      </c>
      <c r="H285" s="1">
        <v>1130</v>
      </c>
      <c r="I285" s="6">
        <f>Tabela1[[#This Row],[Valor total]]-Tabela1[[#This Row],[Valor custo]]</f>
        <v>639.42000000000007</v>
      </c>
      <c r="J285" s="7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">
        <v>486.5</v>
      </c>
      <c r="H286" s="1">
        <v>860</v>
      </c>
      <c r="I286" s="6">
        <f>Tabela1[[#This Row],[Valor total]]-Tabela1[[#This Row],[Valor custo]]</f>
        <v>373.5</v>
      </c>
      <c r="J286" s="7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">
        <v>946</v>
      </c>
      <c r="H287" s="1">
        <v>1380</v>
      </c>
      <c r="I287" s="6">
        <f>Tabela1[[#This Row],[Valor total]]-Tabela1[[#This Row],[Valor custo]]</f>
        <v>434</v>
      </c>
      <c r="J287" s="7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">
        <v>975.58</v>
      </c>
      <c r="H288" s="1">
        <v>1780</v>
      </c>
      <c r="I288" s="6">
        <f>Tabela1[[#This Row],[Valor total]]-Tabela1[[#This Row],[Valor custo]]</f>
        <v>804.42</v>
      </c>
      <c r="J288" s="7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">
        <v>247.71</v>
      </c>
      <c r="H289" s="1">
        <v>320</v>
      </c>
      <c r="I289" s="6">
        <f>Tabela1[[#This Row],[Valor total]]-Tabela1[[#This Row],[Valor custo]]</f>
        <v>72.289999999999992</v>
      </c>
      <c r="J289" s="7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">
        <v>2635.2</v>
      </c>
      <c r="H290" s="1">
        <v>3600</v>
      </c>
      <c r="I290" s="6">
        <f>Tabela1[[#This Row],[Valor total]]-Tabela1[[#This Row],[Valor custo]]</f>
        <v>964.80000000000018</v>
      </c>
      <c r="J290" s="7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">
        <v>13719.41</v>
      </c>
      <c r="H291" s="1">
        <v>20000</v>
      </c>
      <c r="I291" s="6">
        <f>Tabela1[[#This Row],[Valor total]]-Tabela1[[#This Row],[Valor custo]]</f>
        <v>6280.59</v>
      </c>
      <c r="J291" s="7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">
        <v>35</v>
      </c>
      <c r="H292" s="1">
        <v>45</v>
      </c>
      <c r="I292" s="6">
        <f>Tabela1[[#This Row],[Valor total]]-Tabela1[[#This Row],[Valor custo]]</f>
        <v>10</v>
      </c>
      <c r="J292" s="7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">
        <v>607.02</v>
      </c>
      <c r="H293" s="1">
        <v>1000</v>
      </c>
      <c r="I293" s="6">
        <f>Tabela1[[#This Row],[Valor total]]-Tabela1[[#This Row],[Valor custo]]</f>
        <v>392.98</v>
      </c>
      <c r="J293" s="7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">
        <v>49.4</v>
      </c>
      <c r="H294" s="1">
        <v>91.2</v>
      </c>
      <c r="I294" s="6">
        <f>Tabela1[[#This Row],[Valor total]]-Tabela1[[#This Row],[Valor custo]]</f>
        <v>41.800000000000004</v>
      </c>
      <c r="J294" s="7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">
        <v>1962.93</v>
      </c>
      <c r="H295" s="1">
        <v>3740</v>
      </c>
      <c r="I295" s="6">
        <f>Tabela1[[#This Row],[Valor total]]-Tabela1[[#This Row],[Valor custo]]</f>
        <v>1777.07</v>
      </c>
      <c r="J295" s="7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">
        <v>6116.64</v>
      </c>
      <c r="H296" s="1">
        <v>9190</v>
      </c>
      <c r="I296" s="6">
        <f>Tabela1[[#This Row],[Valor total]]-Tabela1[[#This Row],[Valor custo]]</f>
        <v>3073.3599999999997</v>
      </c>
      <c r="J296" s="7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">
        <v>707.23</v>
      </c>
      <c r="H297" s="1">
        <v>1450</v>
      </c>
      <c r="I297" s="6">
        <f>Tabela1[[#This Row],[Valor total]]-Tabela1[[#This Row],[Valor custo]]</f>
        <v>742.77</v>
      </c>
      <c r="J297" s="7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">
        <v>15.8</v>
      </c>
      <c r="H298" s="1">
        <v>60</v>
      </c>
      <c r="I298" s="6">
        <f>Tabela1[[#This Row],[Valor total]]-Tabela1[[#This Row],[Valor custo]]</f>
        <v>44.2</v>
      </c>
      <c r="J298" s="7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">
        <v>41</v>
      </c>
      <c r="H299" s="1">
        <v>75</v>
      </c>
      <c r="I299" s="6">
        <f>Tabela1[[#This Row],[Valor total]]-Tabela1[[#This Row],[Valor custo]]</f>
        <v>34</v>
      </c>
      <c r="J299" s="7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">
        <v>878.4</v>
      </c>
      <c r="H300" s="1">
        <v>1300</v>
      </c>
      <c r="I300" s="6">
        <f>Tabela1[[#This Row],[Valor total]]-Tabela1[[#This Row],[Valor custo]]</f>
        <v>421.6</v>
      </c>
      <c r="J300" s="7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">
        <v>447</v>
      </c>
      <c r="H301" s="1">
        <v>620</v>
      </c>
      <c r="I301" s="6">
        <f>Tabela1[[#This Row],[Valor total]]-Tabela1[[#This Row],[Valor custo]]</f>
        <v>173</v>
      </c>
      <c r="J301" s="7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">
        <v>49.21</v>
      </c>
      <c r="H302" s="1">
        <v>80</v>
      </c>
      <c r="I302" s="6">
        <f>Tabela1[[#This Row],[Valor total]]-Tabela1[[#This Row],[Valor custo]]</f>
        <v>30.79</v>
      </c>
      <c r="J302" s="7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">
        <v>3136.49</v>
      </c>
      <c r="H303" s="1">
        <v>5150</v>
      </c>
      <c r="I303" s="6">
        <f>Tabela1[[#This Row],[Valor total]]-Tabela1[[#This Row],[Valor custo]]</f>
        <v>2013.5100000000002</v>
      </c>
      <c r="J303" s="7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">
        <v>489.19</v>
      </c>
      <c r="H304" s="1">
        <v>701</v>
      </c>
      <c r="I304" s="6">
        <f>Tabela1[[#This Row],[Valor total]]-Tabela1[[#This Row],[Valor custo]]</f>
        <v>211.81</v>
      </c>
      <c r="J304" s="7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">
        <v>2088.4299999999998</v>
      </c>
      <c r="H305" s="1">
        <v>4440</v>
      </c>
      <c r="I305" s="6">
        <f>Tabela1[[#This Row],[Valor total]]-Tabela1[[#This Row],[Valor custo]]</f>
        <v>2351.5700000000002</v>
      </c>
      <c r="J305" s="7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">
        <v>2769.03</v>
      </c>
      <c r="H306" s="1">
        <v>4280</v>
      </c>
      <c r="I306" s="6">
        <f>Tabela1[[#This Row],[Valor total]]-Tabela1[[#This Row],[Valor custo]]</f>
        <v>1510.9699999999998</v>
      </c>
      <c r="J306" s="7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">
        <v>536.91999999999996</v>
      </c>
      <c r="H307" s="1">
        <v>1100</v>
      </c>
      <c r="I307" s="6">
        <f>Tabela1[[#This Row],[Valor total]]-Tabela1[[#This Row],[Valor custo]]</f>
        <v>563.08000000000004</v>
      </c>
      <c r="J307" s="7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">
        <v>1505.18</v>
      </c>
      <c r="H308" s="1">
        <v>2645</v>
      </c>
      <c r="I308" s="6">
        <f>Tabela1[[#This Row],[Valor total]]-Tabela1[[#This Row],[Valor custo]]</f>
        <v>1139.82</v>
      </c>
      <c r="J308" s="7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">
        <v>994</v>
      </c>
      <c r="H309" s="1">
        <v>1500</v>
      </c>
      <c r="I309" s="6">
        <f>Tabela1[[#This Row],[Valor total]]-Tabela1[[#This Row],[Valor custo]]</f>
        <v>506</v>
      </c>
      <c r="J309" s="7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">
        <v>473</v>
      </c>
      <c r="H310" s="1">
        <v>690</v>
      </c>
      <c r="I310" s="6">
        <f>Tabela1[[#This Row],[Valor total]]-Tabela1[[#This Row],[Valor custo]]</f>
        <v>217</v>
      </c>
      <c r="J310" s="7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">
        <v>10</v>
      </c>
      <c r="H311" s="1">
        <v>16</v>
      </c>
      <c r="I311" s="6">
        <f>Tabela1[[#This Row],[Valor total]]-Tabela1[[#This Row],[Valor custo]]</f>
        <v>6</v>
      </c>
      <c r="J311" s="7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">
        <v>473</v>
      </c>
      <c r="H312" s="1">
        <v>720</v>
      </c>
      <c r="I312" s="6">
        <f>Tabela1[[#This Row],[Valor total]]-Tabela1[[#This Row],[Valor custo]]</f>
        <v>247</v>
      </c>
      <c r="J312" s="7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">
        <v>61</v>
      </c>
      <c r="H313" s="1">
        <v>80</v>
      </c>
      <c r="I313" s="6">
        <f>Tabela1[[#This Row],[Valor total]]-Tabela1[[#This Row],[Valor custo]]</f>
        <v>19</v>
      </c>
      <c r="J313" s="7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">
        <v>1190</v>
      </c>
      <c r="H314" s="1">
        <v>1970</v>
      </c>
      <c r="I314" s="6">
        <f>Tabela1[[#This Row],[Valor total]]-Tabela1[[#This Row],[Valor custo]]</f>
        <v>780</v>
      </c>
      <c r="J314" s="7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">
        <v>251</v>
      </c>
      <c r="H315" s="1">
        <v>260</v>
      </c>
      <c r="I315" s="6">
        <f>Tabela1[[#This Row],[Valor total]]-Tabela1[[#This Row],[Valor custo]]</f>
        <v>9</v>
      </c>
      <c r="J315" s="7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">
        <v>1317.6</v>
      </c>
      <c r="H316" s="1">
        <v>1860</v>
      </c>
      <c r="I316" s="6">
        <f>Tabela1[[#This Row],[Valor total]]-Tabela1[[#This Row],[Valor custo]]</f>
        <v>542.40000000000009</v>
      </c>
      <c r="J316" s="7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">
        <v>528.14</v>
      </c>
      <c r="H317" s="1">
        <v>200</v>
      </c>
      <c r="I317" s="6">
        <f>Tabela1[[#This Row],[Valor total]]-Tabela1[[#This Row],[Valor custo]]</f>
        <v>-328.14</v>
      </c>
      <c r="J317" s="7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">
        <v>473</v>
      </c>
      <c r="H318" s="1">
        <v>720</v>
      </c>
      <c r="I318" s="6">
        <f>Tabela1[[#This Row],[Valor total]]-Tabela1[[#This Row],[Valor custo]]</f>
        <v>247</v>
      </c>
      <c r="J318" s="7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">
        <v>1543.35</v>
      </c>
      <c r="H319" s="1">
        <v>2160</v>
      </c>
      <c r="I319" s="6">
        <f>Tabela1[[#This Row],[Valor total]]-Tabela1[[#This Row],[Valor custo]]</f>
        <v>616.65000000000009</v>
      </c>
      <c r="J319" s="7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">
        <v>728.11</v>
      </c>
      <c r="H320" s="1">
        <v>1410</v>
      </c>
      <c r="I320" s="6">
        <f>Tabela1[[#This Row],[Valor total]]-Tabela1[[#This Row],[Valor custo]]</f>
        <v>681.89</v>
      </c>
      <c r="J320" s="7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">
        <v>447</v>
      </c>
      <c r="H321" s="1">
        <v>615</v>
      </c>
      <c r="I321" s="6">
        <f>Tabela1[[#This Row],[Valor total]]-Tabela1[[#This Row],[Valor custo]]</f>
        <v>168</v>
      </c>
      <c r="J321" s="7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">
        <v>1062.8699999999999</v>
      </c>
      <c r="H322" s="1">
        <v>1875</v>
      </c>
      <c r="I322" s="6">
        <f>Tabela1[[#This Row],[Valor total]]-Tabela1[[#This Row],[Valor custo]]</f>
        <v>812.13000000000011</v>
      </c>
      <c r="J322" s="7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">
        <v>79</v>
      </c>
      <c r="H323" s="1">
        <v>270</v>
      </c>
      <c r="I323" s="6">
        <f>Tabela1[[#This Row],[Valor total]]-Tabela1[[#This Row],[Valor custo]]</f>
        <v>191</v>
      </c>
      <c r="J323" s="7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">
        <v>2269.7399999999998</v>
      </c>
      <c r="H324" s="1">
        <v>3900</v>
      </c>
      <c r="I324" s="6">
        <f>Tabela1[[#This Row],[Valor total]]-Tabela1[[#This Row],[Valor custo]]</f>
        <v>1630.2600000000002</v>
      </c>
      <c r="J324" s="7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">
        <v>2145</v>
      </c>
      <c r="H325" s="1">
        <v>3800</v>
      </c>
      <c r="I325" s="6">
        <f>Tabela1[[#This Row],[Valor total]]-Tabela1[[#This Row],[Valor custo]]</f>
        <v>1655</v>
      </c>
      <c r="J325" s="7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">
        <v>993.95</v>
      </c>
      <c r="H326" s="1">
        <v>1400</v>
      </c>
      <c r="I326" s="6">
        <f>Tabela1[[#This Row],[Valor total]]-Tabela1[[#This Row],[Valor custo]]</f>
        <v>406.04999999999995</v>
      </c>
      <c r="J326" s="7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">
        <v>439.2</v>
      </c>
      <c r="H327" s="1">
        <v>660</v>
      </c>
      <c r="I327" s="6">
        <f>Tabela1[[#This Row],[Valor total]]-Tabela1[[#This Row],[Valor custo]]</f>
        <v>220.8</v>
      </c>
      <c r="J327" s="7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">
        <v>911.35</v>
      </c>
      <c r="H328" s="1">
        <v>750</v>
      </c>
      <c r="I328" s="6">
        <f>Tabela1[[#This Row],[Valor total]]-Tabela1[[#This Row],[Valor custo]]</f>
        <v>-161.35000000000002</v>
      </c>
      <c r="J328" s="7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">
        <v>439.2</v>
      </c>
      <c r="H329" s="1">
        <v>620</v>
      </c>
      <c r="I329" s="6">
        <f>Tabela1[[#This Row],[Valor total]]-Tabela1[[#This Row],[Valor custo]]</f>
        <v>180.8</v>
      </c>
      <c r="J329" s="7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">
        <v>180</v>
      </c>
      <c r="H330" s="1">
        <v>500</v>
      </c>
      <c r="I330" s="6">
        <f>Tabela1[[#This Row],[Valor total]]-Tabela1[[#This Row],[Valor custo]]</f>
        <v>320</v>
      </c>
      <c r="J330" s="7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">
        <v>473</v>
      </c>
      <c r="H331" s="1">
        <v>700</v>
      </c>
      <c r="I331" s="6">
        <f>Tabela1[[#This Row],[Valor total]]-Tabela1[[#This Row],[Valor custo]]</f>
        <v>227</v>
      </c>
      <c r="J331" s="7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">
        <v>993</v>
      </c>
      <c r="H332" s="1">
        <v>1400</v>
      </c>
      <c r="I332" s="6">
        <f>Tabela1[[#This Row],[Valor total]]-Tabela1[[#This Row],[Valor custo]]</f>
        <v>407</v>
      </c>
      <c r="J332" s="7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">
        <v>62.75</v>
      </c>
      <c r="H333" s="1">
        <v>70</v>
      </c>
      <c r="I333" s="6">
        <f>Tabela1[[#This Row],[Valor total]]-Tabela1[[#This Row],[Valor custo]]</f>
        <v>7.25</v>
      </c>
      <c r="J333" s="7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">
        <v>514.45000000000005</v>
      </c>
      <c r="H334" s="1">
        <v>757</v>
      </c>
      <c r="I334" s="6">
        <f>Tabela1[[#This Row],[Valor total]]-Tabela1[[#This Row],[Valor custo]]</f>
        <v>242.54999999999995</v>
      </c>
      <c r="J334" s="7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">
        <v>862.61</v>
      </c>
      <c r="H335" s="1">
        <v>1145</v>
      </c>
      <c r="I335" s="6">
        <f>Tabela1[[#This Row],[Valor total]]-Tabela1[[#This Row],[Valor custo]]</f>
        <v>282.39</v>
      </c>
      <c r="J335" s="7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">
        <v>1096.94</v>
      </c>
      <c r="H336" s="1">
        <v>1600</v>
      </c>
      <c r="I336" s="6">
        <f>Tabela1[[#This Row],[Valor total]]-Tabela1[[#This Row],[Valor custo]]</f>
        <v>503.05999999999995</v>
      </c>
      <c r="J336" s="7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">
        <v>601.63</v>
      </c>
      <c r="H337" s="1">
        <v>975</v>
      </c>
      <c r="I337" s="6">
        <f>Tabela1[[#This Row],[Valor total]]-Tabela1[[#This Row],[Valor custo]]</f>
        <v>373.37</v>
      </c>
      <c r="J337" s="7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">
        <v>2196</v>
      </c>
      <c r="H338" s="1">
        <v>3100</v>
      </c>
      <c r="I338" s="6">
        <f>Tabela1[[#This Row],[Valor total]]-Tabela1[[#This Row],[Valor custo]]</f>
        <v>904</v>
      </c>
      <c r="J338" s="7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">
        <v>1187.9000000000001</v>
      </c>
      <c r="H339" s="1">
        <v>1650</v>
      </c>
      <c r="I339" s="6">
        <f>Tabela1[[#This Row],[Valor total]]-Tabela1[[#This Row],[Valor custo]]</f>
        <v>462.09999999999991</v>
      </c>
      <c r="J339" s="7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">
        <v>270</v>
      </c>
      <c r="H340" s="1">
        <v>760</v>
      </c>
      <c r="I340" s="6">
        <f>Tabela1[[#This Row],[Valor total]]-Tabela1[[#This Row],[Valor custo]]</f>
        <v>490</v>
      </c>
      <c r="J340" s="7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">
        <v>684.55</v>
      </c>
      <c r="H341" s="1">
        <v>1160</v>
      </c>
      <c r="I341" s="6">
        <f>Tabela1[[#This Row],[Valor total]]-Tabela1[[#This Row],[Valor custo]]</f>
        <v>475.45000000000005</v>
      </c>
      <c r="J341" s="7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">
        <v>561.94000000000005</v>
      </c>
      <c r="H342" s="1">
        <v>825</v>
      </c>
      <c r="I342" s="6">
        <f>Tabela1[[#This Row],[Valor total]]-Tabela1[[#This Row],[Valor custo]]</f>
        <v>263.05999999999995</v>
      </c>
      <c r="J342" s="7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">
        <v>356.89</v>
      </c>
      <c r="H343" s="1">
        <v>670</v>
      </c>
      <c r="I343" s="6">
        <f>Tabela1[[#This Row],[Valor total]]-Tabela1[[#This Row],[Valor custo]]</f>
        <v>313.11</v>
      </c>
      <c r="J343" s="7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">
        <v>773</v>
      </c>
      <c r="H344" s="1">
        <v>1600</v>
      </c>
      <c r="I344" s="6">
        <f>Tabela1[[#This Row],[Valor total]]-Tabela1[[#This Row],[Valor custo]]</f>
        <v>827</v>
      </c>
      <c r="J344" s="7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">
        <v>0</v>
      </c>
      <c r="H345" s="1">
        <v>550</v>
      </c>
      <c r="I345" s="6">
        <f>Tabela1[[#This Row],[Valor total]]-Tabela1[[#This Row],[Valor custo]]</f>
        <v>550</v>
      </c>
      <c r="J345" s="7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">
        <v>150</v>
      </c>
      <c r="H346" s="1">
        <v>180</v>
      </c>
      <c r="I346" s="6">
        <f>Tabela1[[#This Row],[Valor total]]-Tabela1[[#This Row],[Valor custo]]</f>
        <v>30</v>
      </c>
      <c r="J346" s="7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">
        <v>710</v>
      </c>
      <c r="H347" s="1">
        <v>1200</v>
      </c>
      <c r="I347" s="6">
        <f>Tabela1[[#This Row],[Valor total]]-Tabela1[[#This Row],[Valor custo]]</f>
        <v>490</v>
      </c>
      <c r="J347" s="7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">
        <v>1419</v>
      </c>
      <c r="H348" s="1">
        <v>2100</v>
      </c>
      <c r="I348" s="6">
        <f>Tabela1[[#This Row],[Valor total]]-Tabela1[[#This Row],[Valor custo]]</f>
        <v>681</v>
      </c>
      <c r="J348" s="7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">
        <v>1278</v>
      </c>
      <c r="H349" s="1">
        <v>2390</v>
      </c>
      <c r="I349" s="6">
        <f>Tabela1[[#This Row],[Valor total]]-Tabela1[[#This Row],[Valor custo]]</f>
        <v>1112</v>
      </c>
      <c r="J349" s="7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">
        <v>125</v>
      </c>
      <c r="H350" s="1">
        <v>150</v>
      </c>
      <c r="I350" s="6">
        <f>Tabela1[[#This Row],[Valor total]]-Tabela1[[#This Row],[Valor custo]]</f>
        <v>25</v>
      </c>
      <c r="J350" s="7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">
        <v>946</v>
      </c>
      <c r="H351" s="1">
        <v>1240</v>
      </c>
      <c r="I351" s="6">
        <f>Tabela1[[#This Row],[Valor total]]-Tabela1[[#This Row],[Valor custo]]</f>
        <v>294</v>
      </c>
      <c r="J351" s="7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">
        <v>650.85</v>
      </c>
      <c r="H352" s="1">
        <v>866</v>
      </c>
      <c r="I352" s="6">
        <f>Tabela1[[#This Row],[Valor total]]-Tabela1[[#This Row],[Valor custo]]</f>
        <v>215.14999999999998</v>
      </c>
      <c r="J352" s="7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">
        <v>90</v>
      </c>
      <c r="H353" s="1">
        <v>180</v>
      </c>
      <c r="I353" s="6">
        <f>Tabela1[[#This Row],[Valor total]]-Tabela1[[#This Row],[Valor custo]]</f>
        <v>90</v>
      </c>
      <c r="J353" s="7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">
        <v>163.69</v>
      </c>
      <c r="H354" s="1">
        <v>290</v>
      </c>
      <c r="I354" s="6">
        <f>Tabela1[[#This Row],[Valor total]]-Tabela1[[#This Row],[Valor custo]]</f>
        <v>126.31</v>
      </c>
      <c r="J354" s="7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">
        <v>1236.43</v>
      </c>
      <c r="H355" s="1">
        <v>2195</v>
      </c>
      <c r="I355" s="6">
        <f>Tabela1[[#This Row],[Valor total]]-Tabela1[[#This Row],[Valor custo]]</f>
        <v>958.56999999999994</v>
      </c>
      <c r="J355" s="7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">
        <v>409.87</v>
      </c>
      <c r="H356" s="1">
        <v>585</v>
      </c>
      <c r="I356" s="6">
        <f>Tabela1[[#This Row],[Valor total]]-Tabela1[[#This Row],[Valor custo]]</f>
        <v>175.13</v>
      </c>
      <c r="J356" s="7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">
        <v>1753.13</v>
      </c>
      <c r="H357" s="1">
        <v>2740</v>
      </c>
      <c r="I357" s="6">
        <f>Tabela1[[#This Row],[Valor total]]-Tabela1[[#This Row],[Valor custo]]</f>
        <v>986.86999999999989</v>
      </c>
      <c r="J357" s="7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">
        <v>1586.06</v>
      </c>
      <c r="H358" s="1">
        <v>2185</v>
      </c>
      <c r="I358" s="6">
        <f>Tabela1[[#This Row],[Valor total]]-Tabela1[[#This Row],[Valor custo]]</f>
        <v>598.94000000000005</v>
      </c>
      <c r="J358" s="7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">
        <v>1790.56</v>
      </c>
      <c r="H359" s="1">
        <v>2860</v>
      </c>
      <c r="I359" s="6">
        <f>Tabela1[[#This Row],[Valor total]]-Tabela1[[#This Row],[Valor custo]]</f>
        <v>1069.44</v>
      </c>
      <c r="J359" s="7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">
        <v>894</v>
      </c>
      <c r="H360" s="1">
        <v>1290</v>
      </c>
      <c r="I360" s="6">
        <f>Tabela1[[#This Row],[Valor total]]-Tabela1[[#This Row],[Valor custo]]</f>
        <v>396</v>
      </c>
      <c r="J360" s="7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">
        <v>507.3</v>
      </c>
      <c r="H361" s="1">
        <v>699</v>
      </c>
      <c r="I361" s="6">
        <f>Tabela1[[#This Row],[Valor total]]-Tabela1[[#This Row],[Valor custo]]</f>
        <v>191.7</v>
      </c>
      <c r="J361" s="7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">
        <v>2129.9699999999998</v>
      </c>
      <c r="H362" s="1">
        <v>3250</v>
      </c>
      <c r="I362" s="6">
        <f>Tabela1[[#This Row],[Valor total]]-Tabela1[[#This Row],[Valor custo]]</f>
        <v>1120.0300000000002</v>
      </c>
      <c r="J362" s="7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">
        <v>439.2</v>
      </c>
      <c r="H363" s="1">
        <v>545</v>
      </c>
      <c r="I363" s="6">
        <f>Tabela1[[#This Row],[Valor total]]-Tabela1[[#This Row],[Valor custo]]</f>
        <v>105.80000000000001</v>
      </c>
      <c r="J363" s="7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">
        <v>1317.6</v>
      </c>
      <c r="H364" s="1">
        <v>1860</v>
      </c>
      <c r="I364" s="6">
        <f>Tabela1[[#This Row],[Valor total]]-Tabela1[[#This Row],[Valor custo]]</f>
        <v>542.40000000000009</v>
      </c>
      <c r="J364" s="7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">
        <v>4311.42</v>
      </c>
      <c r="H365" s="1">
        <v>7200</v>
      </c>
      <c r="I365" s="6">
        <f>Tabela1[[#This Row],[Valor total]]-Tabela1[[#This Row],[Valor custo]]</f>
        <v>2888.58</v>
      </c>
      <c r="J365" s="7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">
        <v>57.13</v>
      </c>
      <c r="H366" s="1">
        <v>180</v>
      </c>
      <c r="I366" s="6">
        <f>Tabela1[[#This Row],[Valor total]]-Tabela1[[#This Row],[Valor custo]]</f>
        <v>122.87</v>
      </c>
      <c r="J366" s="7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">
        <v>819.74</v>
      </c>
      <c r="H367" s="1">
        <v>1170</v>
      </c>
      <c r="I367" s="6">
        <f>Tabela1[[#This Row],[Valor total]]-Tabela1[[#This Row],[Valor custo]]</f>
        <v>350.26</v>
      </c>
      <c r="J367" s="7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">
        <v>970</v>
      </c>
      <c r="H368" s="1">
        <v>1425</v>
      </c>
      <c r="I368" s="6">
        <f>Tabela1[[#This Row],[Valor total]]-Tabela1[[#This Row],[Valor custo]]</f>
        <v>455</v>
      </c>
      <c r="J368" s="7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">
        <v>409.87</v>
      </c>
      <c r="H369" s="1">
        <v>585</v>
      </c>
      <c r="I369" s="6">
        <f>Tabela1[[#This Row],[Valor total]]-Tabela1[[#This Row],[Valor custo]]</f>
        <v>175.13</v>
      </c>
      <c r="J369" s="7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">
        <v>439.2</v>
      </c>
      <c r="H370" s="1">
        <v>645</v>
      </c>
      <c r="I370" s="6">
        <f>Tabela1[[#This Row],[Valor total]]-Tabela1[[#This Row],[Valor custo]]</f>
        <v>205.8</v>
      </c>
      <c r="J370" s="7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">
        <v>2572.25</v>
      </c>
      <c r="H371" s="1">
        <v>3346.5</v>
      </c>
      <c r="I371" s="6">
        <f>Tabela1[[#This Row],[Valor total]]-Tabela1[[#This Row],[Valor custo]]</f>
        <v>774.25</v>
      </c>
      <c r="J371" s="7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">
        <v>2828.92</v>
      </c>
      <c r="H372" s="1">
        <v>5800</v>
      </c>
      <c r="I372" s="6">
        <f>Tabela1[[#This Row],[Valor total]]-Tabela1[[#This Row],[Valor custo]]</f>
        <v>2971.08</v>
      </c>
      <c r="J372" s="7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">
        <v>531.45000000000005</v>
      </c>
      <c r="H373" s="1">
        <v>785</v>
      </c>
      <c r="I373" s="6">
        <f>Tabela1[[#This Row],[Valor total]]-Tabela1[[#This Row],[Valor custo]]</f>
        <v>253.54999999999995</v>
      </c>
      <c r="J373" s="7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">
        <v>100</v>
      </c>
      <c r="H374" s="1">
        <v>120</v>
      </c>
      <c r="I374" s="6">
        <f>Tabela1[[#This Row],[Valor total]]-Tabela1[[#This Row],[Valor custo]]</f>
        <v>20</v>
      </c>
      <c r="J374" s="7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">
        <v>3229.97</v>
      </c>
      <c r="H375" s="1">
        <v>5290</v>
      </c>
      <c r="I375" s="6">
        <f>Tabela1[[#This Row],[Valor total]]-Tabela1[[#This Row],[Valor custo]]</f>
        <v>2060.0300000000002</v>
      </c>
      <c r="J375" s="7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">
        <v>447</v>
      </c>
      <c r="H376" s="1">
        <v>620</v>
      </c>
      <c r="I376" s="6">
        <f>Tabela1[[#This Row],[Valor total]]-Tabela1[[#This Row],[Valor custo]]</f>
        <v>173</v>
      </c>
      <c r="J376" s="7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">
        <v>668.11</v>
      </c>
      <c r="H377" s="1">
        <v>1035</v>
      </c>
      <c r="I377" s="6">
        <f>Tabela1[[#This Row],[Valor total]]-Tabela1[[#This Row],[Valor custo]]</f>
        <v>366.89</v>
      </c>
      <c r="J377" s="7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">
        <v>2196</v>
      </c>
      <c r="H378" s="1">
        <v>2950</v>
      </c>
      <c r="I378" s="6">
        <f>Tabela1[[#This Row],[Valor total]]-Tabela1[[#This Row],[Valor custo]]</f>
        <v>754</v>
      </c>
      <c r="J378" s="7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">
        <v>8092.48</v>
      </c>
      <c r="H379" s="1">
        <v>10500</v>
      </c>
      <c r="I379" s="6">
        <f>Tabela1[[#This Row],[Valor total]]-Tabela1[[#This Row],[Valor custo]]</f>
        <v>2407.5200000000004</v>
      </c>
      <c r="J379" s="7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">
        <v>473</v>
      </c>
      <c r="H380" s="1">
        <v>720</v>
      </c>
      <c r="I380" s="6">
        <f>Tabela1[[#This Row],[Valor total]]-Tabela1[[#This Row],[Valor custo]]</f>
        <v>247</v>
      </c>
      <c r="J380" s="7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">
        <v>707.23</v>
      </c>
      <c r="H381" s="1">
        <v>1100</v>
      </c>
      <c r="I381" s="6">
        <f>Tabela1[[#This Row],[Valor total]]-Tabela1[[#This Row],[Valor custo]]</f>
        <v>392.77</v>
      </c>
      <c r="J381" s="7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">
        <v>1756.8</v>
      </c>
      <c r="H382" s="1">
        <v>2480</v>
      </c>
      <c r="I382" s="6">
        <f>Tabela1[[#This Row],[Valor total]]-Tabela1[[#This Row],[Valor custo]]</f>
        <v>723.2</v>
      </c>
      <c r="J382" s="7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">
        <v>564.20000000000005</v>
      </c>
      <c r="H383" s="1">
        <v>695</v>
      </c>
      <c r="I383" s="6">
        <f>Tabela1[[#This Row],[Valor total]]-Tabela1[[#This Row],[Valor custo]]</f>
        <v>130.79999999999995</v>
      </c>
      <c r="J383" s="7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">
        <v>102</v>
      </c>
      <c r="H384" s="1">
        <v>140</v>
      </c>
      <c r="I384" s="6">
        <f>Tabela1[[#This Row],[Valor total]]-Tabela1[[#This Row],[Valor custo]]</f>
        <v>38</v>
      </c>
      <c r="J384" s="7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">
        <v>171.95</v>
      </c>
      <c r="H385" s="1">
        <v>250</v>
      </c>
      <c r="I385" s="6">
        <f>Tabela1[[#This Row],[Valor total]]-Tabela1[[#This Row],[Valor custo]]</f>
        <v>78.050000000000011</v>
      </c>
      <c r="J385" s="7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">
        <v>1225.71</v>
      </c>
      <c r="H386" s="1">
        <v>1995</v>
      </c>
      <c r="I386" s="6">
        <f>Tabela1[[#This Row],[Valor total]]-Tabela1[[#This Row],[Valor custo]]</f>
        <v>769.29</v>
      </c>
      <c r="J386" s="7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">
        <v>1068</v>
      </c>
      <c r="H387" s="1">
        <v>1740</v>
      </c>
      <c r="I387" s="6">
        <f>Tabela1[[#This Row],[Valor total]]-Tabela1[[#This Row],[Valor custo]]</f>
        <v>672</v>
      </c>
      <c r="J387" s="7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">
        <v>491</v>
      </c>
      <c r="H388" s="1">
        <v>650</v>
      </c>
      <c r="I388" s="6">
        <f>Tabela1[[#This Row],[Valor total]]-Tabela1[[#This Row],[Valor custo]]</f>
        <v>159</v>
      </c>
      <c r="J388" s="7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">
        <v>382.3</v>
      </c>
      <c r="H389" s="1">
        <v>655</v>
      </c>
      <c r="I389" s="6">
        <f>Tabela1[[#This Row],[Valor total]]-Tabela1[[#This Row],[Valor custo]]</f>
        <v>272.7</v>
      </c>
      <c r="J389" s="7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">
        <v>439.2</v>
      </c>
      <c r="H390" s="1">
        <v>580</v>
      </c>
      <c r="I390" s="6">
        <f>Tabela1[[#This Row],[Valor total]]-Tabela1[[#This Row],[Valor custo]]</f>
        <v>140.80000000000001</v>
      </c>
      <c r="J390" s="7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">
        <v>629.20000000000005</v>
      </c>
      <c r="H391" s="1">
        <v>1045</v>
      </c>
      <c r="I391" s="6">
        <f>Tabela1[[#This Row],[Valor total]]-Tabela1[[#This Row],[Valor custo]]</f>
        <v>415.79999999999995</v>
      </c>
      <c r="J391" s="7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">
        <v>1941</v>
      </c>
      <c r="H392" s="1">
        <v>3040</v>
      </c>
      <c r="I392" s="6">
        <f>Tabela1[[#This Row],[Valor total]]-Tabela1[[#This Row],[Valor custo]]</f>
        <v>1099</v>
      </c>
      <c r="J392" s="7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">
        <v>2705.78</v>
      </c>
      <c r="H393" s="1">
        <v>4150</v>
      </c>
      <c r="I393" s="6">
        <f>Tabela1[[#This Row],[Valor total]]-Tabela1[[#This Row],[Valor custo]]</f>
        <v>1444.2199999999998</v>
      </c>
      <c r="J393" s="7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">
        <v>1473.02</v>
      </c>
      <c r="H394" s="1">
        <v>3000</v>
      </c>
      <c r="I394" s="6">
        <f>Tabela1[[#This Row],[Valor total]]-Tabela1[[#This Row],[Valor custo]]</f>
        <v>1526.98</v>
      </c>
      <c r="J394" s="7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">
        <v>62.75</v>
      </c>
      <c r="H395" s="1">
        <v>70</v>
      </c>
      <c r="I395" s="6">
        <f>Tabela1[[#This Row],[Valor total]]-Tabela1[[#This Row],[Valor custo]]</f>
        <v>7.25</v>
      </c>
      <c r="J395" s="7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">
        <v>957.68</v>
      </c>
      <c r="H396" s="1">
        <v>1119.8</v>
      </c>
      <c r="I396" s="6">
        <f>Tabela1[[#This Row],[Valor total]]-Tabela1[[#This Row],[Valor custo]]</f>
        <v>162.12</v>
      </c>
      <c r="J396" s="7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">
        <v>764.6</v>
      </c>
      <c r="H397" s="1">
        <v>1230</v>
      </c>
      <c r="I397" s="6">
        <f>Tabela1[[#This Row],[Valor total]]-Tabela1[[#This Row],[Valor custo]]</f>
        <v>465.4</v>
      </c>
      <c r="J397" s="7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">
        <v>122.74</v>
      </c>
      <c r="H398" s="1">
        <v>180</v>
      </c>
      <c r="I398" s="6">
        <f>Tabela1[[#This Row],[Valor total]]-Tabela1[[#This Row],[Valor custo]]</f>
        <v>57.260000000000005</v>
      </c>
      <c r="J398" s="7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">
        <v>0</v>
      </c>
      <c r="H399" s="1">
        <v>270</v>
      </c>
      <c r="I399" s="6">
        <f>Tabela1[[#This Row],[Valor total]]-Tabela1[[#This Row],[Valor custo]]</f>
        <v>270</v>
      </c>
      <c r="J399" s="7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">
        <v>0</v>
      </c>
      <c r="H400" s="1">
        <v>135</v>
      </c>
      <c r="I400" s="6">
        <f>Tabela1[[#This Row],[Valor total]]-Tabela1[[#This Row],[Valor custo]]</f>
        <v>135</v>
      </c>
      <c r="J400" s="7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">
        <v>932</v>
      </c>
      <c r="H401" s="1">
        <v>1590</v>
      </c>
      <c r="I401" s="6">
        <f>Tabela1[[#This Row],[Valor total]]-Tabela1[[#This Row],[Valor custo]]</f>
        <v>658</v>
      </c>
      <c r="J401" s="7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">
        <v>952</v>
      </c>
      <c r="H402" s="1">
        <v>1570</v>
      </c>
      <c r="I402" s="6">
        <f>Tabela1[[#This Row],[Valor total]]-Tabela1[[#This Row],[Valor custo]]</f>
        <v>618</v>
      </c>
      <c r="J402" s="7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">
        <v>559.69000000000005</v>
      </c>
      <c r="H403" s="1">
        <v>1340</v>
      </c>
      <c r="I403" s="6">
        <f>Tabela1[[#This Row],[Valor total]]-Tabela1[[#This Row],[Valor custo]]</f>
        <v>780.31</v>
      </c>
      <c r="J403" s="7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">
        <v>4378.99</v>
      </c>
      <c r="H404" s="1">
        <v>7050</v>
      </c>
      <c r="I404" s="6">
        <f>Tabela1[[#This Row],[Valor total]]-Tabela1[[#This Row],[Valor custo]]</f>
        <v>2671.01</v>
      </c>
      <c r="J404" s="7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">
        <v>531.45000000000005</v>
      </c>
      <c r="H405" s="1">
        <v>741.6</v>
      </c>
      <c r="I405" s="6">
        <f>Tabela1[[#This Row],[Valor total]]-Tabela1[[#This Row],[Valor custo]]</f>
        <v>210.14999999999998</v>
      </c>
      <c r="J405" s="7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">
        <v>911.35</v>
      </c>
      <c r="H406" s="1">
        <v>1213.9000000000001</v>
      </c>
      <c r="I406" s="6">
        <f>Tabela1[[#This Row],[Valor total]]-Tabela1[[#This Row],[Valor custo]]</f>
        <v>302.55000000000007</v>
      </c>
      <c r="J406" s="7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">
        <v>1918.35</v>
      </c>
      <c r="H407" s="1">
        <v>2600</v>
      </c>
      <c r="I407" s="6">
        <f>Tabela1[[#This Row],[Valor total]]-Tabela1[[#This Row],[Valor custo]]</f>
        <v>681.65000000000009</v>
      </c>
      <c r="J407" s="7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">
        <v>1045.9000000000001</v>
      </c>
      <c r="H408" s="1">
        <v>1440</v>
      </c>
      <c r="I408" s="6">
        <f>Tabela1[[#This Row],[Valor total]]-Tabela1[[#This Row],[Valor custo]]</f>
        <v>394.09999999999991</v>
      </c>
      <c r="J408" s="7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">
        <v>878.4</v>
      </c>
      <c r="H409" s="1">
        <v>1200</v>
      </c>
      <c r="I409" s="6">
        <f>Tabela1[[#This Row],[Valor total]]-Tabela1[[#This Row],[Valor custo]]</f>
        <v>321.60000000000002</v>
      </c>
      <c r="J409" s="7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">
        <v>79</v>
      </c>
      <c r="H410" s="1">
        <v>300</v>
      </c>
      <c r="I410" s="6">
        <f>Tabela1[[#This Row],[Valor total]]-Tabela1[[#This Row],[Valor custo]]</f>
        <v>221</v>
      </c>
      <c r="J410" s="7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">
        <v>5957.9</v>
      </c>
      <c r="H411" s="1">
        <v>9810</v>
      </c>
      <c r="I411" s="6">
        <f>Tabela1[[#This Row],[Valor total]]-Tabela1[[#This Row],[Valor custo]]</f>
        <v>3852.1000000000004</v>
      </c>
      <c r="J411" s="7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">
        <v>3747.83</v>
      </c>
      <c r="H412" s="1">
        <v>5550</v>
      </c>
      <c r="I412" s="6">
        <f>Tabela1[[#This Row],[Valor total]]-Tabela1[[#This Row],[Valor custo]]</f>
        <v>1802.17</v>
      </c>
      <c r="J412" s="7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">
        <v>806.6</v>
      </c>
      <c r="H413" s="1">
        <v>1268</v>
      </c>
      <c r="I413" s="6">
        <f>Tabela1[[#This Row],[Valor total]]-Tabela1[[#This Row],[Valor custo]]</f>
        <v>461.4</v>
      </c>
      <c r="J413" s="7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">
        <v>394.04</v>
      </c>
      <c r="H414" s="1">
        <v>500</v>
      </c>
      <c r="I414" s="6">
        <f>Tabela1[[#This Row],[Valor total]]-Tabela1[[#This Row],[Valor custo]]</f>
        <v>105.95999999999998</v>
      </c>
      <c r="J414" s="7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">
        <v>439.2</v>
      </c>
      <c r="H415" s="1">
        <v>620</v>
      </c>
      <c r="I415" s="6">
        <f>Tabela1[[#This Row],[Valor total]]-Tabela1[[#This Row],[Valor custo]]</f>
        <v>180.8</v>
      </c>
      <c r="J415" s="7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">
        <v>1028.9000000000001</v>
      </c>
      <c r="H416" s="1">
        <v>1440</v>
      </c>
      <c r="I416" s="6">
        <f>Tabela1[[#This Row],[Valor total]]-Tabela1[[#This Row],[Valor custo]]</f>
        <v>411.09999999999991</v>
      </c>
      <c r="J416" s="7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">
        <v>57.13</v>
      </c>
      <c r="H417" s="1">
        <v>200</v>
      </c>
      <c r="I417" s="6">
        <f>Tabela1[[#This Row],[Valor total]]-Tabela1[[#This Row],[Valor custo]]</f>
        <v>142.87</v>
      </c>
      <c r="J417" s="7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">
        <v>439.2</v>
      </c>
      <c r="H418" s="1">
        <v>645</v>
      </c>
      <c r="I418" s="6">
        <f>Tabela1[[#This Row],[Valor total]]-Tabela1[[#This Row],[Valor custo]]</f>
        <v>205.8</v>
      </c>
      <c r="J418" s="7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">
        <v>978.65</v>
      </c>
      <c r="H419" s="1">
        <v>1340</v>
      </c>
      <c r="I419" s="6">
        <f>Tabela1[[#This Row],[Valor total]]-Tabela1[[#This Row],[Valor custo]]</f>
        <v>361.35</v>
      </c>
      <c r="J419" s="7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">
        <v>515.5</v>
      </c>
      <c r="H420" s="1">
        <v>935</v>
      </c>
      <c r="I420" s="6">
        <f>Tabela1[[#This Row],[Valor total]]-Tabela1[[#This Row],[Valor custo]]</f>
        <v>419.5</v>
      </c>
      <c r="J420" s="7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">
        <v>1414.46</v>
      </c>
      <c r="H421" s="1">
        <v>600</v>
      </c>
      <c r="I421" s="6">
        <f>Tabela1[[#This Row],[Valor total]]-Tabela1[[#This Row],[Valor custo]]</f>
        <v>-814.46</v>
      </c>
      <c r="J421" s="7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">
        <v>531.45000000000005</v>
      </c>
      <c r="H422" s="1">
        <v>785</v>
      </c>
      <c r="I422" s="6">
        <f>Tabela1[[#This Row],[Valor total]]-Tabela1[[#This Row],[Valor custo]]</f>
        <v>253.54999999999995</v>
      </c>
      <c r="J422" s="7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">
        <v>707.23</v>
      </c>
      <c r="H423" s="1">
        <v>1250</v>
      </c>
      <c r="I423" s="6">
        <f>Tabela1[[#This Row],[Valor total]]-Tabela1[[#This Row],[Valor custo]]</f>
        <v>542.77</v>
      </c>
      <c r="J423" s="7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">
        <v>569.53</v>
      </c>
      <c r="H424" s="1">
        <v>794.9</v>
      </c>
      <c r="I424" s="6">
        <f>Tabela1[[#This Row],[Valor total]]-Tabela1[[#This Row],[Valor custo]]</f>
        <v>225.37</v>
      </c>
      <c r="J424" s="7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">
        <v>2196</v>
      </c>
      <c r="H425" s="1">
        <v>3225</v>
      </c>
      <c r="I425" s="6">
        <f>Tabela1[[#This Row],[Valor total]]-Tabela1[[#This Row],[Valor custo]]</f>
        <v>1029</v>
      </c>
      <c r="J425" s="7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">
        <v>439.2</v>
      </c>
      <c r="H426" s="1">
        <v>580</v>
      </c>
      <c r="I426" s="6">
        <f>Tabela1[[#This Row],[Valor total]]-Tabela1[[#This Row],[Valor custo]]</f>
        <v>140.80000000000001</v>
      </c>
      <c r="J426" s="7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">
        <v>1020</v>
      </c>
      <c r="H427" s="1">
        <v>1520</v>
      </c>
      <c r="I427" s="6">
        <f>Tabela1[[#This Row],[Valor total]]-Tabela1[[#This Row],[Valor custo]]</f>
        <v>500</v>
      </c>
      <c r="J427" s="7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">
        <v>770</v>
      </c>
      <c r="H428" s="1">
        <v>1230</v>
      </c>
      <c r="I428" s="6">
        <f>Tabela1[[#This Row],[Valor total]]-Tabela1[[#This Row],[Valor custo]]</f>
        <v>460</v>
      </c>
      <c r="J428" s="7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">
        <v>342.5</v>
      </c>
      <c r="H429" s="1">
        <v>785</v>
      </c>
      <c r="I429" s="6">
        <f>Tabela1[[#This Row],[Valor total]]-Tabela1[[#This Row],[Valor custo]]</f>
        <v>442.5</v>
      </c>
      <c r="J429" s="7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">
        <v>531.45000000000005</v>
      </c>
      <c r="H430" s="1">
        <v>750</v>
      </c>
      <c r="I430" s="6">
        <f>Tabela1[[#This Row],[Valor total]]-Tabela1[[#This Row],[Valor custo]]</f>
        <v>218.54999999999995</v>
      </c>
      <c r="J430" s="7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">
        <v>1604</v>
      </c>
      <c r="H431" s="1">
        <v>2540</v>
      </c>
      <c r="I431" s="6">
        <f>Tabela1[[#This Row],[Valor total]]-Tabela1[[#This Row],[Valor custo]]</f>
        <v>936</v>
      </c>
      <c r="J431" s="7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">
        <v>104.4</v>
      </c>
      <c r="H432" s="1">
        <v>350</v>
      </c>
      <c r="I432" s="6">
        <f>Tabela1[[#This Row],[Valor total]]-Tabela1[[#This Row],[Valor custo]]</f>
        <v>245.6</v>
      </c>
      <c r="J432" s="7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">
        <v>1233.02</v>
      </c>
      <c r="H433" s="1">
        <v>1940</v>
      </c>
      <c r="I433" s="6">
        <f>Tabela1[[#This Row],[Valor total]]-Tabela1[[#This Row],[Valor custo]]</f>
        <v>706.98</v>
      </c>
      <c r="J433" s="7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">
        <v>32.5</v>
      </c>
      <c r="H434" s="1">
        <v>60</v>
      </c>
      <c r="I434" s="6">
        <f>Tabela1[[#This Row],[Valor total]]-Tabela1[[#This Row],[Valor custo]]</f>
        <v>27.5</v>
      </c>
      <c r="J434" s="7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">
        <v>41.76</v>
      </c>
      <c r="H435" s="1">
        <v>160</v>
      </c>
      <c r="I435" s="6">
        <f>Tabela1[[#This Row],[Valor total]]-Tabela1[[#This Row],[Valor custo]]</f>
        <v>118.24000000000001</v>
      </c>
      <c r="J435" s="7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">
        <v>439.2</v>
      </c>
      <c r="H436" s="1">
        <v>645</v>
      </c>
      <c r="I436" s="6">
        <f>Tabela1[[#This Row],[Valor total]]-Tabela1[[#This Row],[Valor custo]]</f>
        <v>205.8</v>
      </c>
      <c r="J436" s="7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">
        <v>439.2</v>
      </c>
      <c r="H437" s="1">
        <v>660</v>
      </c>
      <c r="I437" s="6">
        <f>Tabela1[[#This Row],[Valor total]]-Tabela1[[#This Row],[Valor custo]]</f>
        <v>220.8</v>
      </c>
      <c r="J437" s="7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">
        <v>447</v>
      </c>
      <c r="H438" s="1">
        <v>615</v>
      </c>
      <c r="I438" s="6">
        <f>Tabela1[[#This Row],[Valor total]]-Tabela1[[#This Row],[Valor custo]]</f>
        <v>168</v>
      </c>
      <c r="J438" s="7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">
        <v>894</v>
      </c>
      <c r="H439" s="1">
        <v>1230</v>
      </c>
      <c r="I439" s="6">
        <f>Tabela1[[#This Row],[Valor total]]-Tabela1[[#This Row],[Valor custo]]</f>
        <v>336</v>
      </c>
      <c r="J439" s="7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">
        <v>61</v>
      </c>
      <c r="H440" s="1">
        <v>80</v>
      </c>
      <c r="I440" s="6">
        <f>Tabela1[[#This Row],[Valor total]]-Tabela1[[#This Row],[Valor custo]]</f>
        <v>19</v>
      </c>
      <c r="J440" s="7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">
        <v>447</v>
      </c>
      <c r="H441" s="1">
        <v>615</v>
      </c>
      <c r="I441" s="6">
        <f>Tabela1[[#This Row],[Valor total]]-Tabela1[[#This Row],[Valor custo]]</f>
        <v>168</v>
      </c>
      <c r="J441" s="7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">
        <v>447</v>
      </c>
      <c r="H442" s="1">
        <v>500</v>
      </c>
      <c r="I442" s="6">
        <f>Tabela1[[#This Row],[Valor total]]-Tabela1[[#This Row],[Valor custo]]</f>
        <v>53</v>
      </c>
      <c r="J442" s="7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">
        <v>447</v>
      </c>
      <c r="H443" s="1">
        <v>615</v>
      </c>
      <c r="I443" s="6">
        <f>Tabela1[[#This Row],[Valor total]]-Tabela1[[#This Row],[Valor custo]]</f>
        <v>168</v>
      </c>
      <c r="J443" s="7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">
        <v>40</v>
      </c>
      <c r="H444" s="1">
        <v>90</v>
      </c>
      <c r="I444" s="6">
        <f>Tabela1[[#This Row],[Valor total]]-Tabela1[[#This Row],[Valor custo]]</f>
        <v>50</v>
      </c>
      <c r="J444" s="7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">
        <v>25</v>
      </c>
      <c r="H445" s="1">
        <v>30</v>
      </c>
      <c r="I445" s="6">
        <f>Tabela1[[#This Row],[Valor total]]-Tabela1[[#This Row],[Valor custo]]</f>
        <v>5</v>
      </c>
      <c r="J445" s="7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">
        <v>497</v>
      </c>
      <c r="H446" s="1">
        <v>785</v>
      </c>
      <c r="I446" s="6">
        <f>Tabela1[[#This Row],[Valor total]]-Tabela1[[#This Row],[Valor custo]]</f>
        <v>288</v>
      </c>
      <c r="J446" s="7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">
        <v>3239.76</v>
      </c>
      <c r="H447" s="1">
        <v>4680</v>
      </c>
      <c r="I447" s="6">
        <f>Tabela1[[#This Row],[Valor total]]-Tabela1[[#This Row],[Valor custo]]</f>
        <v>1440.2399999999998</v>
      </c>
      <c r="J447" s="7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">
        <v>447</v>
      </c>
      <c r="H448" s="1">
        <v>645</v>
      </c>
      <c r="I448" s="6">
        <f>Tabela1[[#This Row],[Valor total]]-Tabela1[[#This Row],[Valor custo]]</f>
        <v>198</v>
      </c>
      <c r="J448" s="7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">
        <v>439.2</v>
      </c>
      <c r="H449" s="1">
        <v>645</v>
      </c>
      <c r="I449" s="6">
        <f>Tabela1[[#This Row],[Valor total]]-Tabela1[[#This Row],[Valor custo]]</f>
        <v>205.8</v>
      </c>
      <c r="J449" s="7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">
        <v>122.74</v>
      </c>
      <c r="H450" s="1">
        <v>200</v>
      </c>
      <c r="I450" s="6">
        <f>Tabela1[[#This Row],[Valor total]]-Tabela1[[#This Row],[Valor custo]]</f>
        <v>77.260000000000005</v>
      </c>
      <c r="J450" s="7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">
        <v>447</v>
      </c>
      <c r="H451" s="1">
        <v>615</v>
      </c>
      <c r="I451" s="6">
        <f>Tabela1[[#This Row],[Valor total]]-Tabela1[[#This Row],[Valor custo]]</f>
        <v>168</v>
      </c>
      <c r="J451" s="7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">
        <v>920.02</v>
      </c>
      <c r="H452" s="1">
        <v>2150</v>
      </c>
      <c r="I452" s="6">
        <f>Tabela1[[#This Row],[Valor total]]-Tabela1[[#This Row],[Valor custo]]</f>
        <v>1229.98</v>
      </c>
      <c r="J452" s="7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">
        <v>57.13</v>
      </c>
      <c r="H453" s="1">
        <v>200</v>
      </c>
      <c r="I453" s="6">
        <f>Tabela1[[#This Row],[Valor total]]-Tabela1[[#This Row],[Valor custo]]</f>
        <v>142.87</v>
      </c>
      <c r="J453" s="7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">
        <v>518.9</v>
      </c>
      <c r="H454" s="1">
        <v>770</v>
      </c>
      <c r="I454" s="6">
        <f>Tabela1[[#This Row],[Valor total]]-Tabela1[[#This Row],[Valor custo]]</f>
        <v>251.10000000000002</v>
      </c>
      <c r="J454" s="7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">
        <v>1332.6</v>
      </c>
      <c r="H455" s="1">
        <v>1848</v>
      </c>
      <c r="I455" s="6">
        <f>Tabela1[[#This Row],[Valor total]]-Tabela1[[#This Row],[Valor custo]]</f>
        <v>515.40000000000009</v>
      </c>
      <c r="J455" s="7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">
        <v>568.24</v>
      </c>
      <c r="H456" s="1">
        <v>1200</v>
      </c>
      <c r="I456" s="6">
        <f>Tabela1[[#This Row],[Valor total]]-Tabela1[[#This Row],[Valor custo]]</f>
        <v>631.76</v>
      </c>
      <c r="J456" s="7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">
        <v>1596.97</v>
      </c>
      <c r="H457" s="1">
        <v>2440</v>
      </c>
      <c r="I457" s="6">
        <f>Tabela1[[#This Row],[Valor total]]-Tabela1[[#This Row],[Valor custo]]</f>
        <v>843.03</v>
      </c>
      <c r="J457" s="7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">
        <v>5125.54</v>
      </c>
      <c r="H458" s="1">
        <v>7540</v>
      </c>
      <c r="I458" s="6">
        <f>Tabela1[[#This Row],[Valor total]]-Tabela1[[#This Row],[Valor custo]]</f>
        <v>2414.46</v>
      </c>
      <c r="J458" s="7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">
        <v>3901</v>
      </c>
      <c r="H459" s="1">
        <v>6600</v>
      </c>
      <c r="I459" s="6">
        <f>Tabela1[[#This Row],[Valor total]]-Tabela1[[#This Row],[Valor custo]]</f>
        <v>2699</v>
      </c>
      <c r="J459" s="7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">
        <v>447</v>
      </c>
      <c r="H460" s="1">
        <v>645</v>
      </c>
      <c r="I460" s="6">
        <f>Tabela1[[#This Row],[Valor total]]-Tabela1[[#This Row],[Valor custo]]</f>
        <v>198</v>
      </c>
      <c r="J460" s="7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">
        <v>13.69</v>
      </c>
      <c r="H461" s="1">
        <v>120</v>
      </c>
      <c r="I461" s="6">
        <f>Tabela1[[#This Row],[Valor total]]-Tabela1[[#This Row],[Valor custo]]</f>
        <v>106.31</v>
      </c>
      <c r="J461" s="7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">
        <v>13.69</v>
      </c>
      <c r="H462" s="1">
        <v>110</v>
      </c>
      <c r="I462" s="6">
        <f>Tabela1[[#This Row],[Valor total]]-Tabela1[[#This Row],[Valor custo]]</f>
        <v>96.31</v>
      </c>
      <c r="J462" s="7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">
        <v>909</v>
      </c>
      <c r="H463" s="1">
        <v>1350</v>
      </c>
      <c r="I463" s="6">
        <f>Tabela1[[#This Row],[Valor total]]-Tabela1[[#This Row],[Valor custo]]</f>
        <v>441</v>
      </c>
      <c r="J463" s="7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">
        <v>1906.33</v>
      </c>
      <c r="H464" s="1">
        <v>2646</v>
      </c>
      <c r="I464" s="6">
        <f>Tabela1[[#This Row],[Valor total]]-Tabela1[[#This Row],[Valor custo]]</f>
        <v>739.67000000000007</v>
      </c>
      <c r="J464" s="7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">
        <v>382.3</v>
      </c>
      <c r="H465" s="1">
        <v>650</v>
      </c>
      <c r="I465" s="6">
        <f>Tabela1[[#This Row],[Valor total]]-Tabela1[[#This Row],[Valor custo]]</f>
        <v>267.7</v>
      </c>
      <c r="J465" s="7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">
        <v>382.3</v>
      </c>
      <c r="H466" s="1">
        <v>620</v>
      </c>
      <c r="I466" s="6">
        <f>Tabela1[[#This Row],[Valor total]]-Tabela1[[#This Row],[Valor custo]]</f>
        <v>237.7</v>
      </c>
      <c r="J466" s="7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">
        <v>273.45999999999998</v>
      </c>
      <c r="H467" s="1">
        <v>558</v>
      </c>
      <c r="I467" s="6">
        <f>Tabela1[[#This Row],[Valor total]]-Tabela1[[#This Row],[Valor custo]]</f>
        <v>284.54000000000002</v>
      </c>
      <c r="J467" s="7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">
        <v>650</v>
      </c>
      <c r="H468" s="1">
        <v>765</v>
      </c>
      <c r="I468" s="6">
        <f>Tabela1[[#This Row],[Valor total]]-Tabela1[[#This Row],[Valor custo]]</f>
        <v>115</v>
      </c>
      <c r="J468" s="7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">
        <v>1913.25</v>
      </c>
      <c r="H469" s="1">
        <v>2980</v>
      </c>
      <c r="I469" s="6">
        <f>Tabela1[[#This Row],[Valor total]]-Tabela1[[#This Row],[Valor custo]]</f>
        <v>1066.75</v>
      </c>
      <c r="J469" s="7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">
        <v>432.79</v>
      </c>
      <c r="H470" s="1">
        <v>655</v>
      </c>
      <c r="I470" s="6">
        <f>Tabela1[[#This Row],[Valor total]]-Tabela1[[#This Row],[Valor custo]]</f>
        <v>222.20999999999998</v>
      </c>
      <c r="J470" s="7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">
        <v>40.49</v>
      </c>
      <c r="H471" s="1">
        <v>61</v>
      </c>
      <c r="I471" s="6">
        <f>Tabela1[[#This Row],[Valor total]]-Tabela1[[#This Row],[Valor custo]]</f>
        <v>20.509999999999998</v>
      </c>
      <c r="J471" s="7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">
        <v>2761.93</v>
      </c>
      <c r="H472" s="1">
        <v>5113</v>
      </c>
      <c r="I472" s="6">
        <f>Tabela1[[#This Row],[Valor total]]-Tabela1[[#This Row],[Valor custo]]</f>
        <v>2351.0700000000002</v>
      </c>
      <c r="J472" s="7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">
        <v>514.45000000000005</v>
      </c>
      <c r="H473" s="1">
        <v>0</v>
      </c>
      <c r="I473" s="6">
        <f>Tabela1[[#This Row],[Valor total]]-Tabela1[[#This Row],[Valor custo]]</f>
        <v>-514.45000000000005</v>
      </c>
      <c r="J473" s="7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">
        <v>28.84</v>
      </c>
      <c r="H474" s="1">
        <v>140</v>
      </c>
      <c r="I474" s="6">
        <f>Tabela1[[#This Row],[Valor total]]-Tabela1[[#This Row],[Valor custo]]</f>
        <v>111.16</v>
      </c>
      <c r="J474" s="7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">
        <v>1021.1</v>
      </c>
      <c r="H475" s="1">
        <v>1910</v>
      </c>
      <c r="I475" s="6">
        <f>Tabela1[[#This Row],[Valor total]]-Tabela1[[#This Row],[Valor custo]]</f>
        <v>888.9</v>
      </c>
      <c r="J475" s="7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">
        <v>764.6</v>
      </c>
      <c r="H476" s="1">
        <v>1240</v>
      </c>
      <c r="I476" s="6">
        <f>Tabela1[[#This Row],[Valor total]]-Tabela1[[#This Row],[Valor custo]]</f>
        <v>475.4</v>
      </c>
      <c r="J476" s="7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">
        <v>122.74</v>
      </c>
      <c r="H477" s="1">
        <v>170</v>
      </c>
      <c r="I477" s="6">
        <f>Tabela1[[#This Row],[Valor total]]-Tabela1[[#This Row],[Valor custo]]</f>
        <v>47.260000000000005</v>
      </c>
      <c r="J477" s="7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">
        <v>664</v>
      </c>
      <c r="H478" s="1">
        <v>1325</v>
      </c>
      <c r="I478" s="6">
        <f>Tabela1[[#This Row],[Valor total]]-Tabela1[[#This Row],[Valor custo]]</f>
        <v>661</v>
      </c>
      <c r="J478" s="7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">
        <v>497</v>
      </c>
      <c r="H479" s="1">
        <v>650</v>
      </c>
      <c r="I479" s="6">
        <f>Tabela1[[#This Row],[Valor total]]-Tabela1[[#This Row],[Valor custo]]</f>
        <v>153</v>
      </c>
      <c r="J479" s="7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">
        <v>993</v>
      </c>
      <c r="H480" s="1">
        <v>1350</v>
      </c>
      <c r="I480" s="6">
        <f>Tabela1[[#This Row],[Valor total]]-Tabela1[[#This Row],[Valor custo]]</f>
        <v>357</v>
      </c>
      <c r="J480" s="7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">
        <v>447</v>
      </c>
      <c r="H481" s="1">
        <v>645</v>
      </c>
      <c r="I481" s="6">
        <f>Tabela1[[#This Row],[Valor total]]-Tabela1[[#This Row],[Valor custo]]</f>
        <v>198</v>
      </c>
      <c r="J481" s="7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">
        <v>939.6</v>
      </c>
      <c r="H482" s="1">
        <v>1500</v>
      </c>
      <c r="I482" s="6">
        <f>Tabela1[[#This Row],[Valor total]]-Tabela1[[#This Row],[Valor custo]]</f>
        <v>560.4</v>
      </c>
      <c r="J482" s="7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">
        <v>710</v>
      </c>
      <c r="H483" s="1">
        <v>1275</v>
      </c>
      <c r="I483" s="6">
        <f>Tabela1[[#This Row],[Valor total]]-Tabela1[[#This Row],[Valor custo]]</f>
        <v>565</v>
      </c>
      <c r="J483" s="7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">
        <v>1529.2</v>
      </c>
      <c r="H484" s="1">
        <v>2460</v>
      </c>
      <c r="I484" s="6">
        <f>Tabela1[[#This Row],[Valor total]]-Tabela1[[#This Row],[Valor custo]]</f>
        <v>930.8</v>
      </c>
      <c r="J484" s="7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">
        <v>725</v>
      </c>
      <c r="H485" s="1">
        <v>1450</v>
      </c>
      <c r="I485" s="6">
        <f>Tabela1[[#This Row],[Valor total]]-Tabela1[[#This Row],[Valor custo]]</f>
        <v>725</v>
      </c>
      <c r="J485" s="7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">
        <v>473</v>
      </c>
      <c r="H486" s="1">
        <v>690</v>
      </c>
      <c r="I486" s="6">
        <f>Tabela1[[#This Row],[Valor total]]-Tabela1[[#This Row],[Valor custo]]</f>
        <v>217</v>
      </c>
      <c r="J486" s="7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">
        <v>73.14</v>
      </c>
      <c r="H487" s="1">
        <v>90</v>
      </c>
      <c r="I487" s="6">
        <f>Tabela1[[#This Row],[Valor total]]-Tabela1[[#This Row],[Valor custo]]</f>
        <v>16.86</v>
      </c>
      <c r="J487" s="7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">
        <v>90</v>
      </c>
      <c r="H488" s="1">
        <v>180</v>
      </c>
      <c r="I488" s="6">
        <f>Tabela1[[#This Row],[Valor total]]-Tabela1[[#This Row],[Valor custo]]</f>
        <v>90</v>
      </c>
      <c r="J488" s="7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">
        <v>213.3</v>
      </c>
      <c r="H489" s="1">
        <v>810</v>
      </c>
      <c r="I489" s="6">
        <f>Tabela1[[#This Row],[Valor total]]-Tabela1[[#This Row],[Valor custo]]</f>
        <v>596.70000000000005</v>
      </c>
      <c r="J489" s="7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">
        <v>1892</v>
      </c>
      <c r="H490" s="1">
        <v>2800</v>
      </c>
      <c r="I490" s="6">
        <f>Tabela1[[#This Row],[Valor total]]-Tabela1[[#This Row],[Valor custo]]</f>
        <v>908</v>
      </c>
      <c r="J490" s="7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">
        <v>758.56</v>
      </c>
      <c r="H491" s="1">
        <v>1435</v>
      </c>
      <c r="I491" s="6">
        <f>Tabela1[[#This Row],[Valor total]]-Tabela1[[#This Row],[Valor custo]]</f>
        <v>676.44</v>
      </c>
      <c r="J491" s="7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">
        <v>79</v>
      </c>
      <c r="H492" s="1">
        <v>350</v>
      </c>
      <c r="I492" s="6">
        <f>Tabela1[[#This Row],[Valor total]]-Tabela1[[#This Row],[Valor custo]]</f>
        <v>271</v>
      </c>
      <c r="J492" s="7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">
        <v>79</v>
      </c>
      <c r="H493" s="1">
        <v>350</v>
      </c>
      <c r="I493" s="6">
        <f>Tabela1[[#This Row],[Valor total]]-Tabela1[[#This Row],[Valor custo]]</f>
        <v>271</v>
      </c>
      <c r="J493" s="7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">
        <v>4574</v>
      </c>
      <c r="H494" s="1">
        <v>6300</v>
      </c>
      <c r="I494" s="6">
        <f>Tabela1[[#This Row],[Valor total]]-Tabela1[[#This Row],[Valor custo]]</f>
        <v>1726</v>
      </c>
      <c r="J494" s="7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">
        <v>1251.9000000000001</v>
      </c>
      <c r="H495" s="1">
        <v>2100</v>
      </c>
      <c r="I495" s="6">
        <f>Tabela1[[#This Row],[Valor total]]-Tabela1[[#This Row],[Valor custo]]</f>
        <v>848.09999999999991</v>
      </c>
      <c r="J495" s="7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">
        <v>1031.3</v>
      </c>
      <c r="H496" s="1">
        <v>1895</v>
      </c>
      <c r="I496" s="6">
        <f>Tabela1[[#This Row],[Valor total]]-Tabela1[[#This Row],[Valor custo]]</f>
        <v>863.7</v>
      </c>
      <c r="J496" s="7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">
        <v>497</v>
      </c>
      <c r="H497" s="1">
        <v>750</v>
      </c>
      <c r="I497" s="6">
        <f>Tabela1[[#This Row],[Valor total]]-Tabela1[[#This Row],[Valor custo]]</f>
        <v>253</v>
      </c>
      <c r="J497" s="7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">
        <v>439.2</v>
      </c>
      <c r="H498" s="1">
        <v>635</v>
      </c>
      <c r="I498" s="6">
        <f>Tabela1[[#This Row],[Valor total]]-Tabela1[[#This Row],[Valor custo]]</f>
        <v>195.8</v>
      </c>
      <c r="J498" s="7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">
        <v>432.79</v>
      </c>
      <c r="H499" s="1">
        <v>75</v>
      </c>
      <c r="I499" s="6">
        <f>Tabela1[[#This Row],[Valor total]]-Tabela1[[#This Row],[Valor custo]]</f>
        <v>-357.79</v>
      </c>
      <c r="J499" s="7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">
        <v>1041.3</v>
      </c>
      <c r="H500" s="1">
        <v>1640</v>
      </c>
      <c r="I500" s="6">
        <f>Tabela1[[#This Row],[Valor total]]-Tabela1[[#This Row],[Valor custo]]</f>
        <v>598.70000000000005</v>
      </c>
      <c r="J500" s="7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">
        <v>382.3</v>
      </c>
      <c r="H501" s="1">
        <v>615</v>
      </c>
      <c r="I501" s="6">
        <f>Tabela1[[#This Row],[Valor total]]-Tabela1[[#This Row],[Valor custo]]</f>
        <v>232.7</v>
      </c>
      <c r="J501" s="7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">
        <v>906.2</v>
      </c>
      <c r="H502" s="1">
        <v>1318</v>
      </c>
      <c r="I502" s="6">
        <f>Tabela1[[#This Row],[Valor total]]-Tabela1[[#This Row],[Valor custo]]</f>
        <v>411.79999999999995</v>
      </c>
      <c r="J502" s="7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">
        <v>588.58000000000004</v>
      </c>
      <c r="H503" s="1">
        <v>965</v>
      </c>
      <c r="I503" s="6">
        <f>Tabela1[[#This Row],[Valor total]]-Tabela1[[#This Row],[Valor custo]]</f>
        <v>376.41999999999996</v>
      </c>
      <c r="J503" s="7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">
        <v>631</v>
      </c>
      <c r="H504" s="1">
        <v>1420</v>
      </c>
      <c r="I504" s="6">
        <f>Tabela1[[#This Row],[Valor total]]-Tabela1[[#This Row],[Valor custo]]</f>
        <v>789</v>
      </c>
      <c r="J504" s="7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">
        <v>1725.78</v>
      </c>
      <c r="H505" s="1">
        <v>2850</v>
      </c>
      <c r="I505" s="6">
        <f>Tabela1[[#This Row],[Valor total]]-Tabela1[[#This Row],[Valor custo]]</f>
        <v>1124.22</v>
      </c>
      <c r="J505" s="7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">
        <v>473</v>
      </c>
      <c r="H506" s="1">
        <v>720</v>
      </c>
      <c r="I506" s="6">
        <f>Tabela1[[#This Row],[Valor total]]-Tabela1[[#This Row],[Valor custo]]</f>
        <v>247</v>
      </c>
      <c r="J506" s="7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">
        <v>506</v>
      </c>
      <c r="H507" s="1">
        <v>870</v>
      </c>
      <c r="I507" s="6">
        <f>Tabela1[[#This Row],[Valor total]]-Tabela1[[#This Row],[Valor custo]]</f>
        <v>364</v>
      </c>
      <c r="J507" s="7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">
        <v>815.09</v>
      </c>
      <c r="H508" s="1">
        <v>1340</v>
      </c>
      <c r="I508" s="6">
        <f>Tabela1[[#This Row],[Valor total]]-Tabela1[[#This Row],[Valor custo]]</f>
        <v>524.91</v>
      </c>
      <c r="J508" s="7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">
        <v>25</v>
      </c>
      <c r="H509" s="1">
        <v>30</v>
      </c>
      <c r="I509" s="6">
        <f>Tabela1[[#This Row],[Valor total]]-Tabela1[[#This Row],[Valor custo]]</f>
        <v>5</v>
      </c>
      <c r="J509" s="7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">
        <v>31.6</v>
      </c>
      <c r="H510" s="1">
        <v>160</v>
      </c>
      <c r="I510" s="6">
        <f>Tabela1[[#This Row],[Valor total]]-Tabela1[[#This Row],[Valor custo]]</f>
        <v>128.4</v>
      </c>
      <c r="J510" s="7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">
        <v>1031.3</v>
      </c>
      <c r="H511" s="1">
        <v>1895</v>
      </c>
      <c r="I511" s="6">
        <f>Tabela1[[#This Row],[Valor total]]-Tabela1[[#This Row],[Valor custo]]</f>
        <v>863.7</v>
      </c>
      <c r="J511" s="7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">
        <v>2591.98</v>
      </c>
      <c r="H512" s="1">
        <v>3580</v>
      </c>
      <c r="I512" s="6">
        <f>Tabela1[[#This Row],[Valor total]]-Tabela1[[#This Row],[Valor custo]]</f>
        <v>988.02</v>
      </c>
      <c r="J512" s="7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">
        <v>1040.94</v>
      </c>
      <c r="H513" s="1">
        <v>1570</v>
      </c>
      <c r="I513" s="6">
        <f>Tabela1[[#This Row],[Valor total]]-Tabela1[[#This Row],[Valor custo]]</f>
        <v>529.05999999999995</v>
      </c>
      <c r="J513" s="7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">
        <v>764.6</v>
      </c>
      <c r="H514" s="1">
        <v>1230</v>
      </c>
      <c r="I514" s="6">
        <f>Tabela1[[#This Row],[Valor total]]-Tabela1[[#This Row],[Valor custo]]</f>
        <v>465.4</v>
      </c>
      <c r="J514" s="7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">
        <v>289</v>
      </c>
      <c r="H515" s="1">
        <v>600</v>
      </c>
      <c r="I515" s="6">
        <f>Tabela1[[#This Row],[Valor total]]-Tabela1[[#This Row],[Valor custo]]</f>
        <v>311</v>
      </c>
      <c r="J515" s="7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">
        <v>865.58</v>
      </c>
      <c r="H516" s="1">
        <v>1310</v>
      </c>
      <c r="I516" s="6">
        <f>Tabela1[[#This Row],[Valor total]]-Tabela1[[#This Row],[Valor custo]]</f>
        <v>444.41999999999996</v>
      </c>
      <c r="J516" s="7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">
        <v>1184.0999999999999</v>
      </c>
      <c r="H517" s="1">
        <v>1966</v>
      </c>
      <c r="I517" s="6">
        <f>Tabela1[[#This Row],[Valor total]]-Tabela1[[#This Row],[Valor custo]]</f>
        <v>781.90000000000009</v>
      </c>
      <c r="J517" s="7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">
        <v>532.29999999999995</v>
      </c>
      <c r="H518" s="1">
        <v>825</v>
      </c>
      <c r="I518" s="6">
        <f>Tabela1[[#This Row],[Valor total]]-Tabela1[[#This Row],[Valor custo]]</f>
        <v>292.70000000000005</v>
      </c>
      <c r="J518" s="7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">
        <v>514.45000000000005</v>
      </c>
      <c r="H519" s="1">
        <v>620</v>
      </c>
      <c r="I519" s="6">
        <f>Tabela1[[#This Row],[Valor total]]-Tabela1[[#This Row],[Valor custo]]</f>
        <v>105.54999999999995</v>
      </c>
      <c r="J519" s="7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">
        <v>0</v>
      </c>
      <c r="H520" s="1">
        <v>450</v>
      </c>
      <c r="I520" s="6">
        <f>Tabela1[[#This Row],[Valor total]]-Tabela1[[#This Row],[Valor custo]]</f>
        <v>450</v>
      </c>
      <c r="J520" s="7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">
        <v>1590.2</v>
      </c>
      <c r="H521" s="1">
        <v>2520</v>
      </c>
      <c r="I521" s="6">
        <f>Tabela1[[#This Row],[Valor total]]-Tabela1[[#This Row],[Valor custo]]</f>
        <v>929.8</v>
      </c>
      <c r="J521" s="7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">
        <v>1680.9</v>
      </c>
      <c r="H522" s="1">
        <v>2865</v>
      </c>
      <c r="I522" s="6">
        <f>Tabela1[[#This Row],[Valor total]]-Tabela1[[#This Row],[Valor custo]]</f>
        <v>1184.0999999999999</v>
      </c>
      <c r="J522" s="7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">
        <v>403.93</v>
      </c>
      <c r="H523" s="1">
        <v>735</v>
      </c>
      <c r="I523" s="6">
        <f>Tabela1[[#This Row],[Valor total]]-Tabela1[[#This Row],[Valor custo]]</f>
        <v>331.07</v>
      </c>
      <c r="J523" s="7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">
        <v>764.6</v>
      </c>
      <c r="H524" s="1">
        <v>1230</v>
      </c>
      <c r="I524" s="6">
        <f>Tabela1[[#This Row],[Valor total]]-Tabela1[[#This Row],[Valor custo]]</f>
        <v>465.4</v>
      </c>
      <c r="J524" s="7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">
        <v>2099.7399999999998</v>
      </c>
      <c r="H525" s="1">
        <v>4120</v>
      </c>
      <c r="I525" s="6">
        <f>Tabela1[[#This Row],[Valor total]]-Tabela1[[#This Row],[Valor custo]]</f>
        <v>2020.2600000000002</v>
      </c>
      <c r="J525" s="7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">
        <v>718.57</v>
      </c>
      <c r="H526" s="1">
        <v>1350</v>
      </c>
      <c r="I526" s="6">
        <f>Tabela1[[#This Row],[Valor total]]-Tabela1[[#This Row],[Valor custo]]</f>
        <v>631.42999999999995</v>
      </c>
      <c r="J526" s="7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">
        <v>548.47</v>
      </c>
      <c r="H527" s="1">
        <v>725</v>
      </c>
      <c r="I527" s="6">
        <f>Tabela1[[#This Row],[Valor total]]-Tabela1[[#This Row],[Valor custo]]</f>
        <v>176.52999999999997</v>
      </c>
      <c r="J527" s="7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">
        <v>432.79</v>
      </c>
      <c r="H528" s="1">
        <v>636</v>
      </c>
      <c r="I528" s="6">
        <f>Tabela1[[#This Row],[Valor total]]-Tabela1[[#This Row],[Valor custo]]</f>
        <v>203.20999999999998</v>
      </c>
      <c r="J528" s="7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">
        <v>32.5</v>
      </c>
      <c r="H529" s="1">
        <v>50</v>
      </c>
      <c r="I529" s="6">
        <f>Tabela1[[#This Row],[Valor total]]-Tabela1[[#This Row],[Valor custo]]</f>
        <v>17.5</v>
      </c>
      <c r="J529" s="7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">
        <v>707.23</v>
      </c>
      <c r="H530" s="1">
        <v>665</v>
      </c>
      <c r="I530" s="6">
        <f>Tabela1[[#This Row],[Valor total]]-Tabela1[[#This Row],[Valor custo]]</f>
        <v>-42.230000000000018</v>
      </c>
      <c r="J530" s="7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">
        <v>514.45000000000005</v>
      </c>
      <c r="H531" s="1">
        <v>660</v>
      </c>
      <c r="I531" s="6">
        <f>Tabela1[[#This Row],[Valor total]]-Tabela1[[#This Row],[Valor custo]]</f>
        <v>145.54999999999995</v>
      </c>
      <c r="J531" s="7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">
        <v>41.07</v>
      </c>
      <c r="H532" s="1">
        <v>330</v>
      </c>
      <c r="I532" s="6">
        <f>Tabela1[[#This Row],[Valor total]]-Tabela1[[#This Row],[Valor custo]]</f>
        <v>288.93</v>
      </c>
      <c r="J532" s="7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">
        <v>1786.31</v>
      </c>
      <c r="H533" s="1">
        <v>2710</v>
      </c>
      <c r="I533" s="6">
        <f>Tabela1[[#This Row],[Valor total]]-Tabela1[[#This Row],[Valor custo]]</f>
        <v>923.69</v>
      </c>
      <c r="J533" s="7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">
        <v>449.64</v>
      </c>
      <c r="H534" s="1">
        <v>685</v>
      </c>
      <c r="I534" s="6">
        <f>Tabela1[[#This Row],[Valor total]]-Tabela1[[#This Row],[Valor custo]]</f>
        <v>235.36</v>
      </c>
      <c r="J534" s="7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">
        <v>1260.4000000000001</v>
      </c>
      <c r="H535" s="1">
        <v>2240</v>
      </c>
      <c r="I535" s="6">
        <f>Tabela1[[#This Row],[Valor total]]-Tabela1[[#This Row],[Valor custo]]</f>
        <v>979.59999999999991</v>
      </c>
      <c r="J535" s="7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">
        <v>1123.75</v>
      </c>
      <c r="H536" s="1">
        <v>1895</v>
      </c>
      <c r="I536" s="6">
        <f>Tabela1[[#This Row],[Valor total]]-Tabela1[[#This Row],[Valor custo]]</f>
        <v>771.25</v>
      </c>
      <c r="J536" s="7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">
        <v>8894.56</v>
      </c>
      <c r="H537" s="1">
        <v>12850</v>
      </c>
      <c r="I537" s="6">
        <f>Tabela1[[#This Row],[Valor total]]-Tabela1[[#This Row],[Valor custo]]</f>
        <v>3955.4400000000005</v>
      </c>
      <c r="J537" s="7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">
        <v>268.45999999999998</v>
      </c>
      <c r="H538" s="1">
        <v>550</v>
      </c>
      <c r="I538" s="6">
        <f>Tabela1[[#This Row],[Valor total]]-Tabela1[[#This Row],[Valor custo]]</f>
        <v>281.54000000000002</v>
      </c>
      <c r="J538" s="7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">
        <v>382.3</v>
      </c>
      <c r="H539" s="1">
        <v>620</v>
      </c>
      <c r="I539" s="6">
        <f>Tabela1[[#This Row],[Valor total]]-Tabela1[[#This Row],[Valor custo]]</f>
        <v>237.7</v>
      </c>
      <c r="J539" s="7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">
        <v>382.3</v>
      </c>
      <c r="H540" s="1">
        <v>620</v>
      </c>
      <c r="I540" s="6">
        <f>Tabela1[[#This Row],[Valor total]]-Tabela1[[#This Row],[Valor custo]]</f>
        <v>237.7</v>
      </c>
      <c r="J540" s="7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">
        <v>382.3</v>
      </c>
      <c r="H541" s="1">
        <v>545</v>
      </c>
      <c r="I541" s="6">
        <f>Tabela1[[#This Row],[Valor total]]-Tabela1[[#This Row],[Valor custo]]</f>
        <v>162.69999999999999</v>
      </c>
      <c r="J541" s="7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">
        <v>455</v>
      </c>
      <c r="H542" s="1">
        <v>785</v>
      </c>
      <c r="I542" s="6">
        <f>Tabela1[[#This Row],[Valor total]]-Tabela1[[#This Row],[Valor custo]]</f>
        <v>330</v>
      </c>
      <c r="J542" s="7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">
        <v>1832.6</v>
      </c>
      <c r="H543" s="1">
        <v>3000</v>
      </c>
      <c r="I543" s="6">
        <f>Tabela1[[#This Row],[Valor total]]-Tabela1[[#This Row],[Valor custo]]</f>
        <v>1167.4000000000001</v>
      </c>
      <c r="J543" s="7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">
        <v>3120.7</v>
      </c>
      <c r="H544" s="1">
        <v>4320</v>
      </c>
      <c r="I544" s="6">
        <f>Tabela1[[#This Row],[Valor total]]-Tabela1[[#This Row],[Valor custo]]</f>
        <v>1199.3000000000002</v>
      </c>
      <c r="J544" s="7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">
        <v>649</v>
      </c>
      <c r="H545" s="1">
        <v>1200</v>
      </c>
      <c r="I545" s="6">
        <f>Tabela1[[#This Row],[Valor total]]-Tabela1[[#This Row],[Valor custo]]</f>
        <v>551</v>
      </c>
      <c r="J545" s="7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">
        <v>1414.46</v>
      </c>
      <c r="H546" s="1">
        <v>2850</v>
      </c>
      <c r="I546" s="6">
        <f>Tabela1[[#This Row],[Valor total]]-Tabela1[[#This Row],[Valor custo]]</f>
        <v>1435.54</v>
      </c>
      <c r="J546" s="7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">
        <v>439.2</v>
      </c>
      <c r="H547" s="1">
        <v>645</v>
      </c>
      <c r="I547" s="6">
        <f>Tabela1[[#This Row],[Valor total]]-Tabela1[[#This Row],[Valor custo]]</f>
        <v>205.8</v>
      </c>
      <c r="J547" s="7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">
        <v>477</v>
      </c>
      <c r="H548" s="1">
        <v>840</v>
      </c>
      <c r="I548" s="6">
        <f>Tabela1[[#This Row],[Valor total]]-Tabela1[[#This Row],[Valor custo]]</f>
        <v>363</v>
      </c>
      <c r="J548" s="7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">
        <v>953.65</v>
      </c>
      <c r="H549" s="1">
        <v>1310</v>
      </c>
      <c r="I549" s="6">
        <f>Tabela1[[#This Row],[Valor total]]-Tabela1[[#This Row],[Valor custo]]</f>
        <v>356.35</v>
      </c>
      <c r="J549" s="7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">
        <v>50</v>
      </c>
      <c r="H550" s="1">
        <v>60</v>
      </c>
      <c r="I550" s="6">
        <f>Tabela1[[#This Row],[Valor total]]-Tabela1[[#This Row],[Valor custo]]</f>
        <v>10</v>
      </c>
      <c r="J550" s="7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">
        <v>718.57</v>
      </c>
      <c r="H551" s="1">
        <v>1350</v>
      </c>
      <c r="I551" s="6">
        <f>Tabela1[[#This Row],[Valor total]]-Tabela1[[#This Row],[Valor custo]]</f>
        <v>631.42999999999995</v>
      </c>
      <c r="J551" s="7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">
        <v>379.86</v>
      </c>
      <c r="H552" s="1">
        <v>770</v>
      </c>
      <c r="I552" s="6">
        <f>Tabela1[[#This Row],[Valor total]]-Tabela1[[#This Row],[Valor custo]]</f>
        <v>390.14</v>
      </c>
      <c r="J552" s="7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">
        <v>409.87</v>
      </c>
      <c r="H553" s="1">
        <v>585</v>
      </c>
      <c r="I553" s="6">
        <f>Tabela1[[#This Row],[Valor total]]-Tabela1[[#This Row],[Valor custo]]</f>
        <v>175.13</v>
      </c>
      <c r="J553" s="7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">
        <v>40</v>
      </c>
      <c r="H554" s="1">
        <v>90</v>
      </c>
      <c r="I554" s="6">
        <f>Tabela1[[#This Row],[Valor total]]-Tabela1[[#This Row],[Valor custo]]</f>
        <v>50</v>
      </c>
      <c r="J554" s="7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">
        <v>691.26</v>
      </c>
      <c r="H555" s="1">
        <v>920</v>
      </c>
      <c r="I555" s="6">
        <f>Tabela1[[#This Row],[Valor total]]-Tabela1[[#This Row],[Valor custo]]</f>
        <v>228.74</v>
      </c>
      <c r="J555" s="7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">
        <v>382.3</v>
      </c>
      <c r="H556" s="1">
        <v>615</v>
      </c>
      <c r="I556" s="6">
        <f>Tabela1[[#This Row],[Valor total]]-Tabela1[[#This Row],[Valor custo]]</f>
        <v>232.7</v>
      </c>
      <c r="J556" s="7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">
        <v>382.3</v>
      </c>
      <c r="H557" s="1">
        <v>615</v>
      </c>
      <c r="I557" s="6">
        <f>Tabela1[[#This Row],[Valor total]]-Tabela1[[#This Row],[Valor custo]]</f>
        <v>232.7</v>
      </c>
      <c r="J557" s="7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">
        <v>1317.6</v>
      </c>
      <c r="H558" s="1">
        <v>1845</v>
      </c>
      <c r="I558" s="6">
        <f>Tabela1[[#This Row],[Valor total]]-Tabela1[[#This Row],[Valor custo]]</f>
        <v>527.40000000000009</v>
      </c>
      <c r="J558" s="7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">
        <v>104.4</v>
      </c>
      <c r="H559" s="1">
        <v>350</v>
      </c>
      <c r="I559" s="6">
        <f>Tabela1[[#This Row],[Valor total]]-Tabela1[[#This Row],[Valor custo]]</f>
        <v>245.6</v>
      </c>
      <c r="J559" s="7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">
        <v>439.2</v>
      </c>
      <c r="H560" s="1">
        <v>645</v>
      </c>
      <c r="I560" s="6">
        <f>Tabela1[[#This Row],[Valor total]]-Tabela1[[#This Row],[Valor custo]]</f>
        <v>205.8</v>
      </c>
      <c r="J560" s="7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">
        <v>3.53</v>
      </c>
      <c r="H561" s="1">
        <v>8</v>
      </c>
      <c r="I561" s="6">
        <f>Tabela1[[#This Row],[Valor total]]-Tabela1[[#This Row],[Valor custo]]</f>
        <v>4.4700000000000006</v>
      </c>
      <c r="J561" s="7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">
        <v>57.13</v>
      </c>
      <c r="H562" s="1">
        <v>220</v>
      </c>
      <c r="I562" s="6">
        <f>Tabela1[[#This Row],[Valor total]]-Tabela1[[#This Row],[Valor custo]]</f>
        <v>162.87</v>
      </c>
      <c r="J562" s="7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">
        <v>1493.1</v>
      </c>
      <c r="H563" s="1">
        <v>2030</v>
      </c>
      <c r="I563" s="6">
        <f>Tabela1[[#This Row],[Valor total]]-Tabela1[[#This Row],[Valor custo]]</f>
        <v>536.90000000000009</v>
      </c>
      <c r="J563" s="7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">
        <v>25.92</v>
      </c>
      <c r="H564" s="1">
        <v>38</v>
      </c>
      <c r="I564" s="6">
        <f>Tabela1[[#This Row],[Valor total]]-Tabela1[[#This Row],[Valor custo]]</f>
        <v>12.079999999999998</v>
      </c>
      <c r="J564" s="7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">
        <v>454.4</v>
      </c>
      <c r="H565" s="1">
        <v>965</v>
      </c>
      <c r="I565" s="6">
        <f>Tabela1[[#This Row],[Valor total]]-Tabela1[[#This Row],[Valor custo]]</f>
        <v>510.6</v>
      </c>
      <c r="J565" s="7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">
        <v>147.12</v>
      </c>
      <c r="H566" s="1">
        <v>200</v>
      </c>
      <c r="I566" s="6">
        <f>Tabela1[[#This Row],[Valor total]]-Tabela1[[#This Row],[Valor custo]]</f>
        <v>52.879999999999995</v>
      </c>
      <c r="J566" s="7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">
        <v>54.43</v>
      </c>
      <c r="H567" s="1">
        <v>55</v>
      </c>
      <c r="I567" s="6">
        <f>Tabela1[[#This Row],[Valor total]]-Tabela1[[#This Row],[Valor custo]]</f>
        <v>0.57000000000000028</v>
      </c>
      <c r="J567" s="7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">
        <v>1335.21</v>
      </c>
      <c r="H568" s="1">
        <v>2700</v>
      </c>
      <c r="I568" s="6">
        <f>Tabela1[[#This Row],[Valor total]]-Tabela1[[#This Row],[Valor custo]]</f>
        <v>1364.79</v>
      </c>
      <c r="J568" s="7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">
        <v>62.64</v>
      </c>
      <c r="H569" s="1">
        <v>210</v>
      </c>
      <c r="I569" s="6">
        <f>Tabela1[[#This Row],[Valor total]]-Tabela1[[#This Row],[Valor custo]]</f>
        <v>147.36000000000001</v>
      </c>
      <c r="J569" s="7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">
        <v>764.6</v>
      </c>
      <c r="H570" s="1">
        <v>1240</v>
      </c>
      <c r="I570" s="6">
        <f>Tabela1[[#This Row],[Valor total]]-Tabela1[[#This Row],[Valor custo]]</f>
        <v>475.4</v>
      </c>
      <c r="J570" s="7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">
        <v>1000</v>
      </c>
      <c r="H571" s="1">
        <v>1160</v>
      </c>
      <c r="I571" s="6">
        <f>Tabela1[[#This Row],[Valor total]]-Tabela1[[#This Row],[Valor custo]]</f>
        <v>160</v>
      </c>
      <c r="J571" s="7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">
        <v>1030.22</v>
      </c>
      <c r="H572" s="1">
        <v>1535</v>
      </c>
      <c r="I572" s="6">
        <f>Tabela1[[#This Row],[Valor total]]-Tabela1[[#This Row],[Valor custo]]</f>
        <v>504.78</v>
      </c>
      <c r="J572" s="7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">
        <v>252</v>
      </c>
      <c r="H573" s="1">
        <v>330</v>
      </c>
      <c r="I573" s="6">
        <f>Tabela1[[#This Row],[Valor total]]-Tabela1[[#This Row],[Valor custo]]</f>
        <v>78</v>
      </c>
      <c r="J573" s="7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">
        <v>125</v>
      </c>
      <c r="H574" s="1">
        <v>150</v>
      </c>
      <c r="I574" s="6">
        <f>Tabela1[[#This Row],[Valor total]]-Tabela1[[#This Row],[Valor custo]]</f>
        <v>25</v>
      </c>
      <c r="J574" s="7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">
        <v>122.74</v>
      </c>
      <c r="H575" s="1">
        <v>170</v>
      </c>
      <c r="I575" s="6">
        <f>Tabela1[[#This Row],[Valor total]]-Tabela1[[#This Row],[Valor custo]]</f>
        <v>47.260000000000005</v>
      </c>
      <c r="J575" s="7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">
        <v>531.45000000000005</v>
      </c>
      <c r="H576" s="1">
        <v>750</v>
      </c>
      <c r="I576" s="6">
        <f>Tabela1[[#This Row],[Valor total]]-Tabela1[[#This Row],[Valor custo]]</f>
        <v>218.54999999999995</v>
      </c>
      <c r="J576" s="7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">
        <v>3616.55</v>
      </c>
      <c r="H577" s="1">
        <v>5400</v>
      </c>
      <c r="I577" s="6">
        <f>Tabela1[[#This Row],[Valor total]]-Tabela1[[#This Row],[Valor custo]]</f>
        <v>1783.4499999999998</v>
      </c>
      <c r="J577" s="7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">
        <v>104.4</v>
      </c>
      <c r="H578" s="1">
        <v>0</v>
      </c>
      <c r="I578" s="6">
        <f>Tabela1[[#This Row],[Valor total]]-Tabela1[[#This Row],[Valor custo]]</f>
        <v>-104.4</v>
      </c>
      <c r="J578" s="7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">
        <v>815.09</v>
      </c>
      <c r="H579" s="1">
        <v>1365</v>
      </c>
      <c r="I579" s="6">
        <f>Tabela1[[#This Row],[Valor total]]-Tabela1[[#This Row],[Valor custo]]</f>
        <v>549.91</v>
      </c>
      <c r="J579" s="7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">
        <v>175</v>
      </c>
      <c r="H580" s="1">
        <v>210</v>
      </c>
      <c r="I580" s="6">
        <f>Tabela1[[#This Row],[Valor total]]-Tabela1[[#This Row],[Valor custo]]</f>
        <v>35</v>
      </c>
      <c r="J580" s="7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">
        <v>27.38</v>
      </c>
      <c r="H581" s="1">
        <v>200</v>
      </c>
      <c r="I581" s="6">
        <f>Tabela1[[#This Row],[Valor total]]-Tabela1[[#This Row],[Valor custo]]</f>
        <v>172.62</v>
      </c>
      <c r="J581" s="7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">
        <v>479.39</v>
      </c>
      <c r="H582" s="1">
        <v>782</v>
      </c>
      <c r="I582" s="6">
        <f>Tabela1[[#This Row],[Valor total]]-Tabela1[[#This Row],[Valor custo]]</f>
        <v>302.61</v>
      </c>
      <c r="J582" s="7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">
        <v>497</v>
      </c>
      <c r="H583" s="1">
        <v>820</v>
      </c>
      <c r="I583" s="6">
        <f>Tabela1[[#This Row],[Valor total]]-Tabela1[[#This Row],[Valor custo]]</f>
        <v>323</v>
      </c>
      <c r="J583" s="7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">
        <v>532.29999999999995</v>
      </c>
      <c r="H584" s="1">
        <v>800</v>
      </c>
      <c r="I584" s="6">
        <f>Tabela1[[#This Row],[Valor total]]-Tabela1[[#This Row],[Valor custo]]</f>
        <v>267.70000000000005</v>
      </c>
      <c r="J584" s="7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">
        <v>0</v>
      </c>
      <c r="H585" s="1">
        <v>350</v>
      </c>
      <c r="I585" s="6">
        <f>Tabela1[[#This Row],[Valor total]]-Tabela1[[#This Row],[Valor custo]]</f>
        <v>350</v>
      </c>
      <c r="J585" s="7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">
        <v>2035.1</v>
      </c>
      <c r="H586" s="1">
        <v>3106</v>
      </c>
      <c r="I586" s="6">
        <f>Tabela1[[#This Row],[Valor total]]-Tabela1[[#This Row],[Valor custo]]</f>
        <v>1070.9000000000001</v>
      </c>
      <c r="J586" s="7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">
        <v>140</v>
      </c>
      <c r="H587" s="1">
        <v>220</v>
      </c>
      <c r="I587" s="6">
        <f>Tabela1[[#This Row],[Valor total]]-Tabela1[[#This Row],[Valor custo]]</f>
        <v>80</v>
      </c>
      <c r="J587" s="7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">
        <v>1262.3</v>
      </c>
      <c r="H588" s="1">
        <v>1910</v>
      </c>
      <c r="I588" s="6">
        <f>Tabela1[[#This Row],[Valor total]]-Tabela1[[#This Row],[Valor custo]]</f>
        <v>647.70000000000005</v>
      </c>
      <c r="J588" s="7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">
        <v>496.33</v>
      </c>
      <c r="H589" s="1">
        <v>820</v>
      </c>
      <c r="I589" s="6">
        <f>Tabela1[[#This Row],[Valor total]]-Tabela1[[#This Row],[Valor custo]]</f>
        <v>323.67</v>
      </c>
      <c r="J589" s="7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">
        <v>1025.56</v>
      </c>
      <c r="H590" s="1">
        <v>2650</v>
      </c>
      <c r="I590" s="6">
        <f>Tabela1[[#This Row],[Valor total]]-Tabela1[[#This Row],[Valor custo]]</f>
        <v>1624.44</v>
      </c>
      <c r="J590" s="7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">
        <v>1652.4</v>
      </c>
      <c r="H591" s="1">
        <v>2920</v>
      </c>
      <c r="I591" s="6">
        <f>Tabela1[[#This Row],[Valor total]]-Tabela1[[#This Row],[Valor custo]]</f>
        <v>1267.5999999999999</v>
      </c>
      <c r="J591" s="7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">
        <v>250</v>
      </c>
      <c r="H592" s="1">
        <v>300</v>
      </c>
      <c r="I592" s="6">
        <f>Tabela1[[#This Row],[Valor total]]-Tabela1[[#This Row],[Valor custo]]</f>
        <v>50</v>
      </c>
      <c r="J592" s="7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">
        <v>1648.48</v>
      </c>
      <c r="H593" s="1">
        <v>2174</v>
      </c>
      <c r="I593" s="6">
        <f>Tabela1[[#This Row],[Valor total]]-Tabela1[[#This Row],[Valor custo]]</f>
        <v>525.52</v>
      </c>
      <c r="J593" s="7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">
        <v>150</v>
      </c>
      <c r="H594" s="1">
        <v>180</v>
      </c>
      <c r="I594" s="6">
        <f>Tabela1[[#This Row],[Valor total]]-Tabela1[[#This Row],[Valor custo]]</f>
        <v>30</v>
      </c>
      <c r="J594" s="7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">
        <v>878.4</v>
      </c>
      <c r="H595" s="1">
        <v>1240</v>
      </c>
      <c r="I595" s="6">
        <f>Tabela1[[#This Row],[Valor total]]-Tabela1[[#This Row],[Valor custo]]</f>
        <v>361.6</v>
      </c>
      <c r="J595" s="7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">
        <v>1562.95</v>
      </c>
      <c r="H596" s="1">
        <v>2540</v>
      </c>
      <c r="I596" s="6">
        <f>Tabela1[[#This Row],[Valor total]]-Tabela1[[#This Row],[Valor custo]]</f>
        <v>977.05</v>
      </c>
      <c r="J596" s="7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">
        <v>2531.44</v>
      </c>
      <c r="H597" s="1">
        <v>4500</v>
      </c>
      <c r="I597" s="6">
        <f>Tabela1[[#This Row],[Valor total]]-Tabela1[[#This Row],[Valor custo]]</f>
        <v>1968.56</v>
      </c>
      <c r="J597" s="7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">
        <v>2881.3</v>
      </c>
      <c r="H598" s="1">
        <v>5400</v>
      </c>
      <c r="I598" s="6">
        <f>Tabela1[[#This Row],[Valor total]]-Tabela1[[#This Row],[Valor custo]]</f>
        <v>2518.6999999999998</v>
      </c>
      <c r="J598" s="7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">
        <v>845.09</v>
      </c>
      <c r="H599" s="1">
        <v>1390</v>
      </c>
      <c r="I599" s="6">
        <f>Tabela1[[#This Row],[Valor total]]-Tabela1[[#This Row],[Valor custo]]</f>
        <v>544.91</v>
      </c>
      <c r="J599" s="7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">
        <v>764.6</v>
      </c>
      <c r="H600" s="1">
        <v>1240</v>
      </c>
      <c r="I600" s="6">
        <f>Tabela1[[#This Row],[Valor total]]-Tabela1[[#This Row],[Valor custo]]</f>
        <v>475.4</v>
      </c>
      <c r="J600" s="7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">
        <v>514.45000000000005</v>
      </c>
      <c r="H601" s="1">
        <v>720</v>
      </c>
      <c r="I601" s="6">
        <f>Tabela1[[#This Row],[Valor total]]-Tabela1[[#This Row],[Valor custo]]</f>
        <v>205.54999999999995</v>
      </c>
      <c r="J601" s="7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">
        <v>637.19000000000005</v>
      </c>
      <c r="H602" s="1">
        <v>730</v>
      </c>
      <c r="I602" s="6">
        <f>Tabela1[[#This Row],[Valor total]]-Tabela1[[#This Row],[Valor custo]]</f>
        <v>92.809999999999945</v>
      </c>
      <c r="J602" s="7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">
        <v>1453</v>
      </c>
      <c r="H603" s="1">
        <v>2800</v>
      </c>
      <c r="I603" s="6">
        <f>Tabela1[[#This Row],[Valor total]]-Tabela1[[#This Row],[Valor custo]]</f>
        <v>1347</v>
      </c>
      <c r="J603" s="7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">
        <v>1520.58</v>
      </c>
      <c r="H604" s="1">
        <v>2000</v>
      </c>
      <c r="I604" s="6">
        <f>Tabela1[[#This Row],[Valor total]]-Tabela1[[#This Row],[Valor custo]]</f>
        <v>479.42000000000007</v>
      </c>
      <c r="J604" s="7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">
        <v>707.23</v>
      </c>
      <c r="H605" s="1">
        <v>1450</v>
      </c>
      <c r="I605" s="6">
        <f>Tabela1[[#This Row],[Valor total]]-Tabela1[[#This Row],[Valor custo]]</f>
        <v>742.77</v>
      </c>
      <c r="J605" s="7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">
        <v>764.6</v>
      </c>
      <c r="H606" s="1">
        <v>1240</v>
      </c>
      <c r="I606" s="6">
        <f>Tabela1[[#This Row],[Valor total]]-Tabela1[[#This Row],[Valor custo]]</f>
        <v>475.4</v>
      </c>
      <c r="J606" s="7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">
        <v>1781.47</v>
      </c>
      <c r="H607" s="1">
        <v>2850</v>
      </c>
      <c r="I607" s="6">
        <f>Tabela1[[#This Row],[Valor total]]-Tabela1[[#This Row],[Valor custo]]</f>
        <v>1068.53</v>
      </c>
      <c r="J607" s="7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">
        <v>313.75</v>
      </c>
      <c r="H608" s="1">
        <v>350</v>
      </c>
      <c r="I608" s="6">
        <f>Tabela1[[#This Row],[Valor total]]-Tabela1[[#This Row],[Valor custo]]</f>
        <v>36.25</v>
      </c>
      <c r="J608" s="7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">
        <v>1818</v>
      </c>
      <c r="H609" s="1">
        <v>2700</v>
      </c>
      <c r="I609" s="6">
        <f>Tabela1[[#This Row],[Valor total]]-Tabela1[[#This Row],[Valor custo]]</f>
        <v>882</v>
      </c>
      <c r="J609" s="7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">
        <v>815.09</v>
      </c>
      <c r="H610" s="1">
        <v>1365</v>
      </c>
      <c r="I610" s="6">
        <f>Tabela1[[#This Row],[Valor total]]-Tabela1[[#This Row],[Valor custo]]</f>
        <v>549.91</v>
      </c>
      <c r="J610" s="7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">
        <v>1028.9000000000001</v>
      </c>
      <c r="H611" s="1">
        <v>1434</v>
      </c>
      <c r="I611" s="6">
        <f>Tabela1[[#This Row],[Valor total]]-Tabela1[[#This Row],[Valor custo]]</f>
        <v>405.09999999999991</v>
      </c>
      <c r="J611" s="7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">
        <v>6343.5</v>
      </c>
      <c r="H612" s="1">
        <v>8550</v>
      </c>
      <c r="I612" s="6">
        <f>Tabela1[[#This Row],[Valor total]]-Tabela1[[#This Row],[Valor custo]]</f>
        <v>2206.5</v>
      </c>
      <c r="J612" s="7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">
        <v>57.13</v>
      </c>
      <c r="H613" s="1">
        <v>230</v>
      </c>
      <c r="I613" s="6">
        <f>Tabela1[[#This Row],[Valor total]]-Tabela1[[#This Row],[Valor custo]]</f>
        <v>172.87</v>
      </c>
      <c r="J613" s="7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">
        <v>455.44</v>
      </c>
      <c r="H614" s="1">
        <v>710</v>
      </c>
      <c r="I614" s="6">
        <f>Tabela1[[#This Row],[Valor total]]-Tabela1[[#This Row],[Valor custo]]</f>
        <v>254.56</v>
      </c>
      <c r="J614" s="7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">
        <v>293.13</v>
      </c>
      <c r="H615" s="1">
        <v>800</v>
      </c>
      <c r="I615" s="6">
        <f>Tabela1[[#This Row],[Valor total]]-Tabela1[[#This Row],[Valor custo]]</f>
        <v>506.87</v>
      </c>
      <c r="J615" s="7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">
        <v>887.89</v>
      </c>
      <c r="H616" s="1">
        <v>1610</v>
      </c>
      <c r="I616" s="6">
        <f>Tabela1[[#This Row],[Valor total]]-Tabela1[[#This Row],[Valor custo]]</f>
        <v>722.11</v>
      </c>
      <c r="J616" s="7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">
        <v>602</v>
      </c>
      <c r="H617" s="1">
        <v>960</v>
      </c>
      <c r="I617" s="6">
        <f>Tabela1[[#This Row],[Valor total]]-Tabela1[[#This Row],[Valor custo]]</f>
        <v>358</v>
      </c>
      <c r="J617" s="7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">
        <v>1797.45</v>
      </c>
      <c r="H618" s="1">
        <v>2880</v>
      </c>
      <c r="I618" s="6">
        <f>Tabela1[[#This Row],[Valor total]]-Tabela1[[#This Row],[Valor custo]]</f>
        <v>1082.55</v>
      </c>
      <c r="J618" s="7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">
        <v>1106.32</v>
      </c>
      <c r="H619" s="1">
        <v>1815</v>
      </c>
      <c r="I619" s="6">
        <f>Tabela1[[#This Row],[Valor total]]-Tabela1[[#This Row],[Valor custo]]</f>
        <v>708.68000000000006</v>
      </c>
      <c r="J619" s="7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">
        <v>1832.79</v>
      </c>
      <c r="H620" s="1">
        <v>2700</v>
      </c>
      <c r="I620" s="6">
        <f>Tabela1[[#This Row],[Valor total]]-Tabela1[[#This Row],[Valor custo]]</f>
        <v>867.21</v>
      </c>
      <c r="J620" s="7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">
        <v>684.55</v>
      </c>
      <c r="H621" s="1">
        <v>1200</v>
      </c>
      <c r="I621" s="6">
        <f>Tabela1[[#This Row],[Valor total]]-Tabela1[[#This Row],[Valor custo]]</f>
        <v>515.45000000000005</v>
      </c>
      <c r="J621" s="7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">
        <v>28.84</v>
      </c>
      <c r="H622" s="1">
        <v>115</v>
      </c>
      <c r="I622" s="6">
        <f>Tabela1[[#This Row],[Valor total]]-Tabela1[[#This Row],[Valor custo]]</f>
        <v>86.16</v>
      </c>
      <c r="J622" s="7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">
        <v>922.79</v>
      </c>
      <c r="H623" s="1">
        <v>1500</v>
      </c>
      <c r="I623" s="6">
        <f>Tabela1[[#This Row],[Valor total]]-Tabela1[[#This Row],[Valor custo]]</f>
        <v>577.21</v>
      </c>
      <c r="J623" s="7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">
        <v>1826.4</v>
      </c>
      <c r="H624" s="1">
        <v>3192</v>
      </c>
      <c r="I624" s="6">
        <f>Tabela1[[#This Row],[Valor total]]-Tabela1[[#This Row],[Valor custo]]</f>
        <v>1365.6</v>
      </c>
      <c r="J624" s="7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">
        <v>1249.54</v>
      </c>
      <c r="H625" s="1">
        <v>2280</v>
      </c>
      <c r="I625" s="6">
        <f>Tabela1[[#This Row],[Valor total]]-Tabela1[[#This Row],[Valor custo]]</f>
        <v>1030.46</v>
      </c>
      <c r="J625" s="7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">
        <v>693</v>
      </c>
      <c r="H626" s="1">
        <v>1550</v>
      </c>
      <c r="I626" s="6">
        <f>Tabela1[[#This Row],[Valor total]]-Tabela1[[#This Row],[Valor custo]]</f>
        <v>857</v>
      </c>
      <c r="J626" s="7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">
        <v>1292.3</v>
      </c>
      <c r="H627" s="1">
        <v>2120</v>
      </c>
      <c r="I627" s="6">
        <f>Tabela1[[#This Row],[Valor total]]-Tabela1[[#This Row],[Valor custo]]</f>
        <v>827.7</v>
      </c>
      <c r="J627" s="7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">
        <v>2053.65</v>
      </c>
      <c r="H628" s="1">
        <v>3750</v>
      </c>
      <c r="I628" s="6">
        <f>Tabela1[[#This Row],[Valor total]]-Tabela1[[#This Row],[Valor custo]]</f>
        <v>1696.35</v>
      </c>
      <c r="J628" s="7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">
        <v>470.3</v>
      </c>
      <c r="H629" s="1">
        <v>760.98</v>
      </c>
      <c r="I629" s="6">
        <f>Tabela1[[#This Row],[Valor total]]-Tabela1[[#This Row],[Valor custo]]</f>
        <v>290.68</v>
      </c>
      <c r="J629" s="7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">
        <v>42</v>
      </c>
      <c r="H630" s="1">
        <v>55</v>
      </c>
      <c r="I630" s="6">
        <f>Tabela1[[#This Row],[Valor total]]-Tabela1[[#This Row],[Valor custo]]</f>
        <v>13</v>
      </c>
      <c r="J630" s="7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">
        <v>82.14</v>
      </c>
      <c r="H631" s="1">
        <v>600</v>
      </c>
      <c r="I631" s="6">
        <f>Tabela1[[#This Row],[Valor total]]-Tabela1[[#This Row],[Valor custo]]</f>
        <v>517.86</v>
      </c>
      <c r="J631" s="7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">
        <v>649</v>
      </c>
      <c r="H632" s="1">
        <v>1250</v>
      </c>
      <c r="I632" s="6">
        <f>Tabela1[[#This Row],[Valor total]]-Tabela1[[#This Row],[Valor custo]]</f>
        <v>601</v>
      </c>
      <c r="J632" s="7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">
        <v>125</v>
      </c>
      <c r="H633" s="1">
        <v>150</v>
      </c>
      <c r="I633" s="6">
        <f>Tabela1[[#This Row],[Valor total]]-Tabela1[[#This Row],[Valor custo]]</f>
        <v>25</v>
      </c>
      <c r="J633" s="7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">
        <v>1962</v>
      </c>
      <c r="H634" s="1">
        <v>3850</v>
      </c>
      <c r="I634" s="6">
        <f>Tabela1[[#This Row],[Valor total]]-Tabela1[[#This Row],[Valor custo]]</f>
        <v>1888</v>
      </c>
      <c r="J634" s="7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">
        <v>125</v>
      </c>
      <c r="H635" s="1">
        <v>150</v>
      </c>
      <c r="I635" s="6">
        <f>Tabela1[[#This Row],[Valor total]]-Tabela1[[#This Row],[Valor custo]]</f>
        <v>25</v>
      </c>
      <c r="J635" s="7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">
        <v>1414.46</v>
      </c>
      <c r="H636" s="1">
        <v>2800</v>
      </c>
      <c r="I636" s="6">
        <f>Tabela1[[#This Row],[Valor total]]-Tabela1[[#This Row],[Valor custo]]</f>
        <v>1385.54</v>
      </c>
      <c r="J636" s="7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">
        <v>382.3</v>
      </c>
      <c r="H637" s="1">
        <v>0</v>
      </c>
      <c r="I637" s="6">
        <f>Tabela1[[#This Row],[Valor total]]-Tabela1[[#This Row],[Valor custo]]</f>
        <v>-382.3</v>
      </c>
      <c r="J637" s="7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">
        <v>1197.3900000000001</v>
      </c>
      <c r="H638" s="1">
        <v>1885</v>
      </c>
      <c r="I638" s="6">
        <f>Tabela1[[#This Row],[Valor total]]-Tabela1[[#This Row],[Valor custo]]</f>
        <v>687.6099999999999</v>
      </c>
      <c r="J638" s="7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">
        <v>2081.13</v>
      </c>
      <c r="H639" s="1">
        <v>2910</v>
      </c>
      <c r="I639" s="6">
        <f>Tabela1[[#This Row],[Valor total]]-Tabela1[[#This Row],[Valor custo]]</f>
        <v>828.86999999999989</v>
      </c>
      <c r="J639" s="7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">
        <v>439.2</v>
      </c>
      <c r="H640" s="1">
        <v>620</v>
      </c>
      <c r="I640" s="6">
        <f>Tabela1[[#This Row],[Valor total]]-Tabela1[[#This Row],[Valor custo]]</f>
        <v>180.8</v>
      </c>
      <c r="J640" s="7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">
        <v>2676.1</v>
      </c>
      <c r="H641" s="1">
        <v>4265</v>
      </c>
      <c r="I641" s="6">
        <f>Tabela1[[#This Row],[Valor total]]-Tabela1[[#This Row],[Valor custo]]</f>
        <v>1588.9</v>
      </c>
      <c r="J641" s="7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">
        <v>1005.12</v>
      </c>
      <c r="H642" s="1">
        <v>2020</v>
      </c>
      <c r="I642" s="6">
        <f>Tabela1[[#This Row],[Valor total]]-Tabela1[[#This Row],[Valor custo]]</f>
        <v>1014.88</v>
      </c>
      <c r="J642" s="7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">
        <v>30.49</v>
      </c>
      <c r="H643" s="1">
        <v>40</v>
      </c>
      <c r="I643" s="6">
        <f>Tabela1[[#This Row],[Valor total]]-Tabela1[[#This Row],[Valor custo]]</f>
        <v>9.5100000000000016</v>
      </c>
      <c r="J643" s="7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">
        <v>2635.2</v>
      </c>
      <c r="H644" s="1">
        <v>3840</v>
      </c>
      <c r="I644" s="6">
        <f>Tabela1[[#This Row],[Valor total]]-Tabela1[[#This Row],[Valor custo]]</f>
        <v>1204.8000000000002</v>
      </c>
      <c r="J644" s="7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">
        <v>774.55</v>
      </c>
      <c r="H645" s="1">
        <v>1465</v>
      </c>
      <c r="I645" s="6">
        <f>Tabela1[[#This Row],[Valor total]]-Tabela1[[#This Row],[Valor custo]]</f>
        <v>690.45</v>
      </c>
      <c r="J645" s="7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">
        <v>486.1</v>
      </c>
      <c r="H646" s="1">
        <v>800</v>
      </c>
      <c r="I646" s="6">
        <f>Tabela1[[#This Row],[Valor total]]-Tabela1[[#This Row],[Valor custo]]</f>
        <v>313.89999999999998</v>
      </c>
      <c r="J646" s="7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">
        <v>55</v>
      </c>
      <c r="H647" s="1">
        <v>150</v>
      </c>
      <c r="I647" s="6">
        <f>Tabela1[[#This Row],[Valor total]]-Tabela1[[#This Row],[Valor custo]]</f>
        <v>95</v>
      </c>
      <c r="J647" s="7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">
        <v>2069.17</v>
      </c>
      <c r="H648" s="1">
        <v>3435</v>
      </c>
      <c r="I648" s="6">
        <f>Tabela1[[#This Row],[Valor total]]-Tabela1[[#This Row],[Valor custo]]</f>
        <v>1365.83</v>
      </c>
      <c r="J648" s="7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">
        <v>295.88</v>
      </c>
      <c r="H649" s="1">
        <v>400</v>
      </c>
      <c r="I649" s="6">
        <f>Tabela1[[#This Row],[Valor total]]-Tabela1[[#This Row],[Valor custo]]</f>
        <v>104.12</v>
      </c>
      <c r="J649" s="7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">
        <v>2271.25</v>
      </c>
      <c r="H650" s="1">
        <v>2170</v>
      </c>
      <c r="I650" s="6">
        <f>Tabela1[[#This Row],[Valor total]]-Tabela1[[#This Row],[Valor custo]]</f>
        <v>-101.25</v>
      </c>
      <c r="J650" s="7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">
        <v>1669</v>
      </c>
      <c r="H651" s="1">
        <v>3318</v>
      </c>
      <c r="I651" s="6">
        <f>Tabela1[[#This Row],[Valor total]]-Tabela1[[#This Row],[Valor custo]]</f>
        <v>1649</v>
      </c>
      <c r="J651" s="7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">
        <v>216.3</v>
      </c>
      <c r="H652" s="1">
        <v>750</v>
      </c>
      <c r="I652" s="6">
        <f>Tabela1[[#This Row],[Valor total]]-Tabela1[[#This Row],[Valor custo]]</f>
        <v>533.70000000000005</v>
      </c>
      <c r="J652" s="7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">
        <v>2602.12</v>
      </c>
      <c r="H653" s="1">
        <v>4638</v>
      </c>
      <c r="I653" s="6">
        <f>Tabela1[[#This Row],[Valor total]]-Tabela1[[#This Row],[Valor custo]]</f>
        <v>2035.88</v>
      </c>
      <c r="J653" s="7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">
        <v>3365.45</v>
      </c>
      <c r="H654" s="1">
        <v>4757</v>
      </c>
      <c r="I654" s="6">
        <f>Tabela1[[#This Row],[Valor total]]-Tabela1[[#This Row],[Valor custo]]</f>
        <v>1391.5500000000002</v>
      </c>
      <c r="J654" s="7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">
        <v>321.06</v>
      </c>
      <c r="H655" s="1">
        <v>537.5</v>
      </c>
      <c r="I655" s="6">
        <f>Tabela1[[#This Row],[Valor total]]-Tabela1[[#This Row],[Valor custo]]</f>
        <v>216.44</v>
      </c>
      <c r="J655" s="7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">
        <v>1631.67</v>
      </c>
      <c r="H656" s="1">
        <v>2995</v>
      </c>
      <c r="I656" s="6">
        <f>Tabela1[[#This Row],[Valor total]]-Tabela1[[#This Row],[Valor custo]]</f>
        <v>1363.33</v>
      </c>
      <c r="J656" s="7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">
        <v>1939.75</v>
      </c>
      <c r="H657" s="1">
        <v>3300</v>
      </c>
      <c r="I657" s="6">
        <f>Tabela1[[#This Row],[Valor total]]-Tabela1[[#This Row],[Valor custo]]</f>
        <v>1360.25</v>
      </c>
      <c r="J657" s="7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">
        <v>395</v>
      </c>
      <c r="H658" s="1">
        <v>1250</v>
      </c>
      <c r="I658" s="6">
        <f>Tabela1[[#This Row],[Valor total]]-Tabela1[[#This Row],[Valor custo]]</f>
        <v>855</v>
      </c>
      <c r="J658" s="7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">
        <v>2782</v>
      </c>
      <c r="H659" s="1">
        <v>3930</v>
      </c>
      <c r="I659" s="6">
        <f>Tabela1[[#This Row],[Valor total]]-Tabela1[[#This Row],[Valor custo]]</f>
        <v>1148</v>
      </c>
      <c r="J659" s="7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">
        <v>6.1</v>
      </c>
      <c r="H660" s="1">
        <v>9</v>
      </c>
      <c r="I660" s="6">
        <f>Tabela1[[#This Row],[Valor total]]-Tabela1[[#This Row],[Valor custo]]</f>
        <v>2.9000000000000004</v>
      </c>
      <c r="J660" s="7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">
        <v>739.91</v>
      </c>
      <c r="H661" s="1">
        <v>1600</v>
      </c>
      <c r="I661" s="6">
        <f>Tabela1[[#This Row],[Valor total]]-Tabela1[[#This Row],[Valor custo]]</f>
        <v>860.09</v>
      </c>
      <c r="J661" s="7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">
        <v>548.47</v>
      </c>
      <c r="H662" s="1">
        <v>840</v>
      </c>
      <c r="I662" s="6">
        <f>Tabela1[[#This Row],[Valor total]]-Tabela1[[#This Row],[Valor custo]]</f>
        <v>291.52999999999997</v>
      </c>
      <c r="J662" s="7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">
        <v>555</v>
      </c>
      <c r="H663" s="1">
        <v>750</v>
      </c>
      <c r="I663" s="6">
        <f>Tabela1[[#This Row],[Valor total]]-Tabela1[[#This Row],[Valor custo]]</f>
        <v>195</v>
      </c>
      <c r="J663" s="7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">
        <v>439.2</v>
      </c>
      <c r="H664" s="1">
        <v>734</v>
      </c>
      <c r="I664" s="6">
        <f>Tabela1[[#This Row],[Valor total]]-Tabela1[[#This Row],[Valor custo]]</f>
        <v>294.8</v>
      </c>
      <c r="J664" s="7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">
        <v>6292.78</v>
      </c>
      <c r="H665" s="1">
        <v>10850</v>
      </c>
      <c r="I665" s="6">
        <f>Tabela1[[#This Row],[Valor total]]-Tabela1[[#This Row],[Valor custo]]</f>
        <v>4557.22</v>
      </c>
      <c r="J665" s="7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">
        <v>1287.96</v>
      </c>
      <c r="H666" s="1">
        <v>2430</v>
      </c>
      <c r="I666" s="6">
        <f>Tabela1[[#This Row],[Valor total]]-Tabela1[[#This Row],[Valor custo]]</f>
        <v>1142.04</v>
      </c>
      <c r="J666" s="7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">
        <v>718.57</v>
      </c>
      <c r="H667" s="1">
        <v>1350</v>
      </c>
      <c r="I667" s="6">
        <f>Tabela1[[#This Row],[Valor total]]-Tabela1[[#This Row],[Valor custo]]</f>
        <v>631.42999999999995</v>
      </c>
      <c r="J667" s="7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">
        <v>684.55</v>
      </c>
      <c r="H668" s="1">
        <v>1200</v>
      </c>
      <c r="I668" s="6">
        <f>Tabela1[[#This Row],[Valor total]]-Tabela1[[#This Row],[Valor custo]]</f>
        <v>515.45000000000005</v>
      </c>
      <c r="J668" s="7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">
        <v>9343.0499999999993</v>
      </c>
      <c r="H669" s="1">
        <v>14720</v>
      </c>
      <c r="I669" s="6">
        <f>Tabela1[[#This Row],[Valor total]]-Tabela1[[#This Row],[Valor custo]]</f>
        <v>5376.9500000000007</v>
      </c>
      <c r="J669" s="7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">
        <v>684.55</v>
      </c>
      <c r="H670" s="1">
        <v>1100</v>
      </c>
      <c r="I670" s="6">
        <f>Tabela1[[#This Row],[Valor total]]-Tabela1[[#This Row],[Valor custo]]</f>
        <v>415.45000000000005</v>
      </c>
      <c r="J670" s="7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">
        <v>593.83000000000004</v>
      </c>
      <c r="H671" s="1">
        <v>869</v>
      </c>
      <c r="I671" s="6">
        <f>Tabela1[[#This Row],[Valor total]]-Tabela1[[#This Row],[Valor custo]]</f>
        <v>275.16999999999996</v>
      </c>
      <c r="J671" s="7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">
        <v>3054.45</v>
      </c>
      <c r="H672" s="1">
        <v>4859.25</v>
      </c>
      <c r="I672" s="6">
        <f>Tabela1[[#This Row],[Valor total]]-Tabela1[[#This Row],[Valor custo]]</f>
        <v>1804.8000000000002</v>
      </c>
      <c r="J672" s="7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">
        <v>109.33</v>
      </c>
      <c r="H673" s="1">
        <v>390</v>
      </c>
      <c r="I673" s="6">
        <f>Tabela1[[#This Row],[Valor total]]-Tabela1[[#This Row],[Valor custo]]</f>
        <v>280.67</v>
      </c>
      <c r="J673" s="7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">
        <v>1273.75</v>
      </c>
      <c r="H674" s="1">
        <v>2070</v>
      </c>
      <c r="I674" s="6">
        <f>Tabela1[[#This Row],[Valor total]]-Tabela1[[#This Row],[Valor custo]]</f>
        <v>796.25</v>
      </c>
      <c r="J674" s="7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">
        <v>1168</v>
      </c>
      <c r="H675" s="1">
        <v>118</v>
      </c>
      <c r="I675" s="6">
        <f>Tabela1[[#This Row],[Valor total]]-Tabela1[[#This Row],[Valor custo]]</f>
        <v>-1050</v>
      </c>
      <c r="J675" s="7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">
        <v>954</v>
      </c>
      <c r="H676" s="1">
        <v>810</v>
      </c>
      <c r="I676" s="6">
        <f>Tabela1[[#This Row],[Valor total]]-Tabela1[[#This Row],[Valor custo]]</f>
        <v>-144</v>
      </c>
      <c r="J676" s="7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">
        <v>10.58</v>
      </c>
      <c r="H677" s="1">
        <v>22</v>
      </c>
      <c r="I677" s="6">
        <f>Tabela1[[#This Row],[Valor total]]-Tabela1[[#This Row],[Valor custo]]</f>
        <v>11.42</v>
      </c>
      <c r="J677" s="7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">
        <v>9.3800000000000008</v>
      </c>
      <c r="H678" s="1">
        <v>0</v>
      </c>
      <c r="I678" s="6">
        <f>Tabela1[[#This Row],[Valor total]]-Tabela1[[#This Row],[Valor custo]]</f>
        <v>-9.3800000000000008</v>
      </c>
      <c r="J678" s="7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">
        <v>584</v>
      </c>
      <c r="H679" s="1">
        <v>0</v>
      </c>
      <c r="I679" s="6">
        <f>Tabela1[[#This Row],[Valor total]]-Tabela1[[#This Row],[Valor custo]]</f>
        <v>-584</v>
      </c>
      <c r="J679" s="7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">
        <v>548.47</v>
      </c>
      <c r="H680" s="1">
        <v>810</v>
      </c>
      <c r="I680" s="6">
        <f>Tabela1[[#This Row],[Valor total]]-Tabela1[[#This Row],[Valor custo]]</f>
        <v>261.52999999999997</v>
      </c>
      <c r="J680" s="7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">
        <v>1187.6600000000001</v>
      </c>
      <c r="H681" s="1">
        <v>1300</v>
      </c>
      <c r="I681" s="6">
        <f>Tabela1[[#This Row],[Valor total]]-Tabela1[[#This Row],[Valor custo]]</f>
        <v>112.33999999999992</v>
      </c>
      <c r="J681" s="7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">
        <v>593.83000000000004</v>
      </c>
      <c r="H682" s="1">
        <v>680</v>
      </c>
      <c r="I682" s="6">
        <f>Tabela1[[#This Row],[Valor total]]-Tabela1[[#This Row],[Valor custo]]</f>
        <v>86.169999999999959</v>
      </c>
      <c r="J682" s="7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">
        <v>531.45000000000005</v>
      </c>
      <c r="H683" s="1">
        <v>785</v>
      </c>
      <c r="I683" s="6">
        <f>Tabela1[[#This Row],[Valor total]]-Tabela1[[#This Row],[Valor custo]]</f>
        <v>253.54999999999995</v>
      </c>
      <c r="J683" s="7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">
        <v>1028.9000000000001</v>
      </c>
      <c r="H684" s="1">
        <v>1455</v>
      </c>
      <c r="I684" s="6">
        <f>Tabela1[[#This Row],[Valor total]]-Tabela1[[#This Row],[Valor custo]]</f>
        <v>426.09999999999991</v>
      </c>
      <c r="J684" s="7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">
        <v>368.22</v>
      </c>
      <c r="H685" s="1">
        <v>510</v>
      </c>
      <c r="I685" s="6">
        <f>Tabela1[[#This Row],[Valor total]]-Tabela1[[#This Row],[Valor custo]]</f>
        <v>141.77999999999997</v>
      </c>
      <c r="J685" s="7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">
        <v>477</v>
      </c>
      <c r="H686" s="1">
        <v>550</v>
      </c>
      <c r="I686" s="6">
        <f>Tabela1[[#This Row],[Valor total]]-Tabela1[[#This Row],[Valor custo]]</f>
        <v>73</v>
      </c>
      <c r="J686" s="7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">
        <v>409.87</v>
      </c>
      <c r="H687" s="1">
        <v>600</v>
      </c>
      <c r="I687" s="6">
        <f>Tabela1[[#This Row],[Valor total]]-Tabela1[[#This Row],[Valor custo]]</f>
        <v>190.13</v>
      </c>
      <c r="J687" s="7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">
        <v>2057.8000000000002</v>
      </c>
      <c r="H688" s="1">
        <v>2760</v>
      </c>
      <c r="I688" s="6">
        <f>Tabela1[[#This Row],[Valor total]]-Tabela1[[#This Row],[Valor custo]]</f>
        <v>702.19999999999982</v>
      </c>
      <c r="J688" s="7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">
        <v>568.83000000000004</v>
      </c>
      <c r="H689" s="1">
        <v>795</v>
      </c>
      <c r="I689" s="6">
        <f>Tabela1[[#This Row],[Valor total]]-Tabela1[[#This Row],[Valor custo]]</f>
        <v>226.16999999999996</v>
      </c>
      <c r="J689" s="7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">
        <v>24.76</v>
      </c>
      <c r="H690" s="1">
        <v>36</v>
      </c>
      <c r="I690" s="6">
        <f>Tabela1[[#This Row],[Valor total]]-Tabela1[[#This Row],[Valor custo]]</f>
        <v>11.239999999999998</v>
      </c>
      <c r="J690" s="7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">
        <v>1062.9000000000001</v>
      </c>
      <c r="H691" s="1">
        <v>1260</v>
      </c>
      <c r="I691" s="6">
        <f>Tabela1[[#This Row],[Valor total]]-Tabela1[[#This Row],[Valor custo]]</f>
        <v>197.09999999999991</v>
      </c>
      <c r="J691" s="7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">
        <v>409.87</v>
      </c>
      <c r="H692" s="1">
        <v>0</v>
      </c>
      <c r="I692" s="6">
        <f>Tabela1[[#This Row],[Valor total]]-Tabela1[[#This Row],[Valor custo]]</f>
        <v>-409.87</v>
      </c>
      <c r="J692" s="7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">
        <v>50</v>
      </c>
      <c r="H693" s="1">
        <v>60</v>
      </c>
      <c r="I693" s="6">
        <f>Tabela1[[#This Row],[Valor total]]-Tabela1[[#This Row],[Valor custo]]</f>
        <v>10</v>
      </c>
      <c r="J693" s="7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">
        <v>125</v>
      </c>
      <c r="H694" s="1">
        <v>150</v>
      </c>
      <c r="I694" s="6">
        <f>Tabela1[[#This Row],[Valor total]]-Tabela1[[#This Row],[Valor custo]]</f>
        <v>25</v>
      </c>
      <c r="J694" s="7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">
        <v>50</v>
      </c>
      <c r="H695" s="1">
        <v>60</v>
      </c>
      <c r="I695" s="6">
        <f>Tabela1[[#This Row],[Valor total]]-Tabela1[[#This Row],[Valor custo]]</f>
        <v>10</v>
      </c>
      <c r="J695" s="7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">
        <v>3086.7</v>
      </c>
      <c r="H696" s="1">
        <v>3600</v>
      </c>
      <c r="I696" s="6">
        <f>Tabela1[[#This Row],[Valor total]]-Tabela1[[#This Row],[Valor custo]]</f>
        <v>513.30000000000018</v>
      </c>
      <c r="J696" s="7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">
        <v>25</v>
      </c>
      <c r="H697" s="1">
        <v>30</v>
      </c>
      <c r="I697" s="6">
        <f>Tabela1[[#This Row],[Valor total]]-Tabela1[[#This Row],[Valor custo]]</f>
        <v>5</v>
      </c>
      <c r="J697" s="7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">
        <v>439.2</v>
      </c>
      <c r="H698" s="1">
        <v>650</v>
      </c>
      <c r="I698" s="6">
        <f>Tabela1[[#This Row],[Valor total]]-Tabela1[[#This Row],[Valor custo]]</f>
        <v>210.8</v>
      </c>
      <c r="J698" s="7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">
        <v>3470.25</v>
      </c>
      <c r="H699" s="1">
        <v>5270</v>
      </c>
      <c r="I699" s="6">
        <f>Tabela1[[#This Row],[Valor total]]-Tabela1[[#This Row],[Valor custo]]</f>
        <v>1799.75</v>
      </c>
      <c r="J699" s="7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">
        <v>325</v>
      </c>
      <c r="H700" s="1">
        <v>390</v>
      </c>
      <c r="I700" s="6">
        <f>Tabela1[[#This Row],[Valor total]]-Tabela1[[#This Row],[Valor custo]]</f>
        <v>65</v>
      </c>
      <c r="J700" s="7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">
        <v>514.45000000000005</v>
      </c>
      <c r="H701" s="1">
        <v>700</v>
      </c>
      <c r="I701" s="6">
        <f>Tabela1[[#This Row],[Valor total]]-Tabela1[[#This Row],[Valor custo]]</f>
        <v>185.54999999999995</v>
      </c>
      <c r="J701" s="7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">
        <v>100</v>
      </c>
      <c r="H702" s="1">
        <v>131</v>
      </c>
      <c r="I702" s="6">
        <f>Tabela1[[#This Row],[Valor total]]-Tabela1[[#This Row],[Valor custo]]</f>
        <v>31</v>
      </c>
      <c r="J702" s="7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">
        <v>125</v>
      </c>
      <c r="H703" s="1">
        <v>150</v>
      </c>
      <c r="I703" s="6">
        <f>Tabela1[[#This Row],[Valor total]]-Tabela1[[#This Row],[Valor custo]]</f>
        <v>25</v>
      </c>
      <c r="J703" s="7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">
        <v>6137.74</v>
      </c>
      <c r="H704" s="1">
        <v>9190</v>
      </c>
      <c r="I704" s="6">
        <f>Tabela1[[#This Row],[Valor total]]-Tabela1[[#This Row],[Valor custo]]</f>
        <v>3052.26</v>
      </c>
      <c r="J704" s="7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">
        <v>1062.9000000000001</v>
      </c>
      <c r="H705" s="1">
        <v>1590</v>
      </c>
      <c r="I705" s="6">
        <f>Tabela1[[#This Row],[Valor total]]-Tabela1[[#This Row],[Valor custo]]</f>
        <v>527.09999999999991</v>
      </c>
      <c r="J705" s="7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">
        <v>122.74</v>
      </c>
      <c r="H706" s="1">
        <v>197</v>
      </c>
      <c r="I706" s="6">
        <f>Tabela1[[#This Row],[Valor total]]-Tabela1[[#This Row],[Valor custo]]</f>
        <v>74.260000000000005</v>
      </c>
      <c r="J706" s="7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">
        <v>952.68</v>
      </c>
      <c r="H707" s="1">
        <v>1290</v>
      </c>
      <c r="I707" s="6">
        <f>Tabela1[[#This Row],[Valor total]]-Tabela1[[#This Row],[Valor custo]]</f>
        <v>337.32000000000005</v>
      </c>
      <c r="J707" s="7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">
        <v>250</v>
      </c>
      <c r="H708" s="1">
        <v>300</v>
      </c>
      <c r="I708" s="6">
        <f>Tabela1[[#This Row],[Valor total]]-Tabela1[[#This Row],[Valor custo]]</f>
        <v>50</v>
      </c>
      <c r="J708" s="7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">
        <v>75</v>
      </c>
      <c r="H709" s="1">
        <v>90</v>
      </c>
      <c r="I709" s="6">
        <f>Tabela1[[#This Row],[Valor total]]-Tabela1[[#This Row],[Valor custo]]</f>
        <v>15</v>
      </c>
      <c r="J709" s="7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">
        <v>548.47</v>
      </c>
      <c r="H710" s="1">
        <v>810</v>
      </c>
      <c r="I710" s="6">
        <f>Tabela1[[#This Row],[Valor total]]-Tabela1[[#This Row],[Valor custo]]</f>
        <v>261.52999999999997</v>
      </c>
      <c r="J710" s="7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">
        <v>250</v>
      </c>
      <c r="H711" s="1">
        <v>300</v>
      </c>
      <c r="I711" s="6">
        <f>Tabela1[[#This Row],[Valor total]]-Tabela1[[#This Row],[Valor custo]]</f>
        <v>50</v>
      </c>
      <c r="J711" s="7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">
        <v>439.2</v>
      </c>
      <c r="H712" s="1">
        <v>620</v>
      </c>
      <c r="I712" s="6">
        <f>Tabela1[[#This Row],[Valor total]]-Tabela1[[#This Row],[Valor custo]]</f>
        <v>180.8</v>
      </c>
      <c r="J712" s="7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">
        <v>30</v>
      </c>
      <c r="H713" s="1">
        <v>400</v>
      </c>
      <c r="I713" s="6">
        <f>Tabela1[[#This Row],[Valor total]]-Tabela1[[#This Row],[Valor custo]]</f>
        <v>370</v>
      </c>
      <c r="J713" s="7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">
        <v>293.13</v>
      </c>
      <c r="H714" s="1">
        <v>687</v>
      </c>
      <c r="I714" s="6">
        <f>Tabela1[[#This Row],[Valor total]]-Tabela1[[#This Row],[Valor custo]]</f>
        <v>393.87</v>
      </c>
      <c r="J714" s="7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">
        <v>593.83000000000004</v>
      </c>
      <c r="H715" s="1">
        <v>959</v>
      </c>
      <c r="I715" s="6">
        <f>Tabela1[[#This Row],[Valor total]]-Tabela1[[#This Row],[Valor custo]]</f>
        <v>365.16999999999996</v>
      </c>
      <c r="J715" s="7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">
        <v>250</v>
      </c>
      <c r="H716" s="1">
        <v>300</v>
      </c>
      <c r="I716" s="6">
        <f>Tabela1[[#This Row],[Valor total]]-Tabela1[[#This Row],[Valor custo]]</f>
        <v>50</v>
      </c>
      <c r="J716" s="7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">
        <v>350</v>
      </c>
      <c r="H717" s="1">
        <v>420</v>
      </c>
      <c r="I717" s="6">
        <f>Tabela1[[#This Row],[Valor total]]-Tabela1[[#This Row],[Valor custo]]</f>
        <v>70</v>
      </c>
      <c r="J717" s="7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">
        <v>100</v>
      </c>
      <c r="H718" s="1">
        <v>700</v>
      </c>
      <c r="I718" s="6">
        <f>Tabela1[[#This Row],[Valor total]]-Tabela1[[#This Row],[Valor custo]]</f>
        <v>600</v>
      </c>
      <c r="J718" s="7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">
        <v>55.45</v>
      </c>
      <c r="H719" s="1">
        <v>261</v>
      </c>
      <c r="I719" s="6">
        <f>Tabela1[[#This Row],[Valor total]]-Tabela1[[#This Row],[Valor custo]]</f>
        <v>205.55</v>
      </c>
      <c r="J719" s="7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">
        <v>531.45000000000005</v>
      </c>
      <c r="H720" s="1">
        <v>850</v>
      </c>
      <c r="I720" s="6">
        <f>Tabela1[[#This Row],[Valor total]]-Tabela1[[#This Row],[Valor custo]]</f>
        <v>318.54999999999995</v>
      </c>
      <c r="J720" s="7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">
        <v>250</v>
      </c>
      <c r="H721" s="1">
        <v>300</v>
      </c>
      <c r="I721" s="6">
        <f>Tabela1[[#This Row],[Valor total]]-Tabela1[[#This Row],[Valor custo]]</f>
        <v>50</v>
      </c>
      <c r="J721" s="7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">
        <v>250</v>
      </c>
      <c r="H722" s="1">
        <v>300</v>
      </c>
      <c r="I722" s="6">
        <f>Tabela1[[#This Row],[Valor total]]-Tabela1[[#This Row],[Valor custo]]</f>
        <v>50</v>
      </c>
      <c r="J722" s="7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">
        <v>439.2</v>
      </c>
      <c r="H723" s="1">
        <v>600</v>
      </c>
      <c r="I723" s="6">
        <f>Tabela1[[#This Row],[Valor total]]-Tabela1[[#This Row],[Valor custo]]</f>
        <v>160.80000000000001</v>
      </c>
      <c r="J723" s="7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">
        <v>52.2</v>
      </c>
      <c r="H724" s="1">
        <v>185</v>
      </c>
      <c r="I724" s="6">
        <f>Tabela1[[#This Row],[Valor total]]-Tabela1[[#This Row],[Valor custo]]</f>
        <v>132.80000000000001</v>
      </c>
      <c r="J724" s="7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">
        <v>104.4</v>
      </c>
      <c r="H725" s="1">
        <v>350</v>
      </c>
      <c r="I725" s="6">
        <f>Tabela1[[#This Row],[Valor total]]-Tabela1[[#This Row],[Valor custo]]</f>
        <v>245.6</v>
      </c>
      <c r="J725" s="7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">
        <v>674.21</v>
      </c>
      <c r="H726" s="1">
        <v>825</v>
      </c>
      <c r="I726" s="6">
        <f>Tabela1[[#This Row],[Valor total]]-Tabela1[[#This Row],[Valor custo]]</f>
        <v>150.78999999999996</v>
      </c>
      <c r="J726" s="7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">
        <v>1045.9000000000001</v>
      </c>
      <c r="H727" s="1">
        <v>1500</v>
      </c>
      <c r="I727" s="6">
        <f>Tabela1[[#This Row],[Valor total]]-Tabela1[[#This Row],[Valor custo]]</f>
        <v>454.09999999999991</v>
      </c>
      <c r="J727" s="7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">
        <v>514.45000000000005</v>
      </c>
      <c r="H728" s="1">
        <v>620</v>
      </c>
      <c r="I728" s="6">
        <f>Tabela1[[#This Row],[Valor total]]-Tabela1[[#This Row],[Valor custo]]</f>
        <v>105.54999999999995</v>
      </c>
      <c r="J728" s="7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">
        <v>569.35</v>
      </c>
      <c r="H729" s="1">
        <v>901</v>
      </c>
      <c r="I729" s="6">
        <f>Tabela1[[#This Row],[Valor total]]-Tabela1[[#This Row],[Valor custo]]</f>
        <v>331.65</v>
      </c>
      <c r="J729" s="7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">
        <v>878.4</v>
      </c>
      <c r="H730" s="1">
        <v>1220</v>
      </c>
      <c r="I730" s="6">
        <f>Tabela1[[#This Row],[Valor total]]-Tabela1[[#This Row],[Valor custo]]</f>
        <v>341.6</v>
      </c>
      <c r="J730" s="7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">
        <v>2108.8000000000002</v>
      </c>
      <c r="H731" s="1">
        <v>3075</v>
      </c>
      <c r="I731" s="6">
        <f>Tabela1[[#This Row],[Valor total]]-Tabela1[[#This Row],[Valor custo]]</f>
        <v>966.19999999999982</v>
      </c>
      <c r="J731" s="7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">
        <v>947.65</v>
      </c>
      <c r="H732" s="1">
        <v>1625</v>
      </c>
      <c r="I732" s="6">
        <f>Tabela1[[#This Row],[Valor total]]-Tabela1[[#This Row],[Valor custo]]</f>
        <v>677.35</v>
      </c>
      <c r="J732" s="7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">
        <v>878.4</v>
      </c>
      <c r="H733" s="1">
        <v>1200</v>
      </c>
      <c r="I733" s="6">
        <f>Tabela1[[#This Row],[Valor total]]-Tabela1[[#This Row],[Valor custo]]</f>
        <v>321.60000000000002</v>
      </c>
      <c r="J733" s="7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">
        <v>175</v>
      </c>
      <c r="H734" s="1">
        <v>229.5</v>
      </c>
      <c r="I734" s="6">
        <f>Tabela1[[#This Row],[Valor total]]-Tabela1[[#This Row],[Valor custo]]</f>
        <v>54.5</v>
      </c>
      <c r="J734" s="7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">
        <v>0</v>
      </c>
      <c r="H735" s="1">
        <v>250</v>
      </c>
      <c r="I735" s="6">
        <f>Tabela1[[#This Row],[Valor total]]-Tabela1[[#This Row],[Valor custo]]</f>
        <v>250</v>
      </c>
      <c r="J735" s="7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">
        <v>60.95</v>
      </c>
      <c r="H736" s="1">
        <v>75</v>
      </c>
      <c r="I736" s="6">
        <f>Tabela1[[#This Row],[Valor total]]-Tabela1[[#This Row],[Valor custo]]</f>
        <v>14.049999999999997</v>
      </c>
      <c r="J736" s="7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">
        <v>349.21</v>
      </c>
      <c r="H737" s="1">
        <v>430</v>
      </c>
      <c r="I737" s="6">
        <f>Tabela1[[#This Row],[Valor total]]-Tabela1[[#This Row],[Valor custo]]</f>
        <v>80.79000000000002</v>
      </c>
      <c r="J737" s="7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">
        <v>514.45000000000005</v>
      </c>
      <c r="H738" s="1">
        <v>635</v>
      </c>
      <c r="I738" s="6">
        <f>Tabela1[[#This Row],[Valor total]]-Tabela1[[#This Row],[Valor custo]]</f>
        <v>120.54999999999995</v>
      </c>
      <c r="J738" s="7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">
        <v>514.45000000000005</v>
      </c>
      <c r="H739" s="1">
        <v>635</v>
      </c>
      <c r="I739" s="6">
        <f>Tabela1[[#This Row],[Valor total]]-Tabela1[[#This Row],[Valor custo]]</f>
        <v>120.54999999999995</v>
      </c>
      <c r="J739" s="7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">
        <v>439.2</v>
      </c>
      <c r="H740" s="1">
        <v>679</v>
      </c>
      <c r="I740" s="6">
        <f>Tabela1[[#This Row],[Valor total]]-Tabela1[[#This Row],[Valor custo]]</f>
        <v>239.8</v>
      </c>
      <c r="J740" s="7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">
        <v>6615.05</v>
      </c>
      <c r="H741" s="1">
        <v>8320</v>
      </c>
      <c r="I741" s="6">
        <f>Tabela1[[#This Row],[Valor total]]-Tabela1[[#This Row],[Valor custo]]</f>
        <v>1704.9499999999998</v>
      </c>
      <c r="J741" s="7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">
        <v>3454.94</v>
      </c>
      <c r="H742" s="1">
        <v>4520</v>
      </c>
      <c r="I742" s="6">
        <f>Tabela1[[#This Row],[Valor total]]-Tabela1[[#This Row],[Valor custo]]</f>
        <v>1065.06</v>
      </c>
      <c r="J742" s="7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">
        <v>2737.31</v>
      </c>
      <c r="H743" s="1">
        <v>3600</v>
      </c>
      <c r="I743" s="6">
        <f>Tabela1[[#This Row],[Valor total]]-Tabela1[[#This Row],[Valor custo]]</f>
        <v>862.69</v>
      </c>
      <c r="J743" s="7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">
        <v>1198</v>
      </c>
      <c r="H744" s="1">
        <v>2000</v>
      </c>
      <c r="I744" s="6">
        <f>Tabela1[[#This Row],[Valor total]]-Tabela1[[#This Row],[Valor custo]]</f>
        <v>802</v>
      </c>
      <c r="J744" s="7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">
        <v>249.87</v>
      </c>
      <c r="H745" s="1">
        <v>1000</v>
      </c>
      <c r="I745" s="6">
        <f>Tabela1[[#This Row],[Valor total]]-Tabela1[[#This Row],[Valor custo]]</f>
        <v>750.13</v>
      </c>
      <c r="J745" s="7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">
        <v>104.4</v>
      </c>
      <c r="H746" s="1">
        <v>300</v>
      </c>
      <c r="I746" s="6">
        <f>Tabela1[[#This Row],[Valor total]]-Tabela1[[#This Row],[Valor custo]]</f>
        <v>195.6</v>
      </c>
      <c r="J746" s="7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">
        <v>84</v>
      </c>
      <c r="H747" s="1">
        <v>110</v>
      </c>
      <c r="I747" s="6">
        <f>Tabela1[[#This Row],[Valor total]]-Tabela1[[#This Row],[Valor custo]]</f>
        <v>26</v>
      </c>
      <c r="J747" s="7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">
        <v>2049.35</v>
      </c>
      <c r="H748" s="1">
        <v>2700</v>
      </c>
      <c r="I748" s="6">
        <f>Tabela1[[#This Row],[Valor total]]-Tabela1[[#This Row],[Valor custo]]</f>
        <v>650.65000000000009</v>
      </c>
      <c r="J748" s="7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">
        <v>174.21</v>
      </c>
      <c r="H749" s="1">
        <v>230</v>
      </c>
      <c r="I749" s="6">
        <f>Tabela1[[#This Row],[Valor total]]-Tabela1[[#This Row],[Valor custo]]</f>
        <v>55.789999999999992</v>
      </c>
      <c r="J749" s="7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">
        <v>514.45000000000005</v>
      </c>
      <c r="H750" s="1">
        <v>690</v>
      </c>
      <c r="I750" s="6">
        <f>Tabela1[[#This Row],[Valor total]]-Tabela1[[#This Row],[Valor custo]]</f>
        <v>175.54999999999995</v>
      </c>
      <c r="J750" s="7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">
        <v>473</v>
      </c>
      <c r="H751" s="1">
        <v>630</v>
      </c>
      <c r="I751" s="6">
        <f>Tabela1[[#This Row],[Valor total]]-Tabela1[[#This Row],[Valor custo]]</f>
        <v>157</v>
      </c>
      <c r="J751" s="7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">
        <v>514.45000000000005</v>
      </c>
      <c r="H752" s="1">
        <v>690</v>
      </c>
      <c r="I752" s="6">
        <f>Tabela1[[#This Row],[Valor total]]-Tabela1[[#This Row],[Valor custo]]</f>
        <v>175.54999999999995</v>
      </c>
      <c r="J752" s="7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">
        <v>1060.6500000000001</v>
      </c>
      <c r="H753" s="1">
        <v>1570</v>
      </c>
      <c r="I753" s="6">
        <f>Tabela1[[#This Row],[Valor total]]-Tabela1[[#This Row],[Valor custo]]</f>
        <v>509.34999999999991</v>
      </c>
      <c r="J753" s="7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">
        <v>1028.9000000000001</v>
      </c>
      <c r="H754" s="1">
        <v>1430</v>
      </c>
      <c r="I754" s="6">
        <f>Tabela1[[#This Row],[Valor total]]-Tabela1[[#This Row],[Valor custo]]</f>
        <v>401.09999999999991</v>
      </c>
      <c r="J754" s="7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">
        <v>1028.9000000000001</v>
      </c>
      <c r="H755" s="1">
        <v>1440</v>
      </c>
      <c r="I755" s="6">
        <f>Tabela1[[#This Row],[Valor total]]-Tabela1[[#This Row],[Valor custo]]</f>
        <v>411.09999999999991</v>
      </c>
      <c r="J755" s="7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">
        <v>439.2</v>
      </c>
      <c r="H756" s="1">
        <v>645</v>
      </c>
      <c r="I756" s="6">
        <f>Tabela1[[#This Row],[Valor total]]-Tabela1[[#This Row],[Valor custo]]</f>
        <v>205.8</v>
      </c>
      <c r="J756" s="7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">
        <v>52.2</v>
      </c>
      <c r="H757" s="1">
        <v>185</v>
      </c>
      <c r="I757" s="6">
        <f>Tabela1[[#This Row],[Valor total]]-Tabela1[[#This Row],[Valor custo]]</f>
        <v>132.80000000000001</v>
      </c>
      <c r="J757" s="7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">
        <v>7777.76</v>
      </c>
      <c r="H758" s="1">
        <v>10340</v>
      </c>
      <c r="I758" s="6">
        <f>Tabela1[[#This Row],[Valor total]]-Tabela1[[#This Row],[Valor custo]]</f>
        <v>2562.2399999999998</v>
      </c>
      <c r="J758" s="7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">
        <v>819.74</v>
      </c>
      <c r="H759" s="1">
        <v>1200</v>
      </c>
      <c r="I759" s="6">
        <f>Tabela1[[#This Row],[Valor total]]-Tabela1[[#This Row],[Valor custo]]</f>
        <v>380.26</v>
      </c>
      <c r="J759" s="7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">
        <v>199.28</v>
      </c>
      <c r="H760" s="1">
        <v>259</v>
      </c>
      <c r="I760" s="6">
        <f>Tabela1[[#This Row],[Valor total]]-Tabela1[[#This Row],[Valor custo]]</f>
        <v>59.72</v>
      </c>
      <c r="J760" s="7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">
        <v>2200.3000000000002</v>
      </c>
      <c r="H761" s="1">
        <v>3100</v>
      </c>
      <c r="I761" s="6">
        <f>Tabela1[[#This Row],[Valor total]]-Tabela1[[#This Row],[Valor custo]]</f>
        <v>899.69999999999982</v>
      </c>
      <c r="J761" s="7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">
        <v>439.2</v>
      </c>
      <c r="H762" s="1">
        <v>650</v>
      </c>
      <c r="I762" s="6">
        <f>Tabela1[[#This Row],[Valor total]]-Tabela1[[#This Row],[Valor custo]]</f>
        <v>210.8</v>
      </c>
      <c r="J762" s="7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">
        <v>1078.9000000000001</v>
      </c>
      <c r="H763" s="1">
        <v>1040</v>
      </c>
      <c r="I763" s="6">
        <f>Tabela1[[#This Row],[Valor total]]-Tabela1[[#This Row],[Valor custo]]</f>
        <v>-38.900000000000091</v>
      </c>
      <c r="J763" s="7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">
        <v>1771.29</v>
      </c>
      <c r="H764" s="1">
        <v>2500</v>
      </c>
      <c r="I764" s="6">
        <f>Tabela1[[#This Row],[Valor total]]-Tabela1[[#This Row],[Valor custo]]</f>
        <v>728.71</v>
      </c>
      <c r="J764" s="7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">
        <v>452.89</v>
      </c>
      <c r="H765" s="1">
        <v>750</v>
      </c>
      <c r="I765" s="6">
        <f>Tabela1[[#This Row],[Valor total]]-Tabela1[[#This Row],[Valor custo]]</f>
        <v>297.11</v>
      </c>
      <c r="J765" s="7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">
        <v>33</v>
      </c>
      <c r="H766" s="1">
        <v>163.24</v>
      </c>
      <c r="I766" s="6">
        <f>Tabela1[[#This Row],[Valor total]]-Tabela1[[#This Row],[Valor custo]]</f>
        <v>130.24</v>
      </c>
      <c r="J766" s="7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">
        <v>1187.6600000000001</v>
      </c>
      <c r="H767" s="1">
        <v>1890</v>
      </c>
      <c r="I767" s="6">
        <f>Tabela1[[#This Row],[Valor total]]-Tabela1[[#This Row],[Valor custo]]</f>
        <v>702.33999999999992</v>
      </c>
      <c r="J767" s="7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">
        <v>1028.9000000000001</v>
      </c>
      <c r="H768" s="1">
        <v>1380</v>
      </c>
      <c r="I768" s="6">
        <f>Tabela1[[#This Row],[Valor total]]-Tabela1[[#This Row],[Valor custo]]</f>
        <v>351.09999999999991</v>
      </c>
      <c r="J768" s="7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">
        <v>41</v>
      </c>
      <c r="H769" s="1">
        <v>55</v>
      </c>
      <c r="I769" s="6">
        <f>Tabela1[[#This Row],[Valor total]]-Tabela1[[#This Row],[Valor custo]]</f>
        <v>14</v>
      </c>
      <c r="J769" s="7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">
        <v>409.87</v>
      </c>
      <c r="H770" s="1">
        <v>550</v>
      </c>
      <c r="I770" s="6">
        <f>Tabela1[[#This Row],[Valor total]]-Tabela1[[#This Row],[Valor custo]]</f>
        <v>140.13</v>
      </c>
      <c r="J770" s="7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">
        <v>293.13</v>
      </c>
      <c r="H771" s="1">
        <v>687</v>
      </c>
      <c r="I771" s="6">
        <f>Tabela1[[#This Row],[Valor total]]-Tabela1[[#This Row],[Valor custo]]</f>
        <v>393.87</v>
      </c>
      <c r="J771" s="7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">
        <v>0</v>
      </c>
      <c r="H772" s="1">
        <v>300</v>
      </c>
      <c r="I772" s="6">
        <f>Tabela1[[#This Row],[Valor total]]-Tabela1[[#This Row],[Valor custo]]</f>
        <v>300</v>
      </c>
      <c r="J772" s="7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">
        <v>41.76</v>
      </c>
      <c r="H773" s="1">
        <v>160</v>
      </c>
      <c r="I773" s="6">
        <f>Tabela1[[#This Row],[Valor total]]-Tabela1[[#This Row],[Valor custo]]</f>
        <v>118.24000000000001</v>
      </c>
      <c r="J773" s="7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">
        <v>293.13</v>
      </c>
      <c r="H774" s="1">
        <v>687</v>
      </c>
      <c r="I774" s="6">
        <f>Tabela1[[#This Row],[Valor total]]-Tabela1[[#This Row],[Valor custo]]</f>
        <v>393.87</v>
      </c>
      <c r="J774" s="7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">
        <v>3976</v>
      </c>
      <c r="H775" s="1">
        <v>5680</v>
      </c>
      <c r="I775" s="6">
        <f>Tabela1[[#This Row],[Valor total]]-Tabela1[[#This Row],[Valor custo]]</f>
        <v>1704</v>
      </c>
      <c r="J775" s="7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">
        <v>514.45000000000005</v>
      </c>
      <c r="H776" s="1">
        <v>620</v>
      </c>
      <c r="I776" s="6">
        <f>Tabela1[[#This Row],[Valor total]]-Tabela1[[#This Row],[Valor custo]]</f>
        <v>105.54999999999995</v>
      </c>
      <c r="J776" s="7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">
        <v>819.74</v>
      </c>
      <c r="H777" s="1">
        <v>1100</v>
      </c>
      <c r="I777" s="6">
        <f>Tabela1[[#This Row],[Valor total]]-Tabela1[[#This Row],[Valor custo]]</f>
        <v>280.26</v>
      </c>
      <c r="J777" s="7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">
        <v>293.13</v>
      </c>
      <c r="H778" s="1">
        <v>687</v>
      </c>
      <c r="I778" s="6">
        <f>Tabela1[[#This Row],[Valor total]]-Tabela1[[#This Row],[Valor custo]]</f>
        <v>393.87</v>
      </c>
      <c r="J778" s="7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">
        <v>3</v>
      </c>
      <c r="H779" s="1">
        <v>150</v>
      </c>
      <c r="I779" s="6">
        <f>Tabela1[[#This Row],[Valor total]]-Tabela1[[#This Row],[Valor custo]]</f>
        <v>147</v>
      </c>
      <c r="J779" s="7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">
        <v>2049.35</v>
      </c>
      <c r="H780" s="1">
        <v>2750</v>
      </c>
      <c r="I780" s="6">
        <f>Tabela1[[#This Row],[Valor total]]-Tabela1[[#This Row],[Valor custo]]</f>
        <v>700.65000000000009</v>
      </c>
      <c r="J780" s="7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">
        <v>894</v>
      </c>
      <c r="H781" s="1">
        <v>1200</v>
      </c>
      <c r="I781" s="6">
        <f>Tabela1[[#This Row],[Valor total]]-Tabela1[[#This Row],[Valor custo]]</f>
        <v>306</v>
      </c>
      <c r="J781" s="7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">
        <v>439.2</v>
      </c>
      <c r="H782" s="1">
        <v>633</v>
      </c>
      <c r="I782" s="6">
        <f>Tabela1[[#This Row],[Valor total]]-Tabela1[[#This Row],[Valor custo]]</f>
        <v>193.8</v>
      </c>
      <c r="J782" s="7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">
        <v>548.47</v>
      </c>
      <c r="H783" s="1">
        <v>750</v>
      </c>
      <c r="I783" s="6">
        <f>Tabela1[[#This Row],[Valor total]]-Tabela1[[#This Row],[Valor custo]]</f>
        <v>201.52999999999997</v>
      </c>
      <c r="J783" s="7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">
        <v>473</v>
      </c>
      <c r="H784" s="1">
        <v>650</v>
      </c>
      <c r="I784" s="6">
        <f>Tabela1[[#This Row],[Valor total]]-Tabela1[[#This Row],[Valor custo]]</f>
        <v>177</v>
      </c>
      <c r="J784" s="7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">
        <v>249.28</v>
      </c>
      <c r="H785" s="1">
        <v>313</v>
      </c>
      <c r="I785" s="6">
        <f>Tabela1[[#This Row],[Valor total]]-Tabela1[[#This Row],[Valor custo]]</f>
        <v>63.72</v>
      </c>
      <c r="J785" s="7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">
        <v>1533.62</v>
      </c>
      <c r="H786" s="1">
        <v>2450</v>
      </c>
      <c r="I786" s="6">
        <f>Tabela1[[#This Row],[Valor total]]-Tabela1[[#This Row],[Valor custo]]</f>
        <v>916.38000000000011</v>
      </c>
      <c r="J786" s="7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">
        <v>538.21</v>
      </c>
      <c r="H787" s="1">
        <v>740</v>
      </c>
      <c r="I787" s="6">
        <f>Tabela1[[#This Row],[Valor total]]-Tabela1[[#This Row],[Valor custo]]</f>
        <v>201.78999999999996</v>
      </c>
      <c r="J787" s="7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">
        <v>894</v>
      </c>
      <c r="H788" s="1">
        <v>1230</v>
      </c>
      <c r="I788" s="6">
        <f>Tabela1[[#This Row],[Valor total]]-Tabela1[[#This Row],[Valor custo]]</f>
        <v>336</v>
      </c>
      <c r="J788" s="7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">
        <v>447</v>
      </c>
      <c r="H789" s="1">
        <v>615</v>
      </c>
      <c r="I789" s="6">
        <f>Tabela1[[#This Row],[Valor total]]-Tabela1[[#This Row],[Valor custo]]</f>
        <v>168</v>
      </c>
      <c r="J789" s="7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">
        <v>194.68</v>
      </c>
      <c r="H790" s="1">
        <v>730</v>
      </c>
      <c r="I790" s="6">
        <f>Tabela1[[#This Row],[Valor total]]-Tabela1[[#This Row],[Valor custo]]</f>
        <v>535.31999999999994</v>
      </c>
      <c r="J790" s="7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">
        <v>1028.9000000000001</v>
      </c>
      <c r="H791" s="1">
        <v>1420</v>
      </c>
      <c r="I791" s="6">
        <f>Tabela1[[#This Row],[Valor total]]-Tabela1[[#This Row],[Valor custo]]</f>
        <v>391.09999999999991</v>
      </c>
      <c r="J791" s="7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">
        <v>2193.88</v>
      </c>
      <c r="H792" s="1">
        <v>3320</v>
      </c>
      <c r="I792" s="6">
        <f>Tabela1[[#This Row],[Valor total]]-Tabela1[[#This Row],[Valor custo]]</f>
        <v>1126.1199999999999</v>
      </c>
      <c r="J792" s="7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">
        <v>122.74</v>
      </c>
      <c r="H793" s="1">
        <v>170</v>
      </c>
      <c r="I793" s="6">
        <f>Tabela1[[#This Row],[Valor total]]-Tabela1[[#This Row],[Valor custo]]</f>
        <v>47.260000000000005</v>
      </c>
      <c r="J793" s="7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">
        <v>894</v>
      </c>
      <c r="H794" s="1">
        <v>1290</v>
      </c>
      <c r="I794" s="6">
        <f>Tabela1[[#This Row],[Valor total]]-Tabela1[[#This Row],[Valor custo]]</f>
        <v>396</v>
      </c>
      <c r="J794" s="7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">
        <v>894</v>
      </c>
      <c r="H795" s="1">
        <v>1240</v>
      </c>
      <c r="I795" s="6">
        <f>Tabela1[[#This Row],[Valor total]]-Tabela1[[#This Row],[Valor custo]]</f>
        <v>346</v>
      </c>
      <c r="J795" s="7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">
        <v>447</v>
      </c>
      <c r="H796" s="1">
        <v>615</v>
      </c>
      <c r="I796" s="6">
        <f>Tabela1[[#This Row],[Valor total]]-Tabela1[[#This Row],[Valor custo]]</f>
        <v>168</v>
      </c>
      <c r="J796" s="7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">
        <v>570.21</v>
      </c>
      <c r="H797" s="1">
        <v>920</v>
      </c>
      <c r="I797" s="6">
        <f>Tabela1[[#This Row],[Valor total]]-Tabela1[[#This Row],[Valor custo]]</f>
        <v>349.78999999999996</v>
      </c>
      <c r="J797" s="7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">
        <v>514.45000000000005</v>
      </c>
      <c r="H798" s="1">
        <v>720</v>
      </c>
      <c r="I798" s="6">
        <f>Tabela1[[#This Row],[Valor total]]-Tabela1[[#This Row],[Valor custo]]</f>
        <v>205.54999999999995</v>
      </c>
      <c r="J798" s="7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">
        <v>1393</v>
      </c>
      <c r="H799" s="1">
        <v>1950</v>
      </c>
      <c r="I799" s="6">
        <f>Tabela1[[#This Row],[Valor total]]-Tabela1[[#This Row],[Valor custo]]</f>
        <v>557</v>
      </c>
      <c r="J799" s="7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">
        <v>447</v>
      </c>
      <c r="H800" s="1">
        <v>630</v>
      </c>
      <c r="I800" s="6">
        <f>Tabela1[[#This Row],[Valor total]]-Tabela1[[#This Row],[Valor custo]]</f>
        <v>183</v>
      </c>
      <c r="J800" s="7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">
        <v>447</v>
      </c>
      <c r="H801" s="1">
        <v>630</v>
      </c>
      <c r="I801" s="6">
        <f>Tabela1[[#This Row],[Valor total]]-Tabela1[[#This Row],[Valor custo]]</f>
        <v>183</v>
      </c>
      <c r="J801" s="7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">
        <v>439.2</v>
      </c>
      <c r="H802" s="1">
        <v>620</v>
      </c>
      <c r="I802" s="6">
        <f>Tabela1[[#This Row],[Valor total]]-Tabela1[[#This Row],[Valor custo]]</f>
        <v>180.8</v>
      </c>
      <c r="J802" s="7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">
        <v>584</v>
      </c>
      <c r="H803" s="1">
        <v>840</v>
      </c>
      <c r="I803" s="6">
        <f>Tabela1[[#This Row],[Valor total]]-Tabela1[[#This Row],[Valor custo]]</f>
        <v>256</v>
      </c>
      <c r="J803" s="7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">
        <v>491</v>
      </c>
      <c r="H804" s="1">
        <v>700</v>
      </c>
      <c r="I804" s="6">
        <f>Tabela1[[#This Row],[Valor total]]-Tabela1[[#This Row],[Valor custo]]</f>
        <v>209</v>
      </c>
      <c r="J804" s="7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">
        <v>491</v>
      </c>
      <c r="H805" s="1">
        <v>700</v>
      </c>
      <c r="I805" s="6">
        <f>Tabela1[[#This Row],[Valor total]]-Tabela1[[#This Row],[Valor custo]]</f>
        <v>209</v>
      </c>
      <c r="J805" s="7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">
        <v>268.45999999999998</v>
      </c>
      <c r="H806" s="1">
        <v>550</v>
      </c>
      <c r="I806" s="6">
        <f>Tabela1[[#This Row],[Valor total]]-Tabela1[[#This Row],[Valor custo]]</f>
        <v>281.54000000000002</v>
      </c>
      <c r="J806" s="7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">
        <v>491</v>
      </c>
      <c r="H807" s="1">
        <v>700</v>
      </c>
      <c r="I807" s="6">
        <f>Tabela1[[#This Row],[Valor total]]-Tabela1[[#This Row],[Valor custo]]</f>
        <v>209</v>
      </c>
      <c r="J807" s="7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">
        <v>1023</v>
      </c>
      <c r="H808" s="1">
        <v>1670</v>
      </c>
      <c r="I808" s="6">
        <f>Tabela1[[#This Row],[Valor total]]-Tabela1[[#This Row],[Valor custo]]</f>
        <v>647</v>
      </c>
      <c r="J808" s="7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">
        <v>946</v>
      </c>
      <c r="H809" s="1">
        <v>1440</v>
      </c>
      <c r="I809" s="6">
        <f>Tabela1[[#This Row],[Valor total]]-Tabela1[[#This Row],[Valor custo]]</f>
        <v>494</v>
      </c>
      <c r="J809" s="7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">
        <v>31.6</v>
      </c>
      <c r="H810" s="1">
        <v>1020</v>
      </c>
      <c r="I810" s="6">
        <f>Tabela1[[#This Row],[Valor total]]-Tabela1[[#This Row],[Valor custo]]</f>
        <v>988.4</v>
      </c>
      <c r="J810" s="7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">
        <v>66</v>
      </c>
      <c r="H811" s="1">
        <v>300</v>
      </c>
      <c r="I811" s="6">
        <f>Tabela1[[#This Row],[Valor total]]-Tabela1[[#This Row],[Valor custo]]</f>
        <v>234</v>
      </c>
      <c r="J811" s="7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">
        <v>1303.82</v>
      </c>
      <c r="H812" s="1">
        <v>1865</v>
      </c>
      <c r="I812" s="6">
        <f>Tabela1[[#This Row],[Valor total]]-Tabela1[[#This Row],[Valor custo]]</f>
        <v>561.18000000000006</v>
      </c>
      <c r="J812" s="7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">
        <v>491</v>
      </c>
      <c r="H813" s="1">
        <v>700</v>
      </c>
      <c r="I813" s="6">
        <f>Tabela1[[#This Row],[Valor total]]-Tabela1[[#This Row],[Valor custo]]</f>
        <v>209</v>
      </c>
      <c r="J813" s="7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">
        <v>2734.05</v>
      </c>
      <c r="H814" s="1">
        <v>3900</v>
      </c>
      <c r="I814" s="6">
        <f>Tabela1[[#This Row],[Valor total]]-Tabela1[[#This Row],[Valor custo]]</f>
        <v>1165.9499999999998</v>
      </c>
      <c r="J814" s="7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">
        <v>2500.04</v>
      </c>
      <c r="H815" s="1">
        <v>4038</v>
      </c>
      <c r="I815" s="6">
        <f>Tabela1[[#This Row],[Valor total]]-Tabela1[[#This Row],[Valor custo]]</f>
        <v>1537.96</v>
      </c>
      <c r="J815" s="7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">
        <v>447</v>
      </c>
      <c r="H816" s="1">
        <v>620</v>
      </c>
      <c r="I816" s="6">
        <f>Tabela1[[#This Row],[Valor total]]-Tabela1[[#This Row],[Valor custo]]</f>
        <v>173</v>
      </c>
      <c r="J816" s="7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">
        <v>911.35</v>
      </c>
      <c r="H817" s="1">
        <v>1300</v>
      </c>
      <c r="I817" s="6">
        <f>Tabela1[[#This Row],[Valor total]]-Tabela1[[#This Row],[Valor custo]]</f>
        <v>388.65</v>
      </c>
      <c r="J817" s="7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">
        <v>497</v>
      </c>
      <c r="H818" s="1">
        <v>65</v>
      </c>
      <c r="I818" s="6">
        <f>Tabela1[[#This Row],[Valor total]]-Tabela1[[#This Row],[Valor custo]]</f>
        <v>-432</v>
      </c>
      <c r="J818" s="7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">
        <v>447</v>
      </c>
      <c r="H819" s="1">
        <v>645</v>
      </c>
      <c r="I819" s="6">
        <f>Tabela1[[#This Row],[Valor total]]-Tabela1[[#This Row],[Valor custo]]</f>
        <v>198</v>
      </c>
      <c r="J819" s="7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">
        <v>894</v>
      </c>
      <c r="H820" s="1">
        <v>1290</v>
      </c>
      <c r="I820" s="6">
        <f>Tabela1[[#This Row],[Valor total]]-Tabela1[[#This Row],[Valor custo]]</f>
        <v>396</v>
      </c>
      <c r="J820" s="7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">
        <v>473</v>
      </c>
      <c r="H821" s="1">
        <v>720</v>
      </c>
      <c r="I821" s="6">
        <f>Tabela1[[#This Row],[Valor total]]-Tabela1[[#This Row],[Valor custo]]</f>
        <v>247</v>
      </c>
      <c r="J821" s="7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">
        <v>1832.6</v>
      </c>
      <c r="H822" s="1">
        <v>2620</v>
      </c>
      <c r="I822" s="6">
        <f>Tabela1[[#This Row],[Valor total]]-Tabela1[[#This Row],[Valor custo]]</f>
        <v>787.40000000000009</v>
      </c>
      <c r="J822" s="7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">
        <v>663</v>
      </c>
      <c r="H823" s="1">
        <v>1270</v>
      </c>
      <c r="I823" s="6">
        <f>Tabela1[[#This Row],[Valor total]]-Tabela1[[#This Row],[Valor custo]]</f>
        <v>607</v>
      </c>
      <c r="J823" s="7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">
        <v>1818</v>
      </c>
      <c r="H824" s="1">
        <v>2600</v>
      </c>
      <c r="I824" s="6">
        <f>Tabela1[[#This Row],[Valor total]]-Tabela1[[#This Row],[Valor custo]]</f>
        <v>782</v>
      </c>
      <c r="J824" s="7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">
        <v>909</v>
      </c>
      <c r="H825" s="1">
        <v>1300</v>
      </c>
      <c r="I825" s="6">
        <f>Tabela1[[#This Row],[Valor total]]-Tabela1[[#This Row],[Valor custo]]</f>
        <v>391</v>
      </c>
      <c r="J825" s="7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">
        <v>953.65</v>
      </c>
      <c r="H826" s="1">
        <v>1365</v>
      </c>
      <c r="I826" s="6">
        <f>Tabela1[[#This Row],[Valor total]]-Tabela1[[#This Row],[Valor custo]]</f>
        <v>411.35</v>
      </c>
      <c r="J826" s="7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">
        <v>1057</v>
      </c>
      <c r="H827" s="1">
        <v>1520</v>
      </c>
      <c r="I827" s="6">
        <f>Tabela1[[#This Row],[Valor total]]-Tabela1[[#This Row],[Valor custo]]</f>
        <v>463</v>
      </c>
      <c r="J827" s="7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">
        <v>909</v>
      </c>
      <c r="H828" s="1">
        <v>1309</v>
      </c>
      <c r="I828" s="6">
        <f>Tabela1[[#This Row],[Valor total]]-Tabela1[[#This Row],[Valor custo]]</f>
        <v>400</v>
      </c>
      <c r="J828" s="7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">
        <v>584</v>
      </c>
      <c r="H829" s="1">
        <v>940</v>
      </c>
      <c r="I829" s="6">
        <f>Tabela1[[#This Row],[Valor total]]-Tabela1[[#This Row],[Valor custo]]</f>
        <v>356</v>
      </c>
      <c r="J829" s="7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">
        <v>473</v>
      </c>
      <c r="H830" s="1">
        <v>690</v>
      </c>
      <c r="I830" s="6">
        <f>Tabela1[[#This Row],[Valor total]]-Tabela1[[#This Row],[Valor custo]]</f>
        <v>217</v>
      </c>
      <c r="J830" s="7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">
        <v>909</v>
      </c>
      <c r="H831" s="1">
        <v>1309</v>
      </c>
      <c r="I831" s="6">
        <f>Tabela1[[#This Row],[Valor total]]-Tabela1[[#This Row],[Valor custo]]</f>
        <v>400</v>
      </c>
      <c r="J831" s="7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">
        <v>1788</v>
      </c>
      <c r="H832" s="1">
        <v>2500</v>
      </c>
      <c r="I832" s="6">
        <f>Tabela1[[#This Row],[Valor total]]-Tabela1[[#This Row],[Valor custo]]</f>
        <v>712</v>
      </c>
      <c r="J832" s="7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">
        <v>447</v>
      </c>
      <c r="H833" s="1">
        <v>615</v>
      </c>
      <c r="I833" s="6">
        <f>Tabela1[[#This Row],[Valor total]]-Tabela1[[#This Row],[Valor custo]]</f>
        <v>168</v>
      </c>
      <c r="J833" s="7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">
        <v>909</v>
      </c>
      <c r="H834" s="1">
        <v>1309</v>
      </c>
      <c r="I834" s="6">
        <f>Tabela1[[#This Row],[Valor total]]-Tabela1[[#This Row],[Valor custo]]</f>
        <v>400</v>
      </c>
      <c r="J834" s="7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">
        <v>894</v>
      </c>
      <c r="H835" s="1">
        <v>730</v>
      </c>
      <c r="I835" s="6">
        <f>Tabela1[[#This Row],[Valor total]]-Tabela1[[#This Row],[Valor custo]]</f>
        <v>-164</v>
      </c>
      <c r="J835" s="7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">
        <v>958.19</v>
      </c>
      <c r="H836" s="1">
        <v>1326.5</v>
      </c>
      <c r="I836" s="6">
        <f>Tabela1[[#This Row],[Valor total]]-Tabela1[[#This Row],[Valor custo]]</f>
        <v>368.30999999999995</v>
      </c>
      <c r="J836" s="7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">
        <v>125</v>
      </c>
      <c r="H837" s="1">
        <v>150</v>
      </c>
      <c r="I837" s="6">
        <f>Tabela1[[#This Row],[Valor total]]-Tabela1[[#This Row],[Valor custo]]</f>
        <v>25</v>
      </c>
      <c r="J837" s="7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">
        <v>382.3</v>
      </c>
      <c r="H838" s="1">
        <v>680</v>
      </c>
      <c r="I838" s="6">
        <f>Tabela1[[#This Row],[Valor total]]-Tabela1[[#This Row],[Valor custo]]</f>
        <v>297.7</v>
      </c>
      <c r="J838" s="7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">
        <v>90</v>
      </c>
      <c r="H839" s="1">
        <v>180</v>
      </c>
      <c r="I839" s="6">
        <f>Tabela1[[#This Row],[Valor total]]-Tabela1[[#This Row],[Valor custo]]</f>
        <v>90</v>
      </c>
      <c r="J839" s="7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">
        <v>447</v>
      </c>
      <c r="H840" s="1">
        <v>650</v>
      </c>
      <c r="I840" s="6">
        <f>Tabela1[[#This Row],[Valor total]]-Tabela1[[#This Row],[Valor custo]]</f>
        <v>203</v>
      </c>
      <c r="J840" s="7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">
        <v>1168</v>
      </c>
      <c r="H841" s="1">
        <v>1700</v>
      </c>
      <c r="I841" s="6">
        <f>Tabela1[[#This Row],[Valor total]]-Tabela1[[#This Row],[Valor custo]]</f>
        <v>532</v>
      </c>
      <c r="J841" s="7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">
        <v>79</v>
      </c>
      <c r="H842" s="1">
        <v>344</v>
      </c>
      <c r="I842" s="6">
        <f>Tabela1[[#This Row],[Valor total]]-Tabela1[[#This Row],[Valor custo]]</f>
        <v>265</v>
      </c>
      <c r="J842" s="7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">
        <v>4098.7</v>
      </c>
      <c r="H843" s="1">
        <v>5850</v>
      </c>
      <c r="I843" s="6">
        <f>Tabela1[[#This Row],[Valor total]]-Tabela1[[#This Row],[Valor custo]]</f>
        <v>1751.3000000000002</v>
      </c>
      <c r="J843" s="7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">
        <v>259</v>
      </c>
      <c r="H844" s="1">
        <v>710</v>
      </c>
      <c r="I844" s="6">
        <f>Tabela1[[#This Row],[Valor total]]-Tabela1[[#This Row],[Valor custo]]</f>
        <v>451</v>
      </c>
      <c r="J844" s="7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">
        <v>30.49</v>
      </c>
      <c r="H845" s="1">
        <v>45</v>
      </c>
      <c r="I845" s="6">
        <f>Tabela1[[#This Row],[Valor total]]-Tabela1[[#This Row],[Valor custo]]</f>
        <v>14.510000000000002</v>
      </c>
      <c r="J845" s="7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">
        <v>409.87</v>
      </c>
      <c r="H846" s="1">
        <v>600</v>
      </c>
      <c r="I846" s="6">
        <f>Tabela1[[#This Row],[Valor total]]-Tabela1[[#This Row],[Valor custo]]</f>
        <v>190.13</v>
      </c>
      <c r="J846" s="7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">
        <v>447</v>
      </c>
      <c r="H847" s="1">
        <v>645</v>
      </c>
      <c r="I847" s="6">
        <f>Tabela1[[#This Row],[Valor total]]-Tabela1[[#This Row],[Valor custo]]</f>
        <v>198</v>
      </c>
      <c r="J847" s="7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">
        <v>584</v>
      </c>
      <c r="H848" s="1">
        <v>869</v>
      </c>
      <c r="I848" s="6">
        <f>Tabela1[[#This Row],[Valor total]]-Tabela1[[#This Row],[Valor custo]]</f>
        <v>285</v>
      </c>
      <c r="J848" s="7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">
        <v>1419</v>
      </c>
      <c r="H849" s="1">
        <v>2160</v>
      </c>
      <c r="I849" s="6">
        <f>Tabela1[[#This Row],[Valor total]]-Tabela1[[#This Row],[Valor custo]]</f>
        <v>741</v>
      </c>
      <c r="J849" s="7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">
        <v>444</v>
      </c>
      <c r="H850" s="1">
        <v>650</v>
      </c>
      <c r="I850" s="6">
        <f>Tabela1[[#This Row],[Valor total]]-Tabela1[[#This Row],[Valor custo]]</f>
        <v>206</v>
      </c>
      <c r="J850" s="7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">
        <v>2655.58</v>
      </c>
      <c r="H851" s="1">
        <v>3900</v>
      </c>
      <c r="I851" s="6">
        <f>Tabela1[[#This Row],[Valor total]]-Tabela1[[#This Row],[Valor custo]]</f>
        <v>1244.42</v>
      </c>
      <c r="J851" s="7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">
        <v>510.2</v>
      </c>
      <c r="H852" s="1">
        <v>895</v>
      </c>
      <c r="I852" s="6">
        <f>Tabela1[[#This Row],[Valor total]]-Tabela1[[#This Row],[Valor custo]]</f>
        <v>384.8</v>
      </c>
      <c r="J852" s="7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">
        <v>450.05</v>
      </c>
      <c r="H853" s="1">
        <v>649.5</v>
      </c>
      <c r="I853" s="6">
        <f>Tabela1[[#This Row],[Valor total]]-Tabela1[[#This Row],[Valor custo]]</f>
        <v>199.45</v>
      </c>
      <c r="J853" s="7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">
        <v>49.21</v>
      </c>
      <c r="H854" s="1">
        <v>80</v>
      </c>
      <c r="I854" s="6">
        <f>Tabela1[[#This Row],[Valor total]]-Tabela1[[#This Row],[Valor custo]]</f>
        <v>30.79</v>
      </c>
      <c r="J854" s="7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">
        <v>9460</v>
      </c>
      <c r="H855" s="1">
        <v>12000</v>
      </c>
      <c r="I855" s="6">
        <f>Tabela1[[#This Row],[Valor total]]-Tabela1[[#This Row],[Valor custo]]</f>
        <v>2540</v>
      </c>
      <c r="J855" s="7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">
        <v>584</v>
      </c>
      <c r="H856" s="1">
        <v>860</v>
      </c>
      <c r="I856" s="6">
        <f>Tabela1[[#This Row],[Valor total]]-Tabela1[[#This Row],[Valor custo]]</f>
        <v>276</v>
      </c>
      <c r="J856" s="7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">
        <v>473</v>
      </c>
      <c r="H857" s="1">
        <v>700</v>
      </c>
      <c r="I857" s="6">
        <f>Tabela1[[#This Row],[Valor total]]-Tabela1[[#This Row],[Valor custo]]</f>
        <v>227</v>
      </c>
      <c r="J857" s="7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">
        <v>1887.62</v>
      </c>
      <c r="H858" s="1">
        <v>2649</v>
      </c>
      <c r="I858" s="6">
        <f>Tabela1[[#This Row],[Valor total]]-Tabela1[[#This Row],[Valor custo]]</f>
        <v>761.38000000000011</v>
      </c>
      <c r="J858" s="7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">
        <v>250</v>
      </c>
      <c r="H859" s="1">
        <v>300</v>
      </c>
      <c r="I859" s="6">
        <f>Tabela1[[#This Row],[Valor total]]-Tabela1[[#This Row],[Valor custo]]</f>
        <v>50</v>
      </c>
      <c r="J859" s="7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">
        <v>894</v>
      </c>
      <c r="H860" s="1">
        <v>1315</v>
      </c>
      <c r="I860" s="6">
        <f>Tabela1[[#This Row],[Valor total]]-Tabela1[[#This Row],[Valor custo]]</f>
        <v>421</v>
      </c>
      <c r="J860" s="7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">
        <v>473</v>
      </c>
      <c r="H861" s="1">
        <v>700</v>
      </c>
      <c r="I861" s="6">
        <f>Tabela1[[#This Row],[Valor total]]-Tabela1[[#This Row],[Valor custo]]</f>
        <v>227</v>
      </c>
      <c r="J861" s="7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">
        <v>473</v>
      </c>
      <c r="H862" s="1">
        <v>700</v>
      </c>
      <c r="I862" s="6">
        <f>Tabela1[[#This Row],[Valor total]]-Tabela1[[#This Row],[Valor custo]]</f>
        <v>227</v>
      </c>
      <c r="J862" s="7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">
        <v>439.2</v>
      </c>
      <c r="H863" s="1">
        <v>645</v>
      </c>
      <c r="I863" s="6">
        <f>Tabela1[[#This Row],[Valor total]]-Tabela1[[#This Row],[Valor custo]]</f>
        <v>205.8</v>
      </c>
      <c r="J863" s="7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">
        <v>447</v>
      </c>
      <c r="H864" s="1">
        <v>645</v>
      </c>
      <c r="I864" s="6">
        <f>Tabela1[[#This Row],[Valor total]]-Tabela1[[#This Row],[Valor custo]]</f>
        <v>198</v>
      </c>
      <c r="J864" s="7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">
        <v>521</v>
      </c>
      <c r="H865" s="1">
        <v>780</v>
      </c>
      <c r="I865" s="6">
        <f>Tabela1[[#This Row],[Valor total]]-Tabela1[[#This Row],[Valor custo]]</f>
        <v>259</v>
      </c>
      <c r="J865" s="7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">
        <v>521</v>
      </c>
      <c r="H866" s="1">
        <v>780</v>
      </c>
      <c r="I866" s="6">
        <f>Tabela1[[#This Row],[Valor total]]-Tabela1[[#This Row],[Valor custo]]</f>
        <v>259</v>
      </c>
      <c r="J866" s="7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">
        <v>1489</v>
      </c>
      <c r="H867" s="1">
        <v>2235</v>
      </c>
      <c r="I867" s="6">
        <f>Tabela1[[#This Row],[Valor total]]-Tabela1[[#This Row],[Valor custo]]</f>
        <v>746</v>
      </c>
      <c r="J867" s="7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">
        <v>865.58</v>
      </c>
      <c r="H868" s="1">
        <v>1300</v>
      </c>
      <c r="I868" s="6">
        <f>Tabela1[[#This Row],[Valor total]]-Tabela1[[#This Row],[Valor custo]]</f>
        <v>434.41999999999996</v>
      </c>
      <c r="J868" s="7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">
        <v>1986</v>
      </c>
      <c r="H869" s="1">
        <v>2985</v>
      </c>
      <c r="I869" s="6">
        <f>Tabela1[[#This Row],[Valor total]]-Tabela1[[#This Row],[Valor custo]]</f>
        <v>999</v>
      </c>
      <c r="J869" s="7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">
        <v>432.13</v>
      </c>
      <c r="H870" s="1">
        <v>650</v>
      </c>
      <c r="I870" s="6">
        <f>Tabela1[[#This Row],[Valor total]]-Tabela1[[#This Row],[Valor custo]]</f>
        <v>217.87</v>
      </c>
      <c r="J870" s="7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">
        <v>2235</v>
      </c>
      <c r="H871" s="1">
        <v>3150</v>
      </c>
      <c r="I871" s="6">
        <f>Tabela1[[#This Row],[Valor total]]-Tabela1[[#This Row],[Valor custo]]</f>
        <v>915</v>
      </c>
      <c r="J871" s="7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">
        <v>1558.07</v>
      </c>
      <c r="H872" s="1">
        <v>2390</v>
      </c>
      <c r="I872" s="6">
        <f>Tabela1[[#This Row],[Valor total]]-Tabela1[[#This Row],[Valor custo]]</f>
        <v>831.93000000000006</v>
      </c>
      <c r="J872" s="7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">
        <v>447</v>
      </c>
      <c r="H873" s="1">
        <v>620</v>
      </c>
      <c r="I873" s="6">
        <f>Tabela1[[#This Row],[Valor total]]-Tabela1[[#This Row],[Valor custo]]</f>
        <v>173</v>
      </c>
      <c r="J873" s="7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">
        <v>0</v>
      </c>
      <c r="H874" s="1">
        <v>250</v>
      </c>
      <c r="I874" s="6">
        <f>Tabela1[[#This Row],[Valor total]]-Tabela1[[#This Row],[Valor custo]]</f>
        <v>250</v>
      </c>
      <c r="J874" s="7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">
        <v>497</v>
      </c>
      <c r="H875" s="1">
        <v>750</v>
      </c>
      <c r="I875" s="6">
        <f>Tabela1[[#This Row],[Valor total]]-Tabela1[[#This Row],[Valor custo]]</f>
        <v>253</v>
      </c>
      <c r="J875" s="7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">
        <v>584</v>
      </c>
      <c r="H876" s="1">
        <v>720</v>
      </c>
      <c r="I876" s="6">
        <f>Tabela1[[#This Row],[Valor total]]-Tabela1[[#This Row],[Valor custo]]</f>
        <v>136</v>
      </c>
      <c r="J876" s="7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">
        <v>514.45000000000005</v>
      </c>
      <c r="H877" s="1">
        <v>600</v>
      </c>
      <c r="I877" s="6">
        <f>Tabela1[[#This Row],[Valor total]]-Tabela1[[#This Row],[Valor custo]]</f>
        <v>85.549999999999955</v>
      </c>
      <c r="J877" s="7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">
        <v>497</v>
      </c>
      <c r="H878" s="1">
        <v>750</v>
      </c>
      <c r="I878" s="6">
        <f>Tabela1[[#This Row],[Valor total]]-Tabela1[[#This Row],[Valor custo]]</f>
        <v>253</v>
      </c>
      <c r="J878" s="7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">
        <v>497</v>
      </c>
      <c r="H879" s="1">
        <v>750</v>
      </c>
      <c r="I879" s="6">
        <f>Tabela1[[#This Row],[Valor total]]-Tabela1[[#This Row],[Valor custo]]</f>
        <v>253</v>
      </c>
      <c r="J879" s="7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">
        <v>7763.22</v>
      </c>
      <c r="H880" s="1">
        <v>11110</v>
      </c>
      <c r="I880" s="6">
        <f>Tabela1[[#This Row],[Valor total]]-Tabela1[[#This Row],[Valor custo]]</f>
        <v>3346.7799999999997</v>
      </c>
      <c r="J880" s="7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">
        <v>65</v>
      </c>
      <c r="H881" s="1">
        <v>100</v>
      </c>
      <c r="I881" s="6">
        <f>Tabela1[[#This Row],[Valor total]]-Tabela1[[#This Row],[Valor custo]]</f>
        <v>35</v>
      </c>
      <c r="J881" s="7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">
        <v>1042</v>
      </c>
      <c r="H882" s="1">
        <v>1680</v>
      </c>
      <c r="I882" s="6">
        <f>Tabela1[[#This Row],[Valor total]]-Tabela1[[#This Row],[Valor custo]]</f>
        <v>638</v>
      </c>
      <c r="J882" s="7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">
        <v>497</v>
      </c>
      <c r="H883" s="1">
        <v>750</v>
      </c>
      <c r="I883" s="6">
        <f>Tabela1[[#This Row],[Valor total]]-Tabela1[[#This Row],[Valor custo]]</f>
        <v>253</v>
      </c>
      <c r="J883" s="7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">
        <v>2822</v>
      </c>
      <c r="H884" s="1">
        <v>4500</v>
      </c>
      <c r="I884" s="6">
        <f>Tabela1[[#This Row],[Valor total]]-Tabela1[[#This Row],[Valor custo]]</f>
        <v>1678</v>
      </c>
      <c r="J884" s="7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">
        <v>2334</v>
      </c>
      <c r="H885" s="1">
        <v>3540</v>
      </c>
      <c r="I885" s="6">
        <f>Tabela1[[#This Row],[Valor total]]-Tabela1[[#This Row],[Valor custo]]</f>
        <v>1206</v>
      </c>
      <c r="J885" s="7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">
        <v>473</v>
      </c>
      <c r="H886" s="1">
        <v>690</v>
      </c>
      <c r="I886" s="6">
        <f>Tabela1[[#This Row],[Valor total]]-Tabela1[[#This Row],[Valor custo]]</f>
        <v>217</v>
      </c>
      <c r="J886" s="7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">
        <v>73.14</v>
      </c>
      <c r="H887" s="1">
        <v>99</v>
      </c>
      <c r="I887" s="6">
        <f>Tabela1[[#This Row],[Valor total]]-Tabela1[[#This Row],[Valor custo]]</f>
        <v>25.86</v>
      </c>
      <c r="J887" s="7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">
        <v>946</v>
      </c>
      <c r="H888" s="1">
        <v>1440</v>
      </c>
      <c r="I888" s="6">
        <f>Tabela1[[#This Row],[Valor total]]-Tabela1[[#This Row],[Valor custo]]</f>
        <v>494</v>
      </c>
      <c r="J888" s="7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">
        <v>946</v>
      </c>
      <c r="H889" s="1">
        <v>1440</v>
      </c>
      <c r="I889" s="6">
        <f>Tabela1[[#This Row],[Valor total]]-Tabela1[[#This Row],[Valor custo]]</f>
        <v>494</v>
      </c>
      <c r="J889" s="7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">
        <v>47.25</v>
      </c>
      <c r="H890" s="1">
        <v>195</v>
      </c>
      <c r="I890" s="6">
        <f>Tabela1[[#This Row],[Valor total]]-Tabela1[[#This Row],[Valor custo]]</f>
        <v>147.75</v>
      </c>
      <c r="J890" s="7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">
        <v>147.63</v>
      </c>
      <c r="H891" s="1">
        <v>225</v>
      </c>
      <c r="I891" s="6">
        <f>Tabela1[[#This Row],[Valor total]]-Tabela1[[#This Row],[Valor custo]]</f>
        <v>77.37</v>
      </c>
      <c r="J891" s="7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">
        <v>894</v>
      </c>
      <c r="H892" s="1">
        <v>1230</v>
      </c>
      <c r="I892" s="6">
        <f>Tabela1[[#This Row],[Valor total]]-Tabela1[[#This Row],[Valor custo]]</f>
        <v>336</v>
      </c>
      <c r="J892" s="7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">
        <v>184.38</v>
      </c>
      <c r="H893" s="1">
        <v>225</v>
      </c>
      <c r="I893" s="6">
        <f>Tabela1[[#This Row],[Valor total]]-Tabela1[[#This Row],[Valor custo]]</f>
        <v>40.620000000000005</v>
      </c>
      <c r="J893" s="7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">
        <v>1656</v>
      </c>
      <c r="H894" s="1">
        <v>2530</v>
      </c>
      <c r="I894" s="6">
        <f>Tabela1[[#This Row],[Valor total]]-Tabela1[[#This Row],[Valor custo]]</f>
        <v>874</v>
      </c>
      <c r="J894" s="7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">
        <v>447</v>
      </c>
      <c r="H895" s="1">
        <v>735</v>
      </c>
      <c r="I895" s="6">
        <f>Tabela1[[#This Row],[Valor total]]-Tabela1[[#This Row],[Valor custo]]</f>
        <v>288</v>
      </c>
      <c r="J895" s="7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">
        <v>1254</v>
      </c>
      <c r="H896" s="1">
        <v>2335</v>
      </c>
      <c r="I896" s="6">
        <f>Tabela1[[#This Row],[Valor total]]-Tabela1[[#This Row],[Valor custo]]</f>
        <v>1081</v>
      </c>
      <c r="J896" s="7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">
        <v>2410</v>
      </c>
      <c r="H897" s="1">
        <v>3700</v>
      </c>
      <c r="I897" s="6">
        <f>Tabela1[[#This Row],[Valor total]]-Tabela1[[#This Row],[Valor custo]]</f>
        <v>1290</v>
      </c>
      <c r="J897" s="7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">
        <v>126</v>
      </c>
      <c r="H898" s="1">
        <v>195</v>
      </c>
      <c r="I898" s="6">
        <f>Tabela1[[#This Row],[Valor total]]-Tabela1[[#This Row],[Valor custo]]</f>
        <v>69</v>
      </c>
      <c r="J898" s="7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">
        <v>1172</v>
      </c>
      <c r="H899" s="1">
        <v>2145</v>
      </c>
      <c r="I899" s="6">
        <f>Tabela1[[#This Row],[Valor total]]-Tabela1[[#This Row],[Valor custo]]</f>
        <v>973</v>
      </c>
      <c r="J899" s="7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">
        <v>1690.77</v>
      </c>
      <c r="H900" s="1">
        <v>2625</v>
      </c>
      <c r="I900" s="6">
        <f>Tabela1[[#This Row],[Valor total]]-Tabela1[[#This Row],[Valor custo]]</f>
        <v>934.23</v>
      </c>
      <c r="J900" s="7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">
        <v>837.3</v>
      </c>
      <c r="H901" s="1">
        <v>1300</v>
      </c>
      <c r="I901" s="6">
        <f>Tabela1[[#This Row],[Valor total]]-Tabela1[[#This Row],[Valor custo]]</f>
        <v>462.70000000000005</v>
      </c>
      <c r="J901" s="7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">
        <v>4423.7</v>
      </c>
      <c r="H902" s="1">
        <v>6240</v>
      </c>
      <c r="I902" s="6">
        <f>Tabela1[[#This Row],[Valor total]]-Tabela1[[#This Row],[Valor custo]]</f>
        <v>1816.3000000000002</v>
      </c>
      <c r="J902" s="7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">
        <v>67.12</v>
      </c>
      <c r="H903" s="1">
        <v>170</v>
      </c>
      <c r="I903" s="6">
        <f>Tabela1[[#This Row],[Valor total]]-Tabela1[[#This Row],[Valor custo]]</f>
        <v>102.88</v>
      </c>
      <c r="J903" s="7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">
        <v>1237</v>
      </c>
      <c r="H904" s="1">
        <v>2200</v>
      </c>
      <c r="I904" s="6">
        <f>Tabela1[[#This Row],[Valor total]]-Tabela1[[#This Row],[Valor custo]]</f>
        <v>963</v>
      </c>
      <c r="J904" s="7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">
        <v>125</v>
      </c>
      <c r="H905" s="1">
        <v>150</v>
      </c>
      <c r="I905" s="6">
        <f>Tabela1[[#This Row],[Valor total]]-Tabela1[[#This Row],[Valor custo]]</f>
        <v>25</v>
      </c>
      <c r="J905" s="7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">
        <v>1134.8699999999999</v>
      </c>
      <c r="H906" s="1">
        <v>1935</v>
      </c>
      <c r="I906" s="6">
        <f>Tabela1[[#This Row],[Valor total]]-Tabela1[[#This Row],[Valor custo]]</f>
        <v>800.13000000000011</v>
      </c>
      <c r="J906" s="7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">
        <v>3362</v>
      </c>
      <c r="H907" s="1">
        <v>5650</v>
      </c>
      <c r="I907" s="6">
        <f>Tabela1[[#This Row],[Valor total]]-Tabela1[[#This Row],[Valor custo]]</f>
        <v>2288</v>
      </c>
      <c r="J907" s="7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">
        <v>725</v>
      </c>
      <c r="H908" s="1">
        <v>1350</v>
      </c>
      <c r="I908" s="6">
        <f>Tabela1[[#This Row],[Valor total]]-Tabela1[[#This Row],[Valor custo]]</f>
        <v>625</v>
      </c>
      <c r="J908" s="7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">
        <v>593.83000000000004</v>
      </c>
      <c r="H909" s="1">
        <v>930</v>
      </c>
      <c r="I909" s="6">
        <f>Tabela1[[#This Row],[Valor total]]-Tabela1[[#This Row],[Valor custo]]</f>
        <v>336.16999999999996</v>
      </c>
      <c r="J909" s="7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">
        <v>584</v>
      </c>
      <c r="H910" s="1">
        <v>945</v>
      </c>
      <c r="I910" s="6">
        <f>Tabela1[[#This Row],[Valor total]]-Tabela1[[#This Row],[Valor custo]]</f>
        <v>361</v>
      </c>
      <c r="J910" s="7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">
        <v>593.83000000000004</v>
      </c>
      <c r="H911" s="1">
        <v>930</v>
      </c>
      <c r="I911" s="6">
        <f>Tabela1[[#This Row],[Valor total]]-Tabela1[[#This Row],[Valor custo]]</f>
        <v>336.16999999999996</v>
      </c>
      <c r="J911" s="7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">
        <v>1197.3900000000001</v>
      </c>
      <c r="H912" s="1">
        <v>1885</v>
      </c>
      <c r="I912" s="6">
        <f>Tabela1[[#This Row],[Valor total]]-Tabela1[[#This Row],[Valor custo]]</f>
        <v>687.6099999999999</v>
      </c>
      <c r="J912" s="7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">
        <v>49.21</v>
      </c>
      <c r="H913" s="1">
        <v>80</v>
      </c>
      <c r="I913" s="6">
        <f>Tabela1[[#This Row],[Valor total]]-Tabela1[[#This Row],[Valor custo]]</f>
        <v>30.79</v>
      </c>
      <c r="J913" s="7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">
        <v>597.20000000000005</v>
      </c>
      <c r="H914" s="1">
        <v>945</v>
      </c>
      <c r="I914" s="6">
        <f>Tabela1[[#This Row],[Valor total]]-Tabela1[[#This Row],[Valor custo]]</f>
        <v>347.79999999999995</v>
      </c>
      <c r="J914" s="7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">
        <v>710</v>
      </c>
      <c r="H915" s="1">
        <v>1125</v>
      </c>
      <c r="I915" s="6">
        <f>Tabela1[[#This Row],[Valor total]]-Tabela1[[#This Row],[Valor custo]]</f>
        <v>415</v>
      </c>
      <c r="J915" s="7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">
        <v>180</v>
      </c>
      <c r="H916" s="1">
        <v>360</v>
      </c>
      <c r="I916" s="6">
        <f>Tabela1[[#This Row],[Valor total]]-Tabela1[[#This Row],[Valor custo]]</f>
        <v>180</v>
      </c>
      <c r="J916" s="7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">
        <v>15.8</v>
      </c>
      <c r="H917" s="1">
        <v>80</v>
      </c>
      <c r="I917" s="6">
        <f>Tabela1[[#This Row],[Valor total]]-Tabela1[[#This Row],[Valor custo]]</f>
        <v>64.2</v>
      </c>
      <c r="J917" s="7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">
        <v>9268.4500000000007</v>
      </c>
      <c r="H918" s="1">
        <v>12800</v>
      </c>
      <c r="I918" s="6">
        <f>Tabela1[[#This Row],[Valor total]]-Tabela1[[#This Row],[Valor custo]]</f>
        <v>3531.5499999999993</v>
      </c>
      <c r="J918" s="7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">
        <v>609</v>
      </c>
      <c r="H919" s="1">
        <v>740</v>
      </c>
      <c r="I919" s="6">
        <f>Tabela1[[#This Row],[Valor total]]-Tabela1[[#This Row],[Valor custo]]</f>
        <v>131</v>
      </c>
      <c r="J919" s="7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">
        <v>1735</v>
      </c>
      <c r="H920" s="1">
        <v>2750</v>
      </c>
      <c r="I920" s="6">
        <f>Tabela1[[#This Row],[Valor total]]-Tabela1[[#This Row],[Valor custo]]</f>
        <v>1015</v>
      </c>
      <c r="J920" s="7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">
        <v>4098.7</v>
      </c>
      <c r="H921" s="1">
        <v>5850</v>
      </c>
      <c r="I921" s="6">
        <f>Tabela1[[#This Row],[Valor total]]-Tabela1[[#This Row],[Valor custo]]</f>
        <v>1751.3000000000002</v>
      </c>
      <c r="J921" s="7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">
        <v>506</v>
      </c>
      <c r="H922" s="1">
        <v>805</v>
      </c>
      <c r="I922" s="6">
        <f>Tabela1[[#This Row],[Valor total]]-Tabela1[[#This Row],[Valor custo]]</f>
        <v>299</v>
      </c>
      <c r="J922" s="7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">
        <v>584</v>
      </c>
      <c r="H923" s="1">
        <v>930</v>
      </c>
      <c r="I923" s="6">
        <f>Tabela1[[#This Row],[Valor total]]-Tabela1[[#This Row],[Valor custo]]</f>
        <v>346</v>
      </c>
      <c r="J923" s="7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">
        <v>122.74</v>
      </c>
      <c r="H924" s="1">
        <v>170</v>
      </c>
      <c r="I924" s="6">
        <f>Tabela1[[#This Row],[Valor total]]-Tabela1[[#This Row],[Valor custo]]</f>
        <v>47.260000000000005</v>
      </c>
      <c r="J924" s="7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">
        <v>717</v>
      </c>
      <c r="H925" s="1">
        <v>1160</v>
      </c>
      <c r="I925" s="6">
        <f>Tabela1[[#This Row],[Valor total]]-Tabela1[[#This Row],[Valor custo]]</f>
        <v>443</v>
      </c>
      <c r="J925" s="7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">
        <v>409.87</v>
      </c>
      <c r="H926" s="1">
        <v>585</v>
      </c>
      <c r="I926" s="6">
        <f>Tabela1[[#This Row],[Valor total]]-Tabela1[[#This Row],[Valor custo]]</f>
        <v>175.13</v>
      </c>
      <c r="J926" s="7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">
        <v>584</v>
      </c>
      <c r="H927" s="1">
        <v>930</v>
      </c>
      <c r="I927" s="6">
        <f>Tabela1[[#This Row],[Valor total]]-Tabela1[[#This Row],[Valor custo]]</f>
        <v>346</v>
      </c>
      <c r="J927" s="7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">
        <v>910</v>
      </c>
      <c r="H928" s="1">
        <v>1450</v>
      </c>
      <c r="I928" s="6">
        <f>Tabela1[[#This Row],[Valor total]]-Tabela1[[#This Row],[Valor custo]]</f>
        <v>540</v>
      </c>
      <c r="J928" s="7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">
        <v>455</v>
      </c>
      <c r="H929" s="1">
        <v>725</v>
      </c>
      <c r="I929" s="6">
        <f>Tabela1[[#This Row],[Valor total]]-Tabela1[[#This Row],[Valor custo]]</f>
        <v>270</v>
      </c>
      <c r="J929" s="7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">
        <v>770</v>
      </c>
      <c r="H930" s="1">
        <v>1230</v>
      </c>
      <c r="I930" s="6">
        <f>Tabela1[[#This Row],[Valor total]]-Tabela1[[#This Row],[Valor custo]]</f>
        <v>460</v>
      </c>
      <c r="J930" s="7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">
        <v>244.34</v>
      </c>
      <c r="H931" s="1">
        <v>500</v>
      </c>
      <c r="I931" s="6">
        <f>Tabela1[[#This Row],[Valor total]]-Tabela1[[#This Row],[Valor custo]]</f>
        <v>255.66</v>
      </c>
      <c r="J931" s="7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">
        <v>584</v>
      </c>
      <c r="H932" s="1">
        <v>925</v>
      </c>
      <c r="I932" s="6">
        <f>Tabela1[[#This Row],[Valor total]]-Tabela1[[#This Row],[Valor custo]]</f>
        <v>341</v>
      </c>
      <c r="J932" s="7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">
        <v>938</v>
      </c>
      <c r="H933" s="1">
        <v>1500</v>
      </c>
      <c r="I933" s="6">
        <f>Tabela1[[#This Row],[Valor total]]-Tabela1[[#This Row],[Valor custo]]</f>
        <v>562</v>
      </c>
      <c r="J933" s="7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">
        <v>718.57</v>
      </c>
      <c r="H934" s="1">
        <v>1150</v>
      </c>
      <c r="I934" s="6">
        <f>Tabela1[[#This Row],[Valor total]]-Tabela1[[#This Row],[Valor custo]]</f>
        <v>431.42999999999995</v>
      </c>
      <c r="J934" s="7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">
        <v>2131</v>
      </c>
      <c r="H935" s="1">
        <v>3455</v>
      </c>
      <c r="I935" s="6">
        <f>Tabela1[[#This Row],[Valor total]]-Tabela1[[#This Row],[Valor custo]]</f>
        <v>1324</v>
      </c>
      <c r="J935" s="7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">
        <v>2635.21</v>
      </c>
      <c r="H936" s="1">
        <v>4090</v>
      </c>
      <c r="I936" s="6">
        <f>Tabela1[[#This Row],[Valor total]]-Tabela1[[#This Row],[Valor custo]]</f>
        <v>1454.79</v>
      </c>
      <c r="J936" s="7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">
        <v>4813</v>
      </c>
      <c r="H937" s="1">
        <v>6788.1</v>
      </c>
      <c r="I937" s="6">
        <f>Tabela1[[#This Row],[Valor total]]-Tabela1[[#This Row],[Valor custo]]</f>
        <v>1975.1000000000004</v>
      </c>
      <c r="J937" s="7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">
        <v>382.3</v>
      </c>
      <c r="H938" s="1">
        <v>615</v>
      </c>
      <c r="I938" s="6">
        <f>Tabela1[[#This Row],[Valor total]]-Tabela1[[#This Row],[Valor custo]]</f>
        <v>232.7</v>
      </c>
      <c r="J938" s="7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">
        <v>3650</v>
      </c>
      <c r="H939" s="1">
        <v>5250</v>
      </c>
      <c r="I939" s="6">
        <f>Tabela1[[#This Row],[Valor total]]-Tabela1[[#This Row],[Valor custo]]</f>
        <v>1600</v>
      </c>
      <c r="J939" s="7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">
        <v>447</v>
      </c>
      <c r="H940" s="1">
        <v>615</v>
      </c>
      <c r="I940" s="6">
        <f>Tabela1[[#This Row],[Valor total]]-Tabela1[[#This Row],[Valor custo]]</f>
        <v>168</v>
      </c>
      <c r="J940" s="7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">
        <v>382.3</v>
      </c>
      <c r="H941" s="1">
        <v>615</v>
      </c>
      <c r="I941" s="6">
        <f>Tabela1[[#This Row],[Valor total]]-Tabela1[[#This Row],[Valor custo]]</f>
        <v>232.7</v>
      </c>
      <c r="J941" s="7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">
        <v>1911.5</v>
      </c>
      <c r="H942" s="1">
        <v>3075</v>
      </c>
      <c r="I942" s="6">
        <f>Tabela1[[#This Row],[Valor total]]-Tabela1[[#This Row],[Valor custo]]</f>
        <v>1163.5</v>
      </c>
      <c r="J942" s="7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">
        <v>1956</v>
      </c>
      <c r="H943" s="1">
        <v>3150</v>
      </c>
      <c r="I943" s="6">
        <f>Tabela1[[#This Row],[Valor total]]-Tabela1[[#This Row],[Valor custo]]</f>
        <v>1194</v>
      </c>
      <c r="J943" s="7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">
        <v>382.3</v>
      </c>
      <c r="H944" s="1">
        <v>615</v>
      </c>
      <c r="I944" s="6">
        <f>Tabela1[[#This Row],[Valor total]]-Tabela1[[#This Row],[Valor custo]]</f>
        <v>232.7</v>
      </c>
      <c r="J944" s="7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">
        <v>764.6</v>
      </c>
      <c r="H945" s="1">
        <v>1230</v>
      </c>
      <c r="I945" s="6">
        <f>Tabela1[[#This Row],[Valor total]]-Tabela1[[#This Row],[Valor custo]]</f>
        <v>465.4</v>
      </c>
      <c r="J945" s="7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">
        <v>41</v>
      </c>
      <c r="H946" s="1">
        <v>55</v>
      </c>
      <c r="I946" s="6">
        <f>Tabela1[[#This Row],[Valor total]]-Tabela1[[#This Row],[Valor custo]]</f>
        <v>14</v>
      </c>
      <c r="J946" s="7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">
        <v>382.3</v>
      </c>
      <c r="H947" s="1">
        <v>615</v>
      </c>
      <c r="I947" s="6">
        <f>Tabela1[[#This Row],[Valor total]]-Tabela1[[#This Row],[Valor custo]]</f>
        <v>232.7</v>
      </c>
      <c r="J947" s="7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">
        <v>894</v>
      </c>
      <c r="H948" s="1">
        <v>1240</v>
      </c>
      <c r="I948" s="6">
        <f>Tabela1[[#This Row],[Valor total]]-Tabela1[[#This Row],[Valor custo]]</f>
        <v>346</v>
      </c>
      <c r="J948" s="7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">
        <v>0</v>
      </c>
      <c r="H949" s="1">
        <v>160</v>
      </c>
      <c r="I949" s="6">
        <f>Tabela1[[#This Row],[Valor total]]-Tabela1[[#This Row],[Valor custo]]</f>
        <v>160</v>
      </c>
      <c r="J949" s="7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">
        <v>757</v>
      </c>
      <c r="H950" s="1">
        <v>1550</v>
      </c>
      <c r="I950" s="6">
        <f>Tabela1[[#This Row],[Valor total]]-Tabela1[[#This Row],[Valor custo]]</f>
        <v>793</v>
      </c>
      <c r="J950" s="7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">
        <v>1118</v>
      </c>
      <c r="H951" s="1">
        <v>1800</v>
      </c>
      <c r="I951" s="6">
        <f>Tabela1[[#This Row],[Valor total]]-Tabela1[[#This Row],[Valor custo]]</f>
        <v>682</v>
      </c>
      <c r="J951" s="7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">
        <v>1563</v>
      </c>
      <c r="H952" s="1">
        <v>2520</v>
      </c>
      <c r="I952" s="6">
        <f>Tabela1[[#This Row],[Valor total]]-Tabela1[[#This Row],[Valor custo]]</f>
        <v>957</v>
      </c>
      <c r="J952" s="7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">
        <v>920</v>
      </c>
      <c r="H953" s="1">
        <v>1330</v>
      </c>
      <c r="I953" s="6">
        <f>Tabela1[[#This Row],[Valor total]]-Tabela1[[#This Row],[Valor custo]]</f>
        <v>410</v>
      </c>
      <c r="J953" s="7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">
        <v>372.21</v>
      </c>
      <c r="H954" s="1">
        <v>485</v>
      </c>
      <c r="I954" s="6">
        <f>Tabela1[[#This Row],[Valor total]]-Tabela1[[#This Row],[Valor custo]]</f>
        <v>112.79000000000002</v>
      </c>
      <c r="J954" s="7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">
        <v>432.79</v>
      </c>
      <c r="H955" s="1">
        <v>700</v>
      </c>
      <c r="I955" s="6">
        <f>Tabela1[[#This Row],[Valor total]]-Tabela1[[#This Row],[Valor custo]]</f>
        <v>267.20999999999998</v>
      </c>
      <c r="J955" s="7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">
        <v>432.79</v>
      </c>
      <c r="H956" s="1">
        <v>700</v>
      </c>
      <c r="I956" s="6">
        <f>Tabela1[[#This Row],[Valor total]]-Tabela1[[#This Row],[Valor custo]]</f>
        <v>267.20999999999998</v>
      </c>
      <c r="J956" s="7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">
        <v>27.38</v>
      </c>
      <c r="H957" s="1">
        <v>380</v>
      </c>
      <c r="I957" s="6">
        <f>Tabela1[[#This Row],[Valor total]]-Tabela1[[#This Row],[Valor custo]]</f>
        <v>352.62</v>
      </c>
      <c r="J957" s="7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">
        <v>0</v>
      </c>
      <c r="H958" s="1">
        <v>189.9</v>
      </c>
      <c r="I958" s="6">
        <f>Tabela1[[#This Row],[Valor total]]-Tabela1[[#This Row],[Valor custo]]</f>
        <v>189.9</v>
      </c>
      <c r="J958" s="7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">
        <v>646</v>
      </c>
      <c r="H959" s="1">
        <v>990</v>
      </c>
      <c r="I959" s="6">
        <f>Tabela1[[#This Row],[Valor total]]-Tabela1[[#This Row],[Valor custo]]</f>
        <v>344</v>
      </c>
      <c r="J959" s="7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">
        <v>432.79</v>
      </c>
      <c r="H960" s="1">
        <v>700</v>
      </c>
      <c r="I960" s="6">
        <f>Tabela1[[#This Row],[Valor total]]-Tabela1[[#This Row],[Valor custo]]</f>
        <v>267.20999999999998</v>
      </c>
      <c r="J960" s="7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">
        <v>1480</v>
      </c>
      <c r="H961" s="1">
        <v>2800</v>
      </c>
      <c r="I961" s="6">
        <f>Tabela1[[#This Row],[Valor total]]-Tabela1[[#This Row],[Valor custo]]</f>
        <v>1320</v>
      </c>
      <c r="J961" s="7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">
        <v>79</v>
      </c>
      <c r="H962" s="1">
        <v>350</v>
      </c>
      <c r="I962" s="6">
        <f>Tabela1[[#This Row],[Valor total]]-Tabela1[[#This Row],[Valor custo]]</f>
        <v>271</v>
      </c>
      <c r="J962" s="7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">
        <v>409.87</v>
      </c>
      <c r="H963" s="1">
        <v>570</v>
      </c>
      <c r="I963" s="6">
        <f>Tabela1[[#This Row],[Valor total]]-Tabela1[[#This Row],[Valor custo]]</f>
        <v>160.13</v>
      </c>
      <c r="J963" s="7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">
        <v>49.21</v>
      </c>
      <c r="H964" s="1">
        <v>80</v>
      </c>
      <c r="I964" s="6">
        <f>Tabela1[[#This Row],[Valor total]]-Tabela1[[#This Row],[Valor custo]]</f>
        <v>30.79</v>
      </c>
      <c r="J964" s="7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">
        <v>49.21</v>
      </c>
      <c r="H965" s="1">
        <v>80</v>
      </c>
      <c r="I965" s="6">
        <f>Tabela1[[#This Row],[Valor total]]-Tabela1[[#This Row],[Valor custo]]</f>
        <v>30.79</v>
      </c>
      <c r="J965" s="7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">
        <v>49.21</v>
      </c>
      <c r="H966" s="1">
        <v>80</v>
      </c>
      <c r="I966" s="6">
        <f>Tabela1[[#This Row],[Valor total]]-Tabela1[[#This Row],[Valor custo]]</f>
        <v>30.79</v>
      </c>
      <c r="J966" s="7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">
        <v>1720</v>
      </c>
      <c r="H967" s="1">
        <v>2860</v>
      </c>
      <c r="I967" s="6">
        <f>Tabela1[[#This Row],[Valor total]]-Tabela1[[#This Row],[Valor custo]]</f>
        <v>1140</v>
      </c>
      <c r="J967" s="7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">
        <v>49.21</v>
      </c>
      <c r="H968" s="1">
        <v>80</v>
      </c>
      <c r="I968" s="6">
        <f>Tabela1[[#This Row],[Valor total]]-Tabela1[[#This Row],[Valor custo]]</f>
        <v>30.79</v>
      </c>
      <c r="J968" s="7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">
        <v>765.46</v>
      </c>
      <c r="H969" s="1">
        <v>1300</v>
      </c>
      <c r="I969" s="6">
        <f>Tabela1[[#This Row],[Valor total]]-Tabela1[[#This Row],[Valor custo]]</f>
        <v>534.54</v>
      </c>
      <c r="J969" s="7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">
        <v>4168</v>
      </c>
      <c r="H970" s="1">
        <v>6480</v>
      </c>
      <c r="I970" s="6">
        <f>Tabela1[[#This Row],[Valor total]]-Tabela1[[#This Row],[Valor custo]]</f>
        <v>2312</v>
      </c>
      <c r="J970" s="7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">
        <v>49.21</v>
      </c>
      <c r="H971" s="1">
        <v>80</v>
      </c>
      <c r="I971" s="6">
        <f>Tabela1[[#This Row],[Valor total]]-Tabela1[[#This Row],[Valor custo]]</f>
        <v>30.79</v>
      </c>
      <c r="J971" s="7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">
        <v>49.21</v>
      </c>
      <c r="H972" s="1">
        <v>80</v>
      </c>
      <c r="I972" s="6">
        <f>Tabela1[[#This Row],[Valor total]]-Tabela1[[#This Row],[Valor custo]]</f>
        <v>30.79</v>
      </c>
      <c r="J972" s="7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">
        <v>268.45999999999998</v>
      </c>
      <c r="H973" s="1">
        <v>550</v>
      </c>
      <c r="I973" s="6">
        <f>Tabela1[[#This Row],[Valor total]]-Tabela1[[#This Row],[Valor custo]]</f>
        <v>281.54000000000002</v>
      </c>
      <c r="J973" s="7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">
        <v>497</v>
      </c>
      <c r="H974" s="1">
        <v>750</v>
      </c>
      <c r="I974" s="6">
        <f>Tabela1[[#This Row],[Valor total]]-Tabela1[[#This Row],[Valor custo]]</f>
        <v>253</v>
      </c>
      <c r="J974" s="7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">
        <v>534</v>
      </c>
      <c r="H975" s="1">
        <v>869</v>
      </c>
      <c r="I975" s="6">
        <f>Tabela1[[#This Row],[Valor total]]-Tabela1[[#This Row],[Valor custo]]</f>
        <v>335</v>
      </c>
      <c r="J975" s="7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">
        <v>79</v>
      </c>
      <c r="H976" s="1">
        <v>368</v>
      </c>
      <c r="I976" s="6">
        <f>Tabela1[[#This Row],[Valor total]]-Tabela1[[#This Row],[Valor custo]]</f>
        <v>289</v>
      </c>
      <c r="J976" s="7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">
        <v>122.74</v>
      </c>
      <c r="H977" s="1">
        <v>200</v>
      </c>
      <c r="I977" s="6">
        <f>Tabela1[[#This Row],[Valor total]]-Tabela1[[#This Row],[Valor custo]]</f>
        <v>77.260000000000005</v>
      </c>
      <c r="J977" s="7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">
        <v>888.67</v>
      </c>
      <c r="H978" s="1">
        <v>1450</v>
      </c>
      <c r="I978" s="6">
        <f>Tabela1[[#This Row],[Valor total]]-Tabela1[[#This Row],[Valor custo]]</f>
        <v>561.33000000000004</v>
      </c>
      <c r="J978" s="7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">
        <v>910</v>
      </c>
      <c r="H979" s="1">
        <v>1500</v>
      </c>
      <c r="I979" s="6">
        <f>Tabela1[[#This Row],[Valor total]]-Tabela1[[#This Row],[Valor custo]]</f>
        <v>590</v>
      </c>
      <c r="J979" s="7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">
        <v>4098.7</v>
      </c>
      <c r="H980" s="1">
        <v>5500</v>
      </c>
      <c r="I980" s="6">
        <f>Tabela1[[#This Row],[Valor total]]-Tabela1[[#This Row],[Valor custo]]</f>
        <v>1401.3000000000002</v>
      </c>
      <c r="J980" s="7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">
        <v>521</v>
      </c>
      <c r="H981" s="1">
        <v>840</v>
      </c>
      <c r="I981" s="6">
        <f>Tabela1[[#This Row],[Valor total]]-Tabela1[[#This Row],[Valor custo]]</f>
        <v>319</v>
      </c>
      <c r="J981" s="7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">
        <v>455</v>
      </c>
      <c r="H982" s="1">
        <v>750</v>
      </c>
      <c r="I982" s="6">
        <f>Tabela1[[#This Row],[Valor total]]-Tabela1[[#This Row],[Valor custo]]</f>
        <v>295</v>
      </c>
      <c r="J982" s="7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">
        <v>1835.28</v>
      </c>
      <c r="H983" s="1">
        <v>3057</v>
      </c>
      <c r="I983" s="6">
        <f>Tabela1[[#This Row],[Valor total]]-Tabela1[[#This Row],[Valor custo]]</f>
        <v>1221.72</v>
      </c>
      <c r="J983" s="7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">
        <v>1068</v>
      </c>
      <c r="H984" s="1">
        <v>1800</v>
      </c>
      <c r="I984" s="6">
        <f>Tabela1[[#This Row],[Valor total]]-Tabela1[[#This Row],[Valor custo]]</f>
        <v>732</v>
      </c>
      <c r="J984" s="7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">
        <v>1025</v>
      </c>
      <c r="H985" s="1">
        <v>1700</v>
      </c>
      <c r="I985" s="6">
        <f>Tabela1[[#This Row],[Valor total]]-Tabela1[[#This Row],[Valor custo]]</f>
        <v>675</v>
      </c>
      <c r="J985" s="7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">
        <v>534</v>
      </c>
      <c r="H986" s="1">
        <v>900</v>
      </c>
      <c r="I986" s="6">
        <f>Tabela1[[#This Row],[Valor total]]-Tabela1[[#This Row],[Valor custo]]</f>
        <v>366</v>
      </c>
      <c r="J986" s="7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">
        <v>1612.52</v>
      </c>
      <c r="H987" s="1">
        <v>2720</v>
      </c>
      <c r="I987" s="6">
        <f>Tabela1[[#This Row],[Valor total]]-Tabela1[[#This Row],[Valor custo]]</f>
        <v>1107.48</v>
      </c>
      <c r="J987" s="7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">
        <v>1450</v>
      </c>
      <c r="H988" s="1">
        <v>2500</v>
      </c>
      <c r="I988" s="6">
        <f>Tabela1[[#This Row],[Valor total]]-Tabela1[[#This Row],[Valor custo]]</f>
        <v>1050</v>
      </c>
      <c r="J988" s="7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">
        <v>1546</v>
      </c>
      <c r="H989" s="1">
        <v>3300</v>
      </c>
      <c r="I989" s="6">
        <f>Tabela1[[#This Row],[Valor total]]-Tabela1[[#This Row],[Valor custo]]</f>
        <v>1754</v>
      </c>
      <c r="J989" s="7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">
        <v>268.45999999999998</v>
      </c>
      <c r="H990" s="1">
        <v>563</v>
      </c>
      <c r="I990" s="6">
        <f>Tabela1[[#This Row],[Valor total]]-Tabela1[[#This Row],[Valor custo]]</f>
        <v>294.54000000000002</v>
      </c>
      <c r="J990" s="7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">
        <v>1550.68</v>
      </c>
      <c r="H991" s="1">
        <v>2955</v>
      </c>
      <c r="I991" s="6">
        <f>Tabela1[[#This Row],[Valor total]]-Tabela1[[#This Row],[Valor custo]]</f>
        <v>1404.32</v>
      </c>
      <c r="J991" s="7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">
        <v>382.3</v>
      </c>
      <c r="H992" s="1">
        <v>650</v>
      </c>
      <c r="I992" s="6">
        <f>Tabela1[[#This Row],[Valor total]]-Tabela1[[#This Row],[Valor custo]]</f>
        <v>267.7</v>
      </c>
      <c r="J992" s="7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">
        <v>521</v>
      </c>
      <c r="H993" s="1">
        <v>840</v>
      </c>
      <c r="I993" s="6">
        <f>Tabela1[[#This Row],[Valor total]]-Tabela1[[#This Row],[Valor custo]]</f>
        <v>319</v>
      </c>
      <c r="J993" s="7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">
        <v>455</v>
      </c>
      <c r="H994" s="1">
        <v>780</v>
      </c>
      <c r="I994" s="6">
        <f>Tabela1[[#This Row],[Valor total]]-Tabela1[[#This Row],[Valor custo]]</f>
        <v>325</v>
      </c>
      <c r="J994" s="7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">
        <v>2513</v>
      </c>
      <c r="H995" s="1">
        <v>3780</v>
      </c>
      <c r="I995" s="6">
        <f>Tabela1[[#This Row],[Valor total]]-Tabela1[[#This Row],[Valor custo]]</f>
        <v>1267</v>
      </c>
      <c r="J995" s="7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">
        <v>473</v>
      </c>
      <c r="H996" s="1">
        <v>690</v>
      </c>
      <c r="I996" s="6">
        <f>Tabela1[[#This Row],[Valor total]]-Tabela1[[#This Row],[Valor custo]]</f>
        <v>217</v>
      </c>
      <c r="J996" s="7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">
        <v>506</v>
      </c>
      <c r="H997" s="1">
        <v>800</v>
      </c>
      <c r="I997" s="6">
        <f>Tabela1[[#This Row],[Valor total]]-Tabela1[[#This Row],[Valor custo]]</f>
        <v>294</v>
      </c>
      <c r="J997" s="7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">
        <v>122.74</v>
      </c>
      <c r="H998" s="1">
        <v>170</v>
      </c>
      <c r="I998" s="6">
        <f>Tabela1[[#This Row],[Valor total]]-Tabela1[[#This Row],[Valor custo]]</f>
        <v>47.260000000000005</v>
      </c>
      <c r="J998" s="7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">
        <v>1719.74</v>
      </c>
      <c r="H999" s="1">
        <v>2730</v>
      </c>
      <c r="I999" s="6">
        <f>Tabela1[[#This Row],[Valor total]]-Tabela1[[#This Row],[Valor custo]]</f>
        <v>1010.26</v>
      </c>
      <c r="J999" s="7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">
        <v>3625</v>
      </c>
      <c r="H1000" s="1">
        <v>6750</v>
      </c>
      <c r="I1000" s="6">
        <f>Tabela1[[#This Row],[Valor total]]-Tabela1[[#This Row],[Valor custo]]</f>
        <v>3125</v>
      </c>
      <c r="J1000" s="7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">
        <v>1888</v>
      </c>
      <c r="H1001" s="1">
        <v>2730</v>
      </c>
      <c r="I1001" s="6">
        <f>Tabela1[[#This Row],[Valor total]]-Tabela1[[#This Row],[Valor custo]]</f>
        <v>842</v>
      </c>
      <c r="J1001" s="7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">
        <v>123</v>
      </c>
      <c r="H1002" s="1">
        <v>165</v>
      </c>
      <c r="I1002" s="6">
        <f>Tabela1[[#This Row],[Valor total]]-Tabela1[[#This Row],[Valor custo]]</f>
        <v>42</v>
      </c>
      <c r="J1002" s="7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">
        <v>539</v>
      </c>
      <c r="H1003" s="1">
        <v>940</v>
      </c>
      <c r="I1003" s="6">
        <f>Tabela1[[#This Row],[Valor total]]-Tabela1[[#This Row],[Valor custo]]</f>
        <v>401</v>
      </c>
      <c r="J1003" s="7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">
        <v>23.7</v>
      </c>
      <c r="H1004" s="1">
        <v>105</v>
      </c>
      <c r="I1004" s="6">
        <f>Tabela1[[#This Row],[Valor total]]-Tabela1[[#This Row],[Valor custo]]</f>
        <v>81.3</v>
      </c>
      <c r="J1004" s="7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">
        <v>42</v>
      </c>
      <c r="H1005" s="1">
        <v>55</v>
      </c>
      <c r="I1005" s="6">
        <f>Tabela1[[#This Row],[Valor total]]-Tabela1[[#This Row],[Valor custo]]</f>
        <v>13</v>
      </c>
      <c r="J1005" s="7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">
        <v>710</v>
      </c>
      <c r="H1006" s="1">
        <v>1250</v>
      </c>
      <c r="I1006" s="6">
        <f>Tabela1[[#This Row],[Valor total]]-Tabela1[[#This Row],[Valor custo]]</f>
        <v>540</v>
      </c>
      <c r="J1006" s="7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">
        <v>23.7</v>
      </c>
      <c r="H1007" s="1">
        <v>105</v>
      </c>
      <c r="I1007" s="6">
        <f>Tabela1[[#This Row],[Valor total]]-Tabela1[[#This Row],[Valor custo]]</f>
        <v>81.3</v>
      </c>
      <c r="J1007" s="7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">
        <v>84.79</v>
      </c>
      <c r="H1008" s="1">
        <v>132</v>
      </c>
      <c r="I1008" s="6">
        <f>Tabela1[[#This Row],[Valor total]]-Tabela1[[#This Row],[Valor custo]]</f>
        <v>47.209999999999994</v>
      </c>
      <c r="J1008" s="7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">
        <v>710</v>
      </c>
      <c r="H1009" s="1">
        <v>1250</v>
      </c>
      <c r="I1009" s="6">
        <f>Tabela1[[#This Row],[Valor total]]-Tabela1[[#This Row],[Valor custo]]</f>
        <v>540</v>
      </c>
      <c r="J1009" s="7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">
        <v>710</v>
      </c>
      <c r="H1010" s="1">
        <v>1250</v>
      </c>
      <c r="I1010" s="6">
        <f>Tabela1[[#This Row],[Valor total]]-Tabela1[[#This Row],[Valor custo]]</f>
        <v>540</v>
      </c>
      <c r="J1010" s="7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">
        <v>954</v>
      </c>
      <c r="H1011" s="1">
        <v>1680</v>
      </c>
      <c r="I1011" s="6">
        <f>Tabela1[[#This Row],[Valor total]]-Tabela1[[#This Row],[Valor custo]]</f>
        <v>726</v>
      </c>
      <c r="J1011" s="7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">
        <v>8481</v>
      </c>
      <c r="H1012" s="1">
        <v>13340</v>
      </c>
      <c r="I1012" s="6">
        <f>Tabela1[[#This Row],[Valor total]]-Tabela1[[#This Row],[Valor custo]]</f>
        <v>4859</v>
      </c>
      <c r="J1012" s="7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">
        <v>33.56</v>
      </c>
      <c r="H1013" s="1">
        <v>85</v>
      </c>
      <c r="I1013" s="6">
        <f>Tabela1[[#This Row],[Valor total]]-Tabela1[[#This Row],[Valor custo]]</f>
        <v>51.44</v>
      </c>
      <c r="J1013" s="7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">
        <v>718.57</v>
      </c>
      <c r="H1014" s="1">
        <v>1280</v>
      </c>
      <c r="I1014" s="6">
        <f>Tabela1[[#This Row],[Valor total]]-Tabela1[[#This Row],[Valor custo]]</f>
        <v>561.42999999999995</v>
      </c>
      <c r="J1014" s="7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">
        <v>1403.12</v>
      </c>
      <c r="H1015" s="1">
        <v>2500</v>
      </c>
      <c r="I1015" s="6">
        <f>Tabela1[[#This Row],[Valor total]]-Tabela1[[#This Row],[Valor custo]]</f>
        <v>1096.8800000000001</v>
      </c>
      <c r="J1015" s="7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">
        <v>250</v>
      </c>
      <c r="H1016" s="1">
        <v>300</v>
      </c>
      <c r="I1016" s="6">
        <f>Tabela1[[#This Row],[Valor total]]-Tabela1[[#This Row],[Valor custo]]</f>
        <v>50</v>
      </c>
      <c r="J1016" s="7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">
        <v>1342</v>
      </c>
      <c r="H1017" s="1">
        <v>2400</v>
      </c>
      <c r="I1017" s="6">
        <f>Tabela1[[#This Row],[Valor total]]-Tabela1[[#This Row],[Valor custo]]</f>
        <v>1058</v>
      </c>
      <c r="J1017" s="7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">
        <v>1500</v>
      </c>
      <c r="H1018" s="1">
        <v>1780</v>
      </c>
      <c r="I1018" s="6">
        <f>Tabela1[[#This Row],[Valor total]]-Tabela1[[#This Row],[Valor custo]]</f>
        <v>280</v>
      </c>
      <c r="J1018" s="7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">
        <v>122.74</v>
      </c>
      <c r="H1019" s="1">
        <v>220</v>
      </c>
      <c r="I1019" s="6">
        <f>Tabela1[[#This Row],[Valor total]]-Tabela1[[#This Row],[Valor custo]]</f>
        <v>97.26</v>
      </c>
      <c r="J1019" s="7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">
        <v>649</v>
      </c>
      <c r="H1020" s="1">
        <v>1200</v>
      </c>
      <c r="I1020" s="6">
        <f>Tabela1[[#This Row],[Valor total]]-Tabela1[[#This Row],[Valor custo]]</f>
        <v>551</v>
      </c>
      <c r="J1020" s="7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">
        <v>718.57</v>
      </c>
      <c r="H1021" s="1">
        <v>1350</v>
      </c>
      <c r="I1021" s="6">
        <f>Tabela1[[#This Row],[Valor total]]-Tabela1[[#This Row],[Valor custo]]</f>
        <v>631.42999999999995</v>
      </c>
      <c r="J1021" s="7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">
        <v>164</v>
      </c>
      <c r="H1022" s="1">
        <v>200</v>
      </c>
      <c r="I1022" s="6">
        <f>Tabela1[[#This Row],[Valor total]]-Tabela1[[#This Row],[Valor custo]]</f>
        <v>36</v>
      </c>
      <c r="J1022" s="7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">
        <v>447</v>
      </c>
      <c r="H1023" s="1">
        <v>645</v>
      </c>
      <c r="I1023" s="6">
        <f>Tabela1[[#This Row],[Valor total]]-Tabela1[[#This Row],[Valor custo]]</f>
        <v>198</v>
      </c>
      <c r="J1023" s="7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">
        <v>1450</v>
      </c>
      <c r="H1024" s="1">
        <v>2700</v>
      </c>
      <c r="I1024" s="6">
        <f>Tabela1[[#This Row],[Valor total]]-Tabela1[[#This Row],[Valor custo]]</f>
        <v>1250</v>
      </c>
      <c r="J1024" s="7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">
        <v>1201</v>
      </c>
      <c r="H1025" s="1">
        <v>1940</v>
      </c>
      <c r="I1025" s="6">
        <f>Tabela1[[#This Row],[Valor total]]-Tabela1[[#This Row],[Valor custo]]</f>
        <v>739</v>
      </c>
      <c r="J1025" s="7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">
        <v>1760.79</v>
      </c>
      <c r="H1026" s="1">
        <v>3350</v>
      </c>
      <c r="I1026" s="6">
        <f>Tabela1[[#This Row],[Valor total]]-Tabela1[[#This Row],[Valor custo]]</f>
        <v>1589.21</v>
      </c>
      <c r="J1026" s="7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">
        <v>289</v>
      </c>
      <c r="H1027" s="1">
        <v>550</v>
      </c>
      <c r="I1027" s="6">
        <f>Tabela1[[#This Row],[Valor total]]-Tabela1[[#This Row],[Valor custo]]</f>
        <v>261</v>
      </c>
      <c r="J1027" s="7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">
        <v>915</v>
      </c>
      <c r="H1028" s="1">
        <v>1660</v>
      </c>
      <c r="I1028" s="6">
        <f>Tabela1[[#This Row],[Valor total]]-Tabela1[[#This Row],[Valor custo]]</f>
        <v>745</v>
      </c>
      <c r="J1028" s="7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">
        <v>9620.3799999999992</v>
      </c>
      <c r="H1029" s="1">
        <v>14970</v>
      </c>
      <c r="I1029" s="6">
        <f>Tabela1[[#This Row],[Valor total]]-Tabela1[[#This Row],[Valor custo]]</f>
        <v>5349.6200000000008</v>
      </c>
      <c r="J1029" s="7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">
        <v>1031</v>
      </c>
      <c r="H1030" s="1">
        <v>1590</v>
      </c>
      <c r="I1030" s="6">
        <f>Tabela1[[#This Row],[Valor total]]-Tabela1[[#This Row],[Valor custo]]</f>
        <v>559</v>
      </c>
      <c r="J1030" s="7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">
        <v>1313</v>
      </c>
      <c r="H1031" s="1">
        <v>2500</v>
      </c>
      <c r="I1031" s="6">
        <f>Tabela1[[#This Row],[Valor total]]-Tabela1[[#This Row],[Valor custo]]</f>
        <v>1187</v>
      </c>
      <c r="J1031" s="7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">
        <v>757</v>
      </c>
      <c r="H1032" s="1">
        <v>1450</v>
      </c>
      <c r="I1032" s="6">
        <f>Tabela1[[#This Row],[Valor total]]-Tabela1[[#This Row],[Valor custo]]</f>
        <v>693</v>
      </c>
      <c r="J1032" s="7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">
        <v>615.6</v>
      </c>
      <c r="H1033" s="1">
        <v>1029</v>
      </c>
      <c r="I1033" s="6">
        <f>Tabela1[[#This Row],[Valor total]]-Tabela1[[#This Row],[Valor custo]]</f>
        <v>413.4</v>
      </c>
      <c r="J1033" s="7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">
        <v>1393</v>
      </c>
      <c r="H1034" s="1">
        <v>1650</v>
      </c>
      <c r="I1034" s="6">
        <f>Tabela1[[#This Row],[Valor total]]-Tabela1[[#This Row],[Valor custo]]</f>
        <v>257</v>
      </c>
      <c r="J1034" s="7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">
        <v>70</v>
      </c>
      <c r="H1035" s="1">
        <v>80</v>
      </c>
      <c r="I1035" s="6">
        <f>Tabela1[[#This Row],[Valor total]]-Tabela1[[#This Row],[Valor custo]]</f>
        <v>10</v>
      </c>
      <c r="J1035" s="7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">
        <v>976.49</v>
      </c>
      <c r="H1036" s="1">
        <v>1480</v>
      </c>
      <c r="I1036" s="6">
        <f>Tabela1[[#This Row],[Valor total]]-Tabela1[[#This Row],[Valor custo]]</f>
        <v>503.51</v>
      </c>
      <c r="J1036" s="7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">
        <v>49.21</v>
      </c>
      <c r="H1037" s="1">
        <v>80</v>
      </c>
      <c r="I1037" s="6">
        <f>Tabela1[[#This Row],[Valor total]]-Tabela1[[#This Row],[Valor custo]]</f>
        <v>30.79</v>
      </c>
      <c r="J1037" s="7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">
        <v>773</v>
      </c>
      <c r="H1038" s="1">
        <v>1500</v>
      </c>
      <c r="I1038" s="6">
        <f>Tabela1[[#This Row],[Valor total]]-Tabela1[[#This Row],[Valor custo]]</f>
        <v>727</v>
      </c>
      <c r="J1038" s="7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">
        <v>521</v>
      </c>
      <c r="H1039" s="1">
        <v>785</v>
      </c>
      <c r="I1039" s="6">
        <f>Tabela1[[#This Row],[Valor total]]-Tabela1[[#This Row],[Valor custo]]</f>
        <v>264</v>
      </c>
      <c r="J1039" s="7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">
        <v>664</v>
      </c>
      <c r="H1040" s="1">
        <v>1300</v>
      </c>
      <c r="I1040" s="6">
        <f>Tabela1[[#This Row],[Valor total]]-Tabela1[[#This Row],[Valor custo]]</f>
        <v>636</v>
      </c>
      <c r="J1040" s="7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">
        <v>447</v>
      </c>
      <c r="H1041" s="1">
        <v>615</v>
      </c>
      <c r="I1041" s="6">
        <f>Tabela1[[#This Row],[Valor total]]-Tabela1[[#This Row],[Valor custo]]</f>
        <v>168</v>
      </c>
      <c r="J1041" s="7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">
        <v>422.06</v>
      </c>
      <c r="H1042" s="1">
        <v>585</v>
      </c>
      <c r="I1042" s="6">
        <f>Tabela1[[#This Row],[Valor total]]-Tabela1[[#This Row],[Valor custo]]</f>
        <v>162.94</v>
      </c>
      <c r="J1042" s="7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">
        <v>757</v>
      </c>
      <c r="H1043" s="1">
        <v>1500</v>
      </c>
      <c r="I1043" s="6">
        <f>Tabela1[[#This Row],[Valor total]]-Tabela1[[#This Row],[Valor custo]]</f>
        <v>743</v>
      </c>
      <c r="J1043" s="7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">
        <v>2337</v>
      </c>
      <c r="H1044" s="1">
        <v>3495</v>
      </c>
      <c r="I1044" s="6">
        <f>Tabela1[[#This Row],[Valor total]]-Tabela1[[#This Row],[Valor custo]]</f>
        <v>1158</v>
      </c>
      <c r="J1044" s="7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">
        <v>920</v>
      </c>
      <c r="H1045" s="1">
        <v>1300</v>
      </c>
      <c r="I1045" s="6">
        <f>Tabela1[[#This Row],[Valor total]]-Tabela1[[#This Row],[Valor custo]]</f>
        <v>380</v>
      </c>
      <c r="J1045" s="7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">
        <v>773</v>
      </c>
      <c r="H1046" s="1">
        <v>1550</v>
      </c>
      <c r="I1046" s="6">
        <f>Tabela1[[#This Row],[Valor total]]-Tabela1[[#This Row],[Valor custo]]</f>
        <v>777</v>
      </c>
      <c r="J1046" s="7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">
        <v>521</v>
      </c>
      <c r="H1047" s="1">
        <v>1050</v>
      </c>
      <c r="I1047" s="6">
        <f>Tabela1[[#This Row],[Valor total]]-Tabela1[[#This Row],[Valor custo]]</f>
        <v>529</v>
      </c>
      <c r="J1047" s="7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">
        <v>996</v>
      </c>
      <c r="H1048" s="1">
        <v>1370</v>
      </c>
      <c r="I1048" s="6">
        <f>Tabela1[[#This Row],[Valor total]]-Tabela1[[#This Row],[Valor custo]]</f>
        <v>374</v>
      </c>
      <c r="J1048" s="7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">
        <v>757</v>
      </c>
      <c r="H1049" s="1">
        <v>1550</v>
      </c>
      <c r="I1049" s="6">
        <f>Tabela1[[#This Row],[Valor total]]-Tabela1[[#This Row],[Valor custo]]</f>
        <v>793</v>
      </c>
      <c r="J1049" s="7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">
        <v>479.1</v>
      </c>
      <c r="H1050" s="1">
        <v>720</v>
      </c>
      <c r="I1050" s="6">
        <f>Tabela1[[#This Row],[Valor total]]-Tabela1[[#This Row],[Valor custo]]</f>
        <v>240.89999999999998</v>
      </c>
      <c r="J1050" s="7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">
        <v>268.45999999999998</v>
      </c>
      <c r="H1051" s="1">
        <v>550</v>
      </c>
      <c r="I1051" s="6">
        <f>Tabela1[[#This Row],[Valor total]]-Tabela1[[#This Row],[Valor custo]]</f>
        <v>281.54000000000002</v>
      </c>
      <c r="J1051" s="7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">
        <v>482</v>
      </c>
      <c r="H1052" s="1">
        <v>700</v>
      </c>
      <c r="I1052" s="6">
        <f>Tabela1[[#This Row],[Valor total]]-Tabela1[[#This Row],[Valor custo]]</f>
        <v>218</v>
      </c>
      <c r="J1052" s="7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">
        <v>122.74</v>
      </c>
      <c r="H1053" s="1">
        <v>170</v>
      </c>
      <c r="I1053" s="6">
        <f>Tabela1[[#This Row],[Valor total]]-Tabela1[[#This Row],[Valor custo]]</f>
        <v>47.260000000000005</v>
      </c>
      <c r="J1053" s="7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">
        <v>268.45999999999998</v>
      </c>
      <c r="H1054" s="1">
        <v>550</v>
      </c>
      <c r="I1054" s="6">
        <f>Tabela1[[#This Row],[Valor total]]-Tabela1[[#This Row],[Valor custo]]</f>
        <v>281.54000000000002</v>
      </c>
      <c r="J1054" s="7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">
        <v>497</v>
      </c>
      <c r="H1055" s="1">
        <v>785</v>
      </c>
      <c r="I1055" s="6">
        <f>Tabela1[[#This Row],[Valor total]]-Tabela1[[#This Row],[Valor custo]]</f>
        <v>288</v>
      </c>
      <c r="J1055" s="7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">
        <v>956.01</v>
      </c>
      <c r="H1056" s="1">
        <v>1330</v>
      </c>
      <c r="I1056" s="6">
        <f>Tabela1[[#This Row],[Valor total]]-Tabela1[[#This Row],[Valor custo]]</f>
        <v>373.99</v>
      </c>
      <c r="J1056" s="7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">
        <v>268.45999999999998</v>
      </c>
      <c r="H1057" s="1">
        <v>550</v>
      </c>
      <c r="I1057" s="6">
        <f>Tabela1[[#This Row],[Valor total]]-Tabela1[[#This Row],[Valor custo]]</f>
        <v>281.54000000000002</v>
      </c>
      <c r="J1057" s="7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">
        <v>65.8</v>
      </c>
      <c r="H1058" s="1">
        <v>140</v>
      </c>
      <c r="I1058" s="6">
        <f>Tabela1[[#This Row],[Valor total]]-Tabela1[[#This Row],[Valor custo]]</f>
        <v>74.2</v>
      </c>
      <c r="J1058" s="7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">
        <v>920</v>
      </c>
      <c r="H1059" s="1">
        <v>1365</v>
      </c>
      <c r="I1059" s="6">
        <f>Tabela1[[#This Row],[Valor total]]-Tabela1[[#This Row],[Valor custo]]</f>
        <v>445</v>
      </c>
      <c r="J1059" s="7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">
        <v>1042</v>
      </c>
      <c r="H1060" s="1">
        <v>1680</v>
      </c>
      <c r="I1060" s="6">
        <f>Tabela1[[#This Row],[Valor total]]-Tabela1[[#This Row],[Valor custo]]</f>
        <v>638</v>
      </c>
      <c r="J1060" s="7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">
        <v>705</v>
      </c>
      <c r="H1061" s="1">
        <v>1500</v>
      </c>
      <c r="I1061" s="6">
        <f>Tabela1[[#This Row],[Valor total]]-Tabela1[[#This Row],[Valor custo]]</f>
        <v>795</v>
      </c>
      <c r="J1061" s="7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">
        <v>11799.83</v>
      </c>
      <c r="H1062" s="1">
        <v>15000</v>
      </c>
      <c r="I1062" s="6">
        <f>Tabela1[[#This Row],[Valor total]]-Tabela1[[#This Row],[Valor custo]]</f>
        <v>3200.17</v>
      </c>
      <c r="J1062" s="7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">
        <v>66</v>
      </c>
      <c r="H1063" s="1">
        <v>85</v>
      </c>
      <c r="I1063" s="6">
        <f>Tabela1[[#This Row],[Valor total]]-Tabela1[[#This Row],[Valor custo]]</f>
        <v>19</v>
      </c>
      <c r="J1063" s="7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">
        <v>1229.6099999999999</v>
      </c>
      <c r="H1064" s="1">
        <v>1755</v>
      </c>
      <c r="I1064" s="6">
        <f>Tabela1[[#This Row],[Valor total]]-Tabela1[[#This Row],[Valor custo]]</f>
        <v>525.3900000000001</v>
      </c>
      <c r="J1064" s="7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">
        <v>1386</v>
      </c>
      <c r="H1065" s="1">
        <v>3000</v>
      </c>
      <c r="I1065" s="6">
        <f>Tabela1[[#This Row],[Valor total]]-Tabela1[[#This Row],[Valor custo]]</f>
        <v>1614</v>
      </c>
      <c r="J1065" s="7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">
        <v>108</v>
      </c>
      <c r="H1066" s="1">
        <v>240</v>
      </c>
      <c r="I1066" s="6">
        <f>Tabela1[[#This Row],[Valor total]]-Tabela1[[#This Row],[Valor custo]]</f>
        <v>132</v>
      </c>
      <c r="J1066" s="7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">
        <v>447</v>
      </c>
      <c r="H1067" s="1">
        <v>665</v>
      </c>
      <c r="I1067" s="6">
        <f>Tabela1[[#This Row],[Valor total]]-Tabela1[[#This Row],[Valor custo]]</f>
        <v>218</v>
      </c>
      <c r="J1067" s="7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">
        <v>422.06</v>
      </c>
      <c r="H1068" s="1">
        <v>601.5</v>
      </c>
      <c r="I1068" s="6">
        <f>Tabela1[[#This Row],[Valor total]]-Tabela1[[#This Row],[Valor custo]]</f>
        <v>179.44</v>
      </c>
      <c r="J1068" s="7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">
        <v>30.49</v>
      </c>
      <c r="H1069" s="1">
        <v>40</v>
      </c>
      <c r="I1069" s="6">
        <f>Tabela1[[#This Row],[Valor total]]-Tabela1[[#This Row],[Valor custo]]</f>
        <v>9.5100000000000016</v>
      </c>
      <c r="J1069" s="7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">
        <v>6364</v>
      </c>
      <c r="H1070" s="1">
        <v>9980</v>
      </c>
      <c r="I1070" s="6">
        <f>Tabela1[[#This Row],[Valor total]]-Tabela1[[#This Row],[Valor custo]]</f>
        <v>3616</v>
      </c>
      <c r="J1070" s="7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">
        <v>415.97</v>
      </c>
      <c r="H1071" s="1">
        <v>594</v>
      </c>
      <c r="I1071" s="6">
        <f>Tabela1[[#This Row],[Valor total]]-Tabela1[[#This Row],[Valor custo]]</f>
        <v>178.02999999999997</v>
      </c>
      <c r="J1071" s="7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">
        <v>584</v>
      </c>
      <c r="H1072" s="1">
        <v>900</v>
      </c>
      <c r="I1072" s="6">
        <f>Tabela1[[#This Row],[Valor total]]-Tabela1[[#This Row],[Valor custo]]</f>
        <v>316</v>
      </c>
      <c r="J1072" s="7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">
        <v>852</v>
      </c>
      <c r="H1073" s="1">
        <v>1900</v>
      </c>
      <c r="I1073" s="6">
        <f>Tabela1[[#This Row],[Valor total]]-Tabela1[[#This Row],[Valor custo]]</f>
        <v>1048</v>
      </c>
      <c r="J1073" s="7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">
        <v>101.41</v>
      </c>
      <c r="H1074" s="1">
        <v>265</v>
      </c>
      <c r="I1074" s="6">
        <f>Tabela1[[#This Row],[Valor total]]-Tabela1[[#This Row],[Valor custo]]</f>
        <v>163.59</v>
      </c>
      <c r="J1074" s="7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">
        <v>819.74</v>
      </c>
      <c r="H1075" s="1">
        <v>1170</v>
      </c>
      <c r="I1075" s="6">
        <f>Tabela1[[#This Row],[Valor total]]-Tabela1[[#This Row],[Valor custo]]</f>
        <v>350.26</v>
      </c>
      <c r="J1075" s="7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">
        <v>1292.74</v>
      </c>
      <c r="H1076" s="1">
        <v>1680</v>
      </c>
      <c r="I1076" s="6">
        <f>Tabela1[[#This Row],[Valor total]]-Tabela1[[#This Row],[Valor custo]]</f>
        <v>387.26</v>
      </c>
      <c r="J1076" s="7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">
        <v>82.21</v>
      </c>
      <c r="H1077" s="1">
        <v>230</v>
      </c>
      <c r="I1077" s="6">
        <f>Tabela1[[#This Row],[Valor total]]-Tabela1[[#This Row],[Valor custo]]</f>
        <v>147.79000000000002</v>
      </c>
      <c r="J1077" s="7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">
        <v>584</v>
      </c>
      <c r="H1078" s="1">
        <v>845</v>
      </c>
      <c r="I1078" s="6">
        <f>Tabela1[[#This Row],[Valor total]]-Tabela1[[#This Row],[Valor custo]]</f>
        <v>261</v>
      </c>
      <c r="J1078" s="7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">
        <v>521</v>
      </c>
      <c r="H1079" s="1">
        <v>840</v>
      </c>
      <c r="I1079" s="6">
        <f>Tabela1[[#This Row],[Valor total]]-Tabela1[[#This Row],[Valor custo]]</f>
        <v>319</v>
      </c>
      <c r="J1079" s="7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">
        <v>628.42999999999995</v>
      </c>
      <c r="H1080" s="1">
        <v>2035</v>
      </c>
      <c r="I1080" s="6">
        <f>Tabela1[[#This Row],[Valor total]]-Tabela1[[#This Row],[Valor custo]]</f>
        <v>1406.5700000000002</v>
      </c>
      <c r="J1080" s="7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">
        <v>968</v>
      </c>
      <c r="H1081" s="1">
        <v>1430</v>
      </c>
      <c r="I1081" s="6">
        <f>Tabela1[[#This Row],[Valor total]]-Tabela1[[#This Row],[Valor custo]]</f>
        <v>462</v>
      </c>
      <c r="J1081" s="7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">
        <v>104.4</v>
      </c>
      <c r="H1082" s="1">
        <v>350</v>
      </c>
      <c r="I1082" s="6">
        <f>Tabela1[[#This Row],[Valor total]]-Tabela1[[#This Row],[Valor custo]]</f>
        <v>245.6</v>
      </c>
      <c r="J1082" s="7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">
        <v>20.88</v>
      </c>
      <c r="H1083" s="1">
        <v>70</v>
      </c>
      <c r="I1083" s="6">
        <f>Tabela1[[#This Row],[Valor total]]-Tabela1[[#This Row],[Valor custo]]</f>
        <v>49.120000000000005</v>
      </c>
      <c r="J1083" s="7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">
        <v>33</v>
      </c>
      <c r="H1084" s="1">
        <v>160</v>
      </c>
      <c r="I1084" s="6">
        <f>Tabela1[[#This Row],[Valor total]]-Tabela1[[#This Row],[Valor custo]]</f>
        <v>127</v>
      </c>
      <c r="J1084" s="7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">
        <v>31.6</v>
      </c>
      <c r="H1085" s="1">
        <v>155</v>
      </c>
      <c r="I1085" s="6">
        <f>Tabela1[[#This Row],[Valor total]]-Tabela1[[#This Row],[Valor custo]]</f>
        <v>123.4</v>
      </c>
      <c r="J1085" s="7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">
        <v>1266.74</v>
      </c>
      <c r="H1086" s="1">
        <v>1245</v>
      </c>
      <c r="I1086" s="6">
        <f>Tabela1[[#This Row],[Valor total]]-Tabela1[[#This Row],[Valor custo]]</f>
        <v>-21.740000000000009</v>
      </c>
      <c r="J1086" s="7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">
        <v>473</v>
      </c>
      <c r="H1087" s="1">
        <v>720</v>
      </c>
      <c r="I1087" s="6">
        <f>Tabela1[[#This Row],[Valor total]]-Tabela1[[#This Row],[Valor custo]]</f>
        <v>247</v>
      </c>
      <c r="J1087" s="7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">
        <v>409.87</v>
      </c>
      <c r="H1088" s="1">
        <v>585</v>
      </c>
      <c r="I1088" s="6">
        <f>Tabela1[[#This Row],[Valor total]]-Tabela1[[#This Row],[Valor custo]]</f>
        <v>175.13</v>
      </c>
      <c r="J1088" s="7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">
        <v>24160.14</v>
      </c>
      <c r="H1089" s="1">
        <v>33195</v>
      </c>
      <c r="I1089" s="6">
        <f>Tabela1[[#This Row],[Valor total]]-Tabela1[[#This Row],[Valor custo]]</f>
        <v>9034.86</v>
      </c>
      <c r="J1089" s="7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">
        <v>2015.74</v>
      </c>
      <c r="H1090" s="1">
        <v>2730</v>
      </c>
      <c r="I1090" s="6">
        <f>Tabela1[[#This Row],[Valor total]]-Tabela1[[#This Row],[Valor custo]]</f>
        <v>714.26</v>
      </c>
      <c r="J1090" s="7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">
        <v>473</v>
      </c>
      <c r="H1091" s="1">
        <v>720</v>
      </c>
      <c r="I1091" s="6">
        <f>Tabela1[[#This Row],[Valor total]]-Tabela1[[#This Row],[Valor custo]]</f>
        <v>247</v>
      </c>
      <c r="J1091" s="7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">
        <v>62.64</v>
      </c>
      <c r="H1092" s="1">
        <v>210</v>
      </c>
      <c r="I1092" s="6">
        <f>Tabela1[[#This Row],[Valor total]]-Tabela1[[#This Row],[Valor custo]]</f>
        <v>147.36000000000001</v>
      </c>
      <c r="J1092" s="7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">
        <v>158</v>
      </c>
      <c r="H1093" s="1">
        <v>600</v>
      </c>
      <c r="I1093" s="6">
        <f>Tabela1[[#This Row],[Valor total]]-Tabela1[[#This Row],[Valor custo]]</f>
        <v>442</v>
      </c>
      <c r="J1093" s="7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">
        <v>57.13</v>
      </c>
      <c r="H1094" s="1">
        <v>200</v>
      </c>
      <c r="I1094" s="6">
        <f>Tabela1[[#This Row],[Valor total]]-Tabela1[[#This Row],[Valor custo]]</f>
        <v>142.87</v>
      </c>
      <c r="J1094" s="7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">
        <v>57.13</v>
      </c>
      <c r="H1095" s="1">
        <v>200</v>
      </c>
      <c r="I1095" s="6">
        <f>Tabela1[[#This Row],[Valor total]]-Tabela1[[#This Row],[Valor custo]]</f>
        <v>142.87</v>
      </c>
      <c r="J1095" s="7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">
        <v>57.13</v>
      </c>
      <c r="H1096" s="1">
        <v>200</v>
      </c>
      <c r="I1096" s="6">
        <f>Tabela1[[#This Row],[Valor total]]-Tabela1[[#This Row],[Valor custo]]</f>
        <v>142.87</v>
      </c>
      <c r="J1096" s="7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">
        <v>57.13</v>
      </c>
      <c r="H1097" s="1">
        <v>200</v>
      </c>
      <c r="I1097" s="6">
        <f>Tabela1[[#This Row],[Valor total]]-Tabela1[[#This Row],[Valor custo]]</f>
        <v>142.87</v>
      </c>
      <c r="J1097" s="7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">
        <v>27.38</v>
      </c>
      <c r="H1098" s="1">
        <v>68</v>
      </c>
      <c r="I1098" s="6">
        <f>Tabela1[[#This Row],[Valor total]]-Tabela1[[#This Row],[Valor custo]]</f>
        <v>40.620000000000005</v>
      </c>
      <c r="J1098" s="7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">
        <v>584</v>
      </c>
      <c r="H1099" s="1">
        <v>945</v>
      </c>
      <c r="I1099" s="6">
        <f>Tabela1[[#This Row],[Valor total]]-Tabela1[[#This Row],[Valor custo]]</f>
        <v>361</v>
      </c>
      <c r="J1099" s="7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">
        <v>75</v>
      </c>
      <c r="H1100" s="1">
        <v>90</v>
      </c>
      <c r="I1100" s="6">
        <f>Tabela1[[#This Row],[Valor total]]-Tabela1[[#This Row],[Valor custo]]</f>
        <v>15</v>
      </c>
      <c r="J1100" s="7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">
        <v>1247.9100000000001</v>
      </c>
      <c r="H1101" s="1">
        <v>1782</v>
      </c>
      <c r="I1101" s="6">
        <f>Tabela1[[#This Row],[Valor total]]-Tabela1[[#This Row],[Valor custo]]</f>
        <v>534.08999999999992</v>
      </c>
      <c r="J1101" s="7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">
        <v>968.8</v>
      </c>
      <c r="H1102" s="1">
        <v>1530</v>
      </c>
      <c r="I1102" s="6">
        <f>Tabela1[[#This Row],[Valor total]]-Tabela1[[#This Row],[Valor custo]]</f>
        <v>561.20000000000005</v>
      </c>
      <c r="J1102" s="7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">
        <v>57.13</v>
      </c>
      <c r="H1103" s="1">
        <v>200</v>
      </c>
      <c r="I1103" s="6">
        <f>Tabela1[[#This Row],[Valor total]]-Tabela1[[#This Row],[Valor custo]]</f>
        <v>142.87</v>
      </c>
      <c r="J1103" s="7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">
        <v>66</v>
      </c>
      <c r="H1104" s="1">
        <v>240</v>
      </c>
      <c r="I1104" s="6">
        <f>Tabela1[[#This Row],[Valor total]]-Tabela1[[#This Row],[Valor custo]]</f>
        <v>174</v>
      </c>
      <c r="J1104" s="7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">
        <v>55</v>
      </c>
      <c r="H1105" s="1">
        <v>200</v>
      </c>
      <c r="I1105" s="6">
        <f>Tabela1[[#This Row],[Valor total]]-Tabela1[[#This Row],[Valor custo]]</f>
        <v>145</v>
      </c>
      <c r="J1105" s="7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">
        <v>868.8</v>
      </c>
      <c r="H1106" s="1">
        <v>1025</v>
      </c>
      <c r="I1106" s="6">
        <f>Tabela1[[#This Row],[Valor total]]-Tabela1[[#This Row],[Valor custo]]</f>
        <v>156.20000000000005</v>
      </c>
      <c r="J1106" s="7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">
        <v>2786</v>
      </c>
      <c r="H1107" s="1">
        <v>4170</v>
      </c>
      <c r="I1107" s="6">
        <f>Tabela1[[#This Row],[Valor total]]-Tabela1[[#This Row],[Valor custo]]</f>
        <v>1384</v>
      </c>
      <c r="J1107" s="7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">
        <v>4579.9799999999996</v>
      </c>
      <c r="H1108" s="1">
        <v>7165</v>
      </c>
      <c r="I1108" s="6">
        <f>Tabela1[[#This Row],[Valor total]]-Tabela1[[#This Row],[Valor custo]]</f>
        <v>2585.0200000000004</v>
      </c>
      <c r="J1108" s="7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">
        <v>33</v>
      </c>
      <c r="H1109" s="1">
        <v>150</v>
      </c>
      <c r="I1109" s="6">
        <f>Tabela1[[#This Row],[Valor total]]-Tabela1[[#This Row],[Valor custo]]</f>
        <v>117</v>
      </c>
      <c r="J1109" s="7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">
        <v>0</v>
      </c>
      <c r="H1110" s="1">
        <v>845</v>
      </c>
      <c r="I1110" s="6">
        <f>Tabela1[[#This Row],[Valor total]]-Tabela1[[#This Row],[Valor custo]]</f>
        <v>845</v>
      </c>
      <c r="J1110" s="7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">
        <v>33</v>
      </c>
      <c r="H1111" s="1">
        <v>150</v>
      </c>
      <c r="I1111" s="6">
        <f>Tabela1[[#This Row],[Valor total]]-Tabela1[[#This Row],[Valor custo]]</f>
        <v>117</v>
      </c>
      <c r="J1111" s="7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">
        <v>66</v>
      </c>
      <c r="H1112" s="1">
        <v>300</v>
      </c>
      <c r="I1112" s="6">
        <f>Tabela1[[#This Row],[Valor total]]-Tabela1[[#This Row],[Valor custo]]</f>
        <v>234</v>
      </c>
      <c r="J1112" s="7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">
        <v>33</v>
      </c>
      <c r="H1113" s="1">
        <v>150</v>
      </c>
      <c r="I1113" s="6">
        <f>Tabela1[[#This Row],[Valor total]]-Tabela1[[#This Row],[Valor custo]]</f>
        <v>117</v>
      </c>
      <c r="J1113" s="7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">
        <v>521</v>
      </c>
      <c r="H1114" s="1">
        <v>785</v>
      </c>
      <c r="I1114" s="6">
        <f>Tabela1[[#This Row],[Valor total]]-Tabela1[[#This Row],[Valor custo]]</f>
        <v>264</v>
      </c>
      <c r="J1114" s="7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">
        <v>66</v>
      </c>
      <c r="H1115" s="1">
        <v>300</v>
      </c>
      <c r="I1115" s="6">
        <f>Tabela1[[#This Row],[Valor total]]-Tabela1[[#This Row],[Valor custo]]</f>
        <v>234</v>
      </c>
      <c r="J1115" s="7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">
        <v>33</v>
      </c>
      <c r="H1116" s="1">
        <v>150</v>
      </c>
      <c r="I1116" s="6">
        <f>Tabela1[[#This Row],[Valor total]]-Tabela1[[#This Row],[Valor custo]]</f>
        <v>117</v>
      </c>
      <c r="J1116" s="7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">
        <v>920</v>
      </c>
      <c r="H1117" s="1">
        <v>1270</v>
      </c>
      <c r="I1117" s="6">
        <f>Tabela1[[#This Row],[Valor total]]-Tabela1[[#This Row],[Valor custo]]</f>
        <v>350</v>
      </c>
      <c r="J1117" s="7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">
        <v>46.69</v>
      </c>
      <c r="H1118" s="1">
        <v>250</v>
      </c>
      <c r="I1118" s="6">
        <f>Tabela1[[#This Row],[Valor total]]-Tabela1[[#This Row],[Valor custo]]</f>
        <v>203.31</v>
      </c>
      <c r="J1118" s="7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">
        <v>0</v>
      </c>
      <c r="H1119" s="1">
        <v>540</v>
      </c>
      <c r="I1119" s="6">
        <f>Tabela1[[#This Row],[Valor total]]-Tabela1[[#This Row],[Valor custo]]</f>
        <v>540</v>
      </c>
      <c r="J1119" s="7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">
        <v>118.76</v>
      </c>
      <c r="H1120" s="1">
        <v>156</v>
      </c>
      <c r="I1120" s="6">
        <f>Tabela1[[#This Row],[Valor total]]-Tabela1[[#This Row],[Valor custo]]</f>
        <v>37.239999999999995</v>
      </c>
      <c r="J1120" s="7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">
        <v>1340.74</v>
      </c>
      <c r="H1121" s="1">
        <v>2010</v>
      </c>
      <c r="I1121" s="6">
        <f>Tabela1[[#This Row],[Valor total]]-Tabela1[[#This Row],[Valor custo]]</f>
        <v>669.26</v>
      </c>
      <c r="J1121" s="7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">
        <v>521</v>
      </c>
      <c r="H1122" s="1">
        <v>810</v>
      </c>
      <c r="I1122" s="6">
        <f>Tabela1[[#This Row],[Valor total]]-Tabela1[[#This Row],[Valor custo]]</f>
        <v>289</v>
      </c>
      <c r="J1122" s="7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">
        <v>476.87</v>
      </c>
      <c r="H1123" s="1">
        <v>670</v>
      </c>
      <c r="I1123" s="6">
        <f>Tabela1[[#This Row],[Valor total]]-Tabela1[[#This Row],[Valor custo]]</f>
        <v>193.13</v>
      </c>
      <c r="J1123" s="7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">
        <v>54.76</v>
      </c>
      <c r="H1124" s="1">
        <v>400</v>
      </c>
      <c r="I1124" s="6">
        <f>Tabela1[[#This Row],[Valor total]]-Tabela1[[#This Row],[Valor custo]]</f>
        <v>345.24</v>
      </c>
      <c r="J1124" s="7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">
        <v>3259</v>
      </c>
      <c r="H1125" s="1">
        <v>4505</v>
      </c>
      <c r="I1125" s="6">
        <f>Tabela1[[#This Row],[Valor total]]-Tabela1[[#This Row],[Valor custo]]</f>
        <v>1246</v>
      </c>
      <c r="J1125" s="7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">
        <v>2682</v>
      </c>
      <c r="H1126" s="1">
        <v>3810</v>
      </c>
      <c r="I1126" s="6">
        <f>Tabela1[[#This Row],[Valor total]]-Tabela1[[#This Row],[Valor custo]]</f>
        <v>1128</v>
      </c>
      <c r="J1126" s="7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">
        <v>1342</v>
      </c>
      <c r="H1127" s="1">
        <v>2040</v>
      </c>
      <c r="I1127" s="6">
        <f>Tabela1[[#This Row],[Valor total]]-Tabela1[[#This Row],[Valor custo]]</f>
        <v>698</v>
      </c>
      <c r="J1127" s="7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">
        <v>2175.61</v>
      </c>
      <c r="H1128" s="1">
        <v>3155</v>
      </c>
      <c r="I1128" s="6">
        <f>Tabela1[[#This Row],[Valor total]]-Tabela1[[#This Row],[Valor custo]]</f>
        <v>979.38999999999987</v>
      </c>
      <c r="J1128" s="7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">
        <v>15</v>
      </c>
      <c r="H1129" s="1">
        <v>24</v>
      </c>
      <c r="I1129" s="6">
        <f>Tabela1[[#This Row],[Valor total]]-Tabela1[[#This Row],[Valor custo]]</f>
        <v>9</v>
      </c>
      <c r="J1129" s="7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">
        <v>9.3800000000000008</v>
      </c>
      <c r="H1130" s="1">
        <v>15</v>
      </c>
      <c r="I1130" s="6">
        <f>Tabela1[[#This Row],[Valor total]]-Tabela1[[#This Row],[Valor custo]]</f>
        <v>5.6199999999999992</v>
      </c>
      <c r="J1130" s="7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">
        <v>54.76</v>
      </c>
      <c r="H1131" s="1">
        <v>400</v>
      </c>
      <c r="I1131" s="6">
        <f>Tabela1[[#This Row],[Valor total]]-Tabela1[[#This Row],[Valor custo]]</f>
        <v>345.24</v>
      </c>
      <c r="J1131" s="7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">
        <v>395</v>
      </c>
      <c r="H1132" s="1">
        <v>1250</v>
      </c>
      <c r="I1132" s="6">
        <f>Tabela1[[#This Row],[Valor total]]-Tabela1[[#This Row],[Valor custo]]</f>
        <v>855</v>
      </c>
      <c r="J1132" s="7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">
        <v>68.45</v>
      </c>
      <c r="H1133" s="1">
        <v>450</v>
      </c>
      <c r="I1133" s="6">
        <f>Tabela1[[#This Row],[Valor total]]-Tabela1[[#This Row],[Valor custo]]</f>
        <v>381.55</v>
      </c>
      <c r="J1133" s="7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">
        <v>45</v>
      </c>
      <c r="H1134" s="1">
        <v>350</v>
      </c>
      <c r="I1134" s="6">
        <f>Tabela1[[#This Row],[Valor total]]-Tabela1[[#This Row],[Valor custo]]</f>
        <v>305</v>
      </c>
      <c r="J1134" s="7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">
        <v>521</v>
      </c>
      <c r="H1135" s="1">
        <v>840</v>
      </c>
      <c r="I1135" s="6">
        <f>Tabela1[[#This Row],[Valor total]]-Tabela1[[#This Row],[Valor custo]]</f>
        <v>319</v>
      </c>
      <c r="J1135" s="7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">
        <v>13.69</v>
      </c>
      <c r="H1136" s="1">
        <v>110</v>
      </c>
      <c r="I1136" s="6">
        <f>Tabela1[[#This Row],[Valor total]]-Tabela1[[#This Row],[Valor custo]]</f>
        <v>96.31</v>
      </c>
      <c r="J1136" s="7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">
        <v>13.69</v>
      </c>
      <c r="H1137" s="1">
        <v>110</v>
      </c>
      <c r="I1137" s="6">
        <f>Tabela1[[#This Row],[Valor total]]-Tabela1[[#This Row],[Valor custo]]</f>
        <v>96.31</v>
      </c>
      <c r="J1137" s="7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">
        <v>41</v>
      </c>
      <c r="H1138" s="1">
        <v>55</v>
      </c>
      <c r="I1138" s="6">
        <f>Tabela1[[#This Row],[Valor total]]-Tabela1[[#This Row],[Valor custo]]</f>
        <v>14</v>
      </c>
      <c r="J1138" s="7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">
        <v>1340.74</v>
      </c>
      <c r="H1139" s="1">
        <v>1990</v>
      </c>
      <c r="I1139" s="6">
        <f>Tabela1[[#This Row],[Valor total]]-Tabela1[[#This Row],[Valor custo]]</f>
        <v>649.26</v>
      </c>
      <c r="J1139" s="7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">
        <v>289</v>
      </c>
      <c r="H1140" s="1">
        <v>600</v>
      </c>
      <c r="I1140" s="6">
        <f>Tabela1[[#This Row],[Valor total]]-Tabela1[[#This Row],[Valor custo]]</f>
        <v>311</v>
      </c>
      <c r="J1140" s="7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">
        <v>497</v>
      </c>
      <c r="H1141" s="1">
        <v>165</v>
      </c>
      <c r="I1141" s="6">
        <f>Tabela1[[#This Row],[Valor total]]-Tabela1[[#This Row],[Valor custo]]</f>
        <v>-332</v>
      </c>
      <c r="J1141" s="7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">
        <v>204</v>
      </c>
      <c r="H1142" s="1">
        <v>450</v>
      </c>
      <c r="I1142" s="6">
        <f>Tabela1[[#This Row],[Valor total]]-Tabela1[[#This Row],[Valor custo]]</f>
        <v>246</v>
      </c>
      <c r="J1142" s="7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">
        <v>0</v>
      </c>
      <c r="H1143" s="1">
        <v>350</v>
      </c>
      <c r="I1143" s="6">
        <f>Tabela1[[#This Row],[Valor total]]-Tabela1[[#This Row],[Valor custo]]</f>
        <v>350</v>
      </c>
      <c r="J1143" s="7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">
        <v>1367</v>
      </c>
      <c r="H1144" s="1">
        <v>2010</v>
      </c>
      <c r="I1144" s="6">
        <f>Tabela1[[#This Row],[Valor total]]-Tabela1[[#This Row],[Valor custo]]</f>
        <v>643</v>
      </c>
      <c r="J1144" s="7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">
        <v>0</v>
      </c>
      <c r="H1145" s="1">
        <v>800</v>
      </c>
      <c r="I1145" s="6">
        <f>Tabela1[[#This Row],[Valor total]]-Tabela1[[#This Row],[Valor custo]]</f>
        <v>800</v>
      </c>
      <c r="J1145" s="7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">
        <v>0</v>
      </c>
      <c r="H1146" s="1">
        <v>5200</v>
      </c>
      <c r="I1146" s="6">
        <f>Tabela1[[#This Row],[Valor total]]-Tabela1[[#This Row],[Valor custo]]</f>
        <v>5200</v>
      </c>
      <c r="J1146" s="7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">
        <v>0</v>
      </c>
      <c r="H1147" s="1">
        <v>2150</v>
      </c>
      <c r="I1147" s="6">
        <f>Tabela1[[#This Row],[Valor total]]-Tabela1[[#This Row],[Valor custo]]</f>
        <v>2150</v>
      </c>
      <c r="J1147" s="7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">
        <v>6317.66</v>
      </c>
      <c r="H1148" s="1">
        <v>9732</v>
      </c>
      <c r="I1148" s="6">
        <f>Tabela1[[#This Row],[Valor total]]-Tabela1[[#This Row],[Valor custo]]</f>
        <v>3414.34</v>
      </c>
      <c r="J1148" s="7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">
        <v>1543.87</v>
      </c>
      <c r="H1149" s="1">
        <v>2125</v>
      </c>
      <c r="I1149" s="6">
        <f>Tabela1[[#This Row],[Valor total]]-Tabela1[[#This Row],[Valor custo]]</f>
        <v>581.13000000000011</v>
      </c>
      <c r="J1149" s="7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">
        <v>0</v>
      </c>
      <c r="H1150" s="1">
        <v>700</v>
      </c>
      <c r="I1150" s="6">
        <f>Tabela1[[#This Row],[Valor total]]-Tabela1[[#This Row],[Valor custo]]</f>
        <v>700</v>
      </c>
      <c r="J1150" s="7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">
        <v>465.3</v>
      </c>
      <c r="H1151" s="1">
        <v>642</v>
      </c>
      <c r="I1151" s="6">
        <f>Tabela1[[#This Row],[Valor total]]-Tabela1[[#This Row],[Valor custo]]</f>
        <v>176.7</v>
      </c>
      <c r="J1151" s="7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">
        <v>0</v>
      </c>
      <c r="H1152" s="1">
        <v>900</v>
      </c>
      <c r="I1152" s="6">
        <f>Tabela1[[#This Row],[Valor total]]-Tabela1[[#This Row],[Valor custo]]</f>
        <v>900</v>
      </c>
      <c r="J1152" s="7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">
        <v>368.22</v>
      </c>
      <c r="H1153" s="1">
        <v>533</v>
      </c>
      <c r="I1153" s="6">
        <f>Tabela1[[#This Row],[Valor total]]-Tabela1[[#This Row],[Valor custo]]</f>
        <v>164.77999999999997</v>
      </c>
      <c r="J1153" s="7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">
        <v>1162.46</v>
      </c>
      <c r="H1154" s="1">
        <v>1900</v>
      </c>
      <c r="I1154" s="6">
        <f>Tabela1[[#This Row],[Valor total]]-Tabela1[[#This Row],[Valor custo]]</f>
        <v>737.54</v>
      </c>
      <c r="J1154" s="7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">
        <v>0</v>
      </c>
      <c r="H1155" s="1">
        <v>900</v>
      </c>
      <c r="I1155" s="6">
        <f>Tabela1[[#This Row],[Valor total]]-Tabela1[[#This Row],[Valor custo]]</f>
        <v>900</v>
      </c>
      <c r="J1155" s="7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">
        <v>521</v>
      </c>
      <c r="H1156" s="1">
        <v>870</v>
      </c>
      <c r="I1156" s="6">
        <f>Tabela1[[#This Row],[Valor total]]-Tabela1[[#This Row],[Valor custo]]</f>
        <v>349</v>
      </c>
      <c r="J1156" s="7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">
        <v>415.97</v>
      </c>
      <c r="H1157" s="1">
        <v>595</v>
      </c>
      <c r="I1157" s="6">
        <f>Tabela1[[#This Row],[Valor total]]-Tabela1[[#This Row],[Valor custo]]</f>
        <v>179.02999999999997</v>
      </c>
      <c r="J1157" s="7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">
        <v>0</v>
      </c>
      <c r="H1158" s="1">
        <v>450</v>
      </c>
      <c r="I1158" s="6">
        <f>Tabela1[[#This Row],[Valor total]]-Tabela1[[#This Row],[Valor custo]]</f>
        <v>450</v>
      </c>
      <c r="J1158" s="7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">
        <v>1781.49</v>
      </c>
      <c r="H1159" s="1">
        <v>2912.57</v>
      </c>
      <c r="I1159" s="6">
        <f>Tabela1[[#This Row],[Valor total]]-Tabela1[[#This Row],[Valor custo]]</f>
        <v>1131.0800000000002</v>
      </c>
      <c r="J1159" s="7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">
        <v>1908</v>
      </c>
      <c r="H1160" s="1">
        <v>3240</v>
      </c>
      <c r="I1160" s="6">
        <f>Tabela1[[#This Row],[Valor total]]-Tabela1[[#This Row],[Valor custo]]</f>
        <v>1332</v>
      </c>
      <c r="J1160" s="7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">
        <v>3033</v>
      </c>
      <c r="H1161" s="1">
        <v>4470</v>
      </c>
      <c r="I1161" s="6">
        <f>Tabela1[[#This Row],[Valor total]]-Tabela1[[#This Row],[Valor custo]]</f>
        <v>1437</v>
      </c>
      <c r="J1161" s="7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">
        <v>146.62</v>
      </c>
      <c r="H1162" s="1">
        <v>450</v>
      </c>
      <c r="I1162" s="6">
        <f>Tabela1[[#This Row],[Valor total]]-Tabela1[[#This Row],[Valor custo]]</f>
        <v>303.38</v>
      </c>
      <c r="J1162" s="7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">
        <v>1628</v>
      </c>
      <c r="H1163" s="1">
        <v>2565</v>
      </c>
      <c r="I1163" s="6">
        <f>Tabela1[[#This Row],[Valor total]]-Tabela1[[#This Row],[Valor custo]]</f>
        <v>937</v>
      </c>
      <c r="J1163" s="7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">
        <v>158</v>
      </c>
      <c r="H1164" s="1">
        <v>242.5</v>
      </c>
      <c r="I1164" s="6">
        <f>Tabela1[[#This Row],[Valor total]]-Tabela1[[#This Row],[Valor custo]]</f>
        <v>84.5</v>
      </c>
      <c r="J1164" s="7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">
        <v>4812</v>
      </c>
      <c r="H1165" s="1">
        <v>6850</v>
      </c>
      <c r="I1165" s="6">
        <f>Tabela1[[#This Row],[Valor total]]-Tabela1[[#This Row],[Valor custo]]</f>
        <v>2038</v>
      </c>
      <c r="J1165" s="7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">
        <v>124</v>
      </c>
      <c r="H1166" s="1">
        <v>165</v>
      </c>
      <c r="I1166" s="6">
        <f>Tabela1[[#This Row],[Valor total]]-Tabela1[[#This Row],[Valor custo]]</f>
        <v>41</v>
      </c>
      <c r="J1166" s="7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">
        <v>1419</v>
      </c>
      <c r="H1167" s="1">
        <v>2160</v>
      </c>
      <c r="I1167" s="6">
        <f>Tabela1[[#This Row],[Valor total]]-Tabela1[[#This Row],[Valor custo]]</f>
        <v>741</v>
      </c>
      <c r="J1167" s="7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">
        <v>2099.35</v>
      </c>
      <c r="H1168" s="1">
        <v>2985</v>
      </c>
      <c r="I1168" s="6">
        <f>Tabela1[[#This Row],[Valor total]]-Tabela1[[#This Row],[Valor custo]]</f>
        <v>885.65000000000009</v>
      </c>
      <c r="J1168" s="7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">
        <v>6305.88</v>
      </c>
      <c r="H1169" s="1">
        <v>9029</v>
      </c>
      <c r="I1169" s="6">
        <f>Tabela1[[#This Row],[Valor total]]-Tabela1[[#This Row],[Valor custo]]</f>
        <v>2723.12</v>
      </c>
      <c r="J1169" s="7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">
        <v>31.6</v>
      </c>
      <c r="H1170" s="1">
        <v>140</v>
      </c>
      <c r="I1170" s="6">
        <f>Tabela1[[#This Row],[Valor total]]-Tabela1[[#This Row],[Valor custo]]</f>
        <v>108.4</v>
      </c>
      <c r="J1170" s="7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">
        <v>13.69</v>
      </c>
      <c r="H1171" s="1">
        <v>100</v>
      </c>
      <c r="I1171" s="6">
        <f>Tabela1[[#This Row],[Valor total]]-Tabela1[[#This Row],[Valor custo]]</f>
        <v>86.31</v>
      </c>
      <c r="J1171" s="7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">
        <v>2003.87</v>
      </c>
      <c r="H1172" s="1">
        <v>2760</v>
      </c>
      <c r="I1172" s="6">
        <f>Tabela1[[#This Row],[Valor total]]-Tabela1[[#This Row],[Valor custo]]</f>
        <v>756.13000000000011</v>
      </c>
      <c r="J1172" s="7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">
        <v>658.21</v>
      </c>
      <c r="H1173" s="1">
        <v>900</v>
      </c>
      <c r="I1173" s="6">
        <f>Tabela1[[#This Row],[Valor total]]-Tabela1[[#This Row],[Valor custo]]</f>
        <v>241.78999999999996</v>
      </c>
      <c r="J1173" s="7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">
        <v>861.45</v>
      </c>
      <c r="H1174" s="1">
        <v>791</v>
      </c>
      <c r="I1174" s="6">
        <f>Tabela1[[#This Row],[Valor total]]-Tabela1[[#This Row],[Valor custo]]</f>
        <v>-70.450000000000045</v>
      </c>
      <c r="J1174" s="7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">
        <v>83.07</v>
      </c>
      <c r="H1175" s="1">
        <v>371</v>
      </c>
      <c r="I1175" s="6">
        <f>Tabela1[[#This Row],[Valor total]]-Tabela1[[#This Row],[Valor custo]]</f>
        <v>287.93</v>
      </c>
      <c r="J1175" s="7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">
        <v>494.28</v>
      </c>
      <c r="H1176" s="1">
        <v>640</v>
      </c>
      <c r="I1176" s="6">
        <f>Tabela1[[#This Row],[Valor total]]-Tabela1[[#This Row],[Valor custo]]</f>
        <v>145.72000000000003</v>
      </c>
      <c r="J1176" s="7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">
        <v>3075</v>
      </c>
      <c r="H1177" s="1">
        <v>3900</v>
      </c>
      <c r="I1177" s="6">
        <f>Tabela1[[#This Row],[Valor total]]-Tabela1[[#This Row],[Valor custo]]</f>
        <v>825</v>
      </c>
      <c r="J1177" s="7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">
        <v>41</v>
      </c>
      <c r="H1178" s="1">
        <v>55</v>
      </c>
      <c r="I1178" s="6">
        <f>Tabela1[[#This Row],[Valor total]]-Tabela1[[#This Row],[Valor custo]]</f>
        <v>14</v>
      </c>
      <c r="J1178" s="7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">
        <v>494.28</v>
      </c>
      <c r="H1179" s="1">
        <v>640</v>
      </c>
      <c r="I1179" s="6">
        <f>Tabela1[[#This Row],[Valor total]]-Tabela1[[#This Row],[Valor custo]]</f>
        <v>145.72000000000003</v>
      </c>
      <c r="J1179" s="7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">
        <v>521</v>
      </c>
      <c r="H1180" s="1">
        <v>700</v>
      </c>
      <c r="I1180" s="6">
        <f>Tabela1[[#This Row],[Valor total]]-Tabela1[[#This Row],[Valor custo]]</f>
        <v>179</v>
      </c>
      <c r="J1180" s="7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">
        <v>894</v>
      </c>
      <c r="H1181" s="1">
        <v>1300</v>
      </c>
      <c r="I1181" s="6">
        <f>Tabela1[[#This Row],[Valor total]]-Tabela1[[#This Row],[Valor custo]]</f>
        <v>406</v>
      </c>
      <c r="J1181" s="7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">
        <v>473</v>
      </c>
      <c r="H1182" s="1">
        <v>650</v>
      </c>
      <c r="I1182" s="6">
        <f>Tabela1[[#This Row],[Valor total]]-Tabela1[[#This Row],[Valor custo]]</f>
        <v>177</v>
      </c>
      <c r="J1182" s="7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">
        <v>8197.4</v>
      </c>
      <c r="H1183" s="1">
        <v>11700</v>
      </c>
      <c r="I1183" s="6">
        <f>Tabela1[[#This Row],[Valor total]]-Tabela1[[#This Row],[Valor custo]]</f>
        <v>3502.6000000000004</v>
      </c>
      <c r="J1183" s="7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">
        <v>266.22000000000003</v>
      </c>
      <c r="H1184" s="1">
        <v>585</v>
      </c>
      <c r="I1184" s="6">
        <f>Tabela1[[#This Row],[Valor total]]-Tabela1[[#This Row],[Valor custo]]</f>
        <v>318.77999999999997</v>
      </c>
      <c r="J1184" s="7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">
        <v>75</v>
      </c>
      <c r="H1185" s="1">
        <v>105</v>
      </c>
      <c r="I1185" s="6">
        <f>Tabela1[[#This Row],[Valor total]]-Tabela1[[#This Row],[Valor custo]]</f>
        <v>30</v>
      </c>
      <c r="J1185" s="7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">
        <v>3056</v>
      </c>
      <c r="H1186" s="1">
        <v>4700</v>
      </c>
      <c r="I1186" s="6">
        <f>Tabela1[[#This Row],[Valor total]]-Tabela1[[#This Row],[Valor custo]]</f>
        <v>1644</v>
      </c>
      <c r="J1186" s="7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">
        <v>705.13</v>
      </c>
      <c r="H1187" s="1">
        <v>1215</v>
      </c>
      <c r="I1187" s="6">
        <f>Tabela1[[#This Row],[Valor total]]-Tabela1[[#This Row],[Valor custo]]</f>
        <v>509.87</v>
      </c>
      <c r="J1187" s="7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">
        <v>369.7</v>
      </c>
      <c r="H1188" s="1">
        <v>508</v>
      </c>
      <c r="I1188" s="6">
        <f>Tabela1[[#This Row],[Valor total]]-Tabela1[[#This Row],[Valor custo]]</f>
        <v>138.30000000000001</v>
      </c>
      <c r="J1188" s="7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">
        <v>820</v>
      </c>
      <c r="H1189" s="1">
        <v>1175</v>
      </c>
      <c r="I1189" s="6">
        <f>Tabela1[[#This Row],[Valor total]]-Tabela1[[#This Row],[Valor custo]]</f>
        <v>355</v>
      </c>
      <c r="J1189" s="7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">
        <v>2148.21</v>
      </c>
      <c r="H1190" s="1">
        <v>3315</v>
      </c>
      <c r="I1190" s="6">
        <f>Tabela1[[#This Row],[Valor total]]-Tabela1[[#This Row],[Valor custo]]</f>
        <v>1166.79</v>
      </c>
      <c r="J1190" s="7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">
        <v>4221.42</v>
      </c>
      <c r="H1191" s="1">
        <v>6730</v>
      </c>
      <c r="I1191" s="6">
        <f>Tabela1[[#This Row],[Valor total]]-Tabela1[[#This Row],[Valor custo]]</f>
        <v>2508.58</v>
      </c>
      <c r="J1191" s="7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">
        <v>764.6</v>
      </c>
      <c r="H1192" s="1">
        <v>1230</v>
      </c>
      <c r="I1192" s="6">
        <f>Tabela1[[#This Row],[Valor total]]-Tabela1[[#This Row],[Valor custo]]</f>
        <v>465.4</v>
      </c>
      <c r="J1192" s="7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">
        <v>10594.2</v>
      </c>
      <c r="H1193" s="1">
        <v>16651.37</v>
      </c>
      <c r="I1193" s="6">
        <f>Tabela1[[#This Row],[Valor total]]-Tabela1[[#This Row],[Valor custo]]</f>
        <v>6057.1699999999983</v>
      </c>
      <c r="J1193" s="7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">
        <v>8820.9599999999991</v>
      </c>
      <c r="H1194" s="1">
        <v>13000</v>
      </c>
      <c r="I1194" s="6">
        <f>Tabela1[[#This Row],[Valor total]]-Tabela1[[#This Row],[Valor custo]]</f>
        <v>4179.0400000000009</v>
      </c>
      <c r="J1194" s="7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">
        <v>4894.88</v>
      </c>
      <c r="H1195" s="1">
        <v>8000</v>
      </c>
      <c r="I1195" s="6">
        <f>Tabela1[[#This Row],[Valor total]]-Tabela1[[#This Row],[Valor custo]]</f>
        <v>3105.12</v>
      </c>
      <c r="J1195" s="7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">
        <v>447</v>
      </c>
      <c r="H1196" s="1">
        <v>650</v>
      </c>
      <c r="I1196" s="6">
        <f>Tabela1[[#This Row],[Valor total]]-Tabela1[[#This Row],[Valor custo]]</f>
        <v>203</v>
      </c>
      <c r="J1196" s="7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">
        <v>1467</v>
      </c>
      <c r="H1197" s="1">
        <v>2290</v>
      </c>
      <c r="I1197" s="6">
        <f>Tabela1[[#This Row],[Valor total]]-Tabela1[[#This Row],[Valor custo]]</f>
        <v>823</v>
      </c>
      <c r="J1197" s="7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">
        <v>423.56</v>
      </c>
      <c r="H1198" s="1">
        <v>700</v>
      </c>
      <c r="I1198" s="6">
        <f>Tabela1[[#This Row],[Valor total]]-Tabela1[[#This Row],[Valor custo]]</f>
        <v>276.44</v>
      </c>
      <c r="J1198" s="7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">
        <v>486.1</v>
      </c>
      <c r="H1199" s="1">
        <v>773</v>
      </c>
      <c r="I1199" s="6">
        <f>Tabela1[[#This Row],[Valor total]]-Tabela1[[#This Row],[Valor custo]]</f>
        <v>286.89999999999998</v>
      </c>
      <c r="J1199" s="7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">
        <v>5.88</v>
      </c>
      <c r="H1200" s="1">
        <v>8</v>
      </c>
      <c r="I1200" s="6">
        <f>Tabela1[[#This Row],[Valor total]]-Tabela1[[#This Row],[Valor custo]]</f>
        <v>2.12</v>
      </c>
      <c r="J1200" s="7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">
        <v>906.2</v>
      </c>
      <c r="H1201" s="1">
        <v>1246</v>
      </c>
      <c r="I1201" s="6">
        <f>Tabela1[[#This Row],[Valor total]]-Tabela1[[#This Row],[Valor custo]]</f>
        <v>339.79999999999995</v>
      </c>
      <c r="J1201" s="7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">
        <v>7215</v>
      </c>
      <c r="H1202" s="1">
        <v>9991</v>
      </c>
      <c r="I1202" s="6">
        <f>Tabela1[[#This Row],[Valor total]]-Tabela1[[#This Row],[Valor custo]]</f>
        <v>2776</v>
      </c>
      <c r="J1202" s="7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">
        <v>16380.3</v>
      </c>
      <c r="H1203" s="1">
        <v>22790</v>
      </c>
      <c r="I1203" s="6">
        <f>Tabela1[[#This Row],[Valor total]]-Tabela1[[#This Row],[Valor custo]]</f>
        <v>6409.7000000000007</v>
      </c>
      <c r="J1203" s="7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">
        <v>33.56</v>
      </c>
      <c r="H1204" s="1">
        <v>85</v>
      </c>
      <c r="I1204" s="6">
        <f>Tabela1[[#This Row],[Valor total]]-Tabela1[[#This Row],[Valor custo]]</f>
        <v>51.44</v>
      </c>
      <c r="J1204" s="7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">
        <v>473</v>
      </c>
      <c r="H1205" s="1">
        <v>650</v>
      </c>
      <c r="I1205" s="6">
        <f>Tabela1[[#This Row],[Valor total]]-Tabela1[[#This Row],[Valor custo]]</f>
        <v>177</v>
      </c>
      <c r="J1205" s="7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">
        <v>942.2</v>
      </c>
      <c r="H1206" s="1">
        <v>1381</v>
      </c>
      <c r="I1206" s="6">
        <f>Tabela1[[#This Row],[Valor total]]-Tabela1[[#This Row],[Valor custo]]</f>
        <v>438.79999999999995</v>
      </c>
      <c r="J1206" s="7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">
        <v>894</v>
      </c>
      <c r="H1207" s="1">
        <v>1230</v>
      </c>
      <c r="I1207" s="6">
        <f>Tabela1[[#This Row],[Valor total]]-Tabela1[[#This Row],[Valor custo]]</f>
        <v>336</v>
      </c>
      <c r="J1207" s="7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">
        <v>42</v>
      </c>
      <c r="H1208" s="1">
        <v>55</v>
      </c>
      <c r="I1208" s="6">
        <f>Tabela1[[#This Row],[Valor total]]-Tabela1[[#This Row],[Valor custo]]</f>
        <v>13</v>
      </c>
      <c r="J1208" s="7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">
        <v>57.13</v>
      </c>
      <c r="H1209" s="1">
        <v>150</v>
      </c>
      <c r="I1209" s="6">
        <f>Tabela1[[#This Row],[Valor total]]-Tabela1[[#This Row],[Valor custo]]</f>
        <v>92.87</v>
      </c>
      <c r="J1209" s="7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">
        <v>1030.33</v>
      </c>
      <c r="H1210" s="1">
        <v>1521</v>
      </c>
      <c r="I1210" s="6">
        <f>Tabela1[[#This Row],[Valor total]]-Tabela1[[#This Row],[Valor custo]]</f>
        <v>490.67000000000007</v>
      </c>
      <c r="J1210" s="7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">
        <v>0</v>
      </c>
      <c r="H1211" s="1">
        <v>365</v>
      </c>
      <c r="I1211" s="6">
        <f>Tabela1[[#This Row],[Valor total]]-Tabela1[[#This Row],[Valor custo]]</f>
        <v>365</v>
      </c>
      <c r="J1211" s="7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">
        <v>0</v>
      </c>
      <c r="H1212" s="1">
        <v>270</v>
      </c>
      <c r="I1212" s="6">
        <f>Tabela1[[#This Row],[Valor total]]-Tabela1[[#This Row],[Valor custo]]</f>
        <v>270</v>
      </c>
      <c r="J1212" s="7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">
        <v>0</v>
      </c>
      <c r="H1213" s="1">
        <v>550</v>
      </c>
      <c r="I1213" s="6">
        <f>Tabela1[[#This Row],[Valor total]]-Tabela1[[#This Row],[Valor custo]]</f>
        <v>550</v>
      </c>
      <c r="J1213" s="7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">
        <v>815.09</v>
      </c>
      <c r="H1214" s="1">
        <v>1150</v>
      </c>
      <c r="I1214" s="6">
        <f>Tabela1[[#This Row],[Valor total]]-Tabela1[[#This Row],[Valor custo]]</f>
        <v>334.90999999999997</v>
      </c>
      <c r="J1214" s="7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">
        <v>628.1</v>
      </c>
      <c r="H1215" s="1">
        <v>1019</v>
      </c>
      <c r="I1215" s="6">
        <f>Tabela1[[#This Row],[Valor total]]-Tabela1[[#This Row],[Valor custo]]</f>
        <v>390.9</v>
      </c>
      <c r="J1215" s="7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">
        <v>95</v>
      </c>
      <c r="H1216" s="1">
        <v>540</v>
      </c>
      <c r="I1216" s="6">
        <f>Tabela1[[#This Row],[Valor total]]-Tabela1[[#This Row],[Valor custo]]</f>
        <v>445</v>
      </c>
      <c r="J1216" s="7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">
        <v>360.5</v>
      </c>
      <c r="H1217" s="1">
        <v>1000</v>
      </c>
      <c r="I1217" s="6">
        <f>Tabela1[[#This Row],[Valor total]]-Tabela1[[#This Row],[Valor custo]]</f>
        <v>639.5</v>
      </c>
      <c r="J1217" s="7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">
        <v>382.3</v>
      </c>
      <c r="H1218" s="1">
        <v>620</v>
      </c>
      <c r="I1218" s="6">
        <f>Tabela1[[#This Row],[Valor total]]-Tabela1[[#This Row],[Valor custo]]</f>
        <v>237.7</v>
      </c>
      <c r="J1218" s="7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">
        <v>9536</v>
      </c>
      <c r="H1219" s="1">
        <v>13800</v>
      </c>
      <c r="I1219" s="6">
        <f>Tabela1[[#This Row],[Valor total]]-Tabela1[[#This Row],[Valor custo]]</f>
        <v>4264</v>
      </c>
      <c r="J1219" s="7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">
        <v>7099.47</v>
      </c>
      <c r="H1220" s="1">
        <v>11290</v>
      </c>
      <c r="I1220" s="6">
        <f>Tabela1[[#This Row],[Valor total]]-Tabela1[[#This Row],[Valor custo]]</f>
        <v>4190.53</v>
      </c>
      <c r="J1220" s="7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">
        <v>6.1</v>
      </c>
      <c r="H1221" s="1">
        <v>8</v>
      </c>
      <c r="I1221" s="6">
        <f>Tabela1[[#This Row],[Valor total]]-Tabela1[[#This Row],[Valor custo]]</f>
        <v>1.9000000000000004</v>
      </c>
      <c r="J1221" s="7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">
        <v>1025</v>
      </c>
      <c r="H1222" s="1">
        <v>1350</v>
      </c>
      <c r="I1222" s="6">
        <f>Tabela1[[#This Row],[Valor total]]-Tabela1[[#This Row],[Valor custo]]</f>
        <v>325</v>
      </c>
      <c r="J1222" s="7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">
        <v>1778.39</v>
      </c>
      <c r="H1223" s="1">
        <v>2800</v>
      </c>
      <c r="I1223" s="6">
        <f>Tabela1[[#This Row],[Valor total]]-Tabela1[[#This Row],[Valor custo]]</f>
        <v>1021.6099999999999</v>
      </c>
      <c r="J1223" s="7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">
        <v>8661.18</v>
      </c>
      <c r="H1224" s="1">
        <v>13500</v>
      </c>
      <c r="I1224" s="6">
        <f>Tabela1[[#This Row],[Valor total]]-Tabela1[[#This Row],[Valor custo]]</f>
        <v>4838.82</v>
      </c>
      <c r="J1224" s="7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">
        <v>409.87</v>
      </c>
      <c r="H1225" s="1">
        <v>585</v>
      </c>
      <c r="I1225" s="6">
        <f>Tabela1[[#This Row],[Valor total]]-Tabela1[[#This Row],[Valor custo]]</f>
        <v>175.13</v>
      </c>
      <c r="J1225" s="7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">
        <v>5404</v>
      </c>
      <c r="H1226" s="1">
        <v>7750</v>
      </c>
      <c r="I1226" s="6">
        <f>Tabela1[[#This Row],[Valor total]]-Tabela1[[#This Row],[Valor custo]]</f>
        <v>2346</v>
      </c>
      <c r="J1226" s="7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">
        <v>5028.99</v>
      </c>
      <c r="H1227" s="1">
        <v>7500</v>
      </c>
      <c r="I1227" s="6">
        <f>Tabela1[[#This Row],[Valor total]]-Tabela1[[#This Row],[Valor custo]]</f>
        <v>2471.0100000000002</v>
      </c>
      <c r="J1227" s="7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">
        <v>1118.56</v>
      </c>
      <c r="H1228" s="1">
        <v>2640</v>
      </c>
      <c r="I1228" s="6">
        <f>Tabela1[[#This Row],[Valor total]]-Tabela1[[#This Row],[Valor custo]]</f>
        <v>1521.44</v>
      </c>
      <c r="J1228" s="7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">
        <v>8750.9</v>
      </c>
      <c r="H1229" s="1">
        <v>12731.7</v>
      </c>
      <c r="I1229" s="6">
        <f>Tabela1[[#This Row],[Valor total]]-Tabela1[[#This Row],[Valor custo]]</f>
        <v>3980.8000000000011</v>
      </c>
      <c r="J1229" s="7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">
        <v>1814</v>
      </c>
      <c r="H1230" s="1">
        <v>2855</v>
      </c>
      <c r="I1230" s="6">
        <f>Tabela1[[#This Row],[Valor total]]-Tabela1[[#This Row],[Valor custo]]</f>
        <v>1041</v>
      </c>
      <c r="J1230" s="7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">
        <v>764.6</v>
      </c>
      <c r="H1231" s="1">
        <v>1143.9000000000001</v>
      </c>
      <c r="I1231" s="6">
        <f>Tabela1[[#This Row],[Valor total]]-Tabela1[[#This Row],[Valor custo]]</f>
        <v>379.30000000000007</v>
      </c>
      <c r="J1231" s="7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">
        <v>11408.8</v>
      </c>
      <c r="H1232" s="1">
        <v>15700</v>
      </c>
      <c r="I1232" s="6">
        <f>Tabela1[[#This Row],[Valor total]]-Tabela1[[#This Row],[Valor custo]]</f>
        <v>4291.2000000000007</v>
      </c>
      <c r="J1232" s="7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">
        <v>910</v>
      </c>
      <c r="H1233" s="1">
        <v>1395</v>
      </c>
      <c r="I1233" s="6">
        <f>Tabela1[[#This Row],[Valor total]]-Tabela1[[#This Row],[Valor custo]]</f>
        <v>485</v>
      </c>
      <c r="J1233" s="7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">
        <v>600.20000000000005</v>
      </c>
      <c r="H1234" s="1">
        <v>1105</v>
      </c>
      <c r="I1234" s="6">
        <f>Tabela1[[#This Row],[Valor total]]-Tabela1[[#This Row],[Valor custo]]</f>
        <v>504.79999999999995</v>
      </c>
      <c r="J1234" s="7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">
        <v>409.87</v>
      </c>
      <c r="H1235" s="1">
        <v>585</v>
      </c>
      <c r="I1235" s="6">
        <f>Tabela1[[#This Row],[Valor total]]-Tabela1[[#This Row],[Valor custo]]</f>
        <v>175.13</v>
      </c>
      <c r="J1235" s="7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">
        <v>1133.74</v>
      </c>
      <c r="H1236" s="1">
        <v>1875</v>
      </c>
      <c r="I1236" s="6">
        <f>Tabela1[[#This Row],[Valor total]]-Tabela1[[#This Row],[Valor custo]]</f>
        <v>741.26</v>
      </c>
      <c r="J1236" s="7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">
        <v>1437.3</v>
      </c>
      <c r="H1237" s="1">
        <v>2127</v>
      </c>
      <c r="I1237" s="6">
        <f>Tabela1[[#This Row],[Valor total]]-Tabela1[[#This Row],[Valor custo]]</f>
        <v>689.7</v>
      </c>
      <c r="J1237" s="7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">
        <v>6565.1</v>
      </c>
      <c r="H1238" s="1">
        <v>10390</v>
      </c>
      <c r="I1238" s="6">
        <f>Tabela1[[#This Row],[Valor total]]-Tabela1[[#This Row],[Valor custo]]</f>
        <v>3824.8999999999996</v>
      </c>
      <c r="J1238" s="7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">
        <v>1017.8</v>
      </c>
      <c r="H1239" s="1">
        <v>1990</v>
      </c>
      <c r="I1239" s="6">
        <f>Tabela1[[#This Row],[Valor total]]-Tabela1[[#This Row],[Valor custo]]</f>
        <v>972.2</v>
      </c>
      <c r="J1239" s="7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">
        <v>1341</v>
      </c>
      <c r="H1240" s="1">
        <v>1845</v>
      </c>
      <c r="I1240" s="6">
        <f>Tabela1[[#This Row],[Valor total]]-Tabela1[[#This Row],[Valor custo]]</f>
        <v>504</v>
      </c>
      <c r="J1240" s="7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">
        <v>3608.18</v>
      </c>
      <c r="H1241" s="1">
        <v>5748</v>
      </c>
      <c r="I1241" s="6">
        <f>Tabela1[[#This Row],[Valor total]]-Tabela1[[#This Row],[Valor custo]]</f>
        <v>2139.8200000000002</v>
      </c>
      <c r="J1241" s="7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">
        <v>12.19</v>
      </c>
      <c r="H1242" s="1">
        <v>16.5</v>
      </c>
      <c r="I1242" s="6">
        <f>Tabela1[[#This Row],[Valor total]]-Tabela1[[#This Row],[Valor custo]]</f>
        <v>4.3100000000000005</v>
      </c>
      <c r="J1242" s="7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">
        <v>7.9</v>
      </c>
      <c r="H1243" s="1">
        <v>40</v>
      </c>
      <c r="I1243" s="6">
        <f>Tabela1[[#This Row],[Valor total]]-Tabela1[[#This Row],[Valor custo]]</f>
        <v>32.1</v>
      </c>
      <c r="J1243" s="7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">
        <v>3718.18</v>
      </c>
      <c r="H1244" s="1">
        <v>5658</v>
      </c>
      <c r="I1244" s="6">
        <f>Tabela1[[#This Row],[Valor total]]-Tabela1[[#This Row],[Valor custo]]</f>
        <v>1939.8200000000002</v>
      </c>
      <c r="J1244" s="7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">
        <v>66</v>
      </c>
      <c r="H1245" s="1">
        <v>300</v>
      </c>
      <c r="I1245" s="6">
        <f>Tabela1[[#This Row],[Valor total]]-Tabela1[[#This Row],[Valor custo]]</f>
        <v>234</v>
      </c>
      <c r="J1245" s="7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">
        <v>268.45999999999998</v>
      </c>
      <c r="H1246" s="1">
        <v>550</v>
      </c>
      <c r="I1246" s="6">
        <f>Tabela1[[#This Row],[Valor total]]-Tabela1[[#This Row],[Valor custo]]</f>
        <v>281.54000000000002</v>
      </c>
      <c r="J1246" s="7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">
        <v>888</v>
      </c>
      <c r="H1247" s="1">
        <v>1310</v>
      </c>
      <c r="I1247" s="6">
        <f>Tabela1[[#This Row],[Valor total]]-Tabela1[[#This Row],[Valor custo]]</f>
        <v>422</v>
      </c>
      <c r="J1247" s="7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">
        <v>110</v>
      </c>
      <c r="H1248" s="1">
        <v>360</v>
      </c>
      <c r="I1248" s="6">
        <f>Tabela1[[#This Row],[Valor total]]-Tabela1[[#This Row],[Valor custo]]</f>
        <v>250</v>
      </c>
      <c r="J1248" s="7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">
        <v>3286</v>
      </c>
      <c r="H1249" s="1">
        <v>4460</v>
      </c>
      <c r="I1249" s="6">
        <f>Tabela1[[#This Row],[Valor total]]-Tabela1[[#This Row],[Valor custo]]</f>
        <v>1174</v>
      </c>
      <c r="J1249" s="7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">
        <v>268.45999999999998</v>
      </c>
      <c r="H1250" s="1">
        <v>550</v>
      </c>
      <c r="I1250" s="6">
        <f>Tabela1[[#This Row],[Valor total]]-Tabela1[[#This Row],[Valor custo]]</f>
        <v>281.54000000000002</v>
      </c>
      <c r="J1250" s="7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">
        <v>9156.4</v>
      </c>
      <c r="H1251" s="1">
        <v>16645</v>
      </c>
      <c r="I1251" s="6">
        <f>Tabela1[[#This Row],[Valor total]]-Tabela1[[#This Row],[Valor custo]]</f>
        <v>7488.6</v>
      </c>
      <c r="J1251" s="7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">
        <v>1006.6</v>
      </c>
      <c r="H1252" s="1">
        <v>1553</v>
      </c>
      <c r="I1252" s="6">
        <f>Tabela1[[#This Row],[Valor total]]-Tabela1[[#This Row],[Valor custo]]</f>
        <v>546.4</v>
      </c>
      <c r="J1252" s="7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">
        <v>521</v>
      </c>
      <c r="H1253" s="1">
        <v>810</v>
      </c>
      <c r="I1253" s="6">
        <f>Tabela1[[#This Row],[Valor total]]-Tabela1[[#This Row],[Valor custo]]</f>
        <v>289</v>
      </c>
      <c r="J1253" s="7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">
        <v>5664.99</v>
      </c>
      <c r="H1254" s="1">
        <v>10920</v>
      </c>
      <c r="I1254" s="6">
        <f>Tabela1[[#This Row],[Valor total]]-Tabela1[[#This Row],[Valor custo]]</f>
        <v>5255.01</v>
      </c>
      <c r="J1254" s="7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">
        <v>609.63</v>
      </c>
      <c r="H1255" s="1">
        <v>1000</v>
      </c>
      <c r="I1255" s="6">
        <f>Tabela1[[#This Row],[Valor total]]-Tabela1[[#This Row],[Valor custo]]</f>
        <v>390.37</v>
      </c>
      <c r="J1255" s="7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">
        <v>90</v>
      </c>
      <c r="H1256" s="1">
        <v>180</v>
      </c>
      <c r="I1256" s="6">
        <f>Tabela1[[#This Row],[Valor total]]-Tabela1[[#This Row],[Valor custo]]</f>
        <v>90</v>
      </c>
      <c r="J1256" s="7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">
        <v>958.2</v>
      </c>
      <c r="H1257" s="1">
        <v>1420</v>
      </c>
      <c r="I1257" s="6">
        <f>Tabela1[[#This Row],[Valor total]]-Tabela1[[#This Row],[Valor custo]]</f>
        <v>461.79999999999995</v>
      </c>
      <c r="J1257" s="7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">
        <v>268.45999999999998</v>
      </c>
      <c r="H1258" s="1">
        <v>650</v>
      </c>
      <c r="I1258" s="6">
        <f>Tabela1[[#This Row],[Valor total]]-Tabela1[[#This Row],[Valor custo]]</f>
        <v>381.54</v>
      </c>
      <c r="J1258" s="7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">
        <v>9687.74</v>
      </c>
      <c r="H1259" s="1">
        <v>15700</v>
      </c>
      <c r="I1259" s="6">
        <f>Tabela1[[#This Row],[Valor total]]-Tabela1[[#This Row],[Valor custo]]</f>
        <v>6012.26</v>
      </c>
      <c r="J1259" s="7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">
        <v>1157</v>
      </c>
      <c r="H1260" s="1">
        <v>1815</v>
      </c>
      <c r="I1260" s="6">
        <f>Tabela1[[#This Row],[Valor total]]-Tabela1[[#This Row],[Valor custo]]</f>
        <v>658</v>
      </c>
      <c r="J1260" s="7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">
        <v>31.32</v>
      </c>
      <c r="H1261" s="1">
        <v>120</v>
      </c>
      <c r="I1261" s="6">
        <f>Tabela1[[#This Row],[Valor total]]-Tabela1[[#This Row],[Valor custo]]</f>
        <v>88.68</v>
      </c>
      <c r="J1261" s="7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">
        <v>497</v>
      </c>
      <c r="H1262" s="1">
        <v>750</v>
      </c>
      <c r="I1262" s="6">
        <f>Tabela1[[#This Row],[Valor total]]-Tabela1[[#This Row],[Valor custo]]</f>
        <v>253</v>
      </c>
      <c r="J1262" s="7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">
        <v>535.33000000000004</v>
      </c>
      <c r="H1263" s="1">
        <v>800</v>
      </c>
      <c r="I1263" s="6">
        <f>Tabela1[[#This Row],[Valor total]]-Tabela1[[#This Row],[Valor custo]]</f>
        <v>264.66999999999996</v>
      </c>
      <c r="J1263" s="7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">
        <v>49.21</v>
      </c>
      <c r="H1264" s="1">
        <v>80</v>
      </c>
      <c r="I1264" s="6">
        <f>Tabela1[[#This Row],[Valor total]]-Tabela1[[#This Row],[Valor custo]]</f>
        <v>30.79</v>
      </c>
      <c r="J1264" s="7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">
        <v>382.3</v>
      </c>
      <c r="H1265" s="1">
        <v>500</v>
      </c>
      <c r="I1265" s="6">
        <f>Tabela1[[#This Row],[Valor total]]-Tabela1[[#This Row],[Valor custo]]</f>
        <v>117.69999999999999</v>
      </c>
      <c r="J1265" s="7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">
        <v>67.12</v>
      </c>
      <c r="H1266" s="1">
        <v>170</v>
      </c>
      <c r="I1266" s="6">
        <f>Tabela1[[#This Row],[Valor total]]-Tabela1[[#This Row],[Valor custo]]</f>
        <v>102.88</v>
      </c>
      <c r="J1266" s="7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">
        <v>268.45999999999998</v>
      </c>
      <c r="H1267" s="1">
        <v>550</v>
      </c>
      <c r="I1267" s="6">
        <f>Tabela1[[#This Row],[Valor total]]-Tabela1[[#This Row],[Valor custo]]</f>
        <v>281.54000000000002</v>
      </c>
      <c r="J1267" s="7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">
        <v>7175</v>
      </c>
      <c r="H1268" s="1">
        <v>11750</v>
      </c>
      <c r="I1268" s="6">
        <f>Tabela1[[#This Row],[Valor total]]-Tabela1[[#This Row],[Valor custo]]</f>
        <v>4575</v>
      </c>
      <c r="J1268" s="7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">
        <v>470.52</v>
      </c>
      <c r="H1269" s="1">
        <v>765</v>
      </c>
      <c r="I1269" s="6">
        <f>Tabela1[[#This Row],[Valor total]]-Tabela1[[#This Row],[Valor custo]]</f>
        <v>294.48</v>
      </c>
      <c r="J1269" s="7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">
        <v>4730</v>
      </c>
      <c r="H1270" s="1">
        <v>6100</v>
      </c>
      <c r="I1270" s="6">
        <f>Tabela1[[#This Row],[Valor total]]-Tabela1[[#This Row],[Valor custo]]</f>
        <v>1370</v>
      </c>
      <c r="J1270" s="7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">
        <v>57.13</v>
      </c>
      <c r="H1271" s="1">
        <v>200</v>
      </c>
      <c r="I1271" s="6">
        <f>Tabela1[[#This Row],[Valor total]]-Tabela1[[#This Row],[Valor custo]]</f>
        <v>142.87</v>
      </c>
      <c r="J1271" s="7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">
        <v>12.2</v>
      </c>
      <c r="H1272" s="1">
        <v>16</v>
      </c>
      <c r="I1272" s="6">
        <f>Tabela1[[#This Row],[Valor total]]-Tabela1[[#This Row],[Valor custo]]</f>
        <v>3.8000000000000007</v>
      </c>
      <c r="J1272" s="7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">
        <v>86.52</v>
      </c>
      <c r="H1273" s="1">
        <v>360</v>
      </c>
      <c r="I1273" s="6">
        <f>Tabela1[[#This Row],[Valor total]]-Tabela1[[#This Row],[Valor custo]]</f>
        <v>273.48</v>
      </c>
      <c r="J1273" s="7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">
        <v>477</v>
      </c>
      <c r="H1274" s="1">
        <v>850</v>
      </c>
      <c r="I1274" s="6">
        <f>Tabela1[[#This Row],[Valor total]]-Tabela1[[#This Row],[Valor custo]]</f>
        <v>373</v>
      </c>
      <c r="J1274" s="7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">
        <v>347.46</v>
      </c>
      <c r="H1275" s="1">
        <v>850</v>
      </c>
      <c r="I1275" s="6">
        <f>Tabela1[[#This Row],[Valor total]]-Tabela1[[#This Row],[Valor custo]]</f>
        <v>502.54</v>
      </c>
      <c r="J1275" s="7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">
        <v>584</v>
      </c>
      <c r="H1276" s="1">
        <v>945</v>
      </c>
      <c r="I1276" s="6">
        <f>Tabela1[[#This Row],[Valor total]]-Tabela1[[#This Row],[Valor custo]]</f>
        <v>361</v>
      </c>
      <c r="J1276" s="7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">
        <v>1413.6</v>
      </c>
      <c r="H1277" s="1">
        <v>2600</v>
      </c>
      <c r="I1277" s="6">
        <f>Tabela1[[#This Row],[Valor total]]-Tabela1[[#This Row],[Valor custo]]</f>
        <v>1186.4000000000001</v>
      </c>
      <c r="J1277" s="7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">
        <v>2010.3</v>
      </c>
      <c r="H1278" s="1">
        <v>3710</v>
      </c>
      <c r="I1278" s="6">
        <f>Tabela1[[#This Row],[Valor total]]-Tabela1[[#This Row],[Valor custo]]</f>
        <v>1699.7</v>
      </c>
      <c r="J1278" s="7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">
        <v>4098.7</v>
      </c>
      <c r="H1279" s="1">
        <v>5850</v>
      </c>
      <c r="I1279" s="6">
        <f>Tabela1[[#This Row],[Valor total]]-Tabela1[[#This Row],[Valor custo]]</f>
        <v>1751.3000000000002</v>
      </c>
      <c r="J1279" s="7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">
        <v>2000</v>
      </c>
      <c r="H1280" s="1">
        <v>3000</v>
      </c>
      <c r="I1280" s="6">
        <f>Tabela1[[#This Row],[Valor total]]-Tabela1[[#This Row],[Valor custo]]</f>
        <v>1000</v>
      </c>
      <c r="J1280" s="7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">
        <v>3556.31</v>
      </c>
      <c r="H1281" s="1">
        <v>9445</v>
      </c>
      <c r="I1281" s="6">
        <f>Tabela1[[#This Row],[Valor total]]-Tabela1[[#This Row],[Valor custo]]</f>
        <v>5888.6900000000005</v>
      </c>
      <c r="J1281" s="7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">
        <v>539.5</v>
      </c>
      <c r="H1282" s="1">
        <v>600</v>
      </c>
      <c r="I1282" s="6">
        <f>Tabela1[[#This Row],[Valor total]]-Tabela1[[#This Row],[Valor custo]]</f>
        <v>60.5</v>
      </c>
      <c r="J1282" s="7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">
        <v>570.14</v>
      </c>
      <c r="H1283" s="1">
        <v>875</v>
      </c>
      <c r="I1283" s="6">
        <f>Tabela1[[#This Row],[Valor total]]-Tabela1[[#This Row],[Valor custo]]</f>
        <v>304.86</v>
      </c>
      <c r="J1283" s="7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">
        <v>10404.120000000001</v>
      </c>
      <c r="H1284" s="1">
        <v>15996</v>
      </c>
      <c r="I1284" s="6">
        <f>Tabela1[[#This Row],[Valor total]]-Tabela1[[#This Row],[Valor custo]]</f>
        <v>5591.8799999999992</v>
      </c>
      <c r="J1284" s="7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">
        <v>200</v>
      </c>
      <c r="H1285" s="1">
        <v>325</v>
      </c>
      <c r="I1285" s="6">
        <f>Tabela1[[#This Row],[Valor total]]-Tabela1[[#This Row],[Valor custo]]</f>
        <v>125</v>
      </c>
      <c r="J1285" s="7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">
        <v>1317.6</v>
      </c>
      <c r="H1286" s="1">
        <v>2185</v>
      </c>
      <c r="I1286" s="6">
        <f>Tabela1[[#This Row],[Valor total]]-Tabela1[[#This Row],[Valor custo]]</f>
        <v>867.40000000000009</v>
      </c>
      <c r="J1286" s="7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">
        <v>288.8</v>
      </c>
      <c r="H1287" s="1">
        <v>240</v>
      </c>
      <c r="I1287" s="6">
        <f>Tabela1[[#This Row],[Valor total]]-Tabela1[[#This Row],[Valor custo]]</f>
        <v>-48.800000000000011</v>
      </c>
      <c r="J1287" s="7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">
        <v>4485.04</v>
      </c>
      <c r="H1288" s="1">
        <v>7600</v>
      </c>
      <c r="I1288" s="6">
        <f>Tabela1[[#This Row],[Valor total]]-Tabela1[[#This Row],[Valor custo]]</f>
        <v>3114.96</v>
      </c>
      <c r="J1288" s="7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">
        <v>13484.85</v>
      </c>
      <c r="H1289" s="1">
        <v>19310</v>
      </c>
      <c r="I1289" s="6">
        <f>Tabela1[[#This Row],[Valor total]]-Tabela1[[#This Row],[Valor custo]]</f>
        <v>5825.15</v>
      </c>
      <c r="J1289" s="7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">
        <v>4387.76</v>
      </c>
      <c r="H1290" s="1">
        <v>6720</v>
      </c>
      <c r="I1290" s="6">
        <f>Tabela1[[#This Row],[Valor total]]-Tabela1[[#This Row],[Valor custo]]</f>
        <v>2332.2399999999998</v>
      </c>
      <c r="J1290" s="7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">
        <v>521</v>
      </c>
      <c r="H1291" s="1">
        <v>550</v>
      </c>
      <c r="I1291" s="6">
        <f>Tabela1[[#This Row],[Valor total]]-Tabela1[[#This Row],[Valor custo]]</f>
        <v>29</v>
      </c>
      <c r="J1291" s="7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">
        <v>409.87</v>
      </c>
      <c r="H1292" s="1">
        <v>580</v>
      </c>
      <c r="I1292" s="6">
        <f>Tabela1[[#This Row],[Valor total]]-Tabela1[[#This Row],[Valor custo]]</f>
        <v>170.13</v>
      </c>
      <c r="J1292" s="7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">
        <v>221.16</v>
      </c>
      <c r="H1293" s="1">
        <v>320</v>
      </c>
      <c r="I1293" s="6">
        <f>Tabela1[[#This Row],[Valor total]]-Tabela1[[#This Row],[Valor custo]]</f>
        <v>98.84</v>
      </c>
      <c r="J1293" s="7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">
        <v>13280.4</v>
      </c>
      <c r="H1294" s="1">
        <v>18000</v>
      </c>
      <c r="I1294" s="6">
        <f>Tabela1[[#This Row],[Valor total]]-Tabela1[[#This Row],[Valor custo]]</f>
        <v>4719.6000000000004</v>
      </c>
      <c r="J1294" s="7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">
        <v>7586.35</v>
      </c>
      <c r="H1295" s="1">
        <v>11438</v>
      </c>
      <c r="I1295" s="6">
        <f>Tabela1[[#This Row],[Valor total]]-Tabela1[[#This Row],[Valor custo]]</f>
        <v>3851.6499999999996</v>
      </c>
      <c r="J1295" s="7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">
        <v>798.81</v>
      </c>
      <c r="H1296" s="1">
        <v>1500</v>
      </c>
      <c r="I1296" s="6">
        <f>Tabela1[[#This Row],[Valor total]]-Tabela1[[#This Row],[Valor custo]]</f>
        <v>701.19</v>
      </c>
      <c r="J1296" s="7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">
        <v>571.29999999999995</v>
      </c>
      <c r="H1297" s="1">
        <v>1800</v>
      </c>
      <c r="I1297" s="6">
        <f>Tabela1[[#This Row],[Valor total]]-Tabela1[[#This Row],[Valor custo]]</f>
        <v>1228.7</v>
      </c>
      <c r="J1297" s="7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">
        <v>17814.900000000001</v>
      </c>
      <c r="H1298" s="1">
        <v>23965</v>
      </c>
      <c r="I1298" s="6">
        <f>Tabela1[[#This Row],[Valor total]]-Tabela1[[#This Row],[Valor custo]]</f>
        <v>6150.0999999999985</v>
      </c>
      <c r="J1298" s="7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">
        <v>1042</v>
      </c>
      <c r="H1299" s="1">
        <v>1680</v>
      </c>
      <c r="I1299" s="6">
        <f>Tabela1[[#This Row],[Valor total]]-Tabela1[[#This Row],[Valor custo]]</f>
        <v>638</v>
      </c>
      <c r="J1299" s="7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">
        <v>473</v>
      </c>
      <c r="H1300" s="1">
        <v>671</v>
      </c>
      <c r="I1300" s="6">
        <f>Tabela1[[#This Row],[Valor total]]-Tabela1[[#This Row],[Valor custo]]</f>
        <v>198</v>
      </c>
      <c r="J1300" s="7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">
        <v>710</v>
      </c>
      <c r="H1301" s="1">
        <v>1200</v>
      </c>
      <c r="I1301" s="6">
        <f>Tabela1[[#This Row],[Valor total]]-Tabela1[[#This Row],[Valor custo]]</f>
        <v>490</v>
      </c>
      <c r="J1301" s="7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">
        <v>4364</v>
      </c>
      <c r="H1302" s="1">
        <v>7720</v>
      </c>
      <c r="I1302" s="6">
        <f>Tabela1[[#This Row],[Valor total]]-Tabela1[[#This Row],[Valor custo]]</f>
        <v>3356</v>
      </c>
      <c r="J1302" s="7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">
        <v>441.47</v>
      </c>
      <c r="H1303" s="1">
        <v>705</v>
      </c>
      <c r="I1303" s="6">
        <f>Tabela1[[#This Row],[Valor total]]-Tabela1[[#This Row],[Valor custo]]</f>
        <v>263.52999999999997</v>
      </c>
      <c r="J1303" s="7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">
        <v>237</v>
      </c>
      <c r="H1304" s="1">
        <v>750</v>
      </c>
      <c r="I1304" s="6">
        <f>Tabela1[[#This Row],[Valor total]]-Tabela1[[#This Row],[Valor custo]]</f>
        <v>513</v>
      </c>
      <c r="J1304" s="7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">
        <v>6479.52</v>
      </c>
      <c r="H1305" s="1">
        <v>9360</v>
      </c>
      <c r="I1305" s="6">
        <f>Tabela1[[#This Row],[Valor total]]-Tabela1[[#This Row],[Valor custo]]</f>
        <v>2880.4799999999996</v>
      </c>
      <c r="J1305" s="7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">
        <v>943.7</v>
      </c>
      <c r="H1306" s="1">
        <v>1351</v>
      </c>
      <c r="I1306" s="6">
        <f>Tabela1[[#This Row],[Valor total]]-Tabela1[[#This Row],[Valor custo]]</f>
        <v>407.29999999999995</v>
      </c>
      <c r="J1306" s="7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">
        <v>33</v>
      </c>
      <c r="H1307" s="1">
        <v>150</v>
      </c>
      <c r="I1307" s="6">
        <f>Tabela1[[#This Row],[Valor total]]-Tabela1[[#This Row],[Valor custo]]</f>
        <v>117</v>
      </c>
      <c r="J1307" s="7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">
        <v>12453.7</v>
      </c>
      <c r="H1308" s="1">
        <v>18800</v>
      </c>
      <c r="I1308" s="6">
        <f>Tabela1[[#This Row],[Valor total]]-Tabela1[[#This Row],[Valor custo]]</f>
        <v>6346.2999999999993</v>
      </c>
      <c r="J1308" s="7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">
        <v>98.42</v>
      </c>
      <c r="H1309" s="1">
        <v>160</v>
      </c>
      <c r="I1309" s="6">
        <f>Tabela1[[#This Row],[Valor total]]-Tabela1[[#This Row],[Valor custo]]</f>
        <v>61.58</v>
      </c>
      <c r="J1309" s="7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">
        <v>11187.9</v>
      </c>
      <c r="H1310" s="1">
        <v>17557</v>
      </c>
      <c r="I1310" s="6">
        <f>Tabela1[[#This Row],[Valor total]]-Tabela1[[#This Row],[Valor custo]]</f>
        <v>6369.1</v>
      </c>
      <c r="J1310" s="7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">
        <v>2690</v>
      </c>
      <c r="H1311" s="1">
        <v>3765</v>
      </c>
      <c r="I1311" s="6">
        <f>Tabela1[[#This Row],[Valor total]]-Tabela1[[#This Row],[Valor custo]]</f>
        <v>1075</v>
      </c>
      <c r="J1311" s="7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">
        <v>12453.7</v>
      </c>
      <c r="H1312" s="1">
        <v>18800</v>
      </c>
      <c r="I1312" s="6">
        <f>Tabela1[[#This Row],[Valor total]]-Tabela1[[#This Row],[Valor custo]]</f>
        <v>6346.2999999999993</v>
      </c>
      <c r="J1312" s="7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">
        <v>57.13</v>
      </c>
      <c r="H1313" s="1">
        <v>257.5</v>
      </c>
      <c r="I1313" s="6">
        <f>Tabela1[[#This Row],[Valor total]]-Tabela1[[#This Row],[Valor custo]]</f>
        <v>200.37</v>
      </c>
      <c r="J1313" s="7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">
        <v>4913</v>
      </c>
      <c r="H1314" s="1">
        <v>7545</v>
      </c>
      <c r="I1314" s="6">
        <f>Tabela1[[#This Row],[Valor total]]-Tabela1[[#This Row],[Valor custo]]</f>
        <v>2632</v>
      </c>
      <c r="J1314" s="7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">
        <v>710</v>
      </c>
      <c r="H1315" s="1">
        <v>1215</v>
      </c>
      <c r="I1315" s="6">
        <f>Tabela1[[#This Row],[Valor total]]-Tabela1[[#This Row],[Valor custo]]</f>
        <v>505</v>
      </c>
      <c r="J1315" s="7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">
        <v>70</v>
      </c>
      <c r="H1316" s="1">
        <v>70</v>
      </c>
      <c r="I1316" s="6">
        <f>Tabela1[[#This Row],[Valor total]]-Tabela1[[#This Row],[Valor custo]]</f>
        <v>0</v>
      </c>
      <c r="J1316" s="7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">
        <v>0</v>
      </c>
      <c r="H1317" s="1">
        <v>500</v>
      </c>
      <c r="I1317" s="6">
        <f>Tabela1[[#This Row],[Valor total]]-Tabela1[[#This Row],[Valor custo]]</f>
        <v>500</v>
      </c>
      <c r="J1317" s="7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">
        <v>5.2</v>
      </c>
      <c r="H1318" s="1">
        <v>494.4</v>
      </c>
      <c r="I1318" s="6">
        <f>Tabela1[[#This Row],[Valor total]]-Tabela1[[#This Row],[Valor custo]]</f>
        <v>489.2</v>
      </c>
      <c r="J1318" s="7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">
        <v>3652.15</v>
      </c>
      <c r="H1319" s="1">
        <v>5000</v>
      </c>
      <c r="I1319" s="6">
        <f>Tabela1[[#This Row],[Valor total]]-Tabela1[[#This Row],[Valor custo]]</f>
        <v>1347.85</v>
      </c>
      <c r="J1319" s="7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">
        <v>75</v>
      </c>
      <c r="H1320" s="1">
        <v>90</v>
      </c>
      <c r="I1320" s="6">
        <f>Tabela1[[#This Row],[Valor total]]-Tabela1[[#This Row],[Valor custo]]</f>
        <v>15</v>
      </c>
      <c r="J1320" s="7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">
        <v>147.63</v>
      </c>
      <c r="H1321" s="1">
        <v>240</v>
      </c>
      <c r="I1321" s="6">
        <f>Tabela1[[#This Row],[Valor total]]-Tabela1[[#This Row],[Valor custo]]</f>
        <v>92.37</v>
      </c>
      <c r="J1321" s="7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">
        <v>293.13</v>
      </c>
      <c r="H1322" s="1">
        <v>470</v>
      </c>
      <c r="I1322" s="6">
        <f>Tabela1[[#This Row],[Valor total]]-Tabela1[[#This Row],[Valor custo]]</f>
        <v>176.87</v>
      </c>
      <c r="J1322" s="7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">
        <v>7.9</v>
      </c>
      <c r="H1323" s="1">
        <v>35</v>
      </c>
      <c r="I1323" s="6">
        <f>Tabela1[[#This Row],[Valor total]]-Tabela1[[#This Row],[Valor custo]]</f>
        <v>27.1</v>
      </c>
      <c r="J1323" s="7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">
        <v>10103.790000000001</v>
      </c>
      <c r="H1324" s="1">
        <v>14340</v>
      </c>
      <c r="I1324" s="6">
        <f>Tabela1[[#This Row],[Valor total]]-Tabela1[[#This Row],[Valor custo]]</f>
        <v>4236.2099999999991</v>
      </c>
      <c r="J1324" s="7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">
        <v>293.13</v>
      </c>
      <c r="H1325" s="1">
        <v>467</v>
      </c>
      <c r="I1325" s="6">
        <f>Tabela1[[#This Row],[Valor total]]-Tabela1[[#This Row],[Valor custo]]</f>
        <v>173.87</v>
      </c>
      <c r="J1325" s="7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">
        <v>7927.12</v>
      </c>
      <c r="H1326" s="1">
        <v>11070</v>
      </c>
      <c r="I1326" s="6">
        <f>Tabela1[[#This Row],[Valor total]]-Tabela1[[#This Row],[Valor custo]]</f>
        <v>3142.88</v>
      </c>
      <c r="J1326" s="7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">
        <v>118.5</v>
      </c>
      <c r="H1327" s="1">
        <v>450</v>
      </c>
      <c r="I1327" s="6">
        <f>Tabela1[[#This Row],[Valor total]]-Tabela1[[#This Row],[Valor custo]]</f>
        <v>331.5</v>
      </c>
      <c r="J1327" s="7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">
        <v>1981.91</v>
      </c>
      <c r="H1328" s="1">
        <v>2980</v>
      </c>
      <c r="I1328" s="6">
        <f>Tabela1[[#This Row],[Valor total]]-Tabela1[[#This Row],[Valor custo]]</f>
        <v>998.08999999999992</v>
      </c>
      <c r="J1328" s="7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">
        <v>3137.7</v>
      </c>
      <c r="H1329" s="1">
        <v>4320</v>
      </c>
      <c r="I1329" s="6">
        <f>Tabela1[[#This Row],[Valor total]]-Tabela1[[#This Row],[Valor custo]]</f>
        <v>1182.3000000000002</v>
      </c>
      <c r="J1329" s="7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">
        <v>718.57</v>
      </c>
      <c r="H1330" s="1">
        <v>1350</v>
      </c>
      <c r="I1330" s="6">
        <f>Tabela1[[#This Row],[Valor total]]-Tabela1[[#This Row],[Valor custo]]</f>
        <v>631.42999999999995</v>
      </c>
      <c r="J1330" s="7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">
        <v>10307.26</v>
      </c>
      <c r="H1331" s="1">
        <v>14800</v>
      </c>
      <c r="I1331" s="6">
        <f>Tabela1[[#This Row],[Valor total]]-Tabela1[[#This Row],[Valor custo]]</f>
        <v>4492.74</v>
      </c>
      <c r="J1331" s="7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">
        <v>293.13</v>
      </c>
      <c r="H1332" s="1">
        <v>450</v>
      </c>
      <c r="I1332" s="6">
        <f>Tabela1[[#This Row],[Valor total]]-Tabela1[[#This Row],[Valor custo]]</f>
        <v>156.87</v>
      </c>
      <c r="J1332" s="7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">
        <v>409.87</v>
      </c>
      <c r="H1333" s="1">
        <v>585</v>
      </c>
      <c r="I1333" s="6">
        <f>Tabela1[[#This Row],[Valor total]]-Tabela1[[#This Row],[Valor custo]]</f>
        <v>175.13</v>
      </c>
      <c r="J1333" s="7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">
        <v>1425.46</v>
      </c>
      <c r="H1334" s="1">
        <v>2479</v>
      </c>
      <c r="I1334" s="6">
        <f>Tabela1[[#This Row],[Valor total]]-Tabela1[[#This Row],[Valor custo]]</f>
        <v>1053.54</v>
      </c>
      <c r="J1334" s="7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">
        <v>710</v>
      </c>
      <c r="H1335" s="1">
        <v>1250</v>
      </c>
      <c r="I1335" s="6">
        <f>Tabela1[[#This Row],[Valor total]]-Tabela1[[#This Row],[Valor custo]]</f>
        <v>540</v>
      </c>
      <c r="J1335" s="7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">
        <v>1018</v>
      </c>
      <c r="H1336" s="1">
        <v>1560</v>
      </c>
      <c r="I1336" s="6">
        <f>Tabela1[[#This Row],[Valor total]]-Tabela1[[#This Row],[Valor custo]]</f>
        <v>542</v>
      </c>
      <c r="J1336" s="7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">
        <v>2787</v>
      </c>
      <c r="H1337" s="1">
        <v>4500</v>
      </c>
      <c r="I1337" s="6">
        <f>Tabela1[[#This Row],[Valor total]]-Tabela1[[#This Row],[Valor custo]]</f>
        <v>1713</v>
      </c>
      <c r="J1337" s="7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">
        <v>473</v>
      </c>
      <c r="H1338" s="1">
        <v>655</v>
      </c>
      <c r="I1338" s="6">
        <f>Tabela1[[#This Row],[Valor total]]-Tabela1[[#This Row],[Valor custo]]</f>
        <v>182</v>
      </c>
      <c r="J1338" s="7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">
        <v>6655.11</v>
      </c>
      <c r="H1339" s="1">
        <v>9790</v>
      </c>
      <c r="I1339" s="6">
        <f>Tabela1[[#This Row],[Valor total]]-Tabela1[[#This Row],[Valor custo]]</f>
        <v>3134.8900000000003</v>
      </c>
      <c r="J1339" s="7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">
        <v>994</v>
      </c>
      <c r="H1340" s="1">
        <v>1500</v>
      </c>
      <c r="I1340" s="6">
        <f>Tabela1[[#This Row],[Valor total]]-Tabela1[[#This Row],[Valor custo]]</f>
        <v>506</v>
      </c>
      <c r="J1340" s="7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">
        <v>878.4</v>
      </c>
      <c r="H1341" s="1">
        <v>1290</v>
      </c>
      <c r="I1341" s="6">
        <f>Tabela1[[#This Row],[Valor total]]-Tabela1[[#This Row],[Valor custo]]</f>
        <v>411.6</v>
      </c>
      <c r="J1341" s="7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">
        <v>710</v>
      </c>
      <c r="H1342" s="1">
        <v>580</v>
      </c>
      <c r="I1342" s="6">
        <f>Tabela1[[#This Row],[Valor total]]-Tabela1[[#This Row],[Valor custo]]</f>
        <v>-130</v>
      </c>
      <c r="J1342" s="7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">
        <v>710</v>
      </c>
      <c r="H1343" s="1">
        <v>1200</v>
      </c>
      <c r="I1343" s="6">
        <f>Tabela1[[#This Row],[Valor total]]-Tabela1[[#This Row],[Valor custo]]</f>
        <v>490</v>
      </c>
      <c r="J1343" s="7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">
        <v>1604</v>
      </c>
      <c r="H1344" s="1">
        <v>2500</v>
      </c>
      <c r="I1344" s="6">
        <f>Tabela1[[#This Row],[Valor total]]-Tabela1[[#This Row],[Valor custo]]</f>
        <v>896</v>
      </c>
      <c r="J1344" s="7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">
        <v>710</v>
      </c>
      <c r="H1345" s="1">
        <v>1200</v>
      </c>
      <c r="I1345" s="6">
        <f>Tabela1[[#This Row],[Valor total]]-Tabela1[[#This Row],[Valor custo]]</f>
        <v>490</v>
      </c>
      <c r="J1345" s="7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">
        <v>6588</v>
      </c>
      <c r="H1346" s="1">
        <v>9300</v>
      </c>
      <c r="I1346" s="6">
        <f>Tabela1[[#This Row],[Valor total]]-Tabela1[[#This Row],[Valor custo]]</f>
        <v>2712</v>
      </c>
      <c r="J1346" s="7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">
        <v>878.4</v>
      </c>
      <c r="H1347" s="1">
        <v>1290</v>
      </c>
      <c r="I1347" s="6">
        <f>Tabela1[[#This Row],[Valor total]]-Tabela1[[#This Row],[Valor custo]]</f>
        <v>411.6</v>
      </c>
      <c r="J1347" s="7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">
        <v>1146.43</v>
      </c>
      <c r="H1348" s="1">
        <v>1995</v>
      </c>
      <c r="I1348" s="6">
        <f>Tabela1[[#This Row],[Valor total]]-Tabela1[[#This Row],[Valor custo]]</f>
        <v>848.56999999999994</v>
      </c>
      <c r="J1348" s="7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">
        <v>12045</v>
      </c>
      <c r="H1349" s="1">
        <v>17400</v>
      </c>
      <c r="I1349" s="6">
        <f>Tabela1[[#This Row],[Valor total]]-Tabela1[[#This Row],[Valor custo]]</f>
        <v>5355</v>
      </c>
      <c r="J1349" s="7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">
        <v>5130.08</v>
      </c>
      <c r="H1350" s="1">
        <v>7240</v>
      </c>
      <c r="I1350" s="6">
        <f>Tabela1[[#This Row],[Valor total]]-Tabela1[[#This Row],[Valor custo]]</f>
        <v>2109.92</v>
      </c>
      <c r="J1350" s="7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">
        <v>6262.66</v>
      </c>
      <c r="H1351" s="1">
        <v>8850</v>
      </c>
      <c r="I1351" s="6">
        <f>Tabela1[[#This Row],[Valor total]]-Tabela1[[#This Row],[Valor custo]]</f>
        <v>2587.34</v>
      </c>
      <c r="J1351" s="7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">
        <v>4384.3500000000004</v>
      </c>
      <c r="H1352" s="1">
        <v>6300</v>
      </c>
      <c r="I1352" s="6">
        <f>Tabela1[[#This Row],[Valor total]]-Tabela1[[#This Row],[Valor custo]]</f>
        <v>1915.6499999999996</v>
      </c>
      <c r="J1352" s="7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">
        <v>1435</v>
      </c>
      <c r="H1353" s="1">
        <v>2600</v>
      </c>
      <c r="I1353" s="6">
        <f>Tabela1[[#This Row],[Valor total]]-Tabela1[[#This Row],[Valor custo]]</f>
        <v>1165</v>
      </c>
      <c r="J1353" s="7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">
        <v>522</v>
      </c>
      <c r="H1354" s="1">
        <v>1500</v>
      </c>
      <c r="I1354" s="6">
        <f>Tabela1[[#This Row],[Valor total]]-Tabela1[[#This Row],[Valor custo]]</f>
        <v>978</v>
      </c>
      <c r="J1354" s="7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">
        <v>819.74</v>
      </c>
      <c r="H1355" s="1">
        <v>1170</v>
      </c>
      <c r="I1355" s="6">
        <f>Tabela1[[#This Row],[Valor total]]-Tabela1[[#This Row],[Valor custo]]</f>
        <v>350.26</v>
      </c>
      <c r="J1355" s="7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">
        <v>10373.14</v>
      </c>
      <c r="H1356" s="1">
        <v>15020</v>
      </c>
      <c r="I1356" s="6">
        <f>Tabela1[[#This Row],[Valor total]]-Tabela1[[#This Row],[Valor custo]]</f>
        <v>4646.8600000000006</v>
      </c>
      <c r="J1356" s="7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">
        <v>447</v>
      </c>
      <c r="H1357" s="1">
        <v>635</v>
      </c>
      <c r="I1357" s="6">
        <f>Tabela1[[#This Row],[Valor total]]-Tabela1[[#This Row],[Valor custo]]</f>
        <v>188</v>
      </c>
      <c r="J1357" s="7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">
        <v>473</v>
      </c>
      <c r="H1358" s="1">
        <v>655</v>
      </c>
      <c r="I1358" s="6">
        <f>Tabela1[[#This Row],[Valor total]]-Tabela1[[#This Row],[Valor custo]]</f>
        <v>182</v>
      </c>
      <c r="J1358" s="7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">
        <v>1311.04</v>
      </c>
      <c r="H1359" s="1">
        <v>1890</v>
      </c>
      <c r="I1359" s="6">
        <f>Tabela1[[#This Row],[Valor total]]-Tabela1[[#This Row],[Valor custo]]</f>
        <v>578.96</v>
      </c>
      <c r="J1359" s="7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">
        <v>707.23</v>
      </c>
      <c r="H1360" s="1">
        <v>1300</v>
      </c>
      <c r="I1360" s="6">
        <f>Tabela1[[#This Row],[Valor total]]-Tabela1[[#This Row],[Valor custo]]</f>
        <v>592.77</v>
      </c>
      <c r="J1360" s="7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">
        <v>4071.71</v>
      </c>
      <c r="H1361" s="1">
        <v>6350</v>
      </c>
      <c r="I1361" s="6">
        <f>Tabela1[[#This Row],[Valor total]]-Tabela1[[#This Row],[Valor custo]]</f>
        <v>2278.29</v>
      </c>
      <c r="J1361" s="7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">
        <v>1892</v>
      </c>
      <c r="H1362" s="1">
        <v>2880</v>
      </c>
      <c r="I1362" s="6">
        <f>Tabela1[[#This Row],[Valor total]]-Tabela1[[#This Row],[Valor custo]]</f>
        <v>988</v>
      </c>
      <c r="J1362" s="7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">
        <v>4225.26</v>
      </c>
      <c r="H1363" s="1">
        <v>7050</v>
      </c>
      <c r="I1363" s="6">
        <f>Tabela1[[#This Row],[Valor total]]-Tabela1[[#This Row],[Valor custo]]</f>
        <v>2824.74</v>
      </c>
      <c r="J1363" s="7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">
        <v>497</v>
      </c>
      <c r="H1364" s="1">
        <v>650</v>
      </c>
      <c r="I1364" s="6">
        <f>Tabela1[[#This Row],[Valor total]]-Tabela1[[#This Row],[Valor custo]]</f>
        <v>153</v>
      </c>
      <c r="J1364" s="7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">
        <v>6853.8</v>
      </c>
      <c r="H1365" s="1">
        <v>9540</v>
      </c>
      <c r="I1365" s="6">
        <f>Tabela1[[#This Row],[Valor total]]-Tabela1[[#This Row],[Valor custo]]</f>
        <v>2686.2</v>
      </c>
      <c r="J1365" s="7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">
        <v>447</v>
      </c>
      <c r="H1366" s="1">
        <v>645</v>
      </c>
      <c r="I1366" s="6">
        <f>Tabela1[[#This Row],[Valor total]]-Tabela1[[#This Row],[Valor custo]]</f>
        <v>198</v>
      </c>
      <c r="J1366" s="7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">
        <v>33.56</v>
      </c>
      <c r="H1367" s="1">
        <v>445</v>
      </c>
      <c r="I1367" s="6">
        <f>Tabela1[[#This Row],[Valor total]]-Tabela1[[#This Row],[Valor custo]]</f>
        <v>411.44</v>
      </c>
      <c r="J1367" s="7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">
        <v>7251.48</v>
      </c>
      <c r="H1368" s="1">
        <v>10045</v>
      </c>
      <c r="I1368" s="6">
        <f>Tabela1[[#This Row],[Valor total]]-Tabela1[[#This Row],[Valor custo]]</f>
        <v>2793.5200000000004</v>
      </c>
      <c r="J1368" s="7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">
        <v>5748.56</v>
      </c>
      <c r="H1369" s="1">
        <v>10000</v>
      </c>
      <c r="I1369" s="6">
        <f>Tabela1[[#This Row],[Valor total]]-Tabela1[[#This Row],[Valor custo]]</f>
        <v>4251.4399999999996</v>
      </c>
      <c r="J1369" s="7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">
        <v>409.87</v>
      </c>
      <c r="H1370" s="1">
        <v>585</v>
      </c>
      <c r="I1370" s="6">
        <f>Tabela1[[#This Row],[Valor total]]-Tabela1[[#This Row],[Valor custo]]</f>
        <v>175.13</v>
      </c>
      <c r="J1370" s="7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">
        <v>540.99</v>
      </c>
      <c r="H1371" s="1">
        <v>800</v>
      </c>
      <c r="I1371" s="6">
        <f>Tabela1[[#This Row],[Valor total]]-Tabela1[[#This Row],[Valor custo]]</f>
        <v>259.01</v>
      </c>
      <c r="J1371" s="7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">
        <v>447</v>
      </c>
      <c r="H1372" s="1">
        <v>640</v>
      </c>
      <c r="I1372" s="6">
        <f>Tabela1[[#This Row],[Valor total]]-Tabela1[[#This Row],[Valor custo]]</f>
        <v>193</v>
      </c>
      <c r="J1372" s="7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">
        <v>4887.3500000000004</v>
      </c>
      <c r="H1373" s="1">
        <v>7080</v>
      </c>
      <c r="I1373" s="6">
        <f>Tabela1[[#This Row],[Valor total]]-Tabela1[[#This Row],[Valor custo]]</f>
        <v>2192.6499999999996</v>
      </c>
      <c r="J1373" s="7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">
        <v>2982</v>
      </c>
      <c r="H1374" s="1">
        <v>4500</v>
      </c>
      <c r="I1374" s="6">
        <f>Tabela1[[#This Row],[Valor total]]-Tabela1[[#This Row],[Valor custo]]</f>
        <v>1518</v>
      </c>
      <c r="J1374" s="7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">
        <v>11513</v>
      </c>
      <c r="H1375" s="1">
        <v>15000</v>
      </c>
      <c r="I1375" s="6">
        <f>Tabela1[[#This Row],[Valor total]]-Tabela1[[#This Row],[Valor custo]]</f>
        <v>3487</v>
      </c>
      <c r="J1375" s="7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">
        <v>409.87</v>
      </c>
      <c r="H1376" s="1">
        <v>570</v>
      </c>
      <c r="I1376" s="6">
        <f>Tabela1[[#This Row],[Valor total]]-Tabela1[[#This Row],[Valor custo]]</f>
        <v>160.13</v>
      </c>
      <c r="J1376" s="7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">
        <v>0</v>
      </c>
      <c r="H1377" s="1">
        <v>350</v>
      </c>
      <c r="I1377" s="6">
        <f>Tabela1[[#This Row],[Valor total]]-Tabela1[[#This Row],[Valor custo]]</f>
        <v>350</v>
      </c>
      <c r="J1377" s="7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">
        <v>1645</v>
      </c>
      <c r="H1378" s="1">
        <v>2400</v>
      </c>
      <c r="I1378" s="6">
        <f>Tabela1[[#This Row],[Valor total]]-Tabela1[[#This Row],[Valor custo]]</f>
        <v>755</v>
      </c>
      <c r="J1378" s="7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">
        <v>4459.29</v>
      </c>
      <c r="H1379" s="1">
        <v>6560</v>
      </c>
      <c r="I1379" s="6">
        <f>Tabela1[[#This Row],[Valor total]]-Tabela1[[#This Row],[Valor custo]]</f>
        <v>2100.71</v>
      </c>
      <c r="J1379" s="7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">
        <v>6629</v>
      </c>
      <c r="H1380" s="1">
        <v>9380</v>
      </c>
      <c r="I1380" s="6">
        <f>Tabela1[[#This Row],[Valor total]]-Tabela1[[#This Row],[Valor custo]]</f>
        <v>2751</v>
      </c>
      <c r="J1380" s="7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">
        <v>4485.04</v>
      </c>
      <c r="H1381" s="1">
        <v>7600</v>
      </c>
      <c r="I1381" s="6">
        <f>Tabela1[[#This Row],[Valor total]]-Tabela1[[#This Row],[Valor custo]]</f>
        <v>3114.96</v>
      </c>
      <c r="J1381" s="7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">
        <v>725</v>
      </c>
      <c r="H1382" s="1">
        <v>1300</v>
      </c>
      <c r="I1382" s="6">
        <f>Tabela1[[#This Row],[Valor total]]-Tabela1[[#This Row],[Valor custo]]</f>
        <v>575</v>
      </c>
      <c r="J1382" s="7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">
        <v>1788</v>
      </c>
      <c r="H1383" s="1">
        <v>2480</v>
      </c>
      <c r="I1383" s="6">
        <f>Tabela1[[#This Row],[Valor total]]-Tabela1[[#This Row],[Valor custo]]</f>
        <v>692</v>
      </c>
      <c r="J1383" s="7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">
        <v>1169.08</v>
      </c>
      <c r="H1384" s="1">
        <v>1825</v>
      </c>
      <c r="I1384" s="6">
        <f>Tabela1[[#This Row],[Valor total]]-Tabela1[[#This Row],[Valor custo]]</f>
        <v>655.92000000000007</v>
      </c>
      <c r="J1384" s="7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">
        <v>819.74</v>
      </c>
      <c r="H1385" s="1">
        <v>1170</v>
      </c>
      <c r="I1385" s="6">
        <f>Tabela1[[#This Row],[Valor total]]-Tabela1[[#This Row],[Valor custo]]</f>
        <v>350.26</v>
      </c>
      <c r="J1385" s="7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">
        <v>521</v>
      </c>
      <c r="H1386" s="1">
        <v>840</v>
      </c>
      <c r="I1386" s="6">
        <f>Tabela1[[#This Row],[Valor total]]-Tabela1[[#This Row],[Valor custo]]</f>
        <v>319</v>
      </c>
      <c r="J1386" s="7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">
        <v>7194.36</v>
      </c>
      <c r="H1387" s="1">
        <v>14300</v>
      </c>
      <c r="I1387" s="6">
        <f>Tabela1[[#This Row],[Valor total]]-Tabela1[[#This Row],[Valor custo]]</f>
        <v>7105.64</v>
      </c>
      <c r="J1387" s="7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">
        <v>8707.44</v>
      </c>
      <c r="H1388" s="1">
        <v>12500</v>
      </c>
      <c r="I1388" s="6">
        <f>Tabela1[[#This Row],[Valor total]]-Tabela1[[#This Row],[Valor custo]]</f>
        <v>3792.5599999999995</v>
      </c>
      <c r="J1388" s="7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">
        <v>5314.5</v>
      </c>
      <c r="H1389" s="1">
        <v>7400</v>
      </c>
      <c r="I1389" s="6">
        <f>Tabela1[[#This Row],[Valor total]]-Tabela1[[#This Row],[Valor custo]]</f>
        <v>2085.5</v>
      </c>
      <c r="J1389" s="7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">
        <v>79</v>
      </c>
      <c r="H1390" s="1">
        <v>300</v>
      </c>
      <c r="I1390" s="6">
        <f>Tabela1[[#This Row],[Valor total]]-Tabela1[[#This Row],[Valor custo]]</f>
        <v>221</v>
      </c>
      <c r="J1390" s="7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">
        <v>7771.01</v>
      </c>
      <c r="H1391" s="1">
        <v>10750</v>
      </c>
      <c r="I1391" s="6">
        <f>Tabela1[[#This Row],[Valor total]]-Tabela1[[#This Row],[Valor custo]]</f>
        <v>2978.99</v>
      </c>
      <c r="J1391" s="7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">
        <v>725</v>
      </c>
      <c r="H1392" s="1">
        <v>1325</v>
      </c>
      <c r="I1392" s="6">
        <f>Tabela1[[#This Row],[Valor total]]-Tabela1[[#This Row],[Valor custo]]</f>
        <v>600</v>
      </c>
      <c r="J1392" s="7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">
        <v>4320</v>
      </c>
      <c r="H1393" s="1">
        <v>7220</v>
      </c>
      <c r="I1393" s="6">
        <f>Tabela1[[#This Row],[Valor total]]-Tabela1[[#This Row],[Valor custo]]</f>
        <v>2900</v>
      </c>
      <c r="J1393" s="7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">
        <v>710</v>
      </c>
      <c r="H1394" s="1">
        <v>1170</v>
      </c>
      <c r="I1394" s="6">
        <f>Tabela1[[#This Row],[Valor total]]-Tabela1[[#This Row],[Valor custo]]</f>
        <v>460</v>
      </c>
      <c r="J1394" s="7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">
        <v>473</v>
      </c>
      <c r="H1395" s="1">
        <v>690</v>
      </c>
      <c r="I1395" s="6">
        <f>Tabela1[[#This Row],[Valor total]]-Tabela1[[#This Row],[Valor custo]]</f>
        <v>217</v>
      </c>
      <c r="J1395" s="7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">
        <v>593.83000000000004</v>
      </c>
      <c r="H1396" s="1">
        <v>869</v>
      </c>
      <c r="I1396" s="6">
        <f>Tabela1[[#This Row],[Valor total]]-Tabela1[[#This Row],[Valor custo]]</f>
        <v>275.16999999999996</v>
      </c>
      <c r="J1396" s="7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">
        <v>1119.8699999999999</v>
      </c>
      <c r="H1397" s="1">
        <v>1785</v>
      </c>
      <c r="I1397" s="6">
        <f>Tabela1[[#This Row],[Valor total]]-Tabela1[[#This Row],[Valor custo]]</f>
        <v>665.13000000000011</v>
      </c>
      <c r="J1397" s="7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">
        <v>6180.7</v>
      </c>
      <c r="H1398" s="1">
        <v>8850</v>
      </c>
      <c r="I1398" s="6">
        <f>Tabela1[[#This Row],[Valor total]]-Tabela1[[#This Row],[Valor custo]]</f>
        <v>2669.3</v>
      </c>
      <c r="J1398" s="7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">
        <v>2554</v>
      </c>
      <c r="H1399" s="1">
        <v>4105</v>
      </c>
      <c r="I1399" s="6">
        <f>Tabela1[[#This Row],[Valor total]]-Tabela1[[#This Row],[Valor custo]]</f>
        <v>1551</v>
      </c>
      <c r="J1399" s="7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">
        <v>831.93</v>
      </c>
      <c r="H1400" s="1">
        <v>826.5</v>
      </c>
      <c r="I1400" s="6">
        <f>Tabela1[[#This Row],[Valor total]]-Tabela1[[#This Row],[Valor custo]]</f>
        <v>-5.42999999999995</v>
      </c>
      <c r="J1400" s="7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">
        <v>1626</v>
      </c>
      <c r="H1401" s="1">
        <v>2225</v>
      </c>
      <c r="I1401" s="6">
        <f>Tabela1[[#This Row],[Valor total]]-Tabela1[[#This Row],[Valor custo]]</f>
        <v>599</v>
      </c>
      <c r="J1401" s="7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">
        <v>447</v>
      </c>
      <c r="H1402" s="1">
        <v>500</v>
      </c>
      <c r="I1402" s="6">
        <f>Tabela1[[#This Row],[Valor total]]-Tabela1[[#This Row],[Valor custo]]</f>
        <v>53</v>
      </c>
      <c r="J1402" s="7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">
        <v>485.2</v>
      </c>
      <c r="H1403" s="1">
        <v>716</v>
      </c>
      <c r="I1403" s="6">
        <f>Tabela1[[#This Row],[Valor total]]-Tabela1[[#This Row],[Valor custo]]</f>
        <v>230.8</v>
      </c>
      <c r="J1403" s="7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">
        <v>6635.26</v>
      </c>
      <c r="H1404" s="1">
        <v>9694</v>
      </c>
      <c r="I1404" s="6">
        <f>Tabela1[[#This Row],[Valor total]]-Tabela1[[#This Row],[Valor custo]]</f>
        <v>3058.74</v>
      </c>
      <c r="J1404" s="7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">
        <v>90</v>
      </c>
      <c r="H1405" s="1">
        <v>180</v>
      </c>
      <c r="I1405" s="6">
        <f>Tabela1[[#This Row],[Valor total]]-Tabela1[[#This Row],[Valor custo]]</f>
        <v>90</v>
      </c>
      <c r="J1405" s="7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">
        <v>439.2</v>
      </c>
      <c r="H1406" s="1">
        <v>620</v>
      </c>
      <c r="I1406" s="6">
        <f>Tabela1[[#This Row],[Valor total]]-Tabela1[[#This Row],[Valor custo]]</f>
        <v>180.8</v>
      </c>
      <c r="J1406" s="7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">
        <v>493.58</v>
      </c>
      <c r="H1407" s="1">
        <v>1320</v>
      </c>
      <c r="I1407" s="6">
        <f>Tabela1[[#This Row],[Valor total]]-Tabela1[[#This Row],[Valor custo]]</f>
        <v>826.42000000000007</v>
      </c>
      <c r="J1407" s="7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">
        <v>1229.6099999999999</v>
      </c>
      <c r="H1408" s="1">
        <v>1740</v>
      </c>
      <c r="I1408" s="6">
        <f>Tabela1[[#This Row],[Valor total]]-Tabela1[[#This Row],[Valor custo]]</f>
        <v>510.3900000000001</v>
      </c>
      <c r="J1408" s="7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">
        <v>2360.38</v>
      </c>
      <c r="H1409" s="1">
        <v>3170</v>
      </c>
      <c r="I1409" s="6">
        <f>Tabela1[[#This Row],[Valor total]]-Tabela1[[#This Row],[Valor custo]]</f>
        <v>809.61999999999989</v>
      </c>
      <c r="J1409" s="7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">
        <v>13870.05</v>
      </c>
      <c r="H1410" s="1">
        <v>19325</v>
      </c>
      <c r="I1410" s="6">
        <f>Tabela1[[#This Row],[Valor total]]-Tabela1[[#This Row],[Valor custo]]</f>
        <v>5454.9500000000007</v>
      </c>
      <c r="J1410" s="7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">
        <v>6588</v>
      </c>
      <c r="H1411" s="1">
        <v>9300</v>
      </c>
      <c r="I1411" s="6">
        <f>Tabela1[[#This Row],[Valor total]]-Tabela1[[#This Row],[Valor custo]]</f>
        <v>2712</v>
      </c>
      <c r="J1411" s="7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">
        <v>13.69</v>
      </c>
      <c r="H1412" s="1">
        <v>100</v>
      </c>
      <c r="I1412" s="6">
        <f>Tabela1[[#This Row],[Valor total]]-Tabela1[[#This Row],[Valor custo]]</f>
        <v>86.31</v>
      </c>
      <c r="J1412" s="7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">
        <v>1892</v>
      </c>
      <c r="H1413" s="1">
        <v>2600</v>
      </c>
      <c r="I1413" s="6">
        <f>Tabela1[[#This Row],[Valor total]]-Tabela1[[#This Row],[Valor custo]]</f>
        <v>708</v>
      </c>
      <c r="J1413" s="7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">
        <v>894</v>
      </c>
      <c r="H1414" s="1">
        <v>1248</v>
      </c>
      <c r="I1414" s="6">
        <f>Tabela1[[#This Row],[Valor total]]-Tabela1[[#This Row],[Valor custo]]</f>
        <v>354</v>
      </c>
      <c r="J1414" s="7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">
        <v>1852.87</v>
      </c>
      <c r="H1415" s="1">
        <v>2340</v>
      </c>
      <c r="I1415" s="6">
        <f>Tabela1[[#This Row],[Valor total]]-Tabela1[[#This Row],[Valor custo]]</f>
        <v>487.13000000000011</v>
      </c>
      <c r="J1415" s="7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">
        <v>1594.35</v>
      </c>
      <c r="H1416" s="1">
        <v>2070</v>
      </c>
      <c r="I1416" s="6">
        <f>Tabela1[[#This Row],[Valor total]]-Tabela1[[#This Row],[Valor custo]]</f>
        <v>475.65000000000009</v>
      </c>
      <c r="J1416" s="7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">
        <v>3293.1</v>
      </c>
      <c r="H1417" s="1">
        <v>4490</v>
      </c>
      <c r="I1417" s="6">
        <f>Tabela1[[#This Row],[Valor total]]-Tabela1[[#This Row],[Valor custo]]</f>
        <v>1196.9000000000001</v>
      </c>
      <c r="J1417" s="7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">
        <v>293.13</v>
      </c>
      <c r="H1418" s="1">
        <v>450</v>
      </c>
      <c r="I1418" s="6">
        <f>Tabela1[[#This Row],[Valor total]]-Tabela1[[#This Row],[Valor custo]]</f>
        <v>156.87</v>
      </c>
      <c r="J1418" s="7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">
        <v>5556.2</v>
      </c>
      <c r="H1419" s="1">
        <v>8325</v>
      </c>
      <c r="I1419" s="6">
        <f>Tabela1[[#This Row],[Valor total]]-Tabela1[[#This Row],[Valor custo]]</f>
        <v>2768.8</v>
      </c>
      <c r="J1419" s="7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">
        <v>2516.11</v>
      </c>
      <c r="H1420" s="1">
        <v>3660</v>
      </c>
      <c r="I1420" s="6">
        <f>Tabela1[[#This Row],[Valor total]]-Tabela1[[#This Row],[Valor custo]]</f>
        <v>1143.8899999999999</v>
      </c>
      <c r="J1420" s="7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">
        <v>706.94</v>
      </c>
      <c r="H1421" s="1">
        <v>1245</v>
      </c>
      <c r="I1421" s="6">
        <f>Tabela1[[#This Row],[Valor total]]-Tabela1[[#This Row],[Valor custo]]</f>
        <v>538.05999999999995</v>
      </c>
      <c r="J1421" s="7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">
        <v>473</v>
      </c>
      <c r="H1422" s="1">
        <v>655</v>
      </c>
      <c r="I1422" s="6">
        <f>Tabela1[[#This Row],[Valor total]]-Tabela1[[#This Row],[Valor custo]]</f>
        <v>182</v>
      </c>
      <c r="J1422" s="7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">
        <v>3078</v>
      </c>
      <c r="H1423" s="1">
        <v>5000</v>
      </c>
      <c r="I1423" s="6">
        <f>Tabela1[[#This Row],[Valor total]]-Tabela1[[#This Row],[Valor custo]]</f>
        <v>1922</v>
      </c>
      <c r="J1423" s="7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">
        <v>165.8</v>
      </c>
      <c r="H1424" s="1">
        <v>255</v>
      </c>
      <c r="I1424" s="6">
        <f>Tabela1[[#This Row],[Valor total]]-Tabela1[[#This Row],[Valor custo]]</f>
        <v>89.199999999999989</v>
      </c>
      <c r="J1424" s="7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">
        <v>4630.05</v>
      </c>
      <c r="H1425" s="1">
        <v>6210</v>
      </c>
      <c r="I1425" s="6">
        <f>Tabela1[[#This Row],[Valor total]]-Tabela1[[#This Row],[Valor custo]]</f>
        <v>1579.9499999999998</v>
      </c>
      <c r="J1425" s="7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">
        <v>946</v>
      </c>
      <c r="H1426" s="1">
        <v>1440</v>
      </c>
      <c r="I1426" s="6">
        <f>Tabela1[[#This Row],[Valor total]]-Tabela1[[#This Row],[Valor custo]]</f>
        <v>494</v>
      </c>
      <c r="J1426" s="7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">
        <v>1814</v>
      </c>
      <c r="H1427" s="1">
        <v>2655</v>
      </c>
      <c r="I1427" s="6">
        <f>Tabela1[[#This Row],[Valor total]]-Tabela1[[#This Row],[Valor custo]]</f>
        <v>841</v>
      </c>
      <c r="J1427" s="7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">
        <v>250</v>
      </c>
      <c r="H1428" s="1">
        <v>300</v>
      </c>
      <c r="I1428" s="6">
        <f>Tabela1[[#This Row],[Valor total]]-Tabela1[[#This Row],[Valor custo]]</f>
        <v>50</v>
      </c>
      <c r="J1428" s="7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">
        <v>13864.8</v>
      </c>
      <c r="H1429" s="1">
        <v>17175</v>
      </c>
      <c r="I1429" s="6">
        <f>Tabela1[[#This Row],[Valor total]]-Tabela1[[#This Row],[Valor custo]]</f>
        <v>3310.2000000000007</v>
      </c>
      <c r="J1429" s="7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">
        <v>631.6</v>
      </c>
      <c r="H1430" s="1">
        <v>1300</v>
      </c>
      <c r="I1430" s="6">
        <f>Tabela1[[#This Row],[Valor total]]-Tabela1[[#This Row],[Valor custo]]</f>
        <v>668.4</v>
      </c>
      <c r="J1430" s="7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">
        <v>3126</v>
      </c>
      <c r="H1431" s="1">
        <v>4860</v>
      </c>
      <c r="I1431" s="6">
        <f>Tabela1[[#This Row],[Valor total]]-Tabela1[[#This Row],[Valor custo]]</f>
        <v>1734</v>
      </c>
      <c r="J1431" s="7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">
        <v>7497.8</v>
      </c>
      <c r="H1432" s="1">
        <v>10970</v>
      </c>
      <c r="I1432" s="6">
        <f>Tabela1[[#This Row],[Valor total]]-Tabela1[[#This Row],[Valor custo]]</f>
        <v>3472.2</v>
      </c>
      <c r="J1432" s="7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">
        <v>5454</v>
      </c>
      <c r="H1433" s="1">
        <v>7470</v>
      </c>
      <c r="I1433" s="6">
        <f>Tabela1[[#This Row],[Valor total]]-Tabela1[[#This Row],[Valor custo]]</f>
        <v>2016</v>
      </c>
      <c r="J1433" s="7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">
        <v>5100</v>
      </c>
      <c r="H1434" s="1">
        <v>7170</v>
      </c>
      <c r="I1434" s="6">
        <f>Tabela1[[#This Row],[Valor total]]-Tabela1[[#This Row],[Valor custo]]</f>
        <v>2070</v>
      </c>
      <c r="J1434" s="7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">
        <v>90</v>
      </c>
      <c r="H1435" s="1">
        <v>180</v>
      </c>
      <c r="I1435" s="6">
        <f>Tabela1[[#This Row],[Valor total]]-Tabela1[[#This Row],[Valor custo]]</f>
        <v>90</v>
      </c>
      <c r="J1435" s="7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">
        <v>882.87</v>
      </c>
      <c r="H1436" s="1">
        <v>912</v>
      </c>
      <c r="I1436" s="6">
        <f>Tabela1[[#This Row],[Valor total]]-Tabela1[[#This Row],[Valor custo]]</f>
        <v>29.129999999999995</v>
      </c>
      <c r="J1436" s="7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">
        <v>473</v>
      </c>
      <c r="H1437" s="1">
        <v>655</v>
      </c>
      <c r="I1437" s="6">
        <f>Tabela1[[#This Row],[Valor total]]-Tabela1[[#This Row],[Valor custo]]</f>
        <v>182</v>
      </c>
      <c r="J1437" s="7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">
        <v>31.6</v>
      </c>
      <c r="H1438" s="1">
        <v>140</v>
      </c>
      <c r="I1438" s="6">
        <f>Tabela1[[#This Row],[Valor total]]-Tabela1[[#This Row],[Valor custo]]</f>
        <v>108.4</v>
      </c>
      <c r="J1438" s="7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">
        <v>534.87</v>
      </c>
      <c r="H1439" s="1">
        <v>735</v>
      </c>
      <c r="I1439" s="6">
        <f>Tabela1[[#This Row],[Valor total]]-Tabela1[[#This Row],[Valor custo]]</f>
        <v>200.13</v>
      </c>
      <c r="J1439" s="7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">
        <v>2336</v>
      </c>
      <c r="H1440" s="1">
        <v>3600</v>
      </c>
      <c r="I1440" s="6">
        <f>Tabela1[[#This Row],[Valor total]]-Tabela1[[#This Row],[Valor custo]]</f>
        <v>1264</v>
      </c>
      <c r="J1440" s="7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">
        <v>473</v>
      </c>
      <c r="H1441" s="1">
        <v>741.2</v>
      </c>
      <c r="I1441" s="6">
        <f>Tabela1[[#This Row],[Valor total]]-Tabela1[[#This Row],[Valor custo]]</f>
        <v>268.20000000000005</v>
      </c>
      <c r="J1441" s="7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">
        <v>994</v>
      </c>
      <c r="H1442" s="1">
        <v>1460</v>
      </c>
      <c r="I1442" s="6">
        <f>Tabela1[[#This Row],[Valor total]]-Tabela1[[#This Row],[Valor custo]]</f>
        <v>466</v>
      </c>
      <c r="J1442" s="7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">
        <v>2838</v>
      </c>
      <c r="H1443" s="1">
        <v>3930</v>
      </c>
      <c r="I1443" s="6">
        <f>Tabela1[[#This Row],[Valor total]]-Tabela1[[#This Row],[Valor custo]]</f>
        <v>1092</v>
      </c>
      <c r="J1443" s="7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">
        <v>2474</v>
      </c>
      <c r="H1444" s="1">
        <v>4400</v>
      </c>
      <c r="I1444" s="6">
        <f>Tabela1[[#This Row],[Valor total]]-Tabela1[[#This Row],[Valor custo]]</f>
        <v>1926</v>
      </c>
      <c r="J1444" s="7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">
        <v>584</v>
      </c>
      <c r="H1445" s="1">
        <v>869</v>
      </c>
      <c r="I1445" s="6">
        <f>Tabela1[[#This Row],[Valor total]]-Tabela1[[#This Row],[Valor custo]]</f>
        <v>285</v>
      </c>
      <c r="J1445" s="7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">
        <v>57.13</v>
      </c>
      <c r="H1446" s="1">
        <v>190</v>
      </c>
      <c r="I1446" s="6">
        <f>Tabela1[[#This Row],[Valor total]]-Tabela1[[#This Row],[Valor custo]]</f>
        <v>132.87</v>
      </c>
      <c r="J1446" s="7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">
        <v>18.3</v>
      </c>
      <c r="H1447" s="1">
        <v>24</v>
      </c>
      <c r="I1447" s="6">
        <f>Tabela1[[#This Row],[Valor total]]-Tabela1[[#This Row],[Valor custo]]</f>
        <v>5.6999999999999993</v>
      </c>
      <c r="J1447" s="7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">
        <v>1229.6099999999999</v>
      </c>
      <c r="H1448" s="1">
        <v>1755</v>
      </c>
      <c r="I1448" s="6">
        <f>Tabela1[[#This Row],[Valor total]]-Tabela1[[#This Row],[Valor custo]]</f>
        <v>525.3900000000001</v>
      </c>
      <c r="J1448" s="7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">
        <v>1303.8699999999999</v>
      </c>
      <c r="H1449" s="1">
        <v>1815</v>
      </c>
      <c r="I1449" s="6">
        <f>Tabela1[[#This Row],[Valor total]]-Tabela1[[#This Row],[Valor custo]]</f>
        <v>511.13000000000011</v>
      </c>
      <c r="J1449" s="7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">
        <v>1564.37</v>
      </c>
      <c r="H1450" s="1">
        <v>1575</v>
      </c>
      <c r="I1450" s="6">
        <f>Tabela1[[#This Row],[Valor total]]-Tabela1[[#This Row],[Valor custo]]</f>
        <v>10.630000000000109</v>
      </c>
      <c r="J1450" s="7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">
        <v>5797.3</v>
      </c>
      <c r="H1451" s="1">
        <v>7550</v>
      </c>
      <c r="I1451" s="6">
        <f>Tabela1[[#This Row],[Valor total]]-Tabela1[[#This Row],[Valor custo]]</f>
        <v>1752.6999999999998</v>
      </c>
      <c r="J1451" s="7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">
        <v>5746.92</v>
      </c>
      <c r="H1452" s="1">
        <v>8750</v>
      </c>
      <c r="I1452" s="6">
        <f>Tabela1[[#This Row],[Valor total]]-Tabela1[[#This Row],[Valor custo]]</f>
        <v>3003.08</v>
      </c>
      <c r="J1452" s="7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">
        <v>9460</v>
      </c>
      <c r="H1453" s="1">
        <v>11980</v>
      </c>
      <c r="I1453" s="6">
        <f>Tabela1[[#This Row],[Valor total]]-Tabela1[[#This Row],[Valor custo]]</f>
        <v>2520</v>
      </c>
      <c r="J1453" s="7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">
        <v>6215</v>
      </c>
      <c r="H1454" s="1">
        <v>8905</v>
      </c>
      <c r="I1454" s="6">
        <f>Tabela1[[#This Row],[Valor total]]-Tabela1[[#This Row],[Valor custo]]</f>
        <v>2690</v>
      </c>
      <c r="J1454" s="7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">
        <v>697.1</v>
      </c>
      <c r="H1455" s="1">
        <v>955</v>
      </c>
      <c r="I1455" s="6">
        <f>Tabela1[[#This Row],[Valor total]]-Tabela1[[#This Row],[Valor custo]]</f>
        <v>257.89999999999998</v>
      </c>
      <c r="J1455" s="7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">
        <v>219.42</v>
      </c>
      <c r="H1456" s="1">
        <v>270</v>
      </c>
      <c r="I1456" s="6">
        <f>Tabela1[[#This Row],[Valor total]]-Tabela1[[#This Row],[Valor custo]]</f>
        <v>50.580000000000013</v>
      </c>
      <c r="J1456" s="7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">
        <v>2238.7399999999998</v>
      </c>
      <c r="H1457" s="1">
        <v>2790</v>
      </c>
      <c r="I1457" s="6">
        <f>Tabela1[[#This Row],[Valor total]]-Tabela1[[#This Row],[Valor custo]]</f>
        <v>551.26000000000022</v>
      </c>
      <c r="J1457" s="7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">
        <v>521</v>
      </c>
      <c r="H1458" s="1">
        <v>700</v>
      </c>
      <c r="I1458" s="6">
        <f>Tabela1[[#This Row],[Valor total]]-Tabela1[[#This Row],[Valor custo]]</f>
        <v>179</v>
      </c>
      <c r="J1458" s="7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">
        <v>1813.87</v>
      </c>
      <c r="H1459" s="1">
        <v>2915</v>
      </c>
      <c r="I1459" s="6">
        <f>Tabela1[[#This Row],[Valor total]]-Tabela1[[#This Row],[Valor custo]]</f>
        <v>1101.1300000000001</v>
      </c>
      <c r="J1459" s="7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">
        <v>3479</v>
      </c>
      <c r="H1460" s="1">
        <v>5250</v>
      </c>
      <c r="I1460" s="6">
        <f>Tabela1[[#This Row],[Valor total]]-Tabela1[[#This Row],[Valor custo]]</f>
        <v>1771</v>
      </c>
      <c r="J1460" s="7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">
        <v>9460</v>
      </c>
      <c r="H1461" s="1">
        <v>11980</v>
      </c>
      <c r="I1461" s="6">
        <f>Tabela1[[#This Row],[Valor total]]-Tabela1[[#This Row],[Valor custo]]</f>
        <v>2520</v>
      </c>
      <c r="J1461" s="7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">
        <v>584</v>
      </c>
      <c r="H1462" s="1">
        <v>940</v>
      </c>
      <c r="I1462" s="6">
        <f>Tabela1[[#This Row],[Valor total]]-Tabela1[[#This Row],[Valor custo]]</f>
        <v>356</v>
      </c>
      <c r="J1462" s="7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">
        <v>1042</v>
      </c>
      <c r="H1463" s="1">
        <v>1620</v>
      </c>
      <c r="I1463" s="6">
        <f>Tabela1[[#This Row],[Valor total]]-Tabela1[[#This Row],[Valor custo]]</f>
        <v>578</v>
      </c>
      <c r="J1463" s="7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">
        <v>1443</v>
      </c>
      <c r="H1464" s="1">
        <v>2060</v>
      </c>
      <c r="I1464" s="6">
        <f>Tabela1[[#This Row],[Valor total]]-Tabela1[[#This Row],[Valor custo]]</f>
        <v>617</v>
      </c>
      <c r="J1464" s="7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">
        <v>2129.8000000000002</v>
      </c>
      <c r="H1465" s="1">
        <v>3320</v>
      </c>
      <c r="I1465" s="6">
        <f>Tabela1[[#This Row],[Valor total]]-Tabela1[[#This Row],[Valor custo]]</f>
        <v>1190.1999999999998</v>
      </c>
      <c r="J1465" s="7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">
        <v>409.87</v>
      </c>
      <c r="H1466" s="1">
        <v>585</v>
      </c>
      <c r="I1466" s="6">
        <f>Tabela1[[#This Row],[Valor total]]-Tabela1[[#This Row],[Valor custo]]</f>
        <v>175.13</v>
      </c>
      <c r="J1466" s="7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">
        <v>946</v>
      </c>
      <c r="H1467" s="1">
        <v>2000</v>
      </c>
      <c r="I1467" s="6">
        <f>Tabela1[[#This Row],[Valor total]]-Tabela1[[#This Row],[Valor custo]]</f>
        <v>1054</v>
      </c>
      <c r="J1467" s="7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">
        <v>103.69</v>
      </c>
      <c r="H1468" s="1">
        <v>300</v>
      </c>
      <c r="I1468" s="6">
        <f>Tabela1[[#This Row],[Valor total]]-Tabela1[[#This Row],[Valor custo]]</f>
        <v>196.31</v>
      </c>
      <c r="J1468" s="7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">
        <v>7804</v>
      </c>
      <c r="H1469" s="1">
        <v>11000.01</v>
      </c>
      <c r="I1469" s="6">
        <f>Tabela1[[#This Row],[Valor total]]-Tabela1[[#This Row],[Valor custo]]</f>
        <v>3196.01</v>
      </c>
      <c r="J1469" s="7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">
        <v>923.87</v>
      </c>
      <c r="H1470" s="1">
        <v>1295</v>
      </c>
      <c r="I1470" s="6">
        <f>Tabela1[[#This Row],[Valor total]]-Tabela1[[#This Row],[Valor custo]]</f>
        <v>371.13</v>
      </c>
      <c r="J1470" s="7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">
        <v>473</v>
      </c>
      <c r="H1471" s="1">
        <v>650</v>
      </c>
      <c r="I1471" s="6">
        <f>Tabela1[[#This Row],[Valor total]]-Tabela1[[#This Row],[Valor custo]]</f>
        <v>177</v>
      </c>
      <c r="J1471" s="7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">
        <v>32.5</v>
      </c>
      <c r="H1472" s="1">
        <v>50</v>
      </c>
      <c r="I1472" s="6">
        <f>Tabela1[[#This Row],[Valor total]]-Tabela1[[#This Row],[Valor custo]]</f>
        <v>17.5</v>
      </c>
      <c r="J1472" s="7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">
        <v>146.12</v>
      </c>
      <c r="H1473" s="1">
        <v>570</v>
      </c>
      <c r="I1473" s="6">
        <f>Tabela1[[#This Row],[Valor total]]-Tabela1[[#This Row],[Valor custo]]</f>
        <v>423.88</v>
      </c>
      <c r="J1473" s="7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">
        <v>506</v>
      </c>
      <c r="H1474" s="1">
        <v>850</v>
      </c>
      <c r="I1474" s="6">
        <f>Tabela1[[#This Row],[Valor total]]-Tabela1[[#This Row],[Valor custo]]</f>
        <v>344</v>
      </c>
      <c r="J1474" s="7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">
        <v>1168</v>
      </c>
      <c r="H1475" s="1">
        <v>1620</v>
      </c>
      <c r="I1475" s="6">
        <f>Tabela1[[#This Row],[Valor total]]-Tabela1[[#This Row],[Valor custo]]</f>
        <v>452</v>
      </c>
      <c r="J1475" s="7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">
        <v>49.21</v>
      </c>
      <c r="H1476" s="1">
        <v>80</v>
      </c>
      <c r="I1476" s="6">
        <f>Tabela1[[#This Row],[Valor total]]-Tabela1[[#This Row],[Valor custo]]</f>
        <v>30.79</v>
      </c>
      <c r="J1476" s="7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">
        <v>521</v>
      </c>
      <c r="H1477" s="1">
        <v>750</v>
      </c>
      <c r="I1477" s="6">
        <f>Tabela1[[#This Row],[Valor total]]-Tabela1[[#This Row],[Valor custo]]</f>
        <v>229</v>
      </c>
      <c r="J1477" s="7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">
        <v>1500</v>
      </c>
      <c r="H1478" s="1">
        <v>2270</v>
      </c>
      <c r="I1478" s="6">
        <f>Tabela1[[#This Row],[Valor total]]-Tabela1[[#This Row],[Valor custo]]</f>
        <v>770</v>
      </c>
      <c r="J1478" s="7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">
        <v>931.21</v>
      </c>
      <c r="H1479" s="1">
        <v>1780</v>
      </c>
      <c r="I1479" s="6">
        <f>Tabela1[[#This Row],[Valor total]]-Tabela1[[#This Row],[Valor custo]]</f>
        <v>848.79</v>
      </c>
      <c r="J1479" s="7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">
        <v>3558</v>
      </c>
      <c r="H1480" s="1">
        <v>5425</v>
      </c>
      <c r="I1480" s="6">
        <f>Tabela1[[#This Row],[Valor total]]-Tabela1[[#This Row],[Valor custo]]</f>
        <v>1867</v>
      </c>
      <c r="J1480" s="7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">
        <v>4730</v>
      </c>
      <c r="H1481" s="1">
        <v>6550</v>
      </c>
      <c r="I1481" s="6">
        <f>Tabela1[[#This Row],[Valor total]]-Tabela1[[#This Row],[Valor custo]]</f>
        <v>1820</v>
      </c>
      <c r="J1481" s="7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">
        <v>2819</v>
      </c>
      <c r="H1482" s="1">
        <v>3969</v>
      </c>
      <c r="I1482" s="6">
        <f>Tabela1[[#This Row],[Valor total]]-Tabela1[[#This Row],[Valor custo]]</f>
        <v>1150</v>
      </c>
      <c r="J1482" s="7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">
        <v>8292.2000000000007</v>
      </c>
      <c r="H1483" s="1">
        <v>11700</v>
      </c>
      <c r="I1483" s="6">
        <f>Tabela1[[#This Row],[Valor total]]-Tabela1[[#This Row],[Valor custo]]</f>
        <v>3407.7999999999993</v>
      </c>
      <c r="J1483" s="7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">
        <v>1025</v>
      </c>
      <c r="H1484" s="1">
        <v>1600</v>
      </c>
      <c r="I1484" s="6">
        <f>Tabela1[[#This Row],[Valor total]]-Tabela1[[#This Row],[Valor custo]]</f>
        <v>575</v>
      </c>
      <c r="J1484" s="7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">
        <v>833.43</v>
      </c>
      <c r="H1485" s="1">
        <v>1250</v>
      </c>
      <c r="I1485" s="6">
        <f>Tabela1[[#This Row],[Valor total]]-Tabela1[[#This Row],[Valor custo]]</f>
        <v>416.57000000000005</v>
      </c>
      <c r="J1485" s="7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">
        <v>17029.400000000001</v>
      </c>
      <c r="H1486" s="1">
        <v>22625</v>
      </c>
      <c r="I1486" s="6">
        <f>Tabela1[[#This Row],[Valor total]]-Tabela1[[#This Row],[Valor custo]]</f>
        <v>5595.5999999999985</v>
      </c>
      <c r="J1486" s="7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">
        <v>5435</v>
      </c>
      <c r="H1487" s="1">
        <v>7710</v>
      </c>
      <c r="I1487" s="6">
        <f>Tabela1[[#This Row],[Valor total]]-Tabela1[[#This Row],[Valor custo]]</f>
        <v>2275</v>
      </c>
      <c r="J1487" s="7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">
        <v>473</v>
      </c>
      <c r="H1488" s="1">
        <v>696</v>
      </c>
      <c r="I1488" s="6">
        <f>Tabela1[[#This Row],[Valor total]]-Tabela1[[#This Row],[Valor custo]]</f>
        <v>223</v>
      </c>
      <c r="J1488" s="7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">
        <v>2217.9</v>
      </c>
      <c r="H1489" s="1">
        <v>3465</v>
      </c>
      <c r="I1489" s="6">
        <f>Tabela1[[#This Row],[Valor total]]-Tabela1[[#This Row],[Valor custo]]</f>
        <v>1247.0999999999999</v>
      </c>
      <c r="J1489" s="7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">
        <v>473</v>
      </c>
      <c r="H1490" s="1">
        <v>720</v>
      </c>
      <c r="I1490" s="6">
        <f>Tabela1[[#This Row],[Valor total]]-Tabela1[[#This Row],[Valor custo]]</f>
        <v>247</v>
      </c>
      <c r="J1490" s="7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">
        <v>0</v>
      </c>
      <c r="H1491" s="1">
        <v>520</v>
      </c>
      <c r="I1491" s="6">
        <f>Tabela1[[#This Row],[Valor total]]-Tabela1[[#This Row],[Valor custo]]</f>
        <v>520</v>
      </c>
      <c r="J1491" s="7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">
        <v>9.3800000000000008</v>
      </c>
      <c r="H1492" s="1">
        <v>0</v>
      </c>
      <c r="I1492" s="6">
        <f>Tabela1[[#This Row],[Valor total]]-Tabela1[[#This Row],[Valor custo]]</f>
        <v>-9.3800000000000008</v>
      </c>
      <c r="J1492" s="7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">
        <v>1025</v>
      </c>
      <c r="H1493" s="1">
        <v>1500</v>
      </c>
      <c r="I1493" s="6">
        <f>Tabela1[[#This Row],[Valor total]]-Tabela1[[#This Row],[Valor custo]]</f>
        <v>475</v>
      </c>
      <c r="J1493" s="7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">
        <v>5211</v>
      </c>
      <c r="H1494" s="1">
        <v>7960</v>
      </c>
      <c r="I1494" s="6">
        <f>Tabela1[[#This Row],[Valor total]]-Tabela1[[#This Row],[Valor custo]]</f>
        <v>2749</v>
      </c>
      <c r="J1494" s="7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">
        <v>823.27</v>
      </c>
      <c r="H1495" s="1">
        <v>1158</v>
      </c>
      <c r="I1495" s="6">
        <f>Tabela1[[#This Row],[Valor total]]-Tabela1[[#This Row],[Valor custo]]</f>
        <v>334.73</v>
      </c>
      <c r="J1495" s="7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">
        <v>1042</v>
      </c>
      <c r="H1496" s="1">
        <v>1680</v>
      </c>
      <c r="I1496" s="6">
        <f>Tabela1[[#This Row],[Valor total]]-Tabela1[[#This Row],[Valor custo]]</f>
        <v>638</v>
      </c>
      <c r="J1496" s="7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">
        <v>4749.6000000000004</v>
      </c>
      <c r="H1497" s="1">
        <v>6810</v>
      </c>
      <c r="I1497" s="6">
        <f>Tabela1[[#This Row],[Valor total]]-Tabela1[[#This Row],[Valor custo]]</f>
        <v>2060.3999999999996</v>
      </c>
      <c r="J1497" s="7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">
        <v>970</v>
      </c>
      <c r="H1498" s="1">
        <v>1355</v>
      </c>
      <c r="I1498" s="6">
        <f>Tabela1[[#This Row],[Valor total]]-Tabela1[[#This Row],[Valor custo]]</f>
        <v>385</v>
      </c>
      <c r="J1498" s="7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">
        <v>29.49</v>
      </c>
      <c r="H1499" s="1">
        <v>160</v>
      </c>
      <c r="I1499" s="6">
        <f>Tabela1[[#This Row],[Valor total]]-Tabela1[[#This Row],[Valor custo]]</f>
        <v>130.51</v>
      </c>
      <c r="J1499" s="7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">
        <v>293.13</v>
      </c>
      <c r="H1500" s="1">
        <v>450</v>
      </c>
      <c r="I1500" s="6">
        <f>Tabela1[[#This Row],[Valor total]]-Tabela1[[#This Row],[Valor custo]]</f>
        <v>156.87</v>
      </c>
      <c r="J1500" s="7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">
        <v>473</v>
      </c>
      <c r="H1501" s="1">
        <v>750</v>
      </c>
      <c r="I1501" s="6">
        <f>Tabela1[[#This Row],[Valor total]]-Tabela1[[#This Row],[Valor custo]]</f>
        <v>277</v>
      </c>
      <c r="J1501" s="7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">
        <v>50</v>
      </c>
      <c r="H1502" s="1">
        <v>60</v>
      </c>
      <c r="I1502" s="6">
        <f>Tabela1[[#This Row],[Valor total]]-Tabela1[[#This Row],[Valor custo]]</f>
        <v>10</v>
      </c>
      <c r="J1502" s="7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">
        <v>455</v>
      </c>
      <c r="H1503" s="1">
        <v>650</v>
      </c>
      <c r="I1503" s="6">
        <f>Tabela1[[#This Row],[Valor total]]-Tabela1[[#This Row],[Valor custo]]</f>
        <v>195</v>
      </c>
      <c r="J1503" s="7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">
        <v>1419</v>
      </c>
      <c r="H1504" s="1">
        <v>1965</v>
      </c>
      <c r="I1504" s="6">
        <f>Tabela1[[#This Row],[Valor total]]-Tabela1[[#This Row],[Valor custo]]</f>
        <v>546</v>
      </c>
      <c r="J1504" s="7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">
        <v>16218.7</v>
      </c>
      <c r="H1505" s="1">
        <v>21620</v>
      </c>
      <c r="I1505" s="6">
        <f>Tabela1[[#This Row],[Valor total]]-Tabela1[[#This Row],[Valor custo]]</f>
        <v>5401.2999999999993</v>
      </c>
      <c r="J1505" s="7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">
        <v>584</v>
      </c>
      <c r="H1506" s="1">
        <v>845</v>
      </c>
      <c r="I1506" s="6">
        <f>Tabela1[[#This Row],[Valor total]]-Tabela1[[#This Row],[Valor custo]]</f>
        <v>261</v>
      </c>
      <c r="J1506" s="7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">
        <v>134.30000000000001</v>
      </c>
      <c r="H1507" s="1">
        <v>595</v>
      </c>
      <c r="I1507" s="6">
        <f>Tabela1[[#This Row],[Valor total]]-Tabela1[[#This Row],[Valor custo]]</f>
        <v>460.7</v>
      </c>
      <c r="J1507" s="7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">
        <v>2605</v>
      </c>
      <c r="H1508" s="1">
        <v>3750</v>
      </c>
      <c r="I1508" s="6">
        <f>Tabela1[[#This Row],[Valor total]]-Tabela1[[#This Row],[Valor custo]]</f>
        <v>1145</v>
      </c>
      <c r="J1508" s="7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">
        <v>419.25</v>
      </c>
      <c r="H1509" s="1">
        <v>600</v>
      </c>
      <c r="I1509" s="6">
        <f>Tabela1[[#This Row],[Valor total]]-Tabela1[[#This Row],[Valor custo]]</f>
        <v>180.75</v>
      </c>
      <c r="J1509" s="7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">
        <v>831.94</v>
      </c>
      <c r="H1510" s="1">
        <v>1186</v>
      </c>
      <c r="I1510" s="6">
        <f>Tabela1[[#This Row],[Valor total]]-Tabela1[[#This Row],[Valor custo]]</f>
        <v>354.05999999999995</v>
      </c>
      <c r="J1510" s="7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">
        <v>2335</v>
      </c>
      <c r="H1511" s="1">
        <v>3310</v>
      </c>
      <c r="I1511" s="6">
        <f>Tabela1[[#This Row],[Valor total]]-Tabela1[[#This Row],[Valor custo]]</f>
        <v>975</v>
      </c>
      <c r="J1511" s="7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">
        <v>1292.74</v>
      </c>
      <c r="H1512" s="1">
        <v>1795</v>
      </c>
      <c r="I1512" s="6">
        <f>Tabela1[[#This Row],[Valor total]]-Tabela1[[#This Row],[Valor custo]]</f>
        <v>502.26</v>
      </c>
      <c r="J1512" s="7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">
        <v>3904</v>
      </c>
      <c r="H1513" s="1">
        <v>5715</v>
      </c>
      <c r="I1513" s="6">
        <f>Tabela1[[#This Row],[Valor total]]-Tabela1[[#This Row],[Valor custo]]</f>
        <v>1811</v>
      </c>
      <c r="J1513" s="7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">
        <v>1788</v>
      </c>
      <c r="H1514" s="1">
        <v>2460</v>
      </c>
      <c r="I1514" s="6">
        <f>Tabela1[[#This Row],[Valor total]]-Tabela1[[#This Row],[Valor custo]]</f>
        <v>672</v>
      </c>
      <c r="J1514" s="7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">
        <v>3706</v>
      </c>
      <c r="H1515" s="1">
        <v>5120</v>
      </c>
      <c r="I1515" s="6">
        <f>Tabela1[[#This Row],[Valor total]]-Tabela1[[#This Row],[Valor custo]]</f>
        <v>1414</v>
      </c>
      <c r="J1515" s="7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">
        <v>5210.8999999999996</v>
      </c>
      <c r="H1516" s="1">
        <v>6900</v>
      </c>
      <c r="I1516" s="6">
        <f>Tabela1[[#This Row],[Valor total]]-Tabela1[[#This Row],[Valor custo]]</f>
        <v>1689.1000000000004</v>
      </c>
      <c r="J1516" s="7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">
        <v>894</v>
      </c>
      <c r="H1517" s="1">
        <v>1230</v>
      </c>
      <c r="I1517" s="6">
        <f>Tabela1[[#This Row],[Valor total]]-Tabela1[[#This Row],[Valor custo]]</f>
        <v>336</v>
      </c>
      <c r="J1517" s="7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">
        <v>2285</v>
      </c>
      <c r="H1518" s="1">
        <v>3210</v>
      </c>
      <c r="I1518" s="6">
        <f>Tabela1[[#This Row],[Valor total]]-Tabela1[[#This Row],[Valor custo]]</f>
        <v>925</v>
      </c>
      <c r="J1518" s="7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">
        <v>3126</v>
      </c>
      <c r="H1519" s="1">
        <v>4860</v>
      </c>
      <c r="I1519" s="6">
        <f>Tabela1[[#This Row],[Valor total]]-Tabela1[[#This Row],[Valor custo]]</f>
        <v>1734</v>
      </c>
      <c r="J1519" s="7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">
        <v>894.74</v>
      </c>
      <c r="H1520" s="1">
        <v>1260</v>
      </c>
      <c r="I1520" s="6">
        <f>Tabela1[[#This Row],[Valor total]]-Tabela1[[#This Row],[Valor custo]]</f>
        <v>365.26</v>
      </c>
      <c r="J1520" s="7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">
        <v>1480</v>
      </c>
      <c r="H1521" s="1">
        <v>2800</v>
      </c>
      <c r="I1521" s="6">
        <f>Tabela1[[#This Row],[Valor total]]-Tabela1[[#This Row],[Valor custo]]</f>
        <v>1320</v>
      </c>
      <c r="J1521" s="7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">
        <v>1410</v>
      </c>
      <c r="H1522" s="1">
        <v>3000</v>
      </c>
      <c r="I1522" s="6">
        <f>Tabela1[[#This Row],[Valor total]]-Tabela1[[#This Row],[Valor custo]]</f>
        <v>1590</v>
      </c>
      <c r="J1522" s="7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">
        <v>932</v>
      </c>
      <c r="H1523" s="1">
        <v>1560</v>
      </c>
      <c r="I1523" s="6">
        <f>Tabela1[[#This Row],[Valor total]]-Tabela1[[#This Row],[Valor custo]]</f>
        <v>628</v>
      </c>
      <c r="J1523" s="7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">
        <v>1602</v>
      </c>
      <c r="H1524" s="1">
        <v>2607</v>
      </c>
      <c r="I1524" s="6">
        <f>Tabela1[[#This Row],[Valor total]]-Tabela1[[#This Row],[Valor custo]]</f>
        <v>1005</v>
      </c>
      <c r="J1524" s="7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">
        <v>9929.9500000000007</v>
      </c>
      <c r="H1525" s="1">
        <v>15795</v>
      </c>
      <c r="I1525" s="6">
        <f>Tabela1[[#This Row],[Valor total]]-Tabela1[[#This Row],[Valor custo]]</f>
        <v>5865.0499999999993</v>
      </c>
      <c r="J1525" s="7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">
        <v>584</v>
      </c>
      <c r="H1526" s="1">
        <v>869</v>
      </c>
      <c r="I1526" s="6">
        <f>Tabela1[[#This Row],[Valor total]]-Tabela1[[#This Row],[Valor custo]]</f>
        <v>285</v>
      </c>
      <c r="J1526" s="7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">
        <v>815.09</v>
      </c>
      <c r="H1527" s="1">
        <v>1300</v>
      </c>
      <c r="I1527" s="6">
        <f>Tabela1[[#This Row],[Valor total]]-Tabela1[[#This Row],[Valor custo]]</f>
        <v>484.90999999999997</v>
      </c>
      <c r="J1527" s="7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">
        <v>2192.29</v>
      </c>
      <c r="H1528" s="1">
        <v>3648</v>
      </c>
      <c r="I1528" s="6">
        <f>Tabela1[[#This Row],[Valor total]]-Tabela1[[#This Row],[Valor custo]]</f>
        <v>1455.71</v>
      </c>
      <c r="J1528" s="7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">
        <v>757</v>
      </c>
      <c r="H1529" s="1">
        <v>1500</v>
      </c>
      <c r="I1529" s="6">
        <f>Tabela1[[#This Row],[Valor total]]-Tabela1[[#This Row],[Valor custo]]</f>
        <v>743</v>
      </c>
      <c r="J1529" s="7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">
        <v>910</v>
      </c>
      <c r="H1530" s="1">
        <v>1570</v>
      </c>
      <c r="I1530" s="6">
        <f>Tabela1[[#This Row],[Valor total]]-Tabela1[[#This Row],[Valor custo]]</f>
        <v>660</v>
      </c>
      <c r="J1530" s="7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">
        <v>2590.67</v>
      </c>
      <c r="H1531" s="1">
        <v>4080</v>
      </c>
      <c r="I1531" s="6">
        <f>Tabela1[[#This Row],[Valor total]]-Tabela1[[#This Row],[Valor custo]]</f>
        <v>1489.33</v>
      </c>
      <c r="J1531" s="7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">
        <v>937.78</v>
      </c>
      <c r="H1532" s="1">
        <v>1500</v>
      </c>
      <c r="I1532" s="6">
        <f>Tabela1[[#This Row],[Valor total]]-Tabela1[[#This Row],[Valor custo]]</f>
        <v>562.22</v>
      </c>
      <c r="J1532" s="7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">
        <v>72.2</v>
      </c>
      <c r="H1533" s="1">
        <v>55</v>
      </c>
      <c r="I1533" s="6">
        <f>Tabela1[[#This Row],[Valor total]]-Tabela1[[#This Row],[Valor custo]]</f>
        <v>-17.200000000000003</v>
      </c>
      <c r="J1533" s="7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">
        <v>10019</v>
      </c>
      <c r="H1534" s="1">
        <v>13800</v>
      </c>
      <c r="I1534" s="6">
        <f>Tabela1[[#This Row],[Valor total]]-Tabela1[[#This Row],[Valor custo]]</f>
        <v>3781</v>
      </c>
      <c r="J1534" s="7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">
        <v>2907.69</v>
      </c>
      <c r="H1535" s="1">
        <v>4855</v>
      </c>
      <c r="I1535" s="6">
        <f>Tabela1[[#This Row],[Valor total]]-Tabela1[[#This Row],[Valor custo]]</f>
        <v>1947.31</v>
      </c>
      <c r="J1535" s="7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">
        <v>613.74</v>
      </c>
      <c r="H1536" s="1">
        <v>820</v>
      </c>
      <c r="I1536" s="6">
        <f>Tabela1[[#This Row],[Valor total]]-Tabela1[[#This Row],[Valor custo]]</f>
        <v>206.26</v>
      </c>
      <c r="J1536" s="7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">
        <v>293.13</v>
      </c>
      <c r="H1537" s="1">
        <v>450</v>
      </c>
      <c r="I1537" s="6">
        <f>Tabela1[[#This Row],[Valor total]]-Tabela1[[#This Row],[Valor custo]]</f>
        <v>156.87</v>
      </c>
      <c r="J1537" s="7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">
        <v>1775.58</v>
      </c>
      <c r="H1538" s="1">
        <v>2900</v>
      </c>
      <c r="I1538" s="6">
        <f>Tabela1[[#This Row],[Valor total]]-Tabela1[[#This Row],[Valor custo]]</f>
        <v>1124.42</v>
      </c>
      <c r="J1538" s="7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">
        <v>7760</v>
      </c>
      <c r="H1539" s="1">
        <v>11240</v>
      </c>
      <c r="I1539" s="6">
        <f>Tabela1[[#This Row],[Valor total]]-Tabela1[[#This Row],[Valor custo]]</f>
        <v>3480</v>
      </c>
      <c r="J1539" s="7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">
        <v>8610</v>
      </c>
      <c r="H1540" s="1">
        <v>12600</v>
      </c>
      <c r="I1540" s="6">
        <f>Tabela1[[#This Row],[Valor total]]-Tabela1[[#This Row],[Valor custo]]</f>
        <v>3990</v>
      </c>
      <c r="J1540" s="7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">
        <v>1652.39</v>
      </c>
      <c r="H1541" s="1">
        <v>2750</v>
      </c>
      <c r="I1541" s="6">
        <f>Tabela1[[#This Row],[Valor total]]-Tabela1[[#This Row],[Valor custo]]</f>
        <v>1097.6099999999999</v>
      </c>
      <c r="J1541" s="7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">
        <v>26.61</v>
      </c>
      <c r="H1542" s="1">
        <v>96.5</v>
      </c>
      <c r="I1542" s="6">
        <f>Tabela1[[#This Row],[Valor total]]-Tabela1[[#This Row],[Valor custo]]</f>
        <v>69.89</v>
      </c>
      <c r="J1542" s="7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">
        <v>584</v>
      </c>
      <c r="H1543" s="1">
        <v>869</v>
      </c>
      <c r="I1543" s="6">
        <f>Tabela1[[#This Row],[Valor total]]-Tabela1[[#This Row],[Valor custo]]</f>
        <v>285</v>
      </c>
      <c r="J1543" s="7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">
        <v>293.13</v>
      </c>
      <c r="H1544" s="1">
        <v>430</v>
      </c>
      <c r="I1544" s="6">
        <f>Tabela1[[#This Row],[Valor total]]-Tabela1[[#This Row],[Valor custo]]</f>
        <v>136.87</v>
      </c>
      <c r="J1544" s="7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">
        <v>1064.3</v>
      </c>
      <c r="H1545" s="1">
        <v>1960</v>
      </c>
      <c r="I1545" s="6">
        <f>Tabela1[[#This Row],[Valor total]]-Tabela1[[#This Row],[Valor custo]]</f>
        <v>895.7</v>
      </c>
      <c r="J1545" s="7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">
        <v>3518.92</v>
      </c>
      <c r="H1546" s="1">
        <v>5500</v>
      </c>
      <c r="I1546" s="6">
        <f>Tabela1[[#This Row],[Valor total]]-Tabela1[[#This Row],[Valor custo]]</f>
        <v>1981.08</v>
      </c>
      <c r="J1546" s="7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">
        <v>432.79</v>
      </c>
      <c r="H1547" s="1">
        <v>0</v>
      </c>
      <c r="I1547" s="6">
        <f>Tabela1[[#This Row],[Valor total]]-Tabela1[[#This Row],[Valor custo]]</f>
        <v>-432.79</v>
      </c>
      <c r="J1547" s="7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">
        <v>293.13</v>
      </c>
      <c r="H1548" s="1">
        <v>430</v>
      </c>
      <c r="I1548" s="6">
        <f>Tabela1[[#This Row],[Valor total]]-Tabela1[[#This Row],[Valor custo]]</f>
        <v>136.87</v>
      </c>
      <c r="J1548" s="7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">
        <v>519</v>
      </c>
      <c r="H1549" s="1">
        <v>795</v>
      </c>
      <c r="I1549" s="6">
        <f>Tabela1[[#This Row],[Valor total]]-Tabela1[[#This Row],[Valor custo]]</f>
        <v>276</v>
      </c>
      <c r="J1549" s="7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">
        <v>13515</v>
      </c>
      <c r="H1550" s="1">
        <v>19925</v>
      </c>
      <c r="I1550" s="6">
        <f>Tabela1[[#This Row],[Valor total]]-Tabela1[[#This Row],[Valor custo]]</f>
        <v>6410</v>
      </c>
      <c r="J1550" s="7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">
        <v>292.56</v>
      </c>
      <c r="H1551" s="1">
        <v>360</v>
      </c>
      <c r="I1551" s="6">
        <f>Tabela1[[#This Row],[Valor total]]-Tabela1[[#This Row],[Valor custo]]</f>
        <v>67.44</v>
      </c>
      <c r="J1551" s="7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">
        <v>293.13</v>
      </c>
      <c r="H1552" s="1">
        <v>410</v>
      </c>
      <c r="I1552" s="6">
        <f>Tabela1[[#This Row],[Valor total]]-Tabela1[[#This Row],[Valor custo]]</f>
        <v>116.87</v>
      </c>
      <c r="J1552" s="7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">
        <v>382.3</v>
      </c>
      <c r="H1553" s="1">
        <v>590</v>
      </c>
      <c r="I1553" s="6">
        <f>Tabela1[[#This Row],[Valor total]]-Tabela1[[#This Row],[Valor custo]]</f>
        <v>207.7</v>
      </c>
      <c r="J1553" s="7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">
        <v>382.3</v>
      </c>
      <c r="H1554" s="1">
        <v>640</v>
      </c>
      <c r="I1554" s="6">
        <f>Tabela1[[#This Row],[Valor total]]-Tabela1[[#This Row],[Valor custo]]</f>
        <v>257.7</v>
      </c>
      <c r="J1554" s="7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">
        <v>9962.89</v>
      </c>
      <c r="H1555" s="1">
        <v>16929</v>
      </c>
      <c r="I1555" s="6">
        <f>Tabela1[[#This Row],[Valor total]]-Tabela1[[#This Row],[Valor custo]]</f>
        <v>6966.1100000000006</v>
      </c>
      <c r="J1555" s="7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">
        <v>10231.6</v>
      </c>
      <c r="H1556" s="1">
        <v>18470</v>
      </c>
      <c r="I1556" s="6">
        <f>Tabela1[[#This Row],[Valor total]]-Tabela1[[#This Row],[Valor custo]]</f>
        <v>8238.4</v>
      </c>
      <c r="J1556" s="7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">
        <v>3706</v>
      </c>
      <c r="H1557" s="1">
        <v>5120</v>
      </c>
      <c r="I1557" s="6">
        <f>Tabela1[[#This Row],[Valor total]]-Tabela1[[#This Row],[Valor custo]]</f>
        <v>1414</v>
      </c>
      <c r="J1557" s="7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">
        <v>11680</v>
      </c>
      <c r="H1558" s="1">
        <v>15800</v>
      </c>
      <c r="I1558" s="6">
        <f>Tabela1[[#This Row],[Valor total]]-Tabela1[[#This Row],[Valor custo]]</f>
        <v>4120</v>
      </c>
      <c r="J1558" s="7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">
        <v>406.68</v>
      </c>
      <c r="H1559" s="1">
        <v>678</v>
      </c>
      <c r="I1559" s="6">
        <f>Tabela1[[#This Row],[Valor total]]-Tabela1[[#This Row],[Valor custo]]</f>
        <v>271.32</v>
      </c>
      <c r="J1559" s="7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">
        <v>455</v>
      </c>
      <c r="H1560" s="1">
        <v>750</v>
      </c>
      <c r="I1560" s="6">
        <f>Tabela1[[#This Row],[Valor total]]-Tabela1[[#This Row],[Valor custo]]</f>
        <v>295</v>
      </c>
      <c r="J1560" s="7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">
        <v>2178.1999999999998</v>
      </c>
      <c r="H1561" s="1">
        <v>3830</v>
      </c>
      <c r="I1561" s="6">
        <f>Tabela1[[#This Row],[Valor total]]-Tabela1[[#This Row],[Valor custo]]</f>
        <v>1651.8000000000002</v>
      </c>
      <c r="J1561" s="7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">
        <v>613.70000000000005</v>
      </c>
      <c r="H1562" s="1">
        <v>0</v>
      </c>
      <c r="I1562" s="6">
        <f>Tabela1[[#This Row],[Valor total]]-Tabela1[[#This Row],[Valor custo]]</f>
        <v>-613.70000000000005</v>
      </c>
      <c r="J1562" s="7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">
        <v>289</v>
      </c>
      <c r="H1563" s="1">
        <v>565</v>
      </c>
      <c r="I1563" s="6">
        <f>Tabela1[[#This Row],[Valor total]]-Tabela1[[#This Row],[Valor custo]]</f>
        <v>276</v>
      </c>
      <c r="J1563" s="7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">
        <v>245.48</v>
      </c>
      <c r="H1564" s="1">
        <v>340</v>
      </c>
      <c r="I1564" s="6">
        <f>Tabela1[[#This Row],[Valor total]]-Tabela1[[#This Row],[Valor custo]]</f>
        <v>94.52000000000001</v>
      </c>
      <c r="J1564" s="7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">
        <v>368.22</v>
      </c>
      <c r="H1565" s="1">
        <v>0</v>
      </c>
      <c r="I1565" s="6">
        <f>Tabela1[[#This Row],[Valor total]]-Tabela1[[#This Row],[Valor custo]]</f>
        <v>-368.22</v>
      </c>
      <c r="J1565" s="7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">
        <v>966.79</v>
      </c>
      <c r="H1566" s="1">
        <v>1560</v>
      </c>
      <c r="I1566" s="6">
        <f>Tabela1[[#This Row],[Valor total]]-Tabela1[[#This Row],[Valor custo]]</f>
        <v>593.21</v>
      </c>
      <c r="J1566" s="7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">
        <v>7095</v>
      </c>
      <c r="H1567" s="1">
        <v>8700</v>
      </c>
      <c r="I1567" s="6">
        <f>Tabela1[[#This Row],[Valor total]]-Tabela1[[#This Row],[Valor custo]]</f>
        <v>1605</v>
      </c>
      <c r="J1567" s="7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">
        <v>293.13</v>
      </c>
      <c r="H1568" s="1">
        <v>400</v>
      </c>
      <c r="I1568" s="6">
        <f>Tabela1[[#This Row],[Valor total]]-Tabela1[[#This Row],[Valor custo]]</f>
        <v>106.87</v>
      </c>
      <c r="J1568" s="7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">
        <v>750</v>
      </c>
      <c r="H1569" s="1">
        <v>900</v>
      </c>
      <c r="I1569" s="6">
        <f>Tabela1[[#This Row],[Valor total]]-Tabela1[[#This Row],[Valor custo]]</f>
        <v>150</v>
      </c>
      <c r="J1569" s="7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">
        <v>18793.099999999999</v>
      </c>
      <c r="H1570" s="1">
        <v>28850</v>
      </c>
      <c r="I1570" s="6">
        <f>Tabela1[[#This Row],[Valor total]]-Tabela1[[#This Row],[Valor custo]]</f>
        <v>10056.900000000001</v>
      </c>
      <c r="J1570" s="7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">
        <v>1413.6</v>
      </c>
      <c r="H1571" s="1">
        <v>2450</v>
      </c>
      <c r="I1571" s="6">
        <f>Tabela1[[#This Row],[Valor total]]-Tabela1[[#This Row],[Valor custo]]</f>
        <v>1036.4000000000001</v>
      </c>
      <c r="J1571" s="7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">
        <v>2620.4</v>
      </c>
      <c r="H1572" s="1">
        <v>4445</v>
      </c>
      <c r="I1572" s="6">
        <f>Tabela1[[#This Row],[Valor total]]-Tabela1[[#This Row],[Valor custo]]</f>
        <v>1824.6</v>
      </c>
      <c r="J1572" s="7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">
        <v>2447</v>
      </c>
      <c r="H1573" s="1">
        <v>4835</v>
      </c>
      <c r="I1573" s="6">
        <f>Tabela1[[#This Row],[Valor total]]-Tabela1[[#This Row],[Valor custo]]</f>
        <v>2388</v>
      </c>
      <c r="J1573" s="7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">
        <v>293.13</v>
      </c>
      <c r="H1574" s="1">
        <v>400</v>
      </c>
      <c r="I1574" s="6">
        <f>Tabela1[[#This Row],[Valor total]]-Tabela1[[#This Row],[Valor custo]]</f>
        <v>106.87</v>
      </c>
      <c r="J1574" s="7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">
        <v>432.79</v>
      </c>
      <c r="H1575" s="1">
        <v>700</v>
      </c>
      <c r="I1575" s="6">
        <f>Tabela1[[#This Row],[Valor total]]-Tabela1[[#This Row],[Valor custo]]</f>
        <v>267.20999999999998</v>
      </c>
      <c r="J1575" s="7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">
        <v>4098.7</v>
      </c>
      <c r="H1576" s="1">
        <v>5500</v>
      </c>
      <c r="I1576" s="6">
        <f>Tabela1[[#This Row],[Valor total]]-Tabela1[[#This Row],[Valor custo]]</f>
        <v>1401.3000000000002</v>
      </c>
      <c r="J1576" s="7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">
        <v>432.79</v>
      </c>
      <c r="H1577" s="1">
        <v>520</v>
      </c>
      <c r="I1577" s="6">
        <f>Tabela1[[#This Row],[Valor total]]-Tabela1[[#This Row],[Valor custo]]</f>
        <v>87.20999999999998</v>
      </c>
      <c r="J1577" s="7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">
        <v>2656</v>
      </c>
      <c r="H1578" s="1">
        <v>5200</v>
      </c>
      <c r="I1578" s="6">
        <f>Tabela1[[#This Row],[Valor total]]-Tabela1[[#This Row],[Valor custo]]</f>
        <v>2544</v>
      </c>
      <c r="J1578" s="7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">
        <v>293.13</v>
      </c>
      <c r="H1579" s="1">
        <v>400</v>
      </c>
      <c r="I1579" s="6">
        <f>Tabela1[[#This Row],[Valor total]]-Tabela1[[#This Row],[Valor custo]]</f>
        <v>106.87</v>
      </c>
      <c r="J1579" s="7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">
        <v>1680.9</v>
      </c>
      <c r="H1580" s="1">
        <v>2669</v>
      </c>
      <c r="I1580" s="6">
        <f>Tabela1[[#This Row],[Valor total]]-Tabela1[[#This Row],[Valor custo]]</f>
        <v>988.09999999999991</v>
      </c>
      <c r="J1580" s="7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">
        <v>455</v>
      </c>
      <c r="H1581" s="1">
        <v>0</v>
      </c>
      <c r="I1581" s="6">
        <f>Tabela1[[#This Row],[Valor total]]-Tabela1[[#This Row],[Valor custo]]</f>
        <v>-455</v>
      </c>
      <c r="J1581" s="7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">
        <v>16423</v>
      </c>
      <c r="H1582" s="1">
        <v>22850</v>
      </c>
      <c r="I1582" s="6">
        <f>Tabela1[[#This Row],[Valor total]]-Tabela1[[#This Row],[Valor custo]]</f>
        <v>6427</v>
      </c>
      <c r="J1582" s="7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">
        <v>3823</v>
      </c>
      <c r="H1583" s="1">
        <v>5200</v>
      </c>
      <c r="I1583" s="6">
        <f>Tabela1[[#This Row],[Valor total]]-Tabela1[[#This Row],[Valor custo]]</f>
        <v>1377</v>
      </c>
      <c r="J1583" s="7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">
        <v>5855.99</v>
      </c>
      <c r="H1584" s="1">
        <v>9265</v>
      </c>
      <c r="I1584" s="6">
        <f>Tabela1[[#This Row],[Valor total]]-Tabela1[[#This Row],[Valor custo]]</f>
        <v>3409.01</v>
      </c>
      <c r="J1584" s="7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">
        <v>2518.4899999999998</v>
      </c>
      <c r="H1585" s="1">
        <v>4731.5</v>
      </c>
      <c r="I1585" s="6">
        <f>Tabela1[[#This Row],[Valor total]]-Tabela1[[#This Row],[Valor custo]]</f>
        <v>2213.0100000000002</v>
      </c>
      <c r="J1585" s="7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">
        <v>50</v>
      </c>
      <c r="H1586" s="1">
        <v>60</v>
      </c>
      <c r="I1586" s="6">
        <f>Tabela1[[#This Row],[Valor total]]-Tabela1[[#This Row],[Valor custo]]</f>
        <v>10</v>
      </c>
      <c r="J1586" s="7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">
        <v>2670</v>
      </c>
      <c r="H1587" s="1">
        <v>3950</v>
      </c>
      <c r="I1587" s="6">
        <f>Tabela1[[#This Row],[Valor total]]-Tabela1[[#This Row],[Valor custo]]</f>
        <v>1280</v>
      </c>
      <c r="J1587" s="7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">
        <v>3478.48</v>
      </c>
      <c r="H1588" s="1">
        <v>5559</v>
      </c>
      <c r="I1588" s="6">
        <f>Tabela1[[#This Row],[Valor total]]-Tabela1[[#This Row],[Valor custo]]</f>
        <v>2080.52</v>
      </c>
      <c r="J1588" s="7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">
        <v>1169.04</v>
      </c>
      <c r="H1589" s="1">
        <v>2085</v>
      </c>
      <c r="I1589" s="6">
        <f>Tabela1[[#This Row],[Valor total]]-Tabela1[[#This Row],[Valor custo]]</f>
        <v>915.96</v>
      </c>
      <c r="J1589" s="7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">
        <v>5860</v>
      </c>
      <c r="H1590" s="1">
        <v>9600</v>
      </c>
      <c r="I1590" s="6">
        <f>Tabela1[[#This Row],[Valor total]]-Tabela1[[#This Row],[Valor custo]]</f>
        <v>3740</v>
      </c>
      <c r="J1590" s="7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">
        <v>867</v>
      </c>
      <c r="H1591" s="1">
        <v>1650</v>
      </c>
      <c r="I1591" s="6">
        <f>Tabela1[[#This Row],[Valor total]]-Tabela1[[#This Row],[Valor custo]]</f>
        <v>783</v>
      </c>
      <c r="J1591" s="7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">
        <v>3204</v>
      </c>
      <c r="H1592" s="1">
        <v>4700</v>
      </c>
      <c r="I1592" s="6">
        <f>Tabela1[[#This Row],[Valor total]]-Tabela1[[#This Row],[Valor custo]]</f>
        <v>1496</v>
      </c>
      <c r="J1592" s="7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">
        <v>1068</v>
      </c>
      <c r="H1593" s="1">
        <v>1780</v>
      </c>
      <c r="I1593" s="6">
        <f>Tabela1[[#This Row],[Valor total]]-Tabela1[[#This Row],[Valor custo]]</f>
        <v>712</v>
      </c>
      <c r="J1593" s="7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">
        <v>559</v>
      </c>
      <c r="H1594" s="1">
        <v>869</v>
      </c>
      <c r="I1594" s="6">
        <f>Tabela1[[#This Row],[Valor total]]-Tabela1[[#This Row],[Valor custo]]</f>
        <v>310</v>
      </c>
      <c r="J1594" s="7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">
        <v>766</v>
      </c>
      <c r="H1595" s="1">
        <v>1390</v>
      </c>
      <c r="I1595" s="6">
        <f>Tabela1[[#This Row],[Valor total]]-Tabela1[[#This Row],[Valor custo]]</f>
        <v>624</v>
      </c>
      <c r="J1595" s="7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">
        <v>505</v>
      </c>
      <c r="H1596" s="1">
        <v>1080</v>
      </c>
      <c r="I1596" s="6">
        <f>Tabela1[[#This Row],[Valor total]]-Tabela1[[#This Row],[Valor custo]]</f>
        <v>575</v>
      </c>
      <c r="J1596" s="7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">
        <v>20500</v>
      </c>
      <c r="H1597" s="1">
        <v>32375</v>
      </c>
      <c r="I1597" s="6">
        <f>Tabela1[[#This Row],[Valor total]]-Tabela1[[#This Row],[Valor custo]]</f>
        <v>11875</v>
      </c>
      <c r="J1597" s="7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">
        <v>4092</v>
      </c>
      <c r="H1598" s="1">
        <v>6180</v>
      </c>
      <c r="I1598" s="6">
        <f>Tabela1[[#This Row],[Valor total]]-Tabela1[[#This Row],[Valor custo]]</f>
        <v>2088</v>
      </c>
      <c r="J1598" s="7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">
        <v>766</v>
      </c>
      <c r="H1599" s="1">
        <v>1390</v>
      </c>
      <c r="I1599" s="6">
        <f>Tabela1[[#This Row],[Valor total]]-Tabela1[[#This Row],[Valor custo]]</f>
        <v>624</v>
      </c>
      <c r="J1599" s="7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">
        <v>1904</v>
      </c>
      <c r="H1600" s="1">
        <v>3000</v>
      </c>
      <c r="I1600" s="6">
        <f>Tabela1[[#This Row],[Valor total]]-Tabela1[[#This Row],[Valor custo]]</f>
        <v>1096</v>
      </c>
      <c r="J1600" s="7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">
        <v>1105</v>
      </c>
      <c r="H1601" s="1">
        <v>1705</v>
      </c>
      <c r="I1601" s="6">
        <f>Tabela1[[#This Row],[Valor total]]-Tabela1[[#This Row],[Valor custo]]</f>
        <v>600</v>
      </c>
      <c r="J1601" s="7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">
        <v>5157</v>
      </c>
      <c r="H1602" s="1">
        <v>7680</v>
      </c>
      <c r="I1602" s="6">
        <f>Tabela1[[#This Row],[Valor total]]-Tabela1[[#This Row],[Valor custo]]</f>
        <v>2523</v>
      </c>
      <c r="J1602" s="7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">
        <v>2859.99</v>
      </c>
      <c r="H1603" s="1">
        <v>5350</v>
      </c>
      <c r="I1603" s="6">
        <f>Tabela1[[#This Row],[Valor total]]-Tabela1[[#This Row],[Valor custo]]</f>
        <v>2490.0100000000002</v>
      </c>
      <c r="J1603" s="7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">
        <v>477</v>
      </c>
      <c r="H1604" s="1">
        <v>840</v>
      </c>
      <c r="I1604" s="6">
        <f>Tabela1[[#This Row],[Valor total]]-Tabela1[[#This Row],[Valor custo]]</f>
        <v>363</v>
      </c>
      <c r="J1604" s="7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">
        <v>1529.2</v>
      </c>
      <c r="H1605" s="1">
        <v>2400</v>
      </c>
      <c r="I1605" s="6">
        <f>Tabela1[[#This Row],[Valor total]]-Tabela1[[#This Row],[Valor custo]]</f>
        <v>870.8</v>
      </c>
      <c r="J1605" s="7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">
        <v>482.79</v>
      </c>
      <c r="H1606" s="1">
        <v>715</v>
      </c>
      <c r="I1606" s="6">
        <f>Tabela1[[#This Row],[Valor total]]-Tabela1[[#This Row],[Valor custo]]</f>
        <v>232.20999999999998</v>
      </c>
      <c r="J1606" s="7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">
        <v>5282</v>
      </c>
      <c r="H1607" s="1">
        <v>8659</v>
      </c>
      <c r="I1607" s="6">
        <f>Tabela1[[#This Row],[Valor total]]-Tabela1[[#This Row],[Valor custo]]</f>
        <v>3377</v>
      </c>
      <c r="J1607" s="7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">
        <v>49.21</v>
      </c>
      <c r="H1608" s="1">
        <v>80</v>
      </c>
      <c r="I1608" s="6">
        <f>Tabela1[[#This Row],[Valor total]]-Tabela1[[#This Row],[Valor custo]]</f>
        <v>30.79</v>
      </c>
      <c r="J1608" s="7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">
        <v>2351.9699999999998</v>
      </c>
      <c r="H1609" s="1">
        <v>3720</v>
      </c>
      <c r="I1609" s="6">
        <f>Tabela1[[#This Row],[Valor total]]-Tabela1[[#This Row],[Valor custo]]</f>
        <v>1368.0300000000002</v>
      </c>
      <c r="J1609" s="7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">
        <v>757</v>
      </c>
      <c r="H1610" s="1">
        <v>1450</v>
      </c>
      <c r="I1610" s="6">
        <f>Tabela1[[#This Row],[Valor total]]-Tabela1[[#This Row],[Valor custo]]</f>
        <v>693</v>
      </c>
      <c r="J1610" s="7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">
        <v>725</v>
      </c>
      <c r="H1611" s="1">
        <v>1150</v>
      </c>
      <c r="I1611" s="6">
        <f>Tabela1[[#This Row],[Valor total]]-Tabela1[[#This Row],[Valor custo]]</f>
        <v>425</v>
      </c>
      <c r="J1611" s="7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">
        <v>289</v>
      </c>
      <c r="H1612" s="1">
        <v>550</v>
      </c>
      <c r="I1612" s="6">
        <f>Tabela1[[#This Row],[Valor total]]-Tabela1[[#This Row],[Valor custo]]</f>
        <v>261</v>
      </c>
      <c r="J1612" s="7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">
        <v>2341.87</v>
      </c>
      <c r="H1613" s="1">
        <v>3961</v>
      </c>
      <c r="I1613" s="6">
        <f>Tabela1[[#This Row],[Valor total]]-Tabela1[[#This Row],[Valor custo]]</f>
        <v>1619.13</v>
      </c>
      <c r="J1613" s="7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">
        <v>5785</v>
      </c>
      <c r="H1614" s="1">
        <v>9700</v>
      </c>
      <c r="I1614" s="6">
        <f>Tabela1[[#This Row],[Valor total]]-Tabela1[[#This Row],[Valor custo]]</f>
        <v>3915</v>
      </c>
      <c r="J1614" s="7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">
        <v>16919</v>
      </c>
      <c r="H1615" s="1">
        <v>21210</v>
      </c>
      <c r="I1615" s="6">
        <f>Tabela1[[#This Row],[Valor total]]-Tabela1[[#This Row],[Valor custo]]</f>
        <v>4291</v>
      </c>
      <c r="J1615" s="7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">
        <v>5655</v>
      </c>
      <c r="H1616" s="1">
        <v>8649</v>
      </c>
      <c r="I1616" s="6">
        <f>Tabela1[[#This Row],[Valor total]]-Tabela1[[#This Row],[Valor custo]]</f>
        <v>2994</v>
      </c>
      <c r="J1616" s="7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">
        <v>5129.5</v>
      </c>
      <c r="H1617" s="1">
        <v>7800</v>
      </c>
      <c r="I1617" s="6">
        <f>Tabela1[[#This Row],[Valor total]]-Tabela1[[#This Row],[Valor custo]]</f>
        <v>2670.5</v>
      </c>
      <c r="J1617" s="7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">
        <v>649</v>
      </c>
      <c r="H1618" s="1">
        <v>1250</v>
      </c>
      <c r="I1618" s="6">
        <f>Tabela1[[#This Row],[Valor total]]-Tabela1[[#This Row],[Valor custo]]</f>
        <v>601</v>
      </c>
      <c r="J1618" s="7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">
        <v>382.3</v>
      </c>
      <c r="H1619" s="1">
        <v>515</v>
      </c>
      <c r="I1619" s="6">
        <f>Tabela1[[#This Row],[Valor total]]-Tabela1[[#This Row],[Valor custo]]</f>
        <v>132.69999999999999</v>
      </c>
      <c r="J1619" s="7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">
        <v>649</v>
      </c>
      <c r="H1620" s="1">
        <v>1150</v>
      </c>
      <c r="I1620" s="6">
        <f>Tabela1[[#This Row],[Valor total]]-Tabela1[[#This Row],[Valor custo]]</f>
        <v>501</v>
      </c>
      <c r="J1620" s="7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">
        <v>865.58</v>
      </c>
      <c r="H1621" s="1">
        <v>1440</v>
      </c>
      <c r="I1621" s="6">
        <f>Tabela1[[#This Row],[Valor total]]-Tabela1[[#This Row],[Valor custo]]</f>
        <v>574.41999999999996</v>
      </c>
      <c r="J1621" s="7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">
        <v>2482</v>
      </c>
      <c r="H1622" s="1">
        <v>3920</v>
      </c>
      <c r="I1622" s="6">
        <f>Tabela1[[#This Row],[Valor total]]-Tabela1[[#This Row],[Valor custo]]</f>
        <v>1438</v>
      </c>
      <c r="J1622" s="7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">
        <v>382.3</v>
      </c>
      <c r="H1623" s="1">
        <v>645</v>
      </c>
      <c r="I1623" s="6">
        <f>Tabela1[[#This Row],[Valor total]]-Tabela1[[#This Row],[Valor custo]]</f>
        <v>262.7</v>
      </c>
      <c r="J1623" s="7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">
        <v>4025.19</v>
      </c>
      <c r="H1624" s="1">
        <v>5533</v>
      </c>
      <c r="I1624" s="6">
        <f>Tabela1[[#This Row],[Valor total]]-Tabela1[[#This Row],[Valor custo]]</f>
        <v>1507.81</v>
      </c>
      <c r="J1624" s="7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">
        <v>938</v>
      </c>
      <c r="H1625" s="1">
        <v>1600</v>
      </c>
      <c r="I1625" s="6">
        <f>Tabela1[[#This Row],[Valor total]]-Tabela1[[#This Row],[Valor custo]]</f>
        <v>662</v>
      </c>
      <c r="J1625" s="7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">
        <v>491</v>
      </c>
      <c r="H1626" s="1">
        <v>650</v>
      </c>
      <c r="I1626" s="6">
        <f>Tabela1[[#This Row],[Valor total]]-Tabela1[[#This Row],[Valor custo]]</f>
        <v>159</v>
      </c>
      <c r="J1626" s="7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">
        <v>1219.5999999999999</v>
      </c>
      <c r="H1627" s="1">
        <v>1970</v>
      </c>
      <c r="I1627" s="6">
        <f>Tabela1[[#This Row],[Valor total]]-Tabela1[[#This Row],[Valor custo]]</f>
        <v>750.40000000000009</v>
      </c>
      <c r="J1627" s="7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">
        <v>1800</v>
      </c>
      <c r="H1628" s="1">
        <v>3000</v>
      </c>
      <c r="I1628" s="6">
        <f>Tabela1[[#This Row],[Valor total]]-Tabela1[[#This Row],[Valor custo]]</f>
        <v>1200</v>
      </c>
      <c r="J1628" s="7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">
        <v>534</v>
      </c>
      <c r="H1629" s="1">
        <v>690</v>
      </c>
      <c r="I1629" s="6">
        <f>Tabela1[[#This Row],[Valor total]]-Tabela1[[#This Row],[Valor custo]]</f>
        <v>156</v>
      </c>
      <c r="J1629" s="7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">
        <v>432.79</v>
      </c>
      <c r="H1630" s="1">
        <v>720</v>
      </c>
      <c r="I1630" s="6">
        <f>Tabela1[[#This Row],[Valor total]]-Tabela1[[#This Row],[Valor custo]]</f>
        <v>287.20999999999998</v>
      </c>
      <c r="J1630" s="7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">
        <v>2093.6</v>
      </c>
      <c r="H1631" s="1">
        <v>3420</v>
      </c>
      <c r="I1631" s="6">
        <f>Tabela1[[#This Row],[Valor total]]-Tabela1[[#This Row],[Valor custo]]</f>
        <v>1326.4</v>
      </c>
      <c r="J1631" s="7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">
        <v>6469.7</v>
      </c>
      <c r="H1632" s="1">
        <v>10220</v>
      </c>
      <c r="I1632" s="6">
        <f>Tabela1[[#This Row],[Valor total]]-Tabela1[[#This Row],[Valor custo]]</f>
        <v>3750.3</v>
      </c>
      <c r="J1632" s="7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">
        <v>1842.79</v>
      </c>
      <c r="H1633" s="1">
        <v>4000</v>
      </c>
      <c r="I1633" s="6">
        <f>Tabela1[[#This Row],[Valor total]]-Tabela1[[#This Row],[Valor custo]]</f>
        <v>2157.21</v>
      </c>
      <c r="J1633" s="7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">
        <v>2618.9499999999998</v>
      </c>
      <c r="H1634" s="1">
        <v>3500</v>
      </c>
      <c r="I1634" s="6">
        <f>Tabela1[[#This Row],[Valor total]]-Tabela1[[#This Row],[Valor custo]]</f>
        <v>881.05000000000018</v>
      </c>
      <c r="J1634" s="7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">
        <v>1019.5</v>
      </c>
      <c r="H1635" s="1">
        <v>1725</v>
      </c>
      <c r="I1635" s="6">
        <f>Tabela1[[#This Row],[Valor total]]-Tabela1[[#This Row],[Valor custo]]</f>
        <v>705.5</v>
      </c>
      <c r="J1635" s="7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">
        <v>289</v>
      </c>
      <c r="H1636" s="1">
        <v>600</v>
      </c>
      <c r="I1636" s="6">
        <f>Tabela1[[#This Row],[Valor total]]-Tabela1[[#This Row],[Valor custo]]</f>
        <v>311</v>
      </c>
      <c r="J1636" s="7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">
        <v>477</v>
      </c>
      <c r="H1637" s="1">
        <v>810</v>
      </c>
      <c r="I1637" s="6">
        <f>Tabela1[[#This Row],[Valor total]]-Tabela1[[#This Row],[Valor custo]]</f>
        <v>333</v>
      </c>
      <c r="J1637" s="7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">
        <v>144.19999999999999</v>
      </c>
      <c r="H1638" s="1">
        <v>500</v>
      </c>
      <c r="I1638" s="6">
        <f>Tabela1[[#This Row],[Valor total]]-Tabela1[[#This Row],[Valor custo]]</f>
        <v>355.8</v>
      </c>
      <c r="J1638" s="7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">
        <v>268.45999999999998</v>
      </c>
      <c r="H1639" s="1">
        <v>600</v>
      </c>
      <c r="I1639" s="6">
        <f>Tabela1[[#This Row],[Valor total]]-Tabela1[[#This Row],[Valor custo]]</f>
        <v>331.54</v>
      </c>
      <c r="J1639" s="7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">
        <v>2568.79</v>
      </c>
      <c r="H1640" s="1">
        <v>3770</v>
      </c>
      <c r="I1640" s="6">
        <f>Tabela1[[#This Row],[Valor total]]-Tabela1[[#This Row],[Valor custo]]</f>
        <v>1201.21</v>
      </c>
      <c r="J1640" s="7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">
        <v>293.13</v>
      </c>
      <c r="H1641" s="1">
        <v>390</v>
      </c>
      <c r="I1641" s="6">
        <f>Tabela1[[#This Row],[Valor total]]-Tabela1[[#This Row],[Valor custo]]</f>
        <v>96.87</v>
      </c>
      <c r="J1641" s="7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">
        <v>0</v>
      </c>
      <c r="H1642" s="1">
        <v>360</v>
      </c>
      <c r="I1642" s="6">
        <f>Tabela1[[#This Row],[Valor total]]-Tabela1[[#This Row],[Valor custo]]</f>
        <v>360</v>
      </c>
      <c r="J1642" s="7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">
        <v>954</v>
      </c>
      <c r="H1643" s="1">
        <v>1620</v>
      </c>
      <c r="I1643" s="6">
        <f>Tabela1[[#This Row],[Valor total]]-Tabela1[[#This Row],[Valor custo]]</f>
        <v>666</v>
      </c>
      <c r="J1643" s="7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">
        <v>293.13</v>
      </c>
      <c r="H1644" s="1">
        <v>400</v>
      </c>
      <c r="I1644" s="6">
        <f>Tabela1[[#This Row],[Valor total]]-Tabela1[[#This Row],[Valor custo]]</f>
        <v>106.87</v>
      </c>
      <c r="J1644" s="7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">
        <v>293.13</v>
      </c>
      <c r="H1645" s="1">
        <v>634</v>
      </c>
      <c r="I1645" s="6">
        <f>Tabela1[[#This Row],[Valor total]]-Tabela1[[#This Row],[Valor custo]]</f>
        <v>340.87</v>
      </c>
      <c r="J1645" s="7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">
        <v>35392.5</v>
      </c>
      <c r="H1646" s="1">
        <v>51798</v>
      </c>
      <c r="I1646" s="6">
        <f>Tabela1[[#This Row],[Valor total]]-Tabela1[[#This Row],[Valor custo]]</f>
        <v>16405.5</v>
      </c>
      <c r="J1646" s="7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">
        <v>1044.2</v>
      </c>
      <c r="H1647" s="1">
        <v>2000</v>
      </c>
      <c r="I1647" s="6">
        <f>Tabela1[[#This Row],[Valor total]]-Tabela1[[#This Row],[Valor custo]]</f>
        <v>955.8</v>
      </c>
      <c r="J1647" s="7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">
        <v>4087</v>
      </c>
      <c r="H1648" s="1">
        <v>6710</v>
      </c>
      <c r="I1648" s="6">
        <f>Tabela1[[#This Row],[Valor total]]-Tabela1[[#This Row],[Valor custo]]</f>
        <v>2623</v>
      </c>
      <c r="J1648" s="7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">
        <v>6715.26</v>
      </c>
      <c r="H1649" s="1">
        <v>10755</v>
      </c>
      <c r="I1649" s="6">
        <f>Tabela1[[#This Row],[Valor total]]-Tabela1[[#This Row],[Valor custo]]</f>
        <v>4039.74</v>
      </c>
      <c r="J1649" s="7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">
        <v>31.6</v>
      </c>
      <c r="H1650" s="1">
        <v>110</v>
      </c>
      <c r="I1650" s="6">
        <f>Tabela1[[#This Row],[Valor total]]-Tabela1[[#This Row],[Valor custo]]</f>
        <v>78.400000000000006</v>
      </c>
      <c r="J1650" s="7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">
        <v>6.52</v>
      </c>
      <c r="H1651" s="1">
        <v>90</v>
      </c>
      <c r="I1651" s="6">
        <f>Tabela1[[#This Row],[Valor total]]-Tabela1[[#This Row],[Valor custo]]</f>
        <v>83.48</v>
      </c>
      <c r="J1651" s="7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">
        <v>385</v>
      </c>
      <c r="H1652" s="1">
        <v>645</v>
      </c>
      <c r="I1652" s="6">
        <f>Tabela1[[#This Row],[Valor total]]-Tabela1[[#This Row],[Valor custo]]</f>
        <v>260</v>
      </c>
      <c r="J1652" s="7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">
        <v>4545</v>
      </c>
      <c r="H1653" s="1">
        <v>6500</v>
      </c>
      <c r="I1653" s="6">
        <f>Tabela1[[#This Row],[Valor total]]-Tabela1[[#This Row],[Valor custo]]</f>
        <v>1955</v>
      </c>
      <c r="J1653" s="7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">
        <v>559</v>
      </c>
      <c r="H1654" s="1">
        <v>720</v>
      </c>
      <c r="I1654" s="6">
        <f>Tabela1[[#This Row],[Valor total]]-Tabela1[[#This Row],[Valor custo]]</f>
        <v>161</v>
      </c>
      <c r="J1654" s="7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">
        <v>888</v>
      </c>
      <c r="H1655" s="1">
        <v>1310</v>
      </c>
      <c r="I1655" s="6">
        <f>Tabela1[[#This Row],[Valor total]]-Tabela1[[#This Row],[Valor custo]]</f>
        <v>422</v>
      </c>
      <c r="J1655" s="7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">
        <v>347.46</v>
      </c>
      <c r="H1656" s="1">
        <v>850</v>
      </c>
      <c r="I1656" s="6">
        <f>Tabela1[[#This Row],[Valor total]]-Tabela1[[#This Row],[Valor custo]]</f>
        <v>502.54</v>
      </c>
      <c r="J1656" s="7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">
        <v>1011</v>
      </c>
      <c r="H1657" s="1">
        <v>1600</v>
      </c>
      <c r="I1657" s="6">
        <f>Tabela1[[#This Row],[Valor total]]-Tabela1[[#This Row],[Valor custo]]</f>
        <v>589</v>
      </c>
      <c r="J1657" s="7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">
        <v>664</v>
      </c>
      <c r="H1658" s="1">
        <v>1200</v>
      </c>
      <c r="I1658" s="6">
        <f>Tabela1[[#This Row],[Valor total]]-Tabela1[[#This Row],[Valor custo]]</f>
        <v>536</v>
      </c>
      <c r="J1658" s="7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">
        <v>776.1</v>
      </c>
      <c r="H1659" s="1">
        <v>1098</v>
      </c>
      <c r="I1659" s="6">
        <f>Tabela1[[#This Row],[Valor total]]-Tabela1[[#This Row],[Valor custo]]</f>
        <v>321.89999999999998</v>
      </c>
      <c r="J1659" s="7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">
        <v>90</v>
      </c>
      <c r="H1660" s="1">
        <v>180</v>
      </c>
      <c r="I1660" s="6">
        <f>Tabela1[[#This Row],[Valor total]]-Tabela1[[#This Row],[Valor custo]]</f>
        <v>90</v>
      </c>
      <c r="J1660" s="7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">
        <v>375</v>
      </c>
      <c r="H1661" s="1">
        <v>450</v>
      </c>
      <c r="I1661" s="6">
        <f>Tabela1[[#This Row],[Valor total]]-Tabela1[[#This Row],[Valor custo]]</f>
        <v>75</v>
      </c>
      <c r="J1661" s="7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">
        <v>6745.45</v>
      </c>
      <c r="H1662" s="1">
        <v>10075</v>
      </c>
      <c r="I1662" s="6">
        <f>Tabela1[[#This Row],[Valor total]]-Tabela1[[#This Row],[Valor custo]]</f>
        <v>3329.55</v>
      </c>
      <c r="J1662" s="7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">
        <v>4438.95</v>
      </c>
      <c r="H1663" s="1">
        <v>7025</v>
      </c>
      <c r="I1663" s="6">
        <f>Tabela1[[#This Row],[Valor total]]-Tabela1[[#This Row],[Valor custo]]</f>
        <v>2586.0500000000002</v>
      </c>
      <c r="J1663" s="7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">
        <v>57.13</v>
      </c>
      <c r="H1664" s="1">
        <v>200</v>
      </c>
      <c r="I1664" s="6">
        <f>Tabela1[[#This Row],[Valor total]]-Tabela1[[#This Row],[Valor custo]]</f>
        <v>142.87</v>
      </c>
      <c r="J1664" s="7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">
        <v>2946</v>
      </c>
      <c r="H1665" s="1">
        <v>3900</v>
      </c>
      <c r="I1665" s="6">
        <f>Tabela1[[#This Row],[Valor total]]-Tabela1[[#This Row],[Valor custo]]</f>
        <v>954</v>
      </c>
      <c r="J1665" s="7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">
        <v>13719</v>
      </c>
      <c r="H1666" s="1">
        <v>20180</v>
      </c>
      <c r="I1666" s="6">
        <f>Tabela1[[#This Row],[Valor total]]-Tabela1[[#This Row],[Valor custo]]</f>
        <v>6461</v>
      </c>
      <c r="J1666" s="7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">
        <v>9580.85</v>
      </c>
      <c r="H1667" s="1">
        <v>15325</v>
      </c>
      <c r="I1667" s="6">
        <f>Tabela1[[#This Row],[Valor total]]-Tabela1[[#This Row],[Valor custo]]</f>
        <v>5744.15</v>
      </c>
      <c r="J1667" s="7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">
        <v>444</v>
      </c>
      <c r="H1668" s="1">
        <v>655</v>
      </c>
      <c r="I1668" s="6">
        <f>Tabela1[[#This Row],[Valor total]]-Tabela1[[#This Row],[Valor custo]]</f>
        <v>211</v>
      </c>
      <c r="J1668" s="7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">
        <v>1138</v>
      </c>
      <c r="H1669" s="1">
        <v>1950</v>
      </c>
      <c r="I1669" s="6">
        <f>Tabela1[[#This Row],[Valor total]]-Tabela1[[#This Row],[Valor custo]]</f>
        <v>812</v>
      </c>
      <c r="J1669" s="7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">
        <v>1431</v>
      </c>
      <c r="H1670" s="1">
        <v>2205</v>
      </c>
      <c r="I1670" s="6">
        <f>Tabela1[[#This Row],[Valor total]]-Tabela1[[#This Row],[Valor custo]]</f>
        <v>774</v>
      </c>
      <c r="J1670" s="7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">
        <v>360.5</v>
      </c>
      <c r="H1671" s="1">
        <v>1150</v>
      </c>
      <c r="I1671" s="6">
        <f>Tabela1[[#This Row],[Valor total]]-Tabela1[[#This Row],[Valor custo]]</f>
        <v>789.5</v>
      </c>
      <c r="J1671" s="7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">
        <v>14525.75</v>
      </c>
      <c r="H1672" s="1">
        <v>22620</v>
      </c>
      <c r="I1672" s="6">
        <f>Tabela1[[#This Row],[Valor total]]-Tabela1[[#This Row],[Valor custo]]</f>
        <v>8094.25</v>
      </c>
      <c r="J1672" s="7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">
        <v>1216</v>
      </c>
      <c r="H1673" s="1">
        <v>2150</v>
      </c>
      <c r="I1673" s="6">
        <f>Tabela1[[#This Row],[Valor total]]-Tabela1[[#This Row],[Valor custo]]</f>
        <v>934</v>
      </c>
      <c r="J1673" s="7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">
        <v>998</v>
      </c>
      <c r="H1674" s="1">
        <v>1680</v>
      </c>
      <c r="I1674" s="6">
        <f>Tabela1[[#This Row],[Valor total]]-Tabela1[[#This Row],[Valor custo]]</f>
        <v>682</v>
      </c>
      <c r="J1674" s="7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">
        <v>954</v>
      </c>
      <c r="H1675" s="1">
        <v>1470</v>
      </c>
      <c r="I1675" s="6">
        <f>Tabela1[[#This Row],[Valor total]]-Tabela1[[#This Row],[Valor custo]]</f>
        <v>516</v>
      </c>
      <c r="J1675" s="7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">
        <v>2243.69</v>
      </c>
      <c r="H1676" s="1">
        <v>3650</v>
      </c>
      <c r="I1676" s="6">
        <f>Tabela1[[#This Row],[Valor total]]-Tabela1[[#This Row],[Valor custo]]</f>
        <v>1406.31</v>
      </c>
      <c r="J1676" s="7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">
        <v>3752</v>
      </c>
      <c r="H1677" s="1">
        <v>6208</v>
      </c>
      <c r="I1677" s="6">
        <f>Tabela1[[#This Row],[Valor total]]-Tabela1[[#This Row],[Valor custo]]</f>
        <v>2456</v>
      </c>
      <c r="J1677" s="7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">
        <v>277.5</v>
      </c>
      <c r="H1678" s="1">
        <v>350</v>
      </c>
      <c r="I1678" s="6">
        <f>Tabela1[[#This Row],[Valor total]]-Tabela1[[#This Row],[Valor custo]]</f>
        <v>72.5</v>
      </c>
      <c r="J1678" s="7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">
        <v>1602</v>
      </c>
      <c r="H1679" s="1">
        <v>2370</v>
      </c>
      <c r="I1679" s="6">
        <f>Tabela1[[#This Row],[Valor total]]-Tabela1[[#This Row],[Valor custo]]</f>
        <v>768</v>
      </c>
      <c r="J1679" s="7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">
        <v>385</v>
      </c>
      <c r="H1680" s="1">
        <v>635</v>
      </c>
      <c r="I1680" s="6">
        <f>Tabela1[[#This Row],[Valor total]]-Tabela1[[#This Row],[Valor custo]]</f>
        <v>250</v>
      </c>
      <c r="J1680" s="7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">
        <v>2198</v>
      </c>
      <c r="H1681" s="1">
        <v>3480</v>
      </c>
      <c r="I1681" s="6">
        <f>Tabela1[[#This Row],[Valor total]]-Tabela1[[#This Row],[Valor custo]]</f>
        <v>1282</v>
      </c>
      <c r="J1681" s="7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">
        <v>165</v>
      </c>
      <c r="H1682" s="1">
        <v>520</v>
      </c>
      <c r="I1682" s="6">
        <f>Tabela1[[#This Row],[Valor total]]-Tabela1[[#This Row],[Valor custo]]</f>
        <v>355</v>
      </c>
      <c r="J1682" s="7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">
        <v>865.58</v>
      </c>
      <c r="H1683" s="1">
        <v>1166</v>
      </c>
      <c r="I1683" s="6">
        <f>Tabela1[[#This Row],[Valor total]]-Tabela1[[#This Row],[Valor custo]]</f>
        <v>300.41999999999996</v>
      </c>
      <c r="J1683" s="7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">
        <v>2311.1</v>
      </c>
      <c r="H1684" s="1">
        <v>4800</v>
      </c>
      <c r="I1684" s="6">
        <f>Tabela1[[#This Row],[Valor total]]-Tabela1[[#This Row],[Valor custo]]</f>
        <v>2488.9</v>
      </c>
      <c r="J1684" s="7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">
        <v>20120</v>
      </c>
      <c r="H1685" s="1">
        <v>30500</v>
      </c>
      <c r="I1685" s="6">
        <f>Tabela1[[#This Row],[Valor total]]-Tabela1[[#This Row],[Valor custo]]</f>
        <v>10380</v>
      </c>
      <c r="J1685" s="7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">
        <v>444</v>
      </c>
      <c r="H1686" s="1">
        <v>700</v>
      </c>
      <c r="I1686" s="6">
        <f>Tabela1[[#This Row],[Valor total]]-Tabela1[[#This Row],[Valor custo]]</f>
        <v>256</v>
      </c>
      <c r="J1686" s="7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">
        <v>865.58</v>
      </c>
      <c r="H1687" s="1">
        <v>1166</v>
      </c>
      <c r="I1687" s="6">
        <f>Tabela1[[#This Row],[Valor total]]-Tabela1[[#This Row],[Valor custo]]</f>
        <v>300.41999999999996</v>
      </c>
      <c r="J1687" s="7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">
        <v>1406</v>
      </c>
      <c r="H1688" s="1">
        <v>2490</v>
      </c>
      <c r="I1688" s="6">
        <f>Tabela1[[#This Row],[Valor total]]-Tabela1[[#This Row],[Valor custo]]</f>
        <v>1084</v>
      </c>
      <c r="J1688" s="7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">
        <v>444</v>
      </c>
      <c r="H1689" s="1">
        <v>750</v>
      </c>
      <c r="I1689" s="6">
        <f>Tabela1[[#This Row],[Valor total]]-Tabela1[[#This Row],[Valor custo]]</f>
        <v>306</v>
      </c>
      <c r="J1689" s="7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">
        <v>770</v>
      </c>
      <c r="H1690" s="1">
        <v>1200</v>
      </c>
      <c r="I1690" s="6">
        <f>Tabela1[[#This Row],[Valor total]]-Tabela1[[#This Row],[Valor custo]]</f>
        <v>430</v>
      </c>
      <c r="J1690" s="7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">
        <v>2455</v>
      </c>
      <c r="H1691" s="1">
        <v>3250</v>
      </c>
      <c r="I1691" s="6">
        <f>Tabela1[[#This Row],[Valor total]]-Tabela1[[#This Row],[Valor custo]]</f>
        <v>795</v>
      </c>
      <c r="J1691" s="7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">
        <v>2859</v>
      </c>
      <c r="H1692" s="1">
        <v>4570</v>
      </c>
      <c r="I1692" s="6">
        <f>Tabela1[[#This Row],[Valor total]]-Tabela1[[#This Row],[Valor custo]]</f>
        <v>1711</v>
      </c>
      <c r="J1692" s="7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">
        <v>6548</v>
      </c>
      <c r="H1693" s="1">
        <v>10825</v>
      </c>
      <c r="I1693" s="6">
        <f>Tabela1[[#This Row],[Valor total]]-Tabela1[[#This Row],[Valor custo]]</f>
        <v>4277</v>
      </c>
      <c r="J1693" s="7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">
        <v>477</v>
      </c>
      <c r="H1694" s="1">
        <v>750</v>
      </c>
      <c r="I1694" s="6">
        <f>Tabela1[[#This Row],[Valor total]]-Tabela1[[#This Row],[Valor custo]]</f>
        <v>273</v>
      </c>
      <c r="J1694" s="7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">
        <v>400.72</v>
      </c>
      <c r="H1695" s="1">
        <v>540</v>
      </c>
      <c r="I1695" s="6">
        <f>Tabela1[[#This Row],[Valor total]]-Tabela1[[#This Row],[Valor custo]]</f>
        <v>139.27999999999997</v>
      </c>
      <c r="J1695" s="7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">
        <v>7646</v>
      </c>
      <c r="H1696" s="1">
        <v>10400</v>
      </c>
      <c r="I1696" s="6">
        <f>Tabela1[[#This Row],[Valor total]]-Tabela1[[#This Row],[Valor custo]]</f>
        <v>2754</v>
      </c>
      <c r="J1696" s="7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">
        <v>675.43</v>
      </c>
      <c r="H1697" s="1">
        <v>970</v>
      </c>
      <c r="I1697" s="6">
        <f>Tabela1[[#This Row],[Valor total]]-Tabela1[[#This Row],[Valor custo]]</f>
        <v>294.57000000000005</v>
      </c>
      <c r="J1697" s="7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">
        <v>385</v>
      </c>
      <c r="H1698" s="1">
        <v>600</v>
      </c>
      <c r="I1698" s="6">
        <f>Tabela1[[#This Row],[Valor total]]-Tabela1[[#This Row],[Valor custo]]</f>
        <v>215</v>
      </c>
      <c r="J1698" s="7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">
        <v>122.74</v>
      </c>
      <c r="H1699" s="1">
        <v>170</v>
      </c>
      <c r="I1699" s="6">
        <f>Tabela1[[#This Row],[Valor total]]-Tabela1[[#This Row],[Valor custo]]</f>
        <v>47.260000000000005</v>
      </c>
      <c r="J1699" s="7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">
        <v>293.13</v>
      </c>
      <c r="H1700" s="1">
        <v>370.2</v>
      </c>
      <c r="I1700" s="6">
        <f>Tabela1[[#This Row],[Valor total]]-Tabela1[[#This Row],[Valor custo]]</f>
        <v>77.069999999999993</v>
      </c>
      <c r="J1700" s="7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">
        <v>2022</v>
      </c>
      <c r="H1701" s="1">
        <v>3200</v>
      </c>
      <c r="I1701" s="6">
        <f>Tabela1[[#This Row],[Valor total]]-Tabela1[[#This Row],[Valor custo]]</f>
        <v>1178</v>
      </c>
      <c r="J1701" s="7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">
        <v>4092</v>
      </c>
      <c r="H1702" s="1">
        <v>6180</v>
      </c>
      <c r="I1702" s="6">
        <f>Tabela1[[#This Row],[Valor total]]-Tabela1[[#This Row],[Valor custo]]</f>
        <v>2088</v>
      </c>
      <c r="J1702" s="7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">
        <v>499</v>
      </c>
      <c r="H1703" s="1">
        <v>800</v>
      </c>
      <c r="I1703" s="6">
        <f>Tabela1[[#This Row],[Valor total]]-Tabela1[[#This Row],[Valor custo]]</f>
        <v>301</v>
      </c>
      <c r="J1703" s="7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">
        <v>770</v>
      </c>
      <c r="H1704" s="1">
        <v>1300</v>
      </c>
      <c r="I1704" s="6">
        <f>Tabela1[[#This Row],[Valor total]]-Tabela1[[#This Row],[Valor custo]]</f>
        <v>530</v>
      </c>
      <c r="J1704" s="7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">
        <v>1146.9000000000001</v>
      </c>
      <c r="H1705" s="1">
        <v>1560</v>
      </c>
      <c r="I1705" s="6">
        <f>Tabela1[[#This Row],[Valor total]]-Tabela1[[#This Row],[Valor custo]]</f>
        <v>413.09999999999991</v>
      </c>
      <c r="J1705" s="7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">
        <v>3260</v>
      </c>
      <c r="H1706" s="1">
        <v>4010</v>
      </c>
      <c r="I1706" s="6">
        <f>Tabela1[[#This Row],[Valor total]]-Tabela1[[#This Row],[Valor custo]]</f>
        <v>750</v>
      </c>
      <c r="J1706" s="7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">
        <v>2163.9499999999998</v>
      </c>
      <c r="H1707" s="1">
        <v>2915</v>
      </c>
      <c r="I1707" s="6">
        <f>Tabela1[[#This Row],[Valor total]]-Tabela1[[#This Row],[Valor custo]]</f>
        <v>751.05000000000018</v>
      </c>
      <c r="J1707" s="7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">
        <v>534</v>
      </c>
      <c r="H1708" s="1">
        <v>790</v>
      </c>
      <c r="I1708" s="6">
        <f>Tabela1[[#This Row],[Valor total]]-Tabela1[[#This Row],[Valor custo]]</f>
        <v>256</v>
      </c>
      <c r="J1708" s="7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">
        <v>710</v>
      </c>
      <c r="H1709" s="1">
        <v>1180</v>
      </c>
      <c r="I1709" s="6">
        <f>Tabela1[[#This Row],[Valor total]]-Tabela1[[#This Row],[Valor custo]]</f>
        <v>470</v>
      </c>
      <c r="J1709" s="7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">
        <v>970</v>
      </c>
      <c r="H1710" s="1">
        <v>1405</v>
      </c>
      <c r="I1710" s="6">
        <f>Tabela1[[#This Row],[Valor total]]-Tabela1[[#This Row],[Valor custo]]</f>
        <v>435</v>
      </c>
      <c r="J1710" s="7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">
        <v>2158.9</v>
      </c>
      <c r="H1711" s="1">
        <v>5000</v>
      </c>
      <c r="I1711" s="6">
        <f>Tabela1[[#This Row],[Valor total]]-Tabela1[[#This Row],[Valor custo]]</f>
        <v>2841.1</v>
      </c>
      <c r="J1711" s="7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">
        <v>894</v>
      </c>
      <c r="H1712" s="1">
        <v>1080</v>
      </c>
      <c r="I1712" s="6">
        <f>Tabela1[[#This Row],[Valor total]]-Tabela1[[#This Row],[Valor custo]]</f>
        <v>186</v>
      </c>
      <c r="J1712" s="7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">
        <v>9982</v>
      </c>
      <c r="H1713" s="1">
        <v>13620</v>
      </c>
      <c r="I1713" s="6">
        <f>Tabela1[[#This Row],[Valor total]]-Tabela1[[#This Row],[Valor custo]]</f>
        <v>3638</v>
      </c>
      <c r="J1713" s="7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">
        <v>28450.2</v>
      </c>
      <c r="H1714" s="1">
        <v>45250</v>
      </c>
      <c r="I1714" s="6">
        <f>Tabela1[[#This Row],[Valor total]]-Tabela1[[#This Row],[Valor custo]]</f>
        <v>16799.8</v>
      </c>
      <c r="J1714" s="7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">
        <v>707.23</v>
      </c>
      <c r="H1715" s="1">
        <v>700</v>
      </c>
      <c r="I1715" s="6">
        <f>Tabela1[[#This Row],[Valor total]]-Tabela1[[#This Row],[Valor custo]]</f>
        <v>-7.2300000000000182</v>
      </c>
      <c r="J1715" s="7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">
        <v>531.45000000000005</v>
      </c>
      <c r="H1716" s="1">
        <v>750</v>
      </c>
      <c r="I1716" s="6">
        <f>Tabela1[[#This Row],[Valor total]]-Tabela1[[#This Row],[Valor custo]]</f>
        <v>218.54999999999995</v>
      </c>
      <c r="J1716" s="7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">
        <v>707.23</v>
      </c>
      <c r="H1717" s="1">
        <v>1300</v>
      </c>
      <c r="I1717" s="6">
        <f>Tabela1[[#This Row],[Valor total]]-Tabela1[[#This Row],[Valor custo]]</f>
        <v>592.77</v>
      </c>
      <c r="J1717" s="7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">
        <v>313.2</v>
      </c>
      <c r="H1718" s="1">
        <v>900</v>
      </c>
      <c r="I1718" s="6">
        <f>Tabela1[[#This Row],[Valor total]]-Tabela1[[#This Row],[Valor custo]]</f>
        <v>586.79999999999995</v>
      </c>
      <c r="J1718" s="7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">
        <v>3607.35</v>
      </c>
      <c r="H1719" s="1">
        <v>5800</v>
      </c>
      <c r="I1719" s="6">
        <f>Tabela1[[#This Row],[Valor total]]-Tabela1[[#This Row],[Valor custo]]</f>
        <v>2192.65</v>
      </c>
      <c r="J1719" s="7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">
        <v>1515</v>
      </c>
      <c r="H1720" s="1">
        <v>2310</v>
      </c>
      <c r="I1720" s="6">
        <f>Tabela1[[#This Row],[Valor total]]-Tabela1[[#This Row],[Valor custo]]</f>
        <v>795</v>
      </c>
      <c r="J1720" s="7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">
        <v>2335.62</v>
      </c>
      <c r="H1721" s="1">
        <v>3820</v>
      </c>
      <c r="I1721" s="6">
        <f>Tabela1[[#This Row],[Valor total]]-Tabela1[[#This Row],[Valor custo]]</f>
        <v>1484.38</v>
      </c>
      <c r="J1721" s="7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">
        <v>946</v>
      </c>
      <c r="H1722" s="1">
        <v>1400</v>
      </c>
      <c r="I1722" s="6">
        <f>Tabela1[[#This Row],[Valor total]]-Tabela1[[#This Row],[Valor custo]]</f>
        <v>454</v>
      </c>
      <c r="J1722" s="7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">
        <v>514.45000000000005</v>
      </c>
      <c r="H1723" s="1">
        <v>615</v>
      </c>
      <c r="I1723" s="6">
        <f>Tabela1[[#This Row],[Valor total]]-Tabela1[[#This Row],[Valor custo]]</f>
        <v>100.54999999999995</v>
      </c>
      <c r="J1723" s="7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">
        <v>43.79</v>
      </c>
      <c r="H1724" s="1">
        <v>155</v>
      </c>
      <c r="I1724" s="6">
        <f>Tabela1[[#This Row],[Valor total]]-Tabela1[[#This Row],[Valor custo]]</f>
        <v>111.21000000000001</v>
      </c>
      <c r="J1724" s="7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">
        <v>473</v>
      </c>
      <c r="H1725" s="1">
        <v>655</v>
      </c>
      <c r="I1725" s="6">
        <f>Tabela1[[#This Row],[Valor total]]-Tabela1[[#This Row],[Valor custo]]</f>
        <v>182</v>
      </c>
      <c r="J1725" s="7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">
        <v>2347.15</v>
      </c>
      <c r="H1726" s="1">
        <v>4650</v>
      </c>
      <c r="I1726" s="6">
        <f>Tabela1[[#This Row],[Valor total]]-Tabela1[[#This Row],[Valor custo]]</f>
        <v>2302.85</v>
      </c>
      <c r="J1726" s="7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">
        <v>1079.92</v>
      </c>
      <c r="H1727" s="1">
        <v>1560</v>
      </c>
      <c r="I1727" s="6">
        <f>Tabela1[[#This Row],[Valor total]]-Tabela1[[#This Row],[Valor custo]]</f>
        <v>480.07999999999993</v>
      </c>
      <c r="J1727" s="7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">
        <v>447</v>
      </c>
      <c r="H1728" s="1">
        <v>645</v>
      </c>
      <c r="I1728" s="6">
        <f>Tabela1[[#This Row],[Valor total]]-Tabela1[[#This Row],[Valor custo]]</f>
        <v>198</v>
      </c>
      <c r="J1728" s="7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">
        <v>293.13</v>
      </c>
      <c r="H1729" s="1">
        <v>687</v>
      </c>
      <c r="I1729" s="6">
        <f>Tabela1[[#This Row],[Valor total]]-Tabela1[[#This Row],[Valor custo]]</f>
        <v>393.87</v>
      </c>
      <c r="J1729" s="7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">
        <v>548.47</v>
      </c>
      <c r="H1730" s="1">
        <v>810</v>
      </c>
      <c r="I1730" s="6">
        <f>Tabela1[[#This Row],[Valor total]]-Tabela1[[#This Row],[Valor custo]]</f>
        <v>261.52999999999997</v>
      </c>
      <c r="J1730" s="7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">
        <v>710</v>
      </c>
      <c r="H1731" s="1">
        <v>1200</v>
      </c>
      <c r="I1731" s="6">
        <f>Tabela1[[#This Row],[Valor total]]-Tabela1[[#This Row],[Valor custo]]</f>
        <v>490</v>
      </c>
      <c r="J1731" s="7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">
        <v>473</v>
      </c>
      <c r="H1732" s="1">
        <v>70</v>
      </c>
      <c r="I1732" s="6">
        <f>Tabela1[[#This Row],[Valor total]]-Tabela1[[#This Row],[Valor custo]]</f>
        <v>-403</v>
      </c>
      <c r="J1732" s="7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">
        <v>447</v>
      </c>
      <c r="H1733" s="1">
        <v>620</v>
      </c>
      <c r="I1733" s="6">
        <f>Tabela1[[#This Row],[Valor total]]-Tabela1[[#This Row],[Valor custo]]</f>
        <v>173</v>
      </c>
      <c r="J1733" s="7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">
        <v>1018</v>
      </c>
      <c r="H1734" s="1">
        <v>1560</v>
      </c>
      <c r="I1734" s="6">
        <f>Tabela1[[#This Row],[Valor total]]-Tabela1[[#This Row],[Valor custo]]</f>
        <v>542</v>
      </c>
      <c r="J1734" s="7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">
        <v>1660</v>
      </c>
      <c r="H1735" s="1">
        <v>2760</v>
      </c>
      <c r="I1735" s="6">
        <f>Tabela1[[#This Row],[Valor total]]-Tabela1[[#This Row],[Valor custo]]</f>
        <v>1100</v>
      </c>
      <c r="J1735" s="7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">
        <v>521</v>
      </c>
      <c r="H1736" s="1">
        <v>810</v>
      </c>
      <c r="I1736" s="6">
        <f>Tabela1[[#This Row],[Valor total]]-Tabela1[[#This Row],[Valor custo]]</f>
        <v>289</v>
      </c>
      <c r="J1736" s="7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">
        <v>293.13</v>
      </c>
      <c r="H1737" s="1">
        <v>687</v>
      </c>
      <c r="I1737" s="6">
        <f>Tabela1[[#This Row],[Valor total]]-Tabela1[[#This Row],[Valor custo]]</f>
        <v>393.87</v>
      </c>
      <c r="J1737" s="7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">
        <v>473</v>
      </c>
      <c r="H1738" s="1">
        <v>700</v>
      </c>
      <c r="I1738" s="6">
        <f>Tabela1[[#This Row],[Valor total]]-Tabela1[[#This Row],[Valor custo]]</f>
        <v>227</v>
      </c>
      <c r="J1738" s="7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">
        <v>250</v>
      </c>
      <c r="H1739" s="1">
        <v>300</v>
      </c>
      <c r="I1739" s="6">
        <f>Tabela1[[#This Row],[Valor total]]-Tabela1[[#This Row],[Valor custo]]</f>
        <v>50</v>
      </c>
      <c r="J1739" s="7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">
        <v>892.09</v>
      </c>
      <c r="H1740" s="1">
        <v>1420</v>
      </c>
      <c r="I1740" s="6">
        <f>Tabela1[[#This Row],[Valor total]]-Tabela1[[#This Row],[Valor custo]]</f>
        <v>527.91</v>
      </c>
      <c r="J1740" s="7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">
        <v>104.4</v>
      </c>
      <c r="H1741" s="1">
        <v>350</v>
      </c>
      <c r="I1741" s="6">
        <f>Tabela1[[#This Row],[Valor total]]-Tabela1[[#This Row],[Valor custo]]</f>
        <v>245.6</v>
      </c>
      <c r="J1741" s="7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">
        <v>33</v>
      </c>
      <c r="H1742" s="1">
        <v>150</v>
      </c>
      <c r="I1742" s="6">
        <f>Tabela1[[#This Row],[Valor total]]-Tabela1[[#This Row],[Valor custo]]</f>
        <v>117</v>
      </c>
      <c r="J1742" s="7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">
        <v>521</v>
      </c>
      <c r="H1743" s="1">
        <v>810</v>
      </c>
      <c r="I1743" s="6">
        <f>Tabela1[[#This Row],[Valor total]]-Tabela1[[#This Row],[Valor custo]]</f>
        <v>289</v>
      </c>
      <c r="J1743" s="7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">
        <v>99</v>
      </c>
      <c r="H1744" s="1">
        <v>450</v>
      </c>
      <c r="I1744" s="6">
        <f>Tabela1[[#This Row],[Valor total]]-Tabela1[[#This Row],[Valor custo]]</f>
        <v>351</v>
      </c>
      <c r="J1744" s="7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">
        <v>718.57</v>
      </c>
      <c r="H1745" s="1">
        <v>1400</v>
      </c>
      <c r="I1745" s="6">
        <f>Tabela1[[#This Row],[Valor total]]-Tabela1[[#This Row],[Valor custo]]</f>
        <v>681.43</v>
      </c>
      <c r="J1745" s="7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">
        <v>8257.4</v>
      </c>
      <c r="H1746" s="1">
        <v>12764</v>
      </c>
      <c r="I1746" s="6">
        <f>Tabela1[[#This Row],[Valor total]]-Tabela1[[#This Row],[Valor custo]]</f>
        <v>4506.6000000000004</v>
      </c>
      <c r="J1746" s="7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">
        <v>521</v>
      </c>
      <c r="H1747" s="1">
        <v>810</v>
      </c>
      <c r="I1747" s="6">
        <f>Tabela1[[#This Row],[Valor total]]-Tabela1[[#This Row],[Valor custo]]</f>
        <v>289</v>
      </c>
      <c r="J1747" s="7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">
        <v>1704</v>
      </c>
      <c r="H1748" s="1">
        <v>2750</v>
      </c>
      <c r="I1748" s="6">
        <f>Tabela1[[#This Row],[Valor total]]-Tabela1[[#This Row],[Valor custo]]</f>
        <v>1046</v>
      </c>
      <c r="J1748" s="7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">
        <v>994</v>
      </c>
      <c r="H1749" s="1">
        <v>1230</v>
      </c>
      <c r="I1749" s="6">
        <f>Tabela1[[#This Row],[Valor total]]-Tabela1[[#This Row],[Valor custo]]</f>
        <v>236</v>
      </c>
      <c r="J1749" s="7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">
        <v>740</v>
      </c>
      <c r="H1750" s="1">
        <v>1400</v>
      </c>
      <c r="I1750" s="6">
        <f>Tabela1[[#This Row],[Valor total]]-Tabela1[[#This Row],[Valor custo]]</f>
        <v>660</v>
      </c>
      <c r="J1750" s="7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">
        <v>250</v>
      </c>
      <c r="H1751" s="1">
        <v>300</v>
      </c>
      <c r="I1751" s="6">
        <f>Tabela1[[#This Row],[Valor total]]-Tabela1[[#This Row],[Valor custo]]</f>
        <v>50</v>
      </c>
      <c r="J1751" s="7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">
        <v>953.65</v>
      </c>
      <c r="H1752" s="1">
        <v>1365</v>
      </c>
      <c r="I1752" s="6">
        <f>Tabela1[[#This Row],[Valor total]]-Tabela1[[#This Row],[Valor custo]]</f>
        <v>411.35</v>
      </c>
      <c r="J1752" s="7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">
        <v>3080</v>
      </c>
      <c r="H1753" s="1">
        <v>4580</v>
      </c>
      <c r="I1753" s="6">
        <f>Tabela1[[#This Row],[Valor total]]-Tabela1[[#This Row],[Valor custo]]</f>
        <v>1500</v>
      </c>
      <c r="J1753" s="7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">
        <v>3080</v>
      </c>
      <c r="H1754" s="1">
        <v>4580</v>
      </c>
      <c r="I1754" s="6">
        <f>Tabela1[[#This Row],[Valor total]]-Tabela1[[#This Row],[Valor custo]]</f>
        <v>1500</v>
      </c>
      <c r="J1754" s="7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">
        <v>894</v>
      </c>
      <c r="H1755" s="1">
        <v>1230</v>
      </c>
      <c r="I1755" s="6">
        <f>Tabela1[[#This Row],[Valor total]]-Tabela1[[#This Row],[Valor custo]]</f>
        <v>336</v>
      </c>
      <c r="J1755" s="7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">
        <v>521</v>
      </c>
      <c r="H1756" s="1">
        <v>810</v>
      </c>
      <c r="I1756" s="6">
        <f>Tabela1[[#This Row],[Valor total]]-Tabela1[[#This Row],[Valor custo]]</f>
        <v>289</v>
      </c>
      <c r="J1756" s="7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">
        <v>2524</v>
      </c>
      <c r="H1757" s="1">
        <v>3900</v>
      </c>
      <c r="I1757" s="6">
        <f>Tabela1[[#This Row],[Valor total]]-Tabela1[[#This Row],[Valor custo]]</f>
        <v>1376</v>
      </c>
      <c r="J1757" s="7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">
        <v>3575</v>
      </c>
      <c r="H1758" s="1">
        <v>5490</v>
      </c>
      <c r="I1758" s="6">
        <f>Tabela1[[#This Row],[Valor total]]-Tabela1[[#This Row],[Valor custo]]</f>
        <v>1915</v>
      </c>
      <c r="J1758" s="7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">
        <v>1341</v>
      </c>
      <c r="H1759" s="1">
        <v>1630</v>
      </c>
      <c r="I1759" s="6">
        <f>Tabela1[[#This Row],[Valor total]]-Tabela1[[#This Row],[Valor custo]]</f>
        <v>289</v>
      </c>
      <c r="J1759" s="7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">
        <v>536.79999999999995</v>
      </c>
      <c r="H1760" s="1">
        <v>800</v>
      </c>
      <c r="I1760" s="6">
        <f>Tabela1[[#This Row],[Valor total]]-Tabela1[[#This Row],[Valor custo]]</f>
        <v>263.20000000000005</v>
      </c>
      <c r="J1760" s="7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">
        <v>79</v>
      </c>
      <c r="H1761" s="1">
        <v>300</v>
      </c>
      <c r="I1761" s="6">
        <f>Tabela1[[#This Row],[Valor total]]-Tabela1[[#This Row],[Valor custo]]</f>
        <v>221</v>
      </c>
      <c r="J1761" s="7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">
        <v>527.11</v>
      </c>
      <c r="H1762" s="1">
        <v>771.04</v>
      </c>
      <c r="I1762" s="6">
        <f>Tabela1[[#This Row],[Valor total]]-Tabela1[[#This Row],[Valor custo]]</f>
        <v>243.92999999999995</v>
      </c>
      <c r="J1762" s="7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">
        <v>622.74</v>
      </c>
      <c r="H1763" s="1">
        <v>760</v>
      </c>
      <c r="I1763" s="6">
        <f>Tabela1[[#This Row],[Valor total]]-Tabela1[[#This Row],[Valor custo]]</f>
        <v>137.26</v>
      </c>
      <c r="J1763" s="7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">
        <v>5138</v>
      </c>
      <c r="H1764" s="1">
        <v>7920</v>
      </c>
      <c r="I1764" s="6">
        <f>Tabela1[[#This Row],[Valor total]]-Tabela1[[#This Row],[Valor custo]]</f>
        <v>2782</v>
      </c>
      <c r="J1764" s="7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">
        <v>199.14</v>
      </c>
      <c r="H1765" s="1">
        <v>255</v>
      </c>
      <c r="I1765" s="6">
        <f>Tabela1[[#This Row],[Valor total]]-Tabela1[[#This Row],[Valor custo]]</f>
        <v>55.860000000000014</v>
      </c>
      <c r="J1765" s="7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">
        <v>2062</v>
      </c>
      <c r="H1766" s="1">
        <v>3180</v>
      </c>
      <c r="I1766" s="6">
        <f>Tabela1[[#This Row],[Valor total]]-Tabela1[[#This Row],[Valor custo]]</f>
        <v>1118</v>
      </c>
      <c r="J1766" s="7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">
        <v>1231</v>
      </c>
      <c r="H1767" s="1">
        <v>1960</v>
      </c>
      <c r="I1767" s="6">
        <f>Tabela1[[#This Row],[Valor total]]-Tabela1[[#This Row],[Valor custo]]</f>
        <v>729</v>
      </c>
      <c r="J1767" s="7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">
        <v>3129</v>
      </c>
      <c r="H1768" s="1">
        <v>4350</v>
      </c>
      <c r="I1768" s="6">
        <f>Tabela1[[#This Row],[Valor total]]-Tabela1[[#This Row],[Valor custo]]</f>
        <v>1221</v>
      </c>
      <c r="J1768" s="7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">
        <v>732.9</v>
      </c>
      <c r="H1769" s="1">
        <v>1320</v>
      </c>
      <c r="I1769" s="6">
        <f>Tabela1[[#This Row],[Valor total]]-Tabela1[[#This Row],[Valor custo]]</f>
        <v>587.1</v>
      </c>
      <c r="J1769" s="7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">
        <v>1474.5</v>
      </c>
      <c r="H1770" s="1">
        <v>7000</v>
      </c>
      <c r="I1770" s="6">
        <f>Tabela1[[#This Row],[Valor total]]-Tabela1[[#This Row],[Valor custo]]</f>
        <v>5525.5</v>
      </c>
      <c r="J1770" s="7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">
        <v>1042</v>
      </c>
      <c r="H1771" s="1">
        <v>1620</v>
      </c>
      <c r="I1771" s="6">
        <f>Tabela1[[#This Row],[Valor total]]-Tabela1[[#This Row],[Valor custo]]</f>
        <v>578</v>
      </c>
      <c r="J1771" s="7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">
        <v>42</v>
      </c>
      <c r="H1772" s="1">
        <v>55</v>
      </c>
      <c r="I1772" s="6">
        <f>Tabela1[[#This Row],[Valor total]]-Tabela1[[#This Row],[Valor custo]]</f>
        <v>13</v>
      </c>
      <c r="J1772" s="7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">
        <v>1119.21</v>
      </c>
      <c r="H1773" s="1">
        <v>1605</v>
      </c>
      <c r="I1773" s="6">
        <f>Tabela1[[#This Row],[Valor total]]-Tabela1[[#This Row],[Valor custo]]</f>
        <v>485.78999999999996</v>
      </c>
      <c r="J1773" s="7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">
        <v>6163.3</v>
      </c>
      <c r="H1774" s="1">
        <v>11003</v>
      </c>
      <c r="I1774" s="6">
        <f>Tabela1[[#This Row],[Valor total]]-Tabela1[[#This Row],[Valor custo]]</f>
        <v>4839.7</v>
      </c>
      <c r="J1774" s="7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">
        <v>5840</v>
      </c>
      <c r="H1775" s="1">
        <v>8690</v>
      </c>
      <c r="I1775" s="6">
        <f>Tabela1[[#This Row],[Valor total]]-Tabela1[[#This Row],[Valor custo]]</f>
        <v>2850</v>
      </c>
      <c r="J1775" s="7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">
        <v>1420</v>
      </c>
      <c r="H1776" s="1">
        <v>2600</v>
      </c>
      <c r="I1776" s="6">
        <f>Tabela1[[#This Row],[Valor total]]-Tabela1[[#This Row],[Valor custo]]</f>
        <v>1180</v>
      </c>
      <c r="J1776" s="7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">
        <v>2570.06</v>
      </c>
      <c r="H1777" s="1">
        <v>4150</v>
      </c>
      <c r="I1777" s="6">
        <f>Tabela1[[#This Row],[Valor total]]-Tabela1[[#This Row],[Valor custo]]</f>
        <v>1579.94</v>
      </c>
      <c r="J1777" s="7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">
        <v>764.6</v>
      </c>
      <c r="H1778" s="1">
        <v>1350</v>
      </c>
      <c r="I1778" s="6">
        <f>Tabela1[[#This Row],[Valor total]]-Tabela1[[#This Row],[Valor custo]]</f>
        <v>585.4</v>
      </c>
      <c r="J1778" s="7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">
        <v>293.13</v>
      </c>
      <c r="H1779" s="1">
        <v>390</v>
      </c>
      <c r="I1779" s="6">
        <f>Tabela1[[#This Row],[Valor total]]-Tabela1[[#This Row],[Valor custo]]</f>
        <v>96.87</v>
      </c>
      <c r="J1779" s="7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">
        <v>26603.35</v>
      </c>
      <c r="H1780" s="1">
        <v>43000</v>
      </c>
      <c r="I1780" s="6">
        <f>Tabela1[[#This Row],[Valor total]]-Tabela1[[#This Row],[Valor custo]]</f>
        <v>16396.650000000001</v>
      </c>
      <c r="J1780" s="7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">
        <v>679</v>
      </c>
      <c r="H1781" s="1">
        <v>1400</v>
      </c>
      <c r="I1781" s="6">
        <f>Tabela1[[#This Row],[Valor total]]-Tabela1[[#This Row],[Valor custo]]</f>
        <v>721</v>
      </c>
      <c r="J1781" s="7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">
        <v>168</v>
      </c>
      <c r="H1782" s="1">
        <v>240</v>
      </c>
      <c r="I1782" s="6">
        <f>Tabela1[[#This Row],[Valor total]]-Tabela1[[#This Row],[Valor custo]]</f>
        <v>72</v>
      </c>
      <c r="J1782" s="7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">
        <v>1840</v>
      </c>
      <c r="H1783" s="1">
        <v>2700</v>
      </c>
      <c r="I1783" s="6">
        <f>Tabela1[[#This Row],[Valor total]]-Tabela1[[#This Row],[Valor custo]]</f>
        <v>860</v>
      </c>
      <c r="J1783" s="7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">
        <v>473</v>
      </c>
      <c r="H1784" s="1">
        <v>620</v>
      </c>
      <c r="I1784" s="6">
        <f>Tabela1[[#This Row],[Valor total]]-Tabela1[[#This Row],[Valor custo]]</f>
        <v>147</v>
      </c>
      <c r="J1784" s="7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">
        <v>725</v>
      </c>
      <c r="H1785" s="1">
        <v>1300</v>
      </c>
      <c r="I1785" s="6">
        <f>Tabela1[[#This Row],[Valor total]]-Tabela1[[#This Row],[Valor custo]]</f>
        <v>575</v>
      </c>
      <c r="J1785" s="7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">
        <v>293.13</v>
      </c>
      <c r="H1786" s="1">
        <v>390</v>
      </c>
      <c r="I1786" s="6">
        <f>Tabela1[[#This Row],[Valor total]]-Tabela1[[#This Row],[Valor custo]]</f>
        <v>96.87</v>
      </c>
      <c r="J1786" s="7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">
        <v>865.58</v>
      </c>
      <c r="H1787" s="1">
        <v>1310</v>
      </c>
      <c r="I1787" s="6">
        <f>Tabela1[[#This Row],[Valor total]]-Tabela1[[#This Row],[Valor custo]]</f>
        <v>444.41999999999996</v>
      </c>
      <c r="J1787" s="7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">
        <v>20</v>
      </c>
      <c r="H1788" s="1">
        <v>70</v>
      </c>
      <c r="I1788" s="6">
        <f>Tabela1[[#This Row],[Valor total]]-Tabela1[[#This Row],[Valor custo]]</f>
        <v>50</v>
      </c>
      <c r="J1788" s="7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">
        <v>740</v>
      </c>
      <c r="H1789" s="1">
        <v>1350</v>
      </c>
      <c r="I1789" s="6">
        <f>Tabela1[[#This Row],[Valor total]]-Tabela1[[#This Row],[Valor custo]]</f>
        <v>610</v>
      </c>
      <c r="J1789" s="7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">
        <v>285.64999999999998</v>
      </c>
      <c r="H1790" s="1">
        <v>930</v>
      </c>
      <c r="I1790" s="6">
        <f>Tabela1[[#This Row],[Valor total]]-Tabela1[[#This Row],[Valor custo]]</f>
        <v>644.35</v>
      </c>
      <c r="J1790" s="7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">
        <v>1341</v>
      </c>
      <c r="H1791" s="1">
        <v>1845</v>
      </c>
      <c r="I1791" s="6">
        <f>Tabela1[[#This Row],[Valor total]]-Tabela1[[#This Row],[Valor custo]]</f>
        <v>504</v>
      </c>
      <c r="J1791" s="7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">
        <v>982</v>
      </c>
      <c r="H1792" s="1">
        <v>1300</v>
      </c>
      <c r="I1792" s="6">
        <f>Tabela1[[#This Row],[Valor total]]-Tabela1[[#This Row],[Valor custo]]</f>
        <v>318</v>
      </c>
      <c r="J1792" s="7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">
        <v>6024.08</v>
      </c>
      <c r="H1793" s="1">
        <v>9585</v>
      </c>
      <c r="I1793" s="6">
        <f>Tabela1[[#This Row],[Valor total]]-Tabela1[[#This Row],[Valor custo]]</f>
        <v>3560.92</v>
      </c>
      <c r="J1793" s="7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">
        <v>1447.5</v>
      </c>
      <c r="H1794" s="1">
        <v>2160</v>
      </c>
      <c r="I1794" s="6">
        <f>Tabela1[[#This Row],[Valor total]]-Tabela1[[#This Row],[Valor custo]]</f>
        <v>712.5</v>
      </c>
      <c r="J1794" s="7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">
        <v>725</v>
      </c>
      <c r="H1795" s="1">
        <v>1350</v>
      </c>
      <c r="I1795" s="6">
        <f>Tabela1[[#This Row],[Valor total]]-Tabela1[[#This Row],[Valor custo]]</f>
        <v>625</v>
      </c>
      <c r="J1795" s="7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">
        <v>4820</v>
      </c>
      <c r="H1796" s="1">
        <v>6660</v>
      </c>
      <c r="I1796" s="6">
        <f>Tabela1[[#This Row],[Valor total]]-Tabela1[[#This Row],[Valor custo]]</f>
        <v>1840</v>
      </c>
      <c r="J1796" s="7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">
        <v>3834</v>
      </c>
      <c r="H1797" s="1">
        <v>6720</v>
      </c>
      <c r="I1797" s="6">
        <f>Tabela1[[#This Row],[Valor total]]-Tabela1[[#This Row],[Valor custo]]</f>
        <v>2886</v>
      </c>
      <c r="J1797" s="7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">
        <v>2535.13</v>
      </c>
      <c r="H1798" s="1">
        <v>3609</v>
      </c>
      <c r="I1798" s="6">
        <f>Tabela1[[#This Row],[Valor total]]-Tabela1[[#This Row],[Valor custo]]</f>
        <v>1073.8699999999999</v>
      </c>
      <c r="J1798" s="7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">
        <v>894</v>
      </c>
      <c r="H1799" s="1">
        <v>1240</v>
      </c>
      <c r="I1799" s="6">
        <f>Tabela1[[#This Row],[Valor total]]-Tabela1[[#This Row],[Valor custo]]</f>
        <v>346</v>
      </c>
      <c r="J1799" s="7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">
        <v>725</v>
      </c>
      <c r="H1800" s="1">
        <v>1300</v>
      </c>
      <c r="I1800" s="6">
        <f>Tabela1[[#This Row],[Valor total]]-Tabela1[[#This Row],[Valor custo]]</f>
        <v>575</v>
      </c>
      <c r="J1800" s="7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">
        <v>473</v>
      </c>
      <c r="H1801" s="1">
        <v>760</v>
      </c>
      <c r="I1801" s="6">
        <f>Tabela1[[#This Row],[Valor total]]-Tabela1[[#This Row],[Valor custo]]</f>
        <v>287</v>
      </c>
      <c r="J1801" s="7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">
        <v>1712.69</v>
      </c>
      <c r="H1802" s="1">
        <v>2630</v>
      </c>
      <c r="I1802" s="6">
        <f>Tabela1[[#This Row],[Valor total]]-Tabela1[[#This Row],[Valor custo]]</f>
        <v>917.31</v>
      </c>
      <c r="J1802" s="7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">
        <v>3331.6</v>
      </c>
      <c r="H1803" s="1">
        <v>5088</v>
      </c>
      <c r="I1803" s="6">
        <f>Tabela1[[#This Row],[Valor total]]-Tabela1[[#This Row],[Valor custo]]</f>
        <v>1756.4</v>
      </c>
      <c r="J1803" s="7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">
        <v>13.69</v>
      </c>
      <c r="H1804" s="1">
        <v>470</v>
      </c>
      <c r="I1804" s="6">
        <f>Tabela1[[#This Row],[Valor total]]-Tabela1[[#This Row],[Valor custo]]</f>
        <v>456.31</v>
      </c>
      <c r="J1804" s="7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">
        <v>725</v>
      </c>
      <c r="H1805" s="1">
        <v>1350</v>
      </c>
      <c r="I1805" s="6">
        <f>Tabela1[[#This Row],[Valor total]]-Tabela1[[#This Row],[Valor custo]]</f>
        <v>625</v>
      </c>
      <c r="J1805" s="7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">
        <v>920</v>
      </c>
      <c r="H1806" s="1">
        <v>1300</v>
      </c>
      <c r="I1806" s="6">
        <f>Tabela1[[#This Row],[Valor total]]-Tabela1[[#This Row],[Valor custo]]</f>
        <v>380</v>
      </c>
      <c r="J1806" s="7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">
        <v>909.8</v>
      </c>
      <c r="H1807" s="1">
        <v>1360</v>
      </c>
      <c r="I1807" s="6">
        <f>Tabela1[[#This Row],[Valor total]]-Tabela1[[#This Row],[Valor custo]]</f>
        <v>450.20000000000005</v>
      </c>
      <c r="J1807" s="7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">
        <v>0</v>
      </c>
      <c r="H1808" s="1">
        <v>100</v>
      </c>
      <c r="I1808" s="6">
        <f>Tabela1[[#This Row],[Valor total]]-Tabela1[[#This Row],[Valor custo]]</f>
        <v>100</v>
      </c>
      <c r="J1808" s="7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">
        <v>899.28</v>
      </c>
      <c r="H1809" s="1">
        <v>1360</v>
      </c>
      <c r="I1809" s="6">
        <f>Tabela1[[#This Row],[Valor total]]-Tabela1[[#This Row],[Valor custo]]</f>
        <v>460.72</v>
      </c>
      <c r="J1809" s="7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">
        <v>946</v>
      </c>
      <c r="H1810" s="1">
        <v>1290</v>
      </c>
      <c r="I1810" s="6">
        <f>Tabela1[[#This Row],[Valor total]]-Tabela1[[#This Row],[Valor custo]]</f>
        <v>344</v>
      </c>
      <c r="J1810" s="7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">
        <v>1165.3</v>
      </c>
      <c r="H1811" s="1">
        <v>1814</v>
      </c>
      <c r="I1811" s="6">
        <f>Tabela1[[#This Row],[Valor total]]-Tabela1[[#This Row],[Valor custo]]</f>
        <v>648.70000000000005</v>
      </c>
      <c r="J1811" s="7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">
        <v>0</v>
      </c>
      <c r="H1812" s="1">
        <v>530</v>
      </c>
      <c r="I1812" s="6">
        <f>Tabela1[[#This Row],[Valor total]]-Tabela1[[#This Row],[Valor custo]]</f>
        <v>530</v>
      </c>
      <c r="J1812" s="7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">
        <v>878.4</v>
      </c>
      <c r="H1813" s="1">
        <v>1290</v>
      </c>
      <c r="I1813" s="6">
        <f>Tabela1[[#This Row],[Valor total]]-Tabela1[[#This Row],[Valor custo]]</f>
        <v>411.6</v>
      </c>
      <c r="J1813" s="7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">
        <v>439.2</v>
      </c>
      <c r="H1814" s="1">
        <v>645</v>
      </c>
      <c r="I1814" s="6">
        <f>Tabela1[[#This Row],[Valor total]]-Tabela1[[#This Row],[Valor custo]]</f>
        <v>205.8</v>
      </c>
      <c r="J1814" s="7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">
        <v>27.38</v>
      </c>
      <c r="H1815" s="1">
        <v>240</v>
      </c>
      <c r="I1815" s="6">
        <f>Tabela1[[#This Row],[Valor total]]-Tabela1[[#This Row],[Valor custo]]</f>
        <v>212.62</v>
      </c>
      <c r="J1815" s="7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">
        <v>3834</v>
      </c>
      <c r="H1816" s="1">
        <v>6930</v>
      </c>
      <c r="I1816" s="6">
        <f>Tabela1[[#This Row],[Valor total]]-Tabela1[[#This Row],[Valor custo]]</f>
        <v>3096</v>
      </c>
      <c r="J1816" s="7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">
        <v>439.2</v>
      </c>
      <c r="H1817" s="1">
        <v>645</v>
      </c>
      <c r="I1817" s="6">
        <f>Tabela1[[#This Row],[Valor total]]-Tabela1[[#This Row],[Valor custo]]</f>
        <v>205.8</v>
      </c>
      <c r="J1817" s="7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">
        <v>2000</v>
      </c>
      <c r="H1818" s="1">
        <v>3000</v>
      </c>
      <c r="I1818" s="6">
        <f>Tabela1[[#This Row],[Valor total]]-Tabela1[[#This Row],[Valor custo]]</f>
        <v>1000</v>
      </c>
      <c r="J1818" s="7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">
        <v>1594.35</v>
      </c>
      <c r="H1819" s="1">
        <v>2355</v>
      </c>
      <c r="I1819" s="6">
        <f>Tabela1[[#This Row],[Valor total]]-Tabela1[[#This Row],[Valor custo]]</f>
        <v>760.65000000000009</v>
      </c>
      <c r="J1819" s="7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">
        <v>555</v>
      </c>
      <c r="H1820" s="1">
        <v>730</v>
      </c>
      <c r="I1820" s="6">
        <f>Tabela1[[#This Row],[Valor total]]-Tabela1[[#This Row],[Valor custo]]</f>
        <v>175</v>
      </c>
      <c r="J1820" s="7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">
        <v>192</v>
      </c>
      <c r="H1821" s="1">
        <v>250</v>
      </c>
      <c r="I1821" s="6">
        <f>Tabela1[[#This Row],[Valor total]]-Tabela1[[#This Row],[Valor custo]]</f>
        <v>58</v>
      </c>
      <c r="J1821" s="7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">
        <v>878.4</v>
      </c>
      <c r="H1822" s="1">
        <v>1290</v>
      </c>
      <c r="I1822" s="6">
        <f>Tabela1[[#This Row],[Valor total]]-Tabela1[[#This Row],[Valor custo]]</f>
        <v>411.6</v>
      </c>
      <c r="J1822" s="7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">
        <v>521</v>
      </c>
      <c r="H1823" s="1">
        <v>120</v>
      </c>
      <c r="I1823" s="6">
        <f>Tabela1[[#This Row],[Valor total]]-Tabela1[[#This Row],[Valor custo]]</f>
        <v>-401</v>
      </c>
      <c r="J1823" s="7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">
        <v>531.45000000000005</v>
      </c>
      <c r="H1824" s="1">
        <v>824</v>
      </c>
      <c r="I1824" s="6">
        <f>Tabela1[[#This Row],[Valor total]]-Tabela1[[#This Row],[Valor custo]]</f>
        <v>292.54999999999995</v>
      </c>
      <c r="J1824" s="7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">
        <v>725</v>
      </c>
      <c r="H1825" s="1">
        <v>1350</v>
      </c>
      <c r="I1825" s="6">
        <f>Tabela1[[#This Row],[Valor total]]-Tabela1[[#This Row],[Valor custo]]</f>
        <v>625</v>
      </c>
      <c r="J1825" s="7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">
        <v>503.1</v>
      </c>
      <c r="H1826" s="1">
        <v>758</v>
      </c>
      <c r="I1826" s="6">
        <f>Tabela1[[#This Row],[Valor total]]-Tabela1[[#This Row],[Valor custo]]</f>
        <v>254.89999999999998</v>
      </c>
      <c r="J1826" s="7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">
        <v>878.4</v>
      </c>
      <c r="H1827" s="1">
        <v>1290</v>
      </c>
      <c r="I1827" s="6">
        <f>Tabela1[[#This Row],[Valor total]]-Tabela1[[#This Row],[Valor custo]]</f>
        <v>411.6</v>
      </c>
      <c r="J1827" s="7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">
        <v>439.2</v>
      </c>
      <c r="H1828" s="1">
        <v>645</v>
      </c>
      <c r="I1828" s="6">
        <f>Tabela1[[#This Row],[Valor total]]-Tabela1[[#This Row],[Valor custo]]</f>
        <v>205.8</v>
      </c>
      <c r="J1828" s="7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">
        <v>389.5</v>
      </c>
      <c r="H1829" s="1">
        <v>595</v>
      </c>
      <c r="I1829" s="6">
        <f>Tabela1[[#This Row],[Valor total]]-Tabela1[[#This Row],[Valor custo]]</f>
        <v>205.5</v>
      </c>
      <c r="J1829" s="7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">
        <v>97.5</v>
      </c>
      <c r="H1830" s="1">
        <v>150</v>
      </c>
      <c r="I1830" s="6">
        <f>Tabela1[[#This Row],[Valor total]]-Tabela1[[#This Row],[Valor custo]]</f>
        <v>52.5</v>
      </c>
      <c r="J1830" s="7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">
        <v>1604</v>
      </c>
      <c r="H1831" s="1">
        <v>2430</v>
      </c>
      <c r="I1831" s="6">
        <f>Tabela1[[#This Row],[Valor total]]-Tabela1[[#This Row],[Valor custo]]</f>
        <v>826</v>
      </c>
      <c r="J1831" s="7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">
        <v>439.2</v>
      </c>
      <c r="H1832" s="1">
        <v>635</v>
      </c>
      <c r="I1832" s="6">
        <f>Tabela1[[#This Row],[Valor total]]-Tabela1[[#This Row],[Valor custo]]</f>
        <v>195.8</v>
      </c>
      <c r="J1832" s="7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">
        <v>1942.34</v>
      </c>
      <c r="H1833" s="1">
        <v>2570</v>
      </c>
      <c r="I1833" s="6">
        <f>Tabela1[[#This Row],[Valor total]]-Tabela1[[#This Row],[Valor custo]]</f>
        <v>627.66000000000008</v>
      </c>
      <c r="J1833" s="7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">
        <v>4730</v>
      </c>
      <c r="H1834" s="1">
        <v>6550</v>
      </c>
      <c r="I1834" s="6">
        <f>Tabela1[[#This Row],[Valor total]]-Tabela1[[#This Row],[Valor custo]]</f>
        <v>1820</v>
      </c>
      <c r="J1834" s="7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">
        <v>404.51</v>
      </c>
      <c r="H1835" s="1">
        <v>240</v>
      </c>
      <c r="I1835" s="6">
        <f>Tabela1[[#This Row],[Valor total]]-Tabela1[[#This Row],[Valor custo]]</f>
        <v>-164.51</v>
      </c>
      <c r="J1835" s="7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">
        <v>30.49</v>
      </c>
      <c r="H1836" s="1">
        <v>40</v>
      </c>
      <c r="I1836" s="6">
        <f>Tabela1[[#This Row],[Valor total]]-Tabela1[[#This Row],[Valor custo]]</f>
        <v>9.5100000000000016</v>
      </c>
      <c r="J1836" s="7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">
        <v>65</v>
      </c>
      <c r="H1837" s="1">
        <v>100</v>
      </c>
      <c r="I1837" s="6">
        <f>Tabela1[[#This Row],[Valor total]]-Tabela1[[#This Row],[Valor custo]]</f>
        <v>35</v>
      </c>
      <c r="J1837" s="7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">
        <v>473</v>
      </c>
      <c r="H1838" s="1">
        <v>700</v>
      </c>
      <c r="I1838" s="6">
        <f>Tabela1[[#This Row],[Valor total]]-Tabela1[[#This Row],[Valor custo]]</f>
        <v>227</v>
      </c>
      <c r="J1838" s="7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">
        <v>1038</v>
      </c>
      <c r="H1839" s="1">
        <v>1640</v>
      </c>
      <c r="I1839" s="6">
        <f>Tabela1[[#This Row],[Valor total]]-Tabela1[[#This Row],[Valor custo]]</f>
        <v>602</v>
      </c>
      <c r="J1839" s="7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">
        <v>74.400000000000006</v>
      </c>
      <c r="H1840" s="1">
        <v>96</v>
      </c>
      <c r="I1840" s="6">
        <f>Tabela1[[#This Row],[Valor total]]-Tabela1[[#This Row],[Valor custo]]</f>
        <v>21.599999999999994</v>
      </c>
      <c r="J1840" s="7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">
        <v>2612</v>
      </c>
      <c r="H1841" s="1">
        <v>4375</v>
      </c>
      <c r="I1841" s="6">
        <f>Tabela1[[#This Row],[Valor total]]-Tabela1[[#This Row],[Valor custo]]</f>
        <v>1763</v>
      </c>
      <c r="J1841" s="7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">
        <v>946</v>
      </c>
      <c r="H1842" s="1">
        <v>1400</v>
      </c>
      <c r="I1842" s="6">
        <f>Tabela1[[#This Row],[Valor total]]-Tabela1[[#This Row],[Valor custo]]</f>
        <v>454</v>
      </c>
      <c r="J1842" s="7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">
        <v>125</v>
      </c>
      <c r="H1843" s="1">
        <v>150</v>
      </c>
      <c r="I1843" s="6">
        <f>Tabela1[[#This Row],[Valor total]]-Tabela1[[#This Row],[Valor custo]]</f>
        <v>25</v>
      </c>
      <c r="J1843" s="7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">
        <v>284.26</v>
      </c>
      <c r="H1844" s="1">
        <v>620</v>
      </c>
      <c r="I1844" s="6">
        <f>Tabela1[[#This Row],[Valor total]]-Tabela1[[#This Row],[Valor custo]]</f>
        <v>335.74</v>
      </c>
      <c r="J1844" s="7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">
        <v>733.7</v>
      </c>
      <c r="H1845" s="1">
        <v>1355</v>
      </c>
      <c r="I1845" s="6">
        <f>Tabela1[[#This Row],[Valor total]]-Tabela1[[#This Row],[Valor custo]]</f>
        <v>621.29999999999995</v>
      </c>
      <c r="J1845" s="7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">
        <v>333.13</v>
      </c>
      <c r="H1846" s="1">
        <v>375</v>
      </c>
      <c r="I1846" s="6">
        <f>Tabela1[[#This Row],[Valor total]]-Tabela1[[#This Row],[Valor custo]]</f>
        <v>41.870000000000005</v>
      </c>
      <c r="J1846" s="7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">
        <v>894</v>
      </c>
      <c r="H1847" s="1">
        <v>1300</v>
      </c>
      <c r="I1847" s="6">
        <f>Tabela1[[#This Row],[Valor total]]-Tabela1[[#This Row],[Valor custo]]</f>
        <v>406</v>
      </c>
      <c r="J1847" s="7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">
        <v>1317.6</v>
      </c>
      <c r="H1848" s="1">
        <v>1900</v>
      </c>
      <c r="I1848" s="6">
        <f>Tabela1[[#This Row],[Valor total]]-Tabela1[[#This Row],[Valor custo]]</f>
        <v>582.40000000000009</v>
      </c>
      <c r="J1848" s="7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">
        <v>447</v>
      </c>
      <c r="H1849" s="1">
        <v>645</v>
      </c>
      <c r="I1849" s="6">
        <f>Tabela1[[#This Row],[Valor total]]-Tabela1[[#This Row],[Valor custo]]</f>
        <v>198</v>
      </c>
      <c r="J1849" s="7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">
        <v>2224.7800000000002</v>
      </c>
      <c r="H1850" s="1">
        <v>3354</v>
      </c>
      <c r="I1850" s="6">
        <f>Tabela1[[#This Row],[Valor total]]-Tabela1[[#This Row],[Valor custo]]</f>
        <v>1129.2199999999998</v>
      </c>
      <c r="J1850" s="7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">
        <v>994</v>
      </c>
      <c r="H1851" s="1">
        <v>1500</v>
      </c>
      <c r="I1851" s="6">
        <f>Tabela1[[#This Row],[Valor total]]-Tabela1[[#This Row],[Valor custo]]</f>
        <v>506</v>
      </c>
      <c r="J1851" s="7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">
        <v>3987</v>
      </c>
      <c r="H1852" s="1">
        <v>5990</v>
      </c>
      <c r="I1852" s="6">
        <f>Tabela1[[#This Row],[Valor total]]-Tabela1[[#This Row],[Valor custo]]</f>
        <v>2003</v>
      </c>
      <c r="J1852" s="7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">
        <v>943.4</v>
      </c>
      <c r="H1853" s="1">
        <v>1390</v>
      </c>
      <c r="I1853" s="6">
        <f>Tabela1[[#This Row],[Valor total]]-Tabela1[[#This Row],[Valor custo]]</f>
        <v>446.6</v>
      </c>
      <c r="J1853" s="7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">
        <v>3919.72</v>
      </c>
      <c r="H1854" s="1">
        <v>6265</v>
      </c>
      <c r="I1854" s="6">
        <f>Tabela1[[#This Row],[Valor total]]-Tabela1[[#This Row],[Valor custo]]</f>
        <v>2345.2800000000002</v>
      </c>
      <c r="J1854" s="7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">
        <v>601.04</v>
      </c>
      <c r="H1855" s="1">
        <v>850</v>
      </c>
      <c r="I1855" s="6">
        <f>Tabela1[[#This Row],[Valor total]]-Tabela1[[#This Row],[Valor custo]]</f>
        <v>248.96000000000004</v>
      </c>
      <c r="J1855" s="7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">
        <v>729.45</v>
      </c>
      <c r="H1856" s="1">
        <v>1000</v>
      </c>
      <c r="I1856" s="6">
        <f>Tabela1[[#This Row],[Valor total]]-Tabela1[[#This Row],[Valor custo]]</f>
        <v>270.54999999999995</v>
      </c>
      <c r="J1856" s="7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">
        <v>175</v>
      </c>
      <c r="H1857" s="1">
        <v>210</v>
      </c>
      <c r="I1857" s="6">
        <f>Tabela1[[#This Row],[Valor total]]-Tabela1[[#This Row],[Valor custo]]</f>
        <v>35</v>
      </c>
      <c r="J1857" s="7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">
        <v>223.42</v>
      </c>
      <c r="H1858" s="1">
        <v>310</v>
      </c>
      <c r="I1858" s="6">
        <f>Tabela1[[#This Row],[Valor total]]-Tabela1[[#This Row],[Valor custo]]</f>
        <v>86.580000000000013</v>
      </c>
      <c r="J1858" s="7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">
        <v>878.4</v>
      </c>
      <c r="H1859" s="1">
        <v>1290</v>
      </c>
      <c r="I1859" s="6">
        <f>Tabela1[[#This Row],[Valor total]]-Tabela1[[#This Row],[Valor custo]]</f>
        <v>411.6</v>
      </c>
      <c r="J1859" s="7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">
        <v>773</v>
      </c>
      <c r="H1860" s="1">
        <v>1500</v>
      </c>
      <c r="I1860" s="6">
        <f>Tabela1[[#This Row],[Valor total]]-Tabela1[[#This Row],[Valor custo]]</f>
        <v>727</v>
      </c>
      <c r="J1860" s="7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">
        <v>27.38</v>
      </c>
      <c r="H1861" s="1">
        <v>220</v>
      </c>
      <c r="I1861" s="6">
        <f>Tabela1[[#This Row],[Valor total]]-Tabela1[[#This Row],[Valor custo]]</f>
        <v>192.62</v>
      </c>
      <c r="J1861" s="7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">
        <v>0</v>
      </c>
      <c r="H1862" s="1">
        <v>590</v>
      </c>
      <c r="I1862" s="6">
        <f>Tabela1[[#This Row],[Valor total]]-Tabela1[[#This Row],[Valor custo]]</f>
        <v>590</v>
      </c>
      <c r="J1862" s="7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">
        <v>1328</v>
      </c>
      <c r="H1863" s="1">
        <v>2400</v>
      </c>
      <c r="I1863" s="6">
        <f>Tabela1[[#This Row],[Valor total]]-Tabela1[[#This Row],[Valor custo]]</f>
        <v>1072</v>
      </c>
      <c r="J1863" s="7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">
        <v>358</v>
      </c>
      <c r="H1864" s="1">
        <v>540</v>
      </c>
      <c r="I1864" s="6">
        <f>Tabela1[[#This Row],[Valor total]]-Tabela1[[#This Row],[Valor custo]]</f>
        <v>182</v>
      </c>
      <c r="J1864" s="7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">
        <v>0</v>
      </c>
      <c r="H1865" s="1">
        <v>200</v>
      </c>
      <c r="I1865" s="6">
        <f>Tabela1[[#This Row],[Valor total]]-Tabela1[[#This Row],[Valor custo]]</f>
        <v>200</v>
      </c>
      <c r="J1865" s="7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">
        <v>1247.21</v>
      </c>
      <c r="H1866" s="1">
        <v>855</v>
      </c>
      <c r="I1866" s="6">
        <f>Tabela1[[#This Row],[Valor total]]-Tabela1[[#This Row],[Valor custo]]</f>
        <v>-392.21000000000004</v>
      </c>
      <c r="J1866" s="7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">
        <v>382.3</v>
      </c>
      <c r="H1867" s="1">
        <v>515</v>
      </c>
      <c r="I1867" s="6">
        <f>Tabela1[[#This Row],[Valor total]]-Tabela1[[#This Row],[Valor custo]]</f>
        <v>132.69999999999999</v>
      </c>
      <c r="J1867" s="7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">
        <v>504.89</v>
      </c>
      <c r="H1868" s="1">
        <v>950</v>
      </c>
      <c r="I1868" s="6">
        <f>Tabela1[[#This Row],[Valor total]]-Tabela1[[#This Row],[Valor custo]]</f>
        <v>445.11</v>
      </c>
      <c r="J1868" s="7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">
        <v>455</v>
      </c>
      <c r="H1869" s="1">
        <v>785</v>
      </c>
      <c r="I1869" s="6">
        <f>Tabela1[[#This Row],[Valor total]]-Tabela1[[#This Row],[Valor custo]]</f>
        <v>330</v>
      </c>
      <c r="J1869" s="7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">
        <v>1602</v>
      </c>
      <c r="H1870" s="1">
        <v>2450</v>
      </c>
      <c r="I1870" s="6">
        <f>Tabela1[[#This Row],[Valor total]]-Tabela1[[#This Row],[Valor custo]]</f>
        <v>848</v>
      </c>
      <c r="J1870" s="7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">
        <v>674</v>
      </c>
      <c r="H1871" s="1">
        <v>1195</v>
      </c>
      <c r="I1871" s="6">
        <f>Tabela1[[#This Row],[Valor total]]-Tabela1[[#This Row],[Valor custo]]</f>
        <v>521</v>
      </c>
      <c r="J1871" s="7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">
        <v>2774</v>
      </c>
      <c r="H1872" s="1">
        <v>4620</v>
      </c>
      <c r="I1872" s="6">
        <f>Tabela1[[#This Row],[Valor total]]-Tabela1[[#This Row],[Valor custo]]</f>
        <v>1846</v>
      </c>
      <c r="J1872" s="7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">
        <v>453.1</v>
      </c>
      <c r="H1873" s="1">
        <v>650</v>
      </c>
      <c r="I1873" s="6">
        <f>Tabela1[[#This Row],[Valor total]]-Tabela1[[#This Row],[Valor custo]]</f>
        <v>196.89999999999998</v>
      </c>
      <c r="J1873" s="7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">
        <v>755</v>
      </c>
      <c r="H1874" s="1">
        <v>960</v>
      </c>
      <c r="I1874" s="6">
        <f>Tabela1[[#This Row],[Valor total]]-Tabela1[[#This Row],[Valor custo]]</f>
        <v>205</v>
      </c>
      <c r="J1874" s="7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">
        <v>439.2</v>
      </c>
      <c r="H1875" s="1">
        <v>660</v>
      </c>
      <c r="I1875" s="6">
        <f>Tabela1[[#This Row],[Valor total]]-Tabela1[[#This Row],[Valor custo]]</f>
        <v>220.8</v>
      </c>
      <c r="J1875" s="7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">
        <v>382.3</v>
      </c>
      <c r="H1876" s="1">
        <v>645</v>
      </c>
      <c r="I1876" s="6">
        <f>Tabela1[[#This Row],[Valor total]]-Tabela1[[#This Row],[Valor custo]]</f>
        <v>262.7</v>
      </c>
      <c r="J1876" s="7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">
        <v>1146.9000000000001</v>
      </c>
      <c r="H1877" s="1">
        <v>1900</v>
      </c>
      <c r="I1877" s="6">
        <f>Tabela1[[#This Row],[Valor total]]-Tabela1[[#This Row],[Valor custo]]</f>
        <v>753.09999999999991</v>
      </c>
      <c r="J1877" s="7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">
        <v>57.13</v>
      </c>
      <c r="H1878" s="1">
        <v>230</v>
      </c>
      <c r="I1878" s="6">
        <f>Tabela1[[#This Row],[Valor total]]-Tabela1[[#This Row],[Valor custo]]</f>
        <v>172.87</v>
      </c>
      <c r="J1878" s="7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">
        <v>7646</v>
      </c>
      <c r="H1879" s="1">
        <v>12200</v>
      </c>
      <c r="I1879" s="6">
        <f>Tabela1[[#This Row],[Valor total]]-Tabela1[[#This Row],[Valor custo]]</f>
        <v>4554</v>
      </c>
      <c r="J1879" s="7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">
        <v>4470</v>
      </c>
      <c r="H1880" s="1">
        <v>6150</v>
      </c>
      <c r="I1880" s="6">
        <f>Tabela1[[#This Row],[Valor total]]-Tabela1[[#This Row],[Valor custo]]</f>
        <v>1680</v>
      </c>
      <c r="J1880" s="7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">
        <v>2275</v>
      </c>
      <c r="H1881" s="1">
        <v>3750</v>
      </c>
      <c r="I1881" s="6">
        <f>Tabela1[[#This Row],[Valor total]]-Tabela1[[#This Row],[Valor custo]]</f>
        <v>1475</v>
      </c>
      <c r="J1881" s="7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">
        <v>779.02</v>
      </c>
      <c r="H1882" s="1">
        <v>1230</v>
      </c>
      <c r="I1882" s="6">
        <f>Tabela1[[#This Row],[Valor total]]-Tabela1[[#This Row],[Valor custo]]</f>
        <v>450.98</v>
      </c>
      <c r="J1882" s="7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">
        <v>757.56</v>
      </c>
      <c r="H1883" s="1">
        <v>1425</v>
      </c>
      <c r="I1883" s="6">
        <f>Tabela1[[#This Row],[Valor total]]-Tabela1[[#This Row],[Valor custo]]</f>
        <v>667.44</v>
      </c>
      <c r="J1883" s="7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">
        <v>453.1</v>
      </c>
      <c r="H1884" s="1">
        <v>620</v>
      </c>
      <c r="I1884" s="6">
        <f>Tabela1[[#This Row],[Valor total]]-Tabela1[[#This Row],[Valor custo]]</f>
        <v>166.89999999999998</v>
      </c>
      <c r="J1884" s="7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">
        <v>459.19</v>
      </c>
      <c r="H1885" s="1">
        <v>611.5</v>
      </c>
      <c r="I1885" s="6">
        <f>Tabela1[[#This Row],[Valor total]]-Tabela1[[#This Row],[Valor custo]]</f>
        <v>152.31</v>
      </c>
      <c r="J1885" s="7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">
        <v>47.25</v>
      </c>
      <c r="H1886" s="1">
        <v>160</v>
      </c>
      <c r="I1886" s="6">
        <f>Tabela1[[#This Row],[Valor total]]-Tabela1[[#This Row],[Valor custo]]</f>
        <v>112.75</v>
      </c>
      <c r="J1886" s="7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">
        <v>13.69</v>
      </c>
      <c r="H1887" s="1">
        <v>110</v>
      </c>
      <c r="I1887" s="6">
        <f>Tabela1[[#This Row],[Valor total]]-Tabela1[[#This Row],[Valor custo]]</f>
        <v>96.31</v>
      </c>
      <c r="J1887" s="7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">
        <v>465.29</v>
      </c>
      <c r="H1888" s="1">
        <v>666.5</v>
      </c>
      <c r="I1888" s="6">
        <f>Tabela1[[#This Row],[Valor total]]-Tabela1[[#This Row],[Valor custo]]</f>
        <v>201.20999999999998</v>
      </c>
      <c r="J1888" s="7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">
        <v>27.38</v>
      </c>
      <c r="H1889" s="1">
        <v>400</v>
      </c>
      <c r="I1889" s="6">
        <f>Tabela1[[#This Row],[Valor total]]-Tabela1[[#This Row],[Valor custo]]</f>
        <v>372.62</v>
      </c>
      <c r="J1889" s="7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">
        <v>764.6</v>
      </c>
      <c r="H1890" s="1">
        <v>1290</v>
      </c>
      <c r="I1890" s="6">
        <f>Tabela1[[#This Row],[Valor total]]-Tabela1[[#This Row],[Valor custo]]</f>
        <v>525.4</v>
      </c>
      <c r="J1890" s="7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">
        <v>497</v>
      </c>
      <c r="H1891" s="1">
        <v>235</v>
      </c>
      <c r="I1891" s="6">
        <f>Tabela1[[#This Row],[Valor total]]-Tabela1[[#This Row],[Valor custo]]</f>
        <v>-262</v>
      </c>
      <c r="J1891" s="7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">
        <v>382.3</v>
      </c>
      <c r="H1892" s="1">
        <v>640</v>
      </c>
      <c r="I1892" s="6">
        <f>Tabela1[[#This Row],[Valor total]]-Tabela1[[#This Row],[Valor custo]]</f>
        <v>257.7</v>
      </c>
      <c r="J1892" s="7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">
        <v>710</v>
      </c>
      <c r="H1893" s="1">
        <v>1100</v>
      </c>
      <c r="I1893" s="6">
        <f>Tabela1[[#This Row],[Valor total]]-Tabela1[[#This Row],[Valor custo]]</f>
        <v>390</v>
      </c>
      <c r="J1893" s="7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">
        <v>1107.77</v>
      </c>
      <c r="H1894" s="1">
        <v>1815</v>
      </c>
      <c r="I1894" s="6">
        <f>Tabela1[[#This Row],[Valor total]]-Tabela1[[#This Row],[Valor custo]]</f>
        <v>707.23</v>
      </c>
      <c r="J1894" s="7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">
        <v>108.15</v>
      </c>
      <c r="H1895" s="1">
        <v>450</v>
      </c>
      <c r="I1895" s="6">
        <f>Tabela1[[#This Row],[Valor total]]-Tabela1[[#This Row],[Valor custo]]</f>
        <v>341.85</v>
      </c>
      <c r="J1895" s="7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">
        <v>7.9</v>
      </c>
      <c r="H1896" s="1">
        <v>40</v>
      </c>
      <c r="I1896" s="6">
        <f>Tabela1[[#This Row],[Valor total]]-Tabela1[[#This Row],[Valor custo]]</f>
        <v>32.1</v>
      </c>
      <c r="J1896" s="7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">
        <v>1078.58</v>
      </c>
      <c r="H1897" s="1">
        <v>1620</v>
      </c>
      <c r="I1897" s="6">
        <f>Tabela1[[#This Row],[Valor total]]-Tabela1[[#This Row],[Valor custo]]</f>
        <v>541.42000000000007</v>
      </c>
      <c r="J1897" s="7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">
        <v>432.79</v>
      </c>
      <c r="H1898" s="1">
        <v>600</v>
      </c>
      <c r="I1898" s="6">
        <f>Tabela1[[#This Row],[Valor total]]-Tabela1[[#This Row],[Valor custo]]</f>
        <v>167.20999999999998</v>
      </c>
      <c r="J1898" s="7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">
        <v>73.14</v>
      </c>
      <c r="H1899" s="1">
        <v>90</v>
      </c>
      <c r="I1899" s="6">
        <f>Tabela1[[#This Row],[Valor total]]-Tabela1[[#This Row],[Valor custo]]</f>
        <v>16.86</v>
      </c>
      <c r="J1899" s="7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">
        <v>432.79</v>
      </c>
      <c r="H1900" s="1">
        <v>720</v>
      </c>
      <c r="I1900" s="6">
        <f>Tabela1[[#This Row],[Valor total]]-Tabela1[[#This Row],[Valor custo]]</f>
        <v>287.20999999999998</v>
      </c>
      <c r="J1900" s="7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">
        <v>13.69</v>
      </c>
      <c r="H1901" s="1">
        <v>110</v>
      </c>
      <c r="I1901" s="6">
        <f>Tabela1[[#This Row],[Valor total]]-Tabela1[[#This Row],[Valor custo]]</f>
        <v>96.31</v>
      </c>
      <c r="J1901" s="7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">
        <v>462.21</v>
      </c>
      <c r="H1902" s="1">
        <v>700</v>
      </c>
      <c r="I1902" s="6">
        <f>Tabela1[[#This Row],[Valor total]]-Tabela1[[#This Row],[Valor custo]]</f>
        <v>237.79000000000002</v>
      </c>
      <c r="J1902" s="7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">
        <v>18.3</v>
      </c>
      <c r="H1903" s="1">
        <v>24</v>
      </c>
      <c r="I1903" s="6">
        <f>Tabela1[[#This Row],[Valor total]]-Tabela1[[#This Row],[Valor custo]]</f>
        <v>5.6999999999999993</v>
      </c>
      <c r="J1903" s="7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">
        <v>432.79</v>
      </c>
      <c r="H1904" s="1">
        <v>570</v>
      </c>
      <c r="I1904" s="6">
        <f>Tabela1[[#This Row],[Valor total]]-Tabela1[[#This Row],[Valor custo]]</f>
        <v>137.20999999999998</v>
      </c>
      <c r="J1904" s="7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">
        <v>1356.54</v>
      </c>
      <c r="H1905" s="1">
        <v>2025</v>
      </c>
      <c r="I1905" s="6">
        <f>Tabela1[[#This Row],[Valor total]]-Tabela1[[#This Row],[Valor custo]]</f>
        <v>668.46</v>
      </c>
      <c r="J1905" s="7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">
        <v>431.14</v>
      </c>
      <c r="H1906" s="1">
        <v>630</v>
      </c>
      <c r="I1906" s="6">
        <f>Tabela1[[#This Row],[Valor total]]-Tabela1[[#This Row],[Valor custo]]</f>
        <v>198.86</v>
      </c>
      <c r="J1906" s="7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">
        <v>3270.6</v>
      </c>
      <c r="H1907" s="1">
        <v>6360</v>
      </c>
      <c r="I1907" s="6">
        <f>Tabela1[[#This Row],[Valor total]]-Tabela1[[#This Row],[Valor custo]]</f>
        <v>3089.4</v>
      </c>
      <c r="J1907" s="7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">
        <v>4061.01</v>
      </c>
      <c r="H1908" s="1">
        <v>6260</v>
      </c>
      <c r="I1908" s="6">
        <f>Tabela1[[#This Row],[Valor total]]-Tabela1[[#This Row],[Valor custo]]</f>
        <v>2198.9899999999998</v>
      </c>
      <c r="J1908" s="7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">
        <v>5734.5</v>
      </c>
      <c r="H1909" s="1">
        <v>9225</v>
      </c>
      <c r="I1909" s="6">
        <f>Tabela1[[#This Row],[Valor total]]-Tabela1[[#This Row],[Valor custo]]</f>
        <v>3490.5</v>
      </c>
      <c r="J1909" s="7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">
        <v>13.69</v>
      </c>
      <c r="H1910" s="1">
        <v>120</v>
      </c>
      <c r="I1910" s="6">
        <f>Tabela1[[#This Row],[Valor total]]-Tabela1[[#This Row],[Valor custo]]</f>
        <v>106.31</v>
      </c>
      <c r="J1910" s="7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">
        <v>764.6</v>
      </c>
      <c r="H1911" s="1">
        <v>1290</v>
      </c>
      <c r="I1911" s="6">
        <f>Tabela1[[#This Row],[Valor total]]-Tabela1[[#This Row],[Valor custo]]</f>
        <v>525.4</v>
      </c>
      <c r="J1911" s="7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">
        <v>895.74</v>
      </c>
      <c r="H1912" s="1">
        <v>1330</v>
      </c>
      <c r="I1912" s="6">
        <f>Tabela1[[#This Row],[Valor total]]-Tabela1[[#This Row],[Valor custo]]</f>
        <v>434.26</v>
      </c>
      <c r="J1912" s="7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">
        <v>444</v>
      </c>
      <c r="H1913" s="1">
        <v>75</v>
      </c>
      <c r="I1913" s="6">
        <f>Tabela1[[#This Row],[Valor total]]-Tabela1[[#This Row],[Valor custo]]</f>
        <v>-369</v>
      </c>
      <c r="J1913" s="7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">
        <v>2982</v>
      </c>
      <c r="H1914" s="1">
        <v>5590</v>
      </c>
      <c r="I1914" s="6">
        <f>Tabela1[[#This Row],[Valor total]]-Tabela1[[#This Row],[Valor custo]]</f>
        <v>2608</v>
      </c>
      <c r="J1914" s="7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">
        <v>79</v>
      </c>
      <c r="H1915" s="1">
        <v>300</v>
      </c>
      <c r="I1915" s="6">
        <f>Tabela1[[#This Row],[Valor total]]-Tabela1[[#This Row],[Valor custo]]</f>
        <v>221</v>
      </c>
      <c r="J1915" s="7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">
        <v>268.45999999999998</v>
      </c>
      <c r="H1916" s="1">
        <v>500</v>
      </c>
      <c r="I1916" s="6">
        <f>Tabela1[[#This Row],[Valor total]]-Tabela1[[#This Row],[Valor custo]]</f>
        <v>231.54000000000002</v>
      </c>
      <c r="J1916" s="7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">
        <v>453.1</v>
      </c>
      <c r="H1917" s="1">
        <v>654</v>
      </c>
      <c r="I1917" s="6">
        <f>Tabela1[[#This Row],[Valor total]]-Tabela1[[#This Row],[Valor custo]]</f>
        <v>200.89999999999998</v>
      </c>
      <c r="J1917" s="7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">
        <v>764.6</v>
      </c>
      <c r="H1918" s="1">
        <v>1230</v>
      </c>
      <c r="I1918" s="6">
        <f>Tabela1[[#This Row],[Valor total]]-Tabela1[[#This Row],[Valor custo]]</f>
        <v>465.4</v>
      </c>
      <c r="J1918" s="7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">
        <v>2594.7800000000002</v>
      </c>
      <c r="H1919" s="1">
        <v>3950</v>
      </c>
      <c r="I1919" s="6">
        <f>Tabela1[[#This Row],[Valor total]]-Tabela1[[#This Row],[Valor custo]]</f>
        <v>1355.2199999999998</v>
      </c>
      <c r="J1919" s="7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">
        <v>1134</v>
      </c>
      <c r="H1920" s="1">
        <v>2150</v>
      </c>
      <c r="I1920" s="6">
        <f>Tabela1[[#This Row],[Valor total]]-Tabela1[[#This Row],[Valor custo]]</f>
        <v>1016</v>
      </c>
      <c r="J1920" s="7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">
        <v>477</v>
      </c>
      <c r="H1921" s="1">
        <v>710</v>
      </c>
      <c r="I1921" s="6">
        <f>Tabela1[[#This Row],[Valor total]]-Tabela1[[#This Row],[Valor custo]]</f>
        <v>233</v>
      </c>
      <c r="J1921" s="7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">
        <v>0</v>
      </c>
      <c r="H1922" s="1">
        <v>60</v>
      </c>
      <c r="I1922" s="6">
        <f>Tabela1[[#This Row],[Valor total]]-Tabela1[[#This Row],[Valor custo]]</f>
        <v>60</v>
      </c>
      <c r="J1922" s="7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">
        <v>1731.16</v>
      </c>
      <c r="H1923" s="1">
        <v>2800</v>
      </c>
      <c r="I1923" s="6">
        <f>Tabela1[[#This Row],[Valor total]]-Tabela1[[#This Row],[Valor custo]]</f>
        <v>1068.8399999999999</v>
      </c>
      <c r="J1923" s="7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">
        <v>764.6</v>
      </c>
      <c r="H1924" s="1">
        <v>1290</v>
      </c>
      <c r="I1924" s="6">
        <f>Tabela1[[#This Row],[Valor total]]-Tabela1[[#This Row],[Valor custo]]</f>
        <v>525.4</v>
      </c>
      <c r="J1924" s="7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">
        <v>764.6</v>
      </c>
      <c r="H1925" s="1">
        <v>1200</v>
      </c>
      <c r="I1925" s="6">
        <f>Tabela1[[#This Row],[Valor total]]-Tabela1[[#This Row],[Valor custo]]</f>
        <v>435.4</v>
      </c>
      <c r="J1925" s="7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">
        <v>200</v>
      </c>
      <c r="H1926" s="1">
        <v>240</v>
      </c>
      <c r="I1926" s="6">
        <f>Tabela1[[#This Row],[Valor total]]-Tabela1[[#This Row],[Valor custo]]</f>
        <v>40</v>
      </c>
      <c r="J1926" s="7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">
        <v>3204</v>
      </c>
      <c r="H1927" s="1">
        <v>5214</v>
      </c>
      <c r="I1927" s="6">
        <f>Tabela1[[#This Row],[Valor total]]-Tabela1[[#This Row],[Valor custo]]</f>
        <v>2010</v>
      </c>
      <c r="J1927" s="7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">
        <v>0</v>
      </c>
      <c r="H1928" s="1">
        <v>500</v>
      </c>
      <c r="I1928" s="6">
        <f>Tabela1[[#This Row],[Valor total]]-Tabela1[[#This Row],[Valor custo]]</f>
        <v>500</v>
      </c>
      <c r="J1928" s="7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">
        <v>662.69</v>
      </c>
      <c r="H1929" s="1">
        <v>1300</v>
      </c>
      <c r="I1929" s="6">
        <f>Tabela1[[#This Row],[Valor total]]-Tabela1[[#This Row],[Valor custo]]</f>
        <v>637.30999999999995</v>
      </c>
      <c r="J1929" s="7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">
        <v>1251.5999999999999</v>
      </c>
      <c r="H1930" s="1">
        <v>2300</v>
      </c>
      <c r="I1930" s="6">
        <f>Tabela1[[#This Row],[Valor total]]-Tabela1[[#This Row],[Valor custo]]</f>
        <v>1048.4000000000001</v>
      </c>
      <c r="J1930" s="7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">
        <v>0</v>
      </c>
      <c r="H1931" s="1">
        <v>150</v>
      </c>
      <c r="I1931" s="6">
        <f>Tabela1[[#This Row],[Valor total]]-Tabela1[[#This Row],[Valor custo]]</f>
        <v>150</v>
      </c>
      <c r="J1931" s="7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">
        <v>1916.88</v>
      </c>
      <c r="H1932" s="1">
        <v>3408</v>
      </c>
      <c r="I1932" s="6">
        <f>Tabela1[[#This Row],[Valor total]]-Tabela1[[#This Row],[Valor custo]]</f>
        <v>1491.12</v>
      </c>
      <c r="J1932" s="7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">
        <v>664</v>
      </c>
      <c r="H1933" s="1">
        <v>1300</v>
      </c>
      <c r="I1933" s="6">
        <f>Tabela1[[#This Row],[Valor total]]-Tabela1[[#This Row],[Valor custo]]</f>
        <v>636</v>
      </c>
      <c r="J1933" s="7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">
        <v>764.6</v>
      </c>
      <c r="H1934" s="1">
        <v>1100</v>
      </c>
      <c r="I1934" s="6">
        <f>Tabela1[[#This Row],[Valor total]]-Tabela1[[#This Row],[Valor custo]]</f>
        <v>335.4</v>
      </c>
      <c r="J1934" s="7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">
        <v>13.69</v>
      </c>
      <c r="H1935" s="1">
        <v>120</v>
      </c>
      <c r="I1935" s="6">
        <f>Tabela1[[#This Row],[Valor total]]-Tabela1[[#This Row],[Valor custo]]</f>
        <v>106.31</v>
      </c>
      <c r="J1935" s="7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">
        <v>482.33</v>
      </c>
      <c r="H1936" s="1">
        <v>790</v>
      </c>
      <c r="I1936" s="6">
        <f>Tabela1[[#This Row],[Valor total]]-Tabela1[[#This Row],[Valor custo]]</f>
        <v>307.67</v>
      </c>
      <c r="J1936" s="7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">
        <v>30.49</v>
      </c>
      <c r="H1937" s="1">
        <v>40</v>
      </c>
      <c r="I1937" s="6">
        <f>Tabela1[[#This Row],[Valor total]]-Tabela1[[#This Row],[Valor custo]]</f>
        <v>9.5100000000000016</v>
      </c>
      <c r="J1937" s="7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">
        <v>57.13</v>
      </c>
      <c r="H1938" s="1">
        <v>250</v>
      </c>
      <c r="I1938" s="6">
        <f>Tabela1[[#This Row],[Valor total]]-Tabela1[[#This Row],[Valor custo]]</f>
        <v>192.87</v>
      </c>
      <c r="J1938" s="7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">
        <v>668.4</v>
      </c>
      <c r="H1939" s="1">
        <v>1315</v>
      </c>
      <c r="I1939" s="6">
        <f>Tabela1[[#This Row],[Valor total]]-Tabela1[[#This Row],[Valor custo]]</f>
        <v>646.6</v>
      </c>
      <c r="J1939" s="7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">
        <v>3715.71</v>
      </c>
      <c r="H1940" s="1">
        <v>6000</v>
      </c>
      <c r="I1940" s="6">
        <f>Tabela1[[#This Row],[Valor total]]-Tabela1[[#This Row],[Valor custo]]</f>
        <v>2284.29</v>
      </c>
      <c r="J1940" s="7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">
        <v>382.3</v>
      </c>
      <c r="H1941" s="1">
        <v>450</v>
      </c>
      <c r="I1941" s="6">
        <f>Tabela1[[#This Row],[Valor total]]-Tabela1[[#This Row],[Valor custo]]</f>
        <v>67.699999999999989</v>
      </c>
      <c r="J1941" s="7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">
        <v>534</v>
      </c>
      <c r="H1942" s="1">
        <v>869</v>
      </c>
      <c r="I1942" s="6">
        <f>Tabela1[[#This Row],[Valor total]]-Tabela1[[#This Row],[Valor custo]]</f>
        <v>335</v>
      </c>
      <c r="J1942" s="7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">
        <v>13.69</v>
      </c>
      <c r="H1943" s="1">
        <v>100</v>
      </c>
      <c r="I1943" s="6">
        <f>Tabela1[[#This Row],[Valor total]]-Tabela1[[#This Row],[Valor custo]]</f>
        <v>86.31</v>
      </c>
      <c r="J1943" s="7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">
        <v>894.6</v>
      </c>
      <c r="H1944" s="1">
        <v>1510</v>
      </c>
      <c r="I1944" s="6">
        <f>Tabela1[[#This Row],[Valor total]]-Tabela1[[#This Row],[Valor custo]]</f>
        <v>615.4</v>
      </c>
      <c r="J1944" s="7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">
        <v>275</v>
      </c>
      <c r="H1945" s="1">
        <v>900</v>
      </c>
      <c r="I1945" s="6">
        <f>Tabela1[[#This Row],[Valor total]]-Tabela1[[#This Row],[Valor custo]]</f>
        <v>625</v>
      </c>
      <c r="J1945" s="7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">
        <v>432.79</v>
      </c>
      <c r="H1946" s="1">
        <v>700</v>
      </c>
      <c r="I1946" s="6">
        <f>Tabela1[[#This Row],[Valor total]]-Tabela1[[#This Row],[Valor custo]]</f>
        <v>267.20999999999998</v>
      </c>
      <c r="J1946" s="7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">
        <v>382.3</v>
      </c>
      <c r="H1947" s="1">
        <v>645</v>
      </c>
      <c r="I1947" s="6">
        <f>Tabela1[[#This Row],[Valor total]]-Tabela1[[#This Row],[Valor custo]]</f>
        <v>262.7</v>
      </c>
      <c r="J1947" s="7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">
        <v>14.42</v>
      </c>
      <c r="H1948" s="1">
        <v>80</v>
      </c>
      <c r="I1948" s="6">
        <f>Tabela1[[#This Row],[Valor total]]-Tabela1[[#This Row],[Valor custo]]</f>
        <v>65.58</v>
      </c>
      <c r="J1948" s="7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">
        <v>784.01</v>
      </c>
      <c r="H1949" s="1">
        <v>1376</v>
      </c>
      <c r="I1949" s="6">
        <f>Tabela1[[#This Row],[Valor total]]-Tabela1[[#This Row],[Valor custo]]</f>
        <v>591.99</v>
      </c>
      <c r="J1949" s="7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">
        <v>649</v>
      </c>
      <c r="H1950" s="1">
        <v>1200</v>
      </c>
      <c r="I1950" s="6">
        <f>Tabela1[[#This Row],[Valor total]]-Tabela1[[#This Row],[Valor custo]]</f>
        <v>551</v>
      </c>
      <c r="J1950" s="7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">
        <v>1177.3900000000001</v>
      </c>
      <c r="H1951" s="1">
        <v>1976</v>
      </c>
      <c r="I1951" s="6">
        <f>Tabela1[[#This Row],[Valor total]]-Tabela1[[#This Row],[Valor custo]]</f>
        <v>798.6099999999999</v>
      </c>
      <c r="J1951" s="7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">
        <v>764.6</v>
      </c>
      <c r="H1952" s="1">
        <v>1230</v>
      </c>
      <c r="I1952" s="6">
        <f>Tabela1[[#This Row],[Valor total]]-Tabela1[[#This Row],[Valor custo]]</f>
        <v>465.4</v>
      </c>
      <c r="J1952" s="7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">
        <v>382.3</v>
      </c>
      <c r="H1953" s="1">
        <v>630</v>
      </c>
      <c r="I1953" s="6">
        <f>Tabela1[[#This Row],[Valor total]]-Tabela1[[#This Row],[Valor custo]]</f>
        <v>247.7</v>
      </c>
      <c r="J1953" s="7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">
        <v>289</v>
      </c>
      <c r="H1954" s="1">
        <v>618</v>
      </c>
      <c r="I1954" s="6">
        <f>Tabela1[[#This Row],[Valor total]]-Tabela1[[#This Row],[Valor custo]]</f>
        <v>329</v>
      </c>
      <c r="J1954" s="7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">
        <v>403.93</v>
      </c>
      <c r="H1955" s="1">
        <v>745</v>
      </c>
      <c r="I1955" s="6">
        <f>Tabela1[[#This Row],[Valor total]]-Tabela1[[#This Row],[Valor custo]]</f>
        <v>341.07</v>
      </c>
      <c r="J1955" s="7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">
        <v>27.38</v>
      </c>
      <c r="H1956" s="1">
        <v>220</v>
      </c>
      <c r="I1956" s="6">
        <f>Tabela1[[#This Row],[Valor total]]-Tabela1[[#This Row],[Valor custo]]</f>
        <v>192.62</v>
      </c>
      <c r="J1956" s="7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">
        <v>2354.5</v>
      </c>
      <c r="H1957" s="1">
        <v>3273</v>
      </c>
      <c r="I1957" s="6">
        <f>Tabela1[[#This Row],[Valor total]]-Tabela1[[#This Row],[Valor custo]]</f>
        <v>918.5</v>
      </c>
      <c r="J1957" s="7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">
        <v>1298</v>
      </c>
      <c r="H1958" s="1">
        <v>2500</v>
      </c>
      <c r="I1958" s="6">
        <f>Tabela1[[#This Row],[Valor total]]-Tabela1[[#This Row],[Valor custo]]</f>
        <v>1202</v>
      </c>
      <c r="J1958" s="7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">
        <v>10.44</v>
      </c>
      <c r="H1959" s="1">
        <v>35.97</v>
      </c>
      <c r="I1959" s="6">
        <f>Tabela1[[#This Row],[Valor total]]-Tabela1[[#This Row],[Valor custo]]</f>
        <v>25.53</v>
      </c>
      <c r="J1959" s="7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">
        <v>13.69</v>
      </c>
      <c r="H1960" s="1">
        <v>88.1</v>
      </c>
      <c r="I1960" s="6">
        <f>Tabela1[[#This Row],[Valor total]]-Tabela1[[#This Row],[Valor custo]]</f>
        <v>74.41</v>
      </c>
      <c r="J1960" s="7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">
        <v>83.52</v>
      </c>
      <c r="H1961" s="1">
        <v>280</v>
      </c>
      <c r="I1961" s="6">
        <f>Tabela1[[#This Row],[Valor total]]-Tabela1[[#This Row],[Valor custo]]</f>
        <v>196.48000000000002</v>
      </c>
      <c r="J1961" s="7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">
        <v>125</v>
      </c>
      <c r="H1962" s="1">
        <v>150</v>
      </c>
      <c r="I1962" s="6">
        <f>Tabela1[[#This Row],[Valor total]]-Tabela1[[#This Row],[Valor custo]]</f>
        <v>25</v>
      </c>
      <c r="J1962" s="7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">
        <v>553</v>
      </c>
      <c r="H1963" s="1">
        <v>921</v>
      </c>
      <c r="I1963" s="6">
        <f>Tabela1[[#This Row],[Valor total]]-Tabela1[[#This Row],[Valor custo]]</f>
        <v>368</v>
      </c>
      <c r="J1963" s="7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">
        <v>20.88</v>
      </c>
      <c r="H1964" s="1">
        <v>71.94</v>
      </c>
      <c r="I1964" s="6">
        <f>Tabela1[[#This Row],[Valor total]]-Tabela1[[#This Row],[Valor custo]]</f>
        <v>51.06</v>
      </c>
      <c r="J1964" s="7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">
        <v>20.88</v>
      </c>
      <c r="H1965" s="1">
        <v>53.54</v>
      </c>
      <c r="I1965" s="6">
        <f>Tabela1[[#This Row],[Valor total]]-Tabela1[[#This Row],[Valor custo]]</f>
        <v>32.659999999999997</v>
      </c>
      <c r="J1965" s="7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">
        <v>527.1</v>
      </c>
      <c r="H1966" s="1">
        <v>985</v>
      </c>
      <c r="I1966" s="6">
        <f>Tabela1[[#This Row],[Valor total]]-Tabela1[[#This Row],[Valor custo]]</f>
        <v>457.9</v>
      </c>
      <c r="J1966" s="7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">
        <v>382.3</v>
      </c>
      <c r="H1967" s="1">
        <v>645</v>
      </c>
      <c r="I1967" s="6">
        <f>Tabela1[[#This Row],[Valor total]]-Tabela1[[#This Row],[Valor custo]]</f>
        <v>262.7</v>
      </c>
      <c r="J1967" s="7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">
        <v>72.099999999999994</v>
      </c>
      <c r="H1968" s="1">
        <v>300</v>
      </c>
      <c r="I1968" s="6">
        <f>Tabela1[[#This Row],[Valor total]]-Tabela1[[#This Row],[Valor custo]]</f>
        <v>227.9</v>
      </c>
      <c r="J1968" s="7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">
        <v>382.3</v>
      </c>
      <c r="H1969" s="1">
        <v>615</v>
      </c>
      <c r="I1969" s="6">
        <f>Tabela1[[#This Row],[Valor total]]-Tabela1[[#This Row],[Valor custo]]</f>
        <v>232.7</v>
      </c>
      <c r="J1969" s="7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">
        <v>42</v>
      </c>
      <c r="H1970" s="1">
        <v>55</v>
      </c>
      <c r="I1970" s="6">
        <f>Tabela1[[#This Row],[Valor total]]-Tabela1[[#This Row],[Valor custo]]</f>
        <v>13</v>
      </c>
      <c r="J1970" s="7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">
        <v>31.32</v>
      </c>
      <c r="H1971" s="1">
        <v>80.31</v>
      </c>
      <c r="I1971" s="6">
        <f>Tabela1[[#This Row],[Valor total]]-Tabela1[[#This Row],[Valor custo]]</f>
        <v>48.99</v>
      </c>
      <c r="J1971" s="7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">
        <v>10.44</v>
      </c>
      <c r="H1972" s="1">
        <v>26.77</v>
      </c>
      <c r="I1972" s="6">
        <f>Tabela1[[#This Row],[Valor total]]-Tabela1[[#This Row],[Valor custo]]</f>
        <v>16.329999999999998</v>
      </c>
      <c r="J1972" s="7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">
        <v>1146.9000000000001</v>
      </c>
      <c r="H1973" s="1">
        <v>1935</v>
      </c>
      <c r="I1973" s="6">
        <f>Tabela1[[#This Row],[Valor total]]-Tabela1[[#This Row],[Valor custo]]</f>
        <v>788.09999999999991</v>
      </c>
      <c r="J1973" s="7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">
        <v>122.74</v>
      </c>
      <c r="H1974" s="1">
        <v>190</v>
      </c>
      <c r="I1974" s="6">
        <f>Tabela1[[#This Row],[Valor total]]-Tabela1[[#This Row],[Valor custo]]</f>
        <v>67.260000000000005</v>
      </c>
      <c r="J1974" s="7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">
        <v>395.99</v>
      </c>
      <c r="H1975" s="1">
        <v>565</v>
      </c>
      <c r="I1975" s="6">
        <f>Tabela1[[#This Row],[Valor total]]-Tabela1[[#This Row],[Valor custo]]</f>
        <v>169.01</v>
      </c>
      <c r="J1975" s="7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">
        <v>10.44</v>
      </c>
      <c r="H1976" s="1">
        <v>26.77</v>
      </c>
      <c r="I1976" s="6">
        <f>Tabela1[[#This Row],[Valor total]]-Tabela1[[#This Row],[Valor custo]]</f>
        <v>16.329999999999998</v>
      </c>
      <c r="J1976" s="7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">
        <v>18072.650000000001</v>
      </c>
      <c r="H1977" s="1">
        <v>28550</v>
      </c>
      <c r="I1977" s="6">
        <f>Tabela1[[#This Row],[Valor total]]-Tabela1[[#This Row],[Valor custo]]</f>
        <v>10477.349999999999</v>
      </c>
      <c r="J1977" s="7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">
        <v>55</v>
      </c>
      <c r="H1978" s="1">
        <v>180</v>
      </c>
      <c r="I1978" s="6">
        <f>Tabela1[[#This Row],[Valor total]]-Tabela1[[#This Row],[Valor custo]]</f>
        <v>125</v>
      </c>
      <c r="J1978" s="7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">
        <v>20.88</v>
      </c>
      <c r="H1979" s="1">
        <v>53.54</v>
      </c>
      <c r="I1979" s="6">
        <f>Tabela1[[#This Row],[Valor total]]-Tabela1[[#This Row],[Valor custo]]</f>
        <v>32.659999999999997</v>
      </c>
      <c r="J1979" s="7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">
        <v>13.69</v>
      </c>
      <c r="H1980" s="1">
        <v>98.42</v>
      </c>
      <c r="I1980" s="6">
        <f>Tabela1[[#This Row],[Valor total]]-Tabela1[[#This Row],[Valor custo]]</f>
        <v>84.73</v>
      </c>
      <c r="J1980" s="7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">
        <v>31.32</v>
      </c>
      <c r="H1981" s="1">
        <v>80.31</v>
      </c>
      <c r="I1981" s="6">
        <f>Tabela1[[#This Row],[Valor total]]-Tabela1[[#This Row],[Valor custo]]</f>
        <v>48.99</v>
      </c>
      <c r="J1981" s="7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">
        <v>41.76</v>
      </c>
      <c r="H1982" s="1">
        <v>107.08</v>
      </c>
      <c r="I1982" s="6">
        <f>Tabela1[[#This Row],[Valor total]]-Tabela1[[#This Row],[Valor custo]]</f>
        <v>65.319999999999993</v>
      </c>
      <c r="J1982" s="7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">
        <v>382.3</v>
      </c>
      <c r="H1983" s="1">
        <v>515</v>
      </c>
      <c r="I1983" s="6">
        <f>Tabela1[[#This Row],[Valor total]]-Tabela1[[#This Row],[Valor custo]]</f>
        <v>132.69999999999999</v>
      </c>
      <c r="J1983" s="7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">
        <v>52.2</v>
      </c>
      <c r="H1984" s="1">
        <v>133.85</v>
      </c>
      <c r="I1984" s="6">
        <f>Tabela1[[#This Row],[Valor total]]-Tabela1[[#This Row],[Valor custo]]</f>
        <v>81.649999999999991</v>
      </c>
      <c r="J1984" s="7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">
        <v>664</v>
      </c>
      <c r="H1985" s="1">
        <v>1200</v>
      </c>
      <c r="I1985" s="6">
        <f>Tabela1[[#This Row],[Valor total]]-Tabela1[[#This Row],[Valor custo]]</f>
        <v>536</v>
      </c>
      <c r="J1985" s="7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">
        <v>1428.6</v>
      </c>
      <c r="H1986" s="1">
        <v>2640</v>
      </c>
      <c r="I1986" s="6">
        <f>Tabela1[[#This Row],[Valor total]]-Tabela1[[#This Row],[Valor custo]]</f>
        <v>1211.4000000000001</v>
      </c>
      <c r="J1986" s="7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">
        <v>0</v>
      </c>
      <c r="H1987" s="1">
        <v>600</v>
      </c>
      <c r="I1987" s="6">
        <f>Tabela1[[#This Row],[Valor total]]-Tabela1[[#This Row],[Valor custo]]</f>
        <v>600</v>
      </c>
      <c r="J1987" s="7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">
        <v>764.6</v>
      </c>
      <c r="H1988" s="1">
        <v>1280</v>
      </c>
      <c r="I1988" s="6">
        <f>Tabela1[[#This Row],[Valor total]]-Tabela1[[#This Row],[Valor custo]]</f>
        <v>515.4</v>
      </c>
      <c r="J1988" s="7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">
        <v>36.049999999999997</v>
      </c>
      <c r="H1989" s="1">
        <v>175</v>
      </c>
      <c r="I1989" s="6">
        <f>Tabela1[[#This Row],[Valor total]]-Tabela1[[#This Row],[Valor custo]]</f>
        <v>138.94999999999999</v>
      </c>
      <c r="J1989" s="7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">
        <v>125</v>
      </c>
      <c r="H1990" s="1">
        <v>150</v>
      </c>
      <c r="I1990" s="6">
        <f>Tabela1[[#This Row],[Valor total]]-Tabela1[[#This Row],[Valor custo]]</f>
        <v>25</v>
      </c>
      <c r="J1990" s="7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">
        <v>8814.9</v>
      </c>
      <c r="H1991" s="1">
        <v>13200</v>
      </c>
      <c r="I1991" s="6">
        <f>Tabela1[[#This Row],[Valor total]]-Tabela1[[#This Row],[Valor custo]]</f>
        <v>4385.1000000000004</v>
      </c>
      <c r="J1991" s="7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">
        <v>1096.79</v>
      </c>
      <c r="H1992" s="1">
        <v>2050</v>
      </c>
      <c r="I1992" s="6">
        <f>Tabela1[[#This Row],[Valor total]]-Tabela1[[#This Row],[Valor custo]]</f>
        <v>953.21</v>
      </c>
      <c r="J1992" s="7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">
        <v>20.88</v>
      </c>
      <c r="H1993" s="1">
        <v>50.54</v>
      </c>
      <c r="I1993" s="6">
        <f>Tabela1[[#This Row],[Valor total]]-Tabela1[[#This Row],[Valor custo]]</f>
        <v>29.66</v>
      </c>
      <c r="J1993" s="7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">
        <v>167.8</v>
      </c>
      <c r="H1994" s="1">
        <v>231.7</v>
      </c>
      <c r="I1994" s="6">
        <f>Tabela1[[#This Row],[Valor total]]-Tabela1[[#This Row],[Valor custo]]</f>
        <v>63.899999999999977</v>
      </c>
      <c r="J1994" s="7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">
        <v>389.51</v>
      </c>
      <c r="H1995" s="1">
        <v>675</v>
      </c>
      <c r="I1995" s="6">
        <f>Tabela1[[#This Row],[Valor total]]-Tabela1[[#This Row],[Valor custo]]</f>
        <v>285.49</v>
      </c>
      <c r="J1995" s="7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">
        <v>865.58</v>
      </c>
      <c r="H1996" s="1">
        <v>1500</v>
      </c>
      <c r="I1996" s="6">
        <f>Tabela1[[#This Row],[Valor total]]-Tabela1[[#This Row],[Valor custo]]</f>
        <v>634.41999999999996</v>
      </c>
      <c r="J1996" s="7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">
        <v>2998.8</v>
      </c>
      <c r="H1997" s="1">
        <v>5290</v>
      </c>
      <c r="I1997" s="6">
        <f>Tabela1[[#This Row],[Valor total]]-Tabela1[[#This Row],[Valor custo]]</f>
        <v>2291.1999999999998</v>
      </c>
      <c r="J1997" s="7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">
        <v>275</v>
      </c>
      <c r="H1998" s="1">
        <v>875</v>
      </c>
      <c r="I1998" s="6">
        <f>Tabela1[[#This Row],[Valor total]]-Tabela1[[#This Row],[Valor custo]]</f>
        <v>600</v>
      </c>
      <c r="J1998" s="7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">
        <v>4702.8999999999996</v>
      </c>
      <c r="H1999" s="1">
        <v>6550</v>
      </c>
      <c r="I1999" s="6">
        <f>Tabela1[[#This Row],[Valor total]]-Tabela1[[#This Row],[Valor custo]]</f>
        <v>1847.1000000000004</v>
      </c>
      <c r="J1999" s="7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">
        <v>122.74</v>
      </c>
      <c r="H2000" s="1">
        <v>180</v>
      </c>
      <c r="I2000" s="6">
        <f>Tabela1[[#This Row],[Valor total]]-Tabela1[[#This Row],[Valor custo]]</f>
        <v>57.260000000000005</v>
      </c>
      <c r="J2000" s="7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">
        <v>31.32</v>
      </c>
      <c r="H2001" s="1">
        <v>80.31</v>
      </c>
      <c r="I2001" s="6">
        <f>Tabela1[[#This Row],[Valor total]]-Tabela1[[#This Row],[Valor custo]]</f>
        <v>48.99</v>
      </c>
      <c r="J2001" s="7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">
        <v>52.2</v>
      </c>
      <c r="H2002" s="1">
        <v>133.85</v>
      </c>
      <c r="I2002" s="6">
        <f>Tabela1[[#This Row],[Valor total]]-Tabela1[[#This Row],[Valor custo]]</f>
        <v>81.649999999999991</v>
      </c>
      <c r="J2002" s="7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">
        <v>20.88</v>
      </c>
      <c r="H2003" s="1">
        <v>53.54</v>
      </c>
      <c r="I2003" s="6">
        <f>Tabela1[[#This Row],[Valor total]]-Tabela1[[#This Row],[Valor custo]]</f>
        <v>32.659999999999997</v>
      </c>
      <c r="J2003" s="7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">
        <v>41.76</v>
      </c>
      <c r="H2004" s="1">
        <v>107.08</v>
      </c>
      <c r="I2004" s="6">
        <f>Tabela1[[#This Row],[Valor total]]-Tabela1[[#This Row],[Valor custo]]</f>
        <v>65.319999999999993</v>
      </c>
      <c r="J2004" s="7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">
        <v>13.69</v>
      </c>
      <c r="H2005" s="1">
        <v>90</v>
      </c>
      <c r="I2005" s="6">
        <f>Tabela1[[#This Row],[Valor total]]-Tabela1[[#This Row],[Valor custo]]</f>
        <v>76.31</v>
      </c>
      <c r="J2005" s="7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">
        <v>24</v>
      </c>
      <c r="H2006" s="1">
        <v>15.25</v>
      </c>
      <c r="I2006" s="6">
        <f>Tabela1[[#This Row],[Valor total]]-Tabela1[[#This Row],[Valor custo]]</f>
        <v>-8.75</v>
      </c>
      <c r="J2006" s="7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">
        <v>450</v>
      </c>
      <c r="H2007" s="1">
        <v>750</v>
      </c>
      <c r="I2007" s="6">
        <f>Tabela1[[#This Row],[Valor total]]-Tabela1[[#This Row],[Valor custo]]</f>
        <v>300</v>
      </c>
      <c r="J2007" s="7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">
        <v>24</v>
      </c>
      <c r="H2008" s="1">
        <v>15.25</v>
      </c>
      <c r="I2008" s="6">
        <f>Tabela1[[#This Row],[Valor total]]-Tabela1[[#This Row],[Valor custo]]</f>
        <v>-8.75</v>
      </c>
      <c r="J2008" s="7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">
        <v>7.21</v>
      </c>
      <c r="H2009" s="1">
        <v>35.97</v>
      </c>
      <c r="I2009" s="6">
        <f>Tabela1[[#This Row],[Valor total]]-Tabela1[[#This Row],[Valor custo]]</f>
        <v>28.759999999999998</v>
      </c>
      <c r="J2009" s="7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">
        <v>900.6</v>
      </c>
      <c r="H2010" s="1">
        <v>1850</v>
      </c>
      <c r="I2010" s="6">
        <f>Tabela1[[#This Row],[Valor total]]-Tabela1[[#This Row],[Valor custo]]</f>
        <v>949.4</v>
      </c>
      <c r="J2010" s="7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">
        <v>447.21</v>
      </c>
      <c r="H2011" s="1">
        <v>715</v>
      </c>
      <c r="I2011" s="6">
        <f>Tabela1[[#This Row],[Valor total]]-Tabela1[[#This Row],[Valor custo]]</f>
        <v>267.79000000000002</v>
      </c>
      <c r="J2011" s="7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">
        <v>24</v>
      </c>
      <c r="H2012" s="1">
        <v>15.25</v>
      </c>
      <c r="I2012" s="6">
        <f>Tabela1[[#This Row],[Valor total]]-Tabela1[[#This Row],[Valor custo]]</f>
        <v>-8.75</v>
      </c>
      <c r="J2012" s="7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">
        <v>67.12</v>
      </c>
      <c r="H2013" s="1">
        <v>116.12</v>
      </c>
      <c r="I2013" s="6">
        <f>Tabela1[[#This Row],[Valor total]]-Tabela1[[#This Row],[Valor custo]]</f>
        <v>49</v>
      </c>
      <c r="J2013" s="7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">
        <v>24</v>
      </c>
      <c r="H2014" s="1">
        <v>15.25</v>
      </c>
      <c r="I2014" s="6">
        <f>Tabela1[[#This Row],[Valor total]]-Tabela1[[#This Row],[Valor custo]]</f>
        <v>-8.75</v>
      </c>
      <c r="J2014" s="7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">
        <v>2089</v>
      </c>
      <c r="H2015" s="1">
        <v>4700</v>
      </c>
      <c r="I2015" s="6">
        <f>Tabela1[[#This Row],[Valor total]]-Tabela1[[#This Row],[Valor custo]]</f>
        <v>2611</v>
      </c>
      <c r="J2015" s="7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">
        <v>117.7</v>
      </c>
      <c r="H2016" s="1">
        <v>340</v>
      </c>
      <c r="I2016" s="6">
        <f>Tabela1[[#This Row],[Valor total]]-Tabela1[[#This Row],[Valor custo]]</f>
        <v>222.3</v>
      </c>
      <c r="J2016" s="7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">
        <v>24</v>
      </c>
      <c r="H2017" s="1">
        <v>15.25</v>
      </c>
      <c r="I2017" s="6">
        <f>Tabela1[[#This Row],[Valor total]]-Tabela1[[#This Row],[Valor custo]]</f>
        <v>-8.75</v>
      </c>
      <c r="J2017" s="7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">
        <v>96</v>
      </c>
      <c r="H2018" s="1">
        <v>61</v>
      </c>
      <c r="I2018" s="6">
        <f>Tabela1[[#This Row],[Valor total]]-Tabela1[[#This Row],[Valor custo]]</f>
        <v>-35</v>
      </c>
      <c r="J2018" s="7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">
        <v>100.68</v>
      </c>
      <c r="H2019" s="1">
        <v>187.05</v>
      </c>
      <c r="I2019" s="6">
        <f>Tabela1[[#This Row],[Valor total]]-Tabela1[[#This Row],[Valor custo]]</f>
        <v>86.37</v>
      </c>
      <c r="J2019" s="7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">
        <v>455</v>
      </c>
      <c r="H2020" s="1">
        <v>750</v>
      </c>
      <c r="I2020" s="6">
        <f>Tabela1[[#This Row],[Valor total]]-Tabela1[[#This Row],[Valor custo]]</f>
        <v>295</v>
      </c>
      <c r="J2020" s="7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">
        <v>100.68</v>
      </c>
      <c r="H2021" s="1">
        <v>187.05</v>
      </c>
      <c r="I2021" s="6">
        <f>Tabela1[[#This Row],[Valor total]]-Tabela1[[#This Row],[Valor custo]]</f>
        <v>86.37</v>
      </c>
      <c r="J2021" s="7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">
        <v>953.26</v>
      </c>
      <c r="H2022" s="1">
        <v>1700</v>
      </c>
      <c r="I2022" s="6">
        <f>Tabela1[[#This Row],[Valor total]]-Tabela1[[#This Row],[Valor custo]]</f>
        <v>746.74</v>
      </c>
      <c r="J2022" s="7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">
        <v>4027.97</v>
      </c>
      <c r="H2023" s="1">
        <v>6045</v>
      </c>
      <c r="I2023" s="6">
        <f>Tabela1[[#This Row],[Valor total]]-Tabela1[[#This Row],[Valor custo]]</f>
        <v>2017.0300000000002</v>
      </c>
      <c r="J2023" s="7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">
        <v>24</v>
      </c>
      <c r="H2024" s="1">
        <v>15.25</v>
      </c>
      <c r="I2024" s="6">
        <f>Tabela1[[#This Row],[Valor total]]-Tabela1[[#This Row],[Valor custo]]</f>
        <v>-8.75</v>
      </c>
      <c r="J2024" s="7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">
        <v>491</v>
      </c>
      <c r="H2025" s="1">
        <v>700</v>
      </c>
      <c r="I2025" s="6">
        <f>Tabela1[[#This Row],[Valor total]]-Tabela1[[#This Row],[Valor custo]]</f>
        <v>209</v>
      </c>
      <c r="J2025" s="7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">
        <v>5582.76</v>
      </c>
      <c r="H2026" s="1">
        <v>8865</v>
      </c>
      <c r="I2026" s="6">
        <f>Tabela1[[#This Row],[Valor total]]-Tabela1[[#This Row],[Valor custo]]</f>
        <v>3282.24</v>
      </c>
      <c r="J2026" s="7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">
        <v>142.74</v>
      </c>
      <c r="H2027" s="1">
        <v>190</v>
      </c>
      <c r="I2027" s="6">
        <f>Tabela1[[#This Row],[Valor total]]-Tabela1[[#This Row],[Valor custo]]</f>
        <v>47.259999999999991</v>
      </c>
      <c r="J2027" s="7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">
        <v>382.3</v>
      </c>
      <c r="H2028" s="1">
        <v>615</v>
      </c>
      <c r="I2028" s="6">
        <f>Tabela1[[#This Row],[Valor total]]-Tabela1[[#This Row],[Valor custo]]</f>
        <v>232.7</v>
      </c>
      <c r="J2028" s="7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">
        <v>13.69</v>
      </c>
      <c r="H2029" s="1">
        <v>86.83</v>
      </c>
      <c r="I2029" s="6">
        <f>Tabela1[[#This Row],[Valor total]]-Tabela1[[#This Row],[Valor custo]]</f>
        <v>73.14</v>
      </c>
      <c r="J2029" s="7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">
        <v>432.79</v>
      </c>
      <c r="H2030" s="1">
        <v>655</v>
      </c>
      <c r="I2030" s="6">
        <f>Tabela1[[#This Row],[Valor total]]-Tabela1[[#This Row],[Valor custo]]</f>
        <v>222.20999999999998</v>
      </c>
      <c r="J2030" s="7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">
        <v>7077.09</v>
      </c>
      <c r="H2031" s="1">
        <v>11495</v>
      </c>
      <c r="I2031" s="6">
        <f>Tabela1[[#This Row],[Valor total]]-Tabela1[[#This Row],[Valor custo]]</f>
        <v>4417.91</v>
      </c>
      <c r="J2031" s="7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">
        <v>2193.58</v>
      </c>
      <c r="H2032" s="1">
        <v>3910</v>
      </c>
      <c r="I2032" s="6">
        <f>Tabela1[[#This Row],[Valor total]]-Tabela1[[#This Row],[Valor custo]]</f>
        <v>1716.42</v>
      </c>
      <c r="J2032" s="7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">
        <v>7.21</v>
      </c>
      <c r="H2033" s="1">
        <v>35</v>
      </c>
      <c r="I2033" s="6">
        <f>Tabela1[[#This Row],[Valor total]]-Tabela1[[#This Row],[Valor custo]]</f>
        <v>27.79</v>
      </c>
      <c r="J2033" s="7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">
        <v>14.42</v>
      </c>
      <c r="H2034" s="1">
        <v>71.94</v>
      </c>
      <c r="I2034" s="6">
        <f>Tabela1[[#This Row],[Valor total]]-Tabela1[[#This Row],[Valor custo]]</f>
        <v>57.519999999999996</v>
      </c>
      <c r="J2034" s="7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">
        <v>67.12</v>
      </c>
      <c r="H2035" s="1">
        <v>124.7</v>
      </c>
      <c r="I2035" s="6">
        <f>Tabela1[[#This Row],[Valor total]]-Tabela1[[#This Row],[Valor custo]]</f>
        <v>57.58</v>
      </c>
      <c r="J2035" s="7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">
        <v>432.79</v>
      </c>
      <c r="H2036" s="1">
        <v>655</v>
      </c>
      <c r="I2036" s="6">
        <f>Tabela1[[#This Row],[Valor total]]-Tabela1[[#This Row],[Valor custo]]</f>
        <v>222.20999999999998</v>
      </c>
      <c r="J2036" s="7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">
        <v>382.3</v>
      </c>
      <c r="H2037" s="1">
        <v>600</v>
      </c>
      <c r="I2037" s="6">
        <f>Tabela1[[#This Row],[Valor total]]-Tabela1[[#This Row],[Valor custo]]</f>
        <v>217.7</v>
      </c>
      <c r="J2037" s="7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">
        <v>455</v>
      </c>
      <c r="H2038" s="1">
        <v>870</v>
      </c>
      <c r="I2038" s="6">
        <f>Tabela1[[#This Row],[Valor total]]-Tabela1[[#This Row],[Valor custo]]</f>
        <v>415</v>
      </c>
      <c r="J2038" s="7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">
        <v>865.58</v>
      </c>
      <c r="H2039" s="1">
        <v>1400</v>
      </c>
      <c r="I2039" s="6">
        <f>Tabela1[[#This Row],[Valor total]]-Tabela1[[#This Row],[Valor custo]]</f>
        <v>534.41999999999996</v>
      </c>
      <c r="J2039" s="7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">
        <v>382.3</v>
      </c>
      <c r="H2040" s="1">
        <v>610</v>
      </c>
      <c r="I2040" s="6">
        <f>Tabela1[[#This Row],[Valor total]]-Tabela1[[#This Row],[Valor custo]]</f>
        <v>227.7</v>
      </c>
      <c r="J2040" s="7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">
        <v>7.21</v>
      </c>
      <c r="H2041" s="1">
        <v>35.97</v>
      </c>
      <c r="I2041" s="6">
        <f>Tabela1[[#This Row],[Valor total]]-Tabela1[[#This Row],[Valor custo]]</f>
        <v>28.759999999999998</v>
      </c>
      <c r="J2041" s="7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">
        <v>28.84</v>
      </c>
      <c r="H2042" s="1">
        <v>143.88</v>
      </c>
      <c r="I2042" s="6">
        <f>Tabela1[[#This Row],[Valor total]]-Tabela1[[#This Row],[Valor custo]]</f>
        <v>115.03999999999999</v>
      </c>
      <c r="J2042" s="7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">
        <v>1708</v>
      </c>
      <c r="H2043" s="1">
        <v>3410</v>
      </c>
      <c r="I2043" s="6">
        <f>Tabela1[[#This Row],[Valor total]]-Tabela1[[#This Row],[Valor custo]]</f>
        <v>1702</v>
      </c>
      <c r="J2043" s="7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">
        <v>764.6</v>
      </c>
      <c r="H2044" s="1">
        <v>1200</v>
      </c>
      <c r="I2044" s="6">
        <f>Tabela1[[#This Row],[Valor total]]-Tabela1[[#This Row],[Valor custo]]</f>
        <v>435.4</v>
      </c>
      <c r="J2044" s="7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">
        <v>67.12</v>
      </c>
      <c r="H2045" s="1">
        <v>124.7</v>
      </c>
      <c r="I2045" s="6">
        <f>Tabela1[[#This Row],[Valor total]]-Tabela1[[#This Row],[Valor custo]]</f>
        <v>57.58</v>
      </c>
      <c r="J2045" s="7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">
        <v>289</v>
      </c>
      <c r="H2046" s="1">
        <v>0</v>
      </c>
      <c r="I2046" s="6">
        <f>Tabela1[[#This Row],[Valor total]]-Tabela1[[#This Row],[Valor custo]]</f>
        <v>-289</v>
      </c>
      <c r="J2046" s="7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">
        <v>122.74</v>
      </c>
      <c r="H2047" s="1">
        <v>180</v>
      </c>
      <c r="I2047" s="6">
        <f>Tabela1[[#This Row],[Valor total]]-Tabela1[[#This Row],[Valor custo]]</f>
        <v>57.260000000000005</v>
      </c>
      <c r="J2047" s="7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">
        <v>1349.09</v>
      </c>
      <c r="H2048" s="1">
        <v>2124</v>
      </c>
      <c r="I2048" s="6">
        <f>Tabela1[[#This Row],[Valor total]]-Tabela1[[#This Row],[Valor custo]]</f>
        <v>774.91000000000008</v>
      </c>
      <c r="J2048" s="7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">
        <v>469.98</v>
      </c>
      <c r="H2049" s="1">
        <v>700</v>
      </c>
      <c r="I2049" s="6">
        <f>Tabela1[[#This Row],[Valor total]]-Tabela1[[#This Row],[Valor custo]]</f>
        <v>230.01999999999998</v>
      </c>
      <c r="J2049" s="7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">
        <v>134.24</v>
      </c>
      <c r="H2050" s="1">
        <v>249.4</v>
      </c>
      <c r="I2050" s="6">
        <f>Tabela1[[#This Row],[Valor total]]-Tabela1[[#This Row],[Valor custo]]</f>
        <v>115.16</v>
      </c>
      <c r="J2050" s="7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">
        <v>764.6</v>
      </c>
      <c r="H2051" s="1">
        <v>1230</v>
      </c>
      <c r="I2051" s="6">
        <f>Tabela1[[#This Row],[Valor total]]-Tabela1[[#This Row],[Valor custo]]</f>
        <v>465.4</v>
      </c>
      <c r="J2051" s="7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">
        <v>455</v>
      </c>
      <c r="H2052" s="1">
        <v>685</v>
      </c>
      <c r="I2052" s="6">
        <f>Tabela1[[#This Row],[Valor total]]-Tabela1[[#This Row],[Valor custo]]</f>
        <v>230</v>
      </c>
      <c r="J2052" s="7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">
        <v>395.99</v>
      </c>
      <c r="H2053" s="1">
        <v>690</v>
      </c>
      <c r="I2053" s="6">
        <f>Tabela1[[#This Row],[Valor total]]-Tabela1[[#This Row],[Valor custo]]</f>
        <v>294.01</v>
      </c>
      <c r="J2053" s="7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">
        <v>382.3</v>
      </c>
      <c r="H2054" s="1">
        <v>600</v>
      </c>
      <c r="I2054" s="6">
        <f>Tabela1[[#This Row],[Valor total]]-Tabela1[[#This Row],[Valor custo]]</f>
        <v>217.7</v>
      </c>
      <c r="J2054" s="7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">
        <v>122.74</v>
      </c>
      <c r="H2055" s="1">
        <v>180</v>
      </c>
      <c r="I2055" s="6">
        <f>Tabela1[[#This Row],[Valor total]]-Tabela1[[#This Row],[Valor custo]]</f>
        <v>57.260000000000005</v>
      </c>
      <c r="J2055" s="7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">
        <v>6712.9</v>
      </c>
      <c r="H2056" s="1">
        <v>10600</v>
      </c>
      <c r="I2056" s="6">
        <f>Tabela1[[#This Row],[Valor total]]-Tabela1[[#This Row],[Valor custo]]</f>
        <v>3887.1000000000004</v>
      </c>
      <c r="J2056" s="7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">
        <v>33.56</v>
      </c>
      <c r="H2057" s="1">
        <v>62.35</v>
      </c>
      <c r="I2057" s="6">
        <f>Tabela1[[#This Row],[Valor total]]-Tabela1[[#This Row],[Valor custo]]</f>
        <v>28.79</v>
      </c>
      <c r="J2057" s="7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">
        <v>273.14</v>
      </c>
      <c r="H2058" s="1">
        <v>334.5</v>
      </c>
      <c r="I2058" s="6">
        <f>Tabela1[[#This Row],[Valor total]]-Tabela1[[#This Row],[Valor custo]]</f>
        <v>61.360000000000014</v>
      </c>
      <c r="J2058" s="7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">
        <v>7.21</v>
      </c>
      <c r="H2059" s="1">
        <v>35</v>
      </c>
      <c r="I2059" s="6">
        <f>Tabela1[[#This Row],[Valor total]]-Tabela1[[#This Row],[Valor custo]]</f>
        <v>27.79</v>
      </c>
      <c r="J2059" s="7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">
        <v>13.69</v>
      </c>
      <c r="H2060" s="1">
        <v>93.54</v>
      </c>
      <c r="I2060" s="6">
        <f>Tabela1[[#This Row],[Valor total]]-Tabela1[[#This Row],[Valor custo]]</f>
        <v>79.850000000000009</v>
      </c>
      <c r="J2060" s="7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">
        <v>1559</v>
      </c>
      <c r="H2061" s="1">
        <v>2820</v>
      </c>
      <c r="I2061" s="6">
        <f>Tabela1[[#This Row],[Valor total]]-Tabela1[[#This Row],[Valor custo]]</f>
        <v>1261</v>
      </c>
      <c r="J2061" s="7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">
        <v>1146.9000000000001</v>
      </c>
      <c r="H2062" s="1">
        <v>1830</v>
      </c>
      <c r="I2062" s="6">
        <f>Tabela1[[#This Row],[Valor total]]-Tabela1[[#This Row],[Valor custo]]</f>
        <v>683.09999999999991</v>
      </c>
      <c r="J2062" s="7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">
        <v>33.56</v>
      </c>
      <c r="H2063" s="1">
        <v>62.35</v>
      </c>
      <c r="I2063" s="6">
        <f>Tabela1[[#This Row],[Valor total]]-Tabela1[[#This Row],[Valor custo]]</f>
        <v>28.79</v>
      </c>
      <c r="J2063" s="7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">
        <v>613.74</v>
      </c>
      <c r="H2064" s="1">
        <v>870</v>
      </c>
      <c r="I2064" s="6">
        <f>Tabela1[[#This Row],[Valor total]]-Tabela1[[#This Row],[Valor custo]]</f>
        <v>256.26</v>
      </c>
      <c r="J2064" s="7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">
        <v>909</v>
      </c>
      <c r="H2065" s="1">
        <v>1100</v>
      </c>
      <c r="I2065" s="6">
        <f>Tabela1[[#This Row],[Valor total]]-Tabela1[[#This Row],[Valor custo]]</f>
        <v>191</v>
      </c>
      <c r="J2065" s="7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">
        <v>455</v>
      </c>
      <c r="H2066" s="1">
        <v>750</v>
      </c>
      <c r="I2066" s="6">
        <f>Tabela1[[#This Row],[Valor total]]-Tabela1[[#This Row],[Valor custo]]</f>
        <v>295</v>
      </c>
      <c r="J2066" s="7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">
        <v>7928.79</v>
      </c>
      <c r="H2067" s="1">
        <v>11840</v>
      </c>
      <c r="I2067" s="6">
        <f>Tabela1[[#This Row],[Valor total]]-Tabela1[[#This Row],[Valor custo]]</f>
        <v>3911.21</v>
      </c>
      <c r="J2067" s="7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">
        <v>13.69</v>
      </c>
      <c r="H2068" s="1">
        <v>86.83</v>
      </c>
      <c r="I2068" s="6">
        <f>Tabela1[[#This Row],[Valor total]]-Tabela1[[#This Row],[Valor custo]]</f>
        <v>73.14</v>
      </c>
      <c r="J2068" s="7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">
        <v>7.21</v>
      </c>
      <c r="H2069" s="1">
        <v>35</v>
      </c>
      <c r="I2069" s="6">
        <f>Tabela1[[#This Row],[Valor total]]-Tabela1[[#This Row],[Valor custo]]</f>
        <v>27.79</v>
      </c>
      <c r="J2069" s="7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">
        <v>13.69</v>
      </c>
      <c r="H2070" s="1">
        <v>86.83</v>
      </c>
      <c r="I2070" s="6">
        <f>Tabela1[[#This Row],[Valor total]]-Tabela1[[#This Row],[Valor custo]]</f>
        <v>73.14</v>
      </c>
      <c r="J2070" s="7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">
        <v>843.2</v>
      </c>
      <c r="H2071" s="1">
        <v>1430</v>
      </c>
      <c r="I2071" s="6">
        <f>Tabela1[[#This Row],[Valor total]]-Tabela1[[#This Row],[Valor custo]]</f>
        <v>586.79999999999995</v>
      </c>
      <c r="J2071" s="7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">
        <v>1469.28</v>
      </c>
      <c r="H2072" s="1">
        <v>2529</v>
      </c>
      <c r="I2072" s="6">
        <f>Tabela1[[#This Row],[Valor total]]-Tabela1[[#This Row],[Valor custo]]</f>
        <v>1059.72</v>
      </c>
      <c r="J2072" s="7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">
        <v>14.42</v>
      </c>
      <c r="H2073" s="1">
        <v>71.94</v>
      </c>
      <c r="I2073" s="6">
        <f>Tabela1[[#This Row],[Valor total]]-Tabela1[[#This Row],[Valor custo]]</f>
        <v>57.519999999999996</v>
      </c>
      <c r="J2073" s="7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">
        <v>293.13</v>
      </c>
      <c r="H2074" s="1">
        <v>450</v>
      </c>
      <c r="I2074" s="6">
        <f>Tabela1[[#This Row],[Valor total]]-Tabela1[[#This Row],[Valor custo]]</f>
        <v>156.87</v>
      </c>
      <c r="J2074" s="7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">
        <v>1797.79</v>
      </c>
      <c r="H2075" s="1">
        <v>2900</v>
      </c>
      <c r="I2075" s="6">
        <f>Tabela1[[#This Row],[Valor total]]-Tabela1[[#This Row],[Valor custo]]</f>
        <v>1102.21</v>
      </c>
      <c r="J2075" s="7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">
        <v>174.38</v>
      </c>
      <c r="H2076" s="1">
        <v>210</v>
      </c>
      <c r="I2076" s="6">
        <f>Tabela1[[#This Row],[Valor total]]-Tabela1[[#This Row],[Valor custo]]</f>
        <v>35.620000000000005</v>
      </c>
      <c r="J2076" s="7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">
        <v>8</v>
      </c>
      <c r="H2077" s="1">
        <v>57.5</v>
      </c>
      <c r="I2077" s="6">
        <f>Tabela1[[#This Row],[Valor total]]-Tabela1[[#This Row],[Valor custo]]</f>
        <v>49.5</v>
      </c>
      <c r="J2077" s="7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">
        <v>36.049999999999997</v>
      </c>
      <c r="H2078" s="1">
        <v>400</v>
      </c>
      <c r="I2078" s="6">
        <f>Tabela1[[#This Row],[Valor total]]-Tabela1[[#This Row],[Valor custo]]</f>
        <v>363.95</v>
      </c>
      <c r="J2078" s="7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">
        <v>764.6</v>
      </c>
      <c r="H2079" s="1">
        <v>1200</v>
      </c>
      <c r="I2079" s="6">
        <f>Tabela1[[#This Row],[Valor total]]-Tabela1[[#This Row],[Valor custo]]</f>
        <v>435.4</v>
      </c>
      <c r="J2079" s="7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">
        <v>33.56</v>
      </c>
      <c r="H2080" s="1">
        <v>62.35</v>
      </c>
      <c r="I2080" s="6">
        <f>Tabela1[[#This Row],[Valor total]]-Tabela1[[#This Row],[Valor custo]]</f>
        <v>28.79</v>
      </c>
      <c r="J2080" s="7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">
        <v>42</v>
      </c>
      <c r="H2081" s="1">
        <v>55</v>
      </c>
      <c r="I2081" s="6">
        <f>Tabela1[[#This Row],[Valor total]]-Tabela1[[#This Row],[Valor custo]]</f>
        <v>13</v>
      </c>
      <c r="J2081" s="7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">
        <v>837.3</v>
      </c>
      <c r="H2082" s="1">
        <v>1350</v>
      </c>
      <c r="I2082" s="6">
        <f>Tabela1[[#This Row],[Valor total]]-Tabela1[[#This Row],[Valor custo]]</f>
        <v>512.70000000000005</v>
      </c>
      <c r="J2082" s="7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">
        <v>293.13</v>
      </c>
      <c r="H2083" s="1">
        <v>369.48</v>
      </c>
      <c r="I2083" s="6">
        <f>Tabela1[[#This Row],[Valor total]]-Tabela1[[#This Row],[Valor custo]]</f>
        <v>76.350000000000023</v>
      </c>
      <c r="J2083" s="7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">
        <v>649</v>
      </c>
      <c r="H2084" s="1">
        <v>1200</v>
      </c>
      <c r="I2084" s="6">
        <f>Tabela1[[#This Row],[Valor total]]-Tabela1[[#This Row],[Valor custo]]</f>
        <v>551</v>
      </c>
      <c r="J2084" s="7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">
        <v>180</v>
      </c>
      <c r="H2085" s="1">
        <v>300</v>
      </c>
      <c r="I2085" s="6">
        <f>Tabela1[[#This Row],[Valor total]]-Tabela1[[#This Row],[Valor custo]]</f>
        <v>120</v>
      </c>
      <c r="J2085" s="7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">
        <v>2510.39</v>
      </c>
      <c r="H2086" s="1">
        <v>4385</v>
      </c>
      <c r="I2086" s="6">
        <f>Tabela1[[#This Row],[Valor total]]-Tabela1[[#This Row],[Valor custo]]</f>
        <v>1874.6100000000001</v>
      </c>
      <c r="J2086" s="7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">
        <v>477</v>
      </c>
      <c r="H2087" s="1">
        <v>740</v>
      </c>
      <c r="I2087" s="6">
        <f>Tabela1[[#This Row],[Valor total]]-Tabela1[[#This Row],[Valor custo]]</f>
        <v>263</v>
      </c>
      <c r="J2087" s="7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">
        <v>13.69</v>
      </c>
      <c r="H2088" s="1">
        <v>86.83</v>
      </c>
      <c r="I2088" s="6">
        <f>Tabela1[[#This Row],[Valor total]]-Tabela1[[#This Row],[Valor custo]]</f>
        <v>73.14</v>
      </c>
      <c r="J2088" s="7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">
        <v>1017.15</v>
      </c>
      <c r="H2089" s="1">
        <v>1275</v>
      </c>
      <c r="I2089" s="6">
        <f>Tabela1[[#This Row],[Valor total]]-Tabela1[[#This Row],[Valor custo]]</f>
        <v>257.85000000000002</v>
      </c>
      <c r="J2089" s="7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">
        <v>55</v>
      </c>
      <c r="H2090" s="1">
        <v>200</v>
      </c>
      <c r="I2090" s="6">
        <f>Tabela1[[#This Row],[Valor total]]-Tabela1[[#This Row],[Valor custo]]</f>
        <v>145</v>
      </c>
      <c r="J2090" s="7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">
        <v>95.83</v>
      </c>
      <c r="H2091" s="1">
        <v>361.22</v>
      </c>
      <c r="I2091" s="6">
        <f>Tabela1[[#This Row],[Valor total]]-Tabela1[[#This Row],[Valor custo]]</f>
        <v>265.39000000000004</v>
      </c>
      <c r="J2091" s="7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">
        <v>764.6</v>
      </c>
      <c r="H2092" s="1">
        <v>950</v>
      </c>
      <c r="I2092" s="6">
        <f>Tabela1[[#This Row],[Valor total]]-Tabela1[[#This Row],[Valor custo]]</f>
        <v>185.39999999999998</v>
      </c>
      <c r="J2092" s="7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">
        <v>7.21</v>
      </c>
      <c r="H2093" s="1">
        <v>35</v>
      </c>
      <c r="I2093" s="6">
        <f>Tabela1[[#This Row],[Valor total]]-Tabela1[[#This Row],[Valor custo]]</f>
        <v>27.79</v>
      </c>
      <c r="J2093" s="7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">
        <v>909</v>
      </c>
      <c r="H2094" s="1">
        <v>1400</v>
      </c>
      <c r="I2094" s="6">
        <f>Tabela1[[#This Row],[Valor total]]-Tabela1[[#This Row],[Valor custo]]</f>
        <v>491</v>
      </c>
      <c r="J2094" s="7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">
        <v>65</v>
      </c>
      <c r="H2095" s="1">
        <v>72.37</v>
      </c>
      <c r="I2095" s="6">
        <f>Tabela1[[#This Row],[Valor total]]-Tabela1[[#This Row],[Valor custo]]</f>
        <v>7.3700000000000045</v>
      </c>
      <c r="J2095" s="7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">
        <v>122.74</v>
      </c>
      <c r="H2096" s="1">
        <v>180</v>
      </c>
      <c r="I2096" s="6">
        <f>Tabela1[[#This Row],[Valor total]]-Tabela1[[#This Row],[Valor custo]]</f>
        <v>57.260000000000005</v>
      </c>
      <c r="J2096" s="7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">
        <v>2774</v>
      </c>
      <c r="H2097" s="1">
        <v>4800</v>
      </c>
      <c r="I2097" s="6">
        <f>Tabela1[[#This Row],[Valor total]]-Tabela1[[#This Row],[Valor custo]]</f>
        <v>2026</v>
      </c>
      <c r="J2097" s="7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">
        <v>65</v>
      </c>
      <c r="H2098" s="1">
        <v>72.37</v>
      </c>
      <c r="I2098" s="6">
        <f>Tabela1[[#This Row],[Valor total]]-Tabela1[[#This Row],[Valor custo]]</f>
        <v>7.3700000000000045</v>
      </c>
      <c r="J2098" s="7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">
        <v>73.14</v>
      </c>
      <c r="H2099" s="1">
        <v>90</v>
      </c>
      <c r="I2099" s="6">
        <f>Tabela1[[#This Row],[Valor total]]-Tabela1[[#This Row],[Valor custo]]</f>
        <v>16.86</v>
      </c>
      <c r="J2099" s="7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">
        <v>3109.27</v>
      </c>
      <c r="H2100" s="1">
        <v>5080</v>
      </c>
      <c r="I2100" s="6">
        <f>Tabela1[[#This Row],[Valor total]]-Tabela1[[#This Row],[Valor custo]]</f>
        <v>1970.73</v>
      </c>
      <c r="J2100" s="7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">
        <v>404.1</v>
      </c>
      <c r="H2101" s="1">
        <v>735</v>
      </c>
      <c r="I2101" s="6">
        <f>Tabela1[[#This Row],[Valor total]]-Tabela1[[#This Row],[Valor custo]]</f>
        <v>330.9</v>
      </c>
      <c r="J2101" s="7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">
        <v>13.69</v>
      </c>
      <c r="H2102" s="1">
        <v>120</v>
      </c>
      <c r="I2102" s="6">
        <f>Tabela1[[#This Row],[Valor total]]-Tabela1[[#This Row],[Valor custo]]</f>
        <v>106.31</v>
      </c>
      <c r="J2102" s="7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">
        <v>764.6</v>
      </c>
      <c r="H2103" s="1">
        <v>1200</v>
      </c>
      <c r="I2103" s="6">
        <f>Tabela1[[#This Row],[Valor total]]-Tabela1[[#This Row],[Valor custo]]</f>
        <v>435.4</v>
      </c>
      <c r="J2103" s="7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">
        <v>14.42</v>
      </c>
      <c r="H2104" s="1">
        <v>71.94</v>
      </c>
      <c r="I2104" s="6">
        <f>Tabela1[[#This Row],[Valor total]]-Tabela1[[#This Row],[Valor custo]]</f>
        <v>57.519999999999996</v>
      </c>
      <c r="J2104" s="7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">
        <v>7.21</v>
      </c>
      <c r="H2105" s="1">
        <v>35</v>
      </c>
      <c r="I2105" s="6">
        <f>Tabela1[[#This Row],[Valor total]]-Tabela1[[#This Row],[Valor custo]]</f>
        <v>27.79</v>
      </c>
      <c r="J2105" s="7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">
        <v>382.3</v>
      </c>
      <c r="H2106" s="1">
        <v>600</v>
      </c>
      <c r="I2106" s="6">
        <f>Tabela1[[#This Row],[Valor total]]-Tabela1[[#This Row],[Valor custo]]</f>
        <v>217.7</v>
      </c>
      <c r="J2106" s="7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">
        <v>865.58</v>
      </c>
      <c r="H2107" s="1">
        <v>1400</v>
      </c>
      <c r="I2107" s="6">
        <f>Tabela1[[#This Row],[Valor total]]-Tabela1[[#This Row],[Valor custo]]</f>
        <v>534.41999999999996</v>
      </c>
      <c r="J2107" s="7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">
        <v>122.74</v>
      </c>
      <c r="H2108" s="1">
        <v>170</v>
      </c>
      <c r="I2108" s="6">
        <f>Tabela1[[#This Row],[Valor total]]-Tabela1[[#This Row],[Valor custo]]</f>
        <v>47.260000000000005</v>
      </c>
      <c r="J2108" s="7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">
        <v>7.21</v>
      </c>
      <c r="H2109" s="1">
        <v>35</v>
      </c>
      <c r="I2109" s="6">
        <f>Tabela1[[#This Row],[Valor total]]-Tabela1[[#This Row],[Valor custo]]</f>
        <v>27.79</v>
      </c>
      <c r="J2109" s="7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">
        <v>7.21</v>
      </c>
      <c r="H2110" s="1">
        <v>62.93</v>
      </c>
      <c r="I2110" s="6">
        <f>Tabela1[[#This Row],[Valor total]]-Tabela1[[#This Row],[Valor custo]]</f>
        <v>55.72</v>
      </c>
      <c r="J2110" s="7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">
        <v>28.84</v>
      </c>
      <c r="H2111" s="1">
        <v>111.72</v>
      </c>
      <c r="I2111" s="6">
        <f>Tabela1[[#This Row],[Valor total]]-Tabela1[[#This Row],[Valor custo]]</f>
        <v>82.88</v>
      </c>
      <c r="J2111" s="7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">
        <v>7.21</v>
      </c>
      <c r="H2112" s="1">
        <v>27.93</v>
      </c>
      <c r="I2112" s="6">
        <f>Tabela1[[#This Row],[Valor total]]-Tabela1[[#This Row],[Valor custo]]</f>
        <v>20.72</v>
      </c>
      <c r="J2112" s="7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">
        <v>7.21</v>
      </c>
      <c r="H2113" s="1">
        <v>35</v>
      </c>
      <c r="I2113" s="6">
        <f>Tabela1[[#This Row],[Valor total]]-Tabela1[[#This Row],[Valor custo]]</f>
        <v>27.79</v>
      </c>
      <c r="J2113" s="7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">
        <v>14.42</v>
      </c>
      <c r="H2114" s="1">
        <v>55.86</v>
      </c>
      <c r="I2114" s="6">
        <f>Tabela1[[#This Row],[Valor total]]-Tabela1[[#This Row],[Valor custo]]</f>
        <v>41.44</v>
      </c>
      <c r="J2114" s="7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">
        <v>21.63</v>
      </c>
      <c r="H2115" s="1">
        <v>83.79</v>
      </c>
      <c r="I2115" s="6">
        <f>Tabela1[[#This Row],[Valor total]]-Tabela1[[#This Row],[Valor custo]]</f>
        <v>62.160000000000011</v>
      </c>
      <c r="J2115" s="7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">
        <v>14.42</v>
      </c>
      <c r="H2116" s="1">
        <v>55.86</v>
      </c>
      <c r="I2116" s="6">
        <f>Tabela1[[#This Row],[Valor total]]-Tabela1[[#This Row],[Valor custo]]</f>
        <v>41.44</v>
      </c>
      <c r="J2116" s="7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">
        <v>33.56</v>
      </c>
      <c r="H2117" s="1">
        <v>62.35</v>
      </c>
      <c r="I2117" s="6">
        <f>Tabela1[[#This Row],[Valor total]]-Tabela1[[#This Row],[Valor custo]]</f>
        <v>28.79</v>
      </c>
      <c r="J2117" s="7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">
        <v>14.42</v>
      </c>
      <c r="H2118" s="1">
        <v>55.86</v>
      </c>
      <c r="I2118" s="6">
        <f>Tabela1[[#This Row],[Valor total]]-Tabela1[[#This Row],[Valor custo]]</f>
        <v>41.44</v>
      </c>
      <c r="J2118" s="7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">
        <v>7.21</v>
      </c>
      <c r="H2119" s="1">
        <v>27.93</v>
      </c>
      <c r="I2119" s="6">
        <f>Tabela1[[#This Row],[Valor total]]-Tabela1[[#This Row],[Valor custo]]</f>
        <v>20.72</v>
      </c>
      <c r="J2119" s="7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">
        <v>764.6</v>
      </c>
      <c r="H2120" s="1">
        <v>1200</v>
      </c>
      <c r="I2120" s="6">
        <f>Tabela1[[#This Row],[Valor total]]-Tabela1[[#This Row],[Valor custo]]</f>
        <v>435.4</v>
      </c>
      <c r="J2120" s="7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">
        <v>1731.16</v>
      </c>
      <c r="H2121" s="1">
        <v>2880</v>
      </c>
      <c r="I2121" s="6">
        <f>Tabela1[[#This Row],[Valor total]]-Tabela1[[#This Row],[Valor custo]]</f>
        <v>1148.8399999999999</v>
      </c>
      <c r="J2121" s="7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">
        <v>1146.9000000000001</v>
      </c>
      <c r="H2122" s="1">
        <v>1800</v>
      </c>
      <c r="I2122" s="6">
        <f>Tabela1[[#This Row],[Valor total]]-Tabela1[[#This Row],[Valor custo]]</f>
        <v>653.09999999999991</v>
      </c>
      <c r="J2122" s="7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">
        <v>25</v>
      </c>
      <c r="H2123" s="1">
        <v>30</v>
      </c>
      <c r="I2123" s="6">
        <f>Tabela1[[#This Row],[Valor total]]-Tabela1[[#This Row],[Valor custo]]</f>
        <v>5</v>
      </c>
      <c r="J2123" s="7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">
        <v>122.74</v>
      </c>
      <c r="H2124" s="1">
        <v>160</v>
      </c>
      <c r="I2124" s="6">
        <f>Tabela1[[#This Row],[Valor total]]-Tabela1[[#This Row],[Valor custo]]</f>
        <v>37.260000000000005</v>
      </c>
      <c r="J2124" s="7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">
        <v>14.42</v>
      </c>
      <c r="H2125" s="1">
        <v>70</v>
      </c>
      <c r="I2125" s="6">
        <f>Tabela1[[#This Row],[Valor total]]-Tabela1[[#This Row],[Valor custo]]</f>
        <v>55.58</v>
      </c>
      <c r="J2125" s="7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">
        <v>13.69</v>
      </c>
      <c r="H2126" s="1">
        <v>130</v>
      </c>
      <c r="I2126" s="6">
        <f>Tabela1[[#This Row],[Valor total]]-Tabela1[[#This Row],[Valor custo]]</f>
        <v>116.31</v>
      </c>
      <c r="J2126" s="7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">
        <v>28.84</v>
      </c>
      <c r="H2127" s="1">
        <v>160</v>
      </c>
      <c r="I2127" s="6">
        <f>Tabela1[[#This Row],[Valor total]]-Tabela1[[#This Row],[Valor custo]]</f>
        <v>131.16</v>
      </c>
      <c r="J2127" s="7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">
        <v>7.21</v>
      </c>
      <c r="H2128" s="1">
        <v>35</v>
      </c>
      <c r="I2128" s="6">
        <f>Tabela1[[#This Row],[Valor total]]-Tabela1[[#This Row],[Valor custo]]</f>
        <v>27.79</v>
      </c>
      <c r="J2128" s="7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">
        <v>664</v>
      </c>
      <c r="H2129" s="1">
        <v>1300</v>
      </c>
      <c r="I2129" s="6">
        <f>Tabela1[[#This Row],[Valor total]]-Tabela1[[#This Row],[Valor custo]]</f>
        <v>636</v>
      </c>
      <c r="J2129" s="7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">
        <v>82</v>
      </c>
      <c r="H2130" s="1">
        <v>150</v>
      </c>
      <c r="I2130" s="6">
        <f>Tabela1[[#This Row],[Valor total]]-Tabela1[[#This Row],[Valor custo]]</f>
        <v>68</v>
      </c>
      <c r="J2130" s="7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">
        <v>293.13</v>
      </c>
      <c r="H2131" s="1">
        <v>450</v>
      </c>
      <c r="I2131" s="6">
        <f>Tabela1[[#This Row],[Valor total]]-Tabela1[[#This Row],[Valor custo]]</f>
        <v>156.87</v>
      </c>
      <c r="J2131" s="7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">
        <v>382.3</v>
      </c>
      <c r="H2132" s="1">
        <v>615</v>
      </c>
      <c r="I2132" s="6">
        <f>Tabela1[[#This Row],[Valor total]]-Tabela1[[#This Row],[Valor custo]]</f>
        <v>232.7</v>
      </c>
      <c r="J2132" s="7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">
        <v>10793.85</v>
      </c>
      <c r="H2133" s="1">
        <v>17050</v>
      </c>
      <c r="I2133" s="6">
        <f>Tabela1[[#This Row],[Valor total]]-Tabela1[[#This Row],[Valor custo]]</f>
        <v>6256.15</v>
      </c>
      <c r="J2133" s="7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">
        <v>7.21</v>
      </c>
      <c r="H2134" s="1">
        <v>27.93</v>
      </c>
      <c r="I2134" s="6">
        <f>Tabela1[[#This Row],[Valor total]]-Tabela1[[#This Row],[Valor custo]]</f>
        <v>20.72</v>
      </c>
      <c r="J2134" s="7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">
        <v>382.3</v>
      </c>
      <c r="H2135" s="1">
        <v>600</v>
      </c>
      <c r="I2135" s="6">
        <f>Tabela1[[#This Row],[Valor total]]-Tabela1[[#This Row],[Valor custo]]</f>
        <v>217.7</v>
      </c>
      <c r="J2135" s="7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">
        <v>55</v>
      </c>
      <c r="H2136" s="1">
        <v>200</v>
      </c>
      <c r="I2136" s="6">
        <f>Tabela1[[#This Row],[Valor total]]-Tabela1[[#This Row],[Valor custo]]</f>
        <v>145</v>
      </c>
      <c r="J2136" s="7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">
        <v>1399.58</v>
      </c>
      <c r="H2137" s="1">
        <v>2300</v>
      </c>
      <c r="I2137" s="6">
        <f>Tabela1[[#This Row],[Valor total]]-Tabela1[[#This Row],[Valor custo]]</f>
        <v>900.42000000000007</v>
      </c>
      <c r="J2137" s="7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">
        <v>491</v>
      </c>
      <c r="H2138" s="1">
        <v>650</v>
      </c>
      <c r="I2138" s="6">
        <f>Tabela1[[#This Row],[Valor total]]-Tabela1[[#This Row],[Valor custo]]</f>
        <v>159</v>
      </c>
      <c r="J2138" s="7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">
        <v>36.049999999999997</v>
      </c>
      <c r="H2139" s="1">
        <v>126.35</v>
      </c>
      <c r="I2139" s="6">
        <f>Tabela1[[#This Row],[Valor total]]-Tabela1[[#This Row],[Valor custo]]</f>
        <v>90.3</v>
      </c>
      <c r="J2139" s="7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">
        <v>382.3</v>
      </c>
      <c r="H2140" s="1">
        <v>0</v>
      </c>
      <c r="I2140" s="6">
        <f>Tabela1[[#This Row],[Valor total]]-Tabela1[[#This Row],[Valor custo]]</f>
        <v>-382.3</v>
      </c>
      <c r="J2140" s="7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">
        <v>94.43</v>
      </c>
      <c r="H2141" s="1">
        <v>130</v>
      </c>
      <c r="I2141" s="6">
        <f>Tabela1[[#This Row],[Valor total]]-Tabela1[[#This Row],[Valor custo]]</f>
        <v>35.569999999999993</v>
      </c>
      <c r="J2141" s="7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">
        <v>7.21</v>
      </c>
      <c r="H2142" s="1">
        <v>27.93</v>
      </c>
      <c r="I2142" s="6">
        <f>Tabela1[[#This Row],[Valor total]]-Tabela1[[#This Row],[Valor custo]]</f>
        <v>20.72</v>
      </c>
      <c r="J2142" s="7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">
        <v>679</v>
      </c>
      <c r="H2143" s="1">
        <v>1400</v>
      </c>
      <c r="I2143" s="6">
        <f>Tabela1[[#This Row],[Valor total]]-Tabela1[[#This Row],[Valor custo]]</f>
        <v>721</v>
      </c>
      <c r="J2143" s="7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">
        <v>14.42</v>
      </c>
      <c r="H2144" s="1">
        <v>55.86</v>
      </c>
      <c r="I2144" s="6">
        <f>Tabela1[[#This Row],[Valor total]]-Tabela1[[#This Row],[Valor custo]]</f>
        <v>41.44</v>
      </c>
      <c r="J2144" s="7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">
        <v>2178.1999999999998</v>
      </c>
      <c r="H2145" s="1">
        <v>3660</v>
      </c>
      <c r="I2145" s="6">
        <f>Tabela1[[#This Row],[Valor total]]-Tabela1[[#This Row],[Valor custo]]</f>
        <v>1481.8000000000002</v>
      </c>
      <c r="J2145" s="7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">
        <v>946</v>
      </c>
      <c r="H2146" s="1">
        <v>1485</v>
      </c>
      <c r="I2146" s="6">
        <f>Tabela1[[#This Row],[Valor total]]-Tabela1[[#This Row],[Valor custo]]</f>
        <v>539</v>
      </c>
      <c r="J2146" s="7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">
        <v>45.6</v>
      </c>
      <c r="H2147" s="1">
        <v>80</v>
      </c>
      <c r="I2147" s="6">
        <f>Tabela1[[#This Row],[Valor total]]-Tabela1[[#This Row],[Valor custo]]</f>
        <v>34.4</v>
      </c>
      <c r="J2147" s="7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">
        <v>4923.18</v>
      </c>
      <c r="H2148" s="1">
        <v>8430</v>
      </c>
      <c r="I2148" s="6">
        <f>Tabela1[[#This Row],[Valor total]]-Tabela1[[#This Row],[Valor custo]]</f>
        <v>3506.8199999999997</v>
      </c>
      <c r="J2148" s="7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">
        <v>14.42</v>
      </c>
      <c r="H2149" s="1">
        <v>55.86</v>
      </c>
      <c r="I2149" s="6">
        <f>Tabela1[[#This Row],[Valor total]]-Tabela1[[#This Row],[Valor custo]]</f>
        <v>41.44</v>
      </c>
      <c r="J2149" s="7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">
        <v>477</v>
      </c>
      <c r="H2150" s="1">
        <v>785</v>
      </c>
      <c r="I2150" s="6">
        <f>Tabela1[[#This Row],[Valor total]]-Tabela1[[#This Row],[Valor custo]]</f>
        <v>308</v>
      </c>
      <c r="J2150" s="7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">
        <v>7.21</v>
      </c>
      <c r="H2151" s="1">
        <v>27.93</v>
      </c>
      <c r="I2151" s="6">
        <f>Tabela1[[#This Row],[Valor total]]-Tabela1[[#This Row],[Valor custo]]</f>
        <v>20.72</v>
      </c>
      <c r="J2151" s="7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">
        <v>764.6</v>
      </c>
      <c r="H2152" s="1">
        <v>1030</v>
      </c>
      <c r="I2152" s="6">
        <f>Tabela1[[#This Row],[Valor total]]-Tabela1[[#This Row],[Valor custo]]</f>
        <v>265.39999999999998</v>
      </c>
      <c r="J2152" s="7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">
        <v>24</v>
      </c>
      <c r="H2153" s="1">
        <v>15.25</v>
      </c>
      <c r="I2153" s="6">
        <f>Tabela1[[#This Row],[Valor total]]-Tabela1[[#This Row],[Valor custo]]</f>
        <v>-8.75</v>
      </c>
      <c r="J2153" s="7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">
        <v>25</v>
      </c>
      <c r="H2154" s="1">
        <v>30</v>
      </c>
      <c r="I2154" s="6">
        <f>Tabela1[[#This Row],[Valor total]]-Tabela1[[#This Row],[Valor custo]]</f>
        <v>5</v>
      </c>
      <c r="J2154" s="7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">
        <v>144</v>
      </c>
      <c r="H2155" s="1">
        <v>66.599999999999994</v>
      </c>
      <c r="I2155" s="6">
        <f>Tabela1[[#This Row],[Valor total]]-Tabela1[[#This Row],[Valor custo]]</f>
        <v>-77.400000000000006</v>
      </c>
      <c r="J2155" s="7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">
        <v>514.45000000000005</v>
      </c>
      <c r="H2156" s="1">
        <v>75</v>
      </c>
      <c r="I2156" s="6">
        <f>Tabela1[[#This Row],[Valor total]]-Tabela1[[#This Row],[Valor custo]]</f>
        <v>-439.45000000000005</v>
      </c>
      <c r="J2156" s="7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">
        <v>7.21</v>
      </c>
      <c r="H2157" s="1">
        <v>35</v>
      </c>
      <c r="I2157" s="6">
        <f>Tabela1[[#This Row],[Valor total]]-Tabela1[[#This Row],[Valor custo]]</f>
        <v>27.79</v>
      </c>
      <c r="J2157" s="7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">
        <v>7.21</v>
      </c>
      <c r="H2158" s="1">
        <v>27.93</v>
      </c>
      <c r="I2158" s="6">
        <f>Tabela1[[#This Row],[Valor total]]-Tabela1[[#This Row],[Valor custo]]</f>
        <v>20.72</v>
      </c>
      <c r="J2158" s="7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">
        <v>52.2</v>
      </c>
      <c r="H2159" s="1">
        <v>224.95</v>
      </c>
      <c r="I2159" s="6">
        <f>Tabela1[[#This Row],[Valor total]]-Tabela1[[#This Row],[Valor custo]]</f>
        <v>172.75</v>
      </c>
      <c r="J2159" s="7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">
        <v>92.47</v>
      </c>
      <c r="H2160" s="1">
        <v>255</v>
      </c>
      <c r="I2160" s="6">
        <f>Tabela1[[#This Row],[Valor total]]-Tabela1[[#This Row],[Valor custo]]</f>
        <v>162.53</v>
      </c>
      <c r="J2160" s="7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">
        <v>450.1</v>
      </c>
      <c r="H2161" s="1">
        <v>1800</v>
      </c>
      <c r="I2161" s="6">
        <f>Tabela1[[#This Row],[Valor total]]-Tabela1[[#This Row],[Valor custo]]</f>
        <v>1349.9</v>
      </c>
      <c r="J2161" s="7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">
        <v>90</v>
      </c>
      <c r="H2162" s="1">
        <v>150</v>
      </c>
      <c r="I2162" s="6">
        <f>Tabela1[[#This Row],[Valor total]]-Tabela1[[#This Row],[Valor custo]]</f>
        <v>60</v>
      </c>
      <c r="J2162" s="7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">
        <v>1529.2</v>
      </c>
      <c r="H2163" s="1">
        <v>2400</v>
      </c>
      <c r="I2163" s="6">
        <f>Tabela1[[#This Row],[Valor total]]-Tabela1[[#This Row],[Valor custo]]</f>
        <v>870.8</v>
      </c>
      <c r="J2163" s="7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">
        <v>33</v>
      </c>
      <c r="H2164" s="1">
        <v>150</v>
      </c>
      <c r="I2164" s="6">
        <f>Tabela1[[#This Row],[Valor total]]-Tabela1[[#This Row],[Valor custo]]</f>
        <v>117</v>
      </c>
      <c r="J2164" s="7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">
        <v>469</v>
      </c>
      <c r="H2165" s="1">
        <v>850</v>
      </c>
      <c r="I2165" s="6">
        <f>Tabela1[[#This Row],[Valor total]]-Tabela1[[#This Row],[Valor custo]]</f>
        <v>381</v>
      </c>
      <c r="J2165" s="7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">
        <v>55</v>
      </c>
      <c r="H2166" s="1">
        <v>150</v>
      </c>
      <c r="I2166" s="6">
        <f>Tabela1[[#This Row],[Valor total]]-Tabela1[[#This Row],[Valor custo]]</f>
        <v>95</v>
      </c>
      <c r="J2166" s="7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">
        <v>836.7</v>
      </c>
      <c r="H2167" s="1">
        <v>1530</v>
      </c>
      <c r="I2167" s="6">
        <f>Tabela1[[#This Row],[Valor total]]-Tabela1[[#This Row],[Valor custo]]</f>
        <v>693.3</v>
      </c>
      <c r="J2167" s="7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">
        <v>3810.37</v>
      </c>
      <c r="H2168" s="1">
        <v>6075</v>
      </c>
      <c r="I2168" s="6">
        <f>Tabela1[[#This Row],[Valor total]]-Tabela1[[#This Row],[Valor custo]]</f>
        <v>2264.63</v>
      </c>
      <c r="J2168" s="7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">
        <v>3823</v>
      </c>
      <c r="H2169" s="1">
        <v>6000</v>
      </c>
      <c r="I2169" s="6">
        <f>Tabela1[[#This Row],[Valor total]]-Tabela1[[#This Row],[Valor custo]]</f>
        <v>2177</v>
      </c>
      <c r="J2169" s="7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">
        <v>5353.3</v>
      </c>
      <c r="H2170" s="1">
        <v>6550</v>
      </c>
      <c r="I2170" s="6">
        <f>Tabela1[[#This Row],[Valor total]]-Tabela1[[#This Row],[Valor custo]]</f>
        <v>1196.6999999999998</v>
      </c>
      <c r="J2170" s="7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">
        <v>837.3</v>
      </c>
      <c r="H2171" s="1">
        <v>1400</v>
      </c>
      <c r="I2171" s="6">
        <f>Tabela1[[#This Row],[Valor total]]-Tabela1[[#This Row],[Valor custo]]</f>
        <v>562.70000000000005</v>
      </c>
      <c r="J2171" s="7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">
        <v>563.66</v>
      </c>
      <c r="H2172" s="1">
        <v>790</v>
      </c>
      <c r="I2172" s="6">
        <f>Tabela1[[#This Row],[Valor total]]-Tabela1[[#This Row],[Valor custo]]</f>
        <v>226.34000000000003</v>
      </c>
      <c r="J2172" s="7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">
        <v>122.74</v>
      </c>
      <c r="H2173" s="1">
        <v>300</v>
      </c>
      <c r="I2173" s="6">
        <f>Tabela1[[#This Row],[Valor total]]-Tabela1[[#This Row],[Valor custo]]</f>
        <v>177.26</v>
      </c>
      <c r="J2173" s="7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">
        <v>1507.93</v>
      </c>
      <c r="H2174" s="1">
        <v>3030</v>
      </c>
      <c r="I2174" s="6">
        <f>Tabela1[[#This Row],[Valor total]]-Tabela1[[#This Row],[Valor custo]]</f>
        <v>1522.07</v>
      </c>
      <c r="J2174" s="7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">
        <v>25</v>
      </c>
      <c r="H2175" s="1">
        <v>30</v>
      </c>
      <c r="I2175" s="6">
        <f>Tabela1[[#This Row],[Valor total]]-Tabela1[[#This Row],[Valor custo]]</f>
        <v>5</v>
      </c>
      <c r="J2175" s="7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">
        <v>68.45</v>
      </c>
      <c r="H2176" s="1">
        <v>500</v>
      </c>
      <c r="I2176" s="6">
        <f>Tabela1[[#This Row],[Valor total]]-Tabela1[[#This Row],[Valor custo]]</f>
        <v>431.55</v>
      </c>
      <c r="J2176" s="7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">
        <v>1741.78</v>
      </c>
      <c r="H2177" s="1">
        <v>3230</v>
      </c>
      <c r="I2177" s="6">
        <f>Tabela1[[#This Row],[Valor total]]-Tabela1[[#This Row],[Valor custo]]</f>
        <v>1488.22</v>
      </c>
      <c r="J2177" s="7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">
        <v>1431</v>
      </c>
      <c r="H2178" s="1">
        <v>585</v>
      </c>
      <c r="I2178" s="6">
        <f>Tabela1[[#This Row],[Valor total]]-Tabela1[[#This Row],[Valor custo]]</f>
        <v>-846</v>
      </c>
      <c r="J2178" s="7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">
        <v>289</v>
      </c>
      <c r="H2179" s="1">
        <v>0</v>
      </c>
      <c r="I2179" s="6">
        <f>Tabela1[[#This Row],[Valor total]]-Tabela1[[#This Row],[Valor custo]]</f>
        <v>-289</v>
      </c>
      <c r="J2179" s="7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">
        <v>874.96</v>
      </c>
      <c r="H2180" s="1">
        <v>1416</v>
      </c>
      <c r="I2180" s="6">
        <f>Tabela1[[#This Row],[Valor total]]-Tabela1[[#This Row],[Valor custo]]</f>
        <v>541.04</v>
      </c>
      <c r="J2180" s="7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">
        <v>578</v>
      </c>
      <c r="H2181" s="1">
        <v>790</v>
      </c>
      <c r="I2181" s="6">
        <f>Tabela1[[#This Row],[Valor total]]-Tabela1[[#This Row],[Valor custo]]</f>
        <v>212</v>
      </c>
      <c r="J2181" s="7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">
        <v>477</v>
      </c>
      <c r="H2182" s="1">
        <v>800</v>
      </c>
      <c r="I2182" s="6">
        <f>Tabela1[[#This Row],[Valor total]]-Tabela1[[#This Row],[Valor custo]]</f>
        <v>323</v>
      </c>
      <c r="J2182" s="7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">
        <v>469</v>
      </c>
      <c r="H2183" s="1">
        <v>850</v>
      </c>
      <c r="I2183" s="6">
        <f>Tabela1[[#This Row],[Valor total]]-Tabela1[[#This Row],[Valor custo]]</f>
        <v>381</v>
      </c>
      <c r="J2183" s="7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">
        <v>2887.58</v>
      </c>
      <c r="H2184" s="1">
        <v>5650</v>
      </c>
      <c r="I2184" s="6">
        <f>Tabela1[[#This Row],[Valor total]]-Tabela1[[#This Row],[Valor custo]]</f>
        <v>2762.42</v>
      </c>
      <c r="J2184" s="7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">
        <v>884.3</v>
      </c>
      <c r="H2185" s="1">
        <v>1672</v>
      </c>
      <c r="I2185" s="6">
        <f>Tabela1[[#This Row],[Valor total]]-Tabela1[[#This Row],[Valor custo]]</f>
        <v>787.7</v>
      </c>
      <c r="J2185" s="7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">
        <v>4327.8999999999996</v>
      </c>
      <c r="H2186" s="1">
        <v>6550</v>
      </c>
      <c r="I2186" s="6">
        <f>Tabela1[[#This Row],[Valor total]]-Tabela1[[#This Row],[Valor custo]]</f>
        <v>2222.1000000000004</v>
      </c>
      <c r="J2186" s="7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">
        <v>41</v>
      </c>
      <c r="H2187" s="1">
        <v>60</v>
      </c>
      <c r="I2187" s="6">
        <f>Tabela1[[#This Row],[Valor total]]-Tabela1[[#This Row],[Valor custo]]</f>
        <v>19</v>
      </c>
      <c r="J2187" s="7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">
        <v>1529.2</v>
      </c>
      <c r="H2188" s="1">
        <v>2580</v>
      </c>
      <c r="I2188" s="6">
        <f>Tabela1[[#This Row],[Valor total]]-Tabela1[[#This Row],[Valor custo]]</f>
        <v>1050.8</v>
      </c>
      <c r="J2188" s="7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">
        <v>541.89</v>
      </c>
      <c r="H2189" s="1">
        <v>820</v>
      </c>
      <c r="I2189" s="6">
        <f>Tabela1[[#This Row],[Valor total]]-Tabela1[[#This Row],[Valor custo]]</f>
        <v>278.11</v>
      </c>
      <c r="J2189" s="7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">
        <v>764.6</v>
      </c>
      <c r="H2190" s="1">
        <v>1200</v>
      </c>
      <c r="I2190" s="6">
        <f>Tabela1[[#This Row],[Valor total]]-Tabela1[[#This Row],[Valor custo]]</f>
        <v>435.4</v>
      </c>
      <c r="J2190" s="7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">
        <v>1018</v>
      </c>
      <c r="H2191" s="1">
        <v>1600</v>
      </c>
      <c r="I2191" s="6">
        <f>Tabela1[[#This Row],[Valor total]]-Tabela1[[#This Row],[Valor custo]]</f>
        <v>582</v>
      </c>
      <c r="J2191" s="7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">
        <v>710</v>
      </c>
      <c r="H2192" s="1">
        <v>1900</v>
      </c>
      <c r="I2192" s="6">
        <f>Tabela1[[#This Row],[Valor total]]-Tabela1[[#This Row],[Valor custo]]</f>
        <v>1190</v>
      </c>
      <c r="J2192" s="7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">
        <v>1146.9000000000001</v>
      </c>
      <c r="H2193" s="1">
        <v>1900</v>
      </c>
      <c r="I2193" s="6">
        <f>Tabela1[[#This Row],[Valor total]]-Tabela1[[#This Row],[Valor custo]]</f>
        <v>753.09999999999991</v>
      </c>
      <c r="J2193" s="7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">
        <v>480</v>
      </c>
      <c r="H2194" s="1">
        <v>720</v>
      </c>
      <c r="I2194" s="6">
        <f>Tabela1[[#This Row],[Valor total]]-Tabela1[[#This Row],[Valor custo]]</f>
        <v>240</v>
      </c>
      <c r="J2194" s="7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">
        <v>6419.41</v>
      </c>
      <c r="H2195" s="1">
        <v>10000</v>
      </c>
      <c r="I2195" s="6">
        <f>Tabela1[[#This Row],[Valor total]]-Tabela1[[#This Row],[Valor custo]]</f>
        <v>3580.59</v>
      </c>
      <c r="J2195" s="7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">
        <v>2498</v>
      </c>
      <c r="H2196" s="1">
        <v>3700</v>
      </c>
      <c r="I2196" s="6">
        <f>Tabela1[[#This Row],[Valor total]]-Tabela1[[#This Row],[Valor custo]]</f>
        <v>1202</v>
      </c>
      <c r="J2196" s="7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">
        <v>1747.09</v>
      </c>
      <c r="H2197" s="1">
        <v>2830</v>
      </c>
      <c r="I2197" s="6">
        <f>Tabela1[[#This Row],[Valor total]]-Tabela1[[#This Row],[Valor custo]]</f>
        <v>1082.9100000000001</v>
      </c>
      <c r="J2197" s="7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">
        <v>815.09</v>
      </c>
      <c r="H2198" s="1">
        <v>1070</v>
      </c>
      <c r="I2198" s="6">
        <f>Tabela1[[#This Row],[Valor total]]-Tabela1[[#This Row],[Valor custo]]</f>
        <v>254.90999999999997</v>
      </c>
      <c r="J2198" s="7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">
        <v>4170.34</v>
      </c>
      <c r="H2199" s="1">
        <v>7190</v>
      </c>
      <c r="I2199" s="6">
        <f>Tabela1[[#This Row],[Valor total]]-Tabela1[[#This Row],[Valor custo]]</f>
        <v>3019.66</v>
      </c>
      <c r="J2199" s="7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">
        <v>16119.46</v>
      </c>
      <c r="H2200" s="1">
        <v>22770</v>
      </c>
      <c r="I2200" s="6">
        <f>Tabela1[[#This Row],[Valor total]]-Tabela1[[#This Row],[Valor custo]]</f>
        <v>6650.5400000000009</v>
      </c>
      <c r="J2200" s="7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">
        <v>348.13</v>
      </c>
      <c r="H2201" s="1">
        <v>200</v>
      </c>
      <c r="I2201" s="6">
        <f>Tabela1[[#This Row],[Valor total]]-Tabela1[[#This Row],[Valor custo]]</f>
        <v>-148.13</v>
      </c>
      <c r="J2201" s="7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">
        <v>583.09</v>
      </c>
      <c r="H2202" s="1">
        <v>890</v>
      </c>
      <c r="I2202" s="6">
        <f>Tabela1[[#This Row],[Valor total]]-Tabela1[[#This Row],[Valor custo]]</f>
        <v>306.90999999999997</v>
      </c>
      <c r="J2202" s="7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">
        <v>13555.09</v>
      </c>
      <c r="H2203" s="1">
        <v>18779</v>
      </c>
      <c r="I2203" s="6">
        <f>Tabela1[[#This Row],[Valor total]]-Tabela1[[#This Row],[Valor custo]]</f>
        <v>5223.91</v>
      </c>
      <c r="J2203" s="7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">
        <v>477</v>
      </c>
      <c r="H2204" s="1">
        <v>840</v>
      </c>
      <c r="I2204" s="6">
        <f>Tabela1[[#This Row],[Valor total]]-Tabela1[[#This Row],[Valor custo]]</f>
        <v>363</v>
      </c>
      <c r="J2204" s="7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">
        <v>13.69</v>
      </c>
      <c r="H2205" s="1">
        <v>120</v>
      </c>
      <c r="I2205" s="6">
        <f>Tabela1[[#This Row],[Valor total]]-Tabela1[[#This Row],[Valor custo]]</f>
        <v>106.31</v>
      </c>
      <c r="J2205" s="7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">
        <v>144.4</v>
      </c>
      <c r="H2206" s="1">
        <v>120</v>
      </c>
      <c r="I2206" s="6">
        <f>Tabela1[[#This Row],[Valor total]]-Tabela1[[#This Row],[Valor custo]]</f>
        <v>-24.400000000000006</v>
      </c>
      <c r="J2206" s="7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">
        <v>6602</v>
      </c>
      <c r="H2207" s="1">
        <v>9870</v>
      </c>
      <c r="I2207" s="6">
        <f>Tabela1[[#This Row],[Valor total]]-Tabela1[[#This Row],[Valor custo]]</f>
        <v>3268</v>
      </c>
      <c r="J2207" s="7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">
        <v>382.3</v>
      </c>
      <c r="H2208" s="1">
        <v>650</v>
      </c>
      <c r="I2208" s="6">
        <f>Tabela1[[#This Row],[Valor total]]-Tabela1[[#This Row],[Valor custo]]</f>
        <v>267.7</v>
      </c>
      <c r="J2208" s="7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">
        <v>382.3</v>
      </c>
      <c r="H2209" s="1">
        <v>615</v>
      </c>
      <c r="I2209" s="6">
        <f>Tabela1[[#This Row],[Valor total]]-Tabela1[[#This Row],[Valor custo]]</f>
        <v>232.7</v>
      </c>
      <c r="J2209" s="7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">
        <v>4275</v>
      </c>
      <c r="H2210" s="1">
        <v>5965</v>
      </c>
      <c r="I2210" s="6">
        <f>Tabela1[[#This Row],[Valor total]]-Tabela1[[#This Row],[Valor custo]]</f>
        <v>1690</v>
      </c>
      <c r="J2210" s="7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">
        <v>10716.69</v>
      </c>
      <c r="H2211" s="1">
        <v>18095</v>
      </c>
      <c r="I2211" s="6">
        <f>Tabela1[[#This Row],[Valor total]]-Tabela1[[#This Row],[Valor custo]]</f>
        <v>7378.3099999999995</v>
      </c>
      <c r="J2211" s="7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">
        <v>1085.73</v>
      </c>
      <c r="H2212" s="1">
        <v>1965</v>
      </c>
      <c r="I2212" s="6">
        <f>Tabela1[[#This Row],[Valor total]]-Tabela1[[#This Row],[Valor custo]]</f>
        <v>879.27</v>
      </c>
      <c r="J2212" s="7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">
        <v>2592.7600000000002</v>
      </c>
      <c r="H2213" s="1">
        <v>4080</v>
      </c>
      <c r="I2213" s="6">
        <f>Tabela1[[#This Row],[Valor total]]-Tabela1[[#This Row],[Valor custo]]</f>
        <v>1487.2399999999998</v>
      </c>
      <c r="J2213" s="7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">
        <v>165</v>
      </c>
      <c r="H2214" s="1">
        <v>540</v>
      </c>
      <c r="I2214" s="6">
        <f>Tabela1[[#This Row],[Valor total]]-Tabela1[[#This Row],[Valor custo]]</f>
        <v>375</v>
      </c>
      <c r="J2214" s="7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">
        <v>1947</v>
      </c>
      <c r="H2215" s="1">
        <v>3540</v>
      </c>
      <c r="I2215" s="6">
        <f>Tabela1[[#This Row],[Valor total]]-Tabela1[[#This Row],[Valor custo]]</f>
        <v>1593</v>
      </c>
      <c r="J2215" s="7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">
        <v>21.63</v>
      </c>
      <c r="H2216" s="1">
        <v>100</v>
      </c>
      <c r="I2216" s="6">
        <f>Tabela1[[#This Row],[Valor total]]-Tabela1[[#This Row],[Valor custo]]</f>
        <v>78.37</v>
      </c>
      <c r="J2216" s="7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">
        <v>664</v>
      </c>
      <c r="H2217" s="1">
        <v>1300</v>
      </c>
      <c r="I2217" s="6">
        <f>Tabela1[[#This Row],[Valor total]]-Tabela1[[#This Row],[Valor custo]]</f>
        <v>636</v>
      </c>
      <c r="J2217" s="7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">
        <v>865.58</v>
      </c>
      <c r="H2218" s="1">
        <v>1440</v>
      </c>
      <c r="I2218" s="6">
        <f>Tabela1[[#This Row],[Valor total]]-Tabela1[[#This Row],[Valor custo]]</f>
        <v>574.41999999999996</v>
      </c>
      <c r="J2218" s="7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">
        <v>293.13</v>
      </c>
      <c r="H2219" s="1">
        <v>700</v>
      </c>
      <c r="I2219" s="6">
        <f>Tabela1[[#This Row],[Valor total]]-Tabela1[[#This Row],[Valor custo]]</f>
        <v>406.87</v>
      </c>
      <c r="J2219" s="7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">
        <v>12892.92</v>
      </c>
      <c r="H2220" s="1">
        <v>20486</v>
      </c>
      <c r="I2220" s="6">
        <f>Tabela1[[#This Row],[Valor total]]-Tabela1[[#This Row],[Valor custo]]</f>
        <v>7593.08</v>
      </c>
      <c r="J2220" s="7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">
        <v>289</v>
      </c>
      <c r="H2221" s="1">
        <v>700</v>
      </c>
      <c r="I2221" s="6">
        <f>Tabela1[[#This Row],[Valor total]]-Tabela1[[#This Row],[Valor custo]]</f>
        <v>411</v>
      </c>
      <c r="J2221" s="7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">
        <v>1669.73</v>
      </c>
      <c r="H2222" s="1">
        <v>3600</v>
      </c>
      <c r="I2222" s="6">
        <f>Tabela1[[#This Row],[Valor total]]-Tabela1[[#This Row],[Valor custo]]</f>
        <v>1930.27</v>
      </c>
      <c r="J2222" s="7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">
        <v>1465.65</v>
      </c>
      <c r="H2223" s="1">
        <v>2225</v>
      </c>
      <c r="I2223" s="6">
        <f>Tabela1[[#This Row],[Valor total]]-Tabela1[[#This Row],[Valor custo]]</f>
        <v>759.34999999999991</v>
      </c>
      <c r="J2223" s="7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">
        <v>382.3</v>
      </c>
      <c r="H2224" s="1">
        <v>615</v>
      </c>
      <c r="I2224" s="6">
        <f>Tabela1[[#This Row],[Valor total]]-Tabela1[[#This Row],[Valor custo]]</f>
        <v>232.7</v>
      </c>
      <c r="J2224" s="7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">
        <v>1207.1400000000001</v>
      </c>
      <c r="H2225" s="1">
        <v>2240</v>
      </c>
      <c r="I2225" s="6">
        <f>Tabela1[[#This Row],[Valor total]]-Tabela1[[#This Row],[Valor custo]]</f>
        <v>1032.8599999999999</v>
      </c>
      <c r="J2225" s="7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">
        <v>241.3</v>
      </c>
      <c r="H2226" s="1">
        <v>1350</v>
      </c>
      <c r="I2226" s="6">
        <f>Tabela1[[#This Row],[Valor total]]-Tabela1[[#This Row],[Valor custo]]</f>
        <v>1108.7</v>
      </c>
      <c r="J2226" s="7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">
        <v>114.43</v>
      </c>
      <c r="H2227" s="1">
        <v>258</v>
      </c>
      <c r="I2227" s="6">
        <f>Tabela1[[#This Row],[Valor total]]-Tabela1[[#This Row],[Valor custo]]</f>
        <v>143.57</v>
      </c>
      <c r="J2227" s="7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">
        <v>13.44</v>
      </c>
      <c r="H2228" s="1">
        <v>90</v>
      </c>
      <c r="I2228" s="6">
        <f>Tabela1[[#This Row],[Valor total]]-Tabela1[[#This Row],[Valor custo]]</f>
        <v>76.56</v>
      </c>
      <c r="J2228" s="7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">
        <v>62.75</v>
      </c>
      <c r="H2229" s="1">
        <v>70</v>
      </c>
      <c r="I2229" s="6">
        <f>Tabela1[[#This Row],[Valor total]]-Tabela1[[#This Row],[Valor custo]]</f>
        <v>7.25</v>
      </c>
      <c r="J2229" s="7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">
        <v>697</v>
      </c>
      <c r="H2230" s="1">
        <v>1500</v>
      </c>
      <c r="I2230" s="6">
        <f>Tabela1[[#This Row],[Valor total]]-Tabela1[[#This Row],[Valor custo]]</f>
        <v>803</v>
      </c>
      <c r="J2230" s="7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">
        <v>2461.3000000000002</v>
      </c>
      <c r="H2231" s="1">
        <v>3085</v>
      </c>
      <c r="I2231" s="6">
        <f>Tabela1[[#This Row],[Valor total]]-Tabela1[[#This Row],[Valor custo]]</f>
        <v>623.69999999999982</v>
      </c>
      <c r="J2231" s="7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">
        <v>534</v>
      </c>
      <c r="H2232" s="1">
        <v>900</v>
      </c>
      <c r="I2232" s="6">
        <f>Tabela1[[#This Row],[Valor total]]-Tabela1[[#This Row],[Valor custo]]</f>
        <v>366</v>
      </c>
      <c r="J2232" s="7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">
        <v>7430.14</v>
      </c>
      <c r="H2233" s="1">
        <v>11200</v>
      </c>
      <c r="I2233" s="6">
        <f>Tabela1[[#This Row],[Valor total]]-Tabela1[[#This Row],[Valor custo]]</f>
        <v>3769.8599999999997</v>
      </c>
      <c r="J2233" s="7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">
        <v>125</v>
      </c>
      <c r="H2234" s="1">
        <v>165</v>
      </c>
      <c r="I2234" s="6">
        <f>Tabela1[[#This Row],[Valor total]]-Tabela1[[#This Row],[Valor custo]]</f>
        <v>40</v>
      </c>
      <c r="J2234" s="7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">
        <v>300</v>
      </c>
      <c r="H2235" s="1">
        <v>360</v>
      </c>
      <c r="I2235" s="6">
        <f>Tabela1[[#This Row],[Valor total]]-Tabela1[[#This Row],[Valor custo]]</f>
        <v>60</v>
      </c>
      <c r="J2235" s="7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">
        <v>865.58</v>
      </c>
      <c r="H2236" s="1">
        <v>1440</v>
      </c>
      <c r="I2236" s="6">
        <f>Tabela1[[#This Row],[Valor total]]-Tabela1[[#This Row],[Valor custo]]</f>
        <v>574.41999999999996</v>
      </c>
      <c r="J2236" s="7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">
        <v>168</v>
      </c>
      <c r="H2237" s="1">
        <v>220</v>
      </c>
      <c r="I2237" s="6">
        <f>Tabela1[[#This Row],[Valor total]]-Tabela1[[#This Row],[Valor custo]]</f>
        <v>52</v>
      </c>
      <c r="J2237" s="7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">
        <v>4130.34</v>
      </c>
      <c r="H2238" s="1">
        <v>6530</v>
      </c>
      <c r="I2238" s="6">
        <f>Tabela1[[#This Row],[Valor total]]-Tabela1[[#This Row],[Valor custo]]</f>
        <v>2399.66</v>
      </c>
      <c r="J2238" s="7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">
        <v>30.5</v>
      </c>
      <c r="H2239" s="1">
        <v>50</v>
      </c>
      <c r="I2239" s="6">
        <f>Tabela1[[#This Row],[Valor total]]-Tabela1[[#This Row],[Valor custo]]</f>
        <v>19.5</v>
      </c>
      <c r="J2239" s="7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">
        <v>35</v>
      </c>
      <c r="H2240" s="1">
        <v>30</v>
      </c>
      <c r="I2240" s="6">
        <f>Tabela1[[#This Row],[Valor total]]-Tabela1[[#This Row],[Valor custo]]</f>
        <v>-5</v>
      </c>
      <c r="J2240" s="7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">
        <v>10.44</v>
      </c>
      <c r="H2241" s="1">
        <v>40</v>
      </c>
      <c r="I2241" s="6">
        <f>Tabela1[[#This Row],[Valor total]]-Tabela1[[#This Row],[Valor custo]]</f>
        <v>29.560000000000002</v>
      </c>
      <c r="J2241" s="7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">
        <v>1159.0899999999999</v>
      </c>
      <c r="H2242" s="1">
        <v>1936.5</v>
      </c>
      <c r="I2242" s="6">
        <f>Tabela1[[#This Row],[Valor total]]-Tabela1[[#This Row],[Valor custo]]</f>
        <v>777.41000000000008</v>
      </c>
      <c r="J2242" s="7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">
        <v>110</v>
      </c>
      <c r="H2243" s="1">
        <v>400</v>
      </c>
      <c r="I2243" s="6">
        <f>Tabela1[[#This Row],[Valor total]]-Tabela1[[#This Row],[Valor custo]]</f>
        <v>290</v>
      </c>
      <c r="J2243" s="7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">
        <v>707.94</v>
      </c>
      <c r="H2244" s="1">
        <v>1000</v>
      </c>
      <c r="I2244" s="6">
        <f>Tabela1[[#This Row],[Valor total]]-Tabela1[[#This Row],[Valor custo]]</f>
        <v>292.05999999999995</v>
      </c>
      <c r="J2244" s="7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">
        <v>1053.5999999999999</v>
      </c>
      <c r="H2245" s="1">
        <v>1600</v>
      </c>
      <c r="I2245" s="6">
        <f>Tabela1[[#This Row],[Valor total]]-Tabela1[[#This Row],[Valor custo]]</f>
        <v>546.40000000000009</v>
      </c>
      <c r="J2245" s="7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">
        <v>293.13</v>
      </c>
      <c r="H2246" s="1">
        <v>400</v>
      </c>
      <c r="I2246" s="6">
        <f>Tabela1[[#This Row],[Valor total]]-Tabela1[[#This Row],[Valor custo]]</f>
        <v>106.87</v>
      </c>
      <c r="J2246" s="7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">
        <v>534</v>
      </c>
      <c r="H2247" s="1">
        <v>870</v>
      </c>
      <c r="I2247" s="6">
        <f>Tabela1[[#This Row],[Valor total]]-Tabela1[[#This Row],[Valor custo]]</f>
        <v>336</v>
      </c>
      <c r="J2247" s="7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">
        <v>125</v>
      </c>
      <c r="H2248" s="1">
        <v>150</v>
      </c>
      <c r="I2248" s="6">
        <f>Tabela1[[#This Row],[Valor total]]-Tabela1[[#This Row],[Valor custo]]</f>
        <v>25</v>
      </c>
      <c r="J2248" s="7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">
        <v>360.5</v>
      </c>
      <c r="H2249" s="1">
        <v>1000</v>
      </c>
      <c r="I2249" s="6">
        <f>Tabela1[[#This Row],[Valor total]]-Tabela1[[#This Row],[Valor custo]]</f>
        <v>639.5</v>
      </c>
      <c r="J2249" s="7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">
        <v>36.049999999999997</v>
      </c>
      <c r="H2250" s="1">
        <v>175</v>
      </c>
      <c r="I2250" s="6">
        <f>Tabela1[[#This Row],[Valor total]]-Tabela1[[#This Row],[Valor custo]]</f>
        <v>138.94999999999999</v>
      </c>
      <c r="J2250" s="7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">
        <v>5749.9</v>
      </c>
      <c r="H2251" s="1">
        <v>8730</v>
      </c>
      <c r="I2251" s="6">
        <f>Tabela1[[#This Row],[Valor total]]-Tabela1[[#This Row],[Valor custo]]</f>
        <v>2980.1000000000004</v>
      </c>
      <c r="J2251" s="7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">
        <v>2591.9</v>
      </c>
      <c r="H2252" s="1">
        <v>3445</v>
      </c>
      <c r="I2252" s="6">
        <f>Tabela1[[#This Row],[Valor total]]-Tabela1[[#This Row],[Valor custo]]</f>
        <v>853.09999999999991</v>
      </c>
      <c r="J2252" s="7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">
        <v>764.6</v>
      </c>
      <c r="H2253" s="1">
        <v>1030</v>
      </c>
      <c r="I2253" s="6">
        <f>Tabela1[[#This Row],[Valor total]]-Tabela1[[#This Row],[Valor custo]]</f>
        <v>265.39999999999998</v>
      </c>
      <c r="J2253" s="7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">
        <v>1429</v>
      </c>
      <c r="H2254" s="1">
        <v>2300</v>
      </c>
      <c r="I2254" s="6">
        <f>Tabela1[[#This Row],[Valor total]]-Tabela1[[#This Row],[Valor custo]]</f>
        <v>871</v>
      </c>
      <c r="J2254" s="7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">
        <v>1048</v>
      </c>
      <c r="H2255" s="1">
        <v>2000</v>
      </c>
      <c r="I2255" s="6">
        <f>Tabela1[[#This Row],[Valor total]]-Tabela1[[#This Row],[Valor custo]]</f>
        <v>952</v>
      </c>
      <c r="J2255" s="7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">
        <v>4431.67</v>
      </c>
      <c r="H2256" s="1">
        <v>6900</v>
      </c>
      <c r="I2256" s="6">
        <f>Tabela1[[#This Row],[Valor total]]-Tabela1[[#This Row],[Valor custo]]</f>
        <v>2468.33</v>
      </c>
      <c r="J2256" s="7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">
        <v>6.52</v>
      </c>
      <c r="H2257" s="1">
        <v>10</v>
      </c>
      <c r="I2257" s="6">
        <f>Tabela1[[#This Row],[Valor total]]-Tabela1[[#This Row],[Valor custo]]</f>
        <v>3.4800000000000004</v>
      </c>
      <c r="J2257" s="7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">
        <v>894.48</v>
      </c>
      <c r="H2258" s="1">
        <v>1420</v>
      </c>
      <c r="I2258" s="6">
        <f>Tabela1[[#This Row],[Valor total]]-Tabela1[[#This Row],[Valor custo]]</f>
        <v>525.52</v>
      </c>
      <c r="J2258" s="7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">
        <v>6.1</v>
      </c>
      <c r="H2259" s="1">
        <v>9</v>
      </c>
      <c r="I2259" s="6">
        <f>Tabela1[[#This Row],[Valor total]]-Tabela1[[#This Row],[Valor custo]]</f>
        <v>2.9000000000000004</v>
      </c>
      <c r="J2259" s="7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">
        <v>28.84</v>
      </c>
      <c r="H2260" s="1">
        <v>140</v>
      </c>
      <c r="I2260" s="6">
        <f>Tabela1[[#This Row],[Valor total]]-Tabela1[[#This Row],[Valor custo]]</f>
        <v>111.16</v>
      </c>
      <c r="J2260" s="7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">
        <v>9957.1</v>
      </c>
      <c r="H2261" s="1">
        <v>16150</v>
      </c>
      <c r="I2261" s="6">
        <f>Tabela1[[#This Row],[Valor total]]-Tabela1[[#This Row],[Valor custo]]</f>
        <v>6192.9</v>
      </c>
      <c r="J2261" s="7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">
        <v>649</v>
      </c>
      <c r="H2262" s="1">
        <v>1200</v>
      </c>
      <c r="I2262" s="6">
        <f>Tabela1[[#This Row],[Valor total]]-Tabela1[[#This Row],[Valor custo]]</f>
        <v>551</v>
      </c>
      <c r="J2262" s="7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">
        <v>905.09</v>
      </c>
      <c r="H2263" s="1">
        <v>1510</v>
      </c>
      <c r="I2263" s="6">
        <f>Tabela1[[#This Row],[Valor total]]-Tabela1[[#This Row],[Valor custo]]</f>
        <v>604.91</v>
      </c>
      <c r="J2263" s="7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">
        <v>684.55</v>
      </c>
      <c r="H2264" s="1">
        <v>1100</v>
      </c>
      <c r="I2264" s="6">
        <f>Tabela1[[#This Row],[Valor total]]-Tabela1[[#This Row],[Valor custo]]</f>
        <v>415.45000000000005</v>
      </c>
      <c r="J2264" s="7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">
        <v>865.58</v>
      </c>
      <c r="H2265" s="1">
        <v>1300</v>
      </c>
      <c r="I2265" s="6">
        <f>Tabela1[[#This Row],[Valor total]]-Tabela1[[#This Row],[Valor custo]]</f>
        <v>434.41999999999996</v>
      </c>
      <c r="J2265" s="7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">
        <v>382.3</v>
      </c>
      <c r="H2266" s="1">
        <v>679</v>
      </c>
      <c r="I2266" s="6">
        <f>Tabela1[[#This Row],[Valor total]]-Tabela1[[#This Row],[Valor custo]]</f>
        <v>296.7</v>
      </c>
      <c r="J2266" s="7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">
        <v>4392</v>
      </c>
      <c r="H2267" s="1">
        <v>6100</v>
      </c>
      <c r="I2267" s="6">
        <f>Tabela1[[#This Row],[Valor total]]-Tabela1[[#This Row],[Valor custo]]</f>
        <v>1708</v>
      </c>
      <c r="J2267" s="7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">
        <v>277.5</v>
      </c>
      <c r="H2268" s="1">
        <v>350</v>
      </c>
      <c r="I2268" s="6">
        <f>Tabela1[[#This Row],[Valor total]]-Tabela1[[#This Row],[Valor custo]]</f>
        <v>72.5</v>
      </c>
      <c r="J2268" s="7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">
        <v>1096.94</v>
      </c>
      <c r="H2269" s="1">
        <v>1690</v>
      </c>
      <c r="I2269" s="6">
        <f>Tabela1[[#This Row],[Valor total]]-Tabela1[[#This Row],[Valor custo]]</f>
        <v>593.05999999999995</v>
      </c>
      <c r="J2269" s="7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">
        <v>5914.28</v>
      </c>
      <c r="H2270" s="1">
        <v>9605</v>
      </c>
      <c r="I2270" s="6">
        <f>Tabela1[[#This Row],[Valor total]]-Tabela1[[#This Row],[Valor custo]]</f>
        <v>3690.7200000000003</v>
      </c>
      <c r="J2270" s="7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">
        <v>534</v>
      </c>
      <c r="H2271" s="1">
        <v>770</v>
      </c>
      <c r="I2271" s="6">
        <f>Tabela1[[#This Row],[Valor total]]-Tabela1[[#This Row],[Valor custo]]</f>
        <v>236</v>
      </c>
      <c r="J2271" s="7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">
        <v>447</v>
      </c>
      <c r="H2272" s="1">
        <v>615</v>
      </c>
      <c r="I2272" s="6">
        <f>Tabela1[[#This Row],[Valor total]]-Tabela1[[#This Row],[Valor custo]]</f>
        <v>168</v>
      </c>
      <c r="J2272" s="7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">
        <v>1031</v>
      </c>
      <c r="H2273" s="1">
        <v>1470</v>
      </c>
      <c r="I2273" s="6">
        <f>Tabela1[[#This Row],[Valor total]]-Tabela1[[#This Row],[Valor custo]]</f>
        <v>439</v>
      </c>
      <c r="J2273" s="7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">
        <v>1312.39</v>
      </c>
      <c r="H2274" s="1">
        <v>2065</v>
      </c>
      <c r="I2274" s="6">
        <f>Tabela1[[#This Row],[Valor total]]-Tabela1[[#This Row],[Valor custo]]</f>
        <v>752.6099999999999</v>
      </c>
      <c r="J2274" s="7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">
        <v>196.84</v>
      </c>
      <c r="H2275" s="1">
        <v>320</v>
      </c>
      <c r="I2275" s="6">
        <f>Tabela1[[#This Row],[Valor total]]-Tabela1[[#This Row],[Valor custo]]</f>
        <v>123.16</v>
      </c>
      <c r="J2275" s="7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">
        <v>55</v>
      </c>
      <c r="H2276" s="1">
        <v>200</v>
      </c>
      <c r="I2276" s="6">
        <f>Tabela1[[#This Row],[Valor total]]-Tabela1[[#This Row],[Valor custo]]</f>
        <v>145</v>
      </c>
      <c r="J2276" s="7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">
        <v>878.4</v>
      </c>
      <c r="H2277" s="1">
        <v>1290</v>
      </c>
      <c r="I2277" s="6">
        <f>Tabela1[[#This Row],[Valor total]]-Tabela1[[#This Row],[Valor custo]]</f>
        <v>411.6</v>
      </c>
      <c r="J2277" s="7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">
        <v>1031</v>
      </c>
      <c r="H2278" s="1">
        <v>1484</v>
      </c>
      <c r="I2278" s="6">
        <f>Tabela1[[#This Row],[Valor total]]-Tabela1[[#This Row],[Valor custo]]</f>
        <v>453</v>
      </c>
      <c r="J2278" s="7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">
        <v>502</v>
      </c>
      <c r="H2279" s="1">
        <v>880</v>
      </c>
      <c r="I2279" s="6">
        <f>Tabela1[[#This Row],[Valor total]]-Tabela1[[#This Row],[Valor custo]]</f>
        <v>378</v>
      </c>
      <c r="J2279" s="7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">
        <v>4985.45</v>
      </c>
      <c r="H2280" s="1">
        <v>7850</v>
      </c>
      <c r="I2280" s="6">
        <f>Tabela1[[#This Row],[Valor total]]-Tabela1[[#This Row],[Valor custo]]</f>
        <v>2864.55</v>
      </c>
      <c r="J2280" s="7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">
        <v>382.3</v>
      </c>
      <c r="H2281" s="1">
        <v>515</v>
      </c>
      <c r="I2281" s="6">
        <f>Tabela1[[#This Row],[Valor total]]-Tabela1[[#This Row],[Valor custo]]</f>
        <v>132.69999999999999</v>
      </c>
      <c r="J2281" s="7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">
        <v>584</v>
      </c>
      <c r="H2282" s="1">
        <v>869</v>
      </c>
      <c r="I2282" s="6">
        <f>Tabela1[[#This Row],[Valor total]]-Tabela1[[#This Row],[Valor custo]]</f>
        <v>285</v>
      </c>
      <c r="J2282" s="7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">
        <v>3226.57</v>
      </c>
      <c r="H2283" s="1">
        <v>5150</v>
      </c>
      <c r="I2283" s="6">
        <f>Tabela1[[#This Row],[Valor total]]-Tabela1[[#This Row],[Valor custo]]</f>
        <v>1923.4299999999998</v>
      </c>
      <c r="J2283" s="7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">
        <v>7368.74</v>
      </c>
      <c r="H2284" s="1">
        <v>11200</v>
      </c>
      <c r="I2284" s="6">
        <f>Tabela1[[#This Row],[Valor total]]-Tabela1[[#This Row],[Valor custo]]</f>
        <v>3831.26</v>
      </c>
      <c r="J2284" s="7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">
        <v>3643</v>
      </c>
      <c r="H2285" s="1">
        <v>4530</v>
      </c>
      <c r="I2285" s="6">
        <f>Tabela1[[#This Row],[Valor total]]-Tabela1[[#This Row],[Valor custo]]</f>
        <v>887</v>
      </c>
      <c r="J2285" s="7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">
        <v>938</v>
      </c>
      <c r="H2286" s="1">
        <v>1600</v>
      </c>
      <c r="I2286" s="6">
        <f>Tabela1[[#This Row],[Valor total]]-Tabela1[[#This Row],[Valor custo]]</f>
        <v>662</v>
      </c>
      <c r="J2286" s="7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">
        <v>473</v>
      </c>
      <c r="H2287" s="1">
        <v>655</v>
      </c>
      <c r="I2287" s="6">
        <f>Tabela1[[#This Row],[Valor total]]-Tabela1[[#This Row],[Valor custo]]</f>
        <v>182</v>
      </c>
      <c r="J2287" s="7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">
        <v>1478</v>
      </c>
      <c r="H2288" s="1">
        <v>2099</v>
      </c>
      <c r="I2288" s="6">
        <f>Tabela1[[#This Row],[Valor total]]-Tabela1[[#This Row],[Valor custo]]</f>
        <v>621</v>
      </c>
      <c r="J2288" s="7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">
        <v>716.9</v>
      </c>
      <c r="H2289" s="1">
        <v>1019</v>
      </c>
      <c r="I2289" s="6">
        <f>Tabela1[[#This Row],[Valor total]]-Tabela1[[#This Row],[Valor custo]]</f>
        <v>302.10000000000002</v>
      </c>
      <c r="J2289" s="7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">
        <v>432.79</v>
      </c>
      <c r="H2290" s="1">
        <v>550</v>
      </c>
      <c r="I2290" s="6">
        <f>Tabela1[[#This Row],[Valor total]]-Tabela1[[#This Row],[Valor custo]]</f>
        <v>117.20999999999998</v>
      </c>
      <c r="J2290" s="7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">
        <v>1625</v>
      </c>
      <c r="H2291" s="1">
        <v>2280</v>
      </c>
      <c r="I2291" s="6">
        <f>Tabela1[[#This Row],[Valor total]]-Tabela1[[#This Row],[Valor custo]]</f>
        <v>655</v>
      </c>
      <c r="J2291" s="7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">
        <v>659</v>
      </c>
      <c r="H2292" s="1">
        <v>1019</v>
      </c>
      <c r="I2292" s="6">
        <f>Tabela1[[#This Row],[Valor total]]-Tabela1[[#This Row],[Valor custo]]</f>
        <v>360</v>
      </c>
      <c r="J2292" s="7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">
        <v>534</v>
      </c>
      <c r="H2293" s="1">
        <v>869</v>
      </c>
      <c r="I2293" s="6">
        <f>Tabela1[[#This Row],[Valor total]]-Tabela1[[#This Row],[Valor custo]]</f>
        <v>335</v>
      </c>
      <c r="J2293" s="7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">
        <v>9882.0499999999993</v>
      </c>
      <c r="H2294" s="1">
        <v>13600</v>
      </c>
      <c r="I2294" s="6">
        <f>Tabela1[[#This Row],[Valor total]]-Tabela1[[#This Row],[Valor custo]]</f>
        <v>3717.9500000000007</v>
      </c>
      <c r="J2294" s="7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">
        <v>0</v>
      </c>
      <c r="H2295" s="1">
        <v>30</v>
      </c>
      <c r="I2295" s="6">
        <f>Tabela1[[#This Row],[Valor total]]-Tabela1[[#This Row],[Valor custo]]</f>
        <v>30</v>
      </c>
      <c r="J2295" s="7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">
        <v>5548.9</v>
      </c>
      <c r="H2296" s="1">
        <v>8828</v>
      </c>
      <c r="I2296" s="6">
        <f>Tabela1[[#This Row],[Valor total]]-Tabela1[[#This Row],[Valor custo]]</f>
        <v>3279.1000000000004</v>
      </c>
      <c r="J2296" s="7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">
        <v>555.92999999999995</v>
      </c>
      <c r="H2297" s="1">
        <v>960</v>
      </c>
      <c r="I2297" s="6">
        <f>Tabela1[[#This Row],[Valor total]]-Tabela1[[#This Row],[Valor custo]]</f>
        <v>404.07000000000005</v>
      </c>
      <c r="J2297" s="7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">
        <v>432.79</v>
      </c>
      <c r="H2298" s="1">
        <v>750</v>
      </c>
      <c r="I2298" s="6">
        <f>Tabela1[[#This Row],[Valor total]]-Tabela1[[#This Row],[Valor custo]]</f>
        <v>317.20999999999998</v>
      </c>
      <c r="J2298" s="7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">
        <v>432.79</v>
      </c>
      <c r="H2299" s="1">
        <v>655</v>
      </c>
      <c r="I2299" s="6">
        <f>Tabela1[[#This Row],[Valor total]]-Tabela1[[#This Row],[Valor custo]]</f>
        <v>222.20999999999998</v>
      </c>
      <c r="J2299" s="7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">
        <v>477</v>
      </c>
      <c r="H2300" s="1">
        <v>750</v>
      </c>
      <c r="I2300" s="6">
        <f>Tabela1[[#This Row],[Valor total]]-Tabela1[[#This Row],[Valor custo]]</f>
        <v>273</v>
      </c>
      <c r="J2300" s="7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">
        <v>55</v>
      </c>
      <c r="H2301" s="1">
        <v>200</v>
      </c>
      <c r="I2301" s="6">
        <f>Tabela1[[#This Row],[Valor total]]-Tabela1[[#This Row],[Valor custo]]</f>
        <v>145</v>
      </c>
      <c r="J2301" s="7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">
        <v>764.6</v>
      </c>
      <c r="H2302" s="1">
        <v>1200</v>
      </c>
      <c r="I2302" s="6">
        <f>Tabela1[[#This Row],[Valor total]]-Tabela1[[#This Row],[Valor custo]]</f>
        <v>435.4</v>
      </c>
      <c r="J2302" s="7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">
        <v>491</v>
      </c>
      <c r="H2303" s="1">
        <v>800</v>
      </c>
      <c r="I2303" s="6">
        <f>Tabela1[[#This Row],[Valor total]]-Tabela1[[#This Row],[Valor custo]]</f>
        <v>309</v>
      </c>
      <c r="J2303" s="7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">
        <v>1312.42</v>
      </c>
      <c r="H2304" s="1">
        <v>2150</v>
      </c>
      <c r="I2304" s="6">
        <f>Tabela1[[#This Row],[Valor total]]-Tabela1[[#This Row],[Valor custo]]</f>
        <v>837.57999999999993</v>
      </c>
      <c r="J2304" s="7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">
        <v>462.21</v>
      </c>
      <c r="H2305" s="1">
        <v>750</v>
      </c>
      <c r="I2305" s="6">
        <f>Tabela1[[#This Row],[Valor total]]-Tabela1[[#This Row],[Valor custo]]</f>
        <v>287.79000000000002</v>
      </c>
      <c r="J2305" s="7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">
        <v>4907.72</v>
      </c>
      <c r="H2306" s="1">
        <v>8612</v>
      </c>
      <c r="I2306" s="6">
        <f>Tabela1[[#This Row],[Valor total]]-Tabela1[[#This Row],[Valor custo]]</f>
        <v>3704.2799999999997</v>
      </c>
      <c r="J2306" s="7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">
        <v>1298</v>
      </c>
      <c r="H2307" s="1">
        <v>2200</v>
      </c>
      <c r="I2307" s="6">
        <f>Tabela1[[#This Row],[Valor total]]-Tabela1[[#This Row],[Valor custo]]</f>
        <v>902</v>
      </c>
      <c r="J2307" s="7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">
        <v>887.79</v>
      </c>
      <c r="H2308" s="1">
        <v>1400</v>
      </c>
      <c r="I2308" s="6">
        <f>Tabela1[[#This Row],[Valor total]]-Tabela1[[#This Row],[Valor custo]]</f>
        <v>512.21</v>
      </c>
      <c r="J2308" s="7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">
        <v>3823</v>
      </c>
      <c r="H2309" s="1">
        <v>5500</v>
      </c>
      <c r="I2309" s="6">
        <f>Tabela1[[#This Row],[Valor total]]-Tabela1[[#This Row],[Valor custo]]</f>
        <v>1677</v>
      </c>
      <c r="J2309" s="7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">
        <v>3272.5</v>
      </c>
      <c r="H2310" s="1">
        <v>4839.1000000000004</v>
      </c>
      <c r="I2310" s="6">
        <f>Tabela1[[#This Row],[Valor total]]-Tabela1[[#This Row],[Valor custo]]</f>
        <v>1566.6000000000004</v>
      </c>
      <c r="J2310" s="7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">
        <v>382.3</v>
      </c>
      <c r="H2311" s="1">
        <v>615</v>
      </c>
      <c r="I2311" s="6">
        <f>Tabela1[[#This Row],[Valor total]]-Tabela1[[#This Row],[Valor custo]]</f>
        <v>232.7</v>
      </c>
      <c r="J2311" s="7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">
        <v>1062.9000000000001</v>
      </c>
      <c r="H2312" s="1">
        <v>1570</v>
      </c>
      <c r="I2312" s="6">
        <f>Tabela1[[#This Row],[Valor total]]-Tabela1[[#This Row],[Valor custo]]</f>
        <v>507.09999999999991</v>
      </c>
      <c r="J2312" s="7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">
        <v>1146.9000000000001</v>
      </c>
      <c r="H2313" s="1">
        <v>1695</v>
      </c>
      <c r="I2313" s="6">
        <f>Tabela1[[#This Row],[Valor total]]-Tabela1[[#This Row],[Valor custo]]</f>
        <v>548.09999999999991</v>
      </c>
      <c r="J2313" s="7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">
        <v>3054.8</v>
      </c>
      <c r="H2314" s="1">
        <v>7180</v>
      </c>
      <c r="I2314" s="6">
        <f>Tabela1[[#This Row],[Valor total]]-Tabela1[[#This Row],[Valor custo]]</f>
        <v>4125.2</v>
      </c>
      <c r="J2314" s="7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">
        <v>10713.75</v>
      </c>
      <c r="H2315" s="1">
        <v>13520</v>
      </c>
      <c r="I2315" s="6">
        <f>Tabela1[[#This Row],[Valor total]]-Tabela1[[#This Row],[Valor custo]]</f>
        <v>2806.25</v>
      </c>
      <c r="J2315" s="7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">
        <v>65</v>
      </c>
      <c r="H2316" s="1">
        <v>100</v>
      </c>
      <c r="I2316" s="6">
        <f>Tabela1[[#This Row],[Valor total]]-Tabela1[[#This Row],[Valor custo]]</f>
        <v>35</v>
      </c>
      <c r="J2316" s="7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">
        <v>521</v>
      </c>
      <c r="H2317" s="1">
        <v>840</v>
      </c>
      <c r="I2317" s="6">
        <f>Tabela1[[#This Row],[Valor total]]-Tabela1[[#This Row],[Valor custo]]</f>
        <v>319</v>
      </c>
      <c r="J2317" s="7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">
        <v>477</v>
      </c>
      <c r="H2318" s="1">
        <v>660</v>
      </c>
      <c r="I2318" s="6">
        <f>Tabela1[[#This Row],[Valor total]]-Tabela1[[#This Row],[Valor custo]]</f>
        <v>183</v>
      </c>
      <c r="J2318" s="7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">
        <v>477</v>
      </c>
      <c r="H2319" s="1">
        <v>700</v>
      </c>
      <c r="I2319" s="6">
        <f>Tabela1[[#This Row],[Valor total]]-Tabela1[[#This Row],[Valor custo]]</f>
        <v>223</v>
      </c>
      <c r="J2319" s="7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">
        <v>382.3</v>
      </c>
      <c r="H2320" s="1">
        <v>650</v>
      </c>
      <c r="I2320" s="6">
        <f>Tabela1[[#This Row],[Valor total]]-Tabela1[[#This Row],[Valor custo]]</f>
        <v>267.7</v>
      </c>
      <c r="J2320" s="7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">
        <v>764.6</v>
      </c>
      <c r="H2321" s="1">
        <v>1200</v>
      </c>
      <c r="I2321" s="6">
        <f>Tabela1[[#This Row],[Valor total]]-Tabela1[[#This Row],[Valor custo]]</f>
        <v>435.4</v>
      </c>
      <c r="J2321" s="7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">
        <v>1610.63</v>
      </c>
      <c r="H2322" s="1">
        <v>3100</v>
      </c>
      <c r="I2322" s="6">
        <f>Tabela1[[#This Row],[Valor total]]-Tabela1[[#This Row],[Valor custo]]</f>
        <v>1489.37</v>
      </c>
      <c r="J2322" s="7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">
        <v>3819.3</v>
      </c>
      <c r="H2323" s="1">
        <v>6700</v>
      </c>
      <c r="I2323" s="6">
        <f>Tabela1[[#This Row],[Valor total]]-Tabela1[[#This Row],[Valor custo]]</f>
        <v>2880.7</v>
      </c>
      <c r="J2323" s="7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">
        <v>1731</v>
      </c>
      <c r="H2324" s="1">
        <v>2470</v>
      </c>
      <c r="I2324" s="6">
        <f>Tabela1[[#This Row],[Valor total]]-Tabela1[[#This Row],[Valor custo]]</f>
        <v>739</v>
      </c>
      <c r="J2324" s="7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">
        <v>432.79</v>
      </c>
      <c r="H2325" s="1">
        <v>550</v>
      </c>
      <c r="I2325" s="6">
        <f>Tabela1[[#This Row],[Valor total]]-Tabela1[[#This Row],[Valor custo]]</f>
        <v>117.20999999999998</v>
      </c>
      <c r="J2325" s="7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">
        <v>739</v>
      </c>
      <c r="H2326" s="1">
        <v>1300</v>
      </c>
      <c r="I2326" s="6">
        <f>Tabela1[[#This Row],[Valor total]]-Tabela1[[#This Row],[Valor custo]]</f>
        <v>561</v>
      </c>
      <c r="J2326" s="7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">
        <v>2170.7399999999998</v>
      </c>
      <c r="H2327" s="1">
        <v>3470</v>
      </c>
      <c r="I2327" s="6">
        <f>Tabela1[[#This Row],[Valor total]]-Tabela1[[#This Row],[Valor custo]]</f>
        <v>1299.2600000000002</v>
      </c>
      <c r="J2327" s="7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">
        <v>693</v>
      </c>
      <c r="H2328" s="1">
        <v>1450</v>
      </c>
      <c r="I2328" s="6">
        <f>Tabela1[[#This Row],[Valor total]]-Tabela1[[#This Row],[Valor custo]]</f>
        <v>757</v>
      </c>
      <c r="J2328" s="7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">
        <v>382.3</v>
      </c>
      <c r="H2329" s="1">
        <v>700</v>
      </c>
      <c r="I2329" s="6">
        <f>Tabela1[[#This Row],[Valor total]]-Tabela1[[#This Row],[Valor custo]]</f>
        <v>317.7</v>
      </c>
      <c r="J2329" s="7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">
        <v>13.69</v>
      </c>
      <c r="H2330" s="1">
        <v>100</v>
      </c>
      <c r="I2330" s="6">
        <f>Tabela1[[#This Row],[Valor total]]-Tabela1[[#This Row],[Valor custo]]</f>
        <v>86.31</v>
      </c>
      <c r="J2330" s="7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">
        <v>2497.6999999999998</v>
      </c>
      <c r="H2331" s="1">
        <v>3545</v>
      </c>
      <c r="I2331" s="6">
        <f>Tabela1[[#This Row],[Valor total]]-Tabela1[[#This Row],[Valor custo]]</f>
        <v>1047.3000000000002</v>
      </c>
      <c r="J2331" s="7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">
        <v>382.3</v>
      </c>
      <c r="H2332" s="1">
        <v>650</v>
      </c>
      <c r="I2332" s="6">
        <f>Tabela1[[#This Row],[Valor total]]-Tabela1[[#This Row],[Valor custo]]</f>
        <v>267.7</v>
      </c>
      <c r="J2332" s="7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">
        <v>5337.13</v>
      </c>
      <c r="H2333" s="1">
        <v>7900</v>
      </c>
      <c r="I2333" s="6">
        <f>Tabela1[[#This Row],[Valor total]]-Tabela1[[#This Row],[Valor custo]]</f>
        <v>2562.87</v>
      </c>
      <c r="J2333" s="7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">
        <v>1420</v>
      </c>
      <c r="H2334" s="1">
        <v>2450</v>
      </c>
      <c r="I2334" s="6">
        <f>Tabela1[[#This Row],[Valor total]]-Tabela1[[#This Row],[Valor custo]]</f>
        <v>1030</v>
      </c>
      <c r="J2334" s="7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">
        <v>382.3</v>
      </c>
      <c r="H2335" s="1">
        <v>465</v>
      </c>
      <c r="I2335" s="6">
        <f>Tabela1[[#This Row],[Valor total]]-Tabela1[[#This Row],[Valor custo]]</f>
        <v>82.699999999999989</v>
      </c>
      <c r="J2335" s="7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">
        <v>1692.39</v>
      </c>
      <c r="H2336" s="1">
        <v>2740</v>
      </c>
      <c r="I2336" s="6">
        <f>Tabela1[[#This Row],[Valor total]]-Tabela1[[#This Row],[Valor custo]]</f>
        <v>1047.6099999999999</v>
      </c>
      <c r="J2336" s="7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">
        <v>1020.48</v>
      </c>
      <c r="H2337" s="1">
        <v>1700</v>
      </c>
      <c r="I2337" s="6">
        <f>Tabela1[[#This Row],[Valor total]]-Tabela1[[#This Row],[Valor custo]]</f>
        <v>679.52</v>
      </c>
      <c r="J2337" s="7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">
        <v>3251.02</v>
      </c>
      <c r="H2338" s="1">
        <v>5695</v>
      </c>
      <c r="I2338" s="6">
        <f>Tabela1[[#This Row],[Valor total]]-Tabela1[[#This Row],[Valor custo]]</f>
        <v>2443.98</v>
      </c>
      <c r="J2338" s="7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">
        <v>2425.17</v>
      </c>
      <c r="H2339" s="1">
        <v>3980</v>
      </c>
      <c r="I2339" s="6">
        <f>Tabela1[[#This Row],[Valor total]]-Tabela1[[#This Row],[Valor custo]]</f>
        <v>1554.83</v>
      </c>
      <c r="J2339" s="7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">
        <v>1437.19</v>
      </c>
      <c r="H2340" s="1">
        <v>2800</v>
      </c>
      <c r="I2340" s="6">
        <f>Tabela1[[#This Row],[Valor total]]-Tabela1[[#This Row],[Valor custo]]</f>
        <v>1362.81</v>
      </c>
      <c r="J2340" s="7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">
        <v>30.5</v>
      </c>
      <c r="H2341" s="1">
        <v>40</v>
      </c>
      <c r="I2341" s="6">
        <f>Tabela1[[#This Row],[Valor total]]-Tabela1[[#This Row],[Valor custo]]</f>
        <v>9.5</v>
      </c>
      <c r="J2341" s="7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">
        <v>469</v>
      </c>
      <c r="H2342" s="1">
        <v>811</v>
      </c>
      <c r="I2342" s="6">
        <f>Tabela1[[#This Row],[Valor total]]-Tabela1[[#This Row],[Valor custo]]</f>
        <v>342</v>
      </c>
      <c r="J2342" s="7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">
        <v>3662.69</v>
      </c>
      <c r="H2343" s="1">
        <v>6110</v>
      </c>
      <c r="I2343" s="6">
        <f>Tabela1[[#This Row],[Valor total]]-Tabela1[[#This Row],[Valor custo]]</f>
        <v>2447.31</v>
      </c>
      <c r="J2343" s="7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">
        <v>28.84</v>
      </c>
      <c r="H2344" s="1">
        <v>160</v>
      </c>
      <c r="I2344" s="6">
        <f>Tabela1[[#This Row],[Valor total]]-Tabela1[[#This Row],[Valor custo]]</f>
        <v>131.16</v>
      </c>
      <c r="J2344" s="7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">
        <v>36.049999999999997</v>
      </c>
      <c r="H2345" s="1">
        <v>200</v>
      </c>
      <c r="I2345" s="6">
        <f>Tabela1[[#This Row],[Valor total]]-Tabela1[[#This Row],[Valor custo]]</f>
        <v>163.95</v>
      </c>
      <c r="J2345" s="7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">
        <v>10.44</v>
      </c>
      <c r="H2346" s="1">
        <v>105.61</v>
      </c>
      <c r="I2346" s="6">
        <f>Tabela1[[#This Row],[Valor total]]-Tabela1[[#This Row],[Valor custo]]</f>
        <v>95.17</v>
      </c>
      <c r="J2346" s="7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">
        <v>3429.02</v>
      </c>
      <c r="H2347" s="1">
        <v>4990</v>
      </c>
      <c r="I2347" s="6">
        <f>Tabela1[[#This Row],[Valor total]]-Tabela1[[#This Row],[Valor custo]]</f>
        <v>1560.98</v>
      </c>
      <c r="J2347" s="7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">
        <v>5433.66</v>
      </c>
      <c r="H2348" s="1">
        <v>7610</v>
      </c>
      <c r="I2348" s="6">
        <f>Tabela1[[#This Row],[Valor total]]-Tabela1[[#This Row],[Valor custo]]</f>
        <v>2176.34</v>
      </c>
      <c r="J2348" s="7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">
        <v>718.57</v>
      </c>
      <c r="H2349" s="1">
        <v>1200</v>
      </c>
      <c r="I2349" s="6">
        <f>Tabela1[[#This Row],[Valor total]]-Tabela1[[#This Row],[Valor custo]]</f>
        <v>481.42999999999995</v>
      </c>
      <c r="J2349" s="7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">
        <v>5047.62</v>
      </c>
      <c r="H2350" s="1">
        <v>7030</v>
      </c>
      <c r="I2350" s="6">
        <f>Tabela1[[#This Row],[Valor total]]-Tabela1[[#This Row],[Valor custo]]</f>
        <v>1982.38</v>
      </c>
      <c r="J2350" s="7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">
        <v>6928.09</v>
      </c>
      <c r="H2351" s="1">
        <v>9670</v>
      </c>
      <c r="I2351" s="6">
        <f>Tabela1[[#This Row],[Valor total]]-Tabela1[[#This Row],[Valor custo]]</f>
        <v>2741.91</v>
      </c>
      <c r="J2351" s="7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">
        <v>4846</v>
      </c>
      <c r="H2352" s="1">
        <v>7180</v>
      </c>
      <c r="I2352" s="6">
        <f>Tabela1[[#This Row],[Valor total]]-Tabela1[[#This Row],[Valor custo]]</f>
        <v>2334</v>
      </c>
      <c r="J2352" s="7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">
        <v>946</v>
      </c>
      <c r="H2353" s="1">
        <v>1310</v>
      </c>
      <c r="I2353" s="6">
        <f>Tabela1[[#This Row],[Valor total]]-Tabela1[[#This Row],[Valor custo]]</f>
        <v>364</v>
      </c>
      <c r="J2353" s="7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">
        <v>7113</v>
      </c>
      <c r="H2354" s="1">
        <v>10010</v>
      </c>
      <c r="I2354" s="6">
        <f>Tabela1[[#This Row],[Valor total]]-Tabela1[[#This Row],[Valor custo]]</f>
        <v>2897</v>
      </c>
      <c r="J2354" s="7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">
        <v>100.68</v>
      </c>
      <c r="H2355" s="1">
        <v>250</v>
      </c>
      <c r="I2355" s="6">
        <f>Tabela1[[#This Row],[Valor total]]-Tabela1[[#This Row],[Valor custo]]</f>
        <v>149.32</v>
      </c>
      <c r="J2355" s="7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">
        <v>1719</v>
      </c>
      <c r="H2356" s="1">
        <v>2750</v>
      </c>
      <c r="I2356" s="6">
        <f>Tabela1[[#This Row],[Valor total]]-Tabela1[[#This Row],[Valor custo]]</f>
        <v>1031</v>
      </c>
      <c r="J2356" s="7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">
        <v>764.6</v>
      </c>
      <c r="H2357" s="1">
        <v>1400</v>
      </c>
      <c r="I2357" s="6">
        <f>Tabela1[[#This Row],[Valor total]]-Tabela1[[#This Row],[Valor custo]]</f>
        <v>635.4</v>
      </c>
      <c r="J2357" s="7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">
        <v>5159</v>
      </c>
      <c r="H2358" s="1">
        <v>7382</v>
      </c>
      <c r="I2358" s="6">
        <f>Tabela1[[#This Row],[Valor total]]-Tabela1[[#This Row],[Valor custo]]</f>
        <v>2223</v>
      </c>
      <c r="J2358" s="7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">
        <v>5964</v>
      </c>
      <c r="H2359" s="1">
        <v>8668</v>
      </c>
      <c r="I2359" s="6">
        <f>Tabela1[[#This Row],[Valor total]]-Tabela1[[#This Row],[Valor custo]]</f>
        <v>2704</v>
      </c>
      <c r="J2359" s="7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">
        <v>616</v>
      </c>
      <c r="H2360" s="1">
        <v>900</v>
      </c>
      <c r="I2360" s="6">
        <f>Tabela1[[#This Row],[Valor total]]-Tabela1[[#This Row],[Valor custo]]</f>
        <v>284</v>
      </c>
      <c r="J2360" s="7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">
        <v>2085.79</v>
      </c>
      <c r="H2361" s="1">
        <v>3524</v>
      </c>
      <c r="I2361" s="6">
        <f>Tabela1[[#This Row],[Valor total]]-Tabela1[[#This Row],[Valor custo]]</f>
        <v>1438.21</v>
      </c>
      <c r="J2361" s="7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">
        <v>10820.9</v>
      </c>
      <c r="H2362" s="1">
        <v>15950</v>
      </c>
      <c r="I2362" s="6">
        <f>Tabela1[[#This Row],[Valor total]]-Tabela1[[#This Row],[Valor custo]]</f>
        <v>5129.1000000000004</v>
      </c>
      <c r="J2362" s="7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">
        <v>3709.08</v>
      </c>
      <c r="H2363" s="1">
        <v>5945</v>
      </c>
      <c r="I2363" s="6">
        <f>Tabela1[[#This Row],[Valor total]]-Tabela1[[#This Row],[Valor custo]]</f>
        <v>2235.92</v>
      </c>
      <c r="J2363" s="7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">
        <v>491</v>
      </c>
      <c r="H2364" s="1">
        <v>700</v>
      </c>
      <c r="I2364" s="6">
        <f>Tabela1[[#This Row],[Valor total]]-Tabela1[[#This Row],[Valor custo]]</f>
        <v>209</v>
      </c>
      <c r="J2364" s="7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">
        <v>2715</v>
      </c>
      <c r="H2365" s="1">
        <v>5400</v>
      </c>
      <c r="I2365" s="6">
        <f>Tabela1[[#This Row],[Valor total]]-Tabela1[[#This Row],[Valor custo]]</f>
        <v>2685</v>
      </c>
      <c r="J2365" s="7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">
        <v>5362.6</v>
      </c>
      <c r="H2366" s="1">
        <v>8494</v>
      </c>
      <c r="I2366" s="6">
        <f>Tabela1[[#This Row],[Valor total]]-Tabela1[[#This Row],[Valor custo]]</f>
        <v>3131.3999999999996</v>
      </c>
      <c r="J2366" s="7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">
        <v>4741.32</v>
      </c>
      <c r="H2367" s="1">
        <v>7840</v>
      </c>
      <c r="I2367" s="6">
        <f>Tabela1[[#This Row],[Valor total]]-Tabela1[[#This Row],[Valor custo]]</f>
        <v>3098.6800000000003</v>
      </c>
      <c r="J2367" s="7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">
        <v>15181.5</v>
      </c>
      <c r="H2368" s="1">
        <v>21700</v>
      </c>
      <c r="I2368" s="6">
        <f>Tabela1[[#This Row],[Valor total]]-Tabela1[[#This Row],[Valor custo]]</f>
        <v>6518.5</v>
      </c>
      <c r="J2368" s="7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">
        <v>9000.9599999999991</v>
      </c>
      <c r="H2369" s="1">
        <v>13850</v>
      </c>
      <c r="I2369" s="6">
        <f>Tabela1[[#This Row],[Valor total]]-Tabela1[[#This Row],[Valor custo]]</f>
        <v>4849.0400000000009</v>
      </c>
      <c r="J2369" s="7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">
        <v>1200</v>
      </c>
      <c r="H2370" s="1">
        <v>6400</v>
      </c>
      <c r="I2370" s="6">
        <f>Tabela1[[#This Row],[Valor total]]-Tabela1[[#This Row],[Valor custo]]</f>
        <v>5200</v>
      </c>
      <c r="J2370" s="7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">
        <v>455</v>
      </c>
      <c r="H2371" s="1">
        <v>600</v>
      </c>
      <c r="I2371" s="6">
        <f>Tabela1[[#This Row],[Valor total]]-Tabela1[[#This Row],[Valor custo]]</f>
        <v>145</v>
      </c>
      <c r="J2371" s="7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">
        <v>9383.7000000000007</v>
      </c>
      <c r="H2372" s="1">
        <v>13470</v>
      </c>
      <c r="I2372" s="6">
        <f>Tabela1[[#This Row],[Valor total]]-Tabela1[[#This Row],[Valor custo]]</f>
        <v>4086.2999999999993</v>
      </c>
      <c r="J2372" s="7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">
        <v>17026.099999999999</v>
      </c>
      <c r="H2373" s="1">
        <v>23400</v>
      </c>
      <c r="I2373" s="6">
        <f>Tabela1[[#This Row],[Valor total]]-Tabela1[[#This Row],[Valor custo]]</f>
        <v>6373.9000000000015</v>
      </c>
      <c r="J2373" s="7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">
        <v>14860.76</v>
      </c>
      <c r="H2374" s="1">
        <v>20025</v>
      </c>
      <c r="I2374" s="6">
        <f>Tabela1[[#This Row],[Valor total]]-Tabela1[[#This Row],[Valor custo]]</f>
        <v>5164.24</v>
      </c>
      <c r="J2374" s="7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">
        <v>27372</v>
      </c>
      <c r="H2375" s="1">
        <v>37300</v>
      </c>
      <c r="I2375" s="6">
        <f>Tabela1[[#This Row],[Valor total]]-Tabela1[[#This Row],[Valor custo]]</f>
        <v>9928</v>
      </c>
      <c r="J2375" s="7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">
        <v>13670</v>
      </c>
      <c r="H2376" s="1">
        <v>17750</v>
      </c>
      <c r="I2376" s="6">
        <f>Tabela1[[#This Row],[Valor total]]-Tabela1[[#This Row],[Valor custo]]</f>
        <v>4080</v>
      </c>
      <c r="J2376" s="7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">
        <v>14665.4</v>
      </c>
      <c r="H2377" s="1">
        <v>21700</v>
      </c>
      <c r="I2377" s="6">
        <f>Tabela1[[#This Row],[Valor total]]-Tabela1[[#This Row],[Valor custo]]</f>
        <v>7034.6</v>
      </c>
      <c r="J2377" s="7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">
        <v>12742.97</v>
      </c>
      <c r="H2378" s="1">
        <v>18865</v>
      </c>
      <c r="I2378" s="6">
        <f>Tabela1[[#This Row],[Valor total]]-Tabela1[[#This Row],[Valor custo]]</f>
        <v>6122.0300000000007</v>
      </c>
      <c r="J2378" s="7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">
        <v>14354.95</v>
      </c>
      <c r="H2379" s="1">
        <v>20925</v>
      </c>
      <c r="I2379" s="6">
        <f>Tabela1[[#This Row],[Valor total]]-Tabela1[[#This Row],[Valor custo]]</f>
        <v>6570.0499999999993</v>
      </c>
      <c r="J2379" s="7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">
        <v>19585.599999999999</v>
      </c>
      <c r="H2380" s="1">
        <v>30000</v>
      </c>
      <c r="I2380" s="6">
        <f>Tabela1[[#This Row],[Valor total]]-Tabela1[[#This Row],[Valor custo]]</f>
        <v>10414.400000000001</v>
      </c>
      <c r="J2380" s="7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">
        <v>5303.26</v>
      </c>
      <c r="H2381" s="1">
        <v>7320</v>
      </c>
      <c r="I2381" s="6">
        <f>Tabela1[[#This Row],[Valor total]]-Tabela1[[#This Row],[Valor custo]]</f>
        <v>2016.7399999999998</v>
      </c>
      <c r="J2381" s="7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">
        <v>3086.7</v>
      </c>
      <c r="H2382" s="1">
        <v>4140</v>
      </c>
      <c r="I2382" s="6">
        <f>Tabela1[[#This Row],[Valor total]]-Tabela1[[#This Row],[Valor custo]]</f>
        <v>1053.3000000000002</v>
      </c>
      <c r="J2382" s="7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">
        <v>213.26</v>
      </c>
      <c r="H2383" s="1">
        <v>890</v>
      </c>
      <c r="I2383" s="6">
        <f>Tabela1[[#This Row],[Valor total]]-Tabela1[[#This Row],[Valor custo]]</f>
        <v>676.74</v>
      </c>
      <c r="J2383" s="7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">
        <v>5144.5</v>
      </c>
      <c r="H2384" s="1">
        <v>5670</v>
      </c>
      <c r="I2384" s="6">
        <f>Tabela1[[#This Row],[Valor total]]-Tabela1[[#This Row],[Valor custo]]</f>
        <v>525.5</v>
      </c>
      <c r="J2384" s="7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">
        <v>1187.6600000000001</v>
      </c>
      <c r="H2385" s="1">
        <v>1800</v>
      </c>
      <c r="I2385" s="6">
        <f>Tabela1[[#This Row],[Valor total]]-Tabela1[[#This Row],[Valor custo]]</f>
        <v>612.33999999999992</v>
      </c>
      <c r="J2385" s="7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">
        <v>12353.23</v>
      </c>
      <c r="H2386" s="1">
        <v>16200</v>
      </c>
      <c r="I2386" s="6">
        <f>Tabela1[[#This Row],[Valor total]]-Tabela1[[#This Row],[Valor custo]]</f>
        <v>3846.7700000000004</v>
      </c>
      <c r="J2386" s="7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">
        <v>649</v>
      </c>
      <c r="H2387" s="1">
        <v>1150</v>
      </c>
      <c r="I2387" s="6">
        <f>Tabela1[[#This Row],[Valor total]]-Tabela1[[#This Row],[Valor custo]]</f>
        <v>501</v>
      </c>
      <c r="J2387" s="7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">
        <v>2730</v>
      </c>
      <c r="H2388" s="1">
        <v>5200</v>
      </c>
      <c r="I2388" s="6">
        <f>Tabela1[[#This Row],[Valor total]]-Tabela1[[#This Row],[Valor custo]]</f>
        <v>2470</v>
      </c>
      <c r="J2388" s="7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">
        <v>34.75</v>
      </c>
      <c r="H2389" s="1">
        <v>48</v>
      </c>
      <c r="I2389" s="6">
        <f>Tabela1[[#This Row],[Valor total]]-Tabela1[[#This Row],[Valor custo]]</f>
        <v>13.25</v>
      </c>
      <c r="J2389" s="7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">
        <v>3245</v>
      </c>
      <c r="H2390" s="1">
        <v>5500</v>
      </c>
      <c r="I2390" s="6">
        <f>Tabela1[[#This Row],[Valor total]]-Tabela1[[#This Row],[Valor custo]]</f>
        <v>2255</v>
      </c>
      <c r="J2390" s="7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">
        <v>1328</v>
      </c>
      <c r="H2391" s="1">
        <v>2750</v>
      </c>
      <c r="I2391" s="6">
        <f>Tabela1[[#This Row],[Valor total]]-Tabela1[[#This Row],[Valor custo]]</f>
        <v>1422</v>
      </c>
      <c r="J2391" s="7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">
        <v>664</v>
      </c>
      <c r="H2392" s="1">
        <v>1400</v>
      </c>
      <c r="I2392" s="6">
        <f>Tabela1[[#This Row],[Valor total]]-Tabela1[[#This Row],[Valor custo]]</f>
        <v>736</v>
      </c>
      <c r="J2392" s="7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">
        <v>432.79</v>
      </c>
      <c r="H2393" s="1">
        <v>550</v>
      </c>
      <c r="I2393" s="6">
        <f>Tabela1[[#This Row],[Valor total]]-Tabela1[[#This Row],[Valor custo]]</f>
        <v>117.20999999999998</v>
      </c>
      <c r="J2393" s="7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">
        <v>1146.9000000000001</v>
      </c>
      <c r="H2394" s="1">
        <v>1395</v>
      </c>
      <c r="I2394" s="6">
        <f>Tabela1[[#This Row],[Valor total]]-Tabela1[[#This Row],[Valor custo]]</f>
        <v>248.09999999999991</v>
      </c>
      <c r="J2394" s="7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">
        <v>293.13</v>
      </c>
      <c r="H2395" s="1">
        <v>385</v>
      </c>
      <c r="I2395" s="6">
        <f>Tabela1[[#This Row],[Valor total]]-Tabela1[[#This Row],[Valor custo]]</f>
        <v>91.87</v>
      </c>
      <c r="J2395" s="7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">
        <v>4267.5</v>
      </c>
      <c r="H2396" s="1">
        <v>6300</v>
      </c>
      <c r="I2396" s="6">
        <f>Tabela1[[#This Row],[Valor total]]-Tabela1[[#This Row],[Valor custo]]</f>
        <v>2032.5</v>
      </c>
      <c r="J2396" s="7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">
        <v>16235.76</v>
      </c>
      <c r="H2397" s="1">
        <v>27300</v>
      </c>
      <c r="I2397" s="6">
        <f>Tabela1[[#This Row],[Valor total]]-Tabela1[[#This Row],[Valor custo]]</f>
        <v>11064.24</v>
      </c>
      <c r="J2397" s="7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">
        <v>8197.4</v>
      </c>
      <c r="H2398" s="1">
        <v>10700</v>
      </c>
      <c r="I2398" s="6">
        <f>Tabela1[[#This Row],[Valor total]]-Tabela1[[#This Row],[Valor custo]]</f>
        <v>2502.6000000000004</v>
      </c>
      <c r="J2398" s="7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">
        <v>1704.65</v>
      </c>
      <c r="H2399" s="1">
        <v>3125</v>
      </c>
      <c r="I2399" s="6">
        <f>Tabela1[[#This Row],[Valor total]]-Tabela1[[#This Row],[Valor custo]]</f>
        <v>1420.35</v>
      </c>
      <c r="J2399" s="7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">
        <v>293.13</v>
      </c>
      <c r="H2400" s="1">
        <v>1220</v>
      </c>
      <c r="I2400" s="6">
        <f>Tabela1[[#This Row],[Valor total]]-Tabela1[[#This Row],[Valor custo]]</f>
        <v>926.87</v>
      </c>
      <c r="J2400" s="7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">
        <v>14142.32</v>
      </c>
      <c r="H2401" s="1">
        <v>20400</v>
      </c>
      <c r="I2401" s="6">
        <f>Tabela1[[#This Row],[Valor total]]-Tabela1[[#This Row],[Valor custo]]</f>
        <v>6257.68</v>
      </c>
      <c r="J2401" s="7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">
        <v>47212</v>
      </c>
      <c r="H2402" s="1">
        <v>63500</v>
      </c>
      <c r="I2402" s="6">
        <f>Tabela1[[#This Row],[Valor total]]-Tabela1[[#This Row],[Valor custo]]</f>
        <v>16288</v>
      </c>
      <c r="J2402" s="7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">
        <v>1386.8</v>
      </c>
      <c r="H2403" s="1">
        <v>1710</v>
      </c>
      <c r="I2403" s="6">
        <f>Tabela1[[#This Row],[Valor total]]-Tabela1[[#This Row],[Valor custo]]</f>
        <v>323.20000000000005</v>
      </c>
      <c r="J2403" s="7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">
        <v>2835.21</v>
      </c>
      <c r="H2404" s="1">
        <v>4280</v>
      </c>
      <c r="I2404" s="6">
        <f>Tabela1[[#This Row],[Valor total]]-Tabela1[[#This Row],[Valor custo]]</f>
        <v>1444.79</v>
      </c>
      <c r="J2404" s="7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">
        <v>23638.400000000001</v>
      </c>
      <c r="H2405" s="1">
        <v>34876</v>
      </c>
      <c r="I2405" s="6">
        <f>Tabela1[[#This Row],[Valor total]]-Tabela1[[#This Row],[Valor custo]]</f>
        <v>11237.599999999999</v>
      </c>
      <c r="J2405" s="7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">
        <v>303.13</v>
      </c>
      <c r="H2406" s="1">
        <v>481</v>
      </c>
      <c r="I2406" s="6">
        <f>Tabela1[[#This Row],[Valor total]]-Tabela1[[#This Row],[Valor custo]]</f>
        <v>177.87</v>
      </c>
      <c r="J2406" s="7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">
        <v>1655.6</v>
      </c>
      <c r="H2407" s="1">
        <v>2670</v>
      </c>
      <c r="I2407" s="6">
        <f>Tabela1[[#This Row],[Valor total]]-Tabela1[[#This Row],[Valor custo]]</f>
        <v>1014.4000000000001</v>
      </c>
      <c r="J2407" s="7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">
        <v>25631.09</v>
      </c>
      <c r="H2408" s="1">
        <v>39480</v>
      </c>
      <c r="I2408" s="6">
        <f>Tabela1[[#This Row],[Valor total]]-Tabela1[[#This Row],[Valor custo]]</f>
        <v>13848.91</v>
      </c>
      <c r="J2408" s="7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">
        <v>10428.700000000001</v>
      </c>
      <c r="H2409" s="1">
        <v>14650</v>
      </c>
      <c r="I2409" s="6">
        <f>Tabela1[[#This Row],[Valor total]]-Tabela1[[#This Row],[Valor custo]]</f>
        <v>4221.2999999999993</v>
      </c>
      <c r="J2409" s="7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">
        <v>1602</v>
      </c>
      <c r="H2410" s="1">
        <v>1300</v>
      </c>
      <c r="I2410" s="6">
        <f>Tabela1[[#This Row],[Valor total]]-Tabela1[[#This Row],[Valor custo]]</f>
        <v>-302</v>
      </c>
      <c r="J2410" s="7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">
        <v>21846</v>
      </c>
      <c r="H2411" s="1">
        <v>33000</v>
      </c>
      <c r="I2411" s="6">
        <f>Tabela1[[#This Row],[Valor total]]-Tabela1[[#This Row],[Valor custo]]</f>
        <v>11154</v>
      </c>
      <c r="J2411" s="7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">
        <v>432.79</v>
      </c>
      <c r="H2412" s="1">
        <v>700</v>
      </c>
      <c r="I2412" s="6">
        <f>Tabela1[[#This Row],[Valor total]]-Tabela1[[#This Row],[Valor custo]]</f>
        <v>267.20999999999998</v>
      </c>
      <c r="J2412" s="7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">
        <v>1602</v>
      </c>
      <c r="H2413" s="1">
        <v>3200</v>
      </c>
      <c r="I2413" s="6">
        <f>Tabela1[[#This Row],[Valor total]]-Tabela1[[#This Row],[Valor custo]]</f>
        <v>1598</v>
      </c>
      <c r="J2413" s="7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">
        <v>122.74</v>
      </c>
      <c r="H2414" s="1">
        <v>170</v>
      </c>
      <c r="I2414" s="6">
        <f>Tabela1[[#This Row],[Valor total]]-Tabela1[[#This Row],[Valor custo]]</f>
        <v>47.260000000000005</v>
      </c>
      <c r="J2414" s="7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">
        <v>675</v>
      </c>
      <c r="H2415" s="1">
        <v>840</v>
      </c>
      <c r="I2415" s="6">
        <f>Tabela1[[#This Row],[Valor total]]-Tabela1[[#This Row],[Valor custo]]</f>
        <v>165</v>
      </c>
      <c r="J2415" s="7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">
        <v>73.14</v>
      </c>
      <c r="H2416" s="1">
        <v>90</v>
      </c>
      <c r="I2416" s="6">
        <f>Tabela1[[#This Row],[Valor total]]-Tabela1[[#This Row],[Valor custo]]</f>
        <v>16.86</v>
      </c>
      <c r="J2416" s="7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">
        <v>890.6</v>
      </c>
      <c r="H2417" s="1">
        <v>1308</v>
      </c>
      <c r="I2417" s="6">
        <f>Tabela1[[#This Row],[Valor total]]-Tabela1[[#This Row],[Valor custo]]</f>
        <v>417.4</v>
      </c>
      <c r="J2417" s="7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">
        <v>33.56</v>
      </c>
      <c r="H2418" s="1">
        <v>85</v>
      </c>
      <c r="I2418" s="6">
        <f>Tabela1[[#This Row],[Valor total]]-Tabela1[[#This Row],[Valor custo]]</f>
        <v>51.44</v>
      </c>
      <c r="J2418" s="7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">
        <v>521</v>
      </c>
      <c r="H2419" s="1">
        <v>865.2</v>
      </c>
      <c r="I2419" s="6">
        <f>Tabela1[[#This Row],[Valor total]]-Tabela1[[#This Row],[Valor custo]]</f>
        <v>344.20000000000005</v>
      </c>
      <c r="J2419" s="7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">
        <v>489</v>
      </c>
      <c r="H2420" s="1">
        <v>700</v>
      </c>
      <c r="I2420" s="6">
        <f>Tabela1[[#This Row],[Valor total]]-Tabela1[[#This Row],[Valor custo]]</f>
        <v>211</v>
      </c>
      <c r="J2420" s="7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">
        <v>764.6</v>
      </c>
      <c r="H2421" s="1">
        <v>1340</v>
      </c>
      <c r="I2421" s="6">
        <f>Tabela1[[#This Row],[Valor total]]-Tabela1[[#This Row],[Valor custo]]</f>
        <v>575.4</v>
      </c>
      <c r="J2421" s="7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">
        <v>1031.3</v>
      </c>
      <c r="H2422" s="1">
        <v>1895</v>
      </c>
      <c r="I2422" s="6">
        <f>Tabela1[[#This Row],[Valor total]]-Tabela1[[#This Row],[Valor custo]]</f>
        <v>863.7</v>
      </c>
      <c r="J2422" s="7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">
        <v>1911.5</v>
      </c>
      <c r="H2423" s="1">
        <v>3250</v>
      </c>
      <c r="I2423" s="6">
        <f>Tabela1[[#This Row],[Valor total]]-Tabela1[[#This Row],[Valor custo]]</f>
        <v>1338.5</v>
      </c>
      <c r="J2423" s="7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">
        <v>548.47</v>
      </c>
      <c r="H2424" s="1">
        <v>907.97</v>
      </c>
      <c r="I2424" s="6">
        <f>Tabela1[[#This Row],[Valor total]]-Tabela1[[#This Row],[Valor custo]]</f>
        <v>359.5</v>
      </c>
      <c r="J2424" s="7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">
        <v>1562.95</v>
      </c>
      <c r="H2425" s="1">
        <v>2540</v>
      </c>
      <c r="I2425" s="6">
        <f>Tabela1[[#This Row],[Valor total]]-Tabela1[[#This Row],[Valor custo]]</f>
        <v>977.05</v>
      </c>
      <c r="J2425" s="7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">
        <v>2091.8000000000002</v>
      </c>
      <c r="H2426" s="1">
        <v>2920</v>
      </c>
      <c r="I2426" s="6">
        <f>Tabela1[[#This Row],[Valor total]]-Tabela1[[#This Row],[Valor custo]]</f>
        <v>828.19999999999982</v>
      </c>
      <c r="J2426" s="7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">
        <v>439.2</v>
      </c>
      <c r="H2427" s="1">
        <v>595</v>
      </c>
      <c r="I2427" s="6">
        <f>Tabela1[[#This Row],[Valor total]]-Tabela1[[#This Row],[Valor custo]]</f>
        <v>155.80000000000001</v>
      </c>
      <c r="J2427" s="7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">
        <v>2053.65</v>
      </c>
      <c r="H2428" s="1">
        <v>3750</v>
      </c>
      <c r="I2428" s="6">
        <f>Tabela1[[#This Row],[Valor total]]-Tabela1[[#This Row],[Valor custo]]</f>
        <v>1696.35</v>
      </c>
      <c r="J2428" s="7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">
        <v>789.23</v>
      </c>
      <c r="H2429" s="1">
        <v>1600</v>
      </c>
      <c r="I2429" s="6">
        <f>Tabela1[[#This Row],[Valor total]]-Tabela1[[#This Row],[Valor custo]]</f>
        <v>810.77</v>
      </c>
      <c r="J2429" s="7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">
        <v>432.79</v>
      </c>
      <c r="H2430" s="1">
        <v>505</v>
      </c>
      <c r="I2430" s="6">
        <f>Tabela1[[#This Row],[Valor total]]-Tabela1[[#This Row],[Valor custo]]</f>
        <v>72.20999999999998</v>
      </c>
      <c r="J2430" s="7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">
        <v>268.45999999999998</v>
      </c>
      <c r="H2431" s="1">
        <v>625</v>
      </c>
      <c r="I2431" s="6">
        <f>Tabela1[[#This Row],[Valor total]]-Tabela1[[#This Row],[Valor custo]]</f>
        <v>356.54</v>
      </c>
      <c r="J2431" s="7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">
        <v>250</v>
      </c>
      <c r="H2432" s="1">
        <v>300</v>
      </c>
      <c r="I2432" s="6">
        <f>Tabela1[[#This Row],[Valor total]]-Tabela1[[#This Row],[Valor custo]]</f>
        <v>50</v>
      </c>
      <c r="J2432" s="7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">
        <v>3224.88</v>
      </c>
      <c r="H2433" s="1">
        <v>5885</v>
      </c>
      <c r="I2433" s="6">
        <f>Tabela1[[#This Row],[Valor total]]-Tabela1[[#This Row],[Valor custo]]</f>
        <v>2660.12</v>
      </c>
      <c r="J2433" s="7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">
        <v>935.53</v>
      </c>
      <c r="H2434" s="1">
        <v>1470</v>
      </c>
      <c r="I2434" s="6">
        <f>Tabela1[[#This Row],[Valor total]]-Tabela1[[#This Row],[Valor custo]]</f>
        <v>534.47</v>
      </c>
      <c r="J2434" s="7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">
        <v>1045.9000000000001</v>
      </c>
      <c r="H2435" s="1">
        <v>1545</v>
      </c>
      <c r="I2435" s="6">
        <f>Tabela1[[#This Row],[Valor total]]-Tabela1[[#This Row],[Valor custo]]</f>
        <v>499.09999999999991</v>
      </c>
      <c r="J2435" s="7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">
        <v>707.23</v>
      </c>
      <c r="H2436" s="1">
        <v>160</v>
      </c>
      <c r="I2436" s="6">
        <f>Tabela1[[#This Row],[Valor total]]-Tabela1[[#This Row],[Valor custo]]</f>
        <v>-547.23</v>
      </c>
      <c r="J2436" s="7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">
        <v>70.599999999999994</v>
      </c>
      <c r="H2437" s="1">
        <v>100</v>
      </c>
      <c r="I2437" s="6">
        <f>Tabela1[[#This Row],[Valor total]]-Tabela1[[#This Row],[Valor custo]]</f>
        <v>29.400000000000006</v>
      </c>
      <c r="J2437" s="7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">
        <v>679</v>
      </c>
      <c r="H2438" s="1">
        <v>1300</v>
      </c>
      <c r="I2438" s="6">
        <f>Tabela1[[#This Row],[Valor total]]-Tabela1[[#This Row],[Valor custo]]</f>
        <v>621</v>
      </c>
      <c r="J2438" s="7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">
        <v>3204</v>
      </c>
      <c r="H2439" s="1">
        <v>4980</v>
      </c>
      <c r="I2439" s="6">
        <f>Tabela1[[#This Row],[Valor total]]-Tabela1[[#This Row],[Valor custo]]</f>
        <v>1776</v>
      </c>
      <c r="J2439" s="7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">
        <v>5499.09</v>
      </c>
      <c r="H2440" s="1">
        <v>9079</v>
      </c>
      <c r="I2440" s="6">
        <f>Tabela1[[#This Row],[Valor total]]-Tabela1[[#This Row],[Valor custo]]</f>
        <v>3579.91</v>
      </c>
      <c r="J2440" s="7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">
        <v>57.13</v>
      </c>
      <c r="H2441" s="1">
        <v>200</v>
      </c>
      <c r="I2441" s="6">
        <f>Tabela1[[#This Row],[Valor total]]-Tabela1[[#This Row],[Valor custo]]</f>
        <v>142.87</v>
      </c>
      <c r="J2441" s="7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">
        <v>0</v>
      </c>
      <c r="H2442" s="1">
        <v>450</v>
      </c>
      <c r="I2442" s="6">
        <f>Tabela1[[#This Row],[Valor total]]-Tabela1[[#This Row],[Valor custo]]</f>
        <v>450</v>
      </c>
      <c r="J2442" s="7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">
        <v>14.42</v>
      </c>
      <c r="H2443" s="1">
        <v>80</v>
      </c>
      <c r="I2443" s="6">
        <f>Tabela1[[#This Row],[Valor total]]-Tabela1[[#This Row],[Valor custo]]</f>
        <v>65.58</v>
      </c>
      <c r="J2443" s="7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">
        <v>664</v>
      </c>
      <c r="H2444" s="1">
        <v>1350</v>
      </c>
      <c r="I2444" s="6">
        <f>Tabela1[[#This Row],[Valor total]]-Tabela1[[#This Row],[Valor custo]]</f>
        <v>686</v>
      </c>
      <c r="J2444" s="7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">
        <v>652.29999999999995</v>
      </c>
      <c r="H2445" s="1">
        <v>914</v>
      </c>
      <c r="I2445" s="6">
        <f>Tabela1[[#This Row],[Valor total]]-Tabela1[[#This Row],[Valor custo]]</f>
        <v>261.70000000000005</v>
      </c>
      <c r="J2445" s="7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">
        <v>1820</v>
      </c>
      <c r="H2446" s="1">
        <v>2850</v>
      </c>
      <c r="I2446" s="6">
        <f>Tabela1[[#This Row],[Valor total]]-Tabela1[[#This Row],[Valor custo]]</f>
        <v>1030</v>
      </c>
      <c r="J2446" s="7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">
        <v>707.23</v>
      </c>
      <c r="H2447" s="1">
        <v>1350</v>
      </c>
      <c r="I2447" s="6">
        <f>Tabela1[[#This Row],[Valor total]]-Tabela1[[#This Row],[Valor custo]]</f>
        <v>642.77</v>
      </c>
      <c r="J2447" s="7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">
        <v>90</v>
      </c>
      <c r="H2448" s="1">
        <v>250</v>
      </c>
      <c r="I2448" s="6">
        <f>Tabela1[[#This Row],[Valor total]]-Tabela1[[#This Row],[Valor custo]]</f>
        <v>160</v>
      </c>
      <c r="J2448" s="7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">
        <v>455</v>
      </c>
      <c r="H2449" s="1">
        <v>685</v>
      </c>
      <c r="I2449" s="6">
        <f>Tabela1[[#This Row],[Valor total]]-Tabela1[[#This Row],[Valor custo]]</f>
        <v>230</v>
      </c>
      <c r="J2449" s="7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">
        <v>382.3</v>
      </c>
      <c r="H2450" s="1">
        <v>650</v>
      </c>
      <c r="I2450" s="6">
        <f>Tabela1[[#This Row],[Valor total]]-Tabela1[[#This Row],[Valor custo]]</f>
        <v>267.7</v>
      </c>
      <c r="J2450" s="7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">
        <v>136.19999999999999</v>
      </c>
      <c r="H2451" s="1">
        <v>295</v>
      </c>
      <c r="I2451" s="6">
        <f>Tabela1[[#This Row],[Valor total]]-Tabela1[[#This Row],[Valor custo]]</f>
        <v>158.80000000000001</v>
      </c>
      <c r="J2451" s="7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">
        <v>293.13</v>
      </c>
      <c r="H2452" s="1">
        <v>450</v>
      </c>
      <c r="I2452" s="6">
        <f>Tabela1[[#This Row],[Valor total]]-Tabela1[[#This Row],[Valor custo]]</f>
        <v>156.87</v>
      </c>
      <c r="J2452" s="7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">
        <v>439.2</v>
      </c>
      <c r="H2453" s="1">
        <v>650</v>
      </c>
      <c r="I2453" s="6">
        <f>Tabela1[[#This Row],[Valor total]]-Tabela1[[#This Row],[Valor custo]]</f>
        <v>210.8</v>
      </c>
      <c r="J2453" s="7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">
        <v>1358.67</v>
      </c>
      <c r="H2454" s="1">
        <v>2264.9899999999998</v>
      </c>
      <c r="I2454" s="6">
        <f>Tabela1[[#This Row],[Valor total]]-Tabela1[[#This Row],[Valor custo]]</f>
        <v>906.31999999999971</v>
      </c>
      <c r="J2454" s="7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">
        <v>293.13</v>
      </c>
      <c r="H2455" s="1">
        <v>350</v>
      </c>
      <c r="I2455" s="6">
        <f>Tabela1[[#This Row],[Valor total]]-Tabela1[[#This Row],[Valor custo]]</f>
        <v>56.870000000000005</v>
      </c>
      <c r="J2455" s="7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">
        <v>1630.18</v>
      </c>
      <c r="H2456" s="1">
        <v>2500</v>
      </c>
      <c r="I2456" s="6">
        <f>Tabela1[[#This Row],[Valor total]]-Tabela1[[#This Row],[Valor custo]]</f>
        <v>869.81999999999994</v>
      </c>
      <c r="J2456" s="7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">
        <v>65</v>
      </c>
      <c r="H2457" s="1">
        <v>100</v>
      </c>
      <c r="I2457" s="6">
        <f>Tabela1[[#This Row],[Valor total]]-Tabela1[[#This Row],[Valor custo]]</f>
        <v>35</v>
      </c>
      <c r="J2457" s="7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">
        <v>122.74</v>
      </c>
      <c r="H2458" s="1">
        <v>170</v>
      </c>
      <c r="I2458" s="6">
        <f>Tabela1[[#This Row],[Valor total]]-Tabela1[[#This Row],[Valor custo]]</f>
        <v>47.260000000000005</v>
      </c>
      <c r="J2458" s="7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">
        <v>12482.85</v>
      </c>
      <c r="H2459" s="1">
        <v>20400</v>
      </c>
      <c r="I2459" s="6">
        <f>Tabela1[[#This Row],[Valor total]]-Tabela1[[#This Row],[Valor custo]]</f>
        <v>7917.15</v>
      </c>
      <c r="J2459" s="7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">
        <v>1048</v>
      </c>
      <c r="H2460" s="1">
        <v>1900</v>
      </c>
      <c r="I2460" s="6">
        <f>Tabela1[[#This Row],[Valor total]]-Tabela1[[#This Row],[Valor custo]]</f>
        <v>852</v>
      </c>
      <c r="J2460" s="7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">
        <v>7.21</v>
      </c>
      <c r="H2461" s="1">
        <v>40</v>
      </c>
      <c r="I2461" s="6">
        <f>Tabela1[[#This Row],[Valor total]]-Tabela1[[#This Row],[Valor custo]]</f>
        <v>32.79</v>
      </c>
      <c r="J2461" s="7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">
        <v>295.24</v>
      </c>
      <c r="H2462" s="1">
        <v>570</v>
      </c>
      <c r="I2462" s="6">
        <f>Tabela1[[#This Row],[Valor total]]-Tabela1[[#This Row],[Valor custo]]</f>
        <v>274.76</v>
      </c>
      <c r="J2462" s="7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">
        <v>7.21</v>
      </c>
      <c r="H2463" s="1">
        <v>40</v>
      </c>
      <c r="I2463" s="6">
        <f>Tabela1[[#This Row],[Valor total]]-Tabela1[[#This Row],[Valor custo]]</f>
        <v>32.79</v>
      </c>
      <c r="J2463" s="7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">
        <v>268.45999999999998</v>
      </c>
      <c r="H2464" s="1">
        <v>550</v>
      </c>
      <c r="I2464" s="6">
        <f>Tabela1[[#This Row],[Valor total]]-Tabela1[[#This Row],[Valor custo]]</f>
        <v>281.54000000000002</v>
      </c>
      <c r="J2464" s="7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">
        <v>30.38</v>
      </c>
      <c r="H2465" s="1">
        <v>260</v>
      </c>
      <c r="I2465" s="6">
        <f>Tabela1[[#This Row],[Valor total]]-Tabela1[[#This Row],[Valor custo]]</f>
        <v>229.62</v>
      </c>
      <c r="J2465" s="7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">
        <v>1494.51</v>
      </c>
      <c r="H2466" s="1">
        <v>2332</v>
      </c>
      <c r="I2466" s="6">
        <f>Tabela1[[#This Row],[Valor total]]-Tabela1[[#This Row],[Valor custo]]</f>
        <v>837.49</v>
      </c>
      <c r="J2466" s="7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">
        <v>664</v>
      </c>
      <c r="H2467" s="1">
        <v>1300</v>
      </c>
      <c r="I2467" s="6">
        <f>Tabela1[[#This Row],[Valor total]]-Tabela1[[#This Row],[Valor custo]]</f>
        <v>636</v>
      </c>
      <c r="J2467" s="7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">
        <v>477</v>
      </c>
      <c r="H2468" s="1">
        <v>840</v>
      </c>
      <c r="I2468" s="6">
        <f>Tabela1[[#This Row],[Valor total]]-Tabela1[[#This Row],[Valor custo]]</f>
        <v>363</v>
      </c>
      <c r="J2468" s="7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">
        <v>1601.9</v>
      </c>
      <c r="H2469" s="1">
        <v>2550</v>
      </c>
      <c r="I2469" s="6">
        <f>Tabela1[[#This Row],[Valor total]]-Tabela1[[#This Row],[Valor custo]]</f>
        <v>948.09999999999991</v>
      </c>
      <c r="J2469" s="7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">
        <v>45.6</v>
      </c>
      <c r="H2470" s="1">
        <v>70</v>
      </c>
      <c r="I2470" s="6">
        <f>Tabela1[[#This Row],[Valor total]]-Tabela1[[#This Row],[Valor custo]]</f>
        <v>24.4</v>
      </c>
      <c r="J2470" s="7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">
        <v>4983.57</v>
      </c>
      <c r="H2471" s="1">
        <v>7685</v>
      </c>
      <c r="I2471" s="6">
        <f>Tabela1[[#This Row],[Valor total]]-Tabela1[[#This Row],[Valor custo]]</f>
        <v>2701.4300000000003</v>
      </c>
      <c r="J2471" s="7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">
        <v>946</v>
      </c>
      <c r="H2472" s="1">
        <v>1440</v>
      </c>
      <c r="I2472" s="6">
        <f>Tabela1[[#This Row],[Valor total]]-Tabela1[[#This Row],[Valor custo]]</f>
        <v>494</v>
      </c>
      <c r="J2472" s="7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">
        <v>24</v>
      </c>
      <c r="H2473" s="1">
        <v>40</v>
      </c>
      <c r="I2473" s="6">
        <f>Tabela1[[#This Row],[Valor total]]-Tabela1[[#This Row],[Valor custo]]</f>
        <v>16</v>
      </c>
      <c r="J2473" s="7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">
        <v>122.74</v>
      </c>
      <c r="H2474" s="1">
        <v>170</v>
      </c>
      <c r="I2474" s="6">
        <f>Tabela1[[#This Row],[Valor total]]-Tabela1[[#This Row],[Valor custo]]</f>
        <v>47.260000000000005</v>
      </c>
      <c r="J2474" s="7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">
        <v>2914.57</v>
      </c>
      <c r="H2475" s="1">
        <v>4475</v>
      </c>
      <c r="I2475" s="6">
        <f>Tabela1[[#This Row],[Valor total]]-Tabela1[[#This Row],[Valor custo]]</f>
        <v>1560.4299999999998</v>
      </c>
      <c r="J2475" s="7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">
        <v>993</v>
      </c>
      <c r="H2476" s="1">
        <v>1400</v>
      </c>
      <c r="I2476" s="6">
        <f>Tabela1[[#This Row],[Valor total]]-Tabela1[[#This Row],[Valor custo]]</f>
        <v>407</v>
      </c>
      <c r="J2476" s="7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">
        <v>1342.42</v>
      </c>
      <c r="H2477" s="1">
        <v>2400</v>
      </c>
      <c r="I2477" s="6">
        <f>Tabela1[[#This Row],[Valor total]]-Tabela1[[#This Row],[Valor custo]]</f>
        <v>1057.58</v>
      </c>
      <c r="J2477" s="7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">
        <v>20</v>
      </c>
      <c r="H2478" s="1">
        <v>50</v>
      </c>
      <c r="I2478" s="6">
        <f>Tabela1[[#This Row],[Valor total]]-Tabela1[[#This Row],[Valor custo]]</f>
        <v>30</v>
      </c>
      <c r="J2478" s="7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">
        <v>477</v>
      </c>
      <c r="H2479" s="1">
        <v>195</v>
      </c>
      <c r="I2479" s="6">
        <f>Tabela1[[#This Row],[Valor total]]-Tabela1[[#This Row],[Valor custo]]</f>
        <v>-282</v>
      </c>
      <c r="J2479" s="7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">
        <v>79</v>
      </c>
      <c r="H2480" s="1">
        <v>350</v>
      </c>
      <c r="I2480" s="6">
        <f>Tabela1[[#This Row],[Valor total]]-Tabela1[[#This Row],[Valor custo]]</f>
        <v>271</v>
      </c>
      <c r="J2480" s="7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">
        <v>758.83</v>
      </c>
      <c r="H2481" s="1">
        <v>1340</v>
      </c>
      <c r="I2481" s="6">
        <f>Tabela1[[#This Row],[Valor total]]-Tabela1[[#This Row],[Valor custo]]</f>
        <v>581.16999999999996</v>
      </c>
      <c r="J2481" s="7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">
        <v>0</v>
      </c>
      <c r="H2482" s="1">
        <v>180</v>
      </c>
      <c r="I2482" s="6">
        <f>Tabela1[[#This Row],[Valor total]]-Tabela1[[#This Row],[Valor custo]]</f>
        <v>180</v>
      </c>
      <c r="J2482" s="7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">
        <v>1174.28</v>
      </c>
      <c r="H2483" s="1">
        <v>2130</v>
      </c>
      <c r="I2483" s="6">
        <f>Tabela1[[#This Row],[Valor total]]-Tabela1[[#This Row],[Valor custo]]</f>
        <v>955.72</v>
      </c>
      <c r="J2483" s="7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">
        <v>1747.45</v>
      </c>
      <c r="H2484" s="1">
        <v>2700</v>
      </c>
      <c r="I2484" s="6">
        <f>Tabela1[[#This Row],[Valor total]]-Tabela1[[#This Row],[Valor custo]]</f>
        <v>952.55</v>
      </c>
      <c r="J2484" s="7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">
        <v>491.42</v>
      </c>
      <c r="H2485" s="1">
        <v>850</v>
      </c>
      <c r="I2485" s="6">
        <f>Tabela1[[#This Row],[Valor total]]-Tabela1[[#This Row],[Valor custo]]</f>
        <v>358.58</v>
      </c>
      <c r="J2485" s="7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">
        <v>1123.75</v>
      </c>
      <c r="H2486" s="1">
        <v>1895</v>
      </c>
      <c r="I2486" s="6">
        <f>Tabela1[[#This Row],[Valor total]]-Tabela1[[#This Row],[Valor custo]]</f>
        <v>771.25</v>
      </c>
      <c r="J2486" s="7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">
        <v>916.3</v>
      </c>
      <c r="H2487" s="1">
        <v>826.5</v>
      </c>
      <c r="I2487" s="6">
        <f>Tabela1[[#This Row],[Valor total]]-Tabela1[[#This Row],[Valor custo]]</f>
        <v>-89.799999999999955</v>
      </c>
      <c r="J2487" s="7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">
        <v>498.25</v>
      </c>
      <c r="H2488" s="1">
        <v>920</v>
      </c>
      <c r="I2488" s="6">
        <f>Tabela1[[#This Row],[Valor total]]-Tabela1[[#This Row],[Valor custo]]</f>
        <v>421.75</v>
      </c>
      <c r="J2488" s="7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">
        <v>432.79</v>
      </c>
      <c r="H2489" s="1">
        <v>650</v>
      </c>
      <c r="I2489" s="6">
        <f>Tabela1[[#This Row],[Valor total]]-Tabela1[[#This Row],[Valor custo]]</f>
        <v>217.20999999999998</v>
      </c>
      <c r="J2489" s="7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">
        <v>118.09</v>
      </c>
      <c r="H2490" s="1">
        <v>460</v>
      </c>
      <c r="I2490" s="6">
        <f>Tabela1[[#This Row],[Valor total]]-Tabela1[[#This Row],[Valor custo]]</f>
        <v>341.90999999999997</v>
      </c>
      <c r="J2490" s="7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">
        <v>268.45999999999998</v>
      </c>
      <c r="H2491" s="1">
        <v>550</v>
      </c>
      <c r="I2491" s="6">
        <f>Tabela1[[#This Row],[Valor total]]-Tabela1[[#This Row],[Valor custo]]</f>
        <v>281.54000000000002</v>
      </c>
      <c r="J2491" s="7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">
        <v>42</v>
      </c>
      <c r="H2492" s="1">
        <v>55</v>
      </c>
      <c r="I2492" s="6">
        <f>Tabela1[[#This Row],[Valor total]]-Tabela1[[#This Row],[Valor custo]]</f>
        <v>13</v>
      </c>
      <c r="J2492" s="7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">
        <v>534</v>
      </c>
      <c r="H2493" s="1">
        <v>1045</v>
      </c>
      <c r="I2493" s="6">
        <f>Tabela1[[#This Row],[Valor total]]-Tabela1[[#This Row],[Valor custo]]</f>
        <v>511</v>
      </c>
      <c r="J2493" s="7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">
        <v>420</v>
      </c>
      <c r="H2494" s="1">
        <v>500</v>
      </c>
      <c r="I2494" s="6">
        <f>Tabela1[[#This Row],[Valor total]]-Tabela1[[#This Row],[Valor custo]]</f>
        <v>80</v>
      </c>
      <c r="J2494" s="7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">
        <v>548.47</v>
      </c>
      <c r="H2495" s="1">
        <v>810</v>
      </c>
      <c r="I2495" s="6">
        <f>Tabela1[[#This Row],[Valor total]]-Tabela1[[#This Row],[Valor custo]]</f>
        <v>261.52999999999997</v>
      </c>
      <c r="J2495" s="7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">
        <v>20.88</v>
      </c>
      <c r="H2496" s="1">
        <v>80</v>
      </c>
      <c r="I2496" s="6">
        <f>Tabela1[[#This Row],[Valor total]]-Tabela1[[#This Row],[Valor custo]]</f>
        <v>59.120000000000005</v>
      </c>
      <c r="J2496" s="7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">
        <v>740.2</v>
      </c>
      <c r="H2497" s="1">
        <v>1340</v>
      </c>
      <c r="I2497" s="6">
        <f>Tabela1[[#This Row],[Valor total]]-Tabela1[[#This Row],[Valor custo]]</f>
        <v>599.79999999999995</v>
      </c>
      <c r="J2497" s="7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">
        <v>84</v>
      </c>
      <c r="H2498" s="1">
        <v>110</v>
      </c>
      <c r="I2498" s="6">
        <f>Tabela1[[#This Row],[Valor total]]-Tabela1[[#This Row],[Valor custo]]</f>
        <v>26</v>
      </c>
      <c r="J2498" s="7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">
        <v>1630.18</v>
      </c>
      <c r="H2499" s="1">
        <v>2680</v>
      </c>
      <c r="I2499" s="6">
        <f>Tabela1[[#This Row],[Valor total]]-Tabela1[[#This Row],[Valor custo]]</f>
        <v>1049.82</v>
      </c>
      <c r="J2499" s="7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">
        <v>14.42</v>
      </c>
      <c r="H2500" s="1">
        <v>70</v>
      </c>
      <c r="I2500" s="6">
        <f>Tabela1[[#This Row],[Valor total]]-Tabela1[[#This Row],[Valor custo]]</f>
        <v>55.58</v>
      </c>
      <c r="J2500" s="7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">
        <v>13.69</v>
      </c>
      <c r="H2501" s="1">
        <v>110</v>
      </c>
      <c r="I2501" s="6">
        <f>Tabela1[[#This Row],[Valor total]]-Tabela1[[#This Row],[Valor custo]]</f>
        <v>96.31</v>
      </c>
      <c r="J2501" s="7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">
        <v>3528.88</v>
      </c>
      <c r="H2502" s="1">
        <v>5700</v>
      </c>
      <c r="I2502" s="6">
        <f>Tabela1[[#This Row],[Valor total]]-Tabela1[[#This Row],[Valor custo]]</f>
        <v>2171.12</v>
      </c>
      <c r="J2502" s="7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">
        <v>4882.51</v>
      </c>
      <c r="H2503" s="1">
        <v>6650</v>
      </c>
      <c r="I2503" s="6">
        <f>Tabela1[[#This Row],[Valor total]]-Tabela1[[#This Row],[Valor custo]]</f>
        <v>1767.4899999999998</v>
      </c>
      <c r="J2503" s="7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">
        <v>4542.5</v>
      </c>
      <c r="H2504" s="1">
        <v>6250</v>
      </c>
      <c r="I2504" s="6">
        <f>Tabela1[[#This Row],[Valor total]]-Tabela1[[#This Row],[Valor custo]]</f>
        <v>1707.5</v>
      </c>
      <c r="J2504" s="7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">
        <v>2435.21</v>
      </c>
      <c r="H2505" s="1">
        <v>4190</v>
      </c>
      <c r="I2505" s="6">
        <f>Tabela1[[#This Row],[Valor total]]-Tabela1[[#This Row],[Valor custo]]</f>
        <v>1754.79</v>
      </c>
      <c r="J2505" s="7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">
        <v>20</v>
      </c>
      <c r="H2506" s="1">
        <v>50</v>
      </c>
      <c r="I2506" s="6">
        <f>Tabela1[[#This Row],[Valor total]]-Tabela1[[#This Row],[Valor custo]]</f>
        <v>30</v>
      </c>
      <c r="J2506" s="7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">
        <v>268.45999999999998</v>
      </c>
      <c r="H2507" s="1">
        <v>567.75</v>
      </c>
      <c r="I2507" s="6">
        <f>Tabela1[[#This Row],[Valor total]]-Tabela1[[#This Row],[Valor custo]]</f>
        <v>299.29000000000002</v>
      </c>
      <c r="J2507" s="7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">
        <v>55</v>
      </c>
      <c r="H2508" s="1">
        <v>200</v>
      </c>
      <c r="I2508" s="6">
        <f>Tabela1[[#This Row],[Valor total]]-Tabela1[[#This Row],[Valor custo]]</f>
        <v>145</v>
      </c>
      <c r="J2508" s="7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">
        <v>2385</v>
      </c>
      <c r="H2509" s="1">
        <v>4000</v>
      </c>
      <c r="I2509" s="6">
        <f>Tabela1[[#This Row],[Valor total]]-Tabela1[[#This Row],[Valor custo]]</f>
        <v>1615</v>
      </c>
      <c r="J2509" s="7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">
        <v>661.2</v>
      </c>
      <c r="H2510" s="1">
        <v>1265</v>
      </c>
      <c r="I2510" s="6">
        <f>Tabela1[[#This Row],[Valor total]]-Tabela1[[#This Row],[Valor custo]]</f>
        <v>603.79999999999995</v>
      </c>
      <c r="J2510" s="7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">
        <v>1317.6</v>
      </c>
      <c r="H2511" s="1">
        <v>1935</v>
      </c>
      <c r="I2511" s="6">
        <f>Tabela1[[#This Row],[Valor total]]-Tabela1[[#This Row],[Valor custo]]</f>
        <v>617.40000000000009</v>
      </c>
      <c r="J2511" s="7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">
        <v>7077.09</v>
      </c>
      <c r="H2512" s="1">
        <v>11495</v>
      </c>
      <c r="I2512" s="6">
        <f>Tabela1[[#This Row],[Valor total]]-Tabela1[[#This Row],[Valor custo]]</f>
        <v>4417.91</v>
      </c>
      <c r="J2512" s="7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">
        <v>289</v>
      </c>
      <c r="H2513" s="1">
        <v>669.5</v>
      </c>
      <c r="I2513" s="6">
        <f>Tabela1[[#This Row],[Valor total]]-Tabela1[[#This Row],[Valor custo]]</f>
        <v>380.5</v>
      </c>
      <c r="J2513" s="7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">
        <v>268.45999999999998</v>
      </c>
      <c r="H2514" s="1">
        <v>550</v>
      </c>
      <c r="I2514" s="6">
        <f>Tabela1[[#This Row],[Valor total]]-Tabela1[[#This Row],[Valor custo]]</f>
        <v>281.54000000000002</v>
      </c>
      <c r="J2514" s="7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">
        <v>969.27</v>
      </c>
      <c r="H2515" s="1">
        <v>1540</v>
      </c>
      <c r="I2515" s="6">
        <f>Tabela1[[#This Row],[Valor total]]-Tabela1[[#This Row],[Valor custo]]</f>
        <v>570.73</v>
      </c>
      <c r="J2515" s="7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">
        <v>437.3</v>
      </c>
      <c r="H2516" s="1">
        <v>705</v>
      </c>
      <c r="I2516" s="6">
        <f>Tabela1[[#This Row],[Valor total]]-Tabela1[[#This Row],[Valor custo]]</f>
        <v>267.7</v>
      </c>
      <c r="J2516" s="7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">
        <v>823</v>
      </c>
      <c r="H2517" s="1">
        <v>1075</v>
      </c>
      <c r="I2517" s="6">
        <f>Tabela1[[#This Row],[Valor total]]-Tabela1[[#This Row],[Valor custo]]</f>
        <v>252</v>
      </c>
      <c r="J2517" s="7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">
        <v>1247.8800000000001</v>
      </c>
      <c r="H2518" s="1">
        <v>1900</v>
      </c>
      <c r="I2518" s="6">
        <f>Tabela1[[#This Row],[Valor total]]-Tabela1[[#This Row],[Valor custo]]</f>
        <v>652.11999999999989</v>
      </c>
      <c r="J2518" s="7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">
        <v>108.15</v>
      </c>
      <c r="H2519" s="1">
        <v>420</v>
      </c>
      <c r="I2519" s="6">
        <f>Tabela1[[#This Row],[Valor total]]-Tabela1[[#This Row],[Valor custo]]</f>
        <v>311.85000000000002</v>
      </c>
      <c r="J2519" s="7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">
        <v>4446.57</v>
      </c>
      <c r="H2520" s="1">
        <v>7075</v>
      </c>
      <c r="I2520" s="6">
        <f>Tabela1[[#This Row],[Valor total]]-Tabela1[[#This Row],[Valor custo]]</f>
        <v>2628.4300000000003</v>
      </c>
      <c r="J2520" s="7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">
        <v>521</v>
      </c>
      <c r="H2521" s="1">
        <v>840</v>
      </c>
      <c r="I2521" s="6">
        <f>Tabela1[[#This Row],[Valor total]]-Tabela1[[#This Row],[Valor custo]]</f>
        <v>319</v>
      </c>
      <c r="J2521" s="7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">
        <v>39.5</v>
      </c>
      <c r="H2522" s="1">
        <v>175</v>
      </c>
      <c r="I2522" s="6">
        <f>Tabela1[[#This Row],[Valor total]]-Tabela1[[#This Row],[Valor custo]]</f>
        <v>135.5</v>
      </c>
      <c r="J2522" s="7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">
        <v>1081.79</v>
      </c>
      <c r="H2523" s="1">
        <v>1970</v>
      </c>
      <c r="I2523" s="6">
        <f>Tabela1[[#This Row],[Valor total]]-Tabela1[[#This Row],[Valor custo]]</f>
        <v>888.21</v>
      </c>
      <c r="J2523" s="7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">
        <v>14.42</v>
      </c>
      <c r="H2524" s="1">
        <v>80</v>
      </c>
      <c r="I2524" s="6">
        <f>Tabela1[[#This Row],[Valor total]]-Tabela1[[#This Row],[Valor custo]]</f>
        <v>65.58</v>
      </c>
      <c r="J2524" s="7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">
        <v>740</v>
      </c>
      <c r="H2525" s="1">
        <v>1450</v>
      </c>
      <c r="I2525" s="6">
        <f>Tabela1[[#This Row],[Valor total]]-Tabela1[[#This Row],[Valor custo]]</f>
        <v>710</v>
      </c>
      <c r="J2525" s="7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">
        <v>2358.7199999999998</v>
      </c>
      <c r="H2526" s="1">
        <v>4300</v>
      </c>
      <c r="I2526" s="6">
        <f>Tabela1[[#This Row],[Valor total]]-Tabela1[[#This Row],[Valor custo]]</f>
        <v>1941.2800000000002</v>
      </c>
      <c r="J2526" s="7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">
        <v>432.79</v>
      </c>
      <c r="H2527" s="1">
        <v>650</v>
      </c>
      <c r="I2527" s="6">
        <f>Tabela1[[#This Row],[Valor total]]-Tabela1[[#This Row],[Valor custo]]</f>
        <v>217.20999999999998</v>
      </c>
      <c r="J2527" s="7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">
        <v>1099</v>
      </c>
      <c r="H2528" s="1">
        <v>1505</v>
      </c>
      <c r="I2528" s="6">
        <f>Tabela1[[#This Row],[Valor total]]-Tabela1[[#This Row],[Valor custo]]</f>
        <v>406</v>
      </c>
      <c r="J2528" s="7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">
        <v>148.69999999999999</v>
      </c>
      <c r="H2529" s="1">
        <v>270</v>
      </c>
      <c r="I2529" s="6">
        <f>Tabela1[[#This Row],[Valor total]]-Tabela1[[#This Row],[Valor custo]]</f>
        <v>121.30000000000001</v>
      </c>
      <c r="J2529" s="7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">
        <v>49.21</v>
      </c>
      <c r="H2530" s="1">
        <v>80</v>
      </c>
      <c r="I2530" s="6">
        <f>Tabela1[[#This Row],[Valor total]]-Tabela1[[#This Row],[Valor custo]]</f>
        <v>30.79</v>
      </c>
      <c r="J2530" s="7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">
        <v>1122.21</v>
      </c>
      <c r="H2531" s="1">
        <v>2000</v>
      </c>
      <c r="I2531" s="6">
        <f>Tabela1[[#This Row],[Valor total]]-Tabela1[[#This Row],[Valor custo]]</f>
        <v>877.79</v>
      </c>
      <c r="J2531" s="7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">
        <v>5388.45</v>
      </c>
      <c r="H2532" s="1">
        <v>8850</v>
      </c>
      <c r="I2532" s="6">
        <f>Tabela1[[#This Row],[Valor total]]-Tabela1[[#This Row],[Valor custo]]</f>
        <v>3461.55</v>
      </c>
      <c r="J2532" s="7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">
        <v>2365</v>
      </c>
      <c r="H2533" s="1">
        <v>3275</v>
      </c>
      <c r="I2533" s="6">
        <f>Tabela1[[#This Row],[Valor total]]-Tabela1[[#This Row],[Valor custo]]</f>
        <v>910</v>
      </c>
      <c r="J2533" s="7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">
        <v>661.78</v>
      </c>
      <c r="H2534" s="1">
        <v>1945</v>
      </c>
      <c r="I2534" s="6">
        <f>Tabela1[[#This Row],[Valor total]]-Tabela1[[#This Row],[Valor custo]]</f>
        <v>1283.22</v>
      </c>
      <c r="J2534" s="7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">
        <v>1984</v>
      </c>
      <c r="H2535" s="1">
        <v>3000</v>
      </c>
      <c r="I2535" s="6">
        <f>Tabela1[[#This Row],[Valor total]]-Tabela1[[#This Row],[Valor custo]]</f>
        <v>1016</v>
      </c>
      <c r="J2535" s="7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">
        <v>150</v>
      </c>
      <c r="H2536" s="1">
        <v>180</v>
      </c>
      <c r="I2536" s="6">
        <f>Tabela1[[#This Row],[Valor total]]-Tabela1[[#This Row],[Valor custo]]</f>
        <v>30</v>
      </c>
      <c r="J2536" s="7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">
        <v>432.79</v>
      </c>
      <c r="H2537" s="1">
        <v>620</v>
      </c>
      <c r="I2537" s="6">
        <f>Tabela1[[#This Row],[Valor total]]-Tabela1[[#This Row],[Valor custo]]</f>
        <v>187.20999999999998</v>
      </c>
      <c r="J2537" s="7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">
        <v>18293.8</v>
      </c>
      <c r="H2538" s="1">
        <v>27600</v>
      </c>
      <c r="I2538" s="6">
        <f>Tabela1[[#This Row],[Valor total]]-Tabela1[[#This Row],[Valor custo]]</f>
        <v>9306.2000000000007</v>
      </c>
      <c r="J2538" s="7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">
        <v>2130</v>
      </c>
      <c r="H2539" s="1">
        <v>3750</v>
      </c>
      <c r="I2539" s="6">
        <f>Tabela1[[#This Row],[Valor total]]-Tabela1[[#This Row],[Valor custo]]</f>
        <v>1620</v>
      </c>
      <c r="J2539" s="7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">
        <v>491</v>
      </c>
      <c r="H2540" s="1">
        <v>750</v>
      </c>
      <c r="I2540" s="6">
        <f>Tabela1[[#This Row],[Valor total]]-Tabela1[[#This Row],[Valor custo]]</f>
        <v>259</v>
      </c>
      <c r="J2540" s="7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">
        <v>106.38</v>
      </c>
      <c r="H2541" s="1">
        <v>570</v>
      </c>
      <c r="I2541" s="6">
        <f>Tabela1[[#This Row],[Valor total]]-Tabela1[[#This Row],[Valor custo]]</f>
        <v>463.62</v>
      </c>
      <c r="J2541" s="7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">
        <v>1031.3</v>
      </c>
      <c r="H2542" s="1">
        <v>1815</v>
      </c>
      <c r="I2542" s="6">
        <f>Tabela1[[#This Row],[Valor total]]-Tabela1[[#This Row],[Valor custo]]</f>
        <v>783.7</v>
      </c>
      <c r="J2542" s="7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">
        <v>382.3</v>
      </c>
      <c r="H2543" s="1">
        <v>615</v>
      </c>
      <c r="I2543" s="6">
        <f>Tabela1[[#This Row],[Valor total]]-Tabela1[[#This Row],[Valor custo]]</f>
        <v>232.7</v>
      </c>
      <c r="J2543" s="7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">
        <v>946</v>
      </c>
      <c r="H2544" s="1">
        <v>1400</v>
      </c>
      <c r="I2544" s="6">
        <f>Tabela1[[#This Row],[Valor total]]-Tabela1[[#This Row],[Valor custo]]</f>
        <v>454</v>
      </c>
      <c r="J2544" s="7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">
        <v>473</v>
      </c>
      <c r="H2545" s="1">
        <v>720</v>
      </c>
      <c r="I2545" s="6">
        <f>Tabela1[[#This Row],[Valor total]]-Tabela1[[#This Row],[Valor custo]]</f>
        <v>247</v>
      </c>
      <c r="J2545" s="7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">
        <v>469</v>
      </c>
      <c r="H2546" s="1">
        <v>770</v>
      </c>
      <c r="I2546" s="6">
        <f>Tabela1[[#This Row],[Valor total]]-Tabela1[[#This Row],[Valor custo]]</f>
        <v>301</v>
      </c>
      <c r="J2546" s="7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">
        <v>382.3</v>
      </c>
      <c r="H2547" s="1">
        <v>545</v>
      </c>
      <c r="I2547" s="6">
        <f>Tabela1[[#This Row],[Valor total]]-Tabela1[[#This Row],[Valor custo]]</f>
        <v>162.69999999999999</v>
      </c>
      <c r="J2547" s="7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">
        <v>649</v>
      </c>
      <c r="H2548" s="1">
        <v>1200</v>
      </c>
      <c r="I2548" s="6">
        <f>Tabela1[[#This Row],[Valor total]]-Tabela1[[#This Row],[Valor custo]]</f>
        <v>551</v>
      </c>
      <c r="J2548" s="7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">
        <v>1046.3</v>
      </c>
      <c r="H2549" s="1">
        <v>1915</v>
      </c>
      <c r="I2549" s="6">
        <f>Tabela1[[#This Row],[Valor total]]-Tabela1[[#This Row],[Valor custo]]</f>
        <v>868.7</v>
      </c>
      <c r="J2549" s="7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">
        <v>130</v>
      </c>
      <c r="H2550" s="1">
        <v>200</v>
      </c>
      <c r="I2550" s="6">
        <f>Tabela1[[#This Row],[Valor total]]-Tabela1[[#This Row],[Valor custo]]</f>
        <v>70</v>
      </c>
      <c r="J2550" s="7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">
        <v>1298.3699999999999</v>
      </c>
      <c r="H2551" s="1">
        <v>1965</v>
      </c>
      <c r="I2551" s="6">
        <f>Tabela1[[#This Row],[Valor total]]-Tabela1[[#This Row],[Valor custo]]</f>
        <v>666.63000000000011</v>
      </c>
      <c r="J2551" s="7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">
        <v>865.58</v>
      </c>
      <c r="H2552" s="1">
        <v>1300</v>
      </c>
      <c r="I2552" s="6">
        <f>Tabela1[[#This Row],[Valor total]]-Tabela1[[#This Row],[Valor custo]]</f>
        <v>434.41999999999996</v>
      </c>
      <c r="J2552" s="7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">
        <v>60.98</v>
      </c>
      <c r="H2553" s="1">
        <v>80</v>
      </c>
      <c r="I2553" s="6">
        <f>Tabela1[[#This Row],[Valor total]]-Tabela1[[#This Row],[Valor custo]]</f>
        <v>19.020000000000003</v>
      </c>
      <c r="J2553" s="7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">
        <v>2275</v>
      </c>
      <c r="H2554" s="1">
        <v>3550</v>
      </c>
      <c r="I2554" s="6">
        <f>Tabela1[[#This Row],[Valor total]]-Tabela1[[#This Row],[Valor custo]]</f>
        <v>1275</v>
      </c>
      <c r="J2554" s="7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">
        <v>764.6</v>
      </c>
      <c r="H2555" s="1">
        <v>1230</v>
      </c>
      <c r="I2555" s="6">
        <f>Tabela1[[#This Row],[Valor total]]-Tabela1[[#This Row],[Valor custo]]</f>
        <v>465.4</v>
      </c>
      <c r="J2555" s="7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">
        <v>305</v>
      </c>
      <c r="H2556" s="1">
        <v>400</v>
      </c>
      <c r="I2556" s="6">
        <f>Tabela1[[#This Row],[Valor total]]-Tabela1[[#This Row],[Valor custo]]</f>
        <v>95</v>
      </c>
      <c r="J2556" s="7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">
        <v>764.6</v>
      </c>
      <c r="H2557" s="1">
        <v>1236</v>
      </c>
      <c r="I2557" s="6">
        <f>Tabela1[[#This Row],[Valor total]]-Tabela1[[#This Row],[Valor custo]]</f>
        <v>471.4</v>
      </c>
      <c r="J2557" s="7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">
        <v>382.3</v>
      </c>
      <c r="H2558" s="1">
        <v>515</v>
      </c>
      <c r="I2558" s="6">
        <f>Tabela1[[#This Row],[Valor total]]-Tabela1[[#This Row],[Valor custo]]</f>
        <v>132.69999999999999</v>
      </c>
      <c r="J2558" s="7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">
        <v>2609.48</v>
      </c>
      <c r="H2559" s="1">
        <v>3845</v>
      </c>
      <c r="I2559" s="6">
        <f>Tabela1[[#This Row],[Valor total]]-Tabela1[[#This Row],[Valor custo]]</f>
        <v>1235.52</v>
      </c>
      <c r="J2559" s="7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">
        <v>0</v>
      </c>
      <c r="H2560" s="1">
        <v>250</v>
      </c>
      <c r="I2560" s="6">
        <f>Tabela1[[#This Row],[Valor total]]-Tabela1[[#This Row],[Valor custo]]</f>
        <v>250</v>
      </c>
      <c r="J2560" s="7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">
        <v>432.79</v>
      </c>
      <c r="H2561" s="1">
        <v>720</v>
      </c>
      <c r="I2561" s="6">
        <f>Tabela1[[#This Row],[Valor total]]-Tabela1[[#This Row],[Valor custo]]</f>
        <v>287.20999999999998</v>
      </c>
      <c r="J2561" s="7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">
        <v>1798</v>
      </c>
      <c r="H2562" s="1">
        <v>3318</v>
      </c>
      <c r="I2562" s="6">
        <f>Tabela1[[#This Row],[Valor total]]-Tabela1[[#This Row],[Valor custo]]</f>
        <v>1520</v>
      </c>
      <c r="J2562" s="7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">
        <v>920</v>
      </c>
      <c r="H2563" s="1">
        <v>1305</v>
      </c>
      <c r="I2563" s="6">
        <f>Tabela1[[#This Row],[Valor total]]-Tabela1[[#This Row],[Valor custo]]</f>
        <v>385</v>
      </c>
      <c r="J2563" s="7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">
        <v>521</v>
      </c>
      <c r="H2564" s="1">
        <v>877</v>
      </c>
      <c r="I2564" s="6">
        <f>Tabela1[[#This Row],[Valor total]]-Tabela1[[#This Row],[Valor custo]]</f>
        <v>356</v>
      </c>
      <c r="J2564" s="7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">
        <v>664</v>
      </c>
      <c r="H2565" s="1">
        <v>1250</v>
      </c>
      <c r="I2565" s="6">
        <f>Tabela1[[#This Row],[Valor total]]-Tabela1[[#This Row],[Valor custo]]</f>
        <v>586</v>
      </c>
      <c r="J2565" s="7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">
        <v>5890</v>
      </c>
      <c r="H2566" s="1">
        <v>8550</v>
      </c>
      <c r="I2566" s="6">
        <f>Tabela1[[#This Row],[Valor total]]-Tabela1[[#This Row],[Valor custo]]</f>
        <v>2660</v>
      </c>
      <c r="J2566" s="7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">
        <v>250</v>
      </c>
      <c r="H2567" s="1">
        <v>300</v>
      </c>
      <c r="I2567" s="6">
        <f>Tabela1[[#This Row],[Valor total]]-Tabela1[[#This Row],[Valor custo]]</f>
        <v>50</v>
      </c>
      <c r="J2567" s="7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">
        <v>382.3</v>
      </c>
      <c r="H2568" s="1">
        <v>615</v>
      </c>
      <c r="I2568" s="6">
        <f>Tabela1[[#This Row],[Valor total]]-Tabela1[[#This Row],[Valor custo]]</f>
        <v>232.7</v>
      </c>
      <c r="J2568" s="7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">
        <v>1326.84</v>
      </c>
      <c r="H2569" s="1">
        <v>2150</v>
      </c>
      <c r="I2569" s="6">
        <f>Tabela1[[#This Row],[Valor total]]-Tabela1[[#This Row],[Valor custo]]</f>
        <v>823.16000000000008</v>
      </c>
      <c r="J2569" s="7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">
        <v>382.3</v>
      </c>
      <c r="H2570" s="1">
        <v>615</v>
      </c>
      <c r="I2570" s="6">
        <f>Tabela1[[#This Row],[Valor total]]-Tabela1[[#This Row],[Valor custo]]</f>
        <v>232.7</v>
      </c>
      <c r="J2570" s="7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">
        <v>1450</v>
      </c>
      <c r="H2571" s="1">
        <v>2500</v>
      </c>
      <c r="I2571" s="6">
        <f>Tabela1[[#This Row],[Valor total]]-Tabela1[[#This Row],[Valor custo]]</f>
        <v>1050</v>
      </c>
      <c r="J2571" s="7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">
        <v>484.21</v>
      </c>
      <c r="H2572" s="1">
        <v>740</v>
      </c>
      <c r="I2572" s="6">
        <f>Tabela1[[#This Row],[Valor total]]-Tabela1[[#This Row],[Valor custo]]</f>
        <v>255.79000000000002</v>
      </c>
      <c r="J2572" s="7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">
        <v>2307.19</v>
      </c>
      <c r="H2573" s="1">
        <v>3560</v>
      </c>
      <c r="I2573" s="6">
        <f>Tabela1[[#This Row],[Valor total]]-Tabela1[[#This Row],[Valor custo]]</f>
        <v>1252.81</v>
      </c>
      <c r="J2573" s="7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">
        <v>3928</v>
      </c>
      <c r="H2574" s="1">
        <v>5565</v>
      </c>
      <c r="I2574" s="6">
        <f>Tabela1[[#This Row],[Valor total]]-Tabela1[[#This Row],[Valor custo]]</f>
        <v>1637</v>
      </c>
      <c r="J2574" s="7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">
        <v>220</v>
      </c>
      <c r="H2575" s="1">
        <v>296</v>
      </c>
      <c r="I2575" s="6">
        <f>Tabela1[[#This Row],[Valor total]]-Tabela1[[#This Row],[Valor custo]]</f>
        <v>76</v>
      </c>
      <c r="J2575" s="7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">
        <v>41.07</v>
      </c>
      <c r="H2576" s="1">
        <v>330</v>
      </c>
      <c r="I2576" s="6">
        <f>Tabela1[[#This Row],[Valor total]]-Tabela1[[#This Row],[Valor custo]]</f>
        <v>288.93</v>
      </c>
      <c r="J2576" s="7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">
        <v>1413.6</v>
      </c>
      <c r="H2577" s="1">
        <v>2600</v>
      </c>
      <c r="I2577" s="6">
        <f>Tabela1[[#This Row],[Valor total]]-Tabela1[[#This Row],[Valor custo]]</f>
        <v>1186.4000000000001</v>
      </c>
      <c r="J2577" s="7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">
        <v>4097.8900000000003</v>
      </c>
      <c r="H2578" s="1">
        <v>6690</v>
      </c>
      <c r="I2578" s="6">
        <f>Tabela1[[#This Row],[Valor total]]-Tabela1[[#This Row],[Valor custo]]</f>
        <v>2592.1099999999997</v>
      </c>
      <c r="J2578" s="7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">
        <v>150</v>
      </c>
      <c r="H2579" s="1">
        <v>180</v>
      </c>
      <c r="I2579" s="6">
        <f>Tabela1[[#This Row],[Valor total]]-Tabela1[[#This Row],[Valor custo]]</f>
        <v>30</v>
      </c>
      <c r="J2579" s="7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">
        <v>1615</v>
      </c>
      <c r="H2580" s="1">
        <v>2270</v>
      </c>
      <c r="I2580" s="6">
        <f>Tabela1[[#This Row],[Valor total]]-Tabela1[[#This Row],[Valor custo]]</f>
        <v>655</v>
      </c>
      <c r="J2580" s="7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">
        <v>2172.09</v>
      </c>
      <c r="H2581" s="1">
        <v>3060</v>
      </c>
      <c r="I2581" s="6">
        <f>Tabela1[[#This Row],[Valor total]]-Tabela1[[#This Row],[Valor custo]]</f>
        <v>887.90999999999985</v>
      </c>
      <c r="J2581" s="7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">
        <v>826.8</v>
      </c>
      <c r="H2582" s="1">
        <v>1306</v>
      </c>
      <c r="I2582" s="6">
        <f>Tabela1[[#This Row],[Valor total]]-Tabela1[[#This Row],[Valor custo]]</f>
        <v>479.20000000000005</v>
      </c>
      <c r="J2582" s="7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">
        <v>437.3</v>
      </c>
      <c r="H2583" s="1">
        <v>845</v>
      </c>
      <c r="I2583" s="6">
        <f>Tabela1[[#This Row],[Valor total]]-Tabela1[[#This Row],[Valor custo]]</f>
        <v>407.7</v>
      </c>
      <c r="J2583" s="7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">
        <v>1046.3</v>
      </c>
      <c r="H2584" s="1">
        <v>1995</v>
      </c>
      <c r="I2584" s="6">
        <f>Tabela1[[#This Row],[Valor total]]-Tabela1[[#This Row],[Valor custo]]</f>
        <v>948.7</v>
      </c>
      <c r="J2584" s="7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">
        <v>679</v>
      </c>
      <c r="H2585" s="1">
        <v>1400</v>
      </c>
      <c r="I2585" s="6">
        <f>Tabela1[[#This Row],[Valor total]]-Tabela1[[#This Row],[Valor custo]]</f>
        <v>721</v>
      </c>
      <c r="J2585" s="7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">
        <v>1844.74</v>
      </c>
      <c r="H2586" s="1">
        <v>2910</v>
      </c>
      <c r="I2586" s="6">
        <f>Tabela1[[#This Row],[Valor total]]-Tabela1[[#This Row],[Valor custo]]</f>
        <v>1065.26</v>
      </c>
      <c r="J2586" s="7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">
        <v>1200.0899999999999</v>
      </c>
      <c r="H2587" s="1">
        <v>2520</v>
      </c>
      <c r="I2587" s="6">
        <f>Tabela1[[#This Row],[Valor total]]-Tabela1[[#This Row],[Valor custo]]</f>
        <v>1319.91</v>
      </c>
      <c r="J2587" s="7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">
        <v>3654.05</v>
      </c>
      <c r="H2588" s="1">
        <v>6910</v>
      </c>
      <c r="I2588" s="6">
        <f>Tabela1[[#This Row],[Valor total]]-Tabela1[[#This Row],[Valor custo]]</f>
        <v>3255.95</v>
      </c>
      <c r="J2588" s="7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">
        <v>664</v>
      </c>
      <c r="H2589" s="1">
        <v>1300</v>
      </c>
      <c r="I2589" s="6">
        <f>Tabela1[[#This Row],[Valor total]]-Tabela1[[#This Row],[Valor custo]]</f>
        <v>636</v>
      </c>
      <c r="J2589" s="7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">
        <v>382.3</v>
      </c>
      <c r="H2590" s="1">
        <v>645</v>
      </c>
      <c r="I2590" s="6">
        <f>Tabela1[[#This Row],[Valor total]]-Tabela1[[#This Row],[Valor custo]]</f>
        <v>262.7</v>
      </c>
      <c r="J2590" s="7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">
        <v>2750</v>
      </c>
      <c r="H2591" s="1">
        <v>3080</v>
      </c>
      <c r="I2591" s="6">
        <f>Tabela1[[#This Row],[Valor total]]-Tabela1[[#This Row],[Valor custo]]</f>
        <v>330</v>
      </c>
      <c r="J2591" s="7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">
        <v>432.79</v>
      </c>
      <c r="H2592" s="1">
        <v>655</v>
      </c>
      <c r="I2592" s="6">
        <f>Tabela1[[#This Row],[Valor total]]-Tabela1[[#This Row],[Valor custo]]</f>
        <v>222.20999999999998</v>
      </c>
      <c r="J2592" s="7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">
        <v>55</v>
      </c>
      <c r="H2593" s="1">
        <v>200</v>
      </c>
      <c r="I2593" s="6">
        <f>Tabela1[[#This Row],[Valor total]]-Tabela1[[#This Row],[Valor custo]]</f>
        <v>145</v>
      </c>
      <c r="J2593" s="7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">
        <v>382.3</v>
      </c>
      <c r="H2594" s="1">
        <v>650</v>
      </c>
      <c r="I2594" s="6">
        <f>Tabela1[[#This Row],[Valor total]]-Tabela1[[#This Row],[Valor custo]]</f>
        <v>267.7</v>
      </c>
      <c r="J2594" s="7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">
        <v>1529.2</v>
      </c>
      <c r="H2595" s="1">
        <v>2460</v>
      </c>
      <c r="I2595" s="6">
        <f>Tabela1[[#This Row],[Valor total]]-Tabela1[[#This Row],[Valor custo]]</f>
        <v>930.8</v>
      </c>
      <c r="J2595" s="7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">
        <v>382.3</v>
      </c>
      <c r="H2596" s="1">
        <v>645</v>
      </c>
      <c r="I2596" s="6">
        <f>Tabela1[[#This Row],[Valor total]]-Tabela1[[#This Row],[Valor custo]]</f>
        <v>262.7</v>
      </c>
      <c r="J2596" s="7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">
        <v>824.26</v>
      </c>
      <c r="H2597" s="1">
        <v>1615</v>
      </c>
      <c r="I2597" s="6">
        <f>Tabela1[[#This Row],[Valor total]]-Tabela1[[#This Row],[Valor custo]]</f>
        <v>790.74</v>
      </c>
      <c r="J2597" s="7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">
        <v>764.6</v>
      </c>
      <c r="H2598" s="1">
        <v>1300</v>
      </c>
      <c r="I2598" s="6">
        <f>Tabela1[[#This Row],[Valor total]]-Tabela1[[#This Row],[Valor custo]]</f>
        <v>535.4</v>
      </c>
      <c r="J2598" s="7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">
        <v>6491.85</v>
      </c>
      <c r="H2599" s="1">
        <v>9825</v>
      </c>
      <c r="I2599" s="6">
        <f>Tabela1[[#This Row],[Valor total]]-Tabela1[[#This Row],[Valor custo]]</f>
        <v>3333.1499999999996</v>
      </c>
      <c r="J2599" s="7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">
        <v>497</v>
      </c>
      <c r="H2600" s="1">
        <v>785</v>
      </c>
      <c r="I2600" s="6">
        <f>Tabela1[[#This Row],[Valor total]]-Tabela1[[#This Row],[Valor custo]]</f>
        <v>288</v>
      </c>
      <c r="J2600" s="7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">
        <v>9993</v>
      </c>
      <c r="H2601" s="1">
        <v>15250</v>
      </c>
      <c r="I2601" s="6">
        <f>Tabela1[[#This Row],[Valor total]]-Tabela1[[#This Row],[Valor custo]]</f>
        <v>5257</v>
      </c>
      <c r="J2601" s="7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">
        <v>55</v>
      </c>
      <c r="H2602" s="1">
        <v>200</v>
      </c>
      <c r="I2602" s="6">
        <f>Tabela1[[#This Row],[Valor total]]-Tabela1[[#This Row],[Valor custo]]</f>
        <v>145</v>
      </c>
      <c r="J2602" s="7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">
        <v>382.3</v>
      </c>
      <c r="H2603" s="1">
        <v>645</v>
      </c>
      <c r="I2603" s="6">
        <f>Tabela1[[#This Row],[Valor total]]-Tabela1[[#This Row],[Valor custo]]</f>
        <v>262.7</v>
      </c>
      <c r="J2603" s="7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">
        <v>865.58</v>
      </c>
      <c r="H2604" s="1">
        <v>1300</v>
      </c>
      <c r="I2604" s="6">
        <f>Tabela1[[#This Row],[Valor total]]-Tabela1[[#This Row],[Valor custo]]</f>
        <v>434.41999999999996</v>
      </c>
      <c r="J2604" s="7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">
        <v>124.25</v>
      </c>
      <c r="H2605" s="1">
        <v>310</v>
      </c>
      <c r="I2605" s="6">
        <f>Tabela1[[#This Row],[Valor total]]-Tabela1[[#This Row],[Valor custo]]</f>
        <v>185.75</v>
      </c>
      <c r="J2605" s="7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">
        <v>497</v>
      </c>
      <c r="H2606" s="1">
        <v>785</v>
      </c>
      <c r="I2606" s="6">
        <f>Tabela1[[#This Row],[Valor total]]-Tabela1[[#This Row],[Valor custo]]</f>
        <v>288</v>
      </c>
      <c r="J2606" s="7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">
        <v>664</v>
      </c>
      <c r="H2607" s="1">
        <v>1200</v>
      </c>
      <c r="I2607" s="6">
        <f>Tabela1[[#This Row],[Valor total]]-Tabela1[[#This Row],[Valor custo]]</f>
        <v>536</v>
      </c>
      <c r="J2607" s="7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">
        <v>993</v>
      </c>
      <c r="H2608" s="1">
        <v>1400</v>
      </c>
      <c r="I2608" s="6">
        <f>Tabela1[[#This Row],[Valor total]]-Tabela1[[#This Row],[Valor custo]]</f>
        <v>407</v>
      </c>
      <c r="J2608" s="7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">
        <v>3155</v>
      </c>
      <c r="H2609" s="1">
        <v>5280</v>
      </c>
      <c r="I2609" s="6">
        <f>Tabela1[[#This Row],[Valor total]]-Tabela1[[#This Row],[Valor custo]]</f>
        <v>2125</v>
      </c>
      <c r="J2609" s="7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">
        <v>982</v>
      </c>
      <c r="H2610" s="1">
        <v>1400</v>
      </c>
      <c r="I2610" s="6">
        <f>Tabela1[[#This Row],[Valor total]]-Tabela1[[#This Row],[Valor custo]]</f>
        <v>418</v>
      </c>
      <c r="J2610" s="7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">
        <v>2596</v>
      </c>
      <c r="H2611" s="1">
        <v>4640</v>
      </c>
      <c r="I2611" s="6">
        <f>Tabela1[[#This Row],[Valor total]]-Tabela1[[#This Row],[Valor custo]]</f>
        <v>2044</v>
      </c>
      <c r="J2611" s="7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">
        <v>455</v>
      </c>
      <c r="H2612" s="1">
        <v>790</v>
      </c>
      <c r="I2612" s="6">
        <f>Tabela1[[#This Row],[Valor total]]-Tabela1[[#This Row],[Valor custo]]</f>
        <v>335</v>
      </c>
      <c r="J2612" s="7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">
        <v>3023.09</v>
      </c>
      <c r="H2613" s="1">
        <v>4045</v>
      </c>
      <c r="I2613" s="6">
        <f>Tabela1[[#This Row],[Valor total]]-Tabela1[[#This Row],[Valor custo]]</f>
        <v>1021.9099999999999</v>
      </c>
      <c r="J2613" s="7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">
        <v>764.6</v>
      </c>
      <c r="H2614" s="1">
        <v>1230</v>
      </c>
      <c r="I2614" s="6">
        <f>Tabela1[[#This Row],[Valor total]]-Tabela1[[#This Row],[Valor custo]]</f>
        <v>465.4</v>
      </c>
      <c r="J2614" s="7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">
        <v>882.3</v>
      </c>
      <c r="H2615" s="1">
        <v>1215</v>
      </c>
      <c r="I2615" s="6">
        <f>Tabela1[[#This Row],[Valor total]]-Tabela1[[#This Row],[Valor custo]]</f>
        <v>332.70000000000005</v>
      </c>
      <c r="J2615" s="7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">
        <v>447</v>
      </c>
      <c r="H2616" s="1">
        <v>640</v>
      </c>
      <c r="I2616" s="6">
        <f>Tabela1[[#This Row],[Valor total]]-Tabela1[[#This Row],[Valor custo]]</f>
        <v>193</v>
      </c>
      <c r="J2616" s="7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">
        <v>7.21</v>
      </c>
      <c r="H2617" s="1">
        <v>25</v>
      </c>
      <c r="I2617" s="6">
        <f>Tabela1[[#This Row],[Valor total]]-Tabela1[[#This Row],[Valor custo]]</f>
        <v>17.79</v>
      </c>
      <c r="J2617" s="7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">
        <v>764.6</v>
      </c>
      <c r="H2618" s="1">
        <v>1000</v>
      </c>
      <c r="I2618" s="6">
        <f>Tabela1[[#This Row],[Valor total]]-Tabela1[[#This Row],[Valor custo]]</f>
        <v>235.39999999999998</v>
      </c>
      <c r="J2618" s="7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">
        <v>293.13</v>
      </c>
      <c r="H2619" s="1">
        <v>600</v>
      </c>
      <c r="I2619" s="6">
        <f>Tabela1[[#This Row],[Valor total]]-Tabela1[[#This Row],[Valor custo]]</f>
        <v>306.87</v>
      </c>
      <c r="J2619" s="7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">
        <v>432.79</v>
      </c>
      <c r="H2620" s="1">
        <v>0</v>
      </c>
      <c r="I2620" s="6">
        <f>Tabela1[[#This Row],[Valor total]]-Tabela1[[#This Row],[Valor custo]]</f>
        <v>-432.79</v>
      </c>
      <c r="J2620" s="7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">
        <v>2202.54</v>
      </c>
      <c r="H2621" s="1">
        <v>4400</v>
      </c>
      <c r="I2621" s="6">
        <f>Tabela1[[#This Row],[Valor total]]-Tabela1[[#This Row],[Valor custo]]</f>
        <v>2197.46</v>
      </c>
      <c r="J2621" s="7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">
        <v>115.58</v>
      </c>
      <c r="H2622" s="1">
        <v>170</v>
      </c>
      <c r="I2622" s="6">
        <f>Tabela1[[#This Row],[Valor total]]-Tabela1[[#This Row],[Valor custo]]</f>
        <v>54.42</v>
      </c>
      <c r="J2622" s="7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">
        <v>477</v>
      </c>
      <c r="H2623" s="1">
        <v>840</v>
      </c>
      <c r="I2623" s="6">
        <f>Tabela1[[#This Row],[Valor total]]-Tabela1[[#This Row],[Valor custo]]</f>
        <v>363</v>
      </c>
      <c r="J2623" s="7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">
        <v>1940.88</v>
      </c>
      <c r="H2624" s="1">
        <v>3425</v>
      </c>
      <c r="I2624" s="6">
        <f>Tabela1[[#This Row],[Valor total]]-Tabela1[[#This Row],[Valor custo]]</f>
        <v>1484.12</v>
      </c>
      <c r="J2624" s="7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">
        <v>7726.5</v>
      </c>
      <c r="H2625" s="1">
        <v>12750</v>
      </c>
      <c r="I2625" s="6">
        <f>Tabela1[[#This Row],[Valor total]]-Tabela1[[#This Row],[Valor custo]]</f>
        <v>5023.5</v>
      </c>
      <c r="J2625" s="7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">
        <v>0</v>
      </c>
      <c r="H2626" s="1">
        <v>250</v>
      </c>
      <c r="I2626" s="6">
        <f>Tabela1[[#This Row],[Valor total]]-Tabela1[[#This Row],[Valor custo]]</f>
        <v>250</v>
      </c>
      <c r="J2626" s="7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">
        <v>679</v>
      </c>
      <c r="H2627" s="1">
        <v>1350</v>
      </c>
      <c r="I2627" s="6">
        <f>Tabela1[[#This Row],[Valor total]]-Tabela1[[#This Row],[Valor custo]]</f>
        <v>671</v>
      </c>
      <c r="J2627" s="7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">
        <v>892.3</v>
      </c>
      <c r="H2628" s="1">
        <v>1510</v>
      </c>
      <c r="I2628" s="6">
        <f>Tabela1[[#This Row],[Valor total]]-Tabela1[[#This Row],[Valor custo]]</f>
        <v>617.70000000000005</v>
      </c>
      <c r="J2628" s="7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">
        <v>1473</v>
      </c>
      <c r="H2629" s="1">
        <v>2100</v>
      </c>
      <c r="I2629" s="6">
        <f>Tabela1[[#This Row],[Valor total]]-Tabela1[[#This Row],[Valor custo]]</f>
        <v>627</v>
      </c>
      <c r="J2629" s="7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">
        <v>2293.8000000000002</v>
      </c>
      <c r="H2630" s="1">
        <v>3690</v>
      </c>
      <c r="I2630" s="6">
        <f>Tabela1[[#This Row],[Valor total]]-Tabela1[[#This Row],[Valor custo]]</f>
        <v>1396.1999999999998</v>
      </c>
      <c r="J2630" s="7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">
        <v>455</v>
      </c>
      <c r="H2631" s="1">
        <v>790</v>
      </c>
      <c r="I2631" s="6">
        <f>Tabela1[[#This Row],[Valor total]]-Tabela1[[#This Row],[Valor custo]]</f>
        <v>335</v>
      </c>
      <c r="J2631" s="7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">
        <v>125</v>
      </c>
      <c r="H2632" s="1">
        <v>150</v>
      </c>
      <c r="I2632" s="6">
        <f>Tabela1[[#This Row],[Valor total]]-Tabela1[[#This Row],[Valor custo]]</f>
        <v>25</v>
      </c>
      <c r="J2632" s="7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">
        <v>1567.92</v>
      </c>
      <c r="H2633" s="1">
        <v>2870</v>
      </c>
      <c r="I2633" s="6">
        <f>Tabela1[[#This Row],[Valor total]]-Tabela1[[#This Row],[Valor custo]]</f>
        <v>1302.08</v>
      </c>
      <c r="J2633" s="7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">
        <v>0</v>
      </c>
      <c r="H2634" s="1">
        <v>0</v>
      </c>
      <c r="I2634" s="6">
        <f>Tabela1[[#This Row],[Valor total]]-Tabela1[[#This Row],[Valor custo]]</f>
        <v>0</v>
      </c>
      <c r="J2634" s="7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">
        <v>45.6</v>
      </c>
      <c r="H2635" s="1">
        <v>70</v>
      </c>
      <c r="I2635" s="6">
        <f>Tabela1[[#This Row],[Valor total]]-Tabela1[[#This Row],[Valor custo]]</f>
        <v>24.4</v>
      </c>
      <c r="J2635" s="7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">
        <v>2044</v>
      </c>
      <c r="H2636" s="1">
        <v>3500</v>
      </c>
      <c r="I2636" s="6">
        <f>Tabela1[[#This Row],[Valor total]]-Tabela1[[#This Row],[Valor custo]]</f>
        <v>1456</v>
      </c>
      <c r="J2636" s="7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">
        <v>779.02</v>
      </c>
      <c r="H2637" s="1">
        <v>1195</v>
      </c>
      <c r="I2637" s="6">
        <f>Tabela1[[#This Row],[Valor total]]-Tabela1[[#This Row],[Valor custo]]</f>
        <v>415.98</v>
      </c>
      <c r="J2637" s="7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">
        <v>1529.2</v>
      </c>
      <c r="H2638" s="1">
        <v>2560</v>
      </c>
      <c r="I2638" s="6">
        <f>Tabela1[[#This Row],[Valor total]]-Tabela1[[#This Row],[Valor custo]]</f>
        <v>1030.8</v>
      </c>
      <c r="J2638" s="7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">
        <v>1292.3</v>
      </c>
      <c r="H2639" s="1">
        <v>2115</v>
      </c>
      <c r="I2639" s="6">
        <f>Tabela1[[#This Row],[Valor total]]-Tabela1[[#This Row],[Valor custo]]</f>
        <v>822.7</v>
      </c>
      <c r="J2639" s="7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">
        <v>1119</v>
      </c>
      <c r="H2640" s="1">
        <v>1250</v>
      </c>
      <c r="I2640" s="6">
        <f>Tabela1[[#This Row],[Valor total]]-Tabela1[[#This Row],[Valor custo]]</f>
        <v>131</v>
      </c>
      <c r="J2640" s="7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">
        <v>432.79</v>
      </c>
      <c r="H2641" s="1">
        <v>720</v>
      </c>
      <c r="I2641" s="6">
        <f>Tabela1[[#This Row],[Valor total]]-Tabela1[[#This Row],[Valor custo]]</f>
        <v>287.20999999999998</v>
      </c>
      <c r="J2641" s="7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">
        <v>382.3</v>
      </c>
      <c r="H2642" s="1">
        <v>615</v>
      </c>
      <c r="I2642" s="6">
        <f>Tabela1[[#This Row],[Valor total]]-Tabela1[[#This Row],[Valor custo]]</f>
        <v>232.7</v>
      </c>
      <c r="J2642" s="7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">
        <v>26.62</v>
      </c>
      <c r="H2643" s="1">
        <v>96</v>
      </c>
      <c r="I2643" s="6">
        <f>Tabela1[[#This Row],[Valor total]]-Tabela1[[#This Row],[Valor custo]]</f>
        <v>69.38</v>
      </c>
      <c r="J2643" s="7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">
        <v>1298</v>
      </c>
      <c r="H2644" s="1">
        <v>2250</v>
      </c>
      <c r="I2644" s="6">
        <f>Tabela1[[#This Row],[Valor total]]-Tabela1[[#This Row],[Valor custo]]</f>
        <v>952</v>
      </c>
      <c r="J2644" s="7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">
        <v>13.69</v>
      </c>
      <c r="H2645" s="1">
        <v>115</v>
      </c>
      <c r="I2645" s="6">
        <f>Tabela1[[#This Row],[Valor total]]-Tabela1[[#This Row],[Valor custo]]</f>
        <v>101.31</v>
      </c>
      <c r="J2645" s="7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">
        <v>764.6</v>
      </c>
      <c r="H2646" s="1">
        <v>1230</v>
      </c>
      <c r="I2646" s="6">
        <f>Tabela1[[#This Row],[Valor total]]-Tabela1[[#This Row],[Valor custo]]</f>
        <v>465.4</v>
      </c>
      <c r="J2646" s="7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">
        <v>107.1</v>
      </c>
      <c r="H2647" s="1">
        <v>385</v>
      </c>
      <c r="I2647" s="6">
        <f>Tabela1[[#This Row],[Valor total]]-Tabela1[[#This Row],[Valor custo]]</f>
        <v>277.89999999999998</v>
      </c>
      <c r="J2647" s="7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">
        <v>8210.1</v>
      </c>
      <c r="H2648" s="1">
        <v>15500</v>
      </c>
      <c r="I2648" s="6">
        <f>Tabela1[[#This Row],[Valor total]]-Tabela1[[#This Row],[Valor custo]]</f>
        <v>7289.9</v>
      </c>
      <c r="J2648" s="7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">
        <v>1197.3900000000001</v>
      </c>
      <c r="H2649" s="1">
        <v>1855</v>
      </c>
      <c r="I2649" s="6">
        <f>Tabela1[[#This Row],[Valor total]]-Tabela1[[#This Row],[Valor custo]]</f>
        <v>657.6099999999999</v>
      </c>
      <c r="J2649" s="7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">
        <v>144.19999999999999</v>
      </c>
      <c r="H2650" s="1">
        <v>600</v>
      </c>
      <c r="I2650" s="6">
        <f>Tabela1[[#This Row],[Valor total]]-Tabela1[[#This Row],[Valor custo]]</f>
        <v>455.8</v>
      </c>
      <c r="J2650" s="7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">
        <v>649</v>
      </c>
      <c r="H2651" s="1">
        <v>1200</v>
      </c>
      <c r="I2651" s="6">
        <f>Tabela1[[#This Row],[Valor total]]-Tabela1[[#This Row],[Valor custo]]</f>
        <v>551</v>
      </c>
      <c r="J2651" s="7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">
        <v>5181.45</v>
      </c>
      <c r="H2652" s="1">
        <v>8140</v>
      </c>
      <c r="I2652" s="6">
        <f>Tabela1[[#This Row],[Valor total]]-Tabela1[[#This Row],[Valor custo]]</f>
        <v>2958.55</v>
      </c>
      <c r="J2652" s="7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">
        <v>764.6</v>
      </c>
      <c r="H2653" s="1">
        <v>1280</v>
      </c>
      <c r="I2653" s="6">
        <f>Tabela1[[#This Row],[Valor total]]-Tabela1[[#This Row],[Valor custo]]</f>
        <v>515.4</v>
      </c>
      <c r="J2653" s="7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">
        <v>1870.3</v>
      </c>
      <c r="H2654" s="1">
        <v>2503</v>
      </c>
      <c r="I2654" s="6">
        <f>Tabela1[[#This Row],[Valor total]]-Tabela1[[#This Row],[Valor custo]]</f>
        <v>632.70000000000005</v>
      </c>
      <c r="J2654" s="7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">
        <v>3077.2</v>
      </c>
      <c r="H2655" s="1">
        <v>5600</v>
      </c>
      <c r="I2655" s="6">
        <f>Tabela1[[#This Row],[Valor total]]-Tabela1[[#This Row],[Valor custo]]</f>
        <v>2522.8000000000002</v>
      </c>
      <c r="J2655" s="7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">
        <v>679</v>
      </c>
      <c r="H2656" s="1">
        <v>1100</v>
      </c>
      <c r="I2656" s="6">
        <f>Tabela1[[#This Row],[Valor total]]-Tabela1[[#This Row],[Valor custo]]</f>
        <v>421</v>
      </c>
      <c r="J2656" s="7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">
        <v>649</v>
      </c>
      <c r="H2657" s="1">
        <v>900</v>
      </c>
      <c r="I2657" s="6">
        <f>Tabela1[[#This Row],[Valor total]]-Tabela1[[#This Row],[Valor custo]]</f>
        <v>251</v>
      </c>
      <c r="J2657" s="7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">
        <v>485</v>
      </c>
      <c r="H2658" s="1">
        <v>830</v>
      </c>
      <c r="I2658" s="6">
        <f>Tabela1[[#This Row],[Valor total]]-Tabela1[[#This Row],[Valor custo]]</f>
        <v>345</v>
      </c>
      <c r="J2658" s="7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">
        <v>27.38</v>
      </c>
      <c r="H2659" s="1">
        <v>180</v>
      </c>
      <c r="I2659" s="6">
        <f>Tabela1[[#This Row],[Valor total]]-Tabela1[[#This Row],[Valor custo]]</f>
        <v>152.62</v>
      </c>
      <c r="J2659" s="7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">
        <v>28.84</v>
      </c>
      <c r="H2660" s="1">
        <v>150</v>
      </c>
      <c r="I2660" s="6">
        <f>Tabela1[[#This Row],[Valor total]]-Tabela1[[#This Row],[Valor custo]]</f>
        <v>121.16</v>
      </c>
      <c r="J2660" s="7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">
        <v>289</v>
      </c>
      <c r="H2661" s="1">
        <v>550</v>
      </c>
      <c r="I2661" s="6">
        <f>Tabela1[[#This Row],[Valor total]]-Tabela1[[#This Row],[Valor custo]]</f>
        <v>261</v>
      </c>
      <c r="J2661" s="7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">
        <v>1455</v>
      </c>
      <c r="H2662" s="1">
        <v>2205</v>
      </c>
      <c r="I2662" s="6">
        <f>Tabela1[[#This Row],[Valor total]]-Tabela1[[#This Row],[Valor custo]]</f>
        <v>750</v>
      </c>
      <c r="J2662" s="7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">
        <v>1950</v>
      </c>
      <c r="H2663" s="1">
        <v>2655</v>
      </c>
      <c r="I2663" s="6">
        <f>Tabela1[[#This Row],[Valor total]]-Tabela1[[#This Row],[Valor custo]]</f>
        <v>705</v>
      </c>
      <c r="J2663" s="7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">
        <v>7.21</v>
      </c>
      <c r="H2664" s="1">
        <v>35</v>
      </c>
      <c r="I2664" s="6">
        <f>Tabela1[[#This Row],[Valor total]]-Tabela1[[#This Row],[Valor custo]]</f>
        <v>27.79</v>
      </c>
      <c r="J2664" s="7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">
        <v>3515.29</v>
      </c>
      <c r="H2665" s="1">
        <v>5533.1</v>
      </c>
      <c r="I2665" s="6">
        <f>Tabela1[[#This Row],[Valor total]]-Tabela1[[#This Row],[Valor custo]]</f>
        <v>2017.8100000000004</v>
      </c>
      <c r="J2665" s="7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">
        <v>825</v>
      </c>
      <c r="H2666" s="1">
        <v>2250</v>
      </c>
      <c r="I2666" s="6">
        <f>Tabela1[[#This Row],[Valor total]]-Tabela1[[#This Row],[Valor custo]]</f>
        <v>1425</v>
      </c>
      <c r="J2666" s="7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">
        <v>1587.79</v>
      </c>
      <c r="H2667" s="1">
        <v>2450</v>
      </c>
      <c r="I2667" s="6">
        <f>Tabela1[[#This Row],[Valor total]]-Tabela1[[#This Row],[Valor custo]]</f>
        <v>862.21</v>
      </c>
      <c r="J2667" s="7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">
        <v>250</v>
      </c>
      <c r="H2668" s="1">
        <v>300</v>
      </c>
      <c r="I2668" s="6">
        <f>Tabela1[[#This Row],[Valor total]]-Tabela1[[#This Row],[Valor custo]]</f>
        <v>50</v>
      </c>
      <c r="J2668" s="7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">
        <v>463</v>
      </c>
      <c r="H2669" s="1">
        <v>727</v>
      </c>
      <c r="I2669" s="6">
        <f>Tabela1[[#This Row],[Valor total]]-Tabela1[[#This Row],[Valor custo]]</f>
        <v>264</v>
      </c>
      <c r="J2669" s="7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">
        <v>1298</v>
      </c>
      <c r="H2670" s="1">
        <v>1800</v>
      </c>
      <c r="I2670" s="6">
        <f>Tabela1[[#This Row],[Valor total]]-Tabela1[[#This Row],[Valor custo]]</f>
        <v>502</v>
      </c>
      <c r="J2670" s="7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">
        <v>0</v>
      </c>
      <c r="H2671" s="1">
        <v>180</v>
      </c>
      <c r="I2671" s="6">
        <f>Tabela1[[#This Row],[Valor total]]-Tabela1[[#This Row],[Valor custo]]</f>
        <v>180</v>
      </c>
      <c r="J2671" s="7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">
        <v>385</v>
      </c>
      <c r="H2672" s="1">
        <v>645</v>
      </c>
      <c r="I2672" s="6">
        <f>Tabela1[[#This Row],[Valor total]]-Tabela1[[#This Row],[Valor custo]]</f>
        <v>260</v>
      </c>
      <c r="J2672" s="7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">
        <v>1419</v>
      </c>
      <c r="H2673" s="1">
        <v>2000</v>
      </c>
      <c r="I2673" s="6">
        <f>Tabela1[[#This Row],[Valor total]]-Tabela1[[#This Row],[Valor custo]]</f>
        <v>581</v>
      </c>
      <c r="J2673" s="7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">
        <v>385</v>
      </c>
      <c r="H2674" s="1">
        <v>630</v>
      </c>
      <c r="I2674" s="6">
        <f>Tabela1[[#This Row],[Valor total]]-Tabela1[[#This Row],[Valor custo]]</f>
        <v>245</v>
      </c>
      <c r="J2674" s="7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">
        <v>438.89</v>
      </c>
      <c r="H2675" s="1">
        <v>63</v>
      </c>
      <c r="I2675" s="6">
        <f>Tabela1[[#This Row],[Valor total]]-Tabela1[[#This Row],[Valor custo]]</f>
        <v>-375.89</v>
      </c>
      <c r="J2675" s="7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">
        <v>67.19</v>
      </c>
      <c r="H2676" s="1">
        <v>205</v>
      </c>
      <c r="I2676" s="6">
        <f>Tabela1[[#This Row],[Valor total]]-Tabela1[[#This Row],[Valor custo]]</f>
        <v>137.81</v>
      </c>
      <c r="J2676" s="7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">
        <v>117</v>
      </c>
      <c r="H2677" s="1">
        <v>155</v>
      </c>
      <c r="I2677" s="6">
        <f>Tabela1[[#This Row],[Valor total]]-Tabela1[[#This Row],[Valor custo]]</f>
        <v>38</v>
      </c>
      <c r="J2677" s="7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">
        <v>356.12</v>
      </c>
      <c r="H2678" s="1">
        <v>550</v>
      </c>
      <c r="I2678" s="6">
        <f>Tabela1[[#This Row],[Valor total]]-Tabela1[[#This Row],[Valor custo]]</f>
        <v>193.88</v>
      </c>
      <c r="J2678" s="7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">
        <v>1176</v>
      </c>
      <c r="H2679" s="1">
        <v>1670</v>
      </c>
      <c r="I2679" s="6">
        <f>Tabela1[[#This Row],[Valor total]]-Tabela1[[#This Row],[Valor custo]]</f>
        <v>494</v>
      </c>
      <c r="J2679" s="7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">
        <v>88.63</v>
      </c>
      <c r="H2680" s="1">
        <v>196</v>
      </c>
      <c r="I2680" s="6">
        <f>Tabela1[[#This Row],[Valor total]]-Tabela1[[#This Row],[Valor custo]]</f>
        <v>107.37</v>
      </c>
      <c r="J2680" s="7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">
        <v>510</v>
      </c>
      <c r="H2681" s="1">
        <v>765</v>
      </c>
      <c r="I2681" s="6">
        <f>Tabela1[[#This Row],[Valor total]]-Tabela1[[#This Row],[Valor custo]]</f>
        <v>255</v>
      </c>
      <c r="J2681" s="7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">
        <v>8145.95</v>
      </c>
      <c r="H2682" s="1">
        <v>12000</v>
      </c>
      <c r="I2682" s="6">
        <f>Tabela1[[#This Row],[Valor total]]-Tabela1[[#This Row],[Valor custo]]</f>
        <v>3854.05</v>
      </c>
      <c r="J2682" s="7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">
        <v>1066.42</v>
      </c>
      <c r="H2683" s="1">
        <v>1515</v>
      </c>
      <c r="I2683" s="6">
        <f>Tabela1[[#This Row],[Valor total]]-Tabela1[[#This Row],[Valor custo]]</f>
        <v>448.57999999999993</v>
      </c>
      <c r="J2683" s="7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">
        <v>385</v>
      </c>
      <c r="H2684" s="1">
        <v>620</v>
      </c>
      <c r="I2684" s="6">
        <f>Tabela1[[#This Row],[Valor total]]-Tabela1[[#This Row],[Valor custo]]</f>
        <v>235</v>
      </c>
      <c r="J2684" s="7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">
        <v>70</v>
      </c>
      <c r="H2685" s="1">
        <v>90</v>
      </c>
      <c r="I2685" s="6">
        <f>Tabela1[[#This Row],[Valor total]]-Tabela1[[#This Row],[Valor custo]]</f>
        <v>20</v>
      </c>
      <c r="J2685" s="7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">
        <v>219.04</v>
      </c>
      <c r="H2686" s="1">
        <v>1360</v>
      </c>
      <c r="I2686" s="6">
        <f>Tabela1[[#This Row],[Valor total]]-Tabela1[[#This Row],[Valor custo]]</f>
        <v>1140.96</v>
      </c>
      <c r="J2686" s="7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">
        <v>94.06</v>
      </c>
      <c r="H2687" s="1">
        <v>130</v>
      </c>
      <c r="I2687" s="6">
        <f>Tabela1[[#This Row],[Valor total]]-Tabela1[[#This Row],[Valor custo]]</f>
        <v>35.94</v>
      </c>
      <c r="J2687" s="7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">
        <v>1000</v>
      </c>
      <c r="H2688" s="1">
        <v>1200</v>
      </c>
      <c r="I2688" s="6">
        <f>Tabela1[[#This Row],[Valor total]]-Tabela1[[#This Row],[Valor custo]]</f>
        <v>200</v>
      </c>
      <c r="J2688" s="7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">
        <v>1298.3699999999999</v>
      </c>
      <c r="H2689" s="1">
        <v>1900</v>
      </c>
      <c r="I2689" s="6">
        <f>Tabela1[[#This Row],[Valor total]]-Tabela1[[#This Row],[Valor custo]]</f>
        <v>601.63000000000011</v>
      </c>
      <c r="J2689" s="7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">
        <v>385</v>
      </c>
      <c r="H2690" s="1">
        <v>615</v>
      </c>
      <c r="I2690" s="6">
        <f>Tabela1[[#This Row],[Valor total]]-Tabela1[[#This Row],[Valor custo]]</f>
        <v>230</v>
      </c>
      <c r="J2690" s="7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">
        <v>1744.6</v>
      </c>
      <c r="H2691" s="1">
        <v>3484</v>
      </c>
      <c r="I2691" s="6">
        <f>Tabela1[[#This Row],[Valor total]]-Tabela1[[#This Row],[Valor custo]]</f>
        <v>1739.4</v>
      </c>
      <c r="J2691" s="7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">
        <v>432.79</v>
      </c>
      <c r="H2692" s="1">
        <v>655</v>
      </c>
      <c r="I2692" s="6">
        <f>Tabela1[[#This Row],[Valor total]]-Tabela1[[#This Row],[Valor custo]]</f>
        <v>222.20999999999998</v>
      </c>
      <c r="J2692" s="7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">
        <v>33.56</v>
      </c>
      <c r="H2693" s="1">
        <v>85</v>
      </c>
      <c r="I2693" s="6">
        <f>Tabela1[[#This Row],[Valor total]]-Tabela1[[#This Row],[Valor custo]]</f>
        <v>51.44</v>
      </c>
      <c r="J2693" s="7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">
        <v>1632</v>
      </c>
      <c r="H2694" s="1">
        <v>2535</v>
      </c>
      <c r="I2694" s="6">
        <f>Tabela1[[#This Row],[Valor total]]-Tabela1[[#This Row],[Valor custo]]</f>
        <v>903</v>
      </c>
      <c r="J2694" s="7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">
        <v>2163.9499999999998</v>
      </c>
      <c r="H2695" s="1">
        <v>3100</v>
      </c>
      <c r="I2695" s="6">
        <f>Tabela1[[#This Row],[Valor total]]-Tabela1[[#This Row],[Valor custo]]</f>
        <v>936.05000000000018</v>
      </c>
      <c r="J2695" s="7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">
        <v>55</v>
      </c>
      <c r="H2696" s="1">
        <v>150</v>
      </c>
      <c r="I2696" s="6">
        <f>Tabela1[[#This Row],[Valor total]]-Tabela1[[#This Row],[Valor custo]]</f>
        <v>95</v>
      </c>
      <c r="J2696" s="7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">
        <v>289</v>
      </c>
      <c r="H2697" s="1">
        <v>550</v>
      </c>
      <c r="I2697" s="6">
        <f>Tabela1[[#This Row],[Valor total]]-Tabela1[[#This Row],[Valor custo]]</f>
        <v>261</v>
      </c>
      <c r="J2697" s="7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">
        <v>20</v>
      </c>
      <c r="H2698" s="1">
        <v>30</v>
      </c>
      <c r="I2698" s="6">
        <f>Tabela1[[#This Row],[Valor total]]-Tabela1[[#This Row],[Valor custo]]</f>
        <v>10</v>
      </c>
      <c r="J2698" s="7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">
        <v>817.79</v>
      </c>
      <c r="H2699" s="1">
        <v>1365</v>
      </c>
      <c r="I2699" s="6">
        <f>Tabela1[[#This Row],[Valor total]]-Tabela1[[#This Row],[Valor custo]]</f>
        <v>547.21</v>
      </c>
      <c r="J2699" s="7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">
        <v>1001.79</v>
      </c>
      <c r="H2700" s="1">
        <v>1254</v>
      </c>
      <c r="I2700" s="6">
        <f>Tabela1[[#This Row],[Valor total]]-Tabela1[[#This Row],[Valor custo]]</f>
        <v>252.21000000000004</v>
      </c>
      <c r="J2700" s="7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">
        <v>3110</v>
      </c>
      <c r="H2701" s="1">
        <v>4135</v>
      </c>
      <c r="I2701" s="6">
        <f>Tabela1[[#This Row],[Valor total]]-Tabela1[[#This Row],[Valor custo]]</f>
        <v>1025</v>
      </c>
      <c r="J2701" s="7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">
        <v>305</v>
      </c>
      <c r="H2702" s="1">
        <v>576</v>
      </c>
      <c r="I2702" s="6">
        <f>Tabela1[[#This Row],[Valor total]]-Tabela1[[#This Row],[Valor custo]]</f>
        <v>271</v>
      </c>
      <c r="J2702" s="7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">
        <v>1525</v>
      </c>
      <c r="H2703" s="1">
        <v>1925</v>
      </c>
      <c r="I2703" s="6">
        <f>Tabela1[[#This Row],[Valor total]]-Tabela1[[#This Row],[Valor custo]]</f>
        <v>400</v>
      </c>
      <c r="J2703" s="7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">
        <v>1034</v>
      </c>
      <c r="H2704" s="1">
        <v>1700</v>
      </c>
      <c r="I2704" s="6">
        <f>Tabela1[[#This Row],[Valor total]]-Tabela1[[#This Row],[Valor custo]]</f>
        <v>666</v>
      </c>
      <c r="J2704" s="7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">
        <v>293.13</v>
      </c>
      <c r="H2705" s="1">
        <v>450</v>
      </c>
      <c r="I2705" s="6">
        <f>Tabela1[[#This Row],[Valor total]]-Tabela1[[#This Row],[Valor custo]]</f>
        <v>156.87</v>
      </c>
      <c r="J2705" s="7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">
        <v>360.5</v>
      </c>
      <c r="H2706" s="1">
        <v>1000</v>
      </c>
      <c r="I2706" s="6">
        <f>Tabela1[[#This Row],[Valor total]]-Tabela1[[#This Row],[Valor custo]]</f>
        <v>639.5</v>
      </c>
      <c r="J2706" s="7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">
        <v>2357.58</v>
      </c>
      <c r="H2707" s="1">
        <v>3500</v>
      </c>
      <c r="I2707" s="6">
        <f>Tabela1[[#This Row],[Valor total]]-Tabela1[[#This Row],[Valor custo]]</f>
        <v>1142.42</v>
      </c>
      <c r="J2707" s="7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">
        <v>3390</v>
      </c>
      <c r="H2708" s="1">
        <v>5500</v>
      </c>
      <c r="I2708" s="6">
        <f>Tabela1[[#This Row],[Valor total]]-Tabela1[[#This Row],[Valor custo]]</f>
        <v>2110</v>
      </c>
      <c r="J2708" s="7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">
        <v>3184.79</v>
      </c>
      <c r="H2709" s="1">
        <v>4935</v>
      </c>
      <c r="I2709" s="6">
        <f>Tabela1[[#This Row],[Valor total]]-Tabela1[[#This Row],[Valor custo]]</f>
        <v>1750.21</v>
      </c>
      <c r="J2709" s="7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">
        <v>1034</v>
      </c>
      <c r="H2710" s="1">
        <v>1795</v>
      </c>
      <c r="I2710" s="6">
        <f>Tabela1[[#This Row],[Valor total]]-Tabela1[[#This Row],[Valor custo]]</f>
        <v>761</v>
      </c>
      <c r="J2710" s="7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">
        <v>3421.74</v>
      </c>
      <c r="H2711" s="1">
        <v>4880</v>
      </c>
      <c r="I2711" s="6">
        <f>Tabela1[[#This Row],[Valor total]]-Tabela1[[#This Row],[Valor custo]]</f>
        <v>1458.2600000000002</v>
      </c>
      <c r="J2711" s="7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">
        <v>6.1</v>
      </c>
      <c r="H2712" s="1">
        <v>8</v>
      </c>
      <c r="I2712" s="6">
        <f>Tabela1[[#This Row],[Valor total]]-Tabela1[[#This Row],[Valor custo]]</f>
        <v>1.9000000000000004</v>
      </c>
      <c r="J2712" s="7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">
        <v>289</v>
      </c>
      <c r="H2713" s="1">
        <v>550</v>
      </c>
      <c r="I2713" s="6">
        <f>Tabela1[[#This Row],[Valor total]]-Tabela1[[#This Row],[Valor custo]]</f>
        <v>261</v>
      </c>
      <c r="J2713" s="7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">
        <v>447.21</v>
      </c>
      <c r="H2714" s="1">
        <v>680</v>
      </c>
      <c r="I2714" s="6">
        <f>Tabela1[[#This Row],[Valor total]]-Tabela1[[#This Row],[Valor custo]]</f>
        <v>232.79000000000002</v>
      </c>
      <c r="J2714" s="7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">
        <v>9960</v>
      </c>
      <c r="H2715" s="1">
        <v>15000</v>
      </c>
      <c r="I2715" s="6">
        <f>Tabela1[[#This Row],[Valor total]]-Tabela1[[#This Row],[Valor custo]]</f>
        <v>5040</v>
      </c>
      <c r="J2715" s="7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">
        <v>3027.84</v>
      </c>
      <c r="H2716" s="1">
        <v>5420</v>
      </c>
      <c r="I2716" s="6">
        <f>Tabela1[[#This Row],[Valor total]]-Tabela1[[#This Row],[Valor custo]]</f>
        <v>2392.16</v>
      </c>
      <c r="J2716" s="7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">
        <v>2425</v>
      </c>
      <c r="H2717" s="1">
        <v>3875</v>
      </c>
      <c r="I2717" s="6">
        <f>Tabela1[[#This Row],[Valor total]]-Tabela1[[#This Row],[Valor custo]]</f>
        <v>1450</v>
      </c>
      <c r="J2717" s="7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">
        <v>5164.53</v>
      </c>
      <c r="H2718" s="1">
        <v>7595</v>
      </c>
      <c r="I2718" s="6">
        <f>Tabela1[[#This Row],[Valor total]]-Tabela1[[#This Row],[Valor custo]]</f>
        <v>2430.4700000000003</v>
      </c>
      <c r="J2718" s="7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">
        <v>270</v>
      </c>
      <c r="H2719" s="1">
        <v>450</v>
      </c>
      <c r="I2719" s="6">
        <f>Tabela1[[#This Row],[Valor total]]-Tabela1[[#This Row],[Valor custo]]</f>
        <v>180</v>
      </c>
      <c r="J2719" s="7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">
        <v>1556</v>
      </c>
      <c r="H2720" s="1">
        <v>2760</v>
      </c>
      <c r="I2720" s="6">
        <f>Tabela1[[#This Row],[Valor total]]-Tabela1[[#This Row],[Valor custo]]</f>
        <v>1204</v>
      </c>
      <c r="J2720" s="7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">
        <v>289</v>
      </c>
      <c r="H2721" s="1">
        <v>626</v>
      </c>
      <c r="I2721" s="6">
        <f>Tabela1[[#This Row],[Valor total]]-Tabela1[[#This Row],[Valor custo]]</f>
        <v>337</v>
      </c>
      <c r="J2721" s="7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">
        <v>1819</v>
      </c>
      <c r="H2722" s="1">
        <v>2895</v>
      </c>
      <c r="I2722" s="6">
        <f>Tabela1[[#This Row],[Valor total]]-Tabela1[[#This Row],[Valor custo]]</f>
        <v>1076</v>
      </c>
      <c r="J2722" s="7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">
        <v>544</v>
      </c>
      <c r="H2723" s="1">
        <v>900</v>
      </c>
      <c r="I2723" s="6">
        <f>Tabela1[[#This Row],[Valor total]]-Tabela1[[#This Row],[Valor custo]]</f>
        <v>356</v>
      </c>
      <c r="J2723" s="7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">
        <v>3792</v>
      </c>
      <c r="H2724" s="1">
        <v>5600</v>
      </c>
      <c r="I2724" s="6">
        <f>Tabela1[[#This Row],[Valor total]]-Tabela1[[#This Row],[Valor custo]]</f>
        <v>1808</v>
      </c>
      <c r="J2724" s="7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">
        <v>125</v>
      </c>
      <c r="H2725" s="1">
        <v>150</v>
      </c>
      <c r="I2725" s="6">
        <f>Tabela1[[#This Row],[Valor total]]-Tabela1[[#This Row],[Valor custo]]</f>
        <v>25</v>
      </c>
      <c r="J2725" s="7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">
        <v>2266</v>
      </c>
      <c r="H2726" s="1">
        <v>3748</v>
      </c>
      <c r="I2726" s="6">
        <f>Tabela1[[#This Row],[Valor total]]-Tabela1[[#This Row],[Valor custo]]</f>
        <v>1482</v>
      </c>
      <c r="J2726" s="7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">
        <v>458.14</v>
      </c>
      <c r="H2727" s="1">
        <v>705</v>
      </c>
      <c r="I2727" s="6">
        <f>Tabela1[[#This Row],[Valor total]]-Tabela1[[#This Row],[Valor custo]]</f>
        <v>246.86</v>
      </c>
      <c r="J2727" s="7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">
        <v>2405</v>
      </c>
      <c r="H2728" s="1">
        <v>3775.35</v>
      </c>
      <c r="I2728" s="6">
        <f>Tabela1[[#This Row],[Valor total]]-Tabela1[[#This Row],[Valor custo]]</f>
        <v>1370.35</v>
      </c>
      <c r="J2728" s="7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">
        <v>664</v>
      </c>
      <c r="H2729" s="1">
        <v>1100</v>
      </c>
      <c r="I2729" s="6">
        <f>Tabela1[[#This Row],[Valor total]]-Tabela1[[#This Row],[Valor custo]]</f>
        <v>436</v>
      </c>
      <c r="J2729" s="7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">
        <v>10750.3</v>
      </c>
      <c r="H2730" s="1">
        <v>16500</v>
      </c>
      <c r="I2730" s="6">
        <f>Tabela1[[#This Row],[Valor total]]-Tabela1[[#This Row],[Valor custo]]</f>
        <v>5749.7000000000007</v>
      </c>
      <c r="J2730" s="7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">
        <v>385</v>
      </c>
      <c r="H2731" s="1">
        <v>615</v>
      </c>
      <c r="I2731" s="6">
        <f>Tabela1[[#This Row],[Valor total]]-Tabela1[[#This Row],[Valor custo]]</f>
        <v>230</v>
      </c>
      <c r="J2731" s="7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">
        <v>360.5</v>
      </c>
      <c r="H2732" s="1">
        <v>1000</v>
      </c>
      <c r="I2732" s="6">
        <f>Tabela1[[#This Row],[Valor total]]-Tabela1[[#This Row],[Valor custo]]</f>
        <v>639.5</v>
      </c>
      <c r="J2732" s="7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">
        <v>385</v>
      </c>
      <c r="H2733" s="1">
        <v>600</v>
      </c>
      <c r="I2733" s="6">
        <f>Tabela1[[#This Row],[Valor total]]-Tabela1[[#This Row],[Valor custo]]</f>
        <v>215</v>
      </c>
      <c r="J2733" s="7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">
        <v>10698</v>
      </c>
      <c r="H2734" s="1">
        <v>15420</v>
      </c>
      <c r="I2734" s="6">
        <f>Tabela1[[#This Row],[Valor total]]-Tabela1[[#This Row],[Valor custo]]</f>
        <v>4722</v>
      </c>
      <c r="J2734" s="7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">
        <v>2310</v>
      </c>
      <c r="H2735" s="1">
        <v>3120</v>
      </c>
      <c r="I2735" s="6">
        <f>Tabela1[[#This Row],[Valor total]]-Tabela1[[#This Row],[Valor custo]]</f>
        <v>810</v>
      </c>
      <c r="J2735" s="7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">
        <v>0</v>
      </c>
      <c r="H2736" s="1">
        <v>1350</v>
      </c>
      <c r="I2736" s="6">
        <f>Tabela1[[#This Row],[Valor total]]-Tabela1[[#This Row],[Valor custo]]</f>
        <v>1350</v>
      </c>
      <c r="J2736" s="7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">
        <v>492.73</v>
      </c>
      <c r="H2737" s="1">
        <v>950</v>
      </c>
      <c r="I2737" s="6">
        <f>Tabela1[[#This Row],[Valor total]]-Tabela1[[#This Row],[Valor custo]]</f>
        <v>457.27</v>
      </c>
      <c r="J2737" s="7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">
        <v>1761.37</v>
      </c>
      <c r="H2738" s="1">
        <v>2715</v>
      </c>
      <c r="I2738" s="6">
        <f>Tabela1[[#This Row],[Valor total]]-Tabela1[[#This Row],[Valor custo]]</f>
        <v>953.63000000000011</v>
      </c>
      <c r="J2738" s="7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">
        <v>396.28</v>
      </c>
      <c r="H2739" s="1">
        <v>480</v>
      </c>
      <c r="I2739" s="6">
        <f>Tabela1[[#This Row],[Valor total]]-Tabela1[[#This Row],[Valor custo]]</f>
        <v>83.720000000000027</v>
      </c>
      <c r="J2739" s="7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">
        <v>970</v>
      </c>
      <c r="H2740" s="1">
        <v>1550</v>
      </c>
      <c r="I2740" s="6">
        <f>Tabela1[[#This Row],[Valor total]]-Tabela1[[#This Row],[Valor custo]]</f>
        <v>580</v>
      </c>
      <c r="J2740" s="7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">
        <v>600</v>
      </c>
      <c r="H2741" s="1">
        <v>720</v>
      </c>
      <c r="I2741" s="6">
        <f>Tabela1[[#This Row],[Valor total]]-Tabela1[[#This Row],[Valor custo]]</f>
        <v>120</v>
      </c>
      <c r="J2741" s="7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">
        <v>345.6</v>
      </c>
      <c r="H2742" s="1">
        <v>430</v>
      </c>
      <c r="I2742" s="6">
        <f>Tabela1[[#This Row],[Valor total]]-Tabela1[[#This Row],[Valor custo]]</f>
        <v>84.399999999999977</v>
      </c>
      <c r="J2742" s="7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">
        <v>375</v>
      </c>
      <c r="H2743" s="1">
        <v>450</v>
      </c>
      <c r="I2743" s="6">
        <f>Tabela1[[#This Row],[Valor total]]-Tabela1[[#This Row],[Valor custo]]</f>
        <v>75</v>
      </c>
      <c r="J2743" s="7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">
        <v>432.79</v>
      </c>
      <c r="H2744" s="1">
        <v>720</v>
      </c>
      <c r="I2744" s="6">
        <f>Tabela1[[#This Row],[Valor total]]-Tabela1[[#This Row],[Valor custo]]</f>
        <v>287.20999999999998</v>
      </c>
      <c r="J2744" s="7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">
        <v>385</v>
      </c>
      <c r="H2745" s="1">
        <v>615</v>
      </c>
      <c r="I2745" s="6">
        <f>Tabela1[[#This Row],[Valor total]]-Tabela1[[#This Row],[Valor custo]]</f>
        <v>230</v>
      </c>
      <c r="J2745" s="7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">
        <v>485</v>
      </c>
      <c r="H2746" s="1">
        <v>660</v>
      </c>
      <c r="I2746" s="6">
        <f>Tabela1[[#This Row],[Valor total]]-Tabela1[[#This Row],[Valor custo]]</f>
        <v>175</v>
      </c>
      <c r="J2746" s="7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">
        <v>848</v>
      </c>
      <c r="H2747" s="1">
        <v>1165</v>
      </c>
      <c r="I2747" s="6">
        <f>Tabela1[[#This Row],[Valor total]]-Tabela1[[#This Row],[Valor custo]]</f>
        <v>317</v>
      </c>
      <c r="J2747" s="7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">
        <v>0</v>
      </c>
      <c r="H2748" s="1">
        <v>300</v>
      </c>
      <c r="I2748" s="6">
        <f>Tabela1[[#This Row],[Valor total]]-Tabela1[[#This Row],[Valor custo]]</f>
        <v>300</v>
      </c>
      <c r="J2748" s="7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">
        <v>1731.16</v>
      </c>
      <c r="H2749" s="1">
        <v>2800</v>
      </c>
      <c r="I2749" s="6">
        <f>Tabela1[[#This Row],[Valor total]]-Tabela1[[#This Row],[Valor custo]]</f>
        <v>1068.8399999999999</v>
      </c>
      <c r="J2749" s="7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">
        <v>865.58</v>
      </c>
      <c r="H2750" s="1">
        <v>1400</v>
      </c>
      <c r="I2750" s="6">
        <f>Tabela1[[#This Row],[Valor total]]-Tabela1[[#This Row],[Valor custo]]</f>
        <v>534.41999999999996</v>
      </c>
      <c r="J2750" s="7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">
        <v>165</v>
      </c>
      <c r="H2751" s="1">
        <v>450</v>
      </c>
      <c r="I2751" s="6">
        <f>Tabela1[[#This Row],[Valor total]]-Tabela1[[#This Row],[Valor custo]]</f>
        <v>285</v>
      </c>
      <c r="J2751" s="7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">
        <v>2903</v>
      </c>
      <c r="H2752" s="1">
        <v>4290</v>
      </c>
      <c r="I2752" s="6">
        <f>Tabela1[[#This Row],[Valor total]]-Tabela1[[#This Row],[Valor custo]]</f>
        <v>1387</v>
      </c>
      <c r="J2752" s="7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">
        <v>470.3</v>
      </c>
      <c r="H2753" s="1">
        <v>800</v>
      </c>
      <c r="I2753" s="6">
        <f>Tabela1[[#This Row],[Valor total]]-Tabela1[[#This Row],[Valor custo]]</f>
        <v>329.7</v>
      </c>
      <c r="J2753" s="7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">
        <v>895.79</v>
      </c>
      <c r="H2754" s="1">
        <v>1405</v>
      </c>
      <c r="I2754" s="6">
        <f>Tabela1[[#This Row],[Valor total]]-Tabela1[[#This Row],[Valor custo]]</f>
        <v>509.21000000000004</v>
      </c>
      <c r="J2754" s="7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">
        <v>16445.73</v>
      </c>
      <c r="H2755" s="1">
        <v>25300</v>
      </c>
      <c r="I2755" s="6">
        <f>Tabela1[[#This Row],[Valor total]]-Tabela1[[#This Row],[Valor custo]]</f>
        <v>8854.27</v>
      </c>
      <c r="J2755" s="7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">
        <v>3078</v>
      </c>
      <c r="H2756" s="1">
        <v>5350</v>
      </c>
      <c r="I2756" s="6">
        <f>Tabela1[[#This Row],[Valor total]]-Tabela1[[#This Row],[Valor custo]]</f>
        <v>2272</v>
      </c>
      <c r="J2756" s="7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">
        <v>174.38</v>
      </c>
      <c r="H2757" s="1">
        <v>200</v>
      </c>
      <c r="I2757" s="6">
        <f>Tabela1[[#This Row],[Valor total]]-Tabela1[[#This Row],[Valor custo]]</f>
        <v>25.620000000000005</v>
      </c>
      <c r="J2757" s="7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">
        <v>664</v>
      </c>
      <c r="H2758" s="1">
        <v>1100</v>
      </c>
      <c r="I2758" s="6">
        <f>Tabela1[[#This Row],[Valor total]]-Tabela1[[#This Row],[Valor custo]]</f>
        <v>436</v>
      </c>
      <c r="J2758" s="7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">
        <v>1219.5999999999999</v>
      </c>
      <c r="H2759" s="1">
        <v>1690</v>
      </c>
      <c r="I2759" s="6">
        <f>Tabela1[[#This Row],[Valor total]]-Tabela1[[#This Row],[Valor custo]]</f>
        <v>470.40000000000009</v>
      </c>
      <c r="J2759" s="7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">
        <v>477</v>
      </c>
      <c r="H2760" s="1">
        <v>735</v>
      </c>
      <c r="I2760" s="6">
        <f>Tabela1[[#This Row],[Valor total]]-Tabela1[[#This Row],[Valor custo]]</f>
        <v>258</v>
      </c>
      <c r="J2760" s="7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">
        <v>110</v>
      </c>
      <c r="H2761" s="1">
        <v>360</v>
      </c>
      <c r="I2761" s="6">
        <f>Tabela1[[#This Row],[Valor total]]-Tabela1[[#This Row],[Valor custo]]</f>
        <v>250</v>
      </c>
      <c r="J2761" s="7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">
        <v>649</v>
      </c>
      <c r="H2762" s="1">
        <v>1000</v>
      </c>
      <c r="I2762" s="6">
        <f>Tabela1[[#This Row],[Valor total]]-Tabela1[[#This Row],[Valor custo]]</f>
        <v>351</v>
      </c>
      <c r="J2762" s="7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">
        <v>764.6</v>
      </c>
      <c r="H2763" s="1">
        <v>1230</v>
      </c>
      <c r="I2763" s="6">
        <f>Tabela1[[#This Row],[Valor total]]-Tabela1[[#This Row],[Valor custo]]</f>
        <v>465.4</v>
      </c>
      <c r="J2763" s="7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">
        <v>382.3</v>
      </c>
      <c r="H2764" s="1">
        <v>550</v>
      </c>
      <c r="I2764" s="6">
        <f>Tabela1[[#This Row],[Valor total]]-Tabela1[[#This Row],[Valor custo]]</f>
        <v>167.7</v>
      </c>
      <c r="J2764" s="7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">
        <v>1342.5</v>
      </c>
      <c r="H2765" s="1">
        <v>2700</v>
      </c>
      <c r="I2765" s="6">
        <f>Tabela1[[#This Row],[Valor total]]-Tabela1[[#This Row],[Valor custo]]</f>
        <v>1357.5</v>
      </c>
      <c r="J2765" s="7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">
        <v>455</v>
      </c>
      <c r="H2766" s="1">
        <v>0</v>
      </c>
      <c r="I2766" s="6">
        <f>Tabela1[[#This Row],[Valor total]]-Tabela1[[#This Row],[Valor custo]]</f>
        <v>-455</v>
      </c>
      <c r="J2766" s="7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">
        <v>45.6</v>
      </c>
      <c r="H2767" s="1">
        <v>70</v>
      </c>
      <c r="I2767" s="6">
        <f>Tabela1[[#This Row],[Valor total]]-Tabela1[[#This Row],[Valor custo]]</f>
        <v>24.4</v>
      </c>
      <c r="J2767" s="7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">
        <v>679</v>
      </c>
      <c r="H2768" s="1">
        <v>350</v>
      </c>
      <c r="I2768" s="6">
        <f>Tabela1[[#This Row],[Valor total]]-Tabela1[[#This Row],[Valor custo]]</f>
        <v>-329</v>
      </c>
      <c r="J2768" s="7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">
        <v>55</v>
      </c>
      <c r="H2769" s="1">
        <v>150</v>
      </c>
      <c r="I2769" s="6">
        <f>Tabela1[[#This Row],[Valor total]]-Tabela1[[#This Row],[Valor custo]]</f>
        <v>95</v>
      </c>
      <c r="J2769" s="7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">
        <v>43.26</v>
      </c>
      <c r="H2770" s="1">
        <v>240</v>
      </c>
      <c r="I2770" s="6">
        <f>Tabela1[[#This Row],[Valor total]]-Tabela1[[#This Row],[Valor custo]]</f>
        <v>196.74</v>
      </c>
      <c r="J2770" s="7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">
        <v>432.79</v>
      </c>
      <c r="H2771" s="1">
        <v>785</v>
      </c>
      <c r="I2771" s="6">
        <f>Tabela1[[#This Row],[Valor total]]-Tabela1[[#This Row],[Valor custo]]</f>
        <v>352.21</v>
      </c>
      <c r="J2771" s="7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">
        <v>664</v>
      </c>
      <c r="H2772" s="1">
        <v>1000</v>
      </c>
      <c r="I2772" s="6">
        <f>Tabela1[[#This Row],[Valor total]]-Tabela1[[#This Row],[Valor custo]]</f>
        <v>336</v>
      </c>
      <c r="J2772" s="7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">
        <v>1926.29</v>
      </c>
      <c r="H2773" s="1">
        <v>3356</v>
      </c>
      <c r="I2773" s="6">
        <f>Tabela1[[#This Row],[Valor total]]-Tabela1[[#This Row],[Valor custo]]</f>
        <v>1429.71</v>
      </c>
      <c r="J2773" s="7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">
        <v>45.6</v>
      </c>
      <c r="H2774" s="1">
        <v>70</v>
      </c>
      <c r="I2774" s="6">
        <f>Tabela1[[#This Row],[Valor total]]-Tabela1[[#This Row],[Valor custo]]</f>
        <v>24.4</v>
      </c>
      <c r="J2774" s="7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">
        <v>490.29</v>
      </c>
      <c r="H2775" s="1">
        <v>800</v>
      </c>
      <c r="I2775" s="6">
        <f>Tabela1[[#This Row],[Valor total]]-Tabela1[[#This Row],[Valor custo]]</f>
        <v>309.70999999999998</v>
      </c>
      <c r="J2775" s="7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">
        <v>3319</v>
      </c>
      <c r="H2776" s="1">
        <v>5000</v>
      </c>
      <c r="I2776" s="6">
        <f>Tabela1[[#This Row],[Valor total]]-Tabela1[[#This Row],[Valor custo]]</f>
        <v>1681</v>
      </c>
      <c r="J2776" s="7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">
        <v>865.58</v>
      </c>
      <c r="H2777" s="1">
        <v>1400</v>
      </c>
      <c r="I2777" s="6">
        <f>Tabela1[[#This Row],[Valor total]]-Tabela1[[#This Row],[Valor custo]]</f>
        <v>534.41999999999996</v>
      </c>
      <c r="J2777" s="7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">
        <v>649</v>
      </c>
      <c r="H2778" s="1">
        <v>900</v>
      </c>
      <c r="I2778" s="6">
        <f>Tabela1[[#This Row],[Valor total]]-Tabela1[[#This Row],[Valor custo]]</f>
        <v>251</v>
      </c>
      <c r="J2778" s="7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">
        <v>470.3</v>
      </c>
      <c r="H2779" s="1">
        <v>750</v>
      </c>
      <c r="I2779" s="6">
        <f>Tabela1[[#This Row],[Valor total]]-Tabela1[[#This Row],[Valor custo]]</f>
        <v>279.7</v>
      </c>
      <c r="J2779" s="7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">
        <v>664</v>
      </c>
      <c r="H2780" s="1">
        <v>1100</v>
      </c>
      <c r="I2780" s="6">
        <f>Tabela1[[#This Row],[Valor total]]-Tabela1[[#This Row],[Valor custo]]</f>
        <v>436</v>
      </c>
      <c r="J2780" s="7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">
        <v>867</v>
      </c>
      <c r="H2781" s="1">
        <v>1650</v>
      </c>
      <c r="I2781" s="6">
        <f>Tabela1[[#This Row],[Valor total]]-Tabela1[[#This Row],[Valor custo]]</f>
        <v>783</v>
      </c>
      <c r="J2781" s="7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">
        <v>432.79</v>
      </c>
      <c r="H2782" s="1">
        <v>650</v>
      </c>
      <c r="I2782" s="6">
        <f>Tabela1[[#This Row],[Valor total]]-Tabela1[[#This Row],[Valor custo]]</f>
        <v>217.20999999999998</v>
      </c>
      <c r="J2782" s="7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">
        <v>679</v>
      </c>
      <c r="H2783" s="1">
        <v>1200</v>
      </c>
      <c r="I2783" s="6">
        <f>Tabela1[[#This Row],[Valor total]]-Tabela1[[#This Row],[Valor custo]]</f>
        <v>521</v>
      </c>
      <c r="J2783" s="7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">
        <v>50</v>
      </c>
      <c r="H2784" s="1">
        <v>60</v>
      </c>
      <c r="I2784" s="6">
        <f>Tabela1[[#This Row],[Valor total]]-Tabela1[[#This Row],[Valor custo]]</f>
        <v>10</v>
      </c>
      <c r="J2784" s="7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">
        <v>50.47</v>
      </c>
      <c r="H2785" s="1">
        <v>210</v>
      </c>
      <c r="I2785" s="6">
        <f>Tabela1[[#This Row],[Valor total]]-Tabela1[[#This Row],[Valor custo]]</f>
        <v>159.53</v>
      </c>
      <c r="J2785" s="7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">
        <v>382.3</v>
      </c>
      <c r="H2786" s="1">
        <v>650</v>
      </c>
      <c r="I2786" s="6">
        <f>Tabela1[[#This Row],[Valor total]]-Tabela1[[#This Row],[Valor custo]]</f>
        <v>267.7</v>
      </c>
      <c r="J2786" s="7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">
        <v>2980</v>
      </c>
      <c r="H2787" s="1">
        <v>5300</v>
      </c>
      <c r="I2787" s="6">
        <f>Tabela1[[#This Row],[Valor total]]-Tabela1[[#This Row],[Valor custo]]</f>
        <v>2320</v>
      </c>
      <c r="J2787" s="7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">
        <v>94.06</v>
      </c>
      <c r="H2788" s="1">
        <v>170</v>
      </c>
      <c r="I2788" s="6">
        <f>Tabela1[[#This Row],[Valor total]]-Tabela1[[#This Row],[Valor custo]]</f>
        <v>75.94</v>
      </c>
      <c r="J2788" s="7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">
        <v>916.3</v>
      </c>
      <c r="H2789" s="1">
        <v>1510</v>
      </c>
      <c r="I2789" s="6">
        <f>Tabela1[[#This Row],[Valor total]]-Tabela1[[#This Row],[Valor custo]]</f>
        <v>593.70000000000005</v>
      </c>
      <c r="J2789" s="7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">
        <v>764.6</v>
      </c>
      <c r="H2790" s="1">
        <v>1200</v>
      </c>
      <c r="I2790" s="6">
        <f>Tabela1[[#This Row],[Valor total]]-Tabela1[[#This Row],[Valor custo]]</f>
        <v>435.4</v>
      </c>
      <c r="J2790" s="7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">
        <v>360.5</v>
      </c>
      <c r="H2791" s="1">
        <v>1000</v>
      </c>
      <c r="I2791" s="6">
        <f>Tabela1[[#This Row],[Valor total]]-Tabela1[[#This Row],[Valor custo]]</f>
        <v>639.5</v>
      </c>
      <c r="J2791" s="7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">
        <v>815.09</v>
      </c>
      <c r="H2792" s="1">
        <v>1270</v>
      </c>
      <c r="I2792" s="6">
        <f>Tabela1[[#This Row],[Valor total]]-Tabela1[[#This Row],[Valor custo]]</f>
        <v>454.90999999999997</v>
      </c>
      <c r="J2792" s="7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">
        <v>114.1</v>
      </c>
      <c r="H2793" s="1">
        <v>355</v>
      </c>
      <c r="I2793" s="6">
        <f>Tabela1[[#This Row],[Valor total]]-Tabela1[[#This Row],[Valor custo]]</f>
        <v>240.9</v>
      </c>
      <c r="J2793" s="7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">
        <v>250</v>
      </c>
      <c r="H2794" s="1">
        <v>300</v>
      </c>
      <c r="I2794" s="6">
        <f>Tabela1[[#This Row],[Valor total]]-Tabela1[[#This Row],[Valor custo]]</f>
        <v>50</v>
      </c>
      <c r="J2794" s="7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">
        <v>1068</v>
      </c>
      <c r="H2795" s="1">
        <v>1580</v>
      </c>
      <c r="I2795" s="6">
        <f>Tabela1[[#This Row],[Valor total]]-Tabela1[[#This Row],[Valor custo]]</f>
        <v>512</v>
      </c>
      <c r="J2795" s="7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">
        <v>1602</v>
      </c>
      <c r="H2796" s="1">
        <v>2370</v>
      </c>
      <c r="I2796" s="6">
        <f>Tabela1[[#This Row],[Valor total]]-Tabela1[[#This Row],[Valor custo]]</f>
        <v>768</v>
      </c>
      <c r="J2796" s="7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">
        <v>1962</v>
      </c>
      <c r="H2797" s="1">
        <v>2950</v>
      </c>
      <c r="I2797" s="6">
        <f>Tabela1[[#This Row],[Valor total]]-Tabela1[[#This Row],[Valor custo]]</f>
        <v>988</v>
      </c>
      <c r="J2797" s="7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">
        <v>382.3</v>
      </c>
      <c r="H2798" s="1">
        <v>615</v>
      </c>
      <c r="I2798" s="6">
        <f>Tabela1[[#This Row],[Valor total]]-Tabela1[[#This Row],[Valor custo]]</f>
        <v>232.7</v>
      </c>
      <c r="J2798" s="7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">
        <v>1615</v>
      </c>
      <c r="H2799" s="1">
        <v>2800</v>
      </c>
      <c r="I2799" s="6">
        <f>Tabela1[[#This Row],[Valor total]]-Tabela1[[#This Row],[Valor custo]]</f>
        <v>1185</v>
      </c>
      <c r="J2799" s="7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">
        <v>2163.9499999999998</v>
      </c>
      <c r="H2800" s="1">
        <v>3125</v>
      </c>
      <c r="I2800" s="6">
        <f>Tabela1[[#This Row],[Valor total]]-Tabela1[[#This Row],[Valor custo]]</f>
        <v>961.05000000000018</v>
      </c>
      <c r="J2800" s="7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">
        <v>2643.02</v>
      </c>
      <c r="H2801" s="1">
        <v>4050</v>
      </c>
      <c r="I2801" s="6">
        <f>Tabela1[[#This Row],[Valor total]]-Tabela1[[#This Row],[Valor custo]]</f>
        <v>1406.98</v>
      </c>
      <c r="J2801" s="7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">
        <v>649</v>
      </c>
      <c r="H2802" s="1">
        <v>1090</v>
      </c>
      <c r="I2802" s="6">
        <f>Tabela1[[#This Row],[Valor total]]-Tabela1[[#This Row],[Valor custo]]</f>
        <v>441</v>
      </c>
      <c r="J2802" s="7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">
        <v>128.52000000000001</v>
      </c>
      <c r="H2803" s="1">
        <v>172</v>
      </c>
      <c r="I2803" s="6">
        <f>Tabela1[[#This Row],[Valor total]]-Tabela1[[#This Row],[Valor custo]]</f>
        <v>43.47999999999999</v>
      </c>
      <c r="J2803" s="7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">
        <v>2320</v>
      </c>
      <c r="H2804" s="1">
        <v>3600</v>
      </c>
      <c r="I2804" s="6">
        <f>Tabela1[[#This Row],[Valor total]]-Tabela1[[#This Row],[Valor custo]]</f>
        <v>1280</v>
      </c>
      <c r="J2804" s="7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">
        <v>180</v>
      </c>
      <c r="H2805" s="1">
        <v>400</v>
      </c>
      <c r="I2805" s="6">
        <f>Tabela1[[#This Row],[Valor total]]-Tabela1[[#This Row],[Valor custo]]</f>
        <v>220</v>
      </c>
      <c r="J2805" s="7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">
        <v>45.6</v>
      </c>
      <c r="H2806" s="1">
        <v>70</v>
      </c>
      <c r="I2806" s="6">
        <f>Tabela1[[#This Row],[Valor total]]-Tabela1[[#This Row],[Valor custo]]</f>
        <v>24.4</v>
      </c>
      <c r="J2806" s="7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">
        <v>2943.18</v>
      </c>
      <c r="H2807" s="1">
        <v>4630</v>
      </c>
      <c r="I2807" s="6">
        <f>Tabela1[[#This Row],[Valor total]]-Tabela1[[#This Row],[Valor custo]]</f>
        <v>1686.8200000000002</v>
      </c>
      <c r="J2807" s="7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">
        <v>693</v>
      </c>
      <c r="H2808" s="1">
        <v>300</v>
      </c>
      <c r="I2808" s="6">
        <f>Tabela1[[#This Row],[Valor total]]-Tabela1[[#This Row],[Valor custo]]</f>
        <v>-393</v>
      </c>
      <c r="J2808" s="7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">
        <v>1071</v>
      </c>
      <c r="H2809" s="1">
        <v>1693</v>
      </c>
      <c r="I2809" s="6">
        <f>Tabela1[[#This Row],[Valor total]]-Tabela1[[#This Row],[Valor custo]]</f>
        <v>622</v>
      </c>
      <c r="J2809" s="7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">
        <v>250</v>
      </c>
      <c r="H2810" s="1">
        <v>300</v>
      </c>
      <c r="I2810" s="6">
        <f>Tabela1[[#This Row],[Valor total]]-Tabela1[[#This Row],[Valor custo]]</f>
        <v>50</v>
      </c>
      <c r="J2810" s="7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">
        <v>94.06</v>
      </c>
      <c r="H2811" s="1">
        <v>150</v>
      </c>
      <c r="I2811" s="6">
        <f>Tabela1[[#This Row],[Valor total]]-Tabela1[[#This Row],[Valor custo]]</f>
        <v>55.94</v>
      </c>
      <c r="J2811" s="7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">
        <v>69.98</v>
      </c>
      <c r="H2812" s="1">
        <v>100</v>
      </c>
      <c r="I2812" s="6">
        <f>Tabela1[[#This Row],[Valor total]]-Tabela1[[#This Row],[Valor custo]]</f>
        <v>30.019999999999996</v>
      </c>
      <c r="J2812" s="7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">
        <v>2068</v>
      </c>
      <c r="H2813" s="1">
        <v>2850</v>
      </c>
      <c r="I2813" s="6">
        <f>Tabela1[[#This Row],[Valor total]]-Tabela1[[#This Row],[Valor custo]]</f>
        <v>782</v>
      </c>
      <c r="J2813" s="7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">
        <v>4127.3999999999996</v>
      </c>
      <c r="H2814" s="1">
        <v>7400</v>
      </c>
      <c r="I2814" s="6">
        <f>Tabela1[[#This Row],[Valor total]]-Tabela1[[#This Row],[Valor custo]]</f>
        <v>3272.6000000000004</v>
      </c>
      <c r="J2814" s="7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">
        <v>50</v>
      </c>
      <c r="H2815" s="1">
        <v>60</v>
      </c>
      <c r="I2815" s="6">
        <f>Tabela1[[#This Row],[Valor total]]-Tabela1[[#This Row],[Valor custo]]</f>
        <v>10</v>
      </c>
      <c r="J2815" s="7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">
        <v>764.6</v>
      </c>
      <c r="H2816" s="1">
        <v>1240</v>
      </c>
      <c r="I2816" s="6">
        <f>Tabela1[[#This Row],[Valor total]]-Tabela1[[#This Row],[Valor custo]]</f>
        <v>475.4</v>
      </c>
      <c r="J2816" s="7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">
        <v>455</v>
      </c>
      <c r="H2817" s="1">
        <v>785</v>
      </c>
      <c r="I2817" s="6">
        <f>Tabela1[[#This Row],[Valor total]]-Tabela1[[#This Row],[Valor custo]]</f>
        <v>330</v>
      </c>
      <c r="J2817" s="7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">
        <v>94.06</v>
      </c>
      <c r="H2818" s="1">
        <v>600</v>
      </c>
      <c r="I2818" s="6">
        <f>Tabela1[[#This Row],[Valor total]]-Tabela1[[#This Row],[Valor custo]]</f>
        <v>505.94</v>
      </c>
      <c r="J2818" s="7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">
        <v>1146.9000000000001</v>
      </c>
      <c r="H2819" s="1">
        <v>1560</v>
      </c>
      <c r="I2819" s="6">
        <f>Tabela1[[#This Row],[Valor total]]-Tabela1[[#This Row],[Valor custo]]</f>
        <v>413.09999999999991</v>
      </c>
      <c r="J2819" s="7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">
        <v>1888.79</v>
      </c>
      <c r="H2820" s="1">
        <v>3030</v>
      </c>
      <c r="I2820" s="6">
        <f>Tabela1[[#This Row],[Valor total]]-Tabela1[[#This Row],[Valor custo]]</f>
        <v>1141.21</v>
      </c>
      <c r="J2820" s="7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">
        <v>1579.69</v>
      </c>
      <c r="H2821" s="1">
        <v>2500</v>
      </c>
      <c r="I2821" s="6">
        <f>Tabela1[[#This Row],[Valor total]]-Tabela1[[#This Row],[Valor custo]]</f>
        <v>920.31</v>
      </c>
      <c r="J2821" s="7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">
        <v>2329.3000000000002</v>
      </c>
      <c r="H2822" s="1">
        <v>3284.25</v>
      </c>
      <c r="I2822" s="6">
        <f>Tabela1[[#This Row],[Valor total]]-Tabela1[[#This Row],[Valor custo]]</f>
        <v>954.94999999999982</v>
      </c>
      <c r="J2822" s="7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">
        <v>1056.3</v>
      </c>
      <c r="H2823" s="1">
        <v>1645</v>
      </c>
      <c r="I2823" s="6">
        <f>Tabela1[[#This Row],[Valor total]]-Tabela1[[#This Row],[Valor custo]]</f>
        <v>588.70000000000005</v>
      </c>
      <c r="J2823" s="7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">
        <v>1068</v>
      </c>
      <c r="H2824" s="1">
        <v>1738</v>
      </c>
      <c r="I2824" s="6">
        <f>Tabela1[[#This Row],[Valor total]]-Tabela1[[#This Row],[Valor custo]]</f>
        <v>670</v>
      </c>
      <c r="J2824" s="7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">
        <v>1096.79</v>
      </c>
      <c r="H2825" s="1">
        <v>1650</v>
      </c>
      <c r="I2825" s="6">
        <f>Tabela1[[#This Row],[Valor total]]-Tabela1[[#This Row],[Valor custo]]</f>
        <v>553.21</v>
      </c>
      <c r="J2825" s="7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">
        <v>477</v>
      </c>
      <c r="H2826" s="1">
        <v>840</v>
      </c>
      <c r="I2826" s="6">
        <f>Tabela1[[#This Row],[Valor total]]-Tabela1[[#This Row],[Valor custo]]</f>
        <v>363</v>
      </c>
      <c r="J2826" s="7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">
        <v>3959.87</v>
      </c>
      <c r="H2827" s="1">
        <v>5940</v>
      </c>
      <c r="I2827" s="6">
        <f>Tabela1[[#This Row],[Valor total]]-Tabela1[[#This Row],[Valor custo]]</f>
        <v>1980.13</v>
      </c>
      <c r="J2827" s="7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">
        <v>8877.9</v>
      </c>
      <c r="H2828" s="1">
        <v>13800</v>
      </c>
      <c r="I2828" s="6">
        <f>Tabela1[[#This Row],[Valor total]]-Tabela1[[#This Row],[Valor custo]]</f>
        <v>4922.1000000000004</v>
      </c>
      <c r="J2828" s="7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">
        <v>534</v>
      </c>
      <c r="H2829" s="1">
        <v>870</v>
      </c>
      <c r="I2829" s="6">
        <f>Tabela1[[#This Row],[Valor total]]-Tabela1[[#This Row],[Valor custo]]</f>
        <v>336</v>
      </c>
      <c r="J2829" s="7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">
        <v>432.79</v>
      </c>
      <c r="H2830" s="1">
        <v>680</v>
      </c>
      <c r="I2830" s="6">
        <f>Tabela1[[#This Row],[Valor total]]-Tabela1[[#This Row],[Valor custo]]</f>
        <v>247.20999999999998</v>
      </c>
      <c r="J2830" s="7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">
        <v>1747.3</v>
      </c>
      <c r="H2831" s="1">
        <v>2085</v>
      </c>
      <c r="I2831" s="6">
        <f>Tabela1[[#This Row],[Valor total]]-Tabela1[[#This Row],[Valor custo]]</f>
        <v>337.70000000000005</v>
      </c>
      <c r="J2831" s="7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">
        <v>840.01</v>
      </c>
      <c r="H2832" s="1">
        <v>1470</v>
      </c>
      <c r="I2832" s="6">
        <f>Tabela1[[#This Row],[Valor total]]-Tabela1[[#This Row],[Valor custo]]</f>
        <v>629.99</v>
      </c>
      <c r="J2832" s="7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">
        <v>248.14</v>
      </c>
      <c r="H2833" s="1">
        <v>300</v>
      </c>
      <c r="I2833" s="6">
        <f>Tabela1[[#This Row],[Valor total]]-Tabela1[[#This Row],[Valor custo]]</f>
        <v>51.860000000000014</v>
      </c>
      <c r="J2833" s="7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">
        <v>1413.6</v>
      </c>
      <c r="H2834" s="1">
        <v>2230</v>
      </c>
      <c r="I2834" s="6">
        <f>Tabela1[[#This Row],[Valor total]]-Tabela1[[#This Row],[Valor custo]]</f>
        <v>816.40000000000009</v>
      </c>
      <c r="J2834" s="7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">
        <v>16801.8</v>
      </c>
      <c r="H2835" s="1">
        <v>23330</v>
      </c>
      <c r="I2835" s="6">
        <f>Tabela1[[#This Row],[Valor total]]-Tabela1[[#This Row],[Valor custo]]</f>
        <v>6528.2000000000007</v>
      </c>
      <c r="J2835" s="7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">
        <v>2470.7600000000002</v>
      </c>
      <c r="H2836" s="1">
        <v>4040</v>
      </c>
      <c r="I2836" s="6">
        <f>Tabela1[[#This Row],[Valor total]]-Tabela1[[#This Row],[Valor custo]]</f>
        <v>1569.2399999999998</v>
      </c>
      <c r="J2836" s="7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">
        <v>35953.9</v>
      </c>
      <c r="H2837" s="1">
        <v>54550</v>
      </c>
      <c r="I2837" s="6">
        <f>Tabela1[[#This Row],[Valor total]]-Tabela1[[#This Row],[Valor custo]]</f>
        <v>18596.099999999999</v>
      </c>
      <c r="J2837" s="7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">
        <v>455</v>
      </c>
      <c r="H2838" s="1">
        <v>750</v>
      </c>
      <c r="I2838" s="6">
        <f>Tabela1[[#This Row],[Valor total]]-Tabela1[[#This Row],[Valor custo]]</f>
        <v>295</v>
      </c>
      <c r="J2838" s="7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">
        <v>1031.3</v>
      </c>
      <c r="H2839" s="1">
        <v>1515</v>
      </c>
      <c r="I2839" s="6">
        <f>Tabela1[[#This Row],[Valor total]]-Tabela1[[#This Row],[Valor custo]]</f>
        <v>483.70000000000005</v>
      </c>
      <c r="J2839" s="7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">
        <v>799.6</v>
      </c>
      <c r="H2840" s="1">
        <v>1250</v>
      </c>
      <c r="I2840" s="6">
        <f>Tabela1[[#This Row],[Valor total]]-Tabela1[[#This Row],[Valor custo]]</f>
        <v>450.4</v>
      </c>
      <c r="J2840" s="7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">
        <v>790.2</v>
      </c>
      <c r="H2841" s="1">
        <v>1250</v>
      </c>
      <c r="I2841" s="6">
        <f>Tabela1[[#This Row],[Valor total]]-Tabela1[[#This Row],[Valor custo]]</f>
        <v>459.79999999999995</v>
      </c>
      <c r="J2841" s="7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">
        <v>764.6</v>
      </c>
      <c r="H2842" s="1">
        <v>1200</v>
      </c>
      <c r="I2842" s="6">
        <f>Tabela1[[#This Row],[Valor total]]-Tabela1[[#This Row],[Valor custo]]</f>
        <v>435.4</v>
      </c>
      <c r="J2842" s="7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">
        <v>91.2</v>
      </c>
      <c r="H2843" s="1">
        <v>140</v>
      </c>
      <c r="I2843" s="6">
        <f>Tabela1[[#This Row],[Valor total]]-Tabela1[[#This Row],[Valor custo]]</f>
        <v>48.8</v>
      </c>
      <c r="J2843" s="7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">
        <v>9295.9</v>
      </c>
      <c r="H2844" s="1">
        <v>14550</v>
      </c>
      <c r="I2844" s="6">
        <f>Tabela1[[#This Row],[Valor total]]-Tabela1[[#This Row],[Valor custo]]</f>
        <v>5254.1</v>
      </c>
      <c r="J2844" s="7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">
        <v>9478.16</v>
      </c>
      <c r="H2845" s="1">
        <v>16087</v>
      </c>
      <c r="I2845" s="6">
        <f>Tabela1[[#This Row],[Valor total]]-Tabela1[[#This Row],[Valor custo]]</f>
        <v>6608.84</v>
      </c>
      <c r="J2845" s="7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">
        <v>13620.8</v>
      </c>
      <c r="H2846" s="1">
        <v>20837</v>
      </c>
      <c r="I2846" s="6">
        <f>Tabela1[[#This Row],[Valor total]]-Tabela1[[#This Row],[Valor custo]]</f>
        <v>7216.2000000000007</v>
      </c>
      <c r="J2846" s="7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">
        <v>534</v>
      </c>
      <c r="H2847" s="1">
        <v>770</v>
      </c>
      <c r="I2847" s="6">
        <f>Tabela1[[#This Row],[Valor total]]-Tabela1[[#This Row],[Valor custo]]</f>
        <v>236</v>
      </c>
      <c r="J2847" s="7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">
        <v>693</v>
      </c>
      <c r="H2848" s="1">
        <v>1350</v>
      </c>
      <c r="I2848" s="6">
        <f>Tabela1[[#This Row],[Valor total]]-Tabela1[[#This Row],[Valor custo]]</f>
        <v>657</v>
      </c>
      <c r="J2848" s="7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">
        <v>289</v>
      </c>
      <c r="H2849" s="1">
        <v>600</v>
      </c>
      <c r="I2849" s="6">
        <f>Tabela1[[#This Row],[Valor total]]-Tabela1[[#This Row],[Valor custo]]</f>
        <v>311</v>
      </c>
      <c r="J2849" s="7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">
        <v>2293.8000000000002</v>
      </c>
      <c r="H2850" s="1">
        <v>3690</v>
      </c>
      <c r="I2850" s="6">
        <f>Tabela1[[#This Row],[Valor total]]-Tabela1[[#This Row],[Valor custo]]</f>
        <v>1396.1999999999998</v>
      </c>
      <c r="J2850" s="7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">
        <v>1486.3</v>
      </c>
      <c r="H2851" s="1">
        <v>2365</v>
      </c>
      <c r="I2851" s="6">
        <f>Tabela1[[#This Row],[Valor total]]-Tabela1[[#This Row],[Valor custo]]</f>
        <v>878.7</v>
      </c>
      <c r="J2851" s="7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">
        <v>138.63999999999999</v>
      </c>
      <c r="H2852" s="1">
        <v>440</v>
      </c>
      <c r="I2852" s="6">
        <f>Tabela1[[#This Row],[Valor total]]-Tabela1[[#This Row],[Valor custo]]</f>
        <v>301.36</v>
      </c>
      <c r="J2852" s="7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">
        <v>1184</v>
      </c>
      <c r="H2853" s="1">
        <v>2150</v>
      </c>
      <c r="I2853" s="6">
        <f>Tabela1[[#This Row],[Valor total]]-Tabela1[[#This Row],[Valor custo]]</f>
        <v>966</v>
      </c>
      <c r="J2853" s="7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">
        <v>1146.9000000000001</v>
      </c>
      <c r="H2854" s="1">
        <v>1560</v>
      </c>
      <c r="I2854" s="6">
        <f>Tabela1[[#This Row],[Valor total]]-Tabela1[[#This Row],[Valor custo]]</f>
        <v>413.09999999999991</v>
      </c>
      <c r="J2854" s="7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">
        <v>968.42</v>
      </c>
      <c r="H2855" s="1">
        <v>1470</v>
      </c>
      <c r="I2855" s="6">
        <f>Tabela1[[#This Row],[Valor total]]-Tabela1[[#This Row],[Valor custo]]</f>
        <v>501.58000000000004</v>
      </c>
      <c r="J2855" s="7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">
        <v>1578.5</v>
      </c>
      <c r="H2856" s="1">
        <v>3230</v>
      </c>
      <c r="I2856" s="6">
        <f>Tabela1[[#This Row],[Valor total]]-Tabela1[[#This Row],[Valor custo]]</f>
        <v>1651.5</v>
      </c>
      <c r="J2856" s="7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">
        <v>1197.3900000000001</v>
      </c>
      <c r="H2857" s="1">
        <v>1870</v>
      </c>
      <c r="I2857" s="6">
        <f>Tabela1[[#This Row],[Valor total]]-Tabela1[[#This Row],[Valor custo]]</f>
        <v>672.6099999999999</v>
      </c>
      <c r="J2857" s="7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">
        <v>7646</v>
      </c>
      <c r="H2858" s="1">
        <v>10400</v>
      </c>
      <c r="I2858" s="6">
        <f>Tabela1[[#This Row],[Valor total]]-Tabela1[[#This Row],[Valor custo]]</f>
        <v>2754</v>
      </c>
      <c r="J2858" s="7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">
        <v>144.19999999999999</v>
      </c>
      <c r="H2859" s="1">
        <v>500</v>
      </c>
      <c r="I2859" s="6">
        <f>Tabela1[[#This Row],[Valor total]]-Tabela1[[#This Row],[Valor custo]]</f>
        <v>355.8</v>
      </c>
      <c r="J2859" s="7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">
        <v>1876.39</v>
      </c>
      <c r="H2860" s="1">
        <v>3307.7</v>
      </c>
      <c r="I2860" s="6">
        <f>Tabela1[[#This Row],[Valor total]]-Tabela1[[#This Row],[Valor custo]]</f>
        <v>1431.3099999999997</v>
      </c>
      <c r="J2860" s="7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">
        <v>382.3</v>
      </c>
      <c r="H2861" s="1">
        <v>615</v>
      </c>
      <c r="I2861" s="6">
        <f>Tabela1[[#This Row],[Valor total]]-Tabela1[[#This Row],[Valor custo]]</f>
        <v>232.7</v>
      </c>
      <c r="J2861" s="7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">
        <v>664</v>
      </c>
      <c r="H2862" s="1">
        <v>530</v>
      </c>
      <c r="I2862" s="6">
        <f>Tabela1[[#This Row],[Valor total]]-Tabela1[[#This Row],[Valor custo]]</f>
        <v>-134</v>
      </c>
      <c r="J2862" s="7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">
        <v>5544</v>
      </c>
      <c r="H2863" s="1">
        <v>9600</v>
      </c>
      <c r="I2863" s="6">
        <f>Tabela1[[#This Row],[Valor total]]-Tabela1[[#This Row],[Valor custo]]</f>
        <v>4056</v>
      </c>
      <c r="J2863" s="7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">
        <v>664</v>
      </c>
      <c r="H2864" s="1">
        <v>1000</v>
      </c>
      <c r="I2864" s="6">
        <f>Tabela1[[#This Row],[Valor total]]-Tabela1[[#This Row],[Valor custo]]</f>
        <v>336</v>
      </c>
      <c r="J2864" s="7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">
        <v>1514.58</v>
      </c>
      <c r="H2865" s="1">
        <v>2210</v>
      </c>
      <c r="I2865" s="6">
        <f>Tabela1[[#This Row],[Valor total]]-Tabela1[[#This Row],[Valor custo]]</f>
        <v>695.42000000000007</v>
      </c>
      <c r="J2865" s="7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">
        <v>3718.9</v>
      </c>
      <c r="H2866" s="1">
        <v>5860</v>
      </c>
      <c r="I2866" s="6">
        <f>Tabela1[[#This Row],[Valor total]]-Tabela1[[#This Row],[Valor custo]]</f>
        <v>2141.1</v>
      </c>
      <c r="J2866" s="7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">
        <v>1423</v>
      </c>
      <c r="H2867" s="1">
        <v>2150</v>
      </c>
      <c r="I2867" s="6">
        <f>Tabela1[[#This Row],[Valor total]]-Tabela1[[#This Row],[Valor custo]]</f>
        <v>727</v>
      </c>
      <c r="J2867" s="7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">
        <v>649</v>
      </c>
      <c r="H2868" s="1">
        <v>900</v>
      </c>
      <c r="I2868" s="6">
        <f>Tabela1[[#This Row],[Valor total]]-Tabela1[[#This Row],[Valor custo]]</f>
        <v>251</v>
      </c>
      <c r="J2868" s="7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">
        <v>675.14</v>
      </c>
      <c r="H2869" s="1">
        <v>1047</v>
      </c>
      <c r="I2869" s="6">
        <f>Tabela1[[#This Row],[Valor total]]-Tabela1[[#This Row],[Valor custo]]</f>
        <v>371.86</v>
      </c>
      <c r="J2869" s="7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">
        <v>693</v>
      </c>
      <c r="H2870" s="1">
        <v>1500</v>
      </c>
      <c r="I2870" s="6">
        <f>Tabela1[[#This Row],[Valor total]]-Tabela1[[#This Row],[Valor custo]]</f>
        <v>807</v>
      </c>
      <c r="J2870" s="7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">
        <v>293.13</v>
      </c>
      <c r="H2871" s="1">
        <v>400</v>
      </c>
      <c r="I2871" s="6">
        <f>Tabela1[[#This Row],[Valor total]]-Tabela1[[#This Row],[Valor custo]]</f>
        <v>106.87</v>
      </c>
      <c r="J2871" s="7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">
        <v>382.3</v>
      </c>
      <c r="H2872" s="1">
        <v>615</v>
      </c>
      <c r="I2872" s="6">
        <f>Tabela1[[#This Row],[Valor total]]-Tabela1[[#This Row],[Valor custo]]</f>
        <v>232.7</v>
      </c>
      <c r="J2872" s="7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">
        <v>289</v>
      </c>
      <c r="H2873" s="1">
        <v>520</v>
      </c>
      <c r="I2873" s="6">
        <f>Tabela1[[#This Row],[Valor total]]-Tabela1[[#This Row],[Valor custo]]</f>
        <v>231</v>
      </c>
      <c r="J2873" s="7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">
        <v>432.79</v>
      </c>
      <c r="H2874" s="1">
        <v>650</v>
      </c>
      <c r="I2874" s="6">
        <f>Tabela1[[#This Row],[Valor total]]-Tabela1[[#This Row],[Valor custo]]</f>
        <v>217.20999999999998</v>
      </c>
      <c r="J2874" s="7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">
        <v>738.56</v>
      </c>
      <c r="H2875" s="1">
        <v>1735</v>
      </c>
      <c r="I2875" s="6">
        <f>Tabela1[[#This Row],[Valor total]]-Tabela1[[#This Row],[Valor custo]]</f>
        <v>996.44</v>
      </c>
      <c r="J2875" s="7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">
        <v>3996</v>
      </c>
      <c r="H2876" s="1">
        <v>5790</v>
      </c>
      <c r="I2876" s="6">
        <f>Tabela1[[#This Row],[Valor total]]-Tabela1[[#This Row],[Valor custo]]</f>
        <v>1794</v>
      </c>
      <c r="J2876" s="7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">
        <v>5829.76</v>
      </c>
      <c r="H2877" s="1">
        <v>9405</v>
      </c>
      <c r="I2877" s="6">
        <f>Tabela1[[#This Row],[Valor total]]-Tabela1[[#This Row],[Valor custo]]</f>
        <v>3575.24</v>
      </c>
      <c r="J2877" s="7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">
        <v>534</v>
      </c>
      <c r="H2878" s="1">
        <v>920</v>
      </c>
      <c r="I2878" s="6">
        <f>Tabela1[[#This Row],[Valor total]]-Tabela1[[#This Row],[Valor custo]]</f>
        <v>386</v>
      </c>
      <c r="J2878" s="7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">
        <v>1197.3900000000001</v>
      </c>
      <c r="H2879" s="1">
        <v>1750</v>
      </c>
      <c r="I2879" s="6">
        <f>Tabela1[[#This Row],[Valor total]]-Tabela1[[#This Row],[Valor custo]]</f>
        <v>552.6099999999999</v>
      </c>
      <c r="J2879" s="7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">
        <v>432.79</v>
      </c>
      <c r="H2880" s="1">
        <v>615</v>
      </c>
      <c r="I2880" s="6">
        <f>Tabela1[[#This Row],[Valor total]]-Tabela1[[#This Row],[Valor custo]]</f>
        <v>182.20999999999998</v>
      </c>
      <c r="J2880" s="7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">
        <v>394.49</v>
      </c>
      <c r="H2881" s="1">
        <v>661</v>
      </c>
      <c r="I2881" s="6">
        <f>Tabela1[[#This Row],[Valor total]]-Tabela1[[#This Row],[Valor custo]]</f>
        <v>266.51</v>
      </c>
      <c r="J2881" s="7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">
        <v>1193</v>
      </c>
      <c r="H2882" s="1">
        <v>1850</v>
      </c>
      <c r="I2882" s="6">
        <f>Tabela1[[#This Row],[Valor total]]-Tabela1[[#This Row],[Valor custo]]</f>
        <v>657</v>
      </c>
      <c r="J2882" s="7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">
        <v>94.06</v>
      </c>
      <c r="H2883" s="1">
        <v>160</v>
      </c>
      <c r="I2883" s="6">
        <f>Tabela1[[#This Row],[Valor total]]-Tabela1[[#This Row],[Valor custo]]</f>
        <v>65.94</v>
      </c>
      <c r="J2883" s="7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">
        <v>293.13</v>
      </c>
      <c r="H2884" s="1">
        <v>460</v>
      </c>
      <c r="I2884" s="6">
        <f>Tabela1[[#This Row],[Valor total]]-Tabela1[[#This Row],[Valor custo]]</f>
        <v>166.87</v>
      </c>
      <c r="J2884" s="7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">
        <v>4625.8</v>
      </c>
      <c r="H2885" s="1">
        <v>7285</v>
      </c>
      <c r="I2885" s="6">
        <f>Tabela1[[#This Row],[Valor total]]-Tabela1[[#This Row],[Valor custo]]</f>
        <v>2659.2</v>
      </c>
      <c r="J2885" s="7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">
        <v>1776.39</v>
      </c>
      <c r="H2886" s="1">
        <v>2520</v>
      </c>
      <c r="I2886" s="6">
        <f>Tabela1[[#This Row],[Valor total]]-Tabela1[[#This Row],[Valor custo]]</f>
        <v>743.6099999999999</v>
      </c>
      <c r="J2886" s="7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">
        <v>60.85</v>
      </c>
      <c r="H2887" s="1">
        <v>90</v>
      </c>
      <c r="I2887" s="6">
        <f>Tabela1[[#This Row],[Valor total]]-Tabela1[[#This Row],[Valor custo]]</f>
        <v>29.15</v>
      </c>
      <c r="J2887" s="7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">
        <v>534</v>
      </c>
      <c r="H2888" s="1">
        <v>880</v>
      </c>
      <c r="I2888" s="6">
        <f>Tabela1[[#This Row],[Valor total]]-Tabela1[[#This Row],[Valor custo]]</f>
        <v>346</v>
      </c>
      <c r="J2888" s="7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">
        <v>4377.97</v>
      </c>
      <c r="H2889" s="1">
        <v>7450</v>
      </c>
      <c r="I2889" s="6">
        <f>Tabela1[[#This Row],[Valor total]]-Tabela1[[#This Row],[Valor custo]]</f>
        <v>3072.0299999999997</v>
      </c>
      <c r="J2889" s="7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">
        <v>1413.6</v>
      </c>
      <c r="H2890" s="1">
        <v>2230</v>
      </c>
      <c r="I2890" s="6">
        <f>Tabela1[[#This Row],[Valor total]]-Tabela1[[#This Row],[Valor custo]]</f>
        <v>816.40000000000009</v>
      </c>
      <c r="J2890" s="7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">
        <v>2157.9</v>
      </c>
      <c r="H2891" s="1">
        <v>3524</v>
      </c>
      <c r="I2891" s="6">
        <f>Tabela1[[#This Row],[Valor total]]-Tabela1[[#This Row],[Valor custo]]</f>
        <v>1366.1</v>
      </c>
      <c r="J2891" s="7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">
        <v>3156.3</v>
      </c>
      <c r="H2892" s="1">
        <v>4750</v>
      </c>
      <c r="I2892" s="6">
        <f>Tabela1[[#This Row],[Valor total]]-Tabela1[[#This Row],[Valor custo]]</f>
        <v>1593.6999999999998</v>
      </c>
      <c r="J2892" s="7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">
        <v>1031.3</v>
      </c>
      <c r="H2893" s="1">
        <v>1615</v>
      </c>
      <c r="I2893" s="6">
        <f>Tabela1[[#This Row],[Valor total]]-Tabela1[[#This Row],[Valor custo]]</f>
        <v>583.70000000000005</v>
      </c>
      <c r="J2893" s="7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">
        <v>954</v>
      </c>
      <c r="H2894" s="1">
        <v>1680</v>
      </c>
      <c r="I2894" s="6">
        <f>Tabela1[[#This Row],[Valor total]]-Tabela1[[#This Row],[Valor custo]]</f>
        <v>726</v>
      </c>
      <c r="J2894" s="7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">
        <v>960.93</v>
      </c>
      <c r="H2895" s="1">
        <v>1490</v>
      </c>
      <c r="I2895" s="6">
        <f>Tabela1[[#This Row],[Valor total]]-Tabela1[[#This Row],[Valor custo]]</f>
        <v>529.07000000000005</v>
      </c>
      <c r="J2895" s="7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">
        <v>5650</v>
      </c>
      <c r="H2896" s="1">
        <v>7800</v>
      </c>
      <c r="I2896" s="6">
        <f>Tabela1[[#This Row],[Valor total]]-Tabela1[[#This Row],[Valor custo]]</f>
        <v>2150</v>
      </c>
      <c r="J2896" s="7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">
        <v>979.67</v>
      </c>
      <c r="H2897" s="1">
        <v>1360</v>
      </c>
      <c r="I2897" s="6">
        <f>Tabela1[[#This Row],[Valor total]]-Tabela1[[#This Row],[Valor custo]]</f>
        <v>380.33000000000004</v>
      </c>
      <c r="J2897" s="7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">
        <v>12627</v>
      </c>
      <c r="H2898" s="1">
        <v>20460</v>
      </c>
      <c r="I2898" s="6">
        <f>Tabela1[[#This Row],[Valor total]]-Tabela1[[#This Row],[Valor custo]]</f>
        <v>7833</v>
      </c>
      <c r="J2898" s="7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">
        <v>1292.0899999999999</v>
      </c>
      <c r="H2899" s="1">
        <v>1835</v>
      </c>
      <c r="I2899" s="6">
        <f>Tabela1[[#This Row],[Valor total]]-Tabela1[[#This Row],[Valor custo]]</f>
        <v>542.91000000000008</v>
      </c>
      <c r="J2899" s="7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">
        <v>2293.8000000000002</v>
      </c>
      <c r="H2900" s="1">
        <v>4200</v>
      </c>
      <c r="I2900" s="6">
        <f>Tabela1[[#This Row],[Valor total]]-Tabela1[[#This Row],[Valor custo]]</f>
        <v>1906.1999999999998</v>
      </c>
      <c r="J2900" s="7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">
        <v>25</v>
      </c>
      <c r="H2901" s="1">
        <v>30</v>
      </c>
      <c r="I2901" s="6">
        <f>Tabela1[[#This Row],[Valor total]]-Tabela1[[#This Row],[Valor custo]]</f>
        <v>5</v>
      </c>
      <c r="J2901" s="7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">
        <v>382.3</v>
      </c>
      <c r="H2902" s="1">
        <v>620</v>
      </c>
      <c r="I2902" s="6">
        <f>Tabela1[[#This Row],[Valor total]]-Tabela1[[#This Row],[Valor custo]]</f>
        <v>237.7</v>
      </c>
      <c r="J2902" s="7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">
        <v>133.32</v>
      </c>
      <c r="H2903" s="1">
        <v>200</v>
      </c>
      <c r="I2903" s="6">
        <f>Tabela1[[#This Row],[Valor total]]-Tabela1[[#This Row],[Valor custo]]</f>
        <v>66.680000000000007</v>
      </c>
      <c r="J2903" s="7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">
        <v>1146.9000000000001</v>
      </c>
      <c r="H2904" s="1">
        <v>1845</v>
      </c>
      <c r="I2904" s="6">
        <f>Tabela1[[#This Row],[Valor total]]-Tabela1[[#This Row],[Valor custo]]</f>
        <v>698.09999999999991</v>
      </c>
      <c r="J2904" s="7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">
        <v>545</v>
      </c>
      <c r="H2905" s="1">
        <v>900</v>
      </c>
      <c r="I2905" s="6">
        <f>Tabela1[[#This Row],[Valor total]]-Tabela1[[#This Row],[Valor custo]]</f>
        <v>355</v>
      </c>
      <c r="J2905" s="7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">
        <v>289.75</v>
      </c>
      <c r="H2906" s="1">
        <v>351.5</v>
      </c>
      <c r="I2906" s="6">
        <f>Tabela1[[#This Row],[Valor total]]-Tabela1[[#This Row],[Valor custo]]</f>
        <v>61.75</v>
      </c>
      <c r="J2906" s="7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">
        <v>2180.5300000000002</v>
      </c>
      <c r="H2907" s="1">
        <v>3440</v>
      </c>
      <c r="I2907" s="6">
        <f>Tabela1[[#This Row],[Valor total]]-Tabela1[[#This Row],[Valor custo]]</f>
        <v>1259.4699999999998</v>
      </c>
      <c r="J2907" s="7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">
        <v>42</v>
      </c>
      <c r="H2908" s="1">
        <v>55</v>
      </c>
      <c r="I2908" s="6">
        <f>Tabela1[[#This Row],[Valor total]]-Tabela1[[#This Row],[Valor custo]]</f>
        <v>13</v>
      </c>
      <c r="J2908" s="7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">
        <v>916.3</v>
      </c>
      <c r="H2909" s="1">
        <v>1484</v>
      </c>
      <c r="I2909" s="6">
        <f>Tabela1[[#This Row],[Valor total]]-Tabela1[[#This Row],[Valor custo]]</f>
        <v>567.70000000000005</v>
      </c>
      <c r="J2909" s="7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">
        <v>118.74</v>
      </c>
      <c r="H2910" s="1">
        <v>160</v>
      </c>
      <c r="I2910" s="6">
        <f>Tabela1[[#This Row],[Valor total]]-Tabela1[[#This Row],[Valor custo]]</f>
        <v>41.260000000000005</v>
      </c>
      <c r="J2910" s="7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">
        <v>1553.6</v>
      </c>
      <c r="H2911" s="1">
        <v>2750</v>
      </c>
      <c r="I2911" s="6">
        <f>Tabela1[[#This Row],[Valor total]]-Tabela1[[#This Row],[Valor custo]]</f>
        <v>1196.4000000000001</v>
      </c>
      <c r="J2911" s="7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">
        <v>289</v>
      </c>
      <c r="H2912" s="1">
        <v>425</v>
      </c>
      <c r="I2912" s="6">
        <f>Tabela1[[#This Row],[Valor total]]-Tabela1[[#This Row],[Valor custo]]</f>
        <v>136</v>
      </c>
      <c r="J2912" s="7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">
        <v>165</v>
      </c>
      <c r="H2913" s="1">
        <v>540</v>
      </c>
      <c r="I2913" s="6">
        <f>Tabela1[[#This Row],[Valor total]]-Tabela1[[#This Row],[Valor custo]]</f>
        <v>375</v>
      </c>
      <c r="J2913" s="7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">
        <v>583.79999999999995</v>
      </c>
      <c r="H2914" s="1">
        <v>1035</v>
      </c>
      <c r="I2914" s="6">
        <f>Tabela1[[#This Row],[Valor total]]-Tabela1[[#This Row],[Valor custo]]</f>
        <v>451.20000000000005</v>
      </c>
      <c r="J2914" s="7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">
        <v>889.6</v>
      </c>
      <c r="H2915" s="1">
        <v>1390</v>
      </c>
      <c r="I2915" s="6">
        <f>Tabela1[[#This Row],[Valor total]]-Tabela1[[#This Row],[Valor custo]]</f>
        <v>500.4</v>
      </c>
      <c r="J2915" s="7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">
        <v>491</v>
      </c>
      <c r="H2916" s="1">
        <v>750</v>
      </c>
      <c r="I2916" s="6">
        <f>Tabela1[[#This Row],[Valor total]]-Tabela1[[#This Row],[Valor custo]]</f>
        <v>259</v>
      </c>
      <c r="J2916" s="7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">
        <v>649</v>
      </c>
      <c r="H2917" s="1">
        <v>900</v>
      </c>
      <c r="I2917" s="6">
        <f>Tabela1[[#This Row],[Valor total]]-Tabela1[[#This Row],[Valor custo]]</f>
        <v>251</v>
      </c>
      <c r="J2917" s="7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">
        <v>21.63</v>
      </c>
      <c r="H2918" s="1">
        <v>100</v>
      </c>
      <c r="I2918" s="6">
        <f>Tabela1[[#This Row],[Valor total]]-Tabela1[[#This Row],[Valor custo]]</f>
        <v>78.37</v>
      </c>
      <c r="J2918" s="7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">
        <v>403.93</v>
      </c>
      <c r="H2919" s="1">
        <v>700</v>
      </c>
      <c r="I2919" s="6">
        <f>Tabela1[[#This Row],[Valor total]]-Tabela1[[#This Row],[Valor custo]]</f>
        <v>296.07</v>
      </c>
      <c r="J2919" s="7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">
        <v>938.72</v>
      </c>
      <c r="H2920" s="1">
        <v>1530</v>
      </c>
      <c r="I2920" s="6">
        <f>Tabela1[[#This Row],[Valor total]]-Tabela1[[#This Row],[Valor custo]]</f>
        <v>591.28</v>
      </c>
      <c r="J2920" s="7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">
        <v>1779.2</v>
      </c>
      <c r="H2921" s="1">
        <v>2690</v>
      </c>
      <c r="I2921" s="6">
        <f>Tabela1[[#This Row],[Valor total]]-Tabela1[[#This Row],[Valor custo]]</f>
        <v>910.8</v>
      </c>
      <c r="J2921" s="7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">
        <v>382.3</v>
      </c>
      <c r="H2922" s="1">
        <v>615</v>
      </c>
      <c r="I2922" s="6">
        <f>Tabela1[[#This Row],[Valor total]]-Tabela1[[#This Row],[Valor custo]]</f>
        <v>232.7</v>
      </c>
      <c r="J2922" s="7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">
        <v>1466</v>
      </c>
      <c r="H2923" s="1">
        <v>1980</v>
      </c>
      <c r="I2923" s="6">
        <f>Tabela1[[#This Row],[Valor total]]-Tabela1[[#This Row],[Valor custo]]</f>
        <v>514</v>
      </c>
      <c r="J2923" s="7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">
        <v>1820</v>
      </c>
      <c r="H2924" s="1">
        <v>2800</v>
      </c>
      <c r="I2924" s="6">
        <f>Tabela1[[#This Row],[Valor total]]-Tabela1[[#This Row],[Valor custo]]</f>
        <v>980</v>
      </c>
      <c r="J2924" s="7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">
        <v>72.099999999999994</v>
      </c>
      <c r="H2925" s="1">
        <v>200</v>
      </c>
      <c r="I2925" s="6">
        <f>Tabela1[[#This Row],[Valor total]]-Tabela1[[#This Row],[Valor custo]]</f>
        <v>127.9</v>
      </c>
      <c r="J2925" s="7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">
        <v>534</v>
      </c>
      <c r="H2926" s="1">
        <v>790</v>
      </c>
      <c r="I2926" s="6">
        <f>Tabela1[[#This Row],[Valor total]]-Tabela1[[#This Row],[Valor custo]]</f>
        <v>256</v>
      </c>
      <c r="J2926" s="7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">
        <v>920</v>
      </c>
      <c r="H2927" s="1">
        <v>1150</v>
      </c>
      <c r="I2927" s="6">
        <f>Tabela1[[#This Row],[Valor total]]-Tabela1[[#This Row],[Valor custo]]</f>
        <v>230</v>
      </c>
      <c r="J2927" s="7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">
        <v>522.79</v>
      </c>
      <c r="H2928" s="1">
        <v>875</v>
      </c>
      <c r="I2928" s="6">
        <f>Tabela1[[#This Row],[Valor total]]-Tabela1[[#This Row],[Valor custo]]</f>
        <v>352.21000000000004</v>
      </c>
      <c r="J2928" s="7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">
        <v>2704</v>
      </c>
      <c r="H2929" s="1">
        <v>3990</v>
      </c>
      <c r="I2929" s="6">
        <f>Tabela1[[#This Row],[Valor total]]-Tabela1[[#This Row],[Valor custo]]</f>
        <v>1286</v>
      </c>
      <c r="J2929" s="7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">
        <v>10891.85</v>
      </c>
      <c r="H2930" s="1">
        <v>13500</v>
      </c>
      <c r="I2930" s="6">
        <f>Tabela1[[#This Row],[Valor total]]-Tabela1[[#This Row],[Valor custo]]</f>
        <v>2608.1499999999996</v>
      </c>
      <c r="J2930" s="7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">
        <v>649</v>
      </c>
      <c r="H2931" s="1">
        <v>1000</v>
      </c>
      <c r="I2931" s="6">
        <f>Tabela1[[#This Row],[Valor total]]-Tabela1[[#This Row],[Valor custo]]</f>
        <v>351</v>
      </c>
      <c r="J2931" s="7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">
        <v>2307.4899999999998</v>
      </c>
      <c r="H2932" s="1">
        <v>3600</v>
      </c>
      <c r="I2932" s="6">
        <f>Tabela1[[#This Row],[Valor total]]-Tabela1[[#This Row],[Valor custo]]</f>
        <v>1292.5100000000002</v>
      </c>
      <c r="J2932" s="7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">
        <v>2652.55</v>
      </c>
      <c r="H2933" s="1">
        <v>5410</v>
      </c>
      <c r="I2933" s="6">
        <f>Tabela1[[#This Row],[Valor total]]-Tabela1[[#This Row],[Valor custo]]</f>
        <v>2757.45</v>
      </c>
      <c r="J2933" s="7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">
        <v>1136.79</v>
      </c>
      <c r="H2934" s="1">
        <v>1980</v>
      </c>
      <c r="I2934" s="6">
        <f>Tabela1[[#This Row],[Valor total]]-Tabela1[[#This Row],[Valor custo]]</f>
        <v>843.21</v>
      </c>
      <c r="J2934" s="7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">
        <v>1031.3</v>
      </c>
      <c r="H2935" s="1">
        <v>1765</v>
      </c>
      <c r="I2935" s="6">
        <f>Tabela1[[#This Row],[Valor total]]-Tabela1[[#This Row],[Valor custo]]</f>
        <v>733.7</v>
      </c>
      <c r="J2935" s="7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">
        <v>725</v>
      </c>
      <c r="H2936" s="1">
        <v>1330</v>
      </c>
      <c r="I2936" s="6">
        <f>Tabela1[[#This Row],[Valor total]]-Tabela1[[#This Row],[Valor custo]]</f>
        <v>605</v>
      </c>
      <c r="J2936" s="7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">
        <v>1031.3</v>
      </c>
      <c r="H2937" s="1">
        <v>1800</v>
      </c>
      <c r="I2937" s="6">
        <f>Tabela1[[#This Row],[Valor total]]-Tabela1[[#This Row],[Valor custo]]</f>
        <v>768.7</v>
      </c>
      <c r="J2937" s="7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">
        <v>382.3</v>
      </c>
      <c r="H2938" s="1">
        <v>644.5</v>
      </c>
      <c r="I2938" s="6">
        <f>Tabela1[[#This Row],[Valor total]]-Tabela1[[#This Row],[Valor custo]]</f>
        <v>262.2</v>
      </c>
      <c r="J2938" s="7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">
        <v>14976</v>
      </c>
      <c r="H2939" s="1">
        <v>21875</v>
      </c>
      <c r="I2939" s="6">
        <f>Tabela1[[#This Row],[Valor total]]-Tabela1[[#This Row],[Valor custo]]</f>
        <v>6899</v>
      </c>
      <c r="J2939" s="7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">
        <v>382.3</v>
      </c>
      <c r="H2940" s="1">
        <v>650</v>
      </c>
      <c r="I2940" s="6">
        <f>Tabela1[[#This Row],[Valor total]]-Tabela1[[#This Row],[Valor custo]]</f>
        <v>267.7</v>
      </c>
      <c r="J2940" s="7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">
        <v>250</v>
      </c>
      <c r="H2941" s="1">
        <v>300</v>
      </c>
      <c r="I2941" s="6">
        <f>Tabela1[[#This Row],[Valor total]]-Tabela1[[#This Row],[Valor custo]]</f>
        <v>50</v>
      </c>
      <c r="J2941" s="7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">
        <v>382.3</v>
      </c>
      <c r="H2942" s="1">
        <v>600</v>
      </c>
      <c r="I2942" s="6">
        <f>Tabela1[[#This Row],[Valor total]]-Tabela1[[#This Row],[Valor custo]]</f>
        <v>217.7</v>
      </c>
      <c r="J2942" s="7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">
        <v>424.98</v>
      </c>
      <c r="H2943" s="1">
        <v>699</v>
      </c>
      <c r="I2943" s="6">
        <f>Tabela1[[#This Row],[Valor total]]-Tabela1[[#This Row],[Valor custo]]</f>
        <v>274.02</v>
      </c>
      <c r="J2943" s="7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">
        <v>2293.8000000000002</v>
      </c>
      <c r="H2944" s="1">
        <v>3500</v>
      </c>
      <c r="I2944" s="6">
        <f>Tabela1[[#This Row],[Valor total]]-Tabela1[[#This Row],[Valor custo]]</f>
        <v>1206.1999999999998</v>
      </c>
      <c r="J2944" s="7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">
        <v>789.6</v>
      </c>
      <c r="H2945" s="1">
        <v>1250</v>
      </c>
      <c r="I2945" s="6">
        <f>Tabela1[[#This Row],[Valor total]]-Tabela1[[#This Row],[Valor custo]]</f>
        <v>460.4</v>
      </c>
      <c r="J2945" s="7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">
        <v>900</v>
      </c>
      <c r="H2946" s="1">
        <v>1500</v>
      </c>
      <c r="I2946" s="6">
        <f>Tabela1[[#This Row],[Valor total]]-Tabela1[[#This Row],[Valor custo]]</f>
        <v>600</v>
      </c>
      <c r="J2946" s="7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">
        <v>679</v>
      </c>
      <c r="H2947" s="1">
        <v>1400</v>
      </c>
      <c r="I2947" s="6">
        <f>Tabela1[[#This Row],[Valor total]]-Tabela1[[#This Row],[Valor custo]]</f>
        <v>721</v>
      </c>
      <c r="J2947" s="7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">
        <v>534</v>
      </c>
      <c r="H2948" s="1">
        <v>860</v>
      </c>
      <c r="I2948" s="6">
        <f>Tabela1[[#This Row],[Valor total]]-Tabela1[[#This Row],[Valor custo]]</f>
        <v>326</v>
      </c>
      <c r="J2948" s="7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">
        <v>649</v>
      </c>
      <c r="H2949" s="1">
        <v>1150</v>
      </c>
      <c r="I2949" s="6">
        <f>Tabela1[[#This Row],[Valor total]]-Tabela1[[#This Row],[Valor custo]]</f>
        <v>501</v>
      </c>
      <c r="J2949" s="7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">
        <v>534</v>
      </c>
      <c r="H2950" s="1">
        <v>790</v>
      </c>
      <c r="I2950" s="6">
        <f>Tabela1[[#This Row],[Valor total]]-Tabela1[[#This Row],[Valor custo]]</f>
        <v>256</v>
      </c>
      <c r="J2950" s="7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">
        <v>545</v>
      </c>
      <c r="H2951" s="1">
        <v>900</v>
      </c>
      <c r="I2951" s="6">
        <f>Tabela1[[#This Row],[Valor total]]-Tabela1[[#This Row],[Valor custo]]</f>
        <v>355</v>
      </c>
      <c r="J2951" s="7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">
        <v>2075.1999999999998</v>
      </c>
      <c r="H2952" s="1">
        <v>3354</v>
      </c>
      <c r="I2952" s="6">
        <f>Tabela1[[#This Row],[Valor total]]-Tabela1[[#This Row],[Valor custo]]</f>
        <v>1278.8000000000002</v>
      </c>
      <c r="J2952" s="7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">
        <v>3640</v>
      </c>
      <c r="H2953" s="1">
        <v>800</v>
      </c>
      <c r="I2953" s="6">
        <f>Tabela1[[#This Row],[Valor total]]-Tabela1[[#This Row],[Valor custo]]</f>
        <v>-2840</v>
      </c>
      <c r="J2953" s="7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">
        <v>289</v>
      </c>
      <c r="H2954" s="1">
        <v>560</v>
      </c>
      <c r="I2954" s="6">
        <f>Tabela1[[#This Row],[Valor total]]-Tabela1[[#This Row],[Valor custo]]</f>
        <v>271</v>
      </c>
      <c r="J2954" s="7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">
        <v>1824</v>
      </c>
      <c r="H2955" s="1">
        <v>3350</v>
      </c>
      <c r="I2955" s="6">
        <f>Tabela1[[#This Row],[Valor total]]-Tabela1[[#This Row],[Valor custo]]</f>
        <v>1526</v>
      </c>
      <c r="J2955" s="7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">
        <v>4000.09</v>
      </c>
      <c r="H2956" s="1">
        <v>6510</v>
      </c>
      <c r="I2956" s="6">
        <f>Tabela1[[#This Row],[Valor total]]-Tabela1[[#This Row],[Valor custo]]</f>
        <v>2509.91</v>
      </c>
      <c r="J2956" s="7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">
        <v>432.79</v>
      </c>
      <c r="H2957" s="1">
        <v>700</v>
      </c>
      <c r="I2957" s="6">
        <f>Tabela1[[#This Row],[Valor total]]-Tabela1[[#This Row],[Valor custo]]</f>
        <v>267.20999999999998</v>
      </c>
      <c r="J2957" s="7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">
        <v>889.6</v>
      </c>
      <c r="H2958" s="1">
        <v>1400</v>
      </c>
      <c r="I2958" s="6">
        <f>Tabela1[[#This Row],[Valor total]]-Tabela1[[#This Row],[Valor custo]]</f>
        <v>510.4</v>
      </c>
      <c r="J2958" s="7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">
        <v>455</v>
      </c>
      <c r="H2959" s="1">
        <v>750</v>
      </c>
      <c r="I2959" s="6">
        <f>Tabela1[[#This Row],[Valor total]]-Tabela1[[#This Row],[Valor custo]]</f>
        <v>295</v>
      </c>
      <c r="J2959" s="7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">
        <v>382.3</v>
      </c>
      <c r="H2960" s="1">
        <v>600</v>
      </c>
      <c r="I2960" s="6">
        <f>Tabela1[[#This Row],[Valor total]]-Tabela1[[#This Row],[Valor custo]]</f>
        <v>217.7</v>
      </c>
      <c r="J2960" s="7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">
        <v>289</v>
      </c>
      <c r="H2961" s="1">
        <v>550</v>
      </c>
      <c r="I2961" s="6">
        <f>Tabela1[[#This Row],[Valor total]]-Tabela1[[#This Row],[Valor custo]]</f>
        <v>261</v>
      </c>
      <c r="J2961" s="7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">
        <v>455</v>
      </c>
      <c r="H2962" s="1">
        <v>650</v>
      </c>
      <c r="I2962" s="6">
        <f>Tabela1[[#This Row],[Valor total]]-Tabela1[[#This Row],[Valor custo]]</f>
        <v>195</v>
      </c>
      <c r="J2962" s="7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">
        <v>343</v>
      </c>
      <c r="H2963" s="1">
        <v>675</v>
      </c>
      <c r="I2963" s="6">
        <f>Tabela1[[#This Row],[Valor total]]-Tabela1[[#This Row],[Valor custo]]</f>
        <v>332</v>
      </c>
      <c r="J2963" s="7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">
        <v>491</v>
      </c>
      <c r="H2964" s="1">
        <v>750</v>
      </c>
      <c r="I2964" s="6">
        <f>Tabela1[[#This Row],[Valor total]]-Tabela1[[#This Row],[Valor custo]]</f>
        <v>259</v>
      </c>
      <c r="J2964" s="7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">
        <v>494</v>
      </c>
      <c r="H2965" s="1">
        <v>830</v>
      </c>
      <c r="I2965" s="6">
        <f>Tabela1[[#This Row],[Valor total]]-Tabela1[[#This Row],[Valor custo]]</f>
        <v>336</v>
      </c>
      <c r="J2965" s="7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">
        <v>610</v>
      </c>
      <c r="H2966" s="1">
        <v>800</v>
      </c>
      <c r="I2966" s="6">
        <f>Tabela1[[#This Row],[Valor total]]-Tabela1[[#This Row],[Valor custo]]</f>
        <v>190</v>
      </c>
      <c r="J2966" s="7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">
        <v>630.55999999999995</v>
      </c>
      <c r="H2967" s="1">
        <v>920</v>
      </c>
      <c r="I2967" s="6">
        <f>Tabela1[[#This Row],[Valor total]]-Tabela1[[#This Row],[Valor custo]]</f>
        <v>289.44000000000005</v>
      </c>
      <c r="J2967" s="7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">
        <v>1961.99</v>
      </c>
      <c r="H2968" s="1">
        <v>2915</v>
      </c>
      <c r="I2968" s="6">
        <f>Tabela1[[#This Row],[Valor total]]-Tabela1[[#This Row],[Valor custo]]</f>
        <v>953.01</v>
      </c>
      <c r="J2968" s="7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">
        <v>1417.3</v>
      </c>
      <c r="H2969" s="1">
        <v>2184</v>
      </c>
      <c r="I2969" s="6">
        <f>Tabela1[[#This Row],[Valor total]]-Tabela1[[#This Row],[Valor custo]]</f>
        <v>766.7</v>
      </c>
      <c r="J2969" s="7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">
        <v>1104</v>
      </c>
      <c r="H2970" s="1">
        <v>1575</v>
      </c>
      <c r="I2970" s="6">
        <f>Tabela1[[#This Row],[Valor total]]-Tabela1[[#This Row],[Valor custo]]</f>
        <v>471</v>
      </c>
      <c r="J2970" s="7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">
        <v>865.58</v>
      </c>
      <c r="H2971" s="1">
        <v>1440</v>
      </c>
      <c r="I2971" s="6">
        <f>Tabela1[[#This Row],[Valor total]]-Tabela1[[#This Row],[Valor custo]]</f>
        <v>574.41999999999996</v>
      </c>
      <c r="J2971" s="7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">
        <v>1011</v>
      </c>
      <c r="H2972" s="1">
        <v>1525</v>
      </c>
      <c r="I2972" s="6">
        <f>Tabela1[[#This Row],[Valor total]]-Tabela1[[#This Row],[Valor custo]]</f>
        <v>514</v>
      </c>
      <c r="J2972" s="7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">
        <v>382.3</v>
      </c>
      <c r="H2973" s="1">
        <v>520</v>
      </c>
      <c r="I2973" s="6">
        <f>Tabela1[[#This Row],[Valor total]]-Tabela1[[#This Row],[Valor custo]]</f>
        <v>137.69999999999999</v>
      </c>
      <c r="J2973" s="7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">
        <v>1446.81</v>
      </c>
      <c r="H2974" s="1">
        <v>3200</v>
      </c>
      <c r="I2974" s="6">
        <f>Tabela1[[#This Row],[Valor total]]-Tabela1[[#This Row],[Valor custo]]</f>
        <v>1753.19</v>
      </c>
      <c r="J2974" s="7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">
        <v>150</v>
      </c>
      <c r="H2975" s="1">
        <v>206</v>
      </c>
      <c r="I2975" s="6">
        <f>Tabela1[[#This Row],[Valor total]]-Tabela1[[#This Row],[Valor custo]]</f>
        <v>56</v>
      </c>
      <c r="J2975" s="7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">
        <v>0</v>
      </c>
      <c r="H2976" s="1">
        <v>270</v>
      </c>
      <c r="I2976" s="6">
        <f>Tabela1[[#This Row],[Valor total]]-Tabela1[[#This Row],[Valor custo]]</f>
        <v>270</v>
      </c>
      <c r="J2976" s="7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">
        <v>1197.3900000000001</v>
      </c>
      <c r="H2977" s="1">
        <v>1750</v>
      </c>
      <c r="I2977" s="6">
        <f>Tabela1[[#This Row],[Valor total]]-Tabela1[[#This Row],[Valor custo]]</f>
        <v>552.6099999999999</v>
      </c>
      <c r="J2977" s="7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">
        <v>477</v>
      </c>
      <c r="H2978" s="1">
        <v>840</v>
      </c>
      <c r="I2978" s="6">
        <f>Tabela1[[#This Row],[Valor total]]-Tabela1[[#This Row],[Valor custo]]</f>
        <v>363</v>
      </c>
      <c r="J2978" s="7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">
        <v>432.79</v>
      </c>
      <c r="H2979" s="1">
        <v>655</v>
      </c>
      <c r="I2979" s="6">
        <f>Tabela1[[#This Row],[Valor total]]-Tabela1[[#This Row],[Valor custo]]</f>
        <v>222.20999999999998</v>
      </c>
      <c r="J2979" s="7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">
        <v>19.79</v>
      </c>
      <c r="H2980" s="1">
        <v>129</v>
      </c>
      <c r="I2980" s="6">
        <f>Tabela1[[#This Row],[Valor total]]-Tabela1[[#This Row],[Valor custo]]</f>
        <v>109.21000000000001</v>
      </c>
      <c r="J2980" s="7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">
        <v>1096.79</v>
      </c>
      <c r="H2981" s="1">
        <v>2000</v>
      </c>
      <c r="I2981" s="6">
        <f>Tabela1[[#This Row],[Valor total]]-Tabela1[[#This Row],[Valor custo]]</f>
        <v>903.21</v>
      </c>
      <c r="J2981" s="7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">
        <v>491</v>
      </c>
      <c r="H2982" s="1">
        <v>730</v>
      </c>
      <c r="I2982" s="6">
        <f>Tabela1[[#This Row],[Valor total]]-Tabela1[[#This Row],[Valor custo]]</f>
        <v>239</v>
      </c>
      <c r="J2982" s="7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">
        <v>649</v>
      </c>
      <c r="H2983" s="1">
        <v>1000</v>
      </c>
      <c r="I2983" s="6">
        <f>Tabela1[[#This Row],[Valor total]]-Tabela1[[#This Row],[Valor custo]]</f>
        <v>351</v>
      </c>
      <c r="J2983" s="7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">
        <v>7.21</v>
      </c>
      <c r="H2984" s="1">
        <v>35</v>
      </c>
      <c r="I2984" s="6">
        <f>Tabela1[[#This Row],[Valor total]]-Tabela1[[#This Row],[Valor custo]]</f>
        <v>27.79</v>
      </c>
      <c r="J2984" s="7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">
        <v>122.74</v>
      </c>
      <c r="H2985" s="1">
        <v>105</v>
      </c>
      <c r="I2985" s="6">
        <f>Tabela1[[#This Row],[Valor total]]-Tabela1[[#This Row],[Valor custo]]</f>
        <v>-17.739999999999995</v>
      </c>
      <c r="J2985" s="7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">
        <v>465.79</v>
      </c>
      <c r="H2986" s="1">
        <v>670</v>
      </c>
      <c r="I2986" s="6">
        <f>Tabela1[[#This Row],[Valor total]]-Tabela1[[#This Row],[Valor custo]]</f>
        <v>204.20999999999998</v>
      </c>
      <c r="J2986" s="7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">
        <v>491</v>
      </c>
      <c r="H2987" s="1">
        <v>700</v>
      </c>
      <c r="I2987" s="6">
        <f>Tabela1[[#This Row],[Valor total]]-Tabela1[[#This Row],[Valor custo]]</f>
        <v>209</v>
      </c>
      <c r="J2987" s="7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">
        <v>22489.08</v>
      </c>
      <c r="H2988" s="1">
        <v>33718</v>
      </c>
      <c r="I2988" s="6">
        <f>Tabela1[[#This Row],[Valor total]]-Tabela1[[#This Row],[Valor custo]]</f>
        <v>11228.919999999998</v>
      </c>
      <c r="J2988" s="7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">
        <v>293.13</v>
      </c>
      <c r="H2989" s="1">
        <v>450</v>
      </c>
      <c r="I2989" s="6">
        <f>Tabela1[[#This Row],[Valor total]]-Tabela1[[#This Row],[Valor custo]]</f>
        <v>156.87</v>
      </c>
      <c r="J2989" s="7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">
        <v>1579.69</v>
      </c>
      <c r="H2990" s="1">
        <v>2355</v>
      </c>
      <c r="I2990" s="6">
        <f>Tabela1[[#This Row],[Valor total]]-Tabela1[[#This Row],[Valor custo]]</f>
        <v>775.31</v>
      </c>
      <c r="J2990" s="7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">
        <v>489.2</v>
      </c>
      <c r="H2991" s="1">
        <v>866</v>
      </c>
      <c r="I2991" s="6">
        <f>Tabela1[[#This Row],[Valor total]]-Tabela1[[#This Row],[Valor custo]]</f>
        <v>376.8</v>
      </c>
      <c r="J2991" s="7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">
        <v>125</v>
      </c>
      <c r="H2992" s="1">
        <v>152.5</v>
      </c>
      <c r="I2992" s="6">
        <f>Tabela1[[#This Row],[Valor total]]-Tabela1[[#This Row],[Valor custo]]</f>
        <v>27.5</v>
      </c>
      <c r="J2992" s="7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">
        <v>215</v>
      </c>
      <c r="H2993" s="1">
        <v>330</v>
      </c>
      <c r="I2993" s="6">
        <f>Tabela1[[#This Row],[Valor total]]-Tabela1[[#This Row],[Valor custo]]</f>
        <v>115</v>
      </c>
      <c r="J2993" s="7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">
        <v>125</v>
      </c>
      <c r="H2994" s="1">
        <v>150</v>
      </c>
      <c r="I2994" s="6">
        <f>Tabela1[[#This Row],[Valor total]]-Tabela1[[#This Row],[Valor custo]]</f>
        <v>25</v>
      </c>
      <c r="J2994" s="7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">
        <v>432.79</v>
      </c>
      <c r="H2995" s="1">
        <v>650</v>
      </c>
      <c r="I2995" s="6">
        <f>Tabela1[[#This Row],[Valor total]]-Tabela1[[#This Row],[Valor custo]]</f>
        <v>217.20999999999998</v>
      </c>
      <c r="J2995" s="7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">
        <v>10820.9</v>
      </c>
      <c r="H2996" s="1">
        <v>15800</v>
      </c>
      <c r="I2996" s="6">
        <f>Tabela1[[#This Row],[Valor total]]-Tabela1[[#This Row],[Valor custo]]</f>
        <v>4979.1000000000004</v>
      </c>
      <c r="J2996" s="7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">
        <v>293.13</v>
      </c>
      <c r="H2997" s="1">
        <v>400</v>
      </c>
      <c r="I2997" s="6">
        <f>Tabela1[[#This Row],[Valor total]]-Tabela1[[#This Row],[Valor custo]]</f>
        <v>106.87</v>
      </c>
      <c r="J2997" s="7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">
        <v>53.84</v>
      </c>
      <c r="H2998" s="1">
        <v>90</v>
      </c>
      <c r="I2998" s="6">
        <f>Tabela1[[#This Row],[Valor total]]-Tabela1[[#This Row],[Valor custo]]</f>
        <v>36.159999999999997</v>
      </c>
      <c r="J2998" s="7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">
        <v>477</v>
      </c>
      <c r="H2999" s="1">
        <v>820</v>
      </c>
      <c r="I2999" s="6">
        <f>Tabela1[[#This Row],[Valor total]]-Tabela1[[#This Row],[Valor custo]]</f>
        <v>343</v>
      </c>
      <c r="J2999" s="7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">
        <v>477</v>
      </c>
      <c r="H3000" s="1">
        <v>810</v>
      </c>
      <c r="I3000" s="6">
        <f>Tabela1[[#This Row],[Valor total]]-Tabela1[[#This Row],[Valor custo]]</f>
        <v>333</v>
      </c>
      <c r="J3000" s="7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">
        <v>84.92</v>
      </c>
      <c r="H3001" s="1">
        <v>90</v>
      </c>
      <c r="I3001" s="6">
        <f>Tabela1[[#This Row],[Valor total]]-Tabela1[[#This Row],[Valor custo]]</f>
        <v>5.0799999999999983</v>
      </c>
      <c r="J3001" s="7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">
        <v>455</v>
      </c>
      <c r="H3002" s="1">
        <v>750</v>
      </c>
      <c r="I3002" s="6">
        <f>Tabela1[[#This Row],[Valor total]]-Tabela1[[#This Row],[Valor custo]]</f>
        <v>295</v>
      </c>
      <c r="J3002" s="7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">
        <v>360.5</v>
      </c>
      <c r="H3003" s="1">
        <v>850</v>
      </c>
      <c r="I3003" s="6">
        <f>Tabela1[[#This Row],[Valor total]]-Tabela1[[#This Row],[Valor custo]]</f>
        <v>489.5</v>
      </c>
      <c r="J3003" s="7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">
        <v>1612.75</v>
      </c>
      <c r="H3004" s="1">
        <v>2580</v>
      </c>
      <c r="I3004" s="6">
        <f>Tabela1[[#This Row],[Valor total]]-Tabela1[[#This Row],[Valor custo]]</f>
        <v>967.25</v>
      </c>
      <c r="J3004" s="7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">
        <v>815.09</v>
      </c>
      <c r="H3005" s="1">
        <v>1324</v>
      </c>
      <c r="I3005" s="6">
        <f>Tabela1[[#This Row],[Valor total]]-Tabela1[[#This Row],[Valor custo]]</f>
        <v>508.90999999999997</v>
      </c>
      <c r="J3005" s="7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">
        <v>293.13</v>
      </c>
      <c r="H3006" s="1">
        <v>400</v>
      </c>
      <c r="I3006" s="6">
        <f>Tabela1[[#This Row],[Valor total]]-Tabela1[[#This Row],[Valor custo]]</f>
        <v>106.87</v>
      </c>
      <c r="J3006" s="7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">
        <v>649</v>
      </c>
      <c r="H3007" s="1">
        <v>1150</v>
      </c>
      <c r="I3007" s="6">
        <f>Tabela1[[#This Row],[Valor total]]-Tabela1[[#This Row],[Valor custo]]</f>
        <v>501</v>
      </c>
      <c r="J3007" s="7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">
        <v>1820</v>
      </c>
      <c r="H3008" s="1">
        <v>2848</v>
      </c>
      <c r="I3008" s="6">
        <f>Tabela1[[#This Row],[Valor total]]-Tabela1[[#This Row],[Valor custo]]</f>
        <v>1028</v>
      </c>
      <c r="J3008" s="7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">
        <v>382.3</v>
      </c>
      <c r="H3009" s="1">
        <v>615</v>
      </c>
      <c r="I3009" s="6">
        <f>Tabela1[[#This Row],[Valor total]]-Tabela1[[#This Row],[Valor custo]]</f>
        <v>232.7</v>
      </c>
      <c r="J3009" s="7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">
        <v>491</v>
      </c>
      <c r="H3010" s="1">
        <v>766</v>
      </c>
      <c r="I3010" s="6">
        <f>Tabela1[[#This Row],[Valor total]]-Tabela1[[#This Row],[Valor custo]]</f>
        <v>275</v>
      </c>
      <c r="J3010" s="7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">
        <v>700.21</v>
      </c>
      <c r="H3011" s="1">
        <v>1450</v>
      </c>
      <c r="I3011" s="6">
        <f>Tabela1[[#This Row],[Valor total]]-Tabela1[[#This Row],[Valor custo]]</f>
        <v>749.79</v>
      </c>
      <c r="J3011" s="7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">
        <v>865.58</v>
      </c>
      <c r="H3012" s="1">
        <v>1360</v>
      </c>
      <c r="I3012" s="6">
        <f>Tabela1[[#This Row],[Valor total]]-Tabela1[[#This Row],[Valor custo]]</f>
        <v>494.41999999999996</v>
      </c>
      <c r="J3012" s="7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">
        <v>1586.88</v>
      </c>
      <c r="H3013" s="1">
        <v>2140</v>
      </c>
      <c r="I3013" s="6">
        <f>Tabela1[[#This Row],[Valor total]]-Tabela1[[#This Row],[Valor custo]]</f>
        <v>553.11999999999989</v>
      </c>
      <c r="J3013" s="7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">
        <v>5504</v>
      </c>
      <c r="H3014" s="1">
        <v>7560</v>
      </c>
      <c r="I3014" s="6">
        <f>Tabela1[[#This Row],[Valor total]]-Tabela1[[#This Row],[Valor custo]]</f>
        <v>2056</v>
      </c>
      <c r="J3014" s="7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">
        <v>865.58</v>
      </c>
      <c r="H3015" s="1">
        <v>1100</v>
      </c>
      <c r="I3015" s="6">
        <f>Tabela1[[#This Row],[Valor total]]-Tabela1[[#This Row],[Valor custo]]</f>
        <v>234.41999999999996</v>
      </c>
      <c r="J3015" s="7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">
        <v>103.69</v>
      </c>
      <c r="H3016" s="1">
        <v>150</v>
      </c>
      <c r="I3016" s="6">
        <f>Tabela1[[#This Row],[Valor total]]-Tabela1[[#This Row],[Valor custo]]</f>
        <v>46.31</v>
      </c>
      <c r="J3016" s="7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">
        <v>455</v>
      </c>
      <c r="H3017" s="1">
        <v>770</v>
      </c>
      <c r="I3017" s="6">
        <f>Tabela1[[#This Row],[Valor total]]-Tabela1[[#This Row],[Valor custo]]</f>
        <v>315</v>
      </c>
      <c r="J3017" s="7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">
        <v>1695.3</v>
      </c>
      <c r="H3018" s="1">
        <v>2800</v>
      </c>
      <c r="I3018" s="6">
        <f>Tabela1[[#This Row],[Valor total]]-Tabela1[[#This Row],[Valor custo]]</f>
        <v>1104.7</v>
      </c>
      <c r="J3018" s="7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">
        <v>909</v>
      </c>
      <c r="H3019" s="1">
        <v>900</v>
      </c>
      <c r="I3019" s="6">
        <f>Tabela1[[#This Row],[Valor total]]-Tabela1[[#This Row],[Valor custo]]</f>
        <v>-9</v>
      </c>
      <c r="J3019" s="7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">
        <v>2850.16</v>
      </c>
      <c r="H3020" s="1">
        <v>4620</v>
      </c>
      <c r="I3020" s="6">
        <f>Tabela1[[#This Row],[Valor total]]-Tabela1[[#This Row],[Valor custo]]</f>
        <v>1769.8400000000001</v>
      </c>
      <c r="J3020" s="7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">
        <v>289</v>
      </c>
      <c r="H3021" s="1">
        <v>600</v>
      </c>
      <c r="I3021" s="6">
        <f>Tabela1[[#This Row],[Valor total]]-Tabela1[[#This Row],[Valor custo]]</f>
        <v>311</v>
      </c>
      <c r="J3021" s="7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">
        <v>534</v>
      </c>
      <c r="H3022" s="1">
        <v>950</v>
      </c>
      <c r="I3022" s="6">
        <f>Tabela1[[#This Row],[Valor total]]-Tabela1[[#This Row],[Valor custo]]</f>
        <v>416</v>
      </c>
      <c r="J3022" s="7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">
        <v>4708.6000000000004</v>
      </c>
      <c r="H3023" s="1">
        <v>8590</v>
      </c>
      <c r="I3023" s="6">
        <f>Tabela1[[#This Row],[Valor total]]-Tabela1[[#This Row],[Valor custo]]</f>
        <v>3881.3999999999996</v>
      </c>
      <c r="J3023" s="7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">
        <v>1911.5</v>
      </c>
      <c r="H3024" s="1">
        <v>2600</v>
      </c>
      <c r="I3024" s="6">
        <f>Tabela1[[#This Row],[Valor total]]-Tabela1[[#This Row],[Valor custo]]</f>
        <v>688.5</v>
      </c>
      <c r="J3024" s="7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">
        <v>550</v>
      </c>
      <c r="H3025" s="1">
        <v>1650</v>
      </c>
      <c r="I3025" s="6">
        <f>Tabela1[[#This Row],[Valor total]]-Tabela1[[#This Row],[Valor custo]]</f>
        <v>1100</v>
      </c>
      <c r="J3025" s="7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">
        <v>270</v>
      </c>
      <c r="H3026" s="1">
        <v>150</v>
      </c>
      <c r="I3026" s="6">
        <f>Tabela1[[#This Row],[Valor total]]-Tabela1[[#This Row],[Valor custo]]</f>
        <v>-120</v>
      </c>
      <c r="J3026" s="7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">
        <v>664</v>
      </c>
      <c r="H3027" s="1">
        <v>1200</v>
      </c>
      <c r="I3027" s="6">
        <f>Tabela1[[#This Row],[Valor total]]-Tabela1[[#This Row],[Valor custo]]</f>
        <v>536</v>
      </c>
      <c r="J3027" s="7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">
        <v>477</v>
      </c>
      <c r="H3028" s="1">
        <v>850</v>
      </c>
      <c r="I3028" s="6">
        <f>Tabela1[[#This Row],[Valor total]]-Tabela1[[#This Row],[Valor custo]]</f>
        <v>373</v>
      </c>
      <c r="J3028" s="7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">
        <v>837.3</v>
      </c>
      <c r="H3029" s="1">
        <v>1265</v>
      </c>
      <c r="I3029" s="6">
        <f>Tabela1[[#This Row],[Valor total]]-Tabela1[[#This Row],[Valor custo]]</f>
        <v>427.70000000000005</v>
      </c>
      <c r="J3029" s="7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">
        <v>411.14</v>
      </c>
      <c r="H3030" s="1">
        <v>690</v>
      </c>
      <c r="I3030" s="6">
        <f>Tabela1[[#This Row],[Valor total]]-Tabela1[[#This Row],[Valor custo]]</f>
        <v>278.86</v>
      </c>
      <c r="J3030" s="7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">
        <v>73.14</v>
      </c>
      <c r="H3031" s="1">
        <v>90</v>
      </c>
      <c r="I3031" s="6">
        <f>Tabela1[[#This Row],[Valor total]]-Tabela1[[#This Row],[Valor custo]]</f>
        <v>16.86</v>
      </c>
      <c r="J3031" s="7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">
        <v>125</v>
      </c>
      <c r="H3032" s="1">
        <v>150</v>
      </c>
      <c r="I3032" s="6">
        <f>Tabela1[[#This Row],[Valor total]]-Tabela1[[#This Row],[Valor custo]]</f>
        <v>25</v>
      </c>
      <c r="J3032" s="7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">
        <v>382.3</v>
      </c>
      <c r="H3033" s="1">
        <v>620</v>
      </c>
      <c r="I3033" s="6">
        <f>Tabela1[[#This Row],[Valor total]]-Tabela1[[#This Row],[Valor custo]]</f>
        <v>237.7</v>
      </c>
      <c r="J3033" s="7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">
        <v>649</v>
      </c>
      <c r="H3034" s="1">
        <v>1170</v>
      </c>
      <c r="I3034" s="6">
        <f>Tabela1[[#This Row],[Valor total]]-Tabela1[[#This Row],[Valor custo]]</f>
        <v>521</v>
      </c>
      <c r="J3034" s="7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">
        <v>8431.58</v>
      </c>
      <c r="H3035" s="1">
        <v>12850</v>
      </c>
      <c r="I3035" s="6">
        <f>Tabela1[[#This Row],[Valor total]]-Tabela1[[#This Row],[Valor custo]]</f>
        <v>4418.42</v>
      </c>
      <c r="J3035" s="7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">
        <v>705</v>
      </c>
      <c r="H3036" s="1">
        <v>1300</v>
      </c>
      <c r="I3036" s="6">
        <f>Tabela1[[#This Row],[Valor total]]-Tabela1[[#This Row],[Valor custo]]</f>
        <v>595</v>
      </c>
      <c r="J3036" s="7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">
        <v>382.3</v>
      </c>
      <c r="H3037" s="1">
        <v>615</v>
      </c>
      <c r="I3037" s="6">
        <f>Tabela1[[#This Row],[Valor total]]-Tabela1[[#This Row],[Valor custo]]</f>
        <v>232.7</v>
      </c>
      <c r="J3037" s="7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">
        <v>360.5</v>
      </c>
      <c r="H3038" s="1">
        <v>1000</v>
      </c>
      <c r="I3038" s="6">
        <f>Tabela1[[#This Row],[Valor total]]-Tabela1[[#This Row],[Valor custo]]</f>
        <v>639.5</v>
      </c>
      <c r="J3038" s="7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">
        <v>1056.3</v>
      </c>
      <c r="H3039" s="1">
        <v>2030</v>
      </c>
      <c r="I3039" s="6">
        <f>Tabela1[[#This Row],[Valor total]]-Tabela1[[#This Row],[Valor custo]]</f>
        <v>973.7</v>
      </c>
      <c r="J3039" s="7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">
        <v>382.3</v>
      </c>
      <c r="H3040" s="1">
        <v>615</v>
      </c>
      <c r="I3040" s="6">
        <f>Tabela1[[#This Row],[Valor total]]-Tabela1[[#This Row],[Valor custo]]</f>
        <v>232.7</v>
      </c>
      <c r="J3040" s="7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">
        <v>477</v>
      </c>
      <c r="H3041" s="1">
        <v>750</v>
      </c>
      <c r="I3041" s="6">
        <f>Tabela1[[#This Row],[Valor total]]-Tabela1[[#This Row],[Valor custo]]</f>
        <v>273</v>
      </c>
      <c r="J3041" s="7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">
        <v>1146.9000000000001</v>
      </c>
      <c r="H3042" s="1">
        <v>1845</v>
      </c>
      <c r="I3042" s="6">
        <f>Tabela1[[#This Row],[Valor total]]-Tabela1[[#This Row],[Valor custo]]</f>
        <v>698.09999999999991</v>
      </c>
      <c r="J3042" s="7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">
        <v>1787.6</v>
      </c>
      <c r="H3043" s="1">
        <v>3000</v>
      </c>
      <c r="I3043" s="6">
        <f>Tabela1[[#This Row],[Valor total]]-Tabela1[[#This Row],[Valor custo]]</f>
        <v>1212.4000000000001</v>
      </c>
      <c r="J3043" s="7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">
        <v>16301.8</v>
      </c>
      <c r="H3044" s="1">
        <v>21400</v>
      </c>
      <c r="I3044" s="6">
        <f>Tabela1[[#This Row],[Valor total]]-Tabela1[[#This Row],[Valor custo]]</f>
        <v>5098.2000000000007</v>
      </c>
      <c r="J3044" s="7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">
        <v>392.56</v>
      </c>
      <c r="H3045" s="1">
        <v>480</v>
      </c>
      <c r="I3045" s="6">
        <f>Tabela1[[#This Row],[Valor total]]-Tabela1[[#This Row],[Valor custo]]</f>
        <v>87.44</v>
      </c>
      <c r="J3045" s="7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">
        <v>649</v>
      </c>
      <c r="H3046" s="1">
        <v>1176</v>
      </c>
      <c r="I3046" s="6">
        <f>Tabela1[[#This Row],[Valor total]]-Tabela1[[#This Row],[Valor custo]]</f>
        <v>527</v>
      </c>
      <c r="J3046" s="7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">
        <v>534</v>
      </c>
      <c r="H3047" s="1">
        <v>669</v>
      </c>
      <c r="I3047" s="6">
        <f>Tabela1[[#This Row],[Valor total]]-Tabela1[[#This Row],[Valor custo]]</f>
        <v>135</v>
      </c>
      <c r="J3047" s="7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">
        <v>1914.97</v>
      </c>
      <c r="H3048" s="1">
        <v>2913</v>
      </c>
      <c r="I3048" s="6">
        <f>Tabela1[[#This Row],[Valor total]]-Tabela1[[#This Row],[Valor custo]]</f>
        <v>998.03</v>
      </c>
      <c r="J3048" s="7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">
        <v>397.55</v>
      </c>
      <c r="H3049" s="1">
        <v>640</v>
      </c>
      <c r="I3049" s="6">
        <f>Tabela1[[#This Row],[Valor total]]-Tabela1[[#This Row],[Valor custo]]</f>
        <v>242.45</v>
      </c>
      <c r="J3049" s="7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">
        <v>55.5</v>
      </c>
      <c r="H3050" s="1">
        <v>70</v>
      </c>
      <c r="I3050" s="6">
        <f>Tabela1[[#This Row],[Valor total]]-Tabela1[[#This Row],[Valor custo]]</f>
        <v>14.5</v>
      </c>
      <c r="J3050" s="7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">
        <v>815.09</v>
      </c>
      <c r="H3051" s="1">
        <v>1365</v>
      </c>
      <c r="I3051" s="6">
        <f>Tabela1[[#This Row],[Valor total]]-Tabela1[[#This Row],[Valor custo]]</f>
        <v>549.91</v>
      </c>
      <c r="J3051" s="7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">
        <v>49.01</v>
      </c>
      <c r="H3052" s="1">
        <v>340</v>
      </c>
      <c r="I3052" s="6">
        <f>Tabela1[[#This Row],[Valor total]]-Tabela1[[#This Row],[Valor custo]]</f>
        <v>290.99</v>
      </c>
      <c r="J3052" s="7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">
        <v>837.3</v>
      </c>
      <c r="H3053" s="1">
        <v>1350</v>
      </c>
      <c r="I3053" s="6">
        <f>Tabela1[[#This Row],[Valor total]]-Tabela1[[#This Row],[Valor custo]]</f>
        <v>512.70000000000005</v>
      </c>
      <c r="J3053" s="7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">
        <v>1529.2</v>
      </c>
      <c r="H3054" s="1">
        <v>2240</v>
      </c>
      <c r="I3054" s="6">
        <f>Tabela1[[#This Row],[Valor total]]-Tabela1[[#This Row],[Valor custo]]</f>
        <v>710.8</v>
      </c>
      <c r="J3054" s="7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">
        <v>75</v>
      </c>
      <c r="H3055" s="1">
        <v>90</v>
      </c>
      <c r="I3055" s="6">
        <f>Tabela1[[#This Row],[Valor total]]-Tabela1[[#This Row],[Valor custo]]</f>
        <v>15</v>
      </c>
      <c r="J3055" s="7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">
        <v>764.6</v>
      </c>
      <c r="H3056" s="1">
        <v>1250</v>
      </c>
      <c r="I3056" s="6">
        <f>Tabela1[[#This Row],[Valor total]]-Tabela1[[#This Row],[Valor custo]]</f>
        <v>485.4</v>
      </c>
      <c r="J3056" s="7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">
        <v>390</v>
      </c>
      <c r="H3057" s="1">
        <v>510</v>
      </c>
      <c r="I3057" s="6">
        <f>Tabela1[[#This Row],[Valor total]]-Tabela1[[#This Row],[Valor custo]]</f>
        <v>120</v>
      </c>
      <c r="J3057" s="7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">
        <v>5777.73</v>
      </c>
      <c r="H3058" s="1">
        <v>8540</v>
      </c>
      <c r="I3058" s="6">
        <f>Tabela1[[#This Row],[Valor total]]-Tabela1[[#This Row],[Valor custo]]</f>
        <v>2762.2700000000004</v>
      </c>
      <c r="J3058" s="7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">
        <v>289</v>
      </c>
      <c r="H3059" s="1">
        <v>0</v>
      </c>
      <c r="I3059" s="6">
        <f>Tabela1[[#This Row],[Valor total]]-Tabela1[[#This Row],[Valor custo]]</f>
        <v>-289</v>
      </c>
      <c r="J3059" s="7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">
        <v>4287.74</v>
      </c>
      <c r="H3060" s="1">
        <v>6310</v>
      </c>
      <c r="I3060" s="6">
        <f>Tabela1[[#This Row],[Valor total]]-Tabela1[[#This Row],[Valor custo]]</f>
        <v>2022.2600000000002</v>
      </c>
      <c r="J3060" s="7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">
        <v>2902.08</v>
      </c>
      <c r="H3061" s="1">
        <v>4450</v>
      </c>
      <c r="I3061" s="6">
        <f>Tabela1[[#This Row],[Valor total]]-Tabela1[[#This Row],[Valor custo]]</f>
        <v>1547.92</v>
      </c>
      <c r="J3061" s="7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">
        <v>500</v>
      </c>
      <c r="H3062" s="1">
        <v>620</v>
      </c>
      <c r="I3062" s="6">
        <f>Tabela1[[#This Row],[Valor total]]-Tabela1[[#This Row],[Valor custo]]</f>
        <v>120</v>
      </c>
      <c r="J3062" s="7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">
        <v>6550</v>
      </c>
      <c r="H3063" s="1">
        <v>10200</v>
      </c>
      <c r="I3063" s="6">
        <f>Tabela1[[#This Row],[Valor total]]-Tabela1[[#This Row],[Valor custo]]</f>
        <v>3650</v>
      </c>
      <c r="J3063" s="7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">
        <v>2977</v>
      </c>
      <c r="H3064" s="1">
        <v>6550</v>
      </c>
      <c r="I3064" s="6">
        <f>Tabela1[[#This Row],[Valor total]]-Tabela1[[#This Row],[Valor custo]]</f>
        <v>3573</v>
      </c>
      <c r="J3064" s="7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">
        <v>18753.2</v>
      </c>
      <c r="H3065" s="1">
        <v>26630</v>
      </c>
      <c r="I3065" s="6">
        <f>Tabela1[[#This Row],[Valor total]]-Tabela1[[#This Row],[Valor custo]]</f>
        <v>7876.7999999999993</v>
      </c>
      <c r="J3065" s="7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">
        <v>360.5</v>
      </c>
      <c r="H3066" s="1">
        <v>749.5</v>
      </c>
      <c r="I3066" s="6">
        <f>Tabela1[[#This Row],[Valor total]]-Tabela1[[#This Row],[Valor custo]]</f>
        <v>389</v>
      </c>
      <c r="J3066" s="7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">
        <v>0</v>
      </c>
      <c r="H3067" s="1">
        <v>180</v>
      </c>
      <c r="I3067" s="6">
        <f>Tabela1[[#This Row],[Valor total]]-Tabela1[[#This Row],[Valor custo]]</f>
        <v>180</v>
      </c>
      <c r="J3067" s="7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">
        <v>1358.79</v>
      </c>
      <c r="H3068" s="1">
        <v>2135</v>
      </c>
      <c r="I3068" s="6">
        <f>Tabela1[[#This Row],[Valor total]]-Tabela1[[#This Row],[Valor custo]]</f>
        <v>776.21</v>
      </c>
      <c r="J3068" s="7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">
        <v>679</v>
      </c>
      <c r="H3069" s="1">
        <v>1090</v>
      </c>
      <c r="I3069" s="6">
        <f>Tabela1[[#This Row],[Valor total]]-Tabela1[[#This Row],[Valor custo]]</f>
        <v>411</v>
      </c>
      <c r="J3069" s="7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">
        <v>1706.42</v>
      </c>
      <c r="H3070" s="1">
        <v>2599</v>
      </c>
      <c r="I3070" s="6">
        <f>Tabela1[[#This Row],[Valor total]]-Tabela1[[#This Row],[Valor custo]]</f>
        <v>892.57999999999993</v>
      </c>
      <c r="J3070" s="7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">
        <v>98.14</v>
      </c>
      <c r="H3071" s="1">
        <v>120</v>
      </c>
      <c r="I3071" s="6">
        <f>Tabela1[[#This Row],[Valor total]]-Tabela1[[#This Row],[Valor custo]]</f>
        <v>21.86</v>
      </c>
      <c r="J3071" s="7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">
        <v>288.39999999999998</v>
      </c>
      <c r="H3072" s="1">
        <v>600</v>
      </c>
      <c r="I3072" s="6">
        <f>Tabela1[[#This Row],[Valor total]]-Tabela1[[#This Row],[Valor custo]]</f>
        <v>311.60000000000002</v>
      </c>
      <c r="J3072" s="7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">
        <v>108.15</v>
      </c>
      <c r="H3073" s="1">
        <v>225</v>
      </c>
      <c r="I3073" s="6">
        <f>Tabela1[[#This Row],[Valor total]]-Tabela1[[#This Row],[Valor custo]]</f>
        <v>116.85</v>
      </c>
      <c r="J3073" s="7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">
        <v>108.15</v>
      </c>
      <c r="H3074" s="1">
        <v>225</v>
      </c>
      <c r="I3074" s="6">
        <f>Tabela1[[#This Row],[Valor total]]-Tabela1[[#This Row],[Valor custo]]</f>
        <v>116.85</v>
      </c>
      <c r="J3074" s="7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">
        <v>419.2</v>
      </c>
      <c r="H3075" s="1">
        <v>799.3</v>
      </c>
      <c r="I3075" s="6">
        <f>Tabela1[[#This Row],[Valor total]]-Tabela1[[#This Row],[Valor custo]]</f>
        <v>380.09999999999997</v>
      </c>
      <c r="J3075" s="7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">
        <v>127.1</v>
      </c>
      <c r="H3076" s="1">
        <v>250</v>
      </c>
      <c r="I3076" s="6">
        <f>Tabela1[[#This Row],[Valor total]]-Tabela1[[#This Row],[Valor custo]]</f>
        <v>122.9</v>
      </c>
      <c r="J3076" s="7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">
        <v>580.5</v>
      </c>
      <c r="H3077" s="1">
        <v>1149</v>
      </c>
      <c r="I3077" s="6">
        <f>Tabela1[[#This Row],[Valor total]]-Tabela1[[#This Row],[Valor custo]]</f>
        <v>568.5</v>
      </c>
      <c r="J3077" s="7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">
        <v>893.2</v>
      </c>
      <c r="H3078" s="1">
        <v>1500</v>
      </c>
      <c r="I3078" s="6">
        <f>Tabela1[[#This Row],[Valor total]]-Tabela1[[#This Row],[Valor custo]]</f>
        <v>606.79999999999995</v>
      </c>
      <c r="J3078" s="7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">
        <v>2362.58</v>
      </c>
      <c r="H3079" s="1">
        <v>3970</v>
      </c>
      <c r="I3079" s="6">
        <f>Tabela1[[#This Row],[Valor total]]-Tabela1[[#This Row],[Valor custo]]</f>
        <v>1607.42</v>
      </c>
      <c r="J3079" s="7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">
        <v>385</v>
      </c>
      <c r="H3080" s="1">
        <v>600</v>
      </c>
      <c r="I3080" s="6">
        <f>Tabela1[[#This Row],[Valor total]]-Tabela1[[#This Row],[Valor custo]]</f>
        <v>215</v>
      </c>
      <c r="J3080" s="7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">
        <v>531.21</v>
      </c>
      <c r="H3081" s="1">
        <v>848</v>
      </c>
      <c r="I3081" s="6">
        <f>Tabela1[[#This Row],[Valor total]]-Tabela1[[#This Row],[Valor custo]]</f>
        <v>316.78999999999996</v>
      </c>
      <c r="J3081" s="7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">
        <v>90</v>
      </c>
      <c r="H3082" s="1">
        <v>180</v>
      </c>
      <c r="I3082" s="6">
        <f>Tabela1[[#This Row],[Valor total]]-Tabela1[[#This Row],[Valor custo]]</f>
        <v>90</v>
      </c>
      <c r="J3082" s="7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">
        <v>984</v>
      </c>
      <c r="H3083" s="1">
        <v>389.9</v>
      </c>
      <c r="I3083" s="6">
        <f>Tabela1[[#This Row],[Valor total]]-Tabela1[[#This Row],[Valor custo]]</f>
        <v>-594.1</v>
      </c>
      <c r="J3083" s="7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">
        <v>776.1</v>
      </c>
      <c r="H3084" s="1">
        <v>1139</v>
      </c>
      <c r="I3084" s="6">
        <f>Tabela1[[#This Row],[Valor total]]-Tabela1[[#This Row],[Valor custo]]</f>
        <v>362.9</v>
      </c>
      <c r="J3084" s="7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">
        <v>1607.29</v>
      </c>
      <c r="H3085" s="1">
        <v>2592</v>
      </c>
      <c r="I3085" s="6">
        <f>Tabela1[[#This Row],[Valor total]]-Tabela1[[#This Row],[Valor custo]]</f>
        <v>984.71</v>
      </c>
      <c r="J3085" s="7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">
        <v>693</v>
      </c>
      <c r="H3086" s="1">
        <v>1300</v>
      </c>
      <c r="I3086" s="6">
        <f>Tabela1[[#This Row],[Valor total]]-Tabela1[[#This Row],[Valor custo]]</f>
        <v>607</v>
      </c>
      <c r="J3086" s="7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">
        <v>1646.79</v>
      </c>
      <c r="H3087" s="1">
        <v>2589</v>
      </c>
      <c r="I3087" s="6">
        <f>Tabela1[[#This Row],[Valor total]]-Tabela1[[#This Row],[Valor custo]]</f>
        <v>942.21</v>
      </c>
      <c r="J3087" s="7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">
        <v>136.06</v>
      </c>
      <c r="H3088" s="1">
        <v>208</v>
      </c>
      <c r="I3088" s="6">
        <f>Tabela1[[#This Row],[Valor total]]-Tabela1[[#This Row],[Valor custo]]</f>
        <v>71.94</v>
      </c>
      <c r="J3088" s="7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">
        <v>693</v>
      </c>
      <c r="H3089" s="1">
        <v>1150</v>
      </c>
      <c r="I3089" s="6">
        <f>Tabela1[[#This Row],[Valor total]]-Tabela1[[#This Row],[Valor custo]]</f>
        <v>457</v>
      </c>
      <c r="J3089" s="7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">
        <v>4090.46</v>
      </c>
      <c r="H3090" s="1">
        <v>5850</v>
      </c>
      <c r="I3090" s="6">
        <f>Tabela1[[#This Row],[Valor total]]-Tabela1[[#This Row],[Valor custo]]</f>
        <v>1759.54</v>
      </c>
      <c r="J3090" s="7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">
        <v>14604</v>
      </c>
      <c r="H3091" s="1">
        <v>20298.5</v>
      </c>
      <c r="I3091" s="6">
        <f>Tabela1[[#This Row],[Valor total]]-Tabela1[[#This Row],[Valor custo]]</f>
        <v>5694.5</v>
      </c>
      <c r="J3091" s="7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">
        <v>649</v>
      </c>
      <c r="H3092" s="1">
        <v>370</v>
      </c>
      <c r="I3092" s="6">
        <f>Tabela1[[#This Row],[Valor total]]-Tabela1[[#This Row],[Valor custo]]</f>
        <v>-279</v>
      </c>
      <c r="J3092" s="7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">
        <v>1298.3699999999999</v>
      </c>
      <c r="H3093" s="1">
        <v>1800</v>
      </c>
      <c r="I3093" s="6">
        <f>Tabela1[[#This Row],[Valor total]]-Tabela1[[#This Row],[Valor custo]]</f>
        <v>501.63000000000011</v>
      </c>
      <c r="J3093" s="7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">
        <v>106.05</v>
      </c>
      <c r="H3094" s="1">
        <v>240</v>
      </c>
      <c r="I3094" s="6">
        <f>Tabela1[[#This Row],[Valor total]]-Tabela1[[#This Row],[Valor custo]]</f>
        <v>133.94999999999999</v>
      </c>
      <c r="J3094" s="7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">
        <v>1388</v>
      </c>
      <c r="H3095" s="1">
        <v>670</v>
      </c>
      <c r="I3095" s="6">
        <f>Tabela1[[#This Row],[Valor total]]-Tabela1[[#This Row],[Valor custo]]</f>
        <v>-718</v>
      </c>
      <c r="J3095" s="7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">
        <v>375</v>
      </c>
      <c r="H3096" s="1">
        <v>450</v>
      </c>
      <c r="I3096" s="6">
        <f>Tabela1[[#This Row],[Valor total]]-Tabela1[[#This Row],[Valor custo]]</f>
        <v>75</v>
      </c>
      <c r="J3096" s="7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">
        <v>664</v>
      </c>
      <c r="H3097" s="1">
        <v>1000</v>
      </c>
      <c r="I3097" s="6">
        <f>Tabela1[[#This Row],[Valor total]]-Tabela1[[#This Row],[Valor custo]]</f>
        <v>336</v>
      </c>
      <c r="J3097" s="7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">
        <v>3120.16</v>
      </c>
      <c r="H3098" s="1">
        <v>5128</v>
      </c>
      <c r="I3098" s="6">
        <f>Tabela1[[#This Row],[Valor total]]-Tabela1[[#This Row],[Valor custo]]</f>
        <v>2007.8400000000001</v>
      </c>
      <c r="J3098" s="7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">
        <v>4976.8999999999996</v>
      </c>
      <c r="H3099" s="1">
        <v>7500</v>
      </c>
      <c r="I3099" s="6">
        <f>Tabela1[[#This Row],[Valor total]]-Tabela1[[#This Row],[Valor custo]]</f>
        <v>2523.1000000000004</v>
      </c>
      <c r="J3099" s="7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">
        <v>457.19</v>
      </c>
      <c r="H3100" s="1">
        <v>682</v>
      </c>
      <c r="I3100" s="6">
        <f>Tabela1[[#This Row],[Valor total]]-Tabela1[[#This Row],[Valor custo]]</f>
        <v>224.81</v>
      </c>
      <c r="J3100" s="7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">
        <v>463</v>
      </c>
      <c r="H3101" s="1">
        <v>750</v>
      </c>
      <c r="I3101" s="6">
        <f>Tabela1[[#This Row],[Valor total]]-Tabela1[[#This Row],[Valor custo]]</f>
        <v>287</v>
      </c>
      <c r="J3101" s="7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">
        <v>1007</v>
      </c>
      <c r="H3102" s="1">
        <v>1475</v>
      </c>
      <c r="I3102" s="6">
        <f>Tabela1[[#This Row],[Valor total]]-Tabela1[[#This Row],[Valor custo]]</f>
        <v>468</v>
      </c>
      <c r="J3102" s="7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">
        <v>391.1</v>
      </c>
      <c r="H3103" s="1">
        <v>638</v>
      </c>
      <c r="I3103" s="6">
        <f>Tabela1[[#This Row],[Valor total]]-Tabela1[[#This Row],[Valor custo]]</f>
        <v>246.89999999999998</v>
      </c>
      <c r="J3103" s="7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">
        <v>649</v>
      </c>
      <c r="H3104" s="1">
        <v>927</v>
      </c>
      <c r="I3104" s="6">
        <f>Tabela1[[#This Row],[Valor total]]-Tabela1[[#This Row],[Valor custo]]</f>
        <v>278</v>
      </c>
      <c r="J3104" s="7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">
        <v>159.19</v>
      </c>
      <c r="H3105" s="1">
        <v>300</v>
      </c>
      <c r="I3105" s="6">
        <f>Tabela1[[#This Row],[Valor total]]-Tabela1[[#This Row],[Valor custo]]</f>
        <v>140.81</v>
      </c>
      <c r="J3105" s="7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">
        <v>463</v>
      </c>
      <c r="H3106" s="1">
        <v>650</v>
      </c>
      <c r="I3106" s="6">
        <f>Tabela1[[#This Row],[Valor total]]-Tabela1[[#This Row],[Valor custo]]</f>
        <v>187</v>
      </c>
      <c r="J3106" s="7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">
        <v>2685.3</v>
      </c>
      <c r="H3107" s="1">
        <v>4075</v>
      </c>
      <c r="I3107" s="6">
        <f>Tabela1[[#This Row],[Valor total]]-Tabela1[[#This Row],[Valor custo]]</f>
        <v>1389.6999999999998</v>
      </c>
      <c r="J3107" s="7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">
        <v>2695</v>
      </c>
      <c r="H3108" s="1">
        <v>4060</v>
      </c>
      <c r="I3108" s="6">
        <f>Tabela1[[#This Row],[Valor total]]-Tabela1[[#This Row],[Valor custo]]</f>
        <v>1365</v>
      </c>
      <c r="J3108" s="7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">
        <v>1250</v>
      </c>
      <c r="H3109" s="1">
        <v>1400</v>
      </c>
      <c r="I3109" s="6">
        <f>Tabela1[[#This Row],[Valor total]]-Tabela1[[#This Row],[Valor custo]]</f>
        <v>150</v>
      </c>
      <c r="J3109" s="7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">
        <v>60</v>
      </c>
      <c r="H3110" s="1">
        <v>105</v>
      </c>
      <c r="I3110" s="6">
        <f>Tabela1[[#This Row],[Valor total]]-Tabela1[[#This Row],[Valor custo]]</f>
        <v>45</v>
      </c>
      <c r="J3110" s="7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">
        <v>1386</v>
      </c>
      <c r="H3111" s="1">
        <v>2000</v>
      </c>
      <c r="I3111" s="6">
        <f>Tabela1[[#This Row],[Valor total]]-Tabela1[[#This Row],[Valor custo]]</f>
        <v>614</v>
      </c>
      <c r="J3111" s="7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">
        <v>88.56</v>
      </c>
      <c r="H3112" s="1">
        <v>265</v>
      </c>
      <c r="I3112" s="6">
        <f>Tabela1[[#This Row],[Valor total]]-Tabela1[[#This Row],[Valor custo]]</f>
        <v>176.44</v>
      </c>
      <c r="J3112" s="7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">
        <v>679</v>
      </c>
      <c r="H3113" s="1">
        <v>1120</v>
      </c>
      <c r="I3113" s="6">
        <f>Tabela1[[#This Row],[Valor total]]-Tabela1[[#This Row],[Valor custo]]</f>
        <v>441</v>
      </c>
      <c r="J3113" s="7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">
        <v>110</v>
      </c>
      <c r="H3114" s="1">
        <v>360</v>
      </c>
      <c r="I3114" s="6">
        <f>Tabela1[[#This Row],[Valor total]]-Tabela1[[#This Row],[Valor custo]]</f>
        <v>250</v>
      </c>
      <c r="J3114" s="7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">
        <v>500</v>
      </c>
      <c r="H3115" s="1">
        <v>600</v>
      </c>
      <c r="I3115" s="6">
        <f>Tabela1[[#This Row],[Valor total]]-Tabela1[[#This Row],[Valor custo]]</f>
        <v>100</v>
      </c>
      <c r="J3115" s="7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">
        <v>1298.3699999999999</v>
      </c>
      <c r="H3116" s="1">
        <v>1950</v>
      </c>
      <c r="I3116" s="6">
        <f>Tabela1[[#This Row],[Valor total]]-Tabela1[[#This Row],[Valor custo]]</f>
        <v>651.63000000000011</v>
      </c>
      <c r="J3116" s="7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">
        <v>1529.58</v>
      </c>
      <c r="H3117" s="1">
        <v>2420</v>
      </c>
      <c r="I3117" s="6">
        <f>Tabela1[[#This Row],[Valor total]]-Tabela1[[#This Row],[Valor custo]]</f>
        <v>890.42000000000007</v>
      </c>
      <c r="J3117" s="7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">
        <v>865.58</v>
      </c>
      <c r="H3118" s="1">
        <v>1250</v>
      </c>
      <c r="I3118" s="6">
        <f>Tabela1[[#This Row],[Valor total]]-Tabela1[[#This Row],[Valor custo]]</f>
        <v>384.41999999999996</v>
      </c>
      <c r="J3118" s="7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">
        <v>1925</v>
      </c>
      <c r="H3119" s="1">
        <v>2980</v>
      </c>
      <c r="I3119" s="6">
        <f>Tabela1[[#This Row],[Valor total]]-Tabela1[[#This Row],[Valor custo]]</f>
        <v>1055</v>
      </c>
      <c r="J3119" s="7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">
        <v>664</v>
      </c>
      <c r="H3120" s="1">
        <v>1150</v>
      </c>
      <c r="I3120" s="6">
        <f>Tabela1[[#This Row],[Valor total]]-Tabela1[[#This Row],[Valor custo]]</f>
        <v>486</v>
      </c>
      <c r="J3120" s="7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">
        <v>73.14</v>
      </c>
      <c r="H3121" s="1">
        <v>90</v>
      </c>
      <c r="I3121" s="6">
        <f>Tabela1[[#This Row],[Valor total]]-Tabela1[[#This Row],[Valor custo]]</f>
        <v>16.86</v>
      </c>
      <c r="J3121" s="7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">
        <v>1298</v>
      </c>
      <c r="H3122" s="1">
        <v>2000</v>
      </c>
      <c r="I3122" s="6">
        <f>Tabela1[[#This Row],[Valor total]]-Tabela1[[#This Row],[Valor custo]]</f>
        <v>702</v>
      </c>
      <c r="J3122" s="7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">
        <v>1217.21</v>
      </c>
      <c r="H3123" s="1">
        <v>1870</v>
      </c>
      <c r="I3123" s="6">
        <f>Tabela1[[#This Row],[Valor total]]-Tabela1[[#This Row],[Valor custo]]</f>
        <v>652.79</v>
      </c>
      <c r="J3123" s="7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">
        <v>1328</v>
      </c>
      <c r="H3124" s="1">
        <v>2300</v>
      </c>
      <c r="I3124" s="6">
        <f>Tabela1[[#This Row],[Valor total]]-Tabela1[[#This Row],[Valor custo]]</f>
        <v>972</v>
      </c>
      <c r="J3124" s="7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">
        <v>385</v>
      </c>
      <c r="H3125" s="1">
        <v>580</v>
      </c>
      <c r="I3125" s="6">
        <f>Tabela1[[#This Row],[Valor total]]-Tabela1[[#This Row],[Valor custo]]</f>
        <v>195</v>
      </c>
      <c r="J3125" s="7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">
        <v>485</v>
      </c>
      <c r="H3126" s="1">
        <v>735</v>
      </c>
      <c r="I3126" s="6">
        <f>Tabela1[[#This Row],[Valor total]]-Tabela1[[#This Row],[Valor custo]]</f>
        <v>250</v>
      </c>
      <c r="J3126" s="7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">
        <v>1804.3</v>
      </c>
      <c r="H3127" s="1">
        <v>2590</v>
      </c>
      <c r="I3127" s="6">
        <f>Tabela1[[#This Row],[Valor total]]-Tabela1[[#This Row],[Valor custo]]</f>
        <v>785.7</v>
      </c>
      <c r="J3127" s="7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">
        <v>649</v>
      </c>
      <c r="H3128" s="1">
        <v>900</v>
      </c>
      <c r="I3128" s="6">
        <f>Tabela1[[#This Row],[Valor total]]-Tabela1[[#This Row],[Valor custo]]</f>
        <v>251</v>
      </c>
      <c r="J3128" s="7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">
        <v>2063.58</v>
      </c>
      <c r="H3129" s="1">
        <v>3290</v>
      </c>
      <c r="I3129" s="6">
        <f>Tabela1[[#This Row],[Valor total]]-Tabela1[[#This Row],[Valor custo]]</f>
        <v>1226.42</v>
      </c>
      <c r="J3129" s="7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">
        <v>13935</v>
      </c>
      <c r="H3130" s="1">
        <v>20775</v>
      </c>
      <c r="I3130" s="6">
        <f>Tabela1[[#This Row],[Valor total]]-Tabela1[[#This Row],[Valor custo]]</f>
        <v>6840</v>
      </c>
      <c r="J3130" s="7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">
        <v>700.6</v>
      </c>
      <c r="H3131" s="1">
        <v>1198</v>
      </c>
      <c r="I3131" s="6">
        <f>Tabela1[[#This Row],[Valor total]]-Tabela1[[#This Row],[Valor custo]]</f>
        <v>497.4</v>
      </c>
      <c r="J3131" s="7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">
        <v>1298</v>
      </c>
      <c r="H3132" s="1">
        <v>1700</v>
      </c>
      <c r="I3132" s="6">
        <f>Tabela1[[#This Row],[Valor total]]-Tabela1[[#This Row],[Valor custo]]</f>
        <v>402</v>
      </c>
      <c r="J3132" s="7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">
        <v>1514.58</v>
      </c>
      <c r="H3133" s="1">
        <v>2180</v>
      </c>
      <c r="I3133" s="6">
        <f>Tabela1[[#This Row],[Valor total]]-Tabela1[[#This Row],[Valor custo]]</f>
        <v>665.42000000000007</v>
      </c>
      <c r="J3133" s="7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">
        <v>150</v>
      </c>
      <c r="H3134" s="1">
        <v>180</v>
      </c>
      <c r="I3134" s="6">
        <f>Tabela1[[#This Row],[Valor total]]-Tabela1[[#This Row],[Valor custo]]</f>
        <v>30</v>
      </c>
      <c r="J3134" s="7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">
        <v>491</v>
      </c>
      <c r="H3135" s="1">
        <v>720</v>
      </c>
      <c r="I3135" s="6">
        <f>Tabela1[[#This Row],[Valor total]]-Tabela1[[#This Row],[Valor custo]]</f>
        <v>229</v>
      </c>
      <c r="J3135" s="7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">
        <v>1010</v>
      </c>
      <c r="H3136" s="1">
        <v>1950</v>
      </c>
      <c r="I3136" s="6">
        <f>Tabela1[[#This Row],[Valor total]]-Tabela1[[#This Row],[Valor custo]]</f>
        <v>940</v>
      </c>
      <c r="J3136" s="7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">
        <v>2713.79</v>
      </c>
      <c r="H3137" s="1">
        <v>4242</v>
      </c>
      <c r="I3137" s="6">
        <f>Tabela1[[#This Row],[Valor total]]-Tabela1[[#This Row],[Valor custo]]</f>
        <v>1528.21</v>
      </c>
      <c r="J3137" s="7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">
        <v>293.13</v>
      </c>
      <c r="H3138" s="1">
        <v>470</v>
      </c>
      <c r="I3138" s="6">
        <f>Tabela1[[#This Row],[Valor total]]-Tabela1[[#This Row],[Valor custo]]</f>
        <v>176.87</v>
      </c>
      <c r="J3138" s="7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">
        <v>8177.9</v>
      </c>
      <c r="H3139" s="1">
        <v>12700</v>
      </c>
      <c r="I3139" s="6">
        <f>Tabela1[[#This Row],[Valor total]]-Tabela1[[#This Row],[Valor custo]]</f>
        <v>4522.1000000000004</v>
      </c>
      <c r="J3139" s="7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">
        <v>721</v>
      </c>
      <c r="H3140" s="1">
        <v>1500</v>
      </c>
      <c r="I3140" s="6">
        <f>Tabela1[[#This Row],[Valor total]]-Tabela1[[#This Row],[Valor custo]]</f>
        <v>779</v>
      </c>
      <c r="J3140" s="7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">
        <v>544</v>
      </c>
      <c r="H3141" s="1">
        <v>869</v>
      </c>
      <c r="I3141" s="6">
        <f>Tabela1[[#This Row],[Valor total]]-Tabela1[[#This Row],[Valor custo]]</f>
        <v>325</v>
      </c>
      <c r="J3141" s="7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">
        <v>865.58</v>
      </c>
      <c r="H3142" s="1">
        <v>1400</v>
      </c>
      <c r="I3142" s="6">
        <f>Tabela1[[#This Row],[Valor total]]-Tabela1[[#This Row],[Valor custo]]</f>
        <v>534.41999999999996</v>
      </c>
      <c r="J3142" s="7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">
        <v>1156.81</v>
      </c>
      <c r="H3143" s="1">
        <v>1960</v>
      </c>
      <c r="I3143" s="6">
        <f>Tabela1[[#This Row],[Valor total]]-Tabela1[[#This Row],[Valor custo]]</f>
        <v>803.19</v>
      </c>
      <c r="J3143" s="7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">
        <v>463</v>
      </c>
      <c r="H3144" s="1">
        <v>750</v>
      </c>
      <c r="I3144" s="6">
        <f>Tabela1[[#This Row],[Valor total]]-Tabela1[[#This Row],[Valor custo]]</f>
        <v>287</v>
      </c>
      <c r="J3144" s="7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">
        <v>432.79</v>
      </c>
      <c r="H3145" s="1">
        <v>585</v>
      </c>
      <c r="I3145" s="6">
        <f>Tabela1[[#This Row],[Valor total]]-Tabela1[[#This Row],[Valor custo]]</f>
        <v>152.20999999999998</v>
      </c>
      <c r="J3145" s="7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">
        <v>70</v>
      </c>
      <c r="H3146" s="1">
        <v>90</v>
      </c>
      <c r="I3146" s="6">
        <f>Tabela1[[#This Row],[Valor total]]-Tabela1[[#This Row],[Valor custo]]</f>
        <v>20</v>
      </c>
      <c r="J3146" s="7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">
        <v>705</v>
      </c>
      <c r="H3147" s="1">
        <v>1300</v>
      </c>
      <c r="I3147" s="6">
        <f>Tabela1[[#This Row],[Valor total]]-Tabela1[[#This Row],[Valor custo]]</f>
        <v>595</v>
      </c>
      <c r="J3147" s="7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">
        <v>865.58</v>
      </c>
      <c r="H3148" s="1">
        <v>1230</v>
      </c>
      <c r="I3148" s="6">
        <f>Tabela1[[#This Row],[Valor total]]-Tabela1[[#This Row],[Valor custo]]</f>
        <v>364.41999999999996</v>
      </c>
      <c r="J3148" s="7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">
        <v>1403.42</v>
      </c>
      <c r="H3149" s="1">
        <v>2350</v>
      </c>
      <c r="I3149" s="6">
        <f>Tabela1[[#This Row],[Valor total]]-Tabela1[[#This Row],[Valor custo]]</f>
        <v>946.57999999999993</v>
      </c>
      <c r="J3149" s="7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">
        <v>432.79</v>
      </c>
      <c r="H3150" s="1">
        <v>720</v>
      </c>
      <c r="I3150" s="6">
        <f>Tabela1[[#This Row],[Valor total]]-Tabela1[[#This Row],[Valor custo]]</f>
        <v>287.20999999999998</v>
      </c>
      <c r="J3150" s="7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">
        <v>544</v>
      </c>
      <c r="H3151" s="1">
        <v>869</v>
      </c>
      <c r="I3151" s="6">
        <f>Tabela1[[#This Row],[Valor total]]-Tabela1[[#This Row],[Valor custo]]</f>
        <v>325</v>
      </c>
      <c r="J3151" s="7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">
        <v>1409.58</v>
      </c>
      <c r="H3152" s="1">
        <v>1200</v>
      </c>
      <c r="I3152" s="6">
        <f>Tabela1[[#This Row],[Valor total]]-Tabela1[[#This Row],[Valor custo]]</f>
        <v>-209.57999999999993</v>
      </c>
      <c r="J3152" s="7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">
        <v>256.10000000000002</v>
      </c>
      <c r="H3153" s="1">
        <v>308</v>
      </c>
      <c r="I3153" s="6">
        <f>Tabela1[[#This Row],[Valor total]]-Tabela1[[#This Row],[Valor custo]]</f>
        <v>51.899999999999977</v>
      </c>
      <c r="J3153" s="7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">
        <v>544</v>
      </c>
      <c r="H3154" s="1">
        <v>780</v>
      </c>
      <c r="I3154" s="6">
        <f>Tabela1[[#This Row],[Valor total]]-Tabela1[[#This Row],[Valor custo]]</f>
        <v>236</v>
      </c>
      <c r="J3154" s="7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">
        <v>463</v>
      </c>
      <c r="H3155" s="1">
        <v>750</v>
      </c>
      <c r="I3155" s="6">
        <f>Tabela1[[#This Row],[Valor total]]-Tabela1[[#This Row],[Valor custo]]</f>
        <v>287</v>
      </c>
      <c r="J3155" s="7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">
        <v>2866</v>
      </c>
      <c r="H3156" s="1">
        <v>4310</v>
      </c>
      <c r="I3156" s="6">
        <f>Tabela1[[#This Row],[Valor total]]-Tabela1[[#This Row],[Valor custo]]</f>
        <v>1444</v>
      </c>
      <c r="J3156" s="7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">
        <v>4850</v>
      </c>
      <c r="H3157" s="1">
        <v>6800</v>
      </c>
      <c r="I3157" s="6">
        <f>Tabela1[[#This Row],[Valor total]]-Tabela1[[#This Row],[Valor custo]]</f>
        <v>1950</v>
      </c>
      <c r="J3157" s="7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">
        <v>562.79</v>
      </c>
      <c r="H3158" s="1">
        <v>800</v>
      </c>
      <c r="I3158" s="6">
        <f>Tabela1[[#This Row],[Valor total]]-Tabela1[[#This Row],[Valor custo]]</f>
        <v>237.21000000000004</v>
      </c>
      <c r="J3158" s="7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">
        <v>322.56</v>
      </c>
      <c r="H3159" s="1">
        <v>613</v>
      </c>
      <c r="I3159" s="6">
        <f>Tabela1[[#This Row],[Valor total]]-Tabela1[[#This Row],[Valor custo]]</f>
        <v>290.44</v>
      </c>
      <c r="J3159" s="7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">
        <v>48.76</v>
      </c>
      <c r="H3160" s="1">
        <v>60</v>
      </c>
      <c r="I3160" s="6">
        <f>Tabela1[[#This Row],[Valor total]]-Tabela1[[#This Row],[Valor custo]]</f>
        <v>11.240000000000002</v>
      </c>
      <c r="J3160" s="7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">
        <v>6.1</v>
      </c>
      <c r="H3161" s="1">
        <v>8</v>
      </c>
      <c r="I3161" s="6">
        <f>Tabela1[[#This Row],[Valor total]]-Tabela1[[#This Row],[Valor custo]]</f>
        <v>1.9000000000000004</v>
      </c>
      <c r="J3161" s="7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">
        <v>487.22</v>
      </c>
      <c r="H3162" s="1">
        <v>700</v>
      </c>
      <c r="I3162" s="6">
        <f>Tabela1[[#This Row],[Valor total]]-Tabela1[[#This Row],[Valor custo]]</f>
        <v>212.77999999999997</v>
      </c>
      <c r="J3162" s="7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">
        <v>3133.95</v>
      </c>
      <c r="H3163" s="1">
        <v>4830</v>
      </c>
      <c r="I3163" s="6">
        <f>Tabela1[[#This Row],[Valor total]]-Tabela1[[#This Row],[Valor custo]]</f>
        <v>1696.0500000000002</v>
      </c>
      <c r="J3163" s="7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">
        <v>770</v>
      </c>
      <c r="H3164" s="1">
        <v>1040</v>
      </c>
      <c r="I3164" s="6">
        <f>Tabela1[[#This Row],[Valor total]]-Tabela1[[#This Row],[Valor custo]]</f>
        <v>270</v>
      </c>
      <c r="J3164" s="7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">
        <v>293.13</v>
      </c>
      <c r="H3165" s="1">
        <v>400</v>
      </c>
      <c r="I3165" s="6">
        <f>Tabela1[[#This Row],[Valor total]]-Tabela1[[#This Row],[Valor custo]]</f>
        <v>106.87</v>
      </c>
      <c r="J3165" s="7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">
        <v>55</v>
      </c>
      <c r="H3166" s="1">
        <v>180</v>
      </c>
      <c r="I3166" s="6">
        <f>Tabela1[[#This Row],[Valor total]]-Tabela1[[#This Row],[Valor custo]]</f>
        <v>125</v>
      </c>
      <c r="J3166" s="7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">
        <v>865.58</v>
      </c>
      <c r="H3167" s="1">
        <v>1200</v>
      </c>
      <c r="I3167" s="6">
        <f>Tabela1[[#This Row],[Valor total]]-Tabela1[[#This Row],[Valor custo]]</f>
        <v>334.41999999999996</v>
      </c>
      <c r="J3167" s="7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">
        <v>1947.37</v>
      </c>
      <c r="H3168" s="1">
        <v>2890</v>
      </c>
      <c r="I3168" s="6">
        <f>Tabela1[[#This Row],[Valor total]]-Tabela1[[#This Row],[Valor custo]]</f>
        <v>942.63000000000011</v>
      </c>
      <c r="J3168" s="7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">
        <v>432.79</v>
      </c>
      <c r="H3169" s="1">
        <v>650</v>
      </c>
      <c r="I3169" s="6">
        <f>Tabela1[[#This Row],[Valor total]]-Tabela1[[#This Row],[Valor custo]]</f>
        <v>217.20999999999998</v>
      </c>
      <c r="J3169" s="7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">
        <v>911.33</v>
      </c>
      <c r="H3170" s="1">
        <v>1340</v>
      </c>
      <c r="I3170" s="6">
        <f>Tabela1[[#This Row],[Valor total]]-Tabela1[[#This Row],[Valor custo]]</f>
        <v>428.66999999999996</v>
      </c>
      <c r="J3170" s="7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">
        <v>1147.69</v>
      </c>
      <c r="H3171" s="1">
        <v>1945</v>
      </c>
      <c r="I3171" s="6">
        <f>Tabela1[[#This Row],[Valor total]]-Tabela1[[#This Row],[Valor custo]]</f>
        <v>797.31</v>
      </c>
      <c r="J3171" s="7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">
        <v>2468</v>
      </c>
      <c r="H3172" s="1">
        <v>3660</v>
      </c>
      <c r="I3172" s="6">
        <f>Tabela1[[#This Row],[Valor total]]-Tabela1[[#This Row],[Valor custo]]</f>
        <v>1192</v>
      </c>
      <c r="J3172" s="7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">
        <v>250</v>
      </c>
      <c r="H3173" s="1">
        <v>280</v>
      </c>
      <c r="I3173" s="6">
        <f>Tabela1[[#This Row],[Valor total]]-Tabela1[[#This Row],[Valor custo]]</f>
        <v>30</v>
      </c>
      <c r="J3173" s="7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">
        <v>649</v>
      </c>
      <c r="H3174" s="1">
        <v>900</v>
      </c>
      <c r="I3174" s="6">
        <f>Tabela1[[#This Row],[Valor total]]-Tabela1[[#This Row],[Valor custo]]</f>
        <v>251</v>
      </c>
      <c r="J3174" s="7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">
        <v>485</v>
      </c>
      <c r="H3175" s="1">
        <v>195</v>
      </c>
      <c r="I3175" s="6">
        <f>Tabela1[[#This Row],[Valor total]]-Tabela1[[#This Row],[Valor custo]]</f>
        <v>-290</v>
      </c>
      <c r="J3175" s="7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">
        <v>485</v>
      </c>
      <c r="H3176" s="1">
        <v>850</v>
      </c>
      <c r="I3176" s="6">
        <f>Tabela1[[#This Row],[Valor total]]-Tabela1[[#This Row],[Valor custo]]</f>
        <v>365</v>
      </c>
      <c r="J3176" s="7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">
        <v>8612.43</v>
      </c>
      <c r="H3177" s="1">
        <v>12470</v>
      </c>
      <c r="I3177" s="6">
        <f>Tabela1[[#This Row],[Valor total]]-Tabela1[[#This Row],[Valor custo]]</f>
        <v>3857.5699999999997</v>
      </c>
      <c r="J3177" s="7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">
        <v>3040.58</v>
      </c>
      <c r="H3178" s="1">
        <v>4760</v>
      </c>
      <c r="I3178" s="6">
        <f>Tabela1[[#This Row],[Valor total]]-Tabela1[[#This Row],[Valor custo]]</f>
        <v>1719.42</v>
      </c>
      <c r="J3178" s="7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">
        <v>14239</v>
      </c>
      <c r="H3179" s="1">
        <v>20450</v>
      </c>
      <c r="I3179" s="6">
        <f>Tabela1[[#This Row],[Valor total]]-Tabela1[[#This Row],[Valor custo]]</f>
        <v>6211</v>
      </c>
      <c r="J3179" s="7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">
        <v>432.79</v>
      </c>
      <c r="H3180" s="1">
        <v>585</v>
      </c>
      <c r="I3180" s="6">
        <f>Tabela1[[#This Row],[Valor total]]-Tabela1[[#This Row],[Valor custo]]</f>
        <v>152.20999999999998</v>
      </c>
      <c r="J3180" s="7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">
        <v>776.1</v>
      </c>
      <c r="H3181" s="1">
        <v>1298</v>
      </c>
      <c r="I3181" s="6">
        <f>Tabela1[[#This Row],[Valor total]]-Tabela1[[#This Row],[Valor custo]]</f>
        <v>521.9</v>
      </c>
      <c r="J3181" s="7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">
        <v>241.61</v>
      </c>
      <c r="H3182" s="1">
        <v>496.5</v>
      </c>
      <c r="I3182" s="6">
        <f>Tabela1[[#This Row],[Valor total]]-Tabela1[[#This Row],[Valor custo]]</f>
        <v>254.89</v>
      </c>
      <c r="J3182" s="7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">
        <v>42</v>
      </c>
      <c r="H3183" s="1">
        <v>50</v>
      </c>
      <c r="I3183" s="6">
        <f>Tabela1[[#This Row],[Valor total]]-Tabela1[[#This Row],[Valor custo]]</f>
        <v>8</v>
      </c>
      <c r="J3183" s="7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">
        <v>432.79</v>
      </c>
      <c r="H3184" s="1">
        <v>680</v>
      </c>
      <c r="I3184" s="6">
        <f>Tabela1[[#This Row],[Valor total]]-Tabela1[[#This Row],[Valor custo]]</f>
        <v>247.20999999999998</v>
      </c>
      <c r="J3184" s="7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">
        <v>7201.9</v>
      </c>
      <c r="H3185" s="1">
        <v>10450</v>
      </c>
      <c r="I3185" s="6">
        <f>Tabela1[[#This Row],[Valor total]]-Tabela1[[#This Row],[Valor custo]]</f>
        <v>3248.1000000000004</v>
      </c>
      <c r="J3185" s="7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">
        <v>649</v>
      </c>
      <c r="H3186" s="1">
        <v>900</v>
      </c>
      <c r="I3186" s="6">
        <f>Tabela1[[#This Row],[Valor total]]-Tabela1[[#This Row],[Valor custo]]</f>
        <v>251</v>
      </c>
      <c r="J3186" s="7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">
        <v>1630</v>
      </c>
      <c r="H3187" s="1">
        <v>2640</v>
      </c>
      <c r="I3187" s="6">
        <f>Tabela1[[#This Row],[Valor total]]-Tabela1[[#This Row],[Valor custo]]</f>
        <v>1010</v>
      </c>
      <c r="J3187" s="7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">
        <v>0</v>
      </c>
      <c r="H3188" s="1">
        <v>500</v>
      </c>
      <c r="I3188" s="6">
        <f>Tabela1[[#This Row],[Valor total]]-Tabela1[[#This Row],[Valor custo]]</f>
        <v>500</v>
      </c>
      <c r="J3188" s="7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">
        <v>91.2</v>
      </c>
      <c r="H3189" s="1">
        <v>160</v>
      </c>
      <c r="I3189" s="6">
        <f>Tabela1[[#This Row],[Valor total]]-Tabela1[[#This Row],[Valor custo]]</f>
        <v>68.8</v>
      </c>
      <c r="J3189" s="7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">
        <v>27.38</v>
      </c>
      <c r="H3190" s="1">
        <v>200</v>
      </c>
      <c r="I3190" s="6">
        <f>Tabela1[[#This Row],[Valor total]]-Tabela1[[#This Row],[Valor custo]]</f>
        <v>172.62</v>
      </c>
      <c r="J3190" s="7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">
        <v>926</v>
      </c>
      <c r="H3191" s="1">
        <v>1500</v>
      </c>
      <c r="I3191" s="6">
        <f>Tabela1[[#This Row],[Valor total]]-Tabela1[[#This Row],[Valor custo]]</f>
        <v>574</v>
      </c>
      <c r="J3191" s="7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">
        <v>25</v>
      </c>
      <c r="H3192" s="1">
        <v>30</v>
      </c>
      <c r="I3192" s="6">
        <f>Tabela1[[#This Row],[Valor total]]-Tabela1[[#This Row],[Valor custo]]</f>
        <v>5</v>
      </c>
      <c r="J3192" s="7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">
        <v>26.61</v>
      </c>
      <c r="H3193" s="1">
        <v>86</v>
      </c>
      <c r="I3193" s="6">
        <f>Tabela1[[#This Row],[Valor total]]-Tabela1[[#This Row],[Valor custo]]</f>
        <v>59.39</v>
      </c>
      <c r="J3193" s="7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">
        <v>877.78</v>
      </c>
      <c r="H3194" s="1">
        <v>1330</v>
      </c>
      <c r="I3194" s="6">
        <f>Tabela1[[#This Row],[Valor total]]-Tabela1[[#This Row],[Valor custo]]</f>
        <v>452.22</v>
      </c>
      <c r="J3194" s="7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">
        <v>1362.76</v>
      </c>
      <c r="H3195" s="1">
        <v>2025</v>
      </c>
      <c r="I3195" s="6">
        <f>Tabela1[[#This Row],[Valor total]]-Tabela1[[#This Row],[Valor custo]]</f>
        <v>662.24</v>
      </c>
      <c r="J3195" s="7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">
        <v>674</v>
      </c>
      <c r="H3196" s="1">
        <v>1165</v>
      </c>
      <c r="I3196" s="6">
        <f>Tabela1[[#This Row],[Valor total]]-Tabela1[[#This Row],[Valor custo]]</f>
        <v>491</v>
      </c>
      <c r="J3196" s="7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">
        <v>42</v>
      </c>
      <c r="H3197" s="1">
        <v>55</v>
      </c>
      <c r="I3197" s="6">
        <f>Tabela1[[#This Row],[Valor total]]-Tabela1[[#This Row],[Valor custo]]</f>
        <v>13</v>
      </c>
      <c r="J3197" s="7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">
        <v>293.13</v>
      </c>
      <c r="H3198" s="1">
        <v>400</v>
      </c>
      <c r="I3198" s="6">
        <f>Tabela1[[#This Row],[Valor total]]-Tabela1[[#This Row],[Valor custo]]</f>
        <v>106.87</v>
      </c>
      <c r="J3198" s="7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">
        <v>5807.6</v>
      </c>
      <c r="H3199" s="1">
        <v>9315</v>
      </c>
      <c r="I3199" s="6">
        <f>Tabela1[[#This Row],[Valor total]]-Tabela1[[#This Row],[Valor custo]]</f>
        <v>3507.3999999999996</v>
      </c>
      <c r="J3199" s="7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">
        <v>8427.9</v>
      </c>
      <c r="H3200" s="1">
        <v>12000</v>
      </c>
      <c r="I3200" s="6">
        <f>Tabela1[[#This Row],[Valor total]]-Tabela1[[#This Row],[Valor custo]]</f>
        <v>3572.1000000000004</v>
      </c>
      <c r="J3200" s="7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">
        <v>1669.79</v>
      </c>
      <c r="H3201" s="1">
        <v>1855</v>
      </c>
      <c r="I3201" s="6">
        <f>Tabela1[[#This Row],[Valor total]]-Tabela1[[#This Row],[Valor custo]]</f>
        <v>185.21000000000004</v>
      </c>
      <c r="J3201" s="7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">
        <v>55</v>
      </c>
      <c r="H3202" s="1">
        <v>150</v>
      </c>
      <c r="I3202" s="6">
        <f>Tabela1[[#This Row],[Valor total]]-Tabela1[[#This Row],[Valor custo]]</f>
        <v>95</v>
      </c>
      <c r="J3202" s="7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">
        <v>2098.56</v>
      </c>
      <c r="H3203" s="1">
        <v>3305</v>
      </c>
      <c r="I3203" s="6">
        <f>Tabela1[[#This Row],[Valor total]]-Tabela1[[#This Row],[Valor custo]]</f>
        <v>1206.44</v>
      </c>
      <c r="J3203" s="7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">
        <v>305.27999999999997</v>
      </c>
      <c r="H3204" s="1">
        <v>380</v>
      </c>
      <c r="I3204" s="6">
        <f>Tabela1[[#This Row],[Valor total]]-Tabela1[[#This Row],[Valor custo]]</f>
        <v>74.720000000000027</v>
      </c>
      <c r="J3204" s="7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">
        <v>0</v>
      </c>
      <c r="H3205" s="1">
        <v>150</v>
      </c>
      <c r="I3205" s="6">
        <f>Tabela1[[#This Row],[Valor total]]-Tabela1[[#This Row],[Valor custo]]</f>
        <v>150</v>
      </c>
      <c r="J3205" s="7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">
        <v>125</v>
      </c>
      <c r="H3206" s="1">
        <v>150</v>
      </c>
      <c r="I3206" s="6">
        <f>Tabela1[[#This Row],[Valor total]]-Tabela1[[#This Row],[Valor custo]]</f>
        <v>25</v>
      </c>
      <c r="J3206" s="7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">
        <v>16390</v>
      </c>
      <c r="H3207" s="1">
        <v>23000</v>
      </c>
      <c r="I3207" s="6">
        <f>Tabela1[[#This Row],[Valor total]]-Tabela1[[#This Row],[Valor custo]]</f>
        <v>6610</v>
      </c>
      <c r="J3207" s="7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">
        <v>125</v>
      </c>
      <c r="H3208" s="1">
        <v>150</v>
      </c>
      <c r="I3208" s="6">
        <f>Tabela1[[#This Row],[Valor total]]-Tabela1[[#This Row],[Valor custo]]</f>
        <v>25</v>
      </c>
      <c r="J3208" s="7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">
        <v>91.2</v>
      </c>
      <c r="H3209" s="1">
        <v>160</v>
      </c>
      <c r="I3209" s="6">
        <f>Tabela1[[#This Row],[Valor total]]-Tabela1[[#This Row],[Valor custo]]</f>
        <v>68.8</v>
      </c>
      <c r="J3209" s="7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">
        <v>94.06</v>
      </c>
      <c r="H3210" s="1">
        <v>170</v>
      </c>
      <c r="I3210" s="6">
        <f>Tabela1[[#This Row],[Valor total]]-Tabela1[[#This Row],[Valor custo]]</f>
        <v>75.94</v>
      </c>
      <c r="J3210" s="7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">
        <v>705</v>
      </c>
      <c r="H3211" s="1">
        <v>1300</v>
      </c>
      <c r="I3211" s="6">
        <f>Tabela1[[#This Row],[Valor total]]-Tabela1[[#This Row],[Valor custo]]</f>
        <v>595</v>
      </c>
      <c r="J3211" s="7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">
        <v>664</v>
      </c>
      <c r="H3212" s="1">
        <v>1000</v>
      </c>
      <c r="I3212" s="6">
        <f>Tabela1[[#This Row],[Valor total]]-Tabela1[[#This Row],[Valor custo]]</f>
        <v>336</v>
      </c>
      <c r="J3212" s="7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">
        <v>664</v>
      </c>
      <c r="H3213" s="1">
        <v>1000</v>
      </c>
      <c r="I3213" s="6">
        <f>Tabela1[[#This Row],[Valor total]]-Tabela1[[#This Row],[Valor custo]]</f>
        <v>336</v>
      </c>
      <c r="J3213" s="7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">
        <v>9640.16</v>
      </c>
      <c r="H3214" s="1">
        <v>15342</v>
      </c>
      <c r="I3214" s="6">
        <f>Tabela1[[#This Row],[Valor total]]-Tabela1[[#This Row],[Valor custo]]</f>
        <v>5701.84</v>
      </c>
      <c r="J3214" s="7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">
        <v>7.21</v>
      </c>
      <c r="H3215" s="1">
        <v>35</v>
      </c>
      <c r="I3215" s="6">
        <f>Tabela1[[#This Row],[Valor total]]-Tabela1[[#This Row],[Valor custo]]</f>
        <v>27.79</v>
      </c>
      <c r="J3215" s="7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">
        <v>8177.9</v>
      </c>
      <c r="H3216" s="1">
        <v>11500</v>
      </c>
      <c r="I3216" s="6">
        <f>Tabela1[[#This Row],[Valor total]]-Tabela1[[#This Row],[Valor custo]]</f>
        <v>3322.1000000000004</v>
      </c>
      <c r="J3216" s="7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">
        <v>12126.95</v>
      </c>
      <c r="H3217" s="1">
        <v>19000</v>
      </c>
      <c r="I3217" s="6">
        <f>Tabela1[[#This Row],[Valor total]]-Tabela1[[#This Row],[Valor custo]]</f>
        <v>6873.0499999999993</v>
      </c>
      <c r="J3217" s="7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">
        <v>1117.2</v>
      </c>
      <c r="H3218" s="1">
        <v>1900</v>
      </c>
      <c r="I3218" s="6">
        <f>Tabela1[[#This Row],[Valor total]]-Tabela1[[#This Row],[Valor custo]]</f>
        <v>782.8</v>
      </c>
      <c r="J3218" s="7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">
        <v>1330</v>
      </c>
      <c r="H3219" s="1">
        <v>2070</v>
      </c>
      <c r="I3219" s="6">
        <f>Tabela1[[#This Row],[Valor total]]-Tabela1[[#This Row],[Valor custo]]</f>
        <v>740</v>
      </c>
      <c r="J3219" s="7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">
        <v>305</v>
      </c>
      <c r="H3220" s="1">
        <v>390</v>
      </c>
      <c r="I3220" s="6">
        <f>Tabela1[[#This Row],[Valor total]]-Tabela1[[#This Row],[Valor custo]]</f>
        <v>85</v>
      </c>
      <c r="J3220" s="7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">
        <v>94.06</v>
      </c>
      <c r="H3221" s="1">
        <v>0</v>
      </c>
      <c r="I3221" s="6">
        <f>Tabela1[[#This Row],[Valor total]]-Tabela1[[#This Row],[Valor custo]]</f>
        <v>-94.06</v>
      </c>
      <c r="J3221" s="7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">
        <v>2119.0700000000002</v>
      </c>
      <c r="H3222" s="1">
        <v>3295</v>
      </c>
      <c r="I3222" s="6">
        <f>Tabela1[[#This Row],[Valor total]]-Tabela1[[#This Row],[Valor custo]]</f>
        <v>1175.9299999999998</v>
      </c>
      <c r="J3222" s="7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">
        <v>485</v>
      </c>
      <c r="H3223" s="1">
        <v>850</v>
      </c>
      <c r="I3223" s="6">
        <f>Tabela1[[#This Row],[Valor total]]-Tabela1[[#This Row],[Valor custo]]</f>
        <v>365</v>
      </c>
      <c r="J3223" s="7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">
        <v>1298</v>
      </c>
      <c r="H3224" s="1">
        <v>1800</v>
      </c>
      <c r="I3224" s="6">
        <f>Tabela1[[#This Row],[Valor total]]-Tabela1[[#This Row],[Valor custo]]</f>
        <v>502</v>
      </c>
      <c r="J3224" s="7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">
        <v>94.06</v>
      </c>
      <c r="H3225" s="1">
        <v>170</v>
      </c>
      <c r="I3225" s="6">
        <f>Tabela1[[#This Row],[Valor total]]-Tabela1[[#This Row],[Valor custo]]</f>
        <v>75.94</v>
      </c>
      <c r="J3225" s="7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">
        <v>1251.3</v>
      </c>
      <c r="H3226" s="1">
        <v>2099</v>
      </c>
      <c r="I3226" s="6">
        <f>Tabela1[[#This Row],[Valor total]]-Tabela1[[#This Row],[Valor custo]]</f>
        <v>847.7</v>
      </c>
      <c r="J3226" s="7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">
        <v>1155</v>
      </c>
      <c r="H3227" s="1">
        <v>1845</v>
      </c>
      <c r="I3227" s="6">
        <f>Tabela1[[#This Row],[Valor total]]-Tabela1[[#This Row],[Valor custo]]</f>
        <v>690</v>
      </c>
      <c r="J3227" s="7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">
        <v>1142</v>
      </c>
      <c r="H3228" s="1">
        <v>1950</v>
      </c>
      <c r="I3228" s="6">
        <f>Tabela1[[#This Row],[Valor total]]-Tabela1[[#This Row],[Valor custo]]</f>
        <v>808</v>
      </c>
      <c r="J3228" s="7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">
        <v>649</v>
      </c>
      <c r="H3229" s="1">
        <v>1000</v>
      </c>
      <c r="I3229" s="6">
        <f>Tabela1[[#This Row],[Valor total]]-Tabela1[[#This Row],[Valor custo]]</f>
        <v>351</v>
      </c>
      <c r="J3229" s="7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">
        <v>3013</v>
      </c>
      <c r="H3230" s="1">
        <v>4400</v>
      </c>
      <c r="I3230" s="6">
        <f>Tabela1[[#This Row],[Valor total]]-Tabela1[[#This Row],[Valor custo]]</f>
        <v>1387</v>
      </c>
      <c r="J3230" s="7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">
        <v>293.13</v>
      </c>
      <c r="H3231" s="1">
        <v>450</v>
      </c>
      <c r="I3231" s="6">
        <f>Tabela1[[#This Row],[Valor total]]-Tabela1[[#This Row],[Valor custo]]</f>
        <v>156.87</v>
      </c>
      <c r="J3231" s="7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">
        <v>385</v>
      </c>
      <c r="H3232" s="1">
        <v>615</v>
      </c>
      <c r="I3232" s="6">
        <f>Tabela1[[#This Row],[Valor total]]-Tabela1[[#This Row],[Valor custo]]</f>
        <v>230</v>
      </c>
      <c r="J3232" s="7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">
        <v>230.88</v>
      </c>
      <c r="H3233" s="1">
        <v>273</v>
      </c>
      <c r="I3233" s="6">
        <f>Tabela1[[#This Row],[Valor total]]-Tabela1[[#This Row],[Valor custo]]</f>
        <v>42.120000000000005</v>
      </c>
      <c r="J3233" s="7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">
        <v>84</v>
      </c>
      <c r="H3234" s="1">
        <v>110</v>
      </c>
      <c r="I3234" s="6">
        <f>Tabela1[[#This Row],[Valor total]]-Tabela1[[#This Row],[Valor custo]]</f>
        <v>26</v>
      </c>
      <c r="J3234" s="7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">
        <v>929</v>
      </c>
      <c r="H3235" s="1">
        <v>1545</v>
      </c>
      <c r="I3235" s="6">
        <f>Tabela1[[#This Row],[Valor total]]-Tabela1[[#This Row],[Valor custo]]</f>
        <v>616</v>
      </c>
      <c r="J3235" s="7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">
        <v>55</v>
      </c>
      <c r="H3236" s="1">
        <v>200</v>
      </c>
      <c r="I3236" s="6">
        <f>Tabela1[[#This Row],[Valor total]]-Tabela1[[#This Row],[Valor custo]]</f>
        <v>145</v>
      </c>
      <c r="J3236" s="7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">
        <v>21.63</v>
      </c>
      <c r="H3237" s="1">
        <v>105</v>
      </c>
      <c r="I3237" s="6">
        <f>Tabela1[[#This Row],[Valor total]]-Tabela1[[#This Row],[Valor custo]]</f>
        <v>83.37</v>
      </c>
      <c r="J3237" s="7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">
        <v>705</v>
      </c>
      <c r="H3238" s="1">
        <v>1300</v>
      </c>
      <c r="I3238" s="6">
        <f>Tabela1[[#This Row],[Valor total]]-Tabela1[[#This Row],[Valor custo]]</f>
        <v>595</v>
      </c>
      <c r="J3238" s="7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">
        <v>705</v>
      </c>
      <c r="H3239" s="1">
        <v>1300</v>
      </c>
      <c r="I3239" s="6">
        <f>Tabela1[[#This Row],[Valor total]]-Tabela1[[#This Row],[Valor custo]]</f>
        <v>595</v>
      </c>
      <c r="J3239" s="7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">
        <v>41.07</v>
      </c>
      <c r="H3240" s="1">
        <v>300</v>
      </c>
      <c r="I3240" s="6">
        <f>Tabela1[[#This Row],[Valor total]]-Tabela1[[#This Row],[Valor custo]]</f>
        <v>258.93</v>
      </c>
      <c r="J3240" s="7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">
        <v>1029</v>
      </c>
      <c r="H3241" s="1">
        <v>1525</v>
      </c>
      <c r="I3241" s="6">
        <f>Tabela1[[#This Row],[Valor total]]-Tabela1[[#This Row],[Valor custo]]</f>
        <v>496</v>
      </c>
      <c r="J3241" s="7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">
        <v>385</v>
      </c>
      <c r="H3242" s="1">
        <v>520</v>
      </c>
      <c r="I3242" s="6">
        <f>Tabela1[[#This Row],[Valor total]]-Tabela1[[#This Row],[Valor custo]]</f>
        <v>135</v>
      </c>
      <c r="J3242" s="7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">
        <v>865.58</v>
      </c>
      <c r="H3243" s="1">
        <v>1170</v>
      </c>
      <c r="I3243" s="6">
        <f>Tabela1[[#This Row],[Valor total]]-Tabela1[[#This Row],[Valor custo]]</f>
        <v>304.41999999999996</v>
      </c>
      <c r="J3243" s="7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">
        <v>126</v>
      </c>
      <c r="H3244" s="1">
        <v>165</v>
      </c>
      <c r="I3244" s="6">
        <f>Tabela1[[#This Row],[Valor total]]-Tabela1[[#This Row],[Valor custo]]</f>
        <v>39</v>
      </c>
      <c r="J3244" s="7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">
        <v>463</v>
      </c>
      <c r="H3245" s="1">
        <v>685</v>
      </c>
      <c r="I3245" s="6">
        <f>Tabela1[[#This Row],[Valor total]]-Tabela1[[#This Row],[Valor custo]]</f>
        <v>222</v>
      </c>
      <c r="J3245" s="7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">
        <v>1632</v>
      </c>
      <c r="H3246" s="1">
        <v>2600</v>
      </c>
      <c r="I3246" s="6">
        <f>Tabela1[[#This Row],[Valor total]]-Tabela1[[#This Row],[Valor custo]]</f>
        <v>968</v>
      </c>
      <c r="J3246" s="7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">
        <v>649</v>
      </c>
      <c r="H3247" s="1">
        <v>900</v>
      </c>
      <c r="I3247" s="6">
        <f>Tabela1[[#This Row],[Valor total]]-Tabela1[[#This Row],[Valor custo]]</f>
        <v>251</v>
      </c>
      <c r="J3247" s="7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">
        <v>126</v>
      </c>
      <c r="H3248" s="1">
        <v>165</v>
      </c>
      <c r="I3248" s="6">
        <f>Tabela1[[#This Row],[Valor total]]-Tabela1[[#This Row],[Valor custo]]</f>
        <v>39</v>
      </c>
      <c r="J3248" s="7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">
        <v>1108.49</v>
      </c>
      <c r="H3249" s="1">
        <v>2125</v>
      </c>
      <c r="I3249" s="6">
        <f>Tabela1[[#This Row],[Valor total]]-Tabela1[[#This Row],[Valor custo]]</f>
        <v>1016.51</v>
      </c>
      <c r="J3249" s="7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">
        <v>289</v>
      </c>
      <c r="H3250" s="1">
        <v>480</v>
      </c>
      <c r="I3250" s="6">
        <f>Tabela1[[#This Row],[Valor total]]-Tabela1[[#This Row],[Valor custo]]</f>
        <v>191</v>
      </c>
      <c r="J3250" s="7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">
        <v>1155</v>
      </c>
      <c r="H3251" s="1">
        <v>1860</v>
      </c>
      <c r="I3251" s="6">
        <f>Tabela1[[#This Row],[Valor total]]-Tabela1[[#This Row],[Valor custo]]</f>
        <v>705</v>
      </c>
      <c r="J3251" s="7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">
        <v>1064</v>
      </c>
      <c r="H3252" s="1">
        <v>1615</v>
      </c>
      <c r="I3252" s="6">
        <f>Tabela1[[#This Row],[Valor total]]-Tabela1[[#This Row],[Valor custo]]</f>
        <v>551</v>
      </c>
      <c r="J3252" s="7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">
        <v>72.099999999999994</v>
      </c>
      <c r="H3253" s="1">
        <v>300</v>
      </c>
      <c r="I3253" s="6">
        <f>Tabela1[[#This Row],[Valor total]]-Tabela1[[#This Row],[Valor custo]]</f>
        <v>227.9</v>
      </c>
      <c r="J3253" s="7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">
        <v>385</v>
      </c>
      <c r="H3254" s="1">
        <v>490</v>
      </c>
      <c r="I3254" s="6">
        <f>Tabela1[[#This Row],[Valor total]]-Tabela1[[#This Row],[Valor custo]]</f>
        <v>105</v>
      </c>
      <c r="J3254" s="7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">
        <v>544</v>
      </c>
      <c r="H3255" s="1">
        <v>860</v>
      </c>
      <c r="I3255" s="6">
        <f>Tabela1[[#This Row],[Valor total]]-Tabela1[[#This Row],[Valor custo]]</f>
        <v>316</v>
      </c>
      <c r="J3255" s="7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">
        <v>6624.53</v>
      </c>
      <c r="H3256" s="1">
        <v>10700</v>
      </c>
      <c r="I3256" s="6">
        <f>Tabela1[[#This Row],[Valor total]]-Tabela1[[#This Row],[Valor custo]]</f>
        <v>4075.4700000000003</v>
      </c>
      <c r="J3256" s="7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">
        <v>33.56</v>
      </c>
      <c r="H3257" s="1">
        <v>85</v>
      </c>
      <c r="I3257" s="6">
        <f>Tabela1[[#This Row],[Valor total]]-Tabela1[[#This Row],[Valor custo]]</f>
        <v>51.44</v>
      </c>
      <c r="J3257" s="7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">
        <v>1365.58</v>
      </c>
      <c r="H3258" s="1">
        <v>1430</v>
      </c>
      <c r="I3258" s="6">
        <f>Tabela1[[#This Row],[Valor total]]-Tabela1[[#This Row],[Valor custo]]</f>
        <v>64.420000000000073</v>
      </c>
      <c r="J3258" s="7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">
        <v>649</v>
      </c>
      <c r="H3259" s="1">
        <v>900</v>
      </c>
      <c r="I3259" s="6">
        <f>Tabela1[[#This Row],[Valor total]]-Tabela1[[#This Row],[Valor custo]]</f>
        <v>251</v>
      </c>
      <c r="J3259" s="7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">
        <v>485</v>
      </c>
      <c r="H3260" s="1">
        <v>760</v>
      </c>
      <c r="I3260" s="6">
        <f>Tabela1[[#This Row],[Valor total]]-Tabela1[[#This Row],[Valor custo]]</f>
        <v>275</v>
      </c>
      <c r="J3260" s="7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">
        <v>0</v>
      </c>
      <c r="H3261" s="1">
        <v>90</v>
      </c>
      <c r="I3261" s="6">
        <f>Tabela1[[#This Row],[Valor total]]-Tabela1[[#This Row],[Valor custo]]</f>
        <v>90</v>
      </c>
      <c r="J3261" s="7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">
        <v>385</v>
      </c>
      <c r="H3262" s="1">
        <v>615</v>
      </c>
      <c r="I3262" s="6">
        <f>Tabela1[[#This Row],[Valor total]]-Tabela1[[#This Row],[Valor custo]]</f>
        <v>230</v>
      </c>
      <c r="J3262" s="7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">
        <v>1298.3699999999999</v>
      </c>
      <c r="H3263" s="1">
        <v>1800</v>
      </c>
      <c r="I3263" s="6">
        <f>Tabela1[[#This Row],[Valor total]]-Tabela1[[#This Row],[Valor custo]]</f>
        <v>501.63000000000011</v>
      </c>
      <c r="J3263" s="7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">
        <v>1650</v>
      </c>
      <c r="H3264" s="1">
        <v>3600</v>
      </c>
      <c r="I3264" s="6">
        <f>Tabela1[[#This Row],[Valor total]]-Tabela1[[#This Row],[Valor custo]]</f>
        <v>1950</v>
      </c>
      <c r="J3264" s="7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">
        <v>12983.7</v>
      </c>
      <c r="H3265" s="1">
        <v>16200</v>
      </c>
      <c r="I3265" s="6">
        <f>Tabela1[[#This Row],[Valor total]]-Tabela1[[#This Row],[Valor custo]]</f>
        <v>3216.2999999999993</v>
      </c>
      <c r="J3265" s="7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">
        <v>725.5</v>
      </c>
      <c r="H3266" s="1">
        <v>1430</v>
      </c>
      <c r="I3266" s="6">
        <f>Tabela1[[#This Row],[Valor total]]-Tabela1[[#This Row],[Valor custo]]</f>
        <v>704.5</v>
      </c>
      <c r="J3266" s="7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">
        <v>4499</v>
      </c>
      <c r="H3267" s="1">
        <v>6400</v>
      </c>
      <c r="I3267" s="6">
        <f>Tabela1[[#This Row],[Valor total]]-Tabela1[[#This Row],[Valor custo]]</f>
        <v>1901</v>
      </c>
      <c r="J3267" s="7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">
        <v>293.13</v>
      </c>
      <c r="H3268" s="1">
        <v>450</v>
      </c>
      <c r="I3268" s="6">
        <f>Tabela1[[#This Row],[Valor total]]-Tabela1[[#This Row],[Valor custo]]</f>
        <v>156.87</v>
      </c>
      <c r="J3268" s="7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">
        <v>165</v>
      </c>
      <c r="H3269" s="1">
        <v>450</v>
      </c>
      <c r="I3269" s="6">
        <f>Tabela1[[#This Row],[Valor total]]-Tabela1[[#This Row],[Valor custo]]</f>
        <v>285</v>
      </c>
      <c r="J3269" s="7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">
        <v>970</v>
      </c>
      <c r="H3270" s="1">
        <v>1470</v>
      </c>
      <c r="I3270" s="6">
        <f>Tabela1[[#This Row],[Valor total]]-Tabela1[[#This Row],[Valor custo]]</f>
        <v>500</v>
      </c>
      <c r="J3270" s="7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">
        <v>806.05</v>
      </c>
      <c r="H3271" s="1">
        <v>1400</v>
      </c>
      <c r="I3271" s="6">
        <f>Tabela1[[#This Row],[Valor total]]-Tabela1[[#This Row],[Valor custo]]</f>
        <v>593.95000000000005</v>
      </c>
      <c r="J3271" s="7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">
        <v>586.26</v>
      </c>
      <c r="H3272" s="1">
        <v>800</v>
      </c>
      <c r="I3272" s="6">
        <f>Tabela1[[#This Row],[Valor total]]-Tabela1[[#This Row],[Valor custo]]</f>
        <v>213.74</v>
      </c>
      <c r="J3272" s="7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">
        <v>360</v>
      </c>
      <c r="H3273" s="1">
        <v>600</v>
      </c>
      <c r="I3273" s="6">
        <f>Tabela1[[#This Row],[Valor total]]-Tabela1[[#This Row],[Valor custo]]</f>
        <v>240</v>
      </c>
      <c r="J3273" s="7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">
        <v>2202.89</v>
      </c>
      <c r="H3274" s="1">
        <v>3505</v>
      </c>
      <c r="I3274" s="6">
        <f>Tabela1[[#This Row],[Valor total]]-Tabela1[[#This Row],[Valor custo]]</f>
        <v>1302.1100000000001</v>
      </c>
      <c r="J3274" s="7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">
        <v>750.79</v>
      </c>
      <c r="H3275" s="1">
        <v>1485</v>
      </c>
      <c r="I3275" s="6">
        <f>Tabela1[[#This Row],[Valor total]]-Tabela1[[#This Row],[Valor custo]]</f>
        <v>734.21</v>
      </c>
      <c r="J3275" s="7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">
        <v>5556</v>
      </c>
      <c r="H3276" s="1">
        <v>7920</v>
      </c>
      <c r="I3276" s="6">
        <f>Tabela1[[#This Row],[Valor total]]-Tabela1[[#This Row],[Valor custo]]</f>
        <v>2364</v>
      </c>
      <c r="J3276" s="7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">
        <v>12717.32</v>
      </c>
      <c r="H3277" s="1">
        <v>20777</v>
      </c>
      <c r="I3277" s="6">
        <f>Tabela1[[#This Row],[Valor total]]-Tabela1[[#This Row],[Valor custo]]</f>
        <v>8059.68</v>
      </c>
      <c r="J3277" s="7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">
        <v>9789.17</v>
      </c>
      <c r="H3278" s="1">
        <v>15829</v>
      </c>
      <c r="I3278" s="6">
        <f>Tabela1[[#This Row],[Valor total]]-Tabela1[[#This Row],[Valor custo]]</f>
        <v>6039.83</v>
      </c>
      <c r="J3278" s="7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">
        <v>12826.1</v>
      </c>
      <c r="H3279" s="1">
        <v>18200</v>
      </c>
      <c r="I3279" s="6">
        <f>Tabela1[[#This Row],[Valor total]]-Tabela1[[#This Row],[Valor custo]]</f>
        <v>5373.9</v>
      </c>
      <c r="J3279" s="7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">
        <v>485</v>
      </c>
      <c r="H3280" s="1">
        <v>850</v>
      </c>
      <c r="I3280" s="6">
        <f>Tabela1[[#This Row],[Valor total]]-Tabela1[[#This Row],[Valor custo]]</f>
        <v>365</v>
      </c>
      <c r="J3280" s="7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">
        <v>61</v>
      </c>
      <c r="H3281" s="1">
        <v>80</v>
      </c>
      <c r="I3281" s="6">
        <f>Tabela1[[#This Row],[Valor total]]-Tabela1[[#This Row],[Valor custo]]</f>
        <v>19</v>
      </c>
      <c r="J3281" s="7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">
        <v>3286.24</v>
      </c>
      <c r="H3282" s="1">
        <v>4800</v>
      </c>
      <c r="I3282" s="6">
        <f>Tabela1[[#This Row],[Valor total]]-Tabela1[[#This Row],[Valor custo]]</f>
        <v>1513.7600000000002</v>
      </c>
      <c r="J3282" s="7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">
        <v>5241.8999999999996</v>
      </c>
      <c r="H3283" s="1">
        <v>7850</v>
      </c>
      <c r="I3283" s="6">
        <f>Tabela1[[#This Row],[Valor total]]-Tabela1[[#This Row],[Valor custo]]</f>
        <v>2608.1000000000004</v>
      </c>
      <c r="J3283" s="7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">
        <v>535</v>
      </c>
      <c r="H3284" s="1">
        <v>800</v>
      </c>
      <c r="I3284" s="6">
        <f>Tabela1[[#This Row],[Valor total]]-Tabela1[[#This Row],[Valor custo]]</f>
        <v>265</v>
      </c>
      <c r="J3284" s="7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">
        <v>392.21</v>
      </c>
      <c r="H3285" s="1">
        <v>640</v>
      </c>
      <c r="I3285" s="6">
        <f>Tabela1[[#This Row],[Valor total]]-Tabela1[[#This Row],[Valor custo]]</f>
        <v>247.79000000000002</v>
      </c>
      <c r="J3285" s="7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">
        <v>783.69</v>
      </c>
      <c r="H3286" s="1">
        <v>1340</v>
      </c>
      <c r="I3286" s="6">
        <f>Tabela1[[#This Row],[Valor total]]-Tabela1[[#This Row],[Valor custo]]</f>
        <v>556.30999999999995</v>
      </c>
      <c r="J3286" s="7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">
        <v>2471.84</v>
      </c>
      <c r="H3287" s="1">
        <v>3580</v>
      </c>
      <c r="I3287" s="6">
        <f>Tabela1[[#This Row],[Valor total]]-Tabela1[[#This Row],[Valor custo]]</f>
        <v>1108.1599999999999</v>
      </c>
      <c r="J3287" s="7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">
        <v>305</v>
      </c>
      <c r="H3288" s="1">
        <v>370</v>
      </c>
      <c r="I3288" s="6">
        <f>Tabela1[[#This Row],[Valor total]]-Tabela1[[#This Row],[Valor custo]]</f>
        <v>65</v>
      </c>
      <c r="J3288" s="7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">
        <v>385</v>
      </c>
      <c r="H3289" s="1">
        <v>0</v>
      </c>
      <c r="I3289" s="6">
        <f>Tabela1[[#This Row],[Valor total]]-Tabela1[[#This Row],[Valor custo]]</f>
        <v>-385</v>
      </c>
      <c r="J3289" s="7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">
        <v>432.79</v>
      </c>
      <c r="H3290" s="1">
        <v>625</v>
      </c>
      <c r="I3290" s="6">
        <f>Tabela1[[#This Row],[Valor total]]-Tabela1[[#This Row],[Valor custo]]</f>
        <v>192.20999999999998</v>
      </c>
      <c r="J3290" s="7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">
        <v>412.14</v>
      </c>
      <c r="H3291" s="1">
        <v>1500</v>
      </c>
      <c r="I3291" s="6">
        <f>Tabela1[[#This Row],[Valor total]]-Tabela1[[#This Row],[Valor custo]]</f>
        <v>1087.8600000000001</v>
      </c>
      <c r="J3291" s="7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">
        <v>385</v>
      </c>
      <c r="H3292" s="1">
        <v>465</v>
      </c>
      <c r="I3292" s="6">
        <f>Tabela1[[#This Row],[Valor total]]-Tabela1[[#This Row],[Valor custo]]</f>
        <v>80</v>
      </c>
      <c r="J3292" s="7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">
        <v>1640</v>
      </c>
      <c r="H3293" s="1">
        <v>2550</v>
      </c>
      <c r="I3293" s="6">
        <f>Tabela1[[#This Row],[Valor total]]-Tabela1[[#This Row],[Valor custo]]</f>
        <v>910</v>
      </c>
      <c r="J3293" s="7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">
        <v>126</v>
      </c>
      <c r="H3294" s="1">
        <v>165</v>
      </c>
      <c r="I3294" s="6">
        <f>Tabela1[[#This Row],[Valor total]]-Tabela1[[#This Row],[Valor custo]]</f>
        <v>39</v>
      </c>
      <c r="J3294" s="7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">
        <v>490.7</v>
      </c>
      <c r="H3295" s="1">
        <v>565</v>
      </c>
      <c r="I3295" s="6">
        <f>Tabela1[[#This Row],[Valor total]]-Tabela1[[#This Row],[Valor custo]]</f>
        <v>74.300000000000011</v>
      </c>
      <c r="J3295" s="7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">
        <v>103.63</v>
      </c>
      <c r="H3296" s="1">
        <v>135</v>
      </c>
      <c r="I3296" s="6">
        <f>Tabela1[[#This Row],[Valor total]]-Tabela1[[#This Row],[Valor custo]]</f>
        <v>31.370000000000005</v>
      </c>
      <c r="J3296" s="7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">
        <v>493.77</v>
      </c>
      <c r="H3297" s="1">
        <v>725</v>
      </c>
      <c r="I3297" s="6">
        <f>Tabela1[[#This Row],[Valor total]]-Tabela1[[#This Row],[Valor custo]]</f>
        <v>231.23000000000002</v>
      </c>
      <c r="J3297" s="7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">
        <v>1049</v>
      </c>
      <c r="H3298" s="1">
        <v>1715</v>
      </c>
      <c r="I3298" s="6">
        <f>Tabela1[[#This Row],[Valor total]]-Tabela1[[#This Row],[Valor custo]]</f>
        <v>666</v>
      </c>
      <c r="J3298" s="7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">
        <v>30.49</v>
      </c>
      <c r="H3299" s="1">
        <v>45</v>
      </c>
      <c r="I3299" s="6">
        <f>Tabela1[[#This Row],[Valor total]]-Tabela1[[#This Row],[Valor custo]]</f>
        <v>14.510000000000002</v>
      </c>
      <c r="J3299" s="7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">
        <v>649</v>
      </c>
      <c r="H3300" s="1">
        <v>900</v>
      </c>
      <c r="I3300" s="6">
        <f>Tabela1[[#This Row],[Valor total]]-Tabela1[[#This Row],[Valor custo]]</f>
        <v>251</v>
      </c>
      <c r="J3300" s="7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">
        <v>72.099999999999994</v>
      </c>
      <c r="H3301" s="1">
        <v>300</v>
      </c>
      <c r="I3301" s="6">
        <f>Tabela1[[#This Row],[Valor total]]-Tabela1[[#This Row],[Valor custo]]</f>
        <v>227.9</v>
      </c>
      <c r="J3301" s="7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">
        <v>970</v>
      </c>
      <c r="H3302" s="1">
        <v>1470</v>
      </c>
      <c r="I3302" s="6">
        <f>Tabela1[[#This Row],[Valor total]]-Tabela1[[#This Row],[Valor custo]]</f>
        <v>500</v>
      </c>
      <c r="J3302" s="7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">
        <v>679</v>
      </c>
      <c r="H3303" s="1">
        <v>1100</v>
      </c>
      <c r="I3303" s="6">
        <f>Tabela1[[#This Row],[Valor total]]-Tabela1[[#This Row],[Valor custo]]</f>
        <v>421</v>
      </c>
      <c r="J3303" s="7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">
        <v>3903.17</v>
      </c>
      <c r="H3304" s="1">
        <v>6320</v>
      </c>
      <c r="I3304" s="6">
        <f>Tabela1[[#This Row],[Valor total]]-Tabela1[[#This Row],[Valor custo]]</f>
        <v>2416.83</v>
      </c>
      <c r="J3304" s="7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">
        <v>967.7</v>
      </c>
      <c r="H3305" s="1">
        <v>2140</v>
      </c>
      <c r="I3305" s="6">
        <f>Tabela1[[#This Row],[Valor total]]-Tabela1[[#This Row],[Valor custo]]</f>
        <v>1172.3</v>
      </c>
      <c r="J3305" s="7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">
        <v>350</v>
      </c>
      <c r="H3306" s="1">
        <v>420</v>
      </c>
      <c r="I3306" s="6">
        <f>Tabela1[[#This Row],[Valor total]]-Tabela1[[#This Row],[Valor custo]]</f>
        <v>70</v>
      </c>
      <c r="J3306" s="7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">
        <v>2098.58</v>
      </c>
      <c r="H3307" s="1">
        <v>3130</v>
      </c>
      <c r="I3307" s="6">
        <f>Tabela1[[#This Row],[Valor total]]-Tabela1[[#This Row],[Valor custo]]</f>
        <v>1031.42</v>
      </c>
      <c r="J3307" s="7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">
        <v>370.5</v>
      </c>
      <c r="H3308" s="1">
        <v>1015</v>
      </c>
      <c r="I3308" s="6">
        <f>Tabela1[[#This Row],[Valor total]]-Tabela1[[#This Row],[Valor custo]]</f>
        <v>644.5</v>
      </c>
      <c r="J3308" s="7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">
        <v>544</v>
      </c>
      <c r="H3309" s="1">
        <v>800</v>
      </c>
      <c r="I3309" s="6">
        <f>Tabela1[[#This Row],[Valor total]]-Tabela1[[#This Row],[Valor custo]]</f>
        <v>256</v>
      </c>
      <c r="J3309" s="7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">
        <v>385</v>
      </c>
      <c r="H3310" s="1">
        <v>640</v>
      </c>
      <c r="I3310" s="6">
        <f>Tabela1[[#This Row],[Valor total]]-Tabela1[[#This Row],[Valor custo]]</f>
        <v>255</v>
      </c>
      <c r="J3310" s="7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">
        <v>1249.47</v>
      </c>
      <c r="H3311" s="1">
        <v>2700</v>
      </c>
      <c r="I3311" s="6">
        <f>Tabela1[[#This Row],[Valor total]]-Tabela1[[#This Row],[Valor custo]]</f>
        <v>1450.53</v>
      </c>
      <c r="J3311" s="7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">
        <v>94.06</v>
      </c>
      <c r="H3312" s="1">
        <v>170</v>
      </c>
      <c r="I3312" s="6">
        <f>Tabela1[[#This Row],[Valor total]]-Tabela1[[#This Row],[Valor custo]]</f>
        <v>75.94</v>
      </c>
      <c r="J3312" s="7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">
        <v>557.69000000000005</v>
      </c>
      <c r="H3313" s="1">
        <v>970</v>
      </c>
      <c r="I3313" s="6">
        <f>Tabela1[[#This Row],[Valor total]]-Tabela1[[#This Row],[Valor custo]]</f>
        <v>412.30999999999995</v>
      </c>
      <c r="J3313" s="7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">
        <v>895.79</v>
      </c>
      <c r="H3314" s="1">
        <v>1358</v>
      </c>
      <c r="I3314" s="6">
        <f>Tabela1[[#This Row],[Valor total]]-Tabela1[[#This Row],[Valor custo]]</f>
        <v>462.21000000000004</v>
      </c>
      <c r="J3314" s="7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">
        <v>649</v>
      </c>
      <c r="H3315" s="1">
        <v>900</v>
      </c>
      <c r="I3315" s="6">
        <f>Tabela1[[#This Row],[Valor total]]-Tabela1[[#This Row],[Valor custo]]</f>
        <v>251</v>
      </c>
      <c r="J3315" s="7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">
        <v>463</v>
      </c>
      <c r="H3316" s="1">
        <v>685</v>
      </c>
      <c r="I3316" s="6">
        <f>Tabela1[[#This Row],[Valor total]]-Tabela1[[#This Row],[Valor custo]]</f>
        <v>222</v>
      </c>
      <c r="J3316" s="7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">
        <v>3223.37</v>
      </c>
      <c r="H3317" s="1">
        <v>4160</v>
      </c>
      <c r="I3317" s="6">
        <f>Tabela1[[#This Row],[Valor total]]-Tabela1[[#This Row],[Valor custo]]</f>
        <v>936.63000000000011</v>
      </c>
      <c r="J3317" s="7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">
        <v>385</v>
      </c>
      <c r="H3318" s="1">
        <v>520</v>
      </c>
      <c r="I3318" s="6">
        <f>Tabela1[[#This Row],[Valor total]]-Tabela1[[#This Row],[Valor custo]]</f>
        <v>135</v>
      </c>
      <c r="J3318" s="7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">
        <v>463</v>
      </c>
      <c r="H3319" s="1">
        <v>735</v>
      </c>
      <c r="I3319" s="6">
        <f>Tabela1[[#This Row],[Valor total]]-Tabela1[[#This Row],[Valor custo]]</f>
        <v>272</v>
      </c>
      <c r="J3319" s="7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">
        <v>616</v>
      </c>
      <c r="H3320" s="1">
        <v>950</v>
      </c>
      <c r="I3320" s="6">
        <f>Tabela1[[#This Row],[Valor total]]-Tabela1[[#This Row],[Valor custo]]</f>
        <v>334</v>
      </c>
      <c r="J3320" s="7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">
        <v>44.42</v>
      </c>
      <c r="H3321" s="1">
        <v>115</v>
      </c>
      <c r="I3321" s="6">
        <f>Tabela1[[#This Row],[Valor total]]-Tabela1[[#This Row],[Valor custo]]</f>
        <v>70.58</v>
      </c>
      <c r="J3321" s="7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">
        <v>331</v>
      </c>
      <c r="H3322" s="1">
        <v>655</v>
      </c>
      <c r="I3322" s="6">
        <f>Tabela1[[#This Row],[Valor total]]-Tabela1[[#This Row],[Valor custo]]</f>
        <v>324</v>
      </c>
      <c r="J3322" s="7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">
        <v>6545</v>
      </c>
      <c r="H3323" s="1">
        <v>10455</v>
      </c>
      <c r="I3323" s="6">
        <f>Tabela1[[#This Row],[Valor total]]-Tabela1[[#This Row],[Valor custo]]</f>
        <v>3910</v>
      </c>
      <c r="J3323" s="7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">
        <v>7.21</v>
      </c>
      <c r="H3324" s="1">
        <v>35</v>
      </c>
      <c r="I3324" s="6">
        <f>Tabela1[[#This Row],[Valor total]]-Tabela1[[#This Row],[Valor custo]]</f>
        <v>27.79</v>
      </c>
      <c r="J3324" s="7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">
        <v>0</v>
      </c>
      <c r="H3325" s="1">
        <v>900</v>
      </c>
      <c r="I3325" s="6">
        <f>Tabela1[[#This Row],[Valor total]]-Tabela1[[#This Row],[Valor custo]]</f>
        <v>900</v>
      </c>
      <c r="J3325" s="7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">
        <v>125</v>
      </c>
      <c r="H3326" s="1">
        <v>145</v>
      </c>
      <c r="I3326" s="6">
        <f>Tabela1[[#This Row],[Valor total]]-Tabela1[[#This Row],[Valor custo]]</f>
        <v>20</v>
      </c>
      <c r="J3326" s="7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">
        <v>649</v>
      </c>
      <c r="H3327" s="1">
        <v>900</v>
      </c>
      <c r="I3327" s="6">
        <f>Tabela1[[#This Row],[Valor total]]-Tabela1[[#This Row],[Valor custo]]</f>
        <v>251</v>
      </c>
      <c r="J3327" s="7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">
        <v>293.13</v>
      </c>
      <c r="H3328" s="1">
        <v>400</v>
      </c>
      <c r="I3328" s="6">
        <f>Tabela1[[#This Row],[Valor total]]-Tabela1[[#This Row],[Valor custo]]</f>
        <v>106.87</v>
      </c>
      <c r="J3328" s="7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">
        <v>385</v>
      </c>
      <c r="H3329" s="1">
        <v>650</v>
      </c>
      <c r="I3329" s="6">
        <f>Tabela1[[#This Row],[Valor total]]-Tabela1[[#This Row],[Valor custo]]</f>
        <v>265</v>
      </c>
      <c r="J3329" s="7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">
        <v>360.5</v>
      </c>
      <c r="H3330" s="1">
        <v>1000</v>
      </c>
      <c r="I3330" s="6">
        <f>Tabela1[[#This Row],[Valor total]]-Tabela1[[#This Row],[Valor custo]]</f>
        <v>639.5</v>
      </c>
      <c r="J3330" s="7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">
        <v>1134</v>
      </c>
      <c r="H3331" s="1">
        <v>1700</v>
      </c>
      <c r="I3331" s="6">
        <f>Tabela1[[#This Row],[Valor total]]-Tabela1[[#This Row],[Valor custo]]</f>
        <v>566</v>
      </c>
      <c r="J3331" s="7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">
        <v>165</v>
      </c>
      <c r="H3332" s="1">
        <v>450</v>
      </c>
      <c r="I3332" s="6">
        <f>Tabela1[[#This Row],[Valor total]]-Tabela1[[#This Row],[Valor custo]]</f>
        <v>285</v>
      </c>
      <c r="J3332" s="7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">
        <v>1389</v>
      </c>
      <c r="H3333" s="1">
        <v>2310</v>
      </c>
      <c r="I3333" s="6">
        <f>Tabela1[[#This Row],[Valor total]]-Tabela1[[#This Row],[Valor custo]]</f>
        <v>921</v>
      </c>
      <c r="J3333" s="7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">
        <v>664</v>
      </c>
      <c r="H3334" s="1">
        <v>1000</v>
      </c>
      <c r="I3334" s="6">
        <f>Tabela1[[#This Row],[Valor total]]-Tabela1[[#This Row],[Valor custo]]</f>
        <v>336</v>
      </c>
      <c r="J3334" s="7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">
        <v>679</v>
      </c>
      <c r="H3335" s="1">
        <v>1100</v>
      </c>
      <c r="I3335" s="6">
        <f>Tabela1[[#This Row],[Valor total]]-Tabela1[[#This Row],[Valor custo]]</f>
        <v>421</v>
      </c>
      <c r="J3335" s="7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">
        <v>544</v>
      </c>
      <c r="H3336" s="1">
        <v>754</v>
      </c>
      <c r="I3336" s="6">
        <f>Tabela1[[#This Row],[Valor total]]-Tabela1[[#This Row],[Valor custo]]</f>
        <v>210</v>
      </c>
      <c r="J3336" s="7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">
        <v>432.79</v>
      </c>
      <c r="H3337" s="1">
        <v>655</v>
      </c>
      <c r="I3337" s="6">
        <f>Tabela1[[#This Row],[Valor total]]-Tabela1[[#This Row],[Valor custo]]</f>
        <v>222.20999999999998</v>
      </c>
      <c r="J3337" s="7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">
        <v>485</v>
      </c>
      <c r="H3338" s="1">
        <v>810</v>
      </c>
      <c r="I3338" s="6">
        <f>Tabela1[[#This Row],[Valor total]]-Tabela1[[#This Row],[Valor custo]]</f>
        <v>325</v>
      </c>
      <c r="J3338" s="7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">
        <v>491</v>
      </c>
      <c r="H3339" s="1">
        <v>185</v>
      </c>
      <c r="I3339" s="6">
        <f>Tabela1[[#This Row],[Valor total]]-Tabela1[[#This Row],[Valor custo]]</f>
        <v>-306</v>
      </c>
      <c r="J3339" s="7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">
        <v>485</v>
      </c>
      <c r="H3340" s="1">
        <v>820</v>
      </c>
      <c r="I3340" s="6">
        <f>Tabela1[[#This Row],[Valor total]]-Tabela1[[#This Row],[Valor custo]]</f>
        <v>335</v>
      </c>
      <c r="J3340" s="7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">
        <v>42</v>
      </c>
      <c r="H3341" s="1">
        <v>55</v>
      </c>
      <c r="I3341" s="6">
        <f>Tabela1[[#This Row],[Valor total]]-Tabela1[[#This Row],[Valor custo]]</f>
        <v>13</v>
      </c>
      <c r="J3341" s="7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">
        <v>139.41999999999999</v>
      </c>
      <c r="H3342" s="1">
        <v>340</v>
      </c>
      <c r="I3342" s="6">
        <f>Tabela1[[#This Row],[Valor total]]-Tabela1[[#This Row],[Valor custo]]</f>
        <v>200.58</v>
      </c>
      <c r="J3342" s="7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">
        <v>485</v>
      </c>
      <c r="H3343" s="1">
        <v>850</v>
      </c>
      <c r="I3343" s="6">
        <f>Tabela1[[#This Row],[Valor total]]-Tabela1[[#This Row],[Valor custo]]</f>
        <v>365</v>
      </c>
      <c r="J3343" s="7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">
        <v>463</v>
      </c>
      <c r="H3344" s="1">
        <v>780</v>
      </c>
      <c r="I3344" s="6">
        <f>Tabela1[[#This Row],[Valor total]]-Tabela1[[#This Row],[Valor custo]]</f>
        <v>317</v>
      </c>
      <c r="J3344" s="7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">
        <v>9507.9</v>
      </c>
      <c r="H3345" s="1">
        <v>15300</v>
      </c>
      <c r="I3345" s="6">
        <f>Tabela1[[#This Row],[Valor total]]-Tabela1[[#This Row],[Valor custo]]</f>
        <v>5792.1</v>
      </c>
      <c r="J3345" s="7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">
        <v>7079.9</v>
      </c>
      <c r="H3346" s="1">
        <v>10955</v>
      </c>
      <c r="I3346" s="6">
        <f>Tabela1[[#This Row],[Valor total]]-Tabela1[[#This Row],[Valor custo]]</f>
        <v>3875.1000000000004</v>
      </c>
      <c r="J3346" s="7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">
        <v>2050</v>
      </c>
      <c r="H3347" s="1">
        <v>3400</v>
      </c>
      <c r="I3347" s="6">
        <f>Tabela1[[#This Row],[Valor total]]-Tabela1[[#This Row],[Valor custo]]</f>
        <v>1350</v>
      </c>
      <c r="J3347" s="7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">
        <v>432.79</v>
      </c>
      <c r="H3348" s="1">
        <v>700</v>
      </c>
      <c r="I3348" s="6">
        <f>Tabela1[[#This Row],[Valor total]]-Tabela1[[#This Row],[Valor custo]]</f>
        <v>267.20999999999998</v>
      </c>
      <c r="J3348" s="7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">
        <v>463</v>
      </c>
      <c r="H3349" s="1">
        <v>600</v>
      </c>
      <c r="I3349" s="6">
        <f>Tabela1[[#This Row],[Valor total]]-Tabela1[[#This Row],[Valor custo]]</f>
        <v>137</v>
      </c>
      <c r="J3349" s="7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">
        <v>385</v>
      </c>
      <c r="H3350" s="1">
        <v>600</v>
      </c>
      <c r="I3350" s="6">
        <f>Tabela1[[#This Row],[Valor total]]-Tabela1[[#This Row],[Valor custo]]</f>
        <v>215</v>
      </c>
      <c r="J3350" s="7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">
        <v>2230.21</v>
      </c>
      <c r="H3351" s="1">
        <v>3530</v>
      </c>
      <c r="I3351" s="6">
        <f>Tabela1[[#This Row],[Valor total]]-Tabela1[[#This Row],[Valor custo]]</f>
        <v>1299.79</v>
      </c>
      <c r="J3351" s="7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">
        <v>250</v>
      </c>
      <c r="H3352" s="1">
        <v>300</v>
      </c>
      <c r="I3352" s="6">
        <f>Tabela1[[#This Row],[Valor total]]-Tabela1[[#This Row],[Valor custo]]</f>
        <v>50</v>
      </c>
      <c r="J3352" s="7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">
        <v>649</v>
      </c>
      <c r="H3353" s="1">
        <v>1000</v>
      </c>
      <c r="I3353" s="6">
        <f>Tabela1[[#This Row],[Valor total]]-Tabela1[[#This Row],[Valor custo]]</f>
        <v>351</v>
      </c>
      <c r="J3353" s="7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">
        <v>0</v>
      </c>
      <c r="H3354" s="1">
        <v>250</v>
      </c>
      <c r="I3354" s="6">
        <f>Tabela1[[#This Row],[Valor total]]-Tabela1[[#This Row],[Valor custo]]</f>
        <v>250</v>
      </c>
      <c r="J3354" s="7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">
        <v>770</v>
      </c>
      <c r="H3355" s="1">
        <v>1230</v>
      </c>
      <c r="I3355" s="6">
        <f>Tabela1[[#This Row],[Valor total]]-Tabela1[[#This Row],[Valor custo]]</f>
        <v>460</v>
      </c>
      <c r="J3355" s="7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">
        <v>275</v>
      </c>
      <c r="H3356" s="1">
        <v>750</v>
      </c>
      <c r="I3356" s="6">
        <f>Tabela1[[#This Row],[Valor total]]-Tabela1[[#This Row],[Valor custo]]</f>
        <v>475</v>
      </c>
      <c r="J3356" s="7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">
        <v>889.98</v>
      </c>
      <c r="H3357" s="1">
        <v>1432</v>
      </c>
      <c r="I3357" s="6">
        <f>Tabela1[[#This Row],[Valor total]]-Tabela1[[#This Row],[Valor custo]]</f>
        <v>542.02</v>
      </c>
      <c r="J3357" s="7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">
        <v>1947</v>
      </c>
      <c r="H3358" s="1">
        <v>2700</v>
      </c>
      <c r="I3358" s="6">
        <f>Tabela1[[#This Row],[Valor total]]-Tabela1[[#This Row],[Valor custo]]</f>
        <v>753</v>
      </c>
      <c r="J3358" s="7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">
        <v>432.79</v>
      </c>
      <c r="H3359" s="1">
        <v>585</v>
      </c>
      <c r="I3359" s="6">
        <f>Tabela1[[#This Row],[Valor total]]-Tabela1[[#This Row],[Valor custo]]</f>
        <v>152.20999999999998</v>
      </c>
      <c r="J3359" s="7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">
        <v>289</v>
      </c>
      <c r="H3360" s="1">
        <v>515</v>
      </c>
      <c r="I3360" s="6">
        <f>Tabela1[[#This Row],[Valor total]]-Tabela1[[#This Row],[Valor custo]]</f>
        <v>226</v>
      </c>
      <c r="J3360" s="7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">
        <v>13767.9</v>
      </c>
      <c r="H3361" s="1">
        <v>21224</v>
      </c>
      <c r="I3361" s="6">
        <f>Tabela1[[#This Row],[Valor total]]-Tabela1[[#This Row],[Valor custo]]</f>
        <v>7456.1</v>
      </c>
      <c r="J3361" s="7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">
        <v>48</v>
      </c>
      <c r="H3362" s="1">
        <v>60</v>
      </c>
      <c r="I3362" s="6">
        <f>Tabela1[[#This Row],[Valor total]]-Tabela1[[#This Row],[Valor custo]]</f>
        <v>12</v>
      </c>
      <c r="J3362" s="7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">
        <v>1463.58</v>
      </c>
      <c r="H3363" s="1">
        <v>2550</v>
      </c>
      <c r="I3363" s="6">
        <f>Tabela1[[#This Row],[Valor total]]-Tabela1[[#This Row],[Valor custo]]</f>
        <v>1086.42</v>
      </c>
      <c r="J3363" s="7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">
        <v>664</v>
      </c>
      <c r="H3364" s="1">
        <v>1000</v>
      </c>
      <c r="I3364" s="6">
        <f>Tabela1[[#This Row],[Valor total]]-Tabela1[[#This Row],[Valor custo]]</f>
        <v>336</v>
      </c>
      <c r="J3364" s="7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">
        <v>24418.48</v>
      </c>
      <c r="H3365" s="1">
        <v>37232</v>
      </c>
      <c r="I3365" s="6">
        <f>Tabela1[[#This Row],[Valor total]]-Tabela1[[#This Row],[Valor custo]]</f>
        <v>12813.52</v>
      </c>
      <c r="J3365" s="7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">
        <v>485</v>
      </c>
      <c r="H3366" s="1">
        <v>735</v>
      </c>
      <c r="I3366" s="6">
        <f>Tabela1[[#This Row],[Valor total]]-Tabela1[[#This Row],[Valor custo]]</f>
        <v>250</v>
      </c>
      <c r="J3366" s="7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">
        <v>770</v>
      </c>
      <c r="H3367" s="1">
        <v>1040</v>
      </c>
      <c r="I3367" s="6">
        <f>Tabela1[[#This Row],[Valor total]]-Tabela1[[#This Row],[Valor custo]]</f>
        <v>270</v>
      </c>
      <c r="J3367" s="7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">
        <v>842.38</v>
      </c>
      <c r="H3368" s="1">
        <v>1800</v>
      </c>
      <c r="I3368" s="6">
        <f>Tabela1[[#This Row],[Valor total]]-Tabela1[[#This Row],[Valor custo]]</f>
        <v>957.62</v>
      </c>
      <c r="J3368" s="7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">
        <v>374.56</v>
      </c>
      <c r="H3369" s="1">
        <v>510</v>
      </c>
      <c r="I3369" s="6">
        <f>Tabela1[[#This Row],[Valor total]]-Tabela1[[#This Row],[Valor custo]]</f>
        <v>135.44</v>
      </c>
      <c r="J3369" s="7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">
        <v>5556</v>
      </c>
      <c r="H3370" s="1">
        <v>7560</v>
      </c>
      <c r="I3370" s="6">
        <f>Tabela1[[#This Row],[Valor total]]-Tabela1[[#This Row],[Valor custo]]</f>
        <v>2004</v>
      </c>
      <c r="J3370" s="7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">
        <v>580.92999999999995</v>
      </c>
      <c r="H3371" s="1">
        <v>835</v>
      </c>
      <c r="I3371" s="6">
        <f>Tabela1[[#This Row],[Valor total]]-Tabela1[[#This Row],[Valor custo]]</f>
        <v>254.07000000000005</v>
      </c>
      <c r="J3371" s="7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">
        <v>94.06</v>
      </c>
      <c r="H3372" s="1">
        <v>170</v>
      </c>
      <c r="I3372" s="6">
        <f>Tabela1[[#This Row],[Valor total]]-Tabela1[[#This Row],[Valor custo]]</f>
        <v>75.94</v>
      </c>
      <c r="J3372" s="7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">
        <v>72.099999999999994</v>
      </c>
      <c r="H3373" s="1">
        <v>300</v>
      </c>
      <c r="I3373" s="6">
        <f>Tabela1[[#This Row],[Valor total]]-Tabela1[[#This Row],[Valor custo]]</f>
        <v>227.9</v>
      </c>
      <c r="J3373" s="7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">
        <v>28.11</v>
      </c>
      <c r="H3374" s="1">
        <v>200</v>
      </c>
      <c r="I3374" s="6">
        <f>Tabela1[[#This Row],[Valor total]]-Tabela1[[#This Row],[Valor custo]]</f>
        <v>171.89</v>
      </c>
      <c r="J3374" s="7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">
        <v>705</v>
      </c>
      <c r="H3375" s="1">
        <v>1300</v>
      </c>
      <c r="I3375" s="6">
        <f>Tabela1[[#This Row],[Valor total]]-Tabela1[[#This Row],[Valor custo]]</f>
        <v>595</v>
      </c>
      <c r="J3375" s="7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">
        <v>649</v>
      </c>
      <c r="H3376" s="1">
        <v>900</v>
      </c>
      <c r="I3376" s="6">
        <f>Tabela1[[#This Row],[Valor total]]-Tabela1[[#This Row],[Valor custo]]</f>
        <v>251</v>
      </c>
      <c r="J3376" s="7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">
        <v>11494.22</v>
      </c>
      <c r="H3377" s="1">
        <v>16900</v>
      </c>
      <c r="I3377" s="6">
        <f>Tabela1[[#This Row],[Valor total]]-Tabela1[[#This Row],[Valor custo]]</f>
        <v>5405.7800000000007</v>
      </c>
      <c r="J3377" s="7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">
        <v>144.19999999999999</v>
      </c>
      <c r="H3378" s="1">
        <v>400</v>
      </c>
      <c r="I3378" s="6">
        <f>Tabela1[[#This Row],[Valor total]]-Tabela1[[#This Row],[Valor custo]]</f>
        <v>255.8</v>
      </c>
      <c r="J3378" s="7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">
        <v>1419</v>
      </c>
      <c r="H3379" s="1">
        <v>2380</v>
      </c>
      <c r="I3379" s="6">
        <f>Tabela1[[#This Row],[Valor total]]-Tabela1[[#This Row],[Valor custo]]</f>
        <v>961</v>
      </c>
      <c r="J3379" s="7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">
        <v>1419</v>
      </c>
      <c r="H3380" s="1">
        <v>2130</v>
      </c>
      <c r="I3380" s="6">
        <f>Tabela1[[#This Row],[Valor total]]-Tabela1[[#This Row],[Valor custo]]</f>
        <v>711</v>
      </c>
      <c r="J3380" s="7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">
        <v>4630</v>
      </c>
      <c r="H3381" s="1">
        <v>7500</v>
      </c>
      <c r="I3381" s="6">
        <f>Tabela1[[#This Row],[Valor total]]-Tabela1[[#This Row],[Valor custo]]</f>
        <v>2870</v>
      </c>
      <c r="J3381" s="7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">
        <v>30380.799999999999</v>
      </c>
      <c r="H3382" s="1">
        <v>44125</v>
      </c>
      <c r="I3382" s="6">
        <f>Tabela1[[#This Row],[Valor total]]-Tabela1[[#This Row],[Valor custo]]</f>
        <v>13744.2</v>
      </c>
      <c r="J3382" s="7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">
        <v>432.79</v>
      </c>
      <c r="H3383" s="1">
        <v>650</v>
      </c>
      <c r="I3383" s="6">
        <f>Tabela1[[#This Row],[Valor total]]-Tabela1[[#This Row],[Valor custo]]</f>
        <v>217.20999999999998</v>
      </c>
      <c r="J3383" s="7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">
        <v>2310</v>
      </c>
      <c r="H3384" s="1">
        <v>3450</v>
      </c>
      <c r="I3384" s="6">
        <f>Tabela1[[#This Row],[Valor total]]-Tabela1[[#This Row],[Valor custo]]</f>
        <v>1140</v>
      </c>
      <c r="J3384" s="7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">
        <v>4213</v>
      </c>
      <c r="H3385" s="1">
        <v>6150</v>
      </c>
      <c r="I3385" s="6">
        <f>Tabela1[[#This Row],[Valor total]]-Tabela1[[#This Row],[Valor custo]]</f>
        <v>1937</v>
      </c>
      <c r="J3385" s="7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">
        <v>5338.08</v>
      </c>
      <c r="H3386" s="1">
        <v>8750</v>
      </c>
      <c r="I3386" s="6">
        <f>Tabela1[[#This Row],[Valor total]]-Tabela1[[#This Row],[Valor custo]]</f>
        <v>3411.92</v>
      </c>
      <c r="J3386" s="7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">
        <v>450.27</v>
      </c>
      <c r="H3387" s="1">
        <v>585</v>
      </c>
      <c r="I3387" s="6">
        <f>Tabela1[[#This Row],[Valor total]]-Tabela1[[#This Row],[Valor custo]]</f>
        <v>134.73000000000002</v>
      </c>
      <c r="J3387" s="7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">
        <v>780.7</v>
      </c>
      <c r="H3388" s="1">
        <v>1270</v>
      </c>
      <c r="I3388" s="6">
        <f>Tabela1[[#This Row],[Valor total]]-Tabela1[[#This Row],[Valor custo]]</f>
        <v>489.29999999999995</v>
      </c>
      <c r="J3388" s="7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">
        <v>19451.7</v>
      </c>
      <c r="H3389" s="1">
        <v>27450</v>
      </c>
      <c r="I3389" s="6">
        <f>Tabela1[[#This Row],[Valor total]]-Tabela1[[#This Row],[Valor custo]]</f>
        <v>7998.2999999999993</v>
      </c>
      <c r="J3389" s="7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">
        <v>300.18</v>
      </c>
      <c r="H3390" s="1">
        <v>550</v>
      </c>
      <c r="I3390" s="6">
        <f>Tabela1[[#This Row],[Valor total]]-Tabela1[[#This Row],[Valor custo]]</f>
        <v>249.82</v>
      </c>
      <c r="J3390" s="7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">
        <v>1002.85</v>
      </c>
      <c r="H3391" s="1">
        <v>1601</v>
      </c>
      <c r="I3391" s="6">
        <f>Tabela1[[#This Row],[Valor total]]-Tabela1[[#This Row],[Valor custo]]</f>
        <v>598.15</v>
      </c>
      <c r="J3391" s="7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">
        <v>480.77</v>
      </c>
      <c r="H3392" s="1">
        <v>695</v>
      </c>
      <c r="I3392" s="6">
        <f>Tabela1[[#This Row],[Valor total]]-Tabela1[[#This Row],[Valor custo]]</f>
        <v>214.23000000000002</v>
      </c>
      <c r="J3392" s="7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">
        <v>858.62</v>
      </c>
      <c r="H3393" s="1">
        <v>1315</v>
      </c>
      <c r="I3393" s="6">
        <f>Tabela1[[#This Row],[Valor total]]-Tabela1[[#This Row],[Valor custo]]</f>
        <v>456.38</v>
      </c>
      <c r="J3393" s="7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">
        <v>923.06</v>
      </c>
      <c r="H3394" s="1">
        <v>1375</v>
      </c>
      <c r="I3394" s="6">
        <f>Tabela1[[#This Row],[Valor total]]-Tabela1[[#This Row],[Valor custo]]</f>
        <v>451.94000000000005</v>
      </c>
      <c r="J3394" s="7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">
        <v>1066.22</v>
      </c>
      <c r="H3395" s="1">
        <v>1570</v>
      </c>
      <c r="I3395" s="6">
        <f>Tabela1[[#This Row],[Valor total]]-Tabela1[[#This Row],[Valor custo]]</f>
        <v>503.78</v>
      </c>
      <c r="J3395" s="7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">
        <v>757.97</v>
      </c>
      <c r="H3396" s="1">
        <v>1320</v>
      </c>
      <c r="I3396" s="6">
        <f>Tabela1[[#This Row],[Valor total]]-Tabela1[[#This Row],[Valor custo]]</f>
        <v>562.03</v>
      </c>
      <c r="J3396" s="7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">
        <v>525.27</v>
      </c>
      <c r="H3397" s="1">
        <v>725</v>
      </c>
      <c r="I3397" s="6">
        <f>Tabela1[[#This Row],[Valor total]]-Tabela1[[#This Row],[Valor custo]]</f>
        <v>199.73000000000002</v>
      </c>
      <c r="J3397" s="7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">
        <v>377.85</v>
      </c>
      <c r="H3398" s="1">
        <v>615</v>
      </c>
      <c r="I3398" s="6">
        <f>Tabela1[[#This Row],[Valor total]]-Tabela1[[#This Row],[Valor custo]]</f>
        <v>237.14999999999998</v>
      </c>
      <c r="J3398" s="7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">
        <v>495.3</v>
      </c>
      <c r="H3399" s="1">
        <v>810</v>
      </c>
      <c r="I3399" s="6">
        <f>Tabela1[[#This Row],[Valor total]]-Tabela1[[#This Row],[Valor custo]]</f>
        <v>314.7</v>
      </c>
      <c r="J3399" s="7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">
        <v>975.59</v>
      </c>
      <c r="H3400" s="1">
        <v>1200</v>
      </c>
      <c r="I3400" s="6">
        <f>Tabela1[[#This Row],[Valor total]]-Tabela1[[#This Row],[Valor custo]]</f>
        <v>224.40999999999997</v>
      </c>
      <c r="J3400" s="7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">
        <v>50</v>
      </c>
      <c r="H3401" s="1">
        <v>60</v>
      </c>
      <c r="I3401" s="6">
        <f>Tabela1[[#This Row],[Valor total]]-Tabela1[[#This Row],[Valor custo]]</f>
        <v>10</v>
      </c>
      <c r="J3401" s="7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">
        <v>755.7</v>
      </c>
      <c r="H3402" s="1">
        <v>1190</v>
      </c>
      <c r="I3402" s="6">
        <f>Tabela1[[#This Row],[Valor total]]-Tabela1[[#This Row],[Valor custo]]</f>
        <v>434.29999999999995</v>
      </c>
      <c r="J3402" s="7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">
        <v>1673.51</v>
      </c>
      <c r="H3403" s="1">
        <v>2200</v>
      </c>
      <c r="I3403" s="6">
        <f>Tabela1[[#This Row],[Valor total]]-Tabela1[[#This Row],[Valor custo]]</f>
        <v>526.49</v>
      </c>
      <c r="J3403" s="7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">
        <v>2995.04</v>
      </c>
      <c r="H3404" s="1">
        <v>4700</v>
      </c>
      <c r="I3404" s="6">
        <f>Tabela1[[#This Row],[Valor total]]-Tabela1[[#This Row],[Valor custo]]</f>
        <v>1704.96</v>
      </c>
      <c r="J3404" s="7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">
        <v>392.87</v>
      </c>
      <c r="H3405" s="1">
        <v>730</v>
      </c>
      <c r="I3405" s="6">
        <f>Tabela1[[#This Row],[Valor total]]-Tabela1[[#This Row],[Valor custo]]</f>
        <v>337.13</v>
      </c>
      <c r="J3405" s="7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">
        <v>126</v>
      </c>
      <c r="H3406" s="1">
        <v>210</v>
      </c>
      <c r="I3406" s="6">
        <f>Tabela1[[#This Row],[Valor total]]-Tabela1[[#This Row],[Valor custo]]</f>
        <v>84</v>
      </c>
      <c r="J3406" s="7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">
        <v>13.69</v>
      </c>
      <c r="H3407" s="1">
        <v>120</v>
      </c>
      <c r="I3407" s="6">
        <f>Tabela1[[#This Row],[Valor total]]-Tabela1[[#This Row],[Valor custo]]</f>
        <v>106.31</v>
      </c>
      <c r="J3407" s="7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">
        <v>5411.13</v>
      </c>
      <c r="H3408" s="1">
        <v>7650</v>
      </c>
      <c r="I3408" s="6">
        <f>Tabela1[[#This Row],[Valor total]]-Tabela1[[#This Row],[Valor custo]]</f>
        <v>2238.87</v>
      </c>
      <c r="J3408" s="7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">
        <v>390.24</v>
      </c>
      <c r="H3409" s="1">
        <v>720</v>
      </c>
      <c r="I3409" s="6">
        <f>Tabela1[[#This Row],[Valor total]]-Tabela1[[#This Row],[Valor custo]]</f>
        <v>329.76</v>
      </c>
      <c r="J3409" s="7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">
        <v>755.7</v>
      </c>
      <c r="H3410" s="1">
        <v>1143.9000000000001</v>
      </c>
      <c r="I3410" s="6">
        <f>Tabela1[[#This Row],[Valor total]]-Tabela1[[#This Row],[Valor custo]]</f>
        <v>388.20000000000005</v>
      </c>
      <c r="J3410" s="7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">
        <v>697.92</v>
      </c>
      <c r="H3411" s="1">
        <v>1200</v>
      </c>
      <c r="I3411" s="6">
        <f>Tabela1[[#This Row],[Valor total]]-Tabela1[[#This Row],[Valor custo]]</f>
        <v>502.08000000000004</v>
      </c>
      <c r="J3411" s="7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">
        <v>7617.15</v>
      </c>
      <c r="H3412" s="1">
        <v>11625</v>
      </c>
      <c r="I3412" s="6">
        <f>Tabela1[[#This Row],[Valor total]]-Tabela1[[#This Row],[Valor custo]]</f>
        <v>4007.8500000000004</v>
      </c>
      <c r="J3412" s="7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">
        <v>380.12</v>
      </c>
      <c r="H3413" s="1">
        <v>580</v>
      </c>
      <c r="I3413" s="6">
        <f>Tabela1[[#This Row],[Valor total]]-Tabela1[[#This Row],[Valor custo]]</f>
        <v>199.88</v>
      </c>
      <c r="J3413" s="7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">
        <v>472.79</v>
      </c>
      <c r="H3414" s="1">
        <v>780</v>
      </c>
      <c r="I3414" s="6">
        <f>Tabela1[[#This Row],[Valor total]]-Tabela1[[#This Row],[Valor custo]]</f>
        <v>307.20999999999998</v>
      </c>
      <c r="J3414" s="7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">
        <v>30.49</v>
      </c>
      <c r="H3415" s="1">
        <v>45</v>
      </c>
      <c r="I3415" s="6">
        <f>Tabela1[[#This Row],[Valor total]]-Tabela1[[#This Row],[Valor custo]]</f>
        <v>14.510000000000002</v>
      </c>
      <c r="J3415" s="7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">
        <v>2244.23</v>
      </c>
      <c r="H3416" s="1">
        <v>3930</v>
      </c>
      <c r="I3416" s="6">
        <f>Tabela1[[#This Row],[Valor total]]-Tabela1[[#This Row],[Valor custo]]</f>
        <v>1685.77</v>
      </c>
      <c r="J3416" s="7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">
        <v>742.95</v>
      </c>
      <c r="H3417" s="1">
        <v>1200</v>
      </c>
      <c r="I3417" s="6">
        <f>Tabela1[[#This Row],[Valor total]]-Tabela1[[#This Row],[Valor custo]]</f>
        <v>457.04999999999995</v>
      </c>
      <c r="J3417" s="7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">
        <v>755.7</v>
      </c>
      <c r="H3418" s="1">
        <v>1170</v>
      </c>
      <c r="I3418" s="6">
        <f>Tabela1[[#This Row],[Valor total]]-Tabela1[[#This Row],[Valor custo]]</f>
        <v>414.29999999999995</v>
      </c>
      <c r="J3418" s="7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">
        <v>472.79</v>
      </c>
      <c r="H3419" s="1">
        <v>785</v>
      </c>
      <c r="I3419" s="6">
        <f>Tabela1[[#This Row],[Valor total]]-Tabela1[[#This Row],[Valor custo]]</f>
        <v>312.20999999999998</v>
      </c>
      <c r="J3419" s="7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">
        <v>757.96</v>
      </c>
      <c r="H3420" s="1">
        <v>1250</v>
      </c>
      <c r="I3420" s="6">
        <f>Tabela1[[#This Row],[Valor total]]-Tabela1[[#This Row],[Valor custo]]</f>
        <v>492.03999999999996</v>
      </c>
      <c r="J3420" s="7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">
        <v>712.93</v>
      </c>
      <c r="H3421" s="1">
        <v>1000</v>
      </c>
      <c r="I3421" s="6">
        <f>Tabela1[[#This Row],[Valor total]]-Tabela1[[#This Row],[Valor custo]]</f>
        <v>287.07000000000005</v>
      </c>
      <c r="J3421" s="7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">
        <v>472.79</v>
      </c>
      <c r="H3422" s="1">
        <v>750</v>
      </c>
      <c r="I3422" s="6">
        <f>Tabela1[[#This Row],[Valor total]]-Tabela1[[#This Row],[Valor custo]]</f>
        <v>277.20999999999998</v>
      </c>
      <c r="J3422" s="7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">
        <v>8806.5499999999993</v>
      </c>
      <c r="H3423" s="1">
        <v>12875</v>
      </c>
      <c r="I3423" s="6">
        <f>Tabela1[[#This Row],[Valor total]]-Tabela1[[#This Row],[Valor custo]]</f>
        <v>4068.4500000000007</v>
      </c>
      <c r="J3423" s="7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">
        <v>6198.75</v>
      </c>
      <c r="H3424" s="1">
        <v>9100</v>
      </c>
      <c r="I3424" s="6">
        <f>Tabela1[[#This Row],[Valor total]]-Tabela1[[#This Row],[Valor custo]]</f>
        <v>2901.25</v>
      </c>
      <c r="J3424" s="7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">
        <v>7300.61</v>
      </c>
      <c r="H3425" s="1">
        <v>6550</v>
      </c>
      <c r="I3425" s="6">
        <f>Tabela1[[#This Row],[Valor total]]-Tabela1[[#This Row],[Valor custo]]</f>
        <v>-750.60999999999967</v>
      </c>
      <c r="J3425" s="7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">
        <v>112.56</v>
      </c>
      <c r="H3426" s="1">
        <v>300</v>
      </c>
      <c r="I3426" s="6">
        <f>Tabela1[[#This Row],[Valor total]]-Tabela1[[#This Row],[Valor custo]]</f>
        <v>187.44</v>
      </c>
      <c r="J3426" s="7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">
        <v>757.96</v>
      </c>
      <c r="H3427" s="1">
        <v>1400</v>
      </c>
      <c r="I3427" s="6">
        <f>Tabela1[[#This Row],[Valor total]]-Tabela1[[#This Row],[Valor custo]]</f>
        <v>642.04</v>
      </c>
      <c r="J3427" s="7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">
        <v>30.5</v>
      </c>
      <c r="H3428" s="1">
        <v>40</v>
      </c>
      <c r="I3428" s="6">
        <f>Tabela1[[#This Row],[Valor total]]-Tabela1[[#This Row],[Valor custo]]</f>
        <v>9.5</v>
      </c>
      <c r="J3428" s="7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">
        <v>1133.55</v>
      </c>
      <c r="H3429" s="1">
        <v>1560</v>
      </c>
      <c r="I3429" s="6">
        <f>Tabela1[[#This Row],[Valor total]]-Tabela1[[#This Row],[Valor custo]]</f>
        <v>426.45000000000005</v>
      </c>
      <c r="J3429" s="7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">
        <v>905.7</v>
      </c>
      <c r="H3430" s="1">
        <v>1420</v>
      </c>
      <c r="I3430" s="6">
        <f>Tabela1[[#This Row],[Valor total]]-Tabela1[[#This Row],[Valor custo]]</f>
        <v>514.29999999999995</v>
      </c>
      <c r="J3430" s="7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">
        <v>112.56</v>
      </c>
      <c r="H3431" s="1">
        <v>300</v>
      </c>
      <c r="I3431" s="6">
        <f>Tabela1[[#This Row],[Valor total]]-Tabela1[[#This Row],[Valor custo]]</f>
        <v>187.44</v>
      </c>
      <c r="J3431" s="7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">
        <v>377.85</v>
      </c>
      <c r="H3432" s="1">
        <v>500</v>
      </c>
      <c r="I3432" s="6">
        <f>Tabela1[[#This Row],[Valor total]]-Tabela1[[#This Row],[Valor custo]]</f>
        <v>122.14999999999998</v>
      </c>
      <c r="J3432" s="7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">
        <v>472.79</v>
      </c>
      <c r="H3433" s="1">
        <v>760</v>
      </c>
      <c r="I3433" s="6">
        <f>Tabela1[[#This Row],[Valor total]]-Tabela1[[#This Row],[Valor custo]]</f>
        <v>287.20999999999998</v>
      </c>
      <c r="J3433" s="7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">
        <v>1260</v>
      </c>
      <c r="H3434" s="1">
        <v>2100</v>
      </c>
      <c r="I3434" s="6">
        <f>Tabela1[[#This Row],[Valor total]]-Tabela1[[#This Row],[Valor custo]]</f>
        <v>840</v>
      </c>
      <c r="J3434" s="7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">
        <v>201.36</v>
      </c>
      <c r="H3435" s="1">
        <v>300</v>
      </c>
      <c r="I3435" s="6">
        <f>Tabela1[[#This Row],[Valor total]]-Tabela1[[#This Row],[Valor custo]]</f>
        <v>98.639999999999986</v>
      </c>
      <c r="J3435" s="7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">
        <v>1028.1300000000001</v>
      </c>
      <c r="H3436" s="1">
        <v>1500</v>
      </c>
      <c r="I3436" s="6">
        <f>Tabela1[[#This Row],[Valor total]]-Tabela1[[#This Row],[Valor custo]]</f>
        <v>471.86999999999989</v>
      </c>
      <c r="J3436" s="7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">
        <v>5394.9</v>
      </c>
      <c r="H3437" s="1">
        <v>7980</v>
      </c>
      <c r="I3437" s="6">
        <f>Tabela1[[#This Row],[Valor total]]-Tabela1[[#This Row],[Valor custo]]</f>
        <v>2585.1000000000004</v>
      </c>
      <c r="J3437" s="7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">
        <v>1833.77</v>
      </c>
      <c r="H3438" s="1">
        <v>2860</v>
      </c>
      <c r="I3438" s="6">
        <f>Tabela1[[#This Row],[Valor total]]-Tabela1[[#This Row],[Valor custo]]</f>
        <v>1026.23</v>
      </c>
      <c r="J3438" s="7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">
        <v>10</v>
      </c>
      <c r="H3439" s="1">
        <v>330</v>
      </c>
      <c r="I3439" s="6">
        <f>Tabela1[[#This Row],[Valor total]]-Tabela1[[#This Row],[Valor custo]]</f>
        <v>320</v>
      </c>
      <c r="J3439" s="7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">
        <v>450.27</v>
      </c>
      <c r="H3440" s="1">
        <v>720</v>
      </c>
      <c r="I3440" s="6">
        <f>Tabela1[[#This Row],[Valor total]]-Tabela1[[#This Row],[Valor custo]]</f>
        <v>269.73</v>
      </c>
      <c r="J3440" s="7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">
        <v>45.6</v>
      </c>
      <c r="H3441" s="1">
        <v>40</v>
      </c>
      <c r="I3441" s="6">
        <f>Tabela1[[#This Row],[Valor total]]-Tabela1[[#This Row],[Valor custo]]</f>
        <v>-5.6000000000000014</v>
      </c>
      <c r="J3441" s="7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">
        <v>43.73</v>
      </c>
      <c r="H3442" s="1">
        <v>210</v>
      </c>
      <c r="I3442" s="6">
        <f>Tabela1[[#This Row],[Valor total]]-Tabela1[[#This Row],[Valor custo]]</f>
        <v>166.27</v>
      </c>
      <c r="J3442" s="7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">
        <v>1250</v>
      </c>
      <c r="H3443" s="1">
        <v>1425</v>
      </c>
      <c r="I3443" s="6">
        <f>Tabela1[[#This Row],[Valor total]]-Tabela1[[#This Row],[Valor custo]]</f>
        <v>175</v>
      </c>
      <c r="J3443" s="7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">
        <v>1425.86</v>
      </c>
      <c r="H3444" s="1">
        <v>2000</v>
      </c>
      <c r="I3444" s="6">
        <f>Tabela1[[#This Row],[Valor total]]-Tabela1[[#This Row],[Valor custo]]</f>
        <v>574.1400000000001</v>
      </c>
      <c r="J3444" s="7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">
        <v>377.85</v>
      </c>
      <c r="H3445" s="1">
        <v>650</v>
      </c>
      <c r="I3445" s="6">
        <f>Tabela1[[#This Row],[Valor total]]-Tabela1[[#This Row],[Valor custo]]</f>
        <v>272.14999999999998</v>
      </c>
      <c r="J3445" s="7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">
        <v>555.34</v>
      </c>
      <c r="H3446" s="1">
        <v>930</v>
      </c>
      <c r="I3446" s="6">
        <f>Tabela1[[#This Row],[Valor total]]-Tabela1[[#This Row],[Valor custo]]</f>
        <v>374.65999999999997</v>
      </c>
      <c r="J3446" s="7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">
        <v>125</v>
      </c>
      <c r="H3447" s="1">
        <v>150</v>
      </c>
      <c r="I3447" s="6">
        <f>Tabela1[[#This Row],[Valor total]]-Tabela1[[#This Row],[Valor custo]]</f>
        <v>25</v>
      </c>
      <c r="J3447" s="7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">
        <v>960.54</v>
      </c>
      <c r="H3448" s="1">
        <v>1440</v>
      </c>
      <c r="I3448" s="6">
        <f>Tabela1[[#This Row],[Valor total]]-Tabela1[[#This Row],[Valor custo]]</f>
        <v>479.46000000000004</v>
      </c>
      <c r="J3448" s="7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">
        <v>293.13</v>
      </c>
      <c r="H3449" s="1">
        <v>400</v>
      </c>
      <c r="I3449" s="6">
        <f>Tabela1[[#This Row],[Valor total]]-Tabela1[[#This Row],[Valor custo]]</f>
        <v>106.87</v>
      </c>
      <c r="J3449" s="7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">
        <v>45.6</v>
      </c>
      <c r="H3450" s="1">
        <v>70</v>
      </c>
      <c r="I3450" s="6">
        <f>Tabela1[[#This Row],[Valor total]]-Tabela1[[#This Row],[Valor custo]]</f>
        <v>24.4</v>
      </c>
      <c r="J3450" s="7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">
        <v>1090.78</v>
      </c>
      <c r="H3451" s="1">
        <v>1725</v>
      </c>
      <c r="I3451" s="6">
        <f>Tabela1[[#This Row],[Valor total]]-Tabela1[[#This Row],[Valor custo]]</f>
        <v>634.22</v>
      </c>
      <c r="J3451" s="7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">
        <v>625</v>
      </c>
      <c r="H3452" s="1">
        <v>750</v>
      </c>
      <c r="I3452" s="6">
        <f>Tabela1[[#This Row],[Valor total]]-Tabela1[[#This Row],[Valor custo]]</f>
        <v>125</v>
      </c>
      <c r="J3452" s="7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">
        <v>2386.4499999999998</v>
      </c>
      <c r="H3453" s="1">
        <v>4417.88</v>
      </c>
      <c r="I3453" s="6">
        <f>Tabela1[[#This Row],[Valor total]]-Tabela1[[#This Row],[Valor custo]]</f>
        <v>2031.4300000000003</v>
      </c>
      <c r="J3453" s="7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">
        <v>2041.24</v>
      </c>
      <c r="H3454" s="1">
        <v>3000</v>
      </c>
      <c r="I3454" s="6">
        <f>Tabela1[[#This Row],[Valor total]]-Tabela1[[#This Row],[Valor custo]]</f>
        <v>958.76</v>
      </c>
      <c r="J3454" s="7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">
        <v>586.26</v>
      </c>
      <c r="H3455" s="1">
        <v>850</v>
      </c>
      <c r="I3455" s="6">
        <f>Tabela1[[#This Row],[Valor total]]-Tabela1[[#This Row],[Valor custo]]</f>
        <v>263.74</v>
      </c>
      <c r="J3455" s="7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">
        <v>487.8</v>
      </c>
      <c r="H3456" s="1">
        <v>895</v>
      </c>
      <c r="I3456" s="6">
        <f>Tabela1[[#This Row],[Valor total]]-Tabela1[[#This Row],[Valor custo]]</f>
        <v>407.2</v>
      </c>
      <c r="J3456" s="7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">
        <v>180</v>
      </c>
      <c r="H3457" s="1">
        <v>300</v>
      </c>
      <c r="I3457" s="6">
        <f>Tabela1[[#This Row],[Valor total]]-Tabela1[[#This Row],[Valor custo]]</f>
        <v>120</v>
      </c>
      <c r="J3457" s="7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">
        <v>712.93</v>
      </c>
      <c r="H3458" s="1">
        <v>1000</v>
      </c>
      <c r="I3458" s="6">
        <f>Tabela1[[#This Row],[Valor total]]-Tabela1[[#This Row],[Valor custo]]</f>
        <v>287.07000000000005</v>
      </c>
      <c r="J3458" s="7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">
        <v>544.08000000000004</v>
      </c>
      <c r="H3459" s="1">
        <v>950</v>
      </c>
      <c r="I3459" s="6">
        <f>Tabela1[[#This Row],[Valor total]]-Tabela1[[#This Row],[Valor custo]]</f>
        <v>405.91999999999996</v>
      </c>
      <c r="J3459" s="7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">
        <v>487.8</v>
      </c>
      <c r="H3460" s="1">
        <v>0</v>
      </c>
      <c r="I3460" s="6">
        <f>Tabela1[[#This Row],[Valor total]]-Tabela1[[#This Row],[Valor custo]]</f>
        <v>-487.8</v>
      </c>
      <c r="J3460" s="7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">
        <v>16726.560000000001</v>
      </c>
      <c r="H3461" s="1">
        <v>24000</v>
      </c>
      <c r="I3461" s="6">
        <f>Tabela1[[#This Row],[Valor total]]-Tabela1[[#This Row],[Valor custo]]</f>
        <v>7273.4399999999987</v>
      </c>
      <c r="J3461" s="7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">
        <v>2776.7</v>
      </c>
      <c r="H3462" s="1">
        <v>4000</v>
      </c>
      <c r="I3462" s="6">
        <f>Tabela1[[#This Row],[Valor total]]-Tabela1[[#This Row],[Valor custo]]</f>
        <v>1223.3000000000002</v>
      </c>
      <c r="J3462" s="7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">
        <v>472.79</v>
      </c>
      <c r="H3463" s="1">
        <v>750</v>
      </c>
      <c r="I3463" s="6">
        <f>Tabela1[[#This Row],[Valor total]]-Tabela1[[#This Row],[Valor custo]]</f>
        <v>277.20999999999998</v>
      </c>
      <c r="J3463" s="7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">
        <v>4202.5600000000004</v>
      </c>
      <c r="H3464" s="1">
        <v>6250</v>
      </c>
      <c r="I3464" s="6">
        <f>Tabela1[[#This Row],[Valor total]]-Tabela1[[#This Row],[Valor custo]]</f>
        <v>2047.4399999999996</v>
      </c>
      <c r="J3464" s="7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">
        <v>250</v>
      </c>
      <c r="H3465" s="1">
        <v>320</v>
      </c>
      <c r="I3465" s="6">
        <f>Tabela1[[#This Row],[Valor total]]-Tabela1[[#This Row],[Valor custo]]</f>
        <v>70</v>
      </c>
      <c r="J3465" s="7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">
        <v>1801.08</v>
      </c>
      <c r="H3466" s="1">
        <v>2880</v>
      </c>
      <c r="I3466" s="6">
        <f>Tabela1[[#This Row],[Valor total]]-Tabela1[[#This Row],[Valor custo]]</f>
        <v>1078.92</v>
      </c>
      <c r="J3466" s="7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">
        <v>4158.26</v>
      </c>
      <c r="H3467" s="1">
        <v>6600</v>
      </c>
      <c r="I3467" s="6">
        <f>Tabela1[[#This Row],[Valor total]]-Tabela1[[#This Row],[Valor custo]]</f>
        <v>2441.7399999999998</v>
      </c>
      <c r="J3467" s="7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">
        <v>84</v>
      </c>
      <c r="H3468" s="1">
        <v>175</v>
      </c>
      <c r="I3468" s="6">
        <f>Tabela1[[#This Row],[Valor total]]-Tabela1[[#This Row],[Valor custo]]</f>
        <v>91</v>
      </c>
      <c r="J3468" s="7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">
        <v>1951.18</v>
      </c>
      <c r="H3469" s="1">
        <v>2925</v>
      </c>
      <c r="I3469" s="6">
        <f>Tabela1[[#This Row],[Valor total]]-Tabela1[[#This Row],[Valor custo]]</f>
        <v>973.81999999999994</v>
      </c>
      <c r="J3469" s="7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">
        <v>2041.24</v>
      </c>
      <c r="H3470" s="1">
        <v>3000</v>
      </c>
      <c r="I3470" s="6">
        <f>Tabela1[[#This Row],[Valor total]]-Tabela1[[#This Row],[Valor custo]]</f>
        <v>958.76</v>
      </c>
      <c r="J3470" s="7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">
        <v>1889.25</v>
      </c>
      <c r="H3471" s="1">
        <v>2900</v>
      </c>
      <c r="I3471" s="6">
        <f>Tabela1[[#This Row],[Valor total]]-Tabela1[[#This Row],[Valor custo]]</f>
        <v>1010.75</v>
      </c>
      <c r="J3471" s="7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">
        <v>25</v>
      </c>
      <c r="H3472" s="1">
        <v>30</v>
      </c>
      <c r="I3472" s="6">
        <f>Tabela1[[#This Row],[Valor total]]-Tabela1[[#This Row],[Valor custo]]</f>
        <v>5</v>
      </c>
      <c r="J3472" s="7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">
        <v>120.57</v>
      </c>
      <c r="H3473" s="1">
        <v>158</v>
      </c>
      <c r="I3473" s="6">
        <f>Tabela1[[#This Row],[Valor total]]-Tabela1[[#This Row],[Valor custo]]</f>
        <v>37.430000000000007</v>
      </c>
      <c r="J3473" s="7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">
        <v>377.85</v>
      </c>
      <c r="H3474" s="1">
        <v>360</v>
      </c>
      <c r="I3474" s="6">
        <f>Tabela1[[#This Row],[Valor total]]-Tabela1[[#This Row],[Valor custo]]</f>
        <v>-17.850000000000023</v>
      </c>
      <c r="J3474" s="7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">
        <v>12.2</v>
      </c>
      <c r="H3475" s="1">
        <v>16</v>
      </c>
      <c r="I3475" s="6">
        <f>Tabela1[[#This Row],[Valor total]]-Tabela1[[#This Row],[Valor custo]]</f>
        <v>3.8000000000000007</v>
      </c>
      <c r="J3475" s="7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">
        <v>1155</v>
      </c>
      <c r="H3476" s="1">
        <v>1860</v>
      </c>
      <c r="I3476" s="6">
        <f>Tabela1[[#This Row],[Valor total]]-Tabela1[[#This Row],[Valor custo]]</f>
        <v>705</v>
      </c>
      <c r="J3476" s="7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">
        <v>55</v>
      </c>
      <c r="H3477" s="1">
        <v>200</v>
      </c>
      <c r="I3477" s="6">
        <f>Tabela1[[#This Row],[Valor total]]-Tabela1[[#This Row],[Valor custo]]</f>
        <v>145</v>
      </c>
      <c r="J3477" s="7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">
        <v>1050</v>
      </c>
      <c r="H3478" s="1">
        <v>1580</v>
      </c>
      <c r="I3478" s="6">
        <f>Tabela1[[#This Row],[Valor total]]-Tabela1[[#This Row],[Valor custo]]</f>
        <v>530</v>
      </c>
      <c r="J3478" s="7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">
        <v>1540</v>
      </c>
      <c r="H3479" s="1">
        <v>2386.1999999999998</v>
      </c>
      <c r="I3479" s="6">
        <f>Tabela1[[#This Row],[Valor total]]-Tabela1[[#This Row],[Valor custo]]</f>
        <v>846.19999999999982</v>
      </c>
      <c r="J3479" s="7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">
        <v>848</v>
      </c>
      <c r="H3480" s="1">
        <v>1400</v>
      </c>
      <c r="I3480" s="6">
        <f>Tabela1[[#This Row],[Valor total]]-Tabela1[[#This Row],[Valor custo]]</f>
        <v>552</v>
      </c>
      <c r="J3480" s="7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">
        <v>12705</v>
      </c>
      <c r="H3481" s="1">
        <v>18810</v>
      </c>
      <c r="I3481" s="6">
        <f>Tabela1[[#This Row],[Valor total]]-Tabela1[[#This Row],[Valor custo]]</f>
        <v>6105</v>
      </c>
      <c r="J3481" s="7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">
        <v>387.42</v>
      </c>
      <c r="H3482" s="1">
        <v>700</v>
      </c>
      <c r="I3482" s="6">
        <f>Tabela1[[#This Row],[Valor total]]-Tabela1[[#This Row],[Valor custo]]</f>
        <v>312.58</v>
      </c>
      <c r="J3482" s="7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">
        <v>5424.69</v>
      </c>
      <c r="H3483" s="1">
        <v>8200</v>
      </c>
      <c r="I3483" s="6">
        <f>Tabela1[[#This Row],[Valor total]]-Tabela1[[#This Row],[Valor custo]]</f>
        <v>2775.3100000000004</v>
      </c>
      <c r="J3483" s="7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">
        <v>2286.25</v>
      </c>
      <c r="H3484" s="1">
        <v>3585</v>
      </c>
      <c r="I3484" s="6">
        <f>Tabela1[[#This Row],[Valor total]]-Tabela1[[#This Row],[Valor custo]]</f>
        <v>1298.75</v>
      </c>
      <c r="J3484" s="7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">
        <v>4184.53</v>
      </c>
      <c r="H3485" s="1">
        <v>6080</v>
      </c>
      <c r="I3485" s="6">
        <f>Tabela1[[#This Row],[Valor total]]-Tabela1[[#This Row],[Valor custo]]</f>
        <v>1895.4700000000003</v>
      </c>
      <c r="J3485" s="7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">
        <v>770</v>
      </c>
      <c r="H3486" s="1">
        <v>1290</v>
      </c>
      <c r="I3486" s="6">
        <f>Tabela1[[#This Row],[Valor total]]-Tabela1[[#This Row],[Valor custo]]</f>
        <v>520</v>
      </c>
      <c r="J3486" s="7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">
        <v>289</v>
      </c>
      <c r="H3487" s="1">
        <v>0</v>
      </c>
      <c r="I3487" s="6">
        <f>Tabela1[[#This Row],[Valor total]]-Tabela1[[#This Row],[Valor custo]]</f>
        <v>-289</v>
      </c>
      <c r="J3487" s="7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">
        <v>76.25</v>
      </c>
      <c r="H3488" s="1">
        <v>100</v>
      </c>
      <c r="I3488" s="6">
        <f>Tabela1[[#This Row],[Valor total]]-Tabela1[[#This Row],[Valor custo]]</f>
        <v>23.75</v>
      </c>
      <c r="J3488" s="7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">
        <v>1288</v>
      </c>
      <c r="H3489" s="1">
        <v>1881</v>
      </c>
      <c r="I3489" s="6">
        <f>Tabela1[[#This Row],[Valor total]]-Tabela1[[#This Row],[Valor custo]]</f>
        <v>593</v>
      </c>
      <c r="J3489" s="7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">
        <v>2819.66</v>
      </c>
      <c r="H3490" s="1">
        <v>4400</v>
      </c>
      <c r="I3490" s="6">
        <f>Tabela1[[#This Row],[Valor total]]-Tabela1[[#This Row],[Valor custo]]</f>
        <v>1580.3400000000001</v>
      </c>
      <c r="J3490" s="7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">
        <v>862.12</v>
      </c>
      <c r="H3491" s="1">
        <v>1435</v>
      </c>
      <c r="I3491" s="6">
        <f>Tabela1[[#This Row],[Valor total]]-Tabela1[[#This Row],[Valor custo]]</f>
        <v>572.88</v>
      </c>
      <c r="J3491" s="7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">
        <v>174</v>
      </c>
      <c r="H3492" s="1">
        <v>260</v>
      </c>
      <c r="I3492" s="6">
        <f>Tabela1[[#This Row],[Valor total]]-Tabela1[[#This Row],[Valor custo]]</f>
        <v>86</v>
      </c>
      <c r="J3492" s="7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">
        <v>180</v>
      </c>
      <c r="H3493" s="1">
        <v>300</v>
      </c>
      <c r="I3493" s="6">
        <f>Tabela1[[#This Row],[Valor total]]-Tabela1[[#This Row],[Valor custo]]</f>
        <v>120</v>
      </c>
      <c r="J3493" s="7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">
        <v>629.79</v>
      </c>
      <c r="H3494" s="1">
        <v>1395</v>
      </c>
      <c r="I3494" s="6">
        <f>Tabela1[[#This Row],[Valor total]]-Tabela1[[#This Row],[Valor custo]]</f>
        <v>765.21</v>
      </c>
      <c r="J3494" s="7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">
        <v>90</v>
      </c>
      <c r="H3495" s="1">
        <v>150</v>
      </c>
      <c r="I3495" s="6">
        <f>Tabela1[[#This Row],[Valor total]]-Tabela1[[#This Row],[Valor custo]]</f>
        <v>60</v>
      </c>
      <c r="J3495" s="7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">
        <v>1298</v>
      </c>
      <c r="H3496" s="1">
        <v>1800</v>
      </c>
      <c r="I3496" s="6">
        <f>Tabela1[[#This Row],[Valor total]]-Tabela1[[#This Row],[Valor custo]]</f>
        <v>502</v>
      </c>
      <c r="J3496" s="7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">
        <v>40</v>
      </c>
      <c r="H3497" s="1">
        <v>100</v>
      </c>
      <c r="I3497" s="6">
        <f>Tabela1[[#This Row],[Valor total]]-Tabela1[[#This Row],[Valor custo]]</f>
        <v>60</v>
      </c>
      <c r="J3497" s="7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">
        <v>250</v>
      </c>
      <c r="H3498" s="1">
        <v>300</v>
      </c>
      <c r="I3498" s="6">
        <f>Tabela1[[#This Row],[Valor total]]-Tabela1[[#This Row],[Valor custo]]</f>
        <v>50</v>
      </c>
      <c r="J3498" s="7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">
        <v>2720</v>
      </c>
      <c r="H3499" s="1">
        <v>3950</v>
      </c>
      <c r="I3499" s="6">
        <f>Tabela1[[#This Row],[Valor total]]-Tabela1[[#This Row],[Valor custo]]</f>
        <v>1230</v>
      </c>
      <c r="J3499" s="7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">
        <v>649</v>
      </c>
      <c r="H3500" s="1">
        <v>900</v>
      </c>
      <c r="I3500" s="6">
        <f>Tabela1[[#This Row],[Valor total]]-Tabela1[[#This Row],[Valor custo]]</f>
        <v>251</v>
      </c>
      <c r="J3500" s="7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">
        <v>787.14</v>
      </c>
      <c r="H3501" s="1">
        <v>1150</v>
      </c>
      <c r="I3501" s="6">
        <f>Tabela1[[#This Row],[Valor total]]-Tabela1[[#This Row],[Valor custo]]</f>
        <v>362.86</v>
      </c>
      <c r="J3501" s="7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">
        <v>70</v>
      </c>
      <c r="H3502" s="1">
        <v>90</v>
      </c>
      <c r="I3502" s="6">
        <f>Tabela1[[#This Row],[Valor total]]-Tabela1[[#This Row],[Valor custo]]</f>
        <v>20</v>
      </c>
      <c r="J3502" s="7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">
        <v>45.6</v>
      </c>
      <c r="H3503" s="1">
        <v>70</v>
      </c>
      <c r="I3503" s="6">
        <f>Tabela1[[#This Row],[Valor total]]-Tabela1[[#This Row],[Valor custo]]</f>
        <v>24.4</v>
      </c>
      <c r="J3503" s="7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">
        <v>42.6</v>
      </c>
      <c r="H3504" s="1">
        <v>65</v>
      </c>
      <c r="I3504" s="6">
        <f>Tabela1[[#This Row],[Valor total]]-Tabela1[[#This Row],[Valor custo]]</f>
        <v>22.4</v>
      </c>
      <c r="J3504" s="7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">
        <v>84</v>
      </c>
      <c r="H3505" s="1">
        <v>130</v>
      </c>
      <c r="I3505" s="6">
        <f>Tabela1[[#This Row],[Valor total]]-Tabela1[[#This Row],[Valor custo]]</f>
        <v>46</v>
      </c>
      <c r="J3505" s="7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">
        <v>94.06</v>
      </c>
      <c r="H3506" s="1">
        <v>170</v>
      </c>
      <c r="I3506" s="6">
        <f>Tabela1[[#This Row],[Valor total]]-Tabela1[[#This Row],[Valor custo]]</f>
        <v>75.94</v>
      </c>
      <c r="J3506" s="7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">
        <v>289</v>
      </c>
      <c r="H3507" s="1">
        <v>550</v>
      </c>
      <c r="I3507" s="6">
        <f>Tabela1[[#This Row],[Valor total]]-Tabela1[[#This Row],[Valor custo]]</f>
        <v>261</v>
      </c>
      <c r="J3507" s="7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">
        <v>250</v>
      </c>
      <c r="H3508" s="1">
        <v>300</v>
      </c>
      <c r="I3508" s="6">
        <f>Tabela1[[#This Row],[Valor total]]-Tabela1[[#This Row],[Valor custo]]</f>
        <v>50</v>
      </c>
      <c r="J3508" s="7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">
        <v>6001</v>
      </c>
      <c r="H3509" s="1">
        <v>9650</v>
      </c>
      <c r="I3509" s="6">
        <f>Tabela1[[#This Row],[Valor total]]-Tabela1[[#This Row],[Valor custo]]</f>
        <v>3649</v>
      </c>
      <c r="J3509" s="7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">
        <v>1400.1</v>
      </c>
      <c r="H3510" s="1">
        <v>2500</v>
      </c>
      <c r="I3510" s="6">
        <f>Tabela1[[#This Row],[Valor total]]-Tabela1[[#This Row],[Valor custo]]</f>
        <v>1099.9000000000001</v>
      </c>
      <c r="J3510" s="7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">
        <v>1343</v>
      </c>
      <c r="H3511" s="1">
        <v>2100</v>
      </c>
      <c r="I3511" s="6">
        <f>Tabela1[[#This Row],[Valor total]]-Tabela1[[#This Row],[Valor custo]]</f>
        <v>757</v>
      </c>
      <c r="J3511" s="7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">
        <v>13.69</v>
      </c>
      <c r="H3512" s="1">
        <v>100</v>
      </c>
      <c r="I3512" s="6">
        <f>Tabela1[[#This Row],[Valor total]]-Tabela1[[#This Row],[Valor custo]]</f>
        <v>86.31</v>
      </c>
      <c r="J3512" s="7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">
        <v>3320</v>
      </c>
      <c r="H3513" s="1">
        <v>5000</v>
      </c>
      <c r="I3513" s="6">
        <f>Tabela1[[#This Row],[Valor total]]-Tabela1[[#This Row],[Valor custo]]</f>
        <v>1680</v>
      </c>
      <c r="J3513" s="7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">
        <v>2685</v>
      </c>
      <c r="H3514" s="1">
        <v>4200</v>
      </c>
      <c r="I3514" s="6">
        <f>Tabela1[[#This Row],[Valor total]]-Tabela1[[#This Row],[Valor custo]]</f>
        <v>1515</v>
      </c>
      <c r="J3514" s="7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">
        <v>293.13</v>
      </c>
      <c r="H3515" s="1">
        <v>400</v>
      </c>
      <c r="I3515" s="6">
        <f>Tabela1[[#This Row],[Valor total]]-Tabela1[[#This Row],[Valor custo]]</f>
        <v>106.87</v>
      </c>
      <c r="J3515" s="7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">
        <v>586.26</v>
      </c>
      <c r="H3516" s="1">
        <v>1300</v>
      </c>
      <c r="I3516" s="6">
        <f>Tabela1[[#This Row],[Valor total]]-Tabela1[[#This Row],[Valor custo]]</f>
        <v>713.74</v>
      </c>
      <c r="J3516" s="7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">
        <v>693</v>
      </c>
      <c r="H3517" s="1">
        <v>1200</v>
      </c>
      <c r="I3517" s="6">
        <f>Tabela1[[#This Row],[Valor total]]-Tabela1[[#This Row],[Valor custo]]</f>
        <v>507</v>
      </c>
      <c r="J3517" s="7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">
        <v>14270</v>
      </c>
      <c r="H3518" s="1">
        <v>20590</v>
      </c>
      <c r="I3518" s="6">
        <f>Tabela1[[#This Row],[Valor total]]-Tabela1[[#This Row],[Valor custo]]</f>
        <v>6320</v>
      </c>
      <c r="J3518" s="7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">
        <v>664</v>
      </c>
      <c r="H3519" s="1">
        <v>1100</v>
      </c>
      <c r="I3519" s="6">
        <f>Tabela1[[#This Row],[Valor total]]-Tabela1[[#This Row],[Valor custo]]</f>
        <v>436</v>
      </c>
      <c r="J3519" s="7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">
        <v>16.100000000000001</v>
      </c>
      <c r="H3520" s="1">
        <v>23</v>
      </c>
      <c r="I3520" s="6">
        <f>Tabela1[[#This Row],[Valor total]]-Tabela1[[#This Row],[Valor custo]]</f>
        <v>6.8999999999999986</v>
      </c>
      <c r="J3520" s="7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">
        <v>2656</v>
      </c>
      <c r="H3521" s="1">
        <v>4000</v>
      </c>
      <c r="I3521" s="6">
        <f>Tabela1[[#This Row],[Valor total]]-Tabela1[[#This Row],[Valor custo]]</f>
        <v>1344</v>
      </c>
      <c r="J3521" s="7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">
        <v>693</v>
      </c>
      <c r="H3522" s="1">
        <v>1200</v>
      </c>
      <c r="I3522" s="6">
        <f>Tabela1[[#This Row],[Valor total]]-Tabela1[[#This Row],[Valor custo]]</f>
        <v>507</v>
      </c>
      <c r="J3522" s="7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">
        <v>664</v>
      </c>
      <c r="H3523" s="1">
        <v>1000</v>
      </c>
      <c r="I3523" s="6">
        <f>Tabela1[[#This Row],[Valor total]]-Tabela1[[#This Row],[Valor custo]]</f>
        <v>336</v>
      </c>
      <c r="J3523" s="7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">
        <v>1442.79</v>
      </c>
      <c r="H3524" s="1">
        <v>2610</v>
      </c>
      <c r="I3524" s="6">
        <f>Tabela1[[#This Row],[Valor total]]-Tabela1[[#This Row],[Valor custo]]</f>
        <v>1167.21</v>
      </c>
      <c r="J3524" s="7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">
        <v>839</v>
      </c>
      <c r="H3525" s="1">
        <v>1975</v>
      </c>
      <c r="I3525" s="6">
        <f>Tabela1[[#This Row],[Valor total]]-Tabela1[[#This Row],[Valor custo]]</f>
        <v>1136</v>
      </c>
      <c r="J3525" s="7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">
        <v>664</v>
      </c>
      <c r="H3526" s="1">
        <v>1200</v>
      </c>
      <c r="I3526" s="6">
        <f>Tabela1[[#This Row],[Valor total]]-Tabela1[[#This Row],[Valor custo]]</f>
        <v>536</v>
      </c>
      <c r="J3526" s="7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">
        <v>2133</v>
      </c>
      <c r="H3527" s="1">
        <v>2930</v>
      </c>
      <c r="I3527" s="6">
        <f>Tabela1[[#This Row],[Valor total]]-Tabela1[[#This Row],[Valor custo]]</f>
        <v>797</v>
      </c>
      <c r="J3527" s="7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">
        <v>705</v>
      </c>
      <c r="H3528" s="1">
        <v>1340</v>
      </c>
      <c r="I3528" s="6">
        <f>Tabela1[[#This Row],[Valor total]]-Tabela1[[#This Row],[Valor custo]]</f>
        <v>635</v>
      </c>
      <c r="J3528" s="7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">
        <v>679</v>
      </c>
      <c r="H3529" s="1">
        <v>1200</v>
      </c>
      <c r="I3529" s="6">
        <f>Tabela1[[#This Row],[Valor total]]-Tabela1[[#This Row],[Valor custo]]</f>
        <v>521</v>
      </c>
      <c r="J3529" s="7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">
        <v>568.4</v>
      </c>
      <c r="H3530" s="1">
        <v>900</v>
      </c>
      <c r="I3530" s="6">
        <f>Tabela1[[#This Row],[Valor total]]-Tabela1[[#This Row],[Valor custo]]</f>
        <v>331.6</v>
      </c>
      <c r="J3530" s="7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">
        <v>616.1</v>
      </c>
      <c r="H3531" s="1">
        <v>1139</v>
      </c>
      <c r="I3531" s="6">
        <f>Tabela1[[#This Row],[Valor total]]-Tabela1[[#This Row],[Valor custo]]</f>
        <v>522.9</v>
      </c>
      <c r="J3531" s="7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">
        <v>137.19</v>
      </c>
      <c r="H3532" s="1">
        <v>196</v>
      </c>
      <c r="I3532" s="6">
        <f>Tabela1[[#This Row],[Valor total]]-Tabela1[[#This Row],[Valor custo]]</f>
        <v>58.81</v>
      </c>
      <c r="J3532" s="7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">
        <v>1328</v>
      </c>
      <c r="H3533" s="1">
        <v>2000</v>
      </c>
      <c r="I3533" s="6">
        <f>Tabela1[[#This Row],[Valor total]]-Tabela1[[#This Row],[Valor custo]]</f>
        <v>672</v>
      </c>
      <c r="J3533" s="7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">
        <v>72.099999999999994</v>
      </c>
      <c r="H3534" s="1">
        <v>450</v>
      </c>
      <c r="I3534" s="6">
        <f>Tabela1[[#This Row],[Valor total]]-Tabela1[[#This Row],[Valor custo]]</f>
        <v>377.9</v>
      </c>
      <c r="J3534" s="7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">
        <v>45.6</v>
      </c>
      <c r="H3535" s="1">
        <v>70</v>
      </c>
      <c r="I3535" s="6">
        <f>Tabela1[[#This Row],[Valor total]]-Tabela1[[#This Row],[Valor custo]]</f>
        <v>24.4</v>
      </c>
      <c r="J3535" s="7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">
        <v>1978</v>
      </c>
      <c r="H3536" s="1">
        <v>2640</v>
      </c>
      <c r="I3536" s="6">
        <f>Tabela1[[#This Row],[Valor total]]-Tabela1[[#This Row],[Valor custo]]</f>
        <v>662</v>
      </c>
      <c r="J3536" s="7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">
        <v>293.13</v>
      </c>
      <c r="H3537" s="1">
        <v>400</v>
      </c>
      <c r="I3537" s="6">
        <f>Tabela1[[#This Row],[Valor total]]-Tabela1[[#This Row],[Valor custo]]</f>
        <v>106.87</v>
      </c>
      <c r="J3537" s="7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">
        <v>375</v>
      </c>
      <c r="H3538" s="1">
        <v>472</v>
      </c>
      <c r="I3538" s="6">
        <f>Tabela1[[#This Row],[Valor total]]-Tabela1[[#This Row],[Valor custo]]</f>
        <v>97</v>
      </c>
      <c r="J3538" s="7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">
        <v>274.76</v>
      </c>
      <c r="H3539" s="1">
        <v>780</v>
      </c>
      <c r="I3539" s="6">
        <f>Tabela1[[#This Row],[Valor total]]-Tabela1[[#This Row],[Valor custo]]</f>
        <v>505.24</v>
      </c>
      <c r="J3539" s="7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">
        <v>649</v>
      </c>
      <c r="H3540" s="1">
        <v>850</v>
      </c>
      <c r="I3540" s="6">
        <f>Tabela1[[#This Row],[Valor total]]-Tabela1[[#This Row],[Valor custo]]</f>
        <v>201</v>
      </c>
      <c r="J3540" s="7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">
        <v>94.06</v>
      </c>
      <c r="H3541" s="1">
        <v>160</v>
      </c>
      <c r="I3541" s="6">
        <f>Tabela1[[#This Row],[Valor total]]-Tabela1[[#This Row],[Valor custo]]</f>
        <v>65.94</v>
      </c>
      <c r="J3541" s="7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">
        <v>1088</v>
      </c>
      <c r="H3542" s="1">
        <v>1600</v>
      </c>
      <c r="I3542" s="6">
        <f>Tabela1[[#This Row],[Valor total]]-Tabela1[[#This Row],[Valor custo]]</f>
        <v>512</v>
      </c>
      <c r="J3542" s="7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">
        <v>385</v>
      </c>
      <c r="H3543" s="1">
        <v>600</v>
      </c>
      <c r="I3543" s="6">
        <f>Tabela1[[#This Row],[Valor total]]-Tabela1[[#This Row],[Valor custo]]</f>
        <v>215</v>
      </c>
      <c r="J3543" s="7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">
        <v>1088</v>
      </c>
      <c r="H3544" s="1">
        <v>1580</v>
      </c>
      <c r="I3544" s="6">
        <f>Tabela1[[#This Row],[Valor total]]-Tabela1[[#This Row],[Valor custo]]</f>
        <v>492</v>
      </c>
      <c r="J3544" s="7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">
        <v>144.53</v>
      </c>
      <c r="H3545" s="1">
        <v>300</v>
      </c>
      <c r="I3545" s="6">
        <f>Tabela1[[#This Row],[Valor total]]-Tabela1[[#This Row],[Valor custo]]</f>
        <v>155.47</v>
      </c>
      <c r="J3545" s="7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">
        <v>664</v>
      </c>
      <c r="H3546" s="1">
        <v>1000</v>
      </c>
      <c r="I3546" s="6">
        <f>Tabela1[[#This Row],[Valor total]]-Tabela1[[#This Row],[Valor custo]]</f>
        <v>336</v>
      </c>
      <c r="J3546" s="7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">
        <v>758.06</v>
      </c>
      <c r="H3547" s="1">
        <v>1160</v>
      </c>
      <c r="I3547" s="6">
        <f>Tabela1[[#This Row],[Valor total]]-Tabela1[[#This Row],[Valor custo]]</f>
        <v>401.94000000000005</v>
      </c>
      <c r="J3547" s="7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">
        <v>2356</v>
      </c>
      <c r="H3548" s="1">
        <v>4000</v>
      </c>
      <c r="I3548" s="6">
        <f>Tabela1[[#This Row],[Valor total]]-Tabela1[[#This Row],[Valor custo]]</f>
        <v>1644</v>
      </c>
      <c r="J3548" s="7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">
        <v>289</v>
      </c>
      <c r="H3549" s="1">
        <v>550</v>
      </c>
      <c r="I3549" s="6">
        <f>Tabela1[[#This Row],[Valor total]]-Tabela1[[#This Row],[Valor custo]]</f>
        <v>261</v>
      </c>
      <c r="J3549" s="7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">
        <v>0</v>
      </c>
      <c r="H3550" s="1">
        <v>65</v>
      </c>
      <c r="I3550" s="6">
        <f>Tabela1[[#This Row],[Valor total]]-Tabela1[[#This Row],[Valor custo]]</f>
        <v>65</v>
      </c>
      <c r="J3550" s="7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">
        <v>293.13</v>
      </c>
      <c r="H3551" s="1">
        <v>400</v>
      </c>
      <c r="I3551" s="6">
        <f>Tabela1[[#This Row],[Valor total]]-Tabela1[[#This Row],[Valor custo]]</f>
        <v>106.87</v>
      </c>
      <c r="J3551" s="7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">
        <v>1226</v>
      </c>
      <c r="H3552" s="1">
        <v>2000</v>
      </c>
      <c r="I3552" s="6">
        <f>Tabela1[[#This Row],[Valor total]]-Tabela1[[#This Row],[Valor custo]]</f>
        <v>774</v>
      </c>
      <c r="J3552" s="7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">
        <v>544</v>
      </c>
      <c r="H3553" s="1">
        <v>790</v>
      </c>
      <c r="I3553" s="6">
        <f>Tabela1[[#This Row],[Valor total]]-Tabela1[[#This Row],[Valor custo]]</f>
        <v>246</v>
      </c>
      <c r="J3553" s="7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">
        <v>679</v>
      </c>
      <c r="H3554" s="1">
        <v>1100</v>
      </c>
      <c r="I3554" s="6">
        <f>Tabela1[[#This Row],[Valor total]]-Tabela1[[#This Row],[Valor custo]]</f>
        <v>421</v>
      </c>
      <c r="J3554" s="7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">
        <v>0</v>
      </c>
      <c r="H3555" s="1">
        <v>50</v>
      </c>
      <c r="I3555" s="6">
        <f>Tabela1[[#This Row],[Valor total]]-Tabela1[[#This Row],[Valor custo]]</f>
        <v>50</v>
      </c>
      <c r="J3555" s="7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">
        <v>664</v>
      </c>
      <c r="H3556" s="1">
        <v>1000</v>
      </c>
      <c r="I3556" s="6">
        <f>Tabela1[[#This Row],[Valor total]]-Tabela1[[#This Row],[Valor custo]]</f>
        <v>336</v>
      </c>
      <c r="J3556" s="7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">
        <v>6623</v>
      </c>
      <c r="H3557" s="1">
        <v>10726</v>
      </c>
      <c r="I3557" s="6">
        <f>Tabela1[[#This Row],[Valor total]]-Tabela1[[#This Row],[Valor custo]]</f>
        <v>4103</v>
      </c>
      <c r="J3557" s="7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">
        <v>485</v>
      </c>
      <c r="H3558" s="1">
        <v>810</v>
      </c>
      <c r="I3558" s="6">
        <f>Tabela1[[#This Row],[Valor total]]-Tabela1[[#This Row],[Valor custo]]</f>
        <v>325</v>
      </c>
      <c r="J3558" s="7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">
        <v>664</v>
      </c>
      <c r="H3559" s="1">
        <v>1100</v>
      </c>
      <c r="I3559" s="6">
        <f>Tabela1[[#This Row],[Valor total]]-Tabela1[[#This Row],[Valor custo]]</f>
        <v>436</v>
      </c>
      <c r="J3559" s="7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">
        <v>544</v>
      </c>
      <c r="H3560" s="1">
        <v>845</v>
      </c>
      <c r="I3560" s="6">
        <f>Tabela1[[#This Row],[Valor total]]-Tabela1[[#This Row],[Valor custo]]</f>
        <v>301</v>
      </c>
      <c r="J3560" s="7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">
        <v>624.66</v>
      </c>
      <c r="H3561" s="1">
        <v>1050</v>
      </c>
      <c r="I3561" s="6">
        <f>Tabela1[[#This Row],[Valor total]]-Tabela1[[#This Row],[Valor custo]]</f>
        <v>425.34000000000003</v>
      </c>
      <c r="J3561" s="7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">
        <v>649</v>
      </c>
      <c r="H3562" s="1">
        <v>1000</v>
      </c>
      <c r="I3562" s="6">
        <f>Tabela1[[#This Row],[Valor total]]-Tabela1[[#This Row],[Valor custo]]</f>
        <v>351</v>
      </c>
      <c r="J3562" s="7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">
        <v>2646</v>
      </c>
      <c r="H3563" s="1">
        <v>3830</v>
      </c>
      <c r="I3563" s="6">
        <f>Tabela1[[#This Row],[Valor total]]-Tabela1[[#This Row],[Valor custo]]</f>
        <v>1184</v>
      </c>
      <c r="J3563" s="7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">
        <v>544</v>
      </c>
      <c r="H3564" s="1">
        <v>945</v>
      </c>
      <c r="I3564" s="6">
        <f>Tabela1[[#This Row],[Valor total]]-Tabela1[[#This Row],[Valor custo]]</f>
        <v>401</v>
      </c>
      <c r="J3564" s="7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">
        <v>2163.9499999999998</v>
      </c>
      <c r="H3565" s="1">
        <v>2925</v>
      </c>
      <c r="I3565" s="6">
        <f>Tabela1[[#This Row],[Valor total]]-Tabela1[[#This Row],[Valor custo]]</f>
        <v>761.05000000000018</v>
      </c>
      <c r="J3565" s="7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">
        <v>110</v>
      </c>
      <c r="H3566" s="1">
        <v>360</v>
      </c>
      <c r="I3566" s="6">
        <f>Tabela1[[#This Row],[Valor total]]-Tabela1[[#This Row],[Valor custo]]</f>
        <v>250</v>
      </c>
      <c r="J3566" s="7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">
        <v>360.5</v>
      </c>
      <c r="H3567" s="1">
        <v>1000</v>
      </c>
      <c r="I3567" s="6">
        <f>Tabela1[[#This Row],[Valor total]]-Tabela1[[#This Row],[Valor custo]]</f>
        <v>639.5</v>
      </c>
      <c r="J3567" s="7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">
        <v>430</v>
      </c>
      <c r="H3568" s="1">
        <v>592</v>
      </c>
      <c r="I3568" s="6">
        <f>Tabela1[[#This Row],[Valor total]]-Tabela1[[#This Row],[Valor custo]]</f>
        <v>162</v>
      </c>
      <c r="J3568" s="7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">
        <v>649</v>
      </c>
      <c r="H3569" s="1">
        <v>900</v>
      </c>
      <c r="I3569" s="6">
        <f>Tabela1[[#This Row],[Valor total]]-Tabela1[[#This Row],[Valor custo]]</f>
        <v>251</v>
      </c>
      <c r="J3569" s="7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">
        <v>705</v>
      </c>
      <c r="H3570" s="1">
        <v>1250</v>
      </c>
      <c r="I3570" s="6">
        <f>Tabela1[[#This Row],[Valor total]]-Tabela1[[#This Row],[Valor custo]]</f>
        <v>545</v>
      </c>
      <c r="J3570" s="7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">
        <v>750</v>
      </c>
      <c r="H3571" s="1">
        <v>900</v>
      </c>
      <c r="I3571" s="6">
        <f>Tabela1[[#This Row],[Valor total]]-Tabela1[[#This Row],[Valor custo]]</f>
        <v>150</v>
      </c>
      <c r="J3571" s="7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">
        <v>854.22</v>
      </c>
      <c r="H3572" s="1">
        <v>1430</v>
      </c>
      <c r="I3572" s="6">
        <f>Tabela1[[#This Row],[Valor total]]-Tabela1[[#This Row],[Valor custo]]</f>
        <v>575.78</v>
      </c>
      <c r="J3572" s="7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">
        <v>1121.4100000000001</v>
      </c>
      <c r="H3573" s="1">
        <v>2140</v>
      </c>
      <c r="I3573" s="6">
        <f>Tabela1[[#This Row],[Valor total]]-Tabela1[[#This Row],[Valor custo]]</f>
        <v>1018.5899999999999</v>
      </c>
      <c r="J3573" s="7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">
        <v>463</v>
      </c>
      <c r="H3574" s="1">
        <v>650</v>
      </c>
      <c r="I3574" s="6">
        <f>Tabela1[[#This Row],[Valor total]]-Tabela1[[#This Row],[Valor custo]]</f>
        <v>187</v>
      </c>
      <c r="J3574" s="7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">
        <v>485</v>
      </c>
      <c r="H3575" s="1">
        <v>820</v>
      </c>
      <c r="I3575" s="6">
        <f>Tabela1[[#This Row],[Valor total]]-Tabela1[[#This Row],[Valor custo]]</f>
        <v>335</v>
      </c>
      <c r="J3575" s="7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">
        <v>649</v>
      </c>
      <c r="H3576" s="1">
        <v>900</v>
      </c>
      <c r="I3576" s="6">
        <f>Tabela1[[#This Row],[Valor total]]-Tabela1[[#This Row],[Valor custo]]</f>
        <v>251</v>
      </c>
      <c r="J3576" s="7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">
        <v>316.2</v>
      </c>
      <c r="H3577" s="1">
        <v>410</v>
      </c>
      <c r="I3577" s="6">
        <f>Tabela1[[#This Row],[Valor total]]-Tabela1[[#This Row],[Valor custo]]</f>
        <v>93.800000000000011</v>
      </c>
      <c r="J3577" s="7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">
        <v>544</v>
      </c>
      <c r="H3578" s="1">
        <v>1100</v>
      </c>
      <c r="I3578" s="6">
        <f>Tabela1[[#This Row],[Valor total]]-Tabela1[[#This Row],[Valor custo]]</f>
        <v>556</v>
      </c>
      <c r="J3578" s="7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">
        <v>970</v>
      </c>
      <c r="H3579" s="1">
        <v>1550</v>
      </c>
      <c r="I3579" s="6">
        <f>Tabela1[[#This Row],[Valor total]]-Tabela1[[#This Row],[Valor custo]]</f>
        <v>580</v>
      </c>
      <c r="J3579" s="7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">
        <v>289</v>
      </c>
      <c r="H3580" s="1">
        <v>500</v>
      </c>
      <c r="I3580" s="6">
        <f>Tabela1[[#This Row],[Valor total]]-Tabela1[[#This Row],[Valor custo]]</f>
        <v>211</v>
      </c>
      <c r="J3580" s="7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">
        <v>108.15</v>
      </c>
      <c r="H3581" s="1">
        <v>375</v>
      </c>
      <c r="I3581" s="6">
        <f>Tabela1[[#This Row],[Valor total]]-Tabela1[[#This Row],[Valor custo]]</f>
        <v>266.85000000000002</v>
      </c>
      <c r="J3581" s="7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">
        <v>470.3</v>
      </c>
      <c r="H3582" s="1">
        <v>850</v>
      </c>
      <c r="I3582" s="6">
        <f>Tabela1[[#This Row],[Valor total]]-Tabela1[[#This Row],[Valor custo]]</f>
        <v>379.7</v>
      </c>
      <c r="J3582" s="7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">
        <v>2163.9499999999998</v>
      </c>
      <c r="H3583" s="1">
        <v>3250</v>
      </c>
      <c r="I3583" s="6">
        <f>Tabela1[[#This Row],[Valor total]]-Tabela1[[#This Row],[Valor custo]]</f>
        <v>1086.0500000000002</v>
      </c>
      <c r="J3583" s="7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">
        <v>125</v>
      </c>
      <c r="H3584" s="1">
        <v>150</v>
      </c>
      <c r="I3584" s="6">
        <f>Tabela1[[#This Row],[Valor total]]-Tabela1[[#This Row],[Valor custo]]</f>
        <v>25</v>
      </c>
      <c r="J3584" s="7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">
        <v>463</v>
      </c>
      <c r="H3585" s="1">
        <v>685</v>
      </c>
      <c r="I3585" s="6">
        <f>Tabela1[[#This Row],[Valor total]]-Tabela1[[#This Row],[Valor custo]]</f>
        <v>222</v>
      </c>
      <c r="J3585" s="7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">
        <v>5344</v>
      </c>
      <c r="H3586" s="1">
        <v>7150</v>
      </c>
      <c r="I3586" s="6">
        <f>Tabela1[[#This Row],[Valor total]]-Tabela1[[#This Row],[Valor custo]]</f>
        <v>1806</v>
      </c>
      <c r="J3586" s="7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">
        <v>1081.79</v>
      </c>
      <c r="H3587" s="1">
        <v>1605</v>
      </c>
      <c r="I3587" s="6">
        <f>Tabela1[[#This Row],[Valor total]]-Tabela1[[#This Row],[Valor custo]]</f>
        <v>523.21</v>
      </c>
      <c r="J3587" s="7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">
        <v>1631.72</v>
      </c>
      <c r="H3588" s="1">
        <v>2780</v>
      </c>
      <c r="I3588" s="6">
        <f>Tabela1[[#This Row],[Valor total]]-Tabela1[[#This Row],[Valor custo]]</f>
        <v>1148.28</v>
      </c>
      <c r="J3588" s="7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">
        <v>649</v>
      </c>
      <c r="H3589" s="1">
        <v>200</v>
      </c>
      <c r="I3589" s="6">
        <f>Tabela1[[#This Row],[Valor total]]-Tabela1[[#This Row],[Valor custo]]</f>
        <v>-449</v>
      </c>
      <c r="J3589" s="7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">
        <v>106.7</v>
      </c>
      <c r="H3590" s="1">
        <v>290</v>
      </c>
      <c r="I3590" s="6">
        <f>Tabela1[[#This Row],[Valor total]]-Tabela1[[#This Row],[Valor custo]]</f>
        <v>183.3</v>
      </c>
      <c r="J3590" s="7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">
        <v>360.5</v>
      </c>
      <c r="H3591" s="1">
        <v>1000</v>
      </c>
      <c r="I3591" s="6">
        <f>Tabela1[[#This Row],[Valor total]]-Tabela1[[#This Row],[Valor custo]]</f>
        <v>639.5</v>
      </c>
      <c r="J3591" s="7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">
        <v>2096.38</v>
      </c>
      <c r="H3592" s="1">
        <v>2883</v>
      </c>
      <c r="I3592" s="6">
        <f>Tabela1[[#This Row],[Valor total]]-Tabela1[[#This Row],[Valor custo]]</f>
        <v>786.61999999999989</v>
      </c>
      <c r="J3592" s="7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">
        <v>485</v>
      </c>
      <c r="H3593" s="1">
        <v>810</v>
      </c>
      <c r="I3593" s="6">
        <f>Tabela1[[#This Row],[Valor total]]-Tabela1[[#This Row],[Valor custo]]</f>
        <v>325</v>
      </c>
      <c r="J3593" s="7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">
        <v>1363.5</v>
      </c>
      <c r="H3594" s="1">
        <v>1885</v>
      </c>
      <c r="I3594" s="6">
        <f>Tabela1[[#This Row],[Valor total]]-Tabela1[[#This Row],[Valor custo]]</f>
        <v>521.5</v>
      </c>
      <c r="J3594" s="7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">
        <v>2626</v>
      </c>
      <c r="H3595" s="1">
        <v>2900</v>
      </c>
      <c r="I3595" s="6">
        <f>Tabela1[[#This Row],[Valor total]]-Tabela1[[#This Row],[Valor custo]]</f>
        <v>274</v>
      </c>
      <c r="J3595" s="7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">
        <v>485</v>
      </c>
      <c r="H3596" s="1">
        <v>710</v>
      </c>
      <c r="I3596" s="6">
        <f>Tabela1[[#This Row],[Valor total]]-Tabela1[[#This Row],[Valor custo]]</f>
        <v>225</v>
      </c>
      <c r="J3596" s="7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">
        <v>1298</v>
      </c>
      <c r="H3597" s="1">
        <v>1600</v>
      </c>
      <c r="I3597" s="6">
        <f>Tabela1[[#This Row],[Valor total]]-Tabela1[[#This Row],[Valor custo]]</f>
        <v>302</v>
      </c>
      <c r="J3597" s="7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">
        <v>50</v>
      </c>
      <c r="H3598" s="1">
        <v>60</v>
      </c>
      <c r="I3598" s="6">
        <f>Tabela1[[#This Row],[Valor total]]-Tabela1[[#This Row],[Valor custo]]</f>
        <v>10</v>
      </c>
      <c r="J3598" s="7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">
        <v>662.69</v>
      </c>
      <c r="H3599" s="1">
        <v>870</v>
      </c>
      <c r="I3599" s="6">
        <f>Tabela1[[#This Row],[Valor total]]-Tabela1[[#This Row],[Valor custo]]</f>
        <v>207.30999999999995</v>
      </c>
      <c r="J3599" s="7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">
        <v>4894.71</v>
      </c>
      <c r="H3600" s="1">
        <v>7350</v>
      </c>
      <c r="I3600" s="6">
        <f>Tabela1[[#This Row],[Valor total]]-Tabela1[[#This Row],[Valor custo]]</f>
        <v>2455.29</v>
      </c>
      <c r="J3600" s="7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">
        <v>557.79</v>
      </c>
      <c r="H3601" s="1">
        <v>800</v>
      </c>
      <c r="I3601" s="6">
        <f>Tabela1[[#This Row],[Valor total]]-Tabela1[[#This Row],[Valor custo]]</f>
        <v>242.21000000000004</v>
      </c>
      <c r="J3601" s="7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">
        <v>0</v>
      </c>
      <c r="H3602" s="1">
        <v>2400</v>
      </c>
      <c r="I3602" s="6">
        <f>Tabela1[[#This Row],[Valor total]]-Tabela1[[#This Row],[Valor custo]]</f>
        <v>2400</v>
      </c>
      <c r="J3602" s="7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">
        <v>432.79</v>
      </c>
      <c r="H3603" s="1">
        <v>650</v>
      </c>
      <c r="I3603" s="6">
        <f>Tabela1[[#This Row],[Valor total]]-Tabela1[[#This Row],[Valor custo]]</f>
        <v>217.20999999999998</v>
      </c>
      <c r="J3603" s="7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">
        <v>293.13</v>
      </c>
      <c r="H3604" s="1">
        <v>380</v>
      </c>
      <c r="I3604" s="6">
        <f>Tabela1[[#This Row],[Valor total]]-Tabela1[[#This Row],[Valor custo]]</f>
        <v>86.87</v>
      </c>
      <c r="J3604" s="7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">
        <v>2656</v>
      </c>
      <c r="H3605" s="1">
        <v>2680</v>
      </c>
      <c r="I3605" s="6">
        <f>Tabela1[[#This Row],[Valor total]]-Tabela1[[#This Row],[Valor custo]]</f>
        <v>24</v>
      </c>
      <c r="J3605" s="7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">
        <v>12605</v>
      </c>
      <c r="H3606" s="1">
        <v>19700</v>
      </c>
      <c r="I3606" s="6">
        <f>Tabela1[[#This Row],[Valor total]]-Tabela1[[#This Row],[Valor custo]]</f>
        <v>7095</v>
      </c>
      <c r="J3606" s="7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">
        <v>289</v>
      </c>
      <c r="H3607" s="1">
        <v>550</v>
      </c>
      <c r="I3607" s="6">
        <f>Tabela1[[#This Row],[Valor total]]-Tabela1[[#This Row],[Valor custo]]</f>
        <v>261</v>
      </c>
      <c r="J3607" s="7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">
        <v>0</v>
      </c>
      <c r="H3608" s="1">
        <v>20</v>
      </c>
      <c r="I3608" s="6">
        <f>Tabela1[[#This Row],[Valor total]]-Tabela1[[#This Row],[Valor custo]]</f>
        <v>20</v>
      </c>
      <c r="J3608" s="7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">
        <v>709.6</v>
      </c>
      <c r="H3609" s="1">
        <v>1125</v>
      </c>
      <c r="I3609" s="6">
        <f>Tabela1[[#This Row],[Valor total]]-Tabela1[[#This Row],[Valor custo]]</f>
        <v>415.4</v>
      </c>
      <c r="J3609" s="7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">
        <v>432.79</v>
      </c>
      <c r="H3610" s="1">
        <v>700</v>
      </c>
      <c r="I3610" s="6">
        <f>Tabela1[[#This Row],[Valor total]]-Tabela1[[#This Row],[Valor custo]]</f>
        <v>267.20999999999998</v>
      </c>
      <c r="J3610" s="7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">
        <v>1298.3699999999999</v>
      </c>
      <c r="H3611" s="1">
        <v>1950</v>
      </c>
      <c r="I3611" s="6">
        <f>Tabela1[[#This Row],[Valor total]]-Tabela1[[#This Row],[Valor custo]]</f>
        <v>651.63000000000011</v>
      </c>
      <c r="J3611" s="7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">
        <v>432.79</v>
      </c>
      <c r="H3612" s="1">
        <v>675</v>
      </c>
      <c r="I3612" s="6">
        <f>Tabela1[[#This Row],[Valor total]]-Tabela1[[#This Row],[Valor custo]]</f>
        <v>242.20999999999998</v>
      </c>
      <c r="J3612" s="7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">
        <v>432.79</v>
      </c>
      <c r="H3613" s="1">
        <v>600</v>
      </c>
      <c r="I3613" s="6">
        <f>Tabela1[[#This Row],[Valor total]]-Tabela1[[#This Row],[Valor custo]]</f>
        <v>167.20999999999998</v>
      </c>
      <c r="J3613" s="7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">
        <v>4834.68</v>
      </c>
      <c r="H3614" s="1">
        <v>7600</v>
      </c>
      <c r="I3614" s="6">
        <f>Tabela1[[#This Row],[Valor total]]-Tabela1[[#This Row],[Valor custo]]</f>
        <v>2765.3199999999997</v>
      </c>
      <c r="J3614" s="7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">
        <v>1298.3699999999999</v>
      </c>
      <c r="H3615" s="1">
        <v>1965</v>
      </c>
      <c r="I3615" s="6">
        <f>Tabela1[[#This Row],[Valor total]]-Tabela1[[#This Row],[Valor custo]]</f>
        <v>666.63000000000011</v>
      </c>
      <c r="J3615" s="7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">
        <v>463</v>
      </c>
      <c r="H3616" s="1">
        <v>750</v>
      </c>
      <c r="I3616" s="6">
        <f>Tabela1[[#This Row],[Valor total]]-Tabela1[[#This Row],[Valor custo]]</f>
        <v>287</v>
      </c>
      <c r="J3616" s="7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">
        <v>463</v>
      </c>
      <c r="H3617" s="1">
        <v>785</v>
      </c>
      <c r="I3617" s="6">
        <f>Tabela1[[#This Row],[Valor total]]-Tabela1[[#This Row],[Valor custo]]</f>
        <v>322</v>
      </c>
      <c r="J3617" s="7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">
        <v>8223.01</v>
      </c>
      <c r="H3618" s="1">
        <v>11115</v>
      </c>
      <c r="I3618" s="6">
        <f>Tabela1[[#This Row],[Valor total]]-Tabela1[[#This Row],[Valor custo]]</f>
        <v>2891.99</v>
      </c>
      <c r="J3618" s="7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">
        <v>302.2</v>
      </c>
      <c r="H3619" s="1">
        <v>510</v>
      </c>
      <c r="I3619" s="6">
        <f>Tabela1[[#This Row],[Valor total]]-Tabela1[[#This Row],[Valor custo]]</f>
        <v>207.8</v>
      </c>
      <c r="J3619" s="7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">
        <v>692.69</v>
      </c>
      <c r="H3620" s="1">
        <v>1210</v>
      </c>
      <c r="I3620" s="6">
        <f>Tabela1[[#This Row],[Valor total]]-Tabela1[[#This Row],[Valor custo]]</f>
        <v>517.30999999999995</v>
      </c>
      <c r="J3620" s="7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">
        <v>1142</v>
      </c>
      <c r="H3621" s="1">
        <v>1850</v>
      </c>
      <c r="I3621" s="6">
        <f>Tabela1[[#This Row],[Valor total]]-Tabela1[[#This Row],[Valor custo]]</f>
        <v>708</v>
      </c>
      <c r="J3621" s="7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">
        <v>432.79</v>
      </c>
      <c r="H3622" s="1">
        <v>700</v>
      </c>
      <c r="I3622" s="6">
        <f>Tabela1[[#This Row],[Valor total]]-Tabela1[[#This Row],[Valor custo]]</f>
        <v>267.20999999999998</v>
      </c>
      <c r="J3622" s="7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">
        <v>926</v>
      </c>
      <c r="H3623" s="1">
        <v>1500</v>
      </c>
      <c r="I3623" s="6">
        <f>Tabela1[[#This Row],[Valor total]]-Tabela1[[#This Row],[Valor custo]]</f>
        <v>574</v>
      </c>
      <c r="J3623" s="7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">
        <v>105</v>
      </c>
      <c r="H3624" s="1">
        <v>135</v>
      </c>
      <c r="I3624" s="6">
        <f>Tabela1[[#This Row],[Valor total]]-Tabela1[[#This Row],[Valor custo]]</f>
        <v>30</v>
      </c>
      <c r="J3624" s="7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">
        <v>3029.53</v>
      </c>
      <c r="H3625" s="1">
        <v>4270</v>
      </c>
      <c r="I3625" s="6">
        <f>Tabela1[[#This Row],[Valor total]]-Tabela1[[#This Row],[Valor custo]]</f>
        <v>1240.4699999999998</v>
      </c>
      <c r="J3625" s="7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">
        <v>293.13</v>
      </c>
      <c r="H3626" s="1">
        <v>450</v>
      </c>
      <c r="I3626" s="6">
        <f>Tabela1[[#This Row],[Valor total]]-Tabela1[[#This Row],[Valor custo]]</f>
        <v>156.87</v>
      </c>
      <c r="J3626" s="7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">
        <v>865.58</v>
      </c>
      <c r="H3627" s="1">
        <v>1100</v>
      </c>
      <c r="I3627" s="6">
        <f>Tabela1[[#This Row],[Valor total]]-Tabela1[[#This Row],[Valor custo]]</f>
        <v>234.41999999999996</v>
      </c>
      <c r="J3627" s="7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">
        <v>69.98</v>
      </c>
      <c r="H3628" s="1">
        <v>103</v>
      </c>
      <c r="I3628" s="6">
        <f>Tabela1[[#This Row],[Valor total]]-Tabela1[[#This Row],[Valor custo]]</f>
        <v>33.019999999999996</v>
      </c>
      <c r="J3628" s="7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">
        <v>1298.3699999999999</v>
      </c>
      <c r="H3629" s="1">
        <v>1755</v>
      </c>
      <c r="I3629" s="6">
        <f>Tabela1[[#This Row],[Valor total]]-Tabela1[[#This Row],[Valor custo]]</f>
        <v>456.63000000000011</v>
      </c>
      <c r="J3629" s="7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">
        <v>865.58</v>
      </c>
      <c r="H3630" s="1">
        <v>1500</v>
      </c>
      <c r="I3630" s="6">
        <f>Tabela1[[#This Row],[Valor total]]-Tabela1[[#This Row],[Valor custo]]</f>
        <v>634.41999999999996</v>
      </c>
      <c r="J3630" s="7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">
        <v>1334.05</v>
      </c>
      <c r="H3631" s="1">
        <v>1855</v>
      </c>
      <c r="I3631" s="6">
        <f>Tabela1[[#This Row],[Valor total]]-Tabela1[[#This Row],[Valor custo]]</f>
        <v>520.95000000000005</v>
      </c>
      <c r="J3631" s="7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">
        <v>3603.74</v>
      </c>
      <c r="H3632" s="1">
        <v>5370</v>
      </c>
      <c r="I3632" s="6">
        <f>Tabela1[[#This Row],[Valor total]]-Tabela1[[#This Row],[Valor custo]]</f>
        <v>1766.2600000000002</v>
      </c>
      <c r="J3632" s="7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">
        <v>544</v>
      </c>
      <c r="H3633" s="1">
        <v>930</v>
      </c>
      <c r="I3633" s="6">
        <f>Tabela1[[#This Row],[Valor total]]-Tabela1[[#This Row],[Valor custo]]</f>
        <v>386</v>
      </c>
      <c r="J3633" s="7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">
        <v>1343.97</v>
      </c>
      <c r="H3634" s="1">
        <v>2020</v>
      </c>
      <c r="I3634" s="6">
        <f>Tabela1[[#This Row],[Valor total]]-Tabela1[[#This Row],[Valor custo]]</f>
        <v>676.03</v>
      </c>
      <c r="J3634" s="7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">
        <v>817.79</v>
      </c>
      <c r="H3635" s="1">
        <v>1185</v>
      </c>
      <c r="I3635" s="6">
        <f>Tabela1[[#This Row],[Valor total]]-Tabela1[[#This Row],[Valor custo]]</f>
        <v>367.21000000000004</v>
      </c>
      <c r="J3635" s="7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">
        <v>485</v>
      </c>
      <c r="H3636" s="1">
        <v>710</v>
      </c>
      <c r="I3636" s="6">
        <f>Tabela1[[#This Row],[Valor total]]-Tabela1[[#This Row],[Valor custo]]</f>
        <v>225</v>
      </c>
      <c r="J3636" s="7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">
        <v>1992</v>
      </c>
      <c r="H3637" s="1">
        <v>2970</v>
      </c>
      <c r="I3637" s="6">
        <f>Tabela1[[#This Row],[Valor total]]-Tabela1[[#This Row],[Valor custo]]</f>
        <v>978</v>
      </c>
      <c r="J3637" s="7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">
        <v>67.12</v>
      </c>
      <c r="H3638" s="1">
        <v>70</v>
      </c>
      <c r="I3638" s="6">
        <f>Tabela1[[#This Row],[Valor total]]-Tabela1[[#This Row],[Valor custo]]</f>
        <v>2.8799999999999955</v>
      </c>
      <c r="J3638" s="7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">
        <v>649</v>
      </c>
      <c r="H3639" s="1">
        <v>890</v>
      </c>
      <c r="I3639" s="6">
        <f>Tabela1[[#This Row],[Valor total]]-Tabela1[[#This Row],[Valor custo]]</f>
        <v>241</v>
      </c>
      <c r="J3639" s="7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">
        <v>275</v>
      </c>
      <c r="H3640" s="1">
        <v>500</v>
      </c>
      <c r="I3640" s="6">
        <f>Tabela1[[#This Row],[Valor total]]-Tabela1[[#This Row],[Valor custo]]</f>
        <v>225</v>
      </c>
      <c r="J3640" s="7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">
        <v>432.79</v>
      </c>
      <c r="H3641" s="1">
        <v>655</v>
      </c>
      <c r="I3641" s="6">
        <f>Tabela1[[#This Row],[Valor total]]-Tabela1[[#This Row],[Valor custo]]</f>
        <v>222.20999999999998</v>
      </c>
      <c r="J3641" s="7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">
        <v>155.68</v>
      </c>
      <c r="H3642" s="1">
        <v>205</v>
      </c>
      <c r="I3642" s="6">
        <f>Tabela1[[#This Row],[Valor total]]-Tabela1[[#This Row],[Valor custo]]</f>
        <v>49.319999999999993</v>
      </c>
      <c r="J3642" s="7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">
        <v>385</v>
      </c>
      <c r="H3643" s="1">
        <v>610</v>
      </c>
      <c r="I3643" s="6">
        <f>Tabela1[[#This Row],[Valor total]]-Tabela1[[#This Row],[Valor custo]]</f>
        <v>225</v>
      </c>
      <c r="J3643" s="7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">
        <v>432.79</v>
      </c>
      <c r="H3644" s="1">
        <v>600</v>
      </c>
      <c r="I3644" s="6">
        <f>Tabela1[[#This Row],[Valor total]]-Tabela1[[#This Row],[Valor custo]]</f>
        <v>167.20999999999998</v>
      </c>
      <c r="J3644" s="7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">
        <v>7338</v>
      </c>
      <c r="H3645" s="1">
        <v>11420</v>
      </c>
      <c r="I3645" s="6">
        <f>Tabela1[[#This Row],[Valor total]]-Tabela1[[#This Row],[Valor custo]]</f>
        <v>4082</v>
      </c>
      <c r="J3645" s="7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5">
        <v>46052</v>
      </c>
      <c r="G3646">
        <v>805.34</v>
      </c>
      <c r="H3646" s="10">
        <v>1170</v>
      </c>
      <c r="I3646" s="8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5">
        <v>46052</v>
      </c>
      <c r="G3647">
        <v>7.51</v>
      </c>
      <c r="H3647">
        <v>30</v>
      </c>
      <c r="I3647" s="8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5">
        <v>46052</v>
      </c>
      <c r="G3648" s="10">
        <v>1780.92</v>
      </c>
      <c r="H3648" s="10">
        <v>2890</v>
      </c>
      <c r="I3648" s="8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5">
        <v>46052</v>
      </c>
      <c r="G3649" s="10">
        <v>1083</v>
      </c>
      <c r="H3649" s="10">
        <v>1755</v>
      </c>
      <c r="I3649" s="8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5">
        <v>46052</v>
      </c>
      <c r="G3650" s="10">
        <v>2076.06</v>
      </c>
      <c r="H3650" s="10">
        <v>1300</v>
      </c>
      <c r="I3650" s="8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5">
        <v>46052</v>
      </c>
      <c r="G3651" s="10">
        <v>1756.84</v>
      </c>
      <c r="H3651" s="10">
        <v>2415</v>
      </c>
      <c r="I3651" s="8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5">
        <v>46052</v>
      </c>
      <c r="G3652" s="10">
        <v>1958.24</v>
      </c>
      <c r="H3652" s="10">
        <v>3093</v>
      </c>
      <c r="I3652" s="8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5">
        <v>46052</v>
      </c>
      <c r="G3653" s="10">
        <v>1170.71</v>
      </c>
      <c r="H3653" s="10">
        <v>1600</v>
      </c>
      <c r="I3653" s="8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5">
        <v>46052</v>
      </c>
      <c r="G3654">
        <v>806.02</v>
      </c>
      <c r="H3654" s="10">
        <v>1125</v>
      </c>
      <c r="I3654" s="8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5">
        <v>46051</v>
      </c>
      <c r="G3655" s="10">
        <v>1996.22</v>
      </c>
      <c r="H3655" s="10">
        <v>3200</v>
      </c>
      <c r="I3655" s="8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5">
        <v>46051</v>
      </c>
      <c r="G3656">
        <v>293.13</v>
      </c>
      <c r="H3656">
        <v>500</v>
      </c>
      <c r="I3656" s="8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5">
        <v>46051</v>
      </c>
      <c r="G3657">
        <v>500.27</v>
      </c>
      <c r="H3657">
        <v>690</v>
      </c>
      <c r="I3657" s="8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5">
        <v>46051</v>
      </c>
      <c r="G3658">
        <v>50</v>
      </c>
      <c r="H3658">
        <v>80</v>
      </c>
      <c r="I3658" s="8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5">
        <v>46051</v>
      </c>
      <c r="G3659" s="10">
        <v>1801.08</v>
      </c>
      <c r="H3659" s="10">
        <v>2580</v>
      </c>
      <c r="I3659" s="8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5">
        <v>46051</v>
      </c>
      <c r="G3660">
        <v>900.54</v>
      </c>
      <c r="H3660" s="10">
        <v>1360</v>
      </c>
      <c r="I3660" s="8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5">
        <v>46051</v>
      </c>
      <c r="G3661">
        <v>483.83</v>
      </c>
      <c r="H3661">
        <v>700</v>
      </c>
      <c r="I3661" s="8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5">
        <v>46051</v>
      </c>
      <c r="G3662">
        <v>611.62</v>
      </c>
      <c r="H3662">
        <v>920</v>
      </c>
      <c r="I3662" s="8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5">
        <v>46051</v>
      </c>
      <c r="G3663" s="10">
        <v>1805</v>
      </c>
      <c r="H3663" s="10">
        <v>3075</v>
      </c>
      <c r="I3663" s="8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5">
        <v>46051</v>
      </c>
      <c r="G3664" s="10">
        <v>1801.08</v>
      </c>
      <c r="H3664" s="10">
        <v>1860</v>
      </c>
      <c r="I3664" s="8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5">
        <v>46051</v>
      </c>
      <c r="G3665" s="10">
        <v>2658.18</v>
      </c>
      <c r="H3665" s="10">
        <v>4150</v>
      </c>
      <c r="I3665" s="8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5">
        <v>46051</v>
      </c>
      <c r="G3666">
        <v>975.59</v>
      </c>
      <c r="H3666" s="10">
        <v>1700</v>
      </c>
      <c r="I3666" s="8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5">
        <v>46051</v>
      </c>
      <c r="G3667">
        <v>712.93</v>
      </c>
      <c r="H3667" s="10">
        <v>1100</v>
      </c>
      <c r="I3667" s="8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5">
        <v>46051</v>
      </c>
      <c r="G3668">
        <v>180.12</v>
      </c>
      <c r="H3668">
        <v>340</v>
      </c>
      <c r="I3668" s="8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5">
        <v>46051</v>
      </c>
      <c r="G3669">
        <v>712.93</v>
      </c>
      <c r="H3669" s="10">
        <v>1000</v>
      </c>
      <c r="I3669" s="8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5">
        <v>46051</v>
      </c>
      <c r="G3670">
        <v>107.49</v>
      </c>
      <c r="H3670">
        <v>395</v>
      </c>
      <c r="I3670" s="8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5">
        <v>46051</v>
      </c>
      <c r="G3671" s="10">
        <v>1801.08</v>
      </c>
      <c r="H3671" s="10">
        <v>2400</v>
      </c>
      <c r="I3671" s="8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5">
        <v>46051</v>
      </c>
      <c r="G3672">
        <v>105.06</v>
      </c>
      <c r="H3672">
        <v>220</v>
      </c>
      <c r="I3672" s="8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5">
        <v>46051</v>
      </c>
      <c r="G3673">
        <v>540.27</v>
      </c>
      <c r="H3673">
        <v>860</v>
      </c>
      <c r="I3673" s="8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5">
        <v>46051</v>
      </c>
      <c r="G3674">
        <v>480</v>
      </c>
      <c r="H3674">
        <v>799</v>
      </c>
      <c r="I3674" s="8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5">
        <v>46051</v>
      </c>
      <c r="G3675" s="10">
        <v>2534.35</v>
      </c>
      <c r="H3675" s="10">
        <v>3720</v>
      </c>
      <c r="I3675" s="8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5">
        <v>46050</v>
      </c>
      <c r="G3676">
        <v>983.1</v>
      </c>
      <c r="H3676">
        <v>900</v>
      </c>
      <c r="I3676" s="8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5">
        <v>46050</v>
      </c>
      <c r="G3677">
        <v>45.06</v>
      </c>
      <c r="H3677">
        <v>210</v>
      </c>
      <c r="I3677" s="8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5">
        <v>46050</v>
      </c>
      <c r="G3678">
        <v>640.79</v>
      </c>
      <c r="H3678">
        <v>945</v>
      </c>
      <c r="I3678" s="8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5">
        <v>46050</v>
      </c>
      <c r="G3679">
        <v>33</v>
      </c>
      <c r="H3679">
        <v>150</v>
      </c>
      <c r="I3679" s="8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5">
        <v>46050</v>
      </c>
      <c r="G3680">
        <v>450.27</v>
      </c>
      <c r="H3680">
        <v>620</v>
      </c>
      <c r="I3680" s="8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5">
        <v>46050</v>
      </c>
      <c r="G3681" s="10">
        <v>8364.0499999999993</v>
      </c>
      <c r="H3681" s="10">
        <v>10830</v>
      </c>
      <c r="I3681" s="8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5">
        <v>46050</v>
      </c>
      <c r="G3682">
        <v>65</v>
      </c>
      <c r="H3682">
        <v>95</v>
      </c>
      <c r="I3682" s="8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5">
        <v>46050</v>
      </c>
      <c r="G3683">
        <v>510.31</v>
      </c>
      <c r="H3683">
        <v>750</v>
      </c>
      <c r="I3683" s="8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5">
        <v>46050</v>
      </c>
      <c r="G3684">
        <v>301.95999999999998</v>
      </c>
      <c r="H3684">
        <v>920</v>
      </c>
      <c r="I3684" s="8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5">
        <v>46050</v>
      </c>
      <c r="G3685" s="10">
        <v>1193.22</v>
      </c>
      <c r="H3685" s="10">
        <v>1815</v>
      </c>
      <c r="I3685" s="8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5">
        <v>46050</v>
      </c>
      <c r="G3686" s="10">
        <v>1395.85</v>
      </c>
      <c r="H3686" s="10">
        <v>2150</v>
      </c>
      <c r="I3686" s="8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5">
        <v>46050</v>
      </c>
      <c r="G3687" s="10">
        <v>1088.17</v>
      </c>
      <c r="H3687" s="10">
        <v>1900</v>
      </c>
      <c r="I3687" s="8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5">
        <v>46050</v>
      </c>
      <c r="G3688">
        <v>450.27</v>
      </c>
      <c r="H3688">
        <v>655</v>
      </c>
      <c r="I3688" s="8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5">
        <v>46050</v>
      </c>
      <c r="G3689">
        <v>525.37</v>
      </c>
      <c r="H3689">
        <v>849</v>
      </c>
      <c r="I3689" s="8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5">
        <v>46050</v>
      </c>
      <c r="G3690" s="10">
        <v>4056.35</v>
      </c>
      <c r="H3690" s="10">
        <v>5980</v>
      </c>
      <c r="I3690" s="8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5">
        <v>46050</v>
      </c>
      <c r="G3691">
        <v>645.28</v>
      </c>
      <c r="H3691">
        <v>970</v>
      </c>
      <c r="I3691" s="8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5">
        <v>46050</v>
      </c>
      <c r="G3692" s="10">
        <v>1350.81</v>
      </c>
      <c r="H3692" s="10">
        <v>2155</v>
      </c>
      <c r="I3692" s="8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5">
        <v>46050</v>
      </c>
      <c r="G3693">
        <v>450.27</v>
      </c>
      <c r="H3693">
        <v>710</v>
      </c>
      <c r="I3693" s="8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5">
        <v>46050</v>
      </c>
      <c r="G3694" s="10">
        <v>2538.88</v>
      </c>
      <c r="H3694" s="10">
        <v>3850</v>
      </c>
      <c r="I3694" s="8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5">
        <v>46050</v>
      </c>
      <c r="G3695" s="10">
        <v>1051.78</v>
      </c>
      <c r="H3695" s="10">
        <v>1550</v>
      </c>
      <c r="I3695" s="8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5">
        <v>46050</v>
      </c>
      <c r="G3696" s="10">
        <v>18611.2</v>
      </c>
      <c r="H3696" s="10">
        <v>24700</v>
      </c>
      <c r="I3696" s="8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5">
        <v>46049</v>
      </c>
      <c r="G3697" s="10">
        <v>1058.92</v>
      </c>
      <c r="H3697" s="10">
        <v>1550</v>
      </c>
      <c r="I3697" s="8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5">
        <v>46049</v>
      </c>
      <c r="G3698" s="10">
        <v>1083</v>
      </c>
      <c r="H3698" s="10">
        <v>1560</v>
      </c>
      <c r="I3698" s="8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5">
        <v>46049</v>
      </c>
      <c r="G3699" s="10">
        <v>1583.47</v>
      </c>
      <c r="H3699" s="10">
        <v>2265</v>
      </c>
      <c r="I3699" s="8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5">
        <v>46049</v>
      </c>
      <c r="G3700">
        <v>120.1</v>
      </c>
      <c r="H3700">
        <v>300</v>
      </c>
      <c r="I3700" s="8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5">
        <v>46049</v>
      </c>
      <c r="G3701">
        <v>900.54</v>
      </c>
      <c r="H3701" s="10">
        <v>1290</v>
      </c>
      <c r="I3701" s="8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5">
        <v>46049</v>
      </c>
      <c r="G3702">
        <v>20</v>
      </c>
      <c r="H3702">
        <v>40</v>
      </c>
      <c r="I3702" s="8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5">
        <v>46049</v>
      </c>
      <c r="G3703">
        <v>56.28</v>
      </c>
      <c r="H3703">
        <v>150</v>
      </c>
      <c r="I3703" s="8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5">
        <v>46049</v>
      </c>
      <c r="G3704">
        <v>900.54</v>
      </c>
      <c r="H3704" s="10">
        <v>1230</v>
      </c>
      <c r="I3704" s="8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5">
        <v>46049</v>
      </c>
      <c r="G3705">
        <v>210.07</v>
      </c>
      <c r="H3705">
        <v>500</v>
      </c>
      <c r="I3705" s="8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5">
        <v>46049</v>
      </c>
      <c r="G3706">
        <v>41.75</v>
      </c>
      <c r="H3706">
        <v>75</v>
      </c>
      <c r="I3706" s="8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5">
        <v>46049</v>
      </c>
      <c r="G3707">
        <v>946.14</v>
      </c>
      <c r="H3707" s="10">
        <v>1220</v>
      </c>
      <c r="I3707" s="8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5">
        <v>46049</v>
      </c>
      <c r="G3708" s="10">
        <v>1163.2</v>
      </c>
      <c r="H3708" s="10">
        <v>2650</v>
      </c>
      <c r="I3708" s="8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5">
        <v>46049</v>
      </c>
      <c r="G3709">
        <v>457.78</v>
      </c>
      <c r="H3709">
        <v>700</v>
      </c>
      <c r="I3709" s="8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5">
        <v>46049</v>
      </c>
      <c r="G3710" s="10">
        <v>2574.0500000000002</v>
      </c>
      <c r="H3710" s="10">
        <v>3595</v>
      </c>
      <c r="I3710" s="8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5">
        <v>46049</v>
      </c>
      <c r="G3711">
        <v>450.27</v>
      </c>
      <c r="H3711">
        <v>700</v>
      </c>
      <c r="I3711" s="8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5">
        <v>46049</v>
      </c>
      <c r="G3712" s="10">
        <v>4502.7</v>
      </c>
      <c r="H3712" s="10">
        <v>6650</v>
      </c>
      <c r="I3712" s="8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5">
        <v>46049</v>
      </c>
      <c r="G3713">
        <v>450.27</v>
      </c>
      <c r="H3713">
        <v>625</v>
      </c>
      <c r="I3713" s="8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5">
        <v>46049</v>
      </c>
      <c r="G3714" s="10">
        <v>1613.47</v>
      </c>
      <c r="H3714" s="10">
        <v>2400</v>
      </c>
      <c r="I3714" s="8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5">
        <v>46049</v>
      </c>
      <c r="G3715" s="10">
        <v>1706.51</v>
      </c>
      <c r="H3715" s="10">
        <v>2815</v>
      </c>
      <c r="I3715" s="8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5">
        <v>46049</v>
      </c>
      <c r="G3716">
        <v>67.12</v>
      </c>
      <c r="H3716">
        <v>150</v>
      </c>
      <c r="I3716" s="8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5">
        <v>46049</v>
      </c>
      <c r="G3717" s="10">
        <v>1163.2</v>
      </c>
      <c r="H3717" s="10">
        <v>1740</v>
      </c>
      <c r="I3717" s="8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5">
        <v>46049</v>
      </c>
      <c r="G3718">
        <v>856.3</v>
      </c>
      <c r="H3718" s="10">
        <v>1255</v>
      </c>
      <c r="I3718" s="8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5">
        <v>46049</v>
      </c>
      <c r="G3719" s="10">
        <v>1148.19</v>
      </c>
      <c r="H3719" s="10">
        <v>1650</v>
      </c>
      <c r="I3719" s="8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5">
        <v>46048</v>
      </c>
      <c r="G3720">
        <v>900.54</v>
      </c>
      <c r="H3720" s="10">
        <v>1270</v>
      </c>
      <c r="I3720" s="8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5">
        <v>46048</v>
      </c>
      <c r="G3721">
        <v>562.79999999999995</v>
      </c>
      <c r="H3721" s="10">
        <v>1500</v>
      </c>
      <c r="I3721" s="8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5">
        <v>46048</v>
      </c>
      <c r="G3722">
        <v>56.28</v>
      </c>
      <c r="H3722">
        <v>149</v>
      </c>
      <c r="I3722" s="8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5">
        <v>46048</v>
      </c>
      <c r="G3723">
        <v>33.56</v>
      </c>
      <c r="H3723">
        <v>85</v>
      </c>
      <c r="I3723" s="8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5">
        <v>46048</v>
      </c>
      <c r="G3724" s="10">
        <v>6648.36</v>
      </c>
      <c r="H3724" s="10">
        <v>12400</v>
      </c>
      <c r="I3724" s="8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5">
        <v>46048</v>
      </c>
      <c r="G3725">
        <v>56.28</v>
      </c>
      <c r="H3725">
        <v>180</v>
      </c>
      <c r="I3725" s="8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5">
        <v>46048</v>
      </c>
      <c r="G3726">
        <v>524.5</v>
      </c>
      <c r="H3726">
        <v>852</v>
      </c>
      <c r="I3726" s="8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5">
        <v>46048</v>
      </c>
      <c r="G3727">
        <v>73.14</v>
      </c>
      <c r="H3727">
        <v>90</v>
      </c>
      <c r="I3727" s="8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5">
        <v>46048</v>
      </c>
      <c r="G3728">
        <v>933.54</v>
      </c>
      <c r="H3728" s="10">
        <v>1450</v>
      </c>
      <c r="I3728" s="8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5">
        <v>46048</v>
      </c>
      <c r="G3729">
        <v>60.08</v>
      </c>
      <c r="H3729">
        <v>224</v>
      </c>
      <c r="I3729" s="8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5">
        <v>46048</v>
      </c>
      <c r="G3730">
        <v>5</v>
      </c>
      <c r="H3730">
        <v>8</v>
      </c>
      <c r="I3730" s="8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5">
        <v>46048</v>
      </c>
      <c r="G3731">
        <v>722</v>
      </c>
      <c r="H3731" s="10">
        <v>1230</v>
      </c>
      <c r="I3731" s="8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5">
        <v>46048</v>
      </c>
      <c r="G3732">
        <v>90.06</v>
      </c>
      <c r="H3732">
        <v>160</v>
      </c>
      <c r="I3732" s="8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5">
        <v>46048</v>
      </c>
      <c r="G3733">
        <v>406.06</v>
      </c>
      <c r="H3733">
        <v>790</v>
      </c>
      <c r="I3733" s="8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5">
        <v>46046</v>
      </c>
      <c r="G3734">
        <v>282.60000000000002</v>
      </c>
      <c r="H3734">
        <v>860</v>
      </c>
      <c r="I3734" s="8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5">
        <v>46045</v>
      </c>
      <c r="G3735">
        <v>0</v>
      </c>
      <c r="H3735">
        <v>45</v>
      </c>
      <c r="I3735" s="8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5">
        <v>46045</v>
      </c>
      <c r="G3736" s="10">
        <v>9600</v>
      </c>
      <c r="H3736" s="10">
        <v>13000</v>
      </c>
      <c r="I3736" s="8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5">
        <v>46045</v>
      </c>
      <c r="G3737" s="10">
        <v>1444</v>
      </c>
      <c r="H3737" s="10">
        <v>2460</v>
      </c>
      <c r="I3737" s="8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5">
        <v>46045</v>
      </c>
      <c r="G3738">
        <v>900.54</v>
      </c>
      <c r="H3738" s="10">
        <v>1440</v>
      </c>
      <c r="I3738" s="8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5">
        <v>46045</v>
      </c>
      <c r="G3739">
        <v>361</v>
      </c>
      <c r="H3739">
        <v>615</v>
      </c>
      <c r="I3739" s="8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5">
        <v>46045</v>
      </c>
      <c r="G3740">
        <v>808</v>
      </c>
      <c r="H3740" s="10">
        <v>1340</v>
      </c>
      <c r="I3740" s="8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5">
        <v>46045</v>
      </c>
      <c r="G3741">
        <v>300.18</v>
      </c>
      <c r="H3741">
        <v>600</v>
      </c>
      <c r="I3741" s="8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5">
        <v>46045</v>
      </c>
      <c r="G3742">
        <v>975.59</v>
      </c>
      <c r="H3742" s="10">
        <v>2350</v>
      </c>
      <c r="I3742" s="8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5">
        <v>46045</v>
      </c>
      <c r="G3743" s="10">
        <v>12443.74</v>
      </c>
      <c r="H3743" s="10">
        <v>20620</v>
      </c>
      <c r="I3743" s="8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5">
        <v>46045</v>
      </c>
      <c r="G3744" s="10">
        <v>52296.26</v>
      </c>
      <c r="H3744" s="10">
        <v>72000</v>
      </c>
      <c r="I3744" s="8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5">
        <v>46045</v>
      </c>
      <c r="G3745">
        <v>450.27</v>
      </c>
      <c r="H3745">
        <v>645</v>
      </c>
      <c r="I3745" s="8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5">
        <v>46045</v>
      </c>
      <c r="G3746">
        <v>555.34</v>
      </c>
      <c r="H3746">
        <v>880</v>
      </c>
      <c r="I3746" s="8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5">
        <v>46044</v>
      </c>
      <c r="G3747">
        <v>722</v>
      </c>
      <c r="H3747" s="10">
        <v>1230</v>
      </c>
      <c r="I3747" s="8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5">
        <v>46044</v>
      </c>
      <c r="G3748">
        <v>472.79</v>
      </c>
      <c r="H3748">
        <v>750</v>
      </c>
      <c r="I3748" s="8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5">
        <v>46044</v>
      </c>
      <c r="G3749">
        <v>900.54</v>
      </c>
      <c r="H3749" s="10">
        <v>1305</v>
      </c>
      <c r="I3749" s="8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5">
        <v>46044</v>
      </c>
      <c r="G3750">
        <v>555.34</v>
      </c>
      <c r="H3750">
        <v>950</v>
      </c>
      <c r="I3750" s="8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5">
        <v>46044</v>
      </c>
      <c r="G3751" s="10">
        <v>1419.92</v>
      </c>
      <c r="H3751" s="10">
        <v>2390</v>
      </c>
      <c r="I3751" s="8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5">
        <v>46044</v>
      </c>
      <c r="G3752">
        <v>556.30999999999995</v>
      </c>
      <c r="H3752">
        <v>960</v>
      </c>
      <c r="I3752" s="8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5">
        <v>46044</v>
      </c>
      <c r="G3753">
        <v>90.06</v>
      </c>
      <c r="H3753">
        <v>160</v>
      </c>
      <c r="I3753" s="8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5">
        <v>46044</v>
      </c>
      <c r="G3754">
        <v>769.21</v>
      </c>
      <c r="H3754" s="10">
        <v>1150</v>
      </c>
      <c r="I3754" s="8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5">
        <v>46044</v>
      </c>
      <c r="G3755" s="10">
        <v>5270.52</v>
      </c>
      <c r="H3755" s="10">
        <v>8010</v>
      </c>
      <c r="I3755" s="8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5">
        <v>46044</v>
      </c>
      <c r="G3756">
        <v>22.53</v>
      </c>
      <c r="H3756">
        <v>75</v>
      </c>
      <c r="I3756" s="8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5">
        <v>46044</v>
      </c>
      <c r="G3757">
        <v>337.38</v>
      </c>
      <c r="H3757">
        <v>546</v>
      </c>
      <c r="I3757" s="8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5">
        <v>46044</v>
      </c>
      <c r="G3758">
        <v>300.18</v>
      </c>
      <c r="H3758">
        <v>550</v>
      </c>
      <c r="I3758" s="8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5">
        <v>46044</v>
      </c>
      <c r="G3759">
        <v>495.3</v>
      </c>
      <c r="H3759">
        <v>660</v>
      </c>
      <c r="I3759" s="8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5">
        <v>46044</v>
      </c>
      <c r="G3760">
        <v>37.549999999999997</v>
      </c>
      <c r="H3760">
        <v>150</v>
      </c>
      <c r="I3760" s="8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5">
        <v>46044</v>
      </c>
      <c r="G3761" s="10">
        <v>2141.92</v>
      </c>
      <c r="H3761" s="10">
        <v>3410</v>
      </c>
      <c r="I3761" s="8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5">
        <v>46044</v>
      </c>
      <c r="G3762">
        <v>45.6</v>
      </c>
      <c r="H3762">
        <v>115</v>
      </c>
      <c r="I3762" s="8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5">
        <v>46044</v>
      </c>
      <c r="G3763">
        <v>300.18</v>
      </c>
      <c r="H3763">
        <v>550</v>
      </c>
      <c r="I3763" s="8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5">
        <v>46044</v>
      </c>
      <c r="G3764">
        <v>250</v>
      </c>
      <c r="H3764">
        <v>300</v>
      </c>
      <c r="I3764" s="8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5">
        <v>46044</v>
      </c>
      <c r="G3765" s="10">
        <v>1583.47</v>
      </c>
      <c r="H3765" s="10">
        <v>2265</v>
      </c>
      <c r="I3765" s="8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5">
        <v>46043</v>
      </c>
      <c r="G3766">
        <v>472.79</v>
      </c>
      <c r="H3766">
        <v>685</v>
      </c>
      <c r="I3766" s="8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5">
        <v>46044</v>
      </c>
      <c r="G3767">
        <v>539.5</v>
      </c>
      <c r="H3767">
        <v>928</v>
      </c>
      <c r="I3767" s="8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5">
        <v>46043</v>
      </c>
      <c r="G3768">
        <v>15.34</v>
      </c>
      <c r="H3768">
        <v>20</v>
      </c>
      <c r="I3768" s="8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5">
        <v>46043</v>
      </c>
      <c r="G3769">
        <v>495.3</v>
      </c>
      <c r="H3769">
        <v>810</v>
      </c>
      <c r="I3769" s="8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5">
        <v>46043</v>
      </c>
      <c r="G3770" s="10">
        <v>1267.68</v>
      </c>
      <c r="H3770" s="10">
        <v>1920</v>
      </c>
      <c r="I3770" s="8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5">
        <v>46042</v>
      </c>
      <c r="G3771">
        <v>300.18</v>
      </c>
      <c r="H3771">
        <v>550</v>
      </c>
      <c r="I3771" s="8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5">
        <v>46043</v>
      </c>
      <c r="G3772" s="10">
        <v>1861.12</v>
      </c>
      <c r="H3772" s="10">
        <v>2525</v>
      </c>
      <c r="I3772" s="8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5">
        <v>46043</v>
      </c>
      <c r="G3773">
        <v>375.5</v>
      </c>
      <c r="H3773">
        <v>750</v>
      </c>
      <c r="I3773" s="8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5">
        <v>46043</v>
      </c>
      <c r="G3774">
        <v>300.18</v>
      </c>
      <c r="H3774">
        <v>550</v>
      </c>
      <c r="I3774" s="8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5">
        <v>46043</v>
      </c>
      <c r="G3775">
        <v>928.65</v>
      </c>
      <c r="H3775" s="10">
        <v>1450</v>
      </c>
      <c r="I3775" s="8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5">
        <v>46043</v>
      </c>
      <c r="G3776">
        <v>575.5</v>
      </c>
      <c r="H3776">
        <v>400</v>
      </c>
      <c r="I3776" s="8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5">
        <v>46043</v>
      </c>
      <c r="G3777">
        <v>48</v>
      </c>
      <c r="H3777">
        <v>50</v>
      </c>
      <c r="I3777" s="8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5">
        <v>46043</v>
      </c>
      <c r="G3778">
        <v>30.49</v>
      </c>
      <c r="H3778">
        <v>45</v>
      </c>
      <c r="I3778" s="8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5">
        <v>46043</v>
      </c>
      <c r="G3779">
        <v>180</v>
      </c>
      <c r="H3779">
        <v>400</v>
      </c>
      <c r="I3779" s="8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5">
        <v>46043</v>
      </c>
      <c r="G3780" s="10">
        <v>1163.2</v>
      </c>
      <c r="H3780" s="10">
        <v>1650</v>
      </c>
      <c r="I3780" s="8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5">
        <v>46043</v>
      </c>
      <c r="G3781" s="10">
        <v>2884.08</v>
      </c>
      <c r="H3781" s="10">
        <v>4250</v>
      </c>
      <c r="I3781" s="8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5">
        <v>46043</v>
      </c>
      <c r="G3782">
        <v>450.27</v>
      </c>
      <c r="H3782">
        <v>0</v>
      </c>
      <c r="I3782" s="8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5">
        <v>46043</v>
      </c>
      <c r="G3783">
        <v>722</v>
      </c>
      <c r="H3783" s="10">
        <v>1230</v>
      </c>
      <c r="I3783" s="8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5">
        <v>46043</v>
      </c>
      <c r="G3784" s="10">
        <v>9073</v>
      </c>
      <c r="H3784" s="10">
        <v>15125</v>
      </c>
      <c r="I3784" s="8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5">
        <v>46043</v>
      </c>
      <c r="G3785" s="10">
        <v>14703.67</v>
      </c>
      <c r="H3785" s="10">
        <v>19910</v>
      </c>
      <c r="I3785" s="8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5">
        <v>46043</v>
      </c>
      <c r="G3786">
        <v>472.79</v>
      </c>
      <c r="H3786">
        <v>750</v>
      </c>
      <c r="I3786" s="8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5">
        <v>46043</v>
      </c>
      <c r="G3787" s="10">
        <v>8788.1200000000008</v>
      </c>
      <c r="H3787" s="10">
        <v>13325</v>
      </c>
      <c r="I3787" s="8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5">
        <v>46042</v>
      </c>
      <c r="G3788">
        <v>712.93</v>
      </c>
      <c r="H3788" s="10">
        <v>1000</v>
      </c>
      <c r="I3788" s="8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5">
        <v>46042</v>
      </c>
      <c r="G3789">
        <v>59.28</v>
      </c>
      <c r="H3789">
        <v>165</v>
      </c>
      <c r="I3789" s="8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5">
        <v>46042</v>
      </c>
      <c r="G3790">
        <v>150</v>
      </c>
      <c r="H3790">
        <v>180</v>
      </c>
      <c r="I3790" s="8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5">
        <v>46042</v>
      </c>
      <c r="G3791" s="10">
        <v>9600</v>
      </c>
      <c r="H3791" s="10">
        <v>13000</v>
      </c>
      <c r="I3791" s="8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5">
        <v>46042</v>
      </c>
      <c r="G3792">
        <v>300.18</v>
      </c>
      <c r="H3792">
        <v>600</v>
      </c>
      <c r="I3792" s="8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5">
        <v>46042</v>
      </c>
      <c r="G3793">
        <v>722</v>
      </c>
      <c r="H3793" s="10">
        <v>1230</v>
      </c>
      <c r="I3793" s="8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5">
        <v>46042</v>
      </c>
      <c r="G3794">
        <v>7.5</v>
      </c>
      <c r="H3794">
        <v>20</v>
      </c>
      <c r="I3794" s="8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5">
        <v>46042</v>
      </c>
      <c r="G3795">
        <v>0</v>
      </c>
      <c r="H3795">
        <v>45</v>
      </c>
      <c r="I3795" s="8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5">
        <v>46042</v>
      </c>
      <c r="G3796">
        <v>553.79999999999995</v>
      </c>
      <c r="H3796" s="10">
        <v>1150</v>
      </c>
      <c r="I3796" s="8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5">
        <v>46042</v>
      </c>
      <c r="G3797">
        <v>45.6</v>
      </c>
      <c r="H3797">
        <v>70</v>
      </c>
      <c r="I3797" s="8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5">
        <v>46042</v>
      </c>
      <c r="G3798" s="10">
        <v>1350.81</v>
      </c>
      <c r="H3798" s="10">
        <v>1965</v>
      </c>
      <c r="I3798" s="8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5">
        <v>46042</v>
      </c>
      <c r="G3799">
        <v>13.69</v>
      </c>
      <c r="H3799">
        <v>120</v>
      </c>
      <c r="I3799" s="8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5">
        <v>46042</v>
      </c>
      <c r="G3800" s="10">
        <v>1996.16</v>
      </c>
      <c r="H3800" s="10">
        <v>2820</v>
      </c>
      <c r="I3800" s="8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5">
        <v>46042</v>
      </c>
      <c r="G3801">
        <v>165</v>
      </c>
      <c r="H3801">
        <v>750</v>
      </c>
      <c r="I3801" s="8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5">
        <v>46042</v>
      </c>
      <c r="G3802">
        <v>960.58</v>
      </c>
      <c r="H3802" s="10">
        <v>1415</v>
      </c>
      <c r="I3802" s="8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5">
        <v>46042</v>
      </c>
      <c r="G3803">
        <v>450.27</v>
      </c>
      <c r="H3803">
        <v>655</v>
      </c>
      <c r="I3803" s="8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5">
        <v>46042</v>
      </c>
      <c r="G3804">
        <v>123</v>
      </c>
      <c r="H3804">
        <v>300</v>
      </c>
      <c r="I3804" s="8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5">
        <v>46042</v>
      </c>
      <c r="G3805" s="10">
        <v>4201.3900000000003</v>
      </c>
      <c r="H3805" s="10">
        <v>6670</v>
      </c>
      <c r="I3805" s="8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5">
        <v>46042</v>
      </c>
      <c r="G3806" s="10">
        <v>11339.38</v>
      </c>
      <c r="H3806" s="10">
        <v>16900</v>
      </c>
      <c r="I3806" s="8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5">
        <v>46041</v>
      </c>
      <c r="G3807">
        <v>45.6</v>
      </c>
      <c r="H3807">
        <v>70</v>
      </c>
      <c r="I3807" s="8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5">
        <v>46041</v>
      </c>
      <c r="G3808">
        <v>697.92</v>
      </c>
      <c r="H3808">
        <v>975</v>
      </c>
      <c r="I3808" s="8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5">
        <v>46041</v>
      </c>
      <c r="G3809">
        <v>56.28</v>
      </c>
      <c r="H3809">
        <v>150</v>
      </c>
      <c r="I3809" s="8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5">
        <v>46041</v>
      </c>
      <c r="G3810">
        <v>990.6</v>
      </c>
      <c r="H3810" s="10">
        <v>1470</v>
      </c>
      <c r="I3810" s="8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5">
        <v>46041</v>
      </c>
      <c r="G3811" s="10">
        <v>1000</v>
      </c>
      <c r="H3811" s="10">
        <v>1400</v>
      </c>
      <c r="I3811" s="8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5">
        <v>46041</v>
      </c>
      <c r="G3812">
        <v>450.27</v>
      </c>
      <c r="H3812">
        <v>700</v>
      </c>
      <c r="I3812" s="8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5">
        <v>46041</v>
      </c>
      <c r="G3813">
        <v>86.77</v>
      </c>
      <c r="H3813">
        <v>165</v>
      </c>
      <c r="I3813" s="8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5">
        <v>46041</v>
      </c>
      <c r="G3814">
        <v>722</v>
      </c>
      <c r="H3814" s="10">
        <v>1230</v>
      </c>
      <c r="I3814" s="8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5">
        <v>46041</v>
      </c>
      <c r="G3815">
        <v>132.06</v>
      </c>
      <c r="H3815">
        <v>200</v>
      </c>
      <c r="I3815" s="8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5">
        <v>46041</v>
      </c>
      <c r="G3816">
        <v>697.92</v>
      </c>
      <c r="H3816" s="10">
        <v>1000</v>
      </c>
      <c r="I3816" s="8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5">
        <v>46041</v>
      </c>
      <c r="G3817" s="10">
        <v>2999.79</v>
      </c>
      <c r="H3817" s="10">
        <v>5055</v>
      </c>
      <c r="I3817" s="8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5">
        <v>46041</v>
      </c>
      <c r="G3818">
        <v>751</v>
      </c>
      <c r="H3818" s="10">
        <v>1500</v>
      </c>
      <c r="I3818" s="8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5">
        <v>46041</v>
      </c>
      <c r="G3819" s="10">
        <v>6420.3</v>
      </c>
      <c r="H3819" s="10">
        <v>9275</v>
      </c>
      <c r="I3819" s="8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5">
        <v>46041</v>
      </c>
      <c r="G3820" s="10">
        <v>1223.26</v>
      </c>
      <c r="H3820" s="10">
        <v>1920</v>
      </c>
      <c r="I3820" s="8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5">
        <v>46041</v>
      </c>
      <c r="G3821">
        <v>562.79999999999995</v>
      </c>
      <c r="H3821" s="10">
        <v>1170</v>
      </c>
      <c r="I3821" s="8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5">
        <v>46041</v>
      </c>
      <c r="G3822">
        <v>833.79</v>
      </c>
      <c r="H3822" s="10">
        <v>1205</v>
      </c>
      <c r="I3822" s="8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5">
        <v>46041</v>
      </c>
      <c r="G3823">
        <v>361</v>
      </c>
      <c r="H3823">
        <v>615</v>
      </c>
      <c r="I3823" s="8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5">
        <v>46041</v>
      </c>
      <c r="G3824" s="10">
        <v>7220</v>
      </c>
      <c r="H3824" s="10">
        <v>11000</v>
      </c>
      <c r="I3824" s="8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5">
        <v>46041</v>
      </c>
      <c r="G3825" s="10">
        <v>1350.81</v>
      </c>
      <c r="H3825" s="10">
        <v>1965</v>
      </c>
      <c r="I3825" s="8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5">
        <v>46041</v>
      </c>
      <c r="G3826">
        <v>250</v>
      </c>
      <c r="H3826">
        <v>300</v>
      </c>
      <c r="I3826" s="8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5">
        <v>46041</v>
      </c>
      <c r="G3827" s="10">
        <v>10830</v>
      </c>
      <c r="H3827" s="10">
        <v>17100</v>
      </c>
      <c r="I3827" s="8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5">
        <v>46052</v>
      </c>
      <c r="G3828">
        <v>0</v>
      </c>
      <c r="H3828">
        <v>0</v>
      </c>
      <c r="I3828" s="8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5">
        <v>46038</v>
      </c>
      <c r="G3829" s="10">
        <v>2496.4899999999998</v>
      </c>
      <c r="H3829" s="10">
        <v>4125</v>
      </c>
      <c r="I3829" s="8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5">
        <v>46038</v>
      </c>
      <c r="G3830">
        <v>35</v>
      </c>
      <c r="H3830">
        <v>20</v>
      </c>
      <c r="I3830" s="8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5">
        <v>46038</v>
      </c>
      <c r="G3831">
        <v>33</v>
      </c>
      <c r="H3831">
        <v>120</v>
      </c>
      <c r="I3831" s="8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5">
        <v>46038</v>
      </c>
      <c r="G3832">
        <v>377.85</v>
      </c>
      <c r="H3832">
        <v>615</v>
      </c>
      <c r="I3832" s="8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5">
        <v>46038</v>
      </c>
      <c r="G3833">
        <v>697.92</v>
      </c>
      <c r="H3833">
        <v>950</v>
      </c>
      <c r="I3833" s="8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5">
        <v>46038</v>
      </c>
      <c r="G3834">
        <v>697.92</v>
      </c>
      <c r="H3834">
        <v>950</v>
      </c>
      <c r="I3834" s="8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5">
        <v>46038</v>
      </c>
      <c r="G3835">
        <v>45.06</v>
      </c>
      <c r="H3835">
        <v>150</v>
      </c>
      <c r="I3835" s="8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5">
        <v>46038</v>
      </c>
      <c r="G3836">
        <v>50</v>
      </c>
      <c r="H3836">
        <v>60</v>
      </c>
      <c r="I3836" s="8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5">
        <v>46038</v>
      </c>
      <c r="G3837">
        <v>850.64</v>
      </c>
      <c r="H3837" s="10">
        <v>1215</v>
      </c>
      <c r="I3837" s="8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5">
        <v>46038</v>
      </c>
      <c r="G3838">
        <v>75.099999999999994</v>
      </c>
      <c r="H3838">
        <v>250</v>
      </c>
      <c r="I3838" s="8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5">
        <v>46038</v>
      </c>
      <c r="G3839" s="10">
        <v>1228.49</v>
      </c>
      <c r="H3839" s="10">
        <v>1880</v>
      </c>
      <c r="I3839" s="8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5">
        <v>46038</v>
      </c>
      <c r="G3840" s="10">
        <v>4140.6000000000004</v>
      </c>
      <c r="H3840" s="10">
        <v>6350</v>
      </c>
      <c r="I3840" s="8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5">
        <v>46038</v>
      </c>
      <c r="G3841" s="10">
        <v>5543.64</v>
      </c>
      <c r="H3841" s="10">
        <v>9565</v>
      </c>
      <c r="I3841" s="8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5">
        <v>46038</v>
      </c>
      <c r="G3842" s="10">
        <v>4436.6000000000004</v>
      </c>
      <c r="H3842" s="10">
        <v>6200</v>
      </c>
      <c r="I3842" s="8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5">
        <v>46038</v>
      </c>
      <c r="G3843" s="10">
        <v>3489.6</v>
      </c>
      <c r="H3843" s="10">
        <v>4750</v>
      </c>
      <c r="I3843" s="8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5">
        <v>46038</v>
      </c>
      <c r="G3844">
        <v>33.56</v>
      </c>
      <c r="H3844">
        <v>85</v>
      </c>
      <c r="I3844" s="8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5">
        <v>46038</v>
      </c>
      <c r="G3845">
        <v>10</v>
      </c>
      <c r="H3845">
        <v>15</v>
      </c>
      <c r="I3845" s="8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5">
        <v>46038</v>
      </c>
      <c r="G3846">
        <v>751</v>
      </c>
      <c r="H3846" s="10">
        <v>1700</v>
      </c>
      <c r="I3846" s="8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5">
        <v>46038</v>
      </c>
      <c r="G3847">
        <v>945.57</v>
      </c>
      <c r="H3847" s="10">
        <v>1450</v>
      </c>
      <c r="I3847" s="8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5">
        <v>46038</v>
      </c>
      <c r="G3848">
        <v>483.83</v>
      </c>
      <c r="H3848">
        <v>710</v>
      </c>
      <c r="I3848" s="8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5">
        <v>46038</v>
      </c>
      <c r="G3849">
        <v>293.13</v>
      </c>
      <c r="H3849">
        <v>380</v>
      </c>
      <c r="I3849" s="8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5">
        <v>46038</v>
      </c>
      <c r="G3850">
        <v>918.52</v>
      </c>
      <c r="H3850" s="10">
        <v>1180</v>
      </c>
      <c r="I3850" s="8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5">
        <v>46038</v>
      </c>
      <c r="G3851" s="10">
        <v>1350.81</v>
      </c>
      <c r="H3851" s="10">
        <v>3800</v>
      </c>
      <c r="I3851" s="8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5">
        <v>46038</v>
      </c>
      <c r="G3852" s="10">
        <v>5129.8500000000004</v>
      </c>
      <c r="H3852" s="10">
        <v>8900</v>
      </c>
      <c r="I3852" s="8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5">
        <v>46038</v>
      </c>
      <c r="G3853">
        <v>769.39</v>
      </c>
      <c r="H3853" s="10">
        <v>1340</v>
      </c>
      <c r="I3853" s="8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5">
        <v>46038</v>
      </c>
      <c r="G3854">
        <v>90.06</v>
      </c>
      <c r="H3854">
        <v>215</v>
      </c>
      <c r="I3854" s="8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5">
        <v>46037</v>
      </c>
      <c r="G3855">
        <v>712.93</v>
      </c>
      <c r="H3855" s="10">
        <v>1100</v>
      </c>
      <c r="I3855" s="8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5">
        <v>46037</v>
      </c>
      <c r="G3856">
        <v>900.54</v>
      </c>
      <c r="H3856" s="10">
        <v>1300</v>
      </c>
      <c r="I3856" s="8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5">
        <v>46037</v>
      </c>
      <c r="G3857">
        <v>27.38</v>
      </c>
      <c r="H3857">
        <v>220</v>
      </c>
      <c r="I3857" s="8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5">
        <v>46037</v>
      </c>
      <c r="G3858">
        <v>126</v>
      </c>
      <c r="H3858">
        <v>165</v>
      </c>
      <c r="I3858" s="8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5">
        <v>46037</v>
      </c>
      <c r="G3859" s="10">
        <v>11819.61</v>
      </c>
      <c r="H3859" s="10">
        <v>16585</v>
      </c>
      <c r="I3859" s="8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5">
        <v>46037</v>
      </c>
      <c r="G3860" s="10">
        <v>10056.1</v>
      </c>
      <c r="H3860" s="10">
        <v>16500</v>
      </c>
      <c r="I3860" s="8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5">
        <v>46037</v>
      </c>
      <c r="G3861">
        <v>377.85</v>
      </c>
      <c r="H3861">
        <v>615</v>
      </c>
      <c r="I3861" s="8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5">
        <v>46037</v>
      </c>
      <c r="G3862">
        <v>900.54</v>
      </c>
      <c r="H3862" s="10">
        <v>1300</v>
      </c>
      <c r="I3862" s="8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5">
        <v>46037</v>
      </c>
      <c r="G3863">
        <v>12.2</v>
      </c>
      <c r="H3863">
        <v>16</v>
      </c>
      <c r="I3863" s="8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5">
        <v>46037</v>
      </c>
      <c r="G3864">
        <v>828.12</v>
      </c>
      <c r="H3864" s="10">
        <v>1290</v>
      </c>
      <c r="I3864" s="8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5">
        <v>46037</v>
      </c>
      <c r="G3865">
        <v>495.3</v>
      </c>
      <c r="H3865">
        <v>850</v>
      </c>
      <c r="I3865" s="8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5">
        <v>46037</v>
      </c>
      <c r="G3866" s="10">
        <v>1511.4</v>
      </c>
      <c r="H3866" s="10">
        <v>2460</v>
      </c>
      <c r="I3866" s="8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5">
        <v>46037</v>
      </c>
      <c r="G3867">
        <v>472.79</v>
      </c>
      <c r="H3867">
        <v>685</v>
      </c>
      <c r="I3867" s="8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5">
        <v>46037</v>
      </c>
      <c r="G3868">
        <v>139.41999999999999</v>
      </c>
      <c r="H3868">
        <v>255</v>
      </c>
      <c r="I3868" s="8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5">
        <v>46037</v>
      </c>
      <c r="G3869">
        <v>960.58</v>
      </c>
      <c r="H3869">
        <v>740</v>
      </c>
      <c r="I3869" s="8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5">
        <v>46037</v>
      </c>
      <c r="G3870">
        <v>487.81</v>
      </c>
      <c r="H3870">
        <v>670</v>
      </c>
      <c r="I3870" s="8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5">
        <v>46037</v>
      </c>
      <c r="G3871" s="10">
        <v>1395.84</v>
      </c>
      <c r="H3871" s="10">
        <v>2000</v>
      </c>
      <c r="I3871" s="8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5">
        <v>46037</v>
      </c>
      <c r="G3872">
        <v>50</v>
      </c>
      <c r="H3872">
        <v>60</v>
      </c>
      <c r="I3872" s="8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5">
        <v>46037</v>
      </c>
      <c r="G3873" s="10">
        <v>1025.54</v>
      </c>
      <c r="H3873" s="10">
        <v>1400</v>
      </c>
      <c r="I3873" s="8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5">
        <v>46037</v>
      </c>
      <c r="G3874">
        <v>323.14</v>
      </c>
      <c r="H3874">
        <v>390</v>
      </c>
      <c r="I3874" s="8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5">
        <v>46037</v>
      </c>
      <c r="G3875">
        <v>377.85</v>
      </c>
      <c r="H3875">
        <v>630</v>
      </c>
      <c r="I3875" s="8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5">
        <v>46037</v>
      </c>
      <c r="G3876" s="10">
        <v>1133.55</v>
      </c>
      <c r="H3876" s="10">
        <v>1845</v>
      </c>
      <c r="I3876" s="8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5">
        <v>46036</v>
      </c>
      <c r="G3877" s="10">
        <v>1638.72</v>
      </c>
      <c r="H3877" s="10">
        <v>2500</v>
      </c>
      <c r="I3877" s="8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5">
        <v>46036</v>
      </c>
      <c r="G3878">
        <v>723.64</v>
      </c>
      <c r="H3878" s="10">
        <v>1270</v>
      </c>
      <c r="I3878" s="8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5">
        <v>46036</v>
      </c>
      <c r="G3879">
        <v>510.31</v>
      </c>
      <c r="H3879">
        <v>750</v>
      </c>
      <c r="I3879" s="8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5">
        <v>46036</v>
      </c>
      <c r="G3880" s="10">
        <v>1148.19</v>
      </c>
      <c r="H3880" s="10">
        <v>1820</v>
      </c>
      <c r="I3880" s="8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5">
        <v>46036</v>
      </c>
      <c r="G3881">
        <v>150</v>
      </c>
      <c r="H3881">
        <v>180</v>
      </c>
      <c r="I3881" s="8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5">
        <v>46036</v>
      </c>
      <c r="G3882">
        <v>697.92</v>
      </c>
      <c r="H3882">
        <v>950</v>
      </c>
      <c r="I3882" s="8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5">
        <v>46036</v>
      </c>
      <c r="G3883" s="10">
        <v>1090.78</v>
      </c>
      <c r="H3883" s="10">
        <v>1615</v>
      </c>
      <c r="I3883" s="8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5">
        <v>46036</v>
      </c>
      <c r="G3884">
        <v>45.6</v>
      </c>
      <c r="H3884">
        <v>70</v>
      </c>
      <c r="I3884" s="8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5">
        <v>46036</v>
      </c>
      <c r="G3885">
        <v>112.56</v>
      </c>
      <c r="H3885">
        <v>360</v>
      </c>
      <c r="I3885" s="8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5">
        <v>46036</v>
      </c>
      <c r="G3886">
        <v>495.3</v>
      </c>
      <c r="H3886">
        <v>735</v>
      </c>
      <c r="I3886" s="8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5">
        <v>46036</v>
      </c>
      <c r="G3887">
        <v>555.34</v>
      </c>
      <c r="H3887">
        <v>900</v>
      </c>
      <c r="I3887" s="8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5">
        <v>46036</v>
      </c>
      <c r="G3888" s="10">
        <v>1020.62</v>
      </c>
      <c r="H3888" s="10">
        <v>1450</v>
      </c>
      <c r="I3888" s="8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5">
        <v>46036</v>
      </c>
      <c r="G3889">
        <v>377.85</v>
      </c>
      <c r="H3889">
        <v>529</v>
      </c>
      <c r="I3889" s="8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5">
        <v>46036</v>
      </c>
      <c r="G3890">
        <v>747.79</v>
      </c>
      <c r="H3890" s="10">
        <v>1077</v>
      </c>
      <c r="I3890" s="8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5">
        <v>46036</v>
      </c>
      <c r="G3891">
        <v>250</v>
      </c>
      <c r="H3891">
        <v>300</v>
      </c>
      <c r="I3891" s="8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5">
        <v>46036</v>
      </c>
      <c r="G3892">
        <v>712.93</v>
      </c>
      <c r="H3892" s="10">
        <v>1150</v>
      </c>
      <c r="I3892" s="8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5">
        <v>46036</v>
      </c>
      <c r="G3893">
        <v>0</v>
      </c>
      <c r="H3893">
        <v>90</v>
      </c>
      <c r="I3893" s="8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5">
        <v>46036</v>
      </c>
      <c r="G3894">
        <v>293.13</v>
      </c>
      <c r="H3894">
        <v>400</v>
      </c>
      <c r="I3894" s="8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5">
        <v>46036</v>
      </c>
      <c r="G3895" s="10">
        <v>8427.6200000000008</v>
      </c>
      <c r="H3895" s="10">
        <v>12500</v>
      </c>
      <c r="I3895" s="8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5">
        <v>46036</v>
      </c>
      <c r="G3896">
        <v>30.49</v>
      </c>
      <c r="H3896">
        <v>45</v>
      </c>
      <c r="I3896" s="8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5">
        <v>46035</v>
      </c>
      <c r="G3897">
        <v>377.85</v>
      </c>
      <c r="H3897">
        <v>615</v>
      </c>
      <c r="I3897" s="8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5">
        <v>46035</v>
      </c>
      <c r="G3898">
        <v>132</v>
      </c>
      <c r="H3898">
        <v>220</v>
      </c>
      <c r="I3898" s="8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5">
        <v>46035</v>
      </c>
      <c r="G3899">
        <v>487.8</v>
      </c>
      <c r="H3899">
        <v>850</v>
      </c>
      <c r="I3899" s="8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5">
        <v>46035</v>
      </c>
      <c r="G3900" s="10">
        <v>1511.4</v>
      </c>
      <c r="H3900" s="10">
        <v>2080</v>
      </c>
      <c r="I3900" s="8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5">
        <v>46035</v>
      </c>
      <c r="G3901" s="10">
        <v>2101.2800000000002</v>
      </c>
      <c r="H3901" s="10">
        <v>3050</v>
      </c>
      <c r="I3901" s="8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5">
        <v>46035</v>
      </c>
      <c r="G3902" s="10">
        <v>3778.5</v>
      </c>
      <c r="H3902" s="10">
        <v>4650</v>
      </c>
      <c r="I3902" s="8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5">
        <v>46035</v>
      </c>
      <c r="G3903" s="10">
        <v>1801.08</v>
      </c>
      <c r="H3903" s="10">
        <v>2880</v>
      </c>
      <c r="I3903" s="8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5">
        <v>46035</v>
      </c>
      <c r="G3904">
        <v>495.3</v>
      </c>
      <c r="H3904">
        <v>830</v>
      </c>
      <c r="I3904" s="8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5">
        <v>46035</v>
      </c>
      <c r="G3905">
        <v>75</v>
      </c>
      <c r="H3905">
        <v>90</v>
      </c>
      <c r="I3905" s="8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5">
        <v>46035</v>
      </c>
      <c r="G3906" s="10">
        <v>1470.94</v>
      </c>
      <c r="H3906" s="10">
        <v>2050</v>
      </c>
      <c r="I3906" s="8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5">
        <v>46035</v>
      </c>
      <c r="G3907" s="10">
        <v>9376.18</v>
      </c>
      <c r="H3907" s="10">
        <v>14750</v>
      </c>
      <c r="I3907" s="8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5">
        <v>46035</v>
      </c>
      <c r="G3908">
        <v>900.54</v>
      </c>
      <c r="H3908" s="10">
        <v>1310</v>
      </c>
      <c r="I3908" s="8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5">
        <v>46035</v>
      </c>
      <c r="G3909">
        <v>377.85</v>
      </c>
      <c r="H3909">
        <v>571.95000000000005</v>
      </c>
      <c r="I3909" s="8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5">
        <v>46034</v>
      </c>
      <c r="G3910">
        <v>377.85</v>
      </c>
      <c r="H3910">
        <v>645</v>
      </c>
      <c r="I3910" s="8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5">
        <v>46034</v>
      </c>
      <c r="G3911">
        <v>35</v>
      </c>
      <c r="H3911">
        <v>45</v>
      </c>
      <c r="I3911" s="8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5">
        <v>46034</v>
      </c>
      <c r="G3912">
        <v>751</v>
      </c>
      <c r="H3912" s="10">
        <v>1500</v>
      </c>
      <c r="I3912" s="8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5">
        <v>46034</v>
      </c>
      <c r="G3913">
        <v>828.84</v>
      </c>
      <c r="H3913" s="10">
        <v>1320</v>
      </c>
      <c r="I3913" s="8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5">
        <v>46034</v>
      </c>
      <c r="G3914" s="10">
        <v>1126.5</v>
      </c>
      <c r="H3914" s="10">
        <v>2250</v>
      </c>
      <c r="I3914" s="8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5">
        <v>46034</v>
      </c>
      <c r="G3915">
        <v>300.18</v>
      </c>
      <c r="H3915">
        <v>550</v>
      </c>
      <c r="I3915" s="8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5">
        <v>46034</v>
      </c>
      <c r="G3916">
        <v>75.099999999999994</v>
      </c>
      <c r="H3916">
        <v>350</v>
      </c>
      <c r="I3916" s="8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5">
        <v>46034</v>
      </c>
      <c r="G3917" s="10">
        <v>6619.06</v>
      </c>
      <c r="H3917" s="10">
        <v>9730</v>
      </c>
      <c r="I3917" s="8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5">
        <v>46034</v>
      </c>
      <c r="G3918" s="10">
        <v>6877.86</v>
      </c>
      <c r="H3918" s="10">
        <v>10095</v>
      </c>
      <c r="I3918" s="8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5">
        <v>46034</v>
      </c>
      <c r="G3919" s="10">
        <v>3804.89</v>
      </c>
      <c r="H3919" s="10">
        <v>5575</v>
      </c>
      <c r="I3919" s="8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5">
        <v>46034</v>
      </c>
      <c r="G3920">
        <v>697.92</v>
      </c>
      <c r="H3920" s="10">
        <v>1000</v>
      </c>
      <c r="I3920" s="8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5">
        <v>46034</v>
      </c>
      <c r="G3921">
        <v>105.1</v>
      </c>
      <c r="H3921">
        <v>345</v>
      </c>
      <c r="I3921" s="8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5">
        <v>46034</v>
      </c>
      <c r="G3922">
        <v>487.8</v>
      </c>
      <c r="H3922">
        <v>850</v>
      </c>
      <c r="I3922" s="8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5">
        <v>46034</v>
      </c>
      <c r="G3923">
        <v>30.49</v>
      </c>
      <c r="H3923">
        <v>45</v>
      </c>
      <c r="I3923" s="8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5">
        <v>46034</v>
      </c>
      <c r="G3924">
        <v>472.79</v>
      </c>
      <c r="H3924">
        <v>785</v>
      </c>
      <c r="I3924" s="8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5">
        <v>46034</v>
      </c>
      <c r="G3925">
        <v>755.7</v>
      </c>
      <c r="H3925" s="10">
        <v>1249</v>
      </c>
      <c r="I3925" s="8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5">
        <v>46034</v>
      </c>
      <c r="G3926" s="10">
        <v>6461.4</v>
      </c>
      <c r="H3926" s="10">
        <v>9300</v>
      </c>
      <c r="I3926" s="8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5">
        <v>46032</v>
      </c>
      <c r="G3927">
        <v>900.54</v>
      </c>
      <c r="H3927" s="10">
        <v>1170</v>
      </c>
      <c r="I3927" s="8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5">
        <v>46032</v>
      </c>
      <c r="G3928" s="10">
        <v>1936.17</v>
      </c>
      <c r="H3928" s="10">
        <v>2790</v>
      </c>
      <c r="I3928" s="8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5">
        <v>46031</v>
      </c>
      <c r="G3929" s="10">
        <v>14784</v>
      </c>
      <c r="H3929" s="10">
        <v>21350</v>
      </c>
      <c r="I3929" s="8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5">
        <v>46031</v>
      </c>
      <c r="G3930" s="10">
        <v>5788.98</v>
      </c>
      <c r="H3930" s="10">
        <v>8200</v>
      </c>
      <c r="I3930" s="8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5">
        <v>46031</v>
      </c>
      <c r="G3931">
        <v>180.12</v>
      </c>
      <c r="H3931">
        <v>330</v>
      </c>
      <c r="I3931" s="8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5">
        <v>46031</v>
      </c>
      <c r="G3932">
        <v>828.12</v>
      </c>
      <c r="H3932" s="10">
        <v>1247</v>
      </c>
      <c r="I3932" s="8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5">
        <v>46031</v>
      </c>
      <c r="G3933">
        <v>555.34</v>
      </c>
      <c r="H3933">
        <v>825</v>
      </c>
      <c r="I3933" s="8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5">
        <v>46031</v>
      </c>
      <c r="G3934">
        <v>148.24</v>
      </c>
      <c r="H3934">
        <v>390</v>
      </c>
      <c r="I3934" s="8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5">
        <v>46031</v>
      </c>
      <c r="G3935" s="10">
        <v>1148.19</v>
      </c>
      <c r="H3935" s="10">
        <v>1600</v>
      </c>
      <c r="I3935" s="8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5">
        <v>46031</v>
      </c>
      <c r="G3936" s="10">
        <v>9680.9</v>
      </c>
      <c r="H3936" s="10">
        <v>14965</v>
      </c>
      <c r="I3936" s="8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5">
        <v>46031</v>
      </c>
      <c r="G3937" s="10">
        <v>1420.78</v>
      </c>
      <c r="H3937" s="10">
        <v>2225</v>
      </c>
      <c r="I3937" s="8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5">
        <v>46030</v>
      </c>
      <c r="G3938">
        <v>450.27</v>
      </c>
      <c r="H3938">
        <v>505</v>
      </c>
      <c r="I3938" s="8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5">
        <v>46030</v>
      </c>
      <c r="G3939">
        <v>127.58</v>
      </c>
      <c r="H3939">
        <v>370</v>
      </c>
      <c r="I3939" s="8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5">
        <v>46030</v>
      </c>
      <c r="G3940" s="10">
        <v>4238.17</v>
      </c>
      <c r="H3940" s="10">
        <v>6680</v>
      </c>
      <c r="I3940" s="8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5">
        <v>46030</v>
      </c>
      <c r="G3941">
        <v>487.8</v>
      </c>
      <c r="H3941">
        <v>850</v>
      </c>
      <c r="I3941" s="8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5">
        <v>46030</v>
      </c>
      <c r="G3942" s="10">
        <v>1008.59</v>
      </c>
      <c r="H3942" s="10">
        <v>1700</v>
      </c>
      <c r="I3942" s="8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5">
        <v>46030</v>
      </c>
      <c r="G3943">
        <v>856.38</v>
      </c>
      <c r="H3943" s="10">
        <v>1389</v>
      </c>
      <c r="I3943" s="8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5">
        <v>46030</v>
      </c>
      <c r="G3944" s="10">
        <v>1200.73</v>
      </c>
      <c r="H3944" s="10">
        <v>1850</v>
      </c>
      <c r="I3944" s="8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5">
        <v>46030</v>
      </c>
      <c r="G3945" s="10">
        <v>1711.04</v>
      </c>
      <c r="H3945" s="10">
        <v>2620</v>
      </c>
      <c r="I3945" s="8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5">
        <v>46030</v>
      </c>
      <c r="G3946">
        <v>945.58</v>
      </c>
      <c r="H3946" s="10">
        <v>1500</v>
      </c>
      <c r="I3946" s="8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5">
        <v>46029</v>
      </c>
      <c r="G3947">
        <v>563.85</v>
      </c>
      <c r="H3947">
        <v>845</v>
      </c>
      <c r="I3947" s="8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5">
        <v>46029</v>
      </c>
      <c r="G3948" s="10">
        <v>1133.55</v>
      </c>
      <c r="H3948" s="10">
        <v>1715.85</v>
      </c>
      <c r="I3948" s="8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5">
        <v>46029</v>
      </c>
      <c r="G3949">
        <v>510.31</v>
      </c>
      <c r="H3949">
        <v>750</v>
      </c>
      <c r="I3949" s="8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5">
        <v>46029</v>
      </c>
      <c r="G3950">
        <v>555.34</v>
      </c>
      <c r="H3950">
        <v>790</v>
      </c>
      <c r="I3950" s="8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5">
        <v>46029</v>
      </c>
      <c r="G3951" s="10">
        <v>1110.68</v>
      </c>
      <c r="H3951" s="10">
        <v>1580</v>
      </c>
      <c r="I3951" s="8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5">
        <v>46029</v>
      </c>
      <c r="G3952">
        <v>0</v>
      </c>
      <c r="H3952">
        <v>350</v>
      </c>
      <c r="I3952" s="8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5">
        <v>46029</v>
      </c>
      <c r="G3953">
        <v>495.3</v>
      </c>
      <c r="H3953">
        <v>875</v>
      </c>
      <c r="I3953" s="8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5">
        <v>46029</v>
      </c>
      <c r="G3954" s="10">
        <v>7410.28</v>
      </c>
      <c r="H3954" s="10">
        <v>10770</v>
      </c>
      <c r="I3954" s="8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5">
        <v>46029</v>
      </c>
      <c r="G3955" s="10">
        <v>1470.94</v>
      </c>
      <c r="H3955" s="10">
        <v>2150</v>
      </c>
      <c r="I3955" s="8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5">
        <v>46029</v>
      </c>
      <c r="G3956">
        <v>377.85</v>
      </c>
      <c r="H3956">
        <v>575</v>
      </c>
      <c r="I3956" s="8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5">
        <v>46029</v>
      </c>
      <c r="G3957" s="10">
        <v>7030</v>
      </c>
      <c r="H3957" s="10">
        <v>10690</v>
      </c>
      <c r="I3957" s="8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5">
        <v>46029</v>
      </c>
      <c r="G3958">
        <v>586.26</v>
      </c>
      <c r="H3958">
        <v>900</v>
      </c>
      <c r="I3958" s="8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5">
        <v>46029</v>
      </c>
      <c r="G3959" s="10">
        <v>2103.12</v>
      </c>
      <c r="H3959" s="10">
        <v>2956</v>
      </c>
      <c r="I3959" s="8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5">
        <v>46029</v>
      </c>
      <c r="G3960" s="10">
        <v>1020.62</v>
      </c>
      <c r="H3960" s="10">
        <v>1500</v>
      </c>
      <c r="I3960" s="8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5">
        <v>46029</v>
      </c>
      <c r="G3961">
        <v>377.85</v>
      </c>
      <c r="H3961">
        <v>645</v>
      </c>
      <c r="I3961" s="8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5">
        <v>46029</v>
      </c>
      <c r="G3962">
        <v>555.34</v>
      </c>
      <c r="H3962">
        <v>870</v>
      </c>
      <c r="I3962" s="8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5">
        <v>46028</v>
      </c>
      <c r="G3963">
        <v>293.13</v>
      </c>
      <c r="H3963">
        <v>400</v>
      </c>
      <c r="I3963" s="8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5">
        <v>46028</v>
      </c>
      <c r="G3964" s="10">
        <v>1530.93</v>
      </c>
      <c r="H3964" s="10">
        <v>2400</v>
      </c>
      <c r="I3964" s="8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5">
        <v>46028</v>
      </c>
      <c r="G3965">
        <v>52.57</v>
      </c>
      <c r="H3965">
        <v>200</v>
      </c>
      <c r="I3965" s="8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5">
        <v>46028</v>
      </c>
      <c r="G3966">
        <v>300.18</v>
      </c>
      <c r="H3966">
        <v>580</v>
      </c>
      <c r="I3966" s="8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5">
        <v>46028</v>
      </c>
      <c r="G3967">
        <v>22.53</v>
      </c>
      <c r="H3967">
        <v>105</v>
      </c>
      <c r="I3967" s="8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5">
        <v>46028</v>
      </c>
      <c r="G3968">
        <v>751</v>
      </c>
      <c r="H3968" s="10">
        <v>1700</v>
      </c>
      <c r="I3968" s="8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5">
        <v>46028</v>
      </c>
      <c r="G3969">
        <v>40</v>
      </c>
      <c r="H3969">
        <v>80</v>
      </c>
      <c r="I3969" s="8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5">
        <v>46028</v>
      </c>
      <c r="G3970" s="10">
        <v>3182.47</v>
      </c>
      <c r="H3970" s="10">
        <v>5250</v>
      </c>
      <c r="I3970" s="8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5">
        <v>46028</v>
      </c>
      <c r="G3971">
        <v>7.51</v>
      </c>
      <c r="H3971">
        <v>35</v>
      </c>
      <c r="I3971" s="8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5">
        <v>46028</v>
      </c>
      <c r="G3972">
        <v>472.79</v>
      </c>
      <c r="H3972">
        <v>600</v>
      </c>
      <c r="I3972" s="8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5">
        <v>46028</v>
      </c>
      <c r="G3973">
        <v>146.12</v>
      </c>
      <c r="H3973">
        <v>475</v>
      </c>
      <c r="I3973" s="8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5">
        <v>46028</v>
      </c>
      <c r="G3974">
        <v>91.5</v>
      </c>
      <c r="H3974">
        <v>120</v>
      </c>
      <c r="I3974" s="8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5">
        <v>46028</v>
      </c>
      <c r="G3975">
        <v>450.27</v>
      </c>
      <c r="H3975">
        <v>700</v>
      </c>
      <c r="I3975" s="8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5">
        <v>46028</v>
      </c>
      <c r="G3976" s="10">
        <v>3953.13</v>
      </c>
      <c r="H3976" s="10">
        <v>6205</v>
      </c>
      <c r="I3976" s="8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5">
        <v>46028</v>
      </c>
      <c r="G3977">
        <v>56.28</v>
      </c>
      <c r="H3977">
        <v>180</v>
      </c>
      <c r="I3977" s="8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5">
        <v>46028</v>
      </c>
      <c r="G3978">
        <v>377.85</v>
      </c>
      <c r="H3978">
        <v>645</v>
      </c>
      <c r="I3978" s="8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5">
        <v>46028</v>
      </c>
      <c r="G3979">
        <v>510.31</v>
      </c>
      <c r="H3979">
        <v>750</v>
      </c>
      <c r="I3979" s="8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5">
        <v>46028</v>
      </c>
      <c r="G3980">
        <v>300.18</v>
      </c>
      <c r="H3980">
        <v>500</v>
      </c>
      <c r="I3980" s="8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5">
        <v>46028</v>
      </c>
      <c r="G3981">
        <v>835</v>
      </c>
      <c r="H3981" s="10">
        <v>1025</v>
      </c>
      <c r="I3981" s="8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5">
        <v>46028</v>
      </c>
      <c r="G3982">
        <v>300.18</v>
      </c>
      <c r="H3982">
        <v>550</v>
      </c>
      <c r="I3982" s="8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5">
        <v>46027</v>
      </c>
      <c r="G3983">
        <v>2</v>
      </c>
      <c r="H3983">
        <v>50</v>
      </c>
      <c r="I3983" s="8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5">
        <v>46027</v>
      </c>
      <c r="G3984">
        <v>888.16</v>
      </c>
      <c r="H3984" s="10">
        <v>1380</v>
      </c>
      <c r="I3984" s="8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5">
        <v>46027</v>
      </c>
      <c r="G3985">
        <v>450.27</v>
      </c>
      <c r="H3985">
        <v>685</v>
      </c>
      <c r="I3985" s="8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5">
        <v>46027</v>
      </c>
      <c r="G3986" s="10">
        <v>1350.81</v>
      </c>
      <c r="H3986" s="10">
        <v>1755</v>
      </c>
      <c r="I3986" s="8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5">
        <v>46027</v>
      </c>
      <c r="G3987">
        <v>73.14</v>
      </c>
      <c r="H3987">
        <v>90</v>
      </c>
      <c r="I3987" s="8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5">
        <v>46027</v>
      </c>
      <c r="G3988">
        <v>377.85</v>
      </c>
      <c r="H3988">
        <v>645</v>
      </c>
      <c r="I3988" s="8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5">
        <v>46027</v>
      </c>
      <c r="G3989">
        <v>697.92</v>
      </c>
      <c r="H3989" s="10">
        <v>1100</v>
      </c>
      <c r="I3989" s="8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5">
        <v>46027</v>
      </c>
      <c r="G3990">
        <v>125</v>
      </c>
      <c r="H3990">
        <v>150</v>
      </c>
      <c r="I3990" s="8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5">
        <v>46027</v>
      </c>
      <c r="G3991" s="10">
        <v>14419.23</v>
      </c>
      <c r="H3991" s="10">
        <v>21065</v>
      </c>
      <c r="I3991" s="8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5">
        <v>46027</v>
      </c>
      <c r="G3992">
        <v>510.31</v>
      </c>
      <c r="H3992">
        <v>760</v>
      </c>
      <c r="I3992" s="8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5">
        <v>46027</v>
      </c>
      <c r="G3993" s="10">
        <v>1434.81</v>
      </c>
      <c r="H3993" s="10">
        <v>2060</v>
      </c>
      <c r="I3993" s="8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5">
        <v>46027</v>
      </c>
      <c r="G3994" s="10">
        <v>1133.55</v>
      </c>
      <c r="H3994" s="10">
        <v>1715.85</v>
      </c>
      <c r="I3994" s="8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5">
        <v>46024</v>
      </c>
      <c r="G3995">
        <v>945.57</v>
      </c>
      <c r="H3995" s="10">
        <v>1300</v>
      </c>
      <c r="I3995" s="8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5">
        <v>46024</v>
      </c>
      <c r="G3996">
        <v>377.85</v>
      </c>
      <c r="H3996">
        <v>615</v>
      </c>
      <c r="I3996" s="8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5">
        <v>46027</v>
      </c>
      <c r="G3997" s="10">
        <v>1746.3</v>
      </c>
      <c r="H3997" s="10">
        <v>2960</v>
      </c>
      <c r="I3997" s="8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5">
        <v>46027</v>
      </c>
      <c r="G3998" s="10">
        <v>3001.84</v>
      </c>
      <c r="H3998" s="10">
        <v>4360</v>
      </c>
      <c r="I3998" s="8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7" t="str">
        <f>VLOOKUP(Tabela1[[#This Row],[Cliente]],'BASE DE CLIENTES'!A:E,2,0)</f>
        <v>Caldas Novas</v>
      </c>
      <c r="D3999" s="17" t="str">
        <f>VLOOKUP(Tabela1[[#This Row],[Cliente]],'BASE DE CLIENTES'!A:C,3,0)</f>
        <v>GO</v>
      </c>
      <c r="E3999" s="17" t="str">
        <f>CONCATENATE(Tabela1[[#This Row],[CIDADE]],",",Tabela1[[#This Row],[UF]])</f>
        <v>Caldas Novas,GO</v>
      </c>
      <c r="F3999" s="15">
        <v>46079</v>
      </c>
      <c r="G3999" s="5">
        <v>2095</v>
      </c>
      <c r="H3999" s="5">
        <v>3170</v>
      </c>
      <c r="I3999" s="8">
        <f>Tabela1[[#This Row],[Valor total]]-Tabela1[[#This Row],[Valor custo]]</f>
        <v>1075</v>
      </c>
      <c r="J3999" s="18">
        <f>Tabela1[[#This Row],[MARGEM BRUTA]]/Tabela1[[#This Row],[Valor total]]</f>
        <v>0.33911671924290221</v>
      </c>
      <c r="K3999" s="17" t="str">
        <f>VLOOKUP(Tabela1[[#This Row],[Cliente]],'BASE DE CLIENTES'!A:D,4,0)</f>
        <v>EMPRESA COM MAQUINA</v>
      </c>
      <c r="L3999" s="17" t="str">
        <f>VLOOKUP(Tabela1[[#This Row],[Cliente]],'BASE DE CLIENTES'!A:E,5,0)</f>
        <v>Caldas Novas</v>
      </c>
    </row>
    <row r="4000" spans="1:12" x14ac:dyDescent="0.3">
      <c r="B4000" t="s">
        <v>1136</v>
      </c>
      <c r="C4000" s="17" t="str">
        <f>VLOOKUP(Tabela1[[#This Row],[Cliente]],'BASE DE CLIENTES'!A:E,2,0)</f>
        <v>Brasília</v>
      </c>
      <c r="D4000" s="17" t="str">
        <f>VLOOKUP(Tabela1[[#This Row],[Cliente]],'BASE DE CLIENTES'!A:C,3,0)</f>
        <v>DF</v>
      </c>
      <c r="E4000" s="17" t="str">
        <f>CONCATENATE(Tabela1[[#This Row],[CIDADE]],",",Tabela1[[#This Row],[UF]])</f>
        <v>Brasília,DF</v>
      </c>
      <c r="F4000" s="15">
        <v>46081</v>
      </c>
      <c r="G4000" s="5">
        <v>382</v>
      </c>
      <c r="H4000" s="5">
        <v>599</v>
      </c>
      <c r="I4000" s="8">
        <f>Tabela1[[#This Row],[Valor total]]-Tabela1[[#This Row],[Valor custo]]</f>
        <v>217</v>
      </c>
      <c r="J4000" s="18">
        <f>Tabela1[[#This Row],[MARGEM BRUTA]]/Tabela1[[#This Row],[Valor total]]</f>
        <v>0.36227045075125208</v>
      </c>
      <c r="K4000" s="17" t="str">
        <f>VLOOKUP(Tabela1[[#This Row],[Cliente]],'BASE DE CLIENTES'!A:D,4,0)</f>
        <v>CLIENTE NOVO S/ IDENT.</v>
      </c>
      <c r="L4000" s="17" t="str">
        <f>VLOOKUP(Tabela1[[#This Row],[Cliente]],'BASE DE CLIENTES'!A:E,5,0)</f>
        <v>Ceilândia</v>
      </c>
    </row>
    <row r="4001" spans="2:12" x14ac:dyDescent="0.3">
      <c r="B4001" t="s">
        <v>68</v>
      </c>
      <c r="C4001" s="17" t="str">
        <f>VLOOKUP(Tabela1[[#This Row],[Cliente]],'BASE DE CLIENTES'!A:E,2,0)</f>
        <v>Brasília</v>
      </c>
      <c r="D4001" s="17" t="str">
        <f>VLOOKUP(Tabela1[[#This Row],[Cliente]],'BASE DE CLIENTES'!A:C,3,0)</f>
        <v>DF</v>
      </c>
      <c r="E4001" s="17" t="str">
        <f>CONCATENATE(Tabela1[[#This Row],[CIDADE]],",",Tabela1[[#This Row],[UF]])</f>
        <v>Brasília,DF</v>
      </c>
      <c r="F4001" s="15">
        <v>46080</v>
      </c>
      <c r="G4001" s="5">
        <v>290</v>
      </c>
      <c r="H4001" s="5">
        <v>500</v>
      </c>
      <c r="I4001" s="8">
        <f>Tabela1[[#This Row],[Valor total]]-Tabela1[[#This Row],[Valor custo]]</f>
        <v>210</v>
      </c>
      <c r="J4001" s="18">
        <f>Tabela1[[#This Row],[MARGEM BRUTA]]/Tabela1[[#This Row],[Valor total]]</f>
        <v>0.42</v>
      </c>
      <c r="K4001" s="17" t="str">
        <f>VLOOKUP(Tabela1[[#This Row],[Cliente]],'BASE DE CLIENTES'!A:D,4,0)</f>
        <v>EMPRESA COM MAQUINA</v>
      </c>
      <c r="L4001" s="17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7" t="str">
        <f>VLOOKUP(Tabela1[[#This Row],[Cliente]],'BASE DE CLIENTES'!A:E,2,0)</f>
        <v>Brasília</v>
      </c>
      <c r="D4002" s="17" t="str">
        <f>VLOOKUP(Tabela1[[#This Row],[Cliente]],'BASE DE CLIENTES'!A:C,3,0)</f>
        <v>DF</v>
      </c>
      <c r="E4002" s="17" t="str">
        <f>CONCATENATE(Tabela1[[#This Row],[CIDADE]],",",Tabela1[[#This Row],[UF]])</f>
        <v>Brasília,DF</v>
      </c>
      <c r="F4002" s="15">
        <v>46080</v>
      </c>
      <c r="G4002" s="5">
        <v>1322.02</v>
      </c>
      <c r="H4002" s="5">
        <v>2370</v>
      </c>
      <c r="I4002" s="8">
        <f>Tabela1[[#This Row],[Valor total]]-Tabela1[[#This Row],[Valor custo]]</f>
        <v>1047.98</v>
      </c>
      <c r="J4002" s="18">
        <f>Tabela1[[#This Row],[MARGEM BRUTA]]/Tabela1[[#This Row],[Valor total]]</f>
        <v>0.44218565400843884</v>
      </c>
      <c r="K4002" s="17" t="str">
        <f>VLOOKUP(Tabela1[[#This Row],[Cliente]],'BASE DE CLIENTES'!A:D,4,0)</f>
        <v>CLIENTE NOVO S/ IDENT.</v>
      </c>
      <c r="L4002" s="17" t="str">
        <f>VLOOKUP(Tabela1[[#This Row],[Cliente]],'BASE DE CLIENTES'!A:E,5,0)</f>
        <v>Brasília</v>
      </c>
    </row>
    <row r="4003" spans="2:12" x14ac:dyDescent="0.3">
      <c r="B4003" t="s">
        <v>27</v>
      </c>
      <c r="C4003" s="17" t="str">
        <f>VLOOKUP(Tabela1[[#This Row],[Cliente]],'BASE DE CLIENTES'!A:E,2,0)</f>
        <v>Brasília</v>
      </c>
      <c r="D4003" s="17" t="str">
        <f>VLOOKUP(Tabela1[[#This Row],[Cliente]],'BASE DE CLIENTES'!A:C,3,0)</f>
        <v>DF</v>
      </c>
      <c r="E4003" s="17" t="str">
        <f>CONCATENATE(Tabela1[[#This Row],[CIDADE]],",",Tabela1[[#This Row],[UF]])</f>
        <v>Brasília,DF</v>
      </c>
      <c r="F4003" s="15">
        <v>46080</v>
      </c>
      <c r="G4003" s="5">
        <v>27.38</v>
      </c>
      <c r="H4003" s="5">
        <v>220</v>
      </c>
      <c r="I4003" s="8">
        <f>Tabela1[[#This Row],[Valor total]]-Tabela1[[#This Row],[Valor custo]]</f>
        <v>192.62</v>
      </c>
      <c r="J4003" s="18">
        <f>Tabela1[[#This Row],[MARGEM BRUTA]]/Tabela1[[#This Row],[Valor total]]</f>
        <v>0.87554545454545452</v>
      </c>
      <c r="K4003" s="17" t="str">
        <f>VLOOKUP(Tabela1[[#This Row],[Cliente]],'BASE DE CLIENTES'!A:D,4,0)</f>
        <v>EMPRESA SEM MAQUINA</v>
      </c>
      <c r="L4003" s="17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7" t="str">
        <f>VLOOKUP(Tabela1[[#This Row],[Cliente]],'BASE DE CLIENTES'!A:E,2,0)</f>
        <v>Brasília</v>
      </c>
      <c r="D4004" s="17" t="str">
        <f>VLOOKUP(Tabela1[[#This Row],[Cliente]],'BASE DE CLIENTES'!A:C,3,0)</f>
        <v>DF</v>
      </c>
      <c r="E4004" s="17" t="str">
        <f>CONCATENATE(Tabela1[[#This Row],[CIDADE]],",",Tabela1[[#This Row],[UF]])</f>
        <v>Brasília,DF</v>
      </c>
      <c r="F4004" s="15">
        <v>46080</v>
      </c>
      <c r="G4004" s="5">
        <v>90.06</v>
      </c>
      <c r="H4004" s="5">
        <v>150</v>
      </c>
      <c r="I4004" s="8">
        <f>Tabela1[[#This Row],[Valor total]]-Tabela1[[#This Row],[Valor custo]]</f>
        <v>59.94</v>
      </c>
      <c r="J4004" s="18">
        <f>Tabela1[[#This Row],[MARGEM BRUTA]]/Tabela1[[#This Row],[Valor total]]</f>
        <v>0.39960000000000001</v>
      </c>
      <c r="K4004" s="17" t="str">
        <f>VLOOKUP(Tabela1[[#This Row],[Cliente]],'BASE DE CLIENTES'!A:D,4,0)</f>
        <v>EMPRESA COM MAQUINA</v>
      </c>
      <c r="L4004" s="17" t="str">
        <f>VLOOKUP(Tabela1[[#This Row],[Cliente]],'BASE DE CLIENTES'!A:E,5,0)</f>
        <v>RIACHO FUNDO II</v>
      </c>
    </row>
    <row r="4005" spans="2:12" x14ac:dyDescent="0.3">
      <c r="B4005" t="s">
        <v>96</v>
      </c>
      <c r="C4005" s="17" t="str">
        <f>VLOOKUP(Tabela1[[#This Row],[Cliente]],'BASE DE CLIENTES'!A:E,2,0)</f>
        <v>Brasília</v>
      </c>
      <c r="D4005" s="17" t="str">
        <f>VLOOKUP(Tabela1[[#This Row],[Cliente]],'BASE DE CLIENTES'!A:C,3,0)</f>
        <v>DF</v>
      </c>
      <c r="E4005" s="17" t="str">
        <f>CONCATENATE(Tabela1[[#This Row],[CIDADE]],",",Tabela1[[#This Row],[UF]])</f>
        <v>Brasília,DF</v>
      </c>
      <c r="F4005" s="15">
        <v>46080</v>
      </c>
      <c r="G4005" s="5">
        <v>419</v>
      </c>
      <c r="H4005" s="5">
        <v>600</v>
      </c>
      <c r="I4005" s="8">
        <f>Tabela1[[#This Row],[Valor total]]-Tabela1[[#This Row],[Valor custo]]</f>
        <v>181</v>
      </c>
      <c r="J4005" s="18">
        <f>Tabela1[[#This Row],[MARGEM BRUTA]]/Tabela1[[#This Row],[Valor total]]</f>
        <v>0.30166666666666669</v>
      </c>
      <c r="K4005" s="17" t="str">
        <f>VLOOKUP(Tabela1[[#This Row],[Cliente]],'BASE DE CLIENTES'!A:D,4,0)</f>
        <v>EMPRESA SEM MAQUINA</v>
      </c>
      <c r="L4005" s="17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7" t="str">
        <f>VLOOKUP(Tabela1[[#This Row],[Cliente]],'BASE DE CLIENTES'!A:E,2,0)</f>
        <v>Brasília</v>
      </c>
      <c r="D4006" s="17" t="str">
        <f>VLOOKUP(Tabela1[[#This Row],[Cliente]],'BASE DE CLIENTES'!A:C,3,0)</f>
        <v>DF</v>
      </c>
      <c r="E4006" s="17" t="str">
        <f>CONCATENATE(Tabela1[[#This Row],[CIDADE]],",",Tabela1[[#This Row],[UF]])</f>
        <v>Brasília,DF</v>
      </c>
      <c r="F4006" s="15">
        <v>46080</v>
      </c>
      <c r="G4006" s="5">
        <v>126</v>
      </c>
      <c r="H4006" s="5">
        <v>165</v>
      </c>
      <c r="I4006" s="8">
        <f>Tabela1[[#This Row],[Valor total]]-Tabela1[[#This Row],[Valor custo]]</f>
        <v>39</v>
      </c>
      <c r="J4006" s="18">
        <f>Tabela1[[#This Row],[MARGEM BRUTA]]/Tabela1[[#This Row],[Valor total]]</f>
        <v>0.23636363636363636</v>
      </c>
      <c r="K4006" s="17" t="str">
        <f>VLOOKUP(Tabela1[[#This Row],[Cliente]],'BASE DE CLIENTES'!A:D,4,0)</f>
        <v>SERRALHEIRO</v>
      </c>
      <c r="L4006" s="17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7" t="str">
        <f>VLOOKUP(Tabela1[[#This Row],[Cliente]],'BASE DE CLIENTES'!A:E,2,0)</f>
        <v>Brasília</v>
      </c>
      <c r="D4007" s="17" t="str">
        <f>VLOOKUP(Tabela1[[#This Row],[Cliente]],'BASE DE CLIENTES'!A:C,3,0)</f>
        <v>DF</v>
      </c>
      <c r="E4007" s="17" t="str">
        <f>CONCATENATE(Tabela1[[#This Row],[CIDADE]],",",Tabela1[[#This Row],[UF]])</f>
        <v>Brasília,DF</v>
      </c>
      <c r="F4007" s="15">
        <v>46080</v>
      </c>
      <c r="G4007" s="5">
        <v>530</v>
      </c>
      <c r="H4007" s="5">
        <v>870</v>
      </c>
      <c r="I4007" s="8">
        <f>Tabela1[[#This Row],[Valor total]]-Tabela1[[#This Row],[Valor custo]]</f>
        <v>340</v>
      </c>
      <c r="J4007" s="18">
        <f>Tabela1[[#This Row],[MARGEM BRUTA]]/Tabela1[[#This Row],[Valor total]]</f>
        <v>0.39080459770114945</v>
      </c>
      <c r="K4007" s="17" t="str">
        <f>VLOOKUP(Tabela1[[#This Row],[Cliente]],'BASE DE CLIENTES'!A:D,4,0)</f>
        <v>EMPRESA COM MAQUINA</v>
      </c>
      <c r="L4007" s="17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7" t="str">
        <f>VLOOKUP(Tabela1[[#This Row],[Cliente]],'BASE DE CLIENTES'!A:E,2,0)</f>
        <v>Brasília</v>
      </c>
      <c r="D4008" s="17" t="str">
        <f>VLOOKUP(Tabela1[[#This Row],[Cliente]],'BASE DE CLIENTES'!A:C,3,0)</f>
        <v>DF</v>
      </c>
      <c r="E4008" s="17" t="str">
        <f>CONCATENATE(Tabela1[[#This Row],[CIDADE]],",",Tabela1[[#This Row],[UF]])</f>
        <v>Brasília,DF</v>
      </c>
      <c r="F4008" s="15">
        <v>46080</v>
      </c>
      <c r="G4008" s="5">
        <v>450</v>
      </c>
      <c r="H4008" s="5">
        <v>725</v>
      </c>
      <c r="I4008" s="8">
        <f>Tabela1[[#This Row],[Valor total]]-Tabela1[[#This Row],[Valor custo]]</f>
        <v>275</v>
      </c>
      <c r="J4008" s="18">
        <f>Tabela1[[#This Row],[MARGEM BRUTA]]/Tabela1[[#This Row],[Valor total]]</f>
        <v>0.37931034482758619</v>
      </c>
      <c r="K4008" s="17" t="str">
        <f>VLOOKUP(Tabela1[[#This Row],[Cliente]],'BASE DE CLIENTES'!A:D,4,0)</f>
        <v>EMPRESA COM MAQUINA</v>
      </c>
      <c r="L4008" s="17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7" t="str">
        <f>VLOOKUP(Tabela1[[#This Row],[Cliente]],'BASE DE CLIENTES'!A:E,2,0)</f>
        <v>Goiânia</v>
      </c>
      <c r="D4009" s="17" t="str">
        <f>VLOOKUP(Tabela1[[#This Row],[Cliente]],'BASE DE CLIENTES'!A:C,3,0)</f>
        <v>GO</v>
      </c>
      <c r="E4009" s="17" t="str">
        <f>CONCATENATE(Tabela1[[#This Row],[CIDADE]],",",Tabela1[[#This Row],[UF]])</f>
        <v>Goiânia,GO</v>
      </c>
      <c r="F4009" s="15">
        <v>46080</v>
      </c>
      <c r="G4009" s="5">
        <v>900</v>
      </c>
      <c r="H4009" s="5">
        <v>1370</v>
      </c>
      <c r="I4009" s="8">
        <f>Tabela1[[#This Row],[Valor total]]-Tabela1[[#This Row],[Valor custo]]</f>
        <v>470</v>
      </c>
      <c r="J4009" s="18">
        <f>Tabela1[[#This Row],[MARGEM BRUTA]]/Tabela1[[#This Row],[Valor total]]</f>
        <v>0.34306569343065696</v>
      </c>
      <c r="K4009" s="17" t="str">
        <f>VLOOKUP(Tabela1[[#This Row],[Cliente]],'BASE DE CLIENTES'!A:D,4,0)</f>
        <v>EMPRESA COM MAQUINA</v>
      </c>
      <c r="L4009" s="17" t="str">
        <f>VLOOKUP(Tabela1[[#This Row],[Cliente]],'BASE DE CLIENTES'!A:E,5,0)</f>
        <v>Goiânia</v>
      </c>
    </row>
    <row r="4010" spans="2:12" x14ac:dyDescent="0.3">
      <c r="B4010" t="s">
        <v>236</v>
      </c>
      <c r="C4010" s="17" t="str">
        <f>VLOOKUP(Tabela1[[#This Row],[Cliente]],'BASE DE CLIENTES'!A:E,2,0)</f>
        <v>Goiânia</v>
      </c>
      <c r="D4010" s="17" t="str">
        <f>VLOOKUP(Tabela1[[#This Row],[Cliente]],'BASE DE CLIENTES'!A:C,3,0)</f>
        <v>GO</v>
      </c>
      <c r="E4010" s="17" t="str">
        <f>CONCATENATE(Tabela1[[#This Row],[CIDADE]],",",Tabela1[[#This Row],[UF]])</f>
        <v>Goiânia,GO</v>
      </c>
      <c r="F4010" s="15">
        <v>46080</v>
      </c>
      <c r="G4010" s="5">
        <v>470</v>
      </c>
      <c r="H4010" s="5">
        <v>735</v>
      </c>
      <c r="I4010" s="8">
        <f>Tabela1[[#This Row],[Valor total]]-Tabela1[[#This Row],[Valor custo]]</f>
        <v>265</v>
      </c>
      <c r="J4010" s="18">
        <f>Tabela1[[#This Row],[MARGEM BRUTA]]/Tabela1[[#This Row],[Valor total]]</f>
        <v>0.36054421768707484</v>
      </c>
      <c r="K4010" s="17" t="str">
        <f>VLOOKUP(Tabela1[[#This Row],[Cliente]],'BASE DE CLIENTES'!A:D,4,0)</f>
        <v>EMPRESA COM MAQUINA</v>
      </c>
      <c r="L4010" s="17" t="str">
        <f>VLOOKUP(Tabela1[[#This Row],[Cliente]],'BASE DE CLIENTES'!A:E,5,0)</f>
        <v>Goiânia</v>
      </c>
    </row>
    <row r="4011" spans="2:12" x14ac:dyDescent="0.3">
      <c r="B4011" t="s">
        <v>230</v>
      </c>
      <c r="C4011" s="17" t="str">
        <f>VLOOKUP(Tabela1[[#This Row],[Cliente]],'BASE DE CLIENTES'!A:E,2,0)</f>
        <v>Brasília</v>
      </c>
      <c r="D4011" s="17" t="str">
        <f>VLOOKUP(Tabela1[[#This Row],[Cliente]],'BASE DE CLIENTES'!A:C,3,0)</f>
        <v>DF</v>
      </c>
      <c r="E4011" s="17" t="str">
        <f>CONCATENATE(Tabela1[[#This Row],[CIDADE]],",",Tabela1[[#This Row],[UF]])</f>
        <v>Brasília,DF</v>
      </c>
      <c r="F4011" s="15">
        <v>46080</v>
      </c>
      <c r="G4011" s="5">
        <v>30.04</v>
      </c>
      <c r="H4011" s="5">
        <v>140</v>
      </c>
      <c r="I4011" s="8">
        <f>Tabela1[[#This Row],[Valor total]]-Tabela1[[#This Row],[Valor custo]]</f>
        <v>109.96000000000001</v>
      </c>
      <c r="J4011" s="18">
        <f>Tabela1[[#This Row],[MARGEM BRUTA]]/Tabela1[[#This Row],[Valor total]]</f>
        <v>0.78542857142857148</v>
      </c>
      <c r="K4011" s="17" t="str">
        <f>VLOOKUP(Tabela1[[#This Row],[Cliente]],'BASE DE CLIENTES'!A:D,4,0)</f>
        <v>SERRALHEIRO</v>
      </c>
      <c r="L4011" s="17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7" t="str">
        <f>VLOOKUP(Tabela1[[#This Row],[Cliente]],'BASE DE CLIENTES'!A:E,2,0)</f>
        <v>Brasília</v>
      </c>
      <c r="D4012" s="17" t="str">
        <f>VLOOKUP(Tabela1[[#This Row],[Cliente]],'BASE DE CLIENTES'!A:C,3,0)</f>
        <v>DF</v>
      </c>
      <c r="E4012" s="17" t="str">
        <f>CONCATENATE(Tabela1[[#This Row],[CIDADE]],",",Tabela1[[#This Row],[UF]])</f>
        <v>Brasília,DF</v>
      </c>
      <c r="F4012" s="15">
        <v>46080</v>
      </c>
      <c r="G4012" s="5">
        <v>4920</v>
      </c>
      <c r="H4012" s="5">
        <v>7950</v>
      </c>
      <c r="I4012" s="8">
        <f>Tabela1[[#This Row],[Valor total]]-Tabela1[[#This Row],[Valor custo]]</f>
        <v>3030</v>
      </c>
      <c r="J4012" s="18">
        <f>Tabela1[[#This Row],[MARGEM BRUTA]]/Tabela1[[#This Row],[Valor total]]</f>
        <v>0.38113207547169814</v>
      </c>
      <c r="K4012" s="17" t="str">
        <f>VLOOKUP(Tabela1[[#This Row],[Cliente]],'BASE DE CLIENTES'!A:D,4,0)</f>
        <v>EMPRESA COM MAQUINA</v>
      </c>
      <c r="L4012" s="17" t="str">
        <f>VLOOKUP(Tabela1[[#This Row],[Cliente]],'BASE DE CLIENTES'!A:E,5,0)</f>
        <v>RIACHO FUNDO II</v>
      </c>
    </row>
    <row r="4013" spans="2:12" x14ac:dyDescent="0.3">
      <c r="B4013" t="s">
        <v>120</v>
      </c>
      <c r="C4013" s="17" t="str">
        <f>VLOOKUP(Tabela1[[#This Row],[Cliente]],'BASE DE CLIENTES'!A:E,2,0)</f>
        <v>Brasília</v>
      </c>
      <c r="D4013" s="17" t="str">
        <f>VLOOKUP(Tabela1[[#This Row],[Cliente]],'BASE DE CLIENTES'!A:C,3,0)</f>
        <v>DF</v>
      </c>
      <c r="E4013" s="17" t="str">
        <f>CONCATENATE(Tabela1[[#This Row],[CIDADE]],",",Tabela1[[#This Row],[UF]])</f>
        <v>Brasília,DF</v>
      </c>
      <c r="F4013" s="15">
        <v>46080</v>
      </c>
      <c r="G4013" s="5">
        <v>575.6</v>
      </c>
      <c r="H4013" s="5">
        <v>790</v>
      </c>
      <c r="I4013" s="8">
        <f>Tabela1[[#This Row],[Valor total]]-Tabela1[[#This Row],[Valor custo]]</f>
        <v>214.39999999999998</v>
      </c>
      <c r="J4013" s="18">
        <f>Tabela1[[#This Row],[MARGEM BRUTA]]/Tabela1[[#This Row],[Valor total]]</f>
        <v>0.2713924050632911</v>
      </c>
      <c r="K4013" s="17" t="str">
        <f>VLOOKUP(Tabela1[[#This Row],[Cliente]],'BASE DE CLIENTES'!A:D,4,0)</f>
        <v>EMPRESA SEM MAQUINA</v>
      </c>
      <c r="L4013" s="17" t="str">
        <f>VLOOKUP(Tabela1[[#This Row],[Cliente]],'BASE DE CLIENTES'!A:E,5,0)</f>
        <v>SAMAMBAIA</v>
      </c>
    </row>
    <row r="4014" spans="2:12" x14ac:dyDescent="0.3">
      <c r="B4014" t="s">
        <v>85</v>
      </c>
      <c r="C4014" s="17" t="str">
        <f>VLOOKUP(Tabela1[[#This Row],[Cliente]],'BASE DE CLIENTES'!A:E,2,0)</f>
        <v>Brasília</v>
      </c>
      <c r="D4014" s="17" t="str">
        <f>VLOOKUP(Tabela1[[#This Row],[Cliente]],'BASE DE CLIENTES'!A:C,3,0)</f>
        <v>DF</v>
      </c>
      <c r="E4014" s="17" t="str">
        <f>CONCATENATE(Tabela1[[#This Row],[CIDADE]],",",Tabela1[[#This Row],[UF]])</f>
        <v>Brasília,DF</v>
      </c>
      <c r="F4014" s="15">
        <v>46080</v>
      </c>
      <c r="G4014" s="5">
        <v>1012</v>
      </c>
      <c r="H4014" s="5">
        <v>1445</v>
      </c>
      <c r="I4014" s="8">
        <f>Tabela1[[#This Row],[Valor total]]-Tabela1[[#This Row],[Valor custo]]</f>
        <v>433</v>
      </c>
      <c r="J4014" s="18">
        <f>Tabela1[[#This Row],[MARGEM BRUTA]]/Tabela1[[#This Row],[Valor total]]</f>
        <v>0.29965397923875431</v>
      </c>
      <c r="K4014" s="17" t="str">
        <f>VLOOKUP(Tabela1[[#This Row],[Cliente]],'BASE DE CLIENTES'!A:D,4,0)</f>
        <v>SERRALHEIRO</v>
      </c>
      <c r="L4014" s="17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7" t="str">
        <f>VLOOKUP(Tabela1[[#This Row],[Cliente]],'BASE DE CLIENTES'!A:E,2,0)</f>
        <v>Brasília</v>
      </c>
      <c r="D4015" s="17" t="str">
        <f>VLOOKUP(Tabela1[[#This Row],[Cliente]],'BASE DE CLIENTES'!A:C,3,0)</f>
        <v>DF</v>
      </c>
      <c r="E4015" s="17" t="str">
        <f>CONCATENATE(Tabela1[[#This Row],[CIDADE]],",",Tabela1[[#This Row],[UF]])</f>
        <v>Brasília,DF</v>
      </c>
      <c r="F4015" s="15">
        <v>46080</v>
      </c>
      <c r="G4015" s="5">
        <v>311.07</v>
      </c>
      <c r="H4015" s="5">
        <v>630</v>
      </c>
      <c r="I4015" s="8">
        <f>Tabela1[[#This Row],[Valor total]]-Tabela1[[#This Row],[Valor custo]]</f>
        <v>318.93</v>
      </c>
      <c r="J4015" s="18">
        <f>Tabela1[[#This Row],[MARGEM BRUTA]]/Tabela1[[#This Row],[Valor total]]</f>
        <v>0.50623809523809526</v>
      </c>
      <c r="K4015" s="17" t="str">
        <f>VLOOKUP(Tabela1[[#This Row],[Cliente]],'BASE DE CLIENTES'!A:D,4,0)</f>
        <v>EMPRESA SEM MAQUINA</v>
      </c>
      <c r="L4015" s="17" t="str">
        <f>VLOOKUP(Tabela1[[#This Row],[Cliente]],'BASE DE CLIENTES'!A:E,5,0)</f>
        <v>RECANTO DAS EMAS</v>
      </c>
    </row>
    <row r="4016" spans="2:12" x14ac:dyDescent="0.3">
      <c r="B4016" t="s">
        <v>30</v>
      </c>
      <c r="C4016" s="17" t="str">
        <f>VLOOKUP(Tabela1[[#This Row],[Cliente]],'BASE DE CLIENTES'!A:E,2,0)</f>
        <v>Águas Lindas de Goiás</v>
      </c>
      <c r="D4016" s="17" t="str">
        <f>VLOOKUP(Tabela1[[#This Row],[Cliente]],'BASE DE CLIENTES'!A:C,3,0)</f>
        <v>GO</v>
      </c>
      <c r="E4016" s="17" t="str">
        <f>CONCATENATE(Tabela1[[#This Row],[CIDADE]],",",Tabela1[[#This Row],[UF]])</f>
        <v>Águas Lindas de Goiás,GO</v>
      </c>
      <c r="F4016" s="15">
        <v>46080</v>
      </c>
      <c r="G4016" s="5">
        <v>1740</v>
      </c>
      <c r="H4016" s="5">
        <v>2940</v>
      </c>
      <c r="I4016" s="8">
        <f>Tabela1[[#This Row],[Valor total]]-Tabela1[[#This Row],[Valor custo]]</f>
        <v>1200</v>
      </c>
      <c r="J4016" s="18">
        <f>Tabela1[[#This Row],[MARGEM BRUTA]]/Tabela1[[#This Row],[Valor total]]</f>
        <v>0.40816326530612246</v>
      </c>
      <c r="K4016" s="17" t="str">
        <f>VLOOKUP(Tabela1[[#This Row],[Cliente]],'BASE DE CLIENTES'!A:D,4,0)</f>
        <v>SERRALHEIRO</v>
      </c>
      <c r="L4016" s="17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7" t="str">
        <f>VLOOKUP(Tabela1[[#This Row],[Cliente]],'BASE DE CLIENTES'!A:E,2,0)</f>
        <v>Brasília</v>
      </c>
      <c r="D4017" s="17" t="str">
        <f>VLOOKUP(Tabela1[[#This Row],[Cliente]],'BASE DE CLIENTES'!A:C,3,0)</f>
        <v>DF</v>
      </c>
      <c r="E4017" s="17" t="str">
        <f>CONCATENATE(Tabela1[[#This Row],[CIDADE]],",",Tabela1[[#This Row],[UF]])</f>
        <v>Brasília,DF</v>
      </c>
      <c r="F4017" s="15">
        <v>46080</v>
      </c>
      <c r="G4017" s="5">
        <v>470</v>
      </c>
      <c r="H4017" s="5">
        <v>710</v>
      </c>
      <c r="I4017" s="8">
        <f>Tabela1[[#This Row],[Valor total]]-Tabela1[[#This Row],[Valor custo]]</f>
        <v>240</v>
      </c>
      <c r="J4017" s="18">
        <f>Tabela1[[#This Row],[MARGEM BRUTA]]/Tabela1[[#This Row],[Valor total]]</f>
        <v>0.3380281690140845</v>
      </c>
      <c r="K4017" s="17" t="str">
        <f>VLOOKUP(Tabela1[[#This Row],[Cliente]],'BASE DE CLIENTES'!A:D,4,0)</f>
        <v>EMPRESA SEM MAQUINA</v>
      </c>
      <c r="L4017" s="17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7" t="str">
        <f>VLOOKUP(Tabela1[[#This Row],[Cliente]],'BASE DE CLIENTES'!A:E,2,0)</f>
        <v>Brasília</v>
      </c>
      <c r="D4018" s="17" t="str">
        <f>VLOOKUP(Tabela1[[#This Row],[Cliente]],'BASE DE CLIENTES'!A:C,3,0)</f>
        <v>DF</v>
      </c>
      <c r="E4018" s="17" t="str">
        <f>CONCATENATE(Tabela1[[#This Row],[CIDADE]],",",Tabela1[[#This Row],[UF]])</f>
        <v>Brasília,DF</v>
      </c>
      <c r="F4018" s="15">
        <v>46079</v>
      </c>
      <c r="G4018" s="5">
        <v>439</v>
      </c>
      <c r="H4018" s="5">
        <v>650</v>
      </c>
      <c r="I4018" s="8">
        <f>Tabela1[[#This Row],[Valor total]]-Tabela1[[#This Row],[Valor custo]]</f>
        <v>211</v>
      </c>
      <c r="J4018" s="18">
        <f>Tabela1[[#This Row],[MARGEM BRUTA]]/Tabela1[[#This Row],[Valor total]]</f>
        <v>0.32461538461538464</v>
      </c>
      <c r="K4018" s="17" t="str">
        <f>VLOOKUP(Tabela1[[#This Row],[Cliente]],'BASE DE CLIENTES'!A:D,4,0)</f>
        <v>EMPRESA COM MAQUINA</v>
      </c>
      <c r="L4018" s="17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7" t="str">
        <f>VLOOKUP(Tabela1[[#This Row],[Cliente]],'BASE DE CLIENTES'!A:E,2,0)</f>
        <v>Brasília</v>
      </c>
      <c r="D4019" s="17" t="str">
        <f>VLOOKUP(Tabela1[[#This Row],[Cliente]],'BASE DE CLIENTES'!A:C,3,0)</f>
        <v>DF</v>
      </c>
      <c r="E4019" s="17" t="str">
        <f>CONCATENATE(Tabela1[[#This Row],[CIDADE]],",",Tabela1[[#This Row],[UF]])</f>
        <v>Brasília,DF</v>
      </c>
      <c r="F4019" s="15">
        <v>46079</v>
      </c>
      <c r="G4019" s="5">
        <v>382</v>
      </c>
      <c r="H4019" s="5">
        <v>600</v>
      </c>
      <c r="I4019" s="8">
        <f>Tabela1[[#This Row],[Valor total]]-Tabela1[[#This Row],[Valor custo]]</f>
        <v>218</v>
      </c>
      <c r="J4019" s="18">
        <f>Tabela1[[#This Row],[MARGEM BRUTA]]/Tabela1[[#This Row],[Valor total]]</f>
        <v>0.36333333333333334</v>
      </c>
      <c r="K4019" s="17" t="str">
        <f>VLOOKUP(Tabela1[[#This Row],[Cliente]],'BASE DE CLIENTES'!A:D,4,0)</f>
        <v>SERRALHEIRO</v>
      </c>
      <c r="L4019" s="17" t="str">
        <f>VLOOKUP(Tabela1[[#This Row],[Cliente]],'BASE DE CLIENTES'!A:E,5,0)</f>
        <v>RIACHO FUNDO I</v>
      </c>
    </row>
    <row r="4020" spans="2:12" x14ac:dyDescent="0.3">
      <c r="B4020" t="s">
        <v>765</v>
      </c>
      <c r="C4020" s="17" t="str">
        <f>VLOOKUP(Tabela1[[#This Row],[Cliente]],'BASE DE CLIENTES'!A:E,2,0)</f>
        <v>Brasília</v>
      </c>
      <c r="D4020" s="17" t="str">
        <f>VLOOKUP(Tabela1[[#This Row],[Cliente]],'BASE DE CLIENTES'!A:C,3,0)</f>
        <v>DF</v>
      </c>
      <c r="E4020" s="17" t="str">
        <f>CONCATENATE(Tabela1[[#This Row],[CIDADE]],",",Tabela1[[#This Row],[UF]])</f>
        <v>Brasília,DF</v>
      </c>
      <c r="F4020" s="15">
        <v>46079</v>
      </c>
      <c r="G4020" s="5">
        <v>45.6</v>
      </c>
      <c r="H4020" s="5">
        <v>70</v>
      </c>
      <c r="I4020" s="8">
        <f>Tabela1[[#This Row],[Valor total]]-Tabela1[[#This Row],[Valor custo]]</f>
        <v>24.4</v>
      </c>
      <c r="J4020" s="18">
        <f>Tabela1[[#This Row],[MARGEM BRUTA]]/Tabela1[[#This Row],[Valor total]]</f>
        <v>0.34857142857142853</v>
      </c>
      <c r="K4020" s="17" t="str">
        <f>VLOOKUP(Tabela1[[#This Row],[Cliente]],'BASE DE CLIENTES'!A:D,4,0)</f>
        <v>SEM CLASSIFICAÇÃO</v>
      </c>
      <c r="L4020" s="17" t="str">
        <f>VLOOKUP(Tabela1[[#This Row],[Cliente]],'BASE DE CLIENTES'!A:E,5,0)</f>
        <v>SOBRADINHO</v>
      </c>
    </row>
    <row r="4021" spans="2:12" x14ac:dyDescent="0.3">
      <c r="B4021" t="s">
        <v>311</v>
      </c>
      <c r="C4021" s="17" t="str">
        <f>VLOOKUP(Tabela1[[#This Row],[Cliente]],'BASE DE CLIENTES'!A:E,2,0)</f>
        <v>Uberlândia</v>
      </c>
      <c r="D4021" s="17" t="str">
        <f>VLOOKUP(Tabela1[[#This Row],[Cliente]],'BASE DE CLIENTES'!A:C,3,0)</f>
        <v>MG</v>
      </c>
      <c r="E4021" s="17" t="str">
        <f>CONCATENATE(Tabela1[[#This Row],[CIDADE]],",",Tabela1[[#This Row],[UF]])</f>
        <v>Uberlândia,MG</v>
      </c>
      <c r="F4021" s="15">
        <v>46079</v>
      </c>
      <c r="G4021" s="5">
        <v>34760.620000000003</v>
      </c>
      <c r="H4021" s="5">
        <v>54240</v>
      </c>
      <c r="I4021" s="8">
        <f>Tabela1[[#This Row],[Valor total]]-Tabela1[[#This Row],[Valor custo]]</f>
        <v>19479.379999999997</v>
      </c>
      <c r="J4021" s="18">
        <f>Tabela1[[#This Row],[MARGEM BRUTA]]/Tabela1[[#This Row],[Valor total]]</f>
        <v>0.35913311209439525</v>
      </c>
      <c r="K4021" s="17" t="str">
        <f>VLOOKUP(Tabela1[[#This Row],[Cliente]],'BASE DE CLIENTES'!A:D,4,0)</f>
        <v>EMPRESA COM MAQUINA</v>
      </c>
      <c r="L4021" s="17" t="str">
        <f>VLOOKUP(Tabela1[[#This Row],[Cliente]],'BASE DE CLIENTES'!A:E,5,0)</f>
        <v>Uberlândia</v>
      </c>
    </row>
    <row r="4022" spans="2:12" x14ac:dyDescent="0.3">
      <c r="B4022" t="s">
        <v>1138</v>
      </c>
      <c r="C4022" s="17" t="str">
        <f>VLOOKUP(Tabela1[[#This Row],[Cliente]],'BASE DE CLIENTES'!A:E,2,0)</f>
        <v>Luziânia</v>
      </c>
      <c r="D4022" s="17" t="str">
        <f>VLOOKUP(Tabela1[[#This Row],[Cliente]],'BASE DE CLIENTES'!A:C,3,0)</f>
        <v>GO</v>
      </c>
      <c r="E4022" s="17" t="str">
        <f>CONCATENATE(Tabela1[[#This Row],[CIDADE]],",",Tabela1[[#This Row],[UF]])</f>
        <v>Luziânia,GO</v>
      </c>
      <c r="F4022" s="15">
        <v>46079</v>
      </c>
      <c r="G4022" s="5">
        <v>131.38</v>
      </c>
      <c r="H4022" s="5">
        <v>500</v>
      </c>
      <c r="I4022" s="8">
        <f>Tabela1[[#This Row],[Valor total]]-Tabela1[[#This Row],[Valor custo]]</f>
        <v>368.62</v>
      </c>
      <c r="J4022" s="18">
        <f>Tabela1[[#This Row],[MARGEM BRUTA]]/Tabela1[[#This Row],[Valor total]]</f>
        <v>0.73724000000000001</v>
      </c>
      <c r="K4022" s="17" t="str">
        <f>VLOOKUP(Tabela1[[#This Row],[Cliente]],'BASE DE CLIENTES'!A:D,4,0)</f>
        <v>CLIENTE NOVO S/ IDENT.</v>
      </c>
      <c r="L4022" s="17" t="str">
        <f>VLOOKUP(Tabela1[[#This Row],[Cliente]],'BASE DE CLIENTES'!A:E,5,0)</f>
        <v>Luziânia</v>
      </c>
    </row>
    <row r="4023" spans="2:12" x14ac:dyDescent="0.3">
      <c r="B4023" t="s">
        <v>152</v>
      </c>
      <c r="C4023" s="17" t="str">
        <f>VLOOKUP(Tabela1[[#This Row],[Cliente]],'BASE DE CLIENTES'!A:E,2,0)</f>
        <v>Aparecida de Goiânia</v>
      </c>
      <c r="D4023" s="17" t="str">
        <f>VLOOKUP(Tabela1[[#This Row],[Cliente]],'BASE DE CLIENTES'!A:C,3,0)</f>
        <v>GO</v>
      </c>
      <c r="E4023" s="17" t="str">
        <f>CONCATENATE(Tabela1[[#This Row],[CIDADE]],",",Tabela1[[#This Row],[UF]])</f>
        <v>Aparecida de Goiânia,GO</v>
      </c>
      <c r="F4023" s="15">
        <v>46079</v>
      </c>
      <c r="G4023" s="5">
        <v>450</v>
      </c>
      <c r="H4023" s="5">
        <v>750</v>
      </c>
      <c r="I4023" s="8">
        <f>Tabela1[[#This Row],[Valor total]]-Tabela1[[#This Row],[Valor custo]]</f>
        <v>300</v>
      </c>
      <c r="J4023" s="18">
        <f>Tabela1[[#This Row],[MARGEM BRUTA]]/Tabela1[[#This Row],[Valor total]]</f>
        <v>0.4</v>
      </c>
      <c r="K4023" s="17" t="str">
        <f>VLOOKUP(Tabela1[[#This Row],[Cliente]],'BASE DE CLIENTES'!A:D,4,0)</f>
        <v>TECNICO</v>
      </c>
      <c r="L4023" s="17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7" t="str">
        <f>VLOOKUP(Tabela1[[#This Row],[Cliente]],'BASE DE CLIENTES'!A:E,2,0)</f>
        <v>Brasília</v>
      </c>
      <c r="D4024" s="17" t="str">
        <f>VLOOKUP(Tabela1[[#This Row],[Cliente]],'BASE DE CLIENTES'!A:C,3,0)</f>
        <v>DF</v>
      </c>
      <c r="E4024" s="17" t="str">
        <f>CONCATENATE(Tabela1[[#This Row],[CIDADE]],",",Tabela1[[#This Row],[UF]])</f>
        <v>Brasília,DF</v>
      </c>
      <c r="F4024" s="15">
        <v>46079</v>
      </c>
      <c r="G4024" s="5">
        <v>191</v>
      </c>
      <c r="H4024" s="5">
        <v>500</v>
      </c>
      <c r="I4024" s="8">
        <f>Tabela1[[#This Row],[Valor total]]-Tabela1[[#This Row],[Valor custo]]</f>
        <v>309</v>
      </c>
      <c r="J4024" s="18">
        <f>Tabela1[[#This Row],[MARGEM BRUTA]]/Tabela1[[#This Row],[Valor total]]</f>
        <v>0.61799999999999999</v>
      </c>
      <c r="K4024" s="17" t="str">
        <f>VLOOKUP(Tabela1[[#This Row],[Cliente]],'BASE DE CLIENTES'!A:D,4,0)</f>
        <v>CLIENTE FECHADURA</v>
      </c>
      <c r="L4024" s="17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7" t="str">
        <f>VLOOKUP(Tabela1[[#This Row],[Cliente]],'BASE DE CLIENTES'!A:E,2,0)</f>
        <v>Brasília</v>
      </c>
      <c r="D4025" s="17" t="str">
        <f>VLOOKUP(Tabela1[[#This Row],[Cliente]],'BASE DE CLIENTES'!A:C,3,0)</f>
        <v>DF</v>
      </c>
      <c r="E4025" s="17" t="str">
        <f>CONCATENATE(Tabela1[[#This Row],[CIDADE]],",",Tabela1[[#This Row],[UF]])</f>
        <v>Brasília,DF</v>
      </c>
      <c r="F4025" s="15">
        <v>46079</v>
      </c>
      <c r="G4025" s="5">
        <v>2679.36</v>
      </c>
      <c r="H4025" s="5">
        <v>4500</v>
      </c>
      <c r="I4025" s="8">
        <f>Tabela1[[#This Row],[Valor total]]-Tabela1[[#This Row],[Valor custo]]</f>
        <v>1820.6399999999999</v>
      </c>
      <c r="J4025" s="18">
        <f>Tabela1[[#This Row],[MARGEM BRUTA]]/Tabela1[[#This Row],[Valor total]]</f>
        <v>0.40458666666666665</v>
      </c>
      <c r="K4025" s="17" t="str">
        <f>VLOOKUP(Tabela1[[#This Row],[Cliente]],'BASE DE CLIENTES'!A:D,4,0)</f>
        <v>EMPRESA SEM MAQUINA</v>
      </c>
      <c r="L4025" s="17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7" t="str">
        <f>VLOOKUP(Tabela1[[#This Row],[Cliente]],'BASE DE CLIENTES'!A:E,2,0)</f>
        <v>Brasília</v>
      </c>
      <c r="D4026" s="17" t="str">
        <f>VLOOKUP(Tabela1[[#This Row],[Cliente]],'BASE DE CLIENTES'!A:C,3,0)</f>
        <v>DF</v>
      </c>
      <c r="E4026" s="17" t="str">
        <f>CONCATENATE(Tabela1[[#This Row],[CIDADE]],",",Tabela1[[#This Row],[UF]])</f>
        <v>Brasília,DF</v>
      </c>
      <c r="F4026" s="15">
        <v>46079</v>
      </c>
      <c r="G4026" s="5">
        <v>3038</v>
      </c>
      <c r="H4026" s="5">
        <v>4250</v>
      </c>
      <c r="I4026" s="8">
        <f>Tabela1[[#This Row],[Valor total]]-Tabela1[[#This Row],[Valor custo]]</f>
        <v>1212</v>
      </c>
      <c r="J4026" s="18">
        <f>Tabela1[[#This Row],[MARGEM BRUTA]]/Tabela1[[#This Row],[Valor total]]</f>
        <v>0.28517647058823531</v>
      </c>
      <c r="K4026" s="17" t="str">
        <f>VLOOKUP(Tabela1[[#This Row],[Cliente]],'BASE DE CLIENTES'!A:D,4,0)</f>
        <v>EMPRESA COM MAQUINA</v>
      </c>
      <c r="L4026" s="17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7" t="str">
        <f>VLOOKUP(Tabela1[[#This Row],[Cliente]],'BASE DE CLIENTES'!A:E,2,0)</f>
        <v>Brasília</v>
      </c>
      <c r="D4027" s="17" t="str">
        <f>VLOOKUP(Tabela1[[#This Row],[Cliente]],'BASE DE CLIENTES'!A:C,3,0)</f>
        <v>DF</v>
      </c>
      <c r="E4027" s="17" t="str">
        <f>CONCATENATE(Tabela1[[#This Row],[CIDADE]],",",Tabela1[[#This Row],[UF]])</f>
        <v>Brasília,DF</v>
      </c>
      <c r="F4027" s="15">
        <v>46079</v>
      </c>
      <c r="G4027" s="5">
        <v>838</v>
      </c>
      <c r="H4027" s="5">
        <v>1310</v>
      </c>
      <c r="I4027" s="8">
        <f>Tabela1[[#This Row],[Valor total]]-Tabela1[[#This Row],[Valor custo]]</f>
        <v>472</v>
      </c>
      <c r="J4027" s="18">
        <f>Tabela1[[#This Row],[MARGEM BRUTA]]/Tabela1[[#This Row],[Valor total]]</f>
        <v>0.36030534351145038</v>
      </c>
      <c r="K4027" s="17" t="str">
        <f>VLOOKUP(Tabela1[[#This Row],[Cliente]],'BASE DE CLIENTES'!A:D,4,0)</f>
        <v>SERRALHEIRO</v>
      </c>
      <c r="L4027" s="17" t="str">
        <f>VLOOKUP(Tabela1[[#This Row],[Cliente]],'BASE DE CLIENTES'!A:E,5,0)</f>
        <v>PLANALTINA</v>
      </c>
    </row>
    <row r="4028" spans="2:12" x14ac:dyDescent="0.3">
      <c r="B4028" t="s">
        <v>66</v>
      </c>
      <c r="C4028" s="17" t="str">
        <f>VLOOKUP(Tabela1[[#This Row],[Cliente]],'BASE DE CLIENTES'!A:E,2,0)</f>
        <v>Águas Lindas de Goiás</v>
      </c>
      <c r="D4028" s="17" t="str">
        <f>VLOOKUP(Tabela1[[#This Row],[Cliente]],'BASE DE CLIENTES'!A:C,3,0)</f>
        <v>GO</v>
      </c>
      <c r="E4028" s="17" t="str">
        <f>CONCATENATE(Tabela1[[#This Row],[CIDADE]],",",Tabela1[[#This Row],[UF]])</f>
        <v>Águas Lindas de Goiás,GO</v>
      </c>
      <c r="F4028" s="15">
        <v>46079</v>
      </c>
      <c r="G4028" s="5">
        <v>0</v>
      </c>
      <c r="H4028" s="5">
        <v>250</v>
      </c>
      <c r="I4028" s="8">
        <f>Tabela1[[#This Row],[Valor total]]-Tabela1[[#This Row],[Valor custo]]</f>
        <v>250</v>
      </c>
      <c r="J4028" s="18">
        <f>Tabela1[[#This Row],[MARGEM BRUTA]]/Tabela1[[#This Row],[Valor total]]</f>
        <v>1</v>
      </c>
      <c r="K4028" s="17" t="str">
        <f>VLOOKUP(Tabela1[[#This Row],[Cliente]],'BASE DE CLIENTES'!A:D,4,0)</f>
        <v>EMPRESA COM MAQUINA</v>
      </c>
      <c r="L4028" s="17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7" t="str">
        <f>VLOOKUP(Tabela1[[#This Row],[Cliente]],'BASE DE CLIENTES'!A:E,2,0)</f>
        <v>Águas Lindas de Goiás</v>
      </c>
      <c r="D4029" s="17" t="str">
        <f>VLOOKUP(Tabela1[[#This Row],[Cliente]],'BASE DE CLIENTES'!A:C,3,0)</f>
        <v>GO</v>
      </c>
      <c r="E4029" s="17" t="str">
        <f>CONCATENATE(Tabela1[[#This Row],[CIDADE]],",",Tabela1[[#This Row],[UF]])</f>
        <v>Águas Lindas de Goiás,GO</v>
      </c>
      <c r="F4029" s="15">
        <v>46079</v>
      </c>
      <c r="G4029" s="5">
        <v>3501.5</v>
      </c>
      <c r="H4029" s="5">
        <v>5500</v>
      </c>
      <c r="I4029" s="8">
        <f>Tabela1[[#This Row],[Valor total]]-Tabela1[[#This Row],[Valor custo]]</f>
        <v>1998.5</v>
      </c>
      <c r="J4029" s="18">
        <f>Tabela1[[#This Row],[MARGEM BRUTA]]/Tabela1[[#This Row],[Valor total]]</f>
        <v>0.36336363636363639</v>
      </c>
      <c r="K4029" s="17" t="str">
        <f>VLOOKUP(Tabela1[[#This Row],[Cliente]],'BASE DE CLIENTES'!A:D,4,0)</f>
        <v>EMPRESA COM MAQUINA</v>
      </c>
      <c r="L4029" s="17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7" t="str">
        <f>VLOOKUP(Tabela1[[#This Row],[Cliente]],'BASE DE CLIENTES'!A:E,2,0)</f>
        <v>Brasília</v>
      </c>
      <c r="D4030" s="17" t="str">
        <f>VLOOKUP(Tabela1[[#This Row],[Cliente]],'BASE DE CLIENTES'!A:C,3,0)</f>
        <v>DF</v>
      </c>
      <c r="E4030" s="17" t="str">
        <f>CONCATENATE(Tabela1[[#This Row],[CIDADE]],",",Tabela1[[#This Row],[UF]])</f>
        <v>Brasília,DF</v>
      </c>
      <c r="F4030" s="15">
        <v>46079</v>
      </c>
      <c r="G4030" s="5">
        <v>525.33000000000004</v>
      </c>
      <c r="H4030" s="5">
        <v>873</v>
      </c>
      <c r="I4030" s="8">
        <f>Tabela1[[#This Row],[Valor total]]-Tabela1[[#This Row],[Valor custo]]</f>
        <v>347.66999999999996</v>
      </c>
      <c r="J4030" s="18">
        <f>Tabela1[[#This Row],[MARGEM BRUTA]]/Tabela1[[#This Row],[Valor total]]</f>
        <v>0.3982474226804123</v>
      </c>
      <c r="K4030" s="17" t="str">
        <f>VLOOKUP(Tabela1[[#This Row],[Cliente]],'BASE DE CLIENTES'!A:D,4,0)</f>
        <v>CLIENTE NOVO S/ IDENT.</v>
      </c>
      <c r="L4030" s="17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7" t="str">
        <f>VLOOKUP(Tabela1[[#This Row],[Cliente]],'BASE DE CLIENTES'!A:E,2,0)</f>
        <v>Brasília</v>
      </c>
      <c r="D4031" s="17" t="str">
        <f>VLOOKUP(Tabela1[[#This Row],[Cliente]],'BASE DE CLIENTES'!A:C,3,0)</f>
        <v>DF</v>
      </c>
      <c r="E4031" s="17" t="str">
        <f>CONCATENATE(Tabela1[[#This Row],[CIDADE]],",",Tabela1[[#This Row],[UF]])</f>
        <v>Brasília,DF</v>
      </c>
      <c r="F4031" s="15">
        <v>46079</v>
      </c>
      <c r="G4031" s="5">
        <v>470</v>
      </c>
      <c r="H4031" s="5">
        <v>710</v>
      </c>
      <c r="I4031" s="8">
        <f>Tabela1[[#This Row],[Valor total]]-Tabela1[[#This Row],[Valor custo]]</f>
        <v>240</v>
      </c>
      <c r="J4031" s="18">
        <f>Tabela1[[#This Row],[MARGEM BRUTA]]/Tabela1[[#This Row],[Valor total]]</f>
        <v>0.3380281690140845</v>
      </c>
      <c r="K4031" s="17" t="str">
        <f>VLOOKUP(Tabela1[[#This Row],[Cliente]],'BASE DE CLIENTES'!A:D,4,0)</f>
        <v>EMPRESA SEM MAQUINA</v>
      </c>
      <c r="L4031" s="17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7" t="str">
        <f>VLOOKUP(Tabela1[[#This Row],[Cliente]],'BASE DE CLIENTES'!A:E,2,0)</f>
        <v>Brasília</v>
      </c>
      <c r="D4032" s="17" t="str">
        <f>VLOOKUP(Tabela1[[#This Row],[Cliente]],'BASE DE CLIENTES'!A:C,3,0)</f>
        <v>DF</v>
      </c>
      <c r="E4032" s="17" t="str">
        <f>CONCATENATE(Tabela1[[#This Row],[CIDADE]],",",Tabela1[[#This Row],[UF]])</f>
        <v>Brasília,DF</v>
      </c>
      <c r="F4032" s="15">
        <v>46079</v>
      </c>
      <c r="G4032" s="5">
        <v>1502</v>
      </c>
      <c r="H4032" s="5">
        <v>2900</v>
      </c>
      <c r="I4032" s="8">
        <f>Tabela1[[#This Row],[Valor total]]-Tabela1[[#This Row],[Valor custo]]</f>
        <v>1398</v>
      </c>
      <c r="J4032" s="18">
        <f>Tabela1[[#This Row],[MARGEM BRUTA]]/Tabela1[[#This Row],[Valor total]]</f>
        <v>0.48206896551724138</v>
      </c>
      <c r="K4032" s="17" t="str">
        <f>VLOOKUP(Tabela1[[#This Row],[Cliente]],'BASE DE CLIENTES'!A:D,4,0)</f>
        <v>SEM CLASSIFICAÇÃO</v>
      </c>
      <c r="L4032" s="17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7" t="str">
        <f>VLOOKUP(Tabela1[[#This Row],[Cliente]],'BASE DE CLIENTES'!A:E,2,0)</f>
        <v>Brasília</v>
      </c>
      <c r="D4033" s="17" t="str">
        <f>VLOOKUP(Tabela1[[#This Row],[Cliente]],'BASE DE CLIENTES'!A:C,3,0)</f>
        <v>DF</v>
      </c>
      <c r="E4033" s="17" t="str">
        <f>CONCATENATE(Tabela1[[#This Row],[CIDADE]],",",Tabela1[[#This Row],[UF]])</f>
        <v>Brasília,DF</v>
      </c>
      <c r="F4033" s="15">
        <v>46079</v>
      </c>
      <c r="G4033" s="5">
        <v>1320</v>
      </c>
      <c r="H4033" s="5">
        <v>2200</v>
      </c>
      <c r="I4033" s="8">
        <f>Tabela1[[#This Row],[Valor total]]-Tabela1[[#This Row],[Valor custo]]</f>
        <v>880</v>
      </c>
      <c r="J4033" s="18">
        <f>Tabela1[[#This Row],[MARGEM BRUTA]]/Tabela1[[#This Row],[Valor total]]</f>
        <v>0.4</v>
      </c>
      <c r="K4033" s="17" t="str">
        <f>VLOOKUP(Tabela1[[#This Row],[Cliente]],'BASE DE CLIENTES'!A:D,4,0)</f>
        <v>EMPRESA SEM MAQUINA</v>
      </c>
      <c r="L4033" s="17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7" t="str">
        <f>VLOOKUP(Tabela1[[#This Row],[Cliente]],'BASE DE CLIENTES'!A:E,2,0)</f>
        <v>Brasília</v>
      </c>
      <c r="D4034" s="17" t="str">
        <f>VLOOKUP(Tabela1[[#This Row],[Cliente]],'BASE DE CLIENTES'!A:C,3,0)</f>
        <v>DF</v>
      </c>
      <c r="E4034" s="17" t="str">
        <f>CONCATENATE(Tabela1[[#This Row],[CIDADE]],",",Tabela1[[#This Row],[UF]])</f>
        <v>Brasília,DF</v>
      </c>
      <c r="F4034" s="15">
        <v>46079</v>
      </c>
      <c r="G4034" s="5">
        <v>5210</v>
      </c>
      <c r="H4034" s="5">
        <v>7800</v>
      </c>
      <c r="I4034" s="8">
        <f>Tabela1[[#This Row],[Valor total]]-Tabela1[[#This Row],[Valor custo]]</f>
        <v>2590</v>
      </c>
      <c r="J4034" s="18">
        <f>Tabela1[[#This Row],[MARGEM BRUTA]]/Tabela1[[#This Row],[Valor total]]</f>
        <v>0.33205128205128204</v>
      </c>
      <c r="K4034" s="17" t="str">
        <f>VLOOKUP(Tabela1[[#This Row],[Cliente]],'BASE DE CLIENTES'!A:D,4,0)</f>
        <v>EMPRESA SEM MAQUINA</v>
      </c>
      <c r="L4034" s="17" t="str">
        <f>VLOOKUP(Tabela1[[#This Row],[Cliente]],'BASE DE CLIENTES'!A:E,5,0)</f>
        <v>RECANTO DAS EMAS</v>
      </c>
    </row>
    <row r="4035" spans="2:12" x14ac:dyDescent="0.3">
      <c r="B4035" t="s">
        <v>97</v>
      </c>
      <c r="C4035" s="17" t="str">
        <f>VLOOKUP(Tabela1[[#This Row],[Cliente]],'BASE DE CLIENTES'!A:E,2,0)</f>
        <v>Brasília</v>
      </c>
      <c r="D4035" s="17" t="str">
        <f>VLOOKUP(Tabela1[[#This Row],[Cliente]],'BASE DE CLIENTES'!A:C,3,0)</f>
        <v>DF</v>
      </c>
      <c r="E4035" s="17" t="str">
        <f>CONCATENATE(Tabela1[[#This Row],[CIDADE]],",",Tabela1[[#This Row],[UF]])</f>
        <v>Brasília,DF</v>
      </c>
      <c r="F4035" s="15">
        <v>46079</v>
      </c>
      <c r="G4035" s="5">
        <v>911.14</v>
      </c>
      <c r="H4035" s="5">
        <v>1530</v>
      </c>
      <c r="I4035" s="8">
        <f>Tabela1[[#This Row],[Valor total]]-Tabela1[[#This Row],[Valor custo]]</f>
        <v>618.86</v>
      </c>
      <c r="J4035" s="18">
        <f>Tabela1[[#This Row],[MARGEM BRUTA]]/Tabela1[[#This Row],[Valor total]]</f>
        <v>0.40448366013071896</v>
      </c>
      <c r="K4035" s="17" t="str">
        <f>VLOOKUP(Tabela1[[#This Row],[Cliente]],'BASE DE CLIENTES'!A:D,4,0)</f>
        <v>SERRALHEIRO</v>
      </c>
      <c r="L4035" s="17" t="str">
        <f>VLOOKUP(Tabela1[[#This Row],[Cliente]],'BASE DE CLIENTES'!A:E,5,0)</f>
        <v>CEILANDIA NORTE</v>
      </c>
    </row>
    <row r="4036" spans="2:12" x14ac:dyDescent="0.3">
      <c r="B4036" t="s">
        <v>220</v>
      </c>
      <c r="C4036" s="17" t="str">
        <f>VLOOKUP(Tabela1[[#This Row],[Cliente]],'BASE DE CLIENTES'!A:E,2,0)</f>
        <v>Goiânia</v>
      </c>
      <c r="D4036" s="17" t="str">
        <f>VLOOKUP(Tabela1[[#This Row],[Cliente]],'BASE DE CLIENTES'!A:C,3,0)</f>
        <v>GO</v>
      </c>
      <c r="E4036" s="17" t="str">
        <f>CONCATENATE(Tabela1[[#This Row],[CIDADE]],",",Tabela1[[#This Row],[UF]])</f>
        <v>Goiânia,GO</v>
      </c>
      <c r="F4036" s="15">
        <v>46079</v>
      </c>
      <c r="G4036" s="5">
        <v>290</v>
      </c>
      <c r="H4036" s="5">
        <v>0</v>
      </c>
      <c r="I4036" s="8">
        <f>Tabela1[[#This Row],[Valor total]]-Tabela1[[#This Row],[Valor custo]]</f>
        <v>-290</v>
      </c>
      <c r="J4036" s="18" t="e">
        <f>Tabela1[[#This Row],[MARGEM BRUTA]]/Tabela1[[#This Row],[Valor total]]</f>
        <v>#DIV/0!</v>
      </c>
      <c r="K4036" s="17" t="str">
        <f>VLOOKUP(Tabela1[[#This Row],[Cliente]],'BASE DE CLIENTES'!A:D,4,0)</f>
        <v>EMPRESA COM MAQUINA</v>
      </c>
      <c r="L4036" s="17" t="str">
        <f>VLOOKUP(Tabela1[[#This Row],[Cliente]],'BASE DE CLIENTES'!A:E,5,0)</f>
        <v>Goiânia</v>
      </c>
    </row>
    <row r="4037" spans="2:12" x14ac:dyDescent="0.3">
      <c r="B4037" t="s">
        <v>206</v>
      </c>
      <c r="C4037" s="17" t="str">
        <f>VLOOKUP(Tabela1[[#This Row],[Cliente]],'BASE DE CLIENTES'!A:E,2,0)</f>
        <v>Goiânia</v>
      </c>
      <c r="D4037" s="17" t="str">
        <f>VLOOKUP(Tabela1[[#This Row],[Cliente]],'BASE DE CLIENTES'!A:C,3,0)</f>
        <v>GO</v>
      </c>
      <c r="E4037" s="17" t="str">
        <f>CONCATENATE(Tabela1[[#This Row],[CIDADE]],",",Tabela1[[#This Row],[UF]])</f>
        <v>Goiânia,GO</v>
      </c>
      <c r="F4037" s="15">
        <v>46079</v>
      </c>
      <c r="G4037" s="5">
        <v>3242</v>
      </c>
      <c r="H4037" s="5">
        <v>5820</v>
      </c>
      <c r="I4037" s="8">
        <f>Tabela1[[#This Row],[Valor total]]-Tabela1[[#This Row],[Valor custo]]</f>
        <v>2578</v>
      </c>
      <c r="J4037" s="18">
        <f>Tabela1[[#This Row],[MARGEM BRUTA]]/Tabela1[[#This Row],[Valor total]]</f>
        <v>0.44295532646048108</v>
      </c>
      <c r="K4037" s="17" t="str">
        <f>VLOOKUP(Tabela1[[#This Row],[Cliente]],'BASE DE CLIENTES'!A:D,4,0)</f>
        <v>EMPRESA COM MAQUINA</v>
      </c>
      <c r="L4037" s="17" t="str">
        <f>VLOOKUP(Tabela1[[#This Row],[Cliente]],'BASE DE CLIENTES'!A:E,5,0)</f>
        <v>Goiânia</v>
      </c>
    </row>
    <row r="4038" spans="2:12" x14ac:dyDescent="0.3">
      <c r="B4038" t="s">
        <v>70</v>
      </c>
      <c r="C4038" s="17" t="str">
        <f>VLOOKUP(Tabela1[[#This Row],[Cliente]],'BASE DE CLIENTES'!A:E,2,0)</f>
        <v>Brasília</v>
      </c>
      <c r="D4038" s="17" t="str">
        <f>VLOOKUP(Tabela1[[#This Row],[Cliente]],'BASE DE CLIENTES'!A:C,3,0)</f>
        <v>DF</v>
      </c>
      <c r="E4038" s="17" t="str">
        <f>CONCATENATE(Tabela1[[#This Row],[CIDADE]],",",Tabela1[[#This Row],[UF]])</f>
        <v>Brasília,DF</v>
      </c>
      <c r="F4038" s="15">
        <v>46079</v>
      </c>
      <c r="G4038" s="5">
        <v>465</v>
      </c>
      <c r="H4038" s="5">
        <v>800</v>
      </c>
      <c r="I4038" s="8">
        <f>Tabela1[[#This Row],[Valor total]]-Tabela1[[#This Row],[Valor custo]]</f>
        <v>335</v>
      </c>
      <c r="J4038" s="18">
        <f>Tabela1[[#This Row],[MARGEM BRUTA]]/Tabela1[[#This Row],[Valor total]]</f>
        <v>0.41875000000000001</v>
      </c>
      <c r="K4038" s="17" t="str">
        <f>VLOOKUP(Tabela1[[#This Row],[Cliente]],'BASE DE CLIENTES'!A:D,4,0)</f>
        <v>EMPRESA COM MAQUINA</v>
      </c>
      <c r="L4038" s="17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7" t="str">
        <f>VLOOKUP(Tabela1[[#This Row],[Cliente]],'BASE DE CLIENTES'!A:E,2,0)</f>
        <v>Brasília</v>
      </c>
      <c r="D4039" s="17" t="str">
        <f>VLOOKUP(Tabela1[[#This Row],[Cliente]],'BASE DE CLIENTES'!A:C,3,0)</f>
        <v>DF</v>
      </c>
      <c r="E4039" s="17" t="str">
        <f>CONCATENATE(Tabela1[[#This Row],[CIDADE]],",",Tabela1[[#This Row],[UF]])</f>
        <v>Brasília,DF</v>
      </c>
      <c r="F4039" s="15">
        <v>46079</v>
      </c>
      <c r="G4039" s="5">
        <v>470</v>
      </c>
      <c r="H4039" s="5">
        <v>810</v>
      </c>
      <c r="I4039" s="8">
        <f>Tabela1[[#This Row],[Valor total]]-Tabela1[[#This Row],[Valor custo]]</f>
        <v>340</v>
      </c>
      <c r="J4039" s="18">
        <f>Tabela1[[#This Row],[MARGEM BRUTA]]/Tabela1[[#This Row],[Valor total]]</f>
        <v>0.41975308641975306</v>
      </c>
      <c r="K4039" s="17" t="str">
        <f>VLOOKUP(Tabela1[[#This Row],[Cliente]],'BASE DE CLIENTES'!A:D,4,0)</f>
        <v>EMPRESA SEM MAQUINA</v>
      </c>
      <c r="L4039" s="17" t="str">
        <f>VLOOKUP(Tabela1[[#This Row],[Cliente]],'BASE DE CLIENTES'!A:E,5,0)</f>
        <v>SAMAMBAIA</v>
      </c>
    </row>
    <row r="4040" spans="2:12" x14ac:dyDescent="0.3">
      <c r="B4040" t="s">
        <v>120</v>
      </c>
      <c r="C4040" s="17" t="str">
        <f>VLOOKUP(Tabela1[[#This Row],[Cliente]],'BASE DE CLIENTES'!A:E,2,0)</f>
        <v>Brasília</v>
      </c>
      <c r="D4040" s="17" t="str">
        <f>VLOOKUP(Tabela1[[#This Row],[Cliente]],'BASE DE CLIENTES'!A:C,3,0)</f>
        <v>DF</v>
      </c>
      <c r="E4040" s="17" t="str">
        <f>CONCATENATE(Tabela1[[#This Row],[CIDADE]],",",Tabela1[[#This Row],[UF]])</f>
        <v>Brasília,DF</v>
      </c>
      <c r="F4040" s="15">
        <v>46079</v>
      </c>
      <c r="G4040" s="5">
        <v>2429</v>
      </c>
      <c r="H4040" s="5">
        <v>3650</v>
      </c>
      <c r="I4040" s="8">
        <f>Tabela1[[#This Row],[Valor total]]-Tabela1[[#This Row],[Valor custo]]</f>
        <v>1221</v>
      </c>
      <c r="J4040" s="18">
        <f>Tabela1[[#This Row],[MARGEM BRUTA]]/Tabela1[[#This Row],[Valor total]]</f>
        <v>0.33452054794520547</v>
      </c>
      <c r="K4040" s="17" t="str">
        <f>VLOOKUP(Tabela1[[#This Row],[Cliente]],'BASE DE CLIENTES'!A:D,4,0)</f>
        <v>EMPRESA SEM MAQUINA</v>
      </c>
      <c r="L4040" s="17" t="str">
        <f>VLOOKUP(Tabela1[[#This Row],[Cliente]],'BASE DE CLIENTES'!A:E,5,0)</f>
        <v>SAMAMBAIA</v>
      </c>
    </row>
    <row r="4041" spans="2:12" x14ac:dyDescent="0.3">
      <c r="B4041" t="s">
        <v>23</v>
      </c>
      <c r="C4041" s="17" t="str">
        <f>VLOOKUP(Tabela1[[#This Row],[Cliente]],'BASE DE CLIENTES'!A:E,2,0)</f>
        <v>Brasília</v>
      </c>
      <c r="D4041" s="17" t="str">
        <f>VLOOKUP(Tabela1[[#This Row],[Cliente]],'BASE DE CLIENTES'!A:C,3,0)</f>
        <v>DF</v>
      </c>
      <c r="E4041" s="17" t="str">
        <f>CONCATENATE(Tabela1[[#This Row],[CIDADE]],",",Tabela1[[#This Row],[UF]])</f>
        <v>Brasília,DF</v>
      </c>
      <c r="F4041" s="15">
        <v>46079</v>
      </c>
      <c r="G4041" s="5">
        <v>3882</v>
      </c>
      <c r="H4041" s="5">
        <v>5600</v>
      </c>
      <c r="I4041" s="8">
        <f>Tabela1[[#This Row],[Valor total]]-Tabela1[[#This Row],[Valor custo]]</f>
        <v>1718</v>
      </c>
      <c r="J4041" s="18">
        <f>Tabela1[[#This Row],[MARGEM BRUTA]]/Tabela1[[#This Row],[Valor total]]</f>
        <v>0.30678571428571427</v>
      </c>
      <c r="K4041" s="17" t="str">
        <f>VLOOKUP(Tabela1[[#This Row],[Cliente]],'BASE DE CLIENTES'!A:D,4,0)</f>
        <v>EMPRESA SEM MAQUINA</v>
      </c>
      <c r="L4041" s="17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7" t="str">
        <f>VLOOKUP(Tabela1[[#This Row],[Cliente]],'BASE DE CLIENTES'!A:E,2,0)</f>
        <v>Brasília</v>
      </c>
      <c r="D4042" s="17" t="str">
        <f>VLOOKUP(Tabela1[[#This Row],[Cliente]],'BASE DE CLIENTES'!A:C,3,0)</f>
        <v>DF</v>
      </c>
      <c r="E4042" s="17" t="str">
        <f>CONCATENATE(Tabela1[[#This Row],[CIDADE]],",",Tabela1[[#This Row],[UF]])</f>
        <v>Brasília,DF</v>
      </c>
      <c r="F4042" s="15">
        <v>46079</v>
      </c>
      <c r="G4042" s="5">
        <v>4900</v>
      </c>
      <c r="H4042" s="5">
        <v>7700</v>
      </c>
      <c r="I4042" s="8">
        <f>Tabela1[[#This Row],[Valor total]]-Tabela1[[#This Row],[Valor custo]]</f>
        <v>2800</v>
      </c>
      <c r="J4042" s="18">
        <f>Tabela1[[#This Row],[MARGEM BRUTA]]/Tabela1[[#This Row],[Valor total]]</f>
        <v>0.36363636363636365</v>
      </c>
      <c r="K4042" s="17" t="str">
        <f>VLOOKUP(Tabela1[[#This Row],[Cliente]],'BASE DE CLIENTES'!A:D,4,0)</f>
        <v>EMPRESA COM MAQUINA</v>
      </c>
      <c r="L4042" s="17" t="str">
        <f>VLOOKUP(Tabela1[[#This Row],[Cliente]],'BASE DE CLIENTES'!A:E,5,0)</f>
        <v>RIACHO FUNDO II</v>
      </c>
    </row>
    <row r="4043" spans="2:12" x14ac:dyDescent="0.3">
      <c r="B4043" t="s">
        <v>152</v>
      </c>
      <c r="C4043" s="17" t="str">
        <f>VLOOKUP(Tabela1[[#This Row],[Cliente]],'BASE DE CLIENTES'!A:E,2,0)</f>
        <v>Aparecida de Goiânia</v>
      </c>
      <c r="D4043" s="17" t="str">
        <f>VLOOKUP(Tabela1[[#This Row],[Cliente]],'BASE DE CLIENTES'!A:C,3,0)</f>
        <v>GO</v>
      </c>
      <c r="E4043" s="17" t="str">
        <f>CONCATENATE(Tabela1[[#This Row],[CIDADE]],",",Tabela1[[#This Row],[UF]])</f>
        <v>Aparecida de Goiânia,GO</v>
      </c>
      <c r="F4043" s="15">
        <v>46079</v>
      </c>
      <c r="G4043" s="5">
        <v>510.31</v>
      </c>
      <c r="H4043" s="5">
        <v>750</v>
      </c>
      <c r="I4043" s="8">
        <f>Tabela1[[#This Row],[Valor total]]-Tabela1[[#This Row],[Valor custo]]</f>
        <v>239.69</v>
      </c>
      <c r="J4043" s="18">
        <f>Tabela1[[#This Row],[MARGEM BRUTA]]/Tabela1[[#This Row],[Valor total]]</f>
        <v>0.31958666666666669</v>
      </c>
      <c r="K4043" s="17" t="str">
        <f>VLOOKUP(Tabela1[[#This Row],[Cliente]],'BASE DE CLIENTES'!A:D,4,0)</f>
        <v>TECNICO</v>
      </c>
      <c r="L4043" s="17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7" t="str">
        <f>VLOOKUP(Tabela1[[#This Row],[Cliente]],'BASE DE CLIENTES'!A:E,2,0)</f>
        <v>Aparecida de Goiânia</v>
      </c>
      <c r="D4044" s="17" t="str">
        <f>VLOOKUP(Tabela1[[#This Row],[Cliente]],'BASE DE CLIENTES'!A:C,3,0)</f>
        <v>GO</v>
      </c>
      <c r="E4044" s="17" t="str">
        <f>CONCATENATE(Tabela1[[#This Row],[CIDADE]],",",Tabela1[[#This Row],[UF]])</f>
        <v>Aparecida de Goiânia,GO</v>
      </c>
      <c r="F4044" s="15">
        <v>46079</v>
      </c>
      <c r="G4044" s="5">
        <v>450</v>
      </c>
      <c r="H4044" s="5">
        <v>720</v>
      </c>
      <c r="I4044" s="8">
        <f>Tabela1[[#This Row],[Valor total]]-Tabela1[[#This Row],[Valor custo]]</f>
        <v>270</v>
      </c>
      <c r="J4044" s="18">
        <f>Tabela1[[#This Row],[MARGEM BRUTA]]/Tabela1[[#This Row],[Valor total]]</f>
        <v>0.375</v>
      </c>
      <c r="K4044" s="17" t="str">
        <f>VLOOKUP(Tabela1[[#This Row],[Cliente]],'BASE DE CLIENTES'!A:D,4,0)</f>
        <v>TECNICO</v>
      </c>
      <c r="L4044" s="17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7" t="str">
        <f>VLOOKUP(Tabela1[[#This Row],[Cliente]],'BASE DE CLIENTES'!A:E,2,0)</f>
        <v>Brasília</v>
      </c>
      <c r="D4045" s="17" t="str">
        <f>VLOOKUP(Tabela1[[#This Row],[Cliente]],'BASE DE CLIENTES'!A:C,3,0)</f>
        <v>DF</v>
      </c>
      <c r="E4045" s="17" t="str">
        <f>CONCATENATE(Tabela1[[#This Row],[CIDADE]],",",Tabela1[[#This Row],[UF]])</f>
        <v>Brasília,DF</v>
      </c>
      <c r="F4045" s="15">
        <v>46078</v>
      </c>
      <c r="G4045" s="5">
        <v>191</v>
      </c>
      <c r="H4045" s="5">
        <v>299</v>
      </c>
      <c r="I4045" s="8">
        <f>Tabela1[[#This Row],[Valor total]]-Tabela1[[#This Row],[Valor custo]]</f>
        <v>108</v>
      </c>
      <c r="J4045" s="18">
        <f>Tabela1[[#This Row],[MARGEM BRUTA]]/Tabela1[[#This Row],[Valor total]]</f>
        <v>0.3612040133779264</v>
      </c>
      <c r="K4045" s="17" t="str">
        <f>VLOOKUP(Tabela1[[#This Row],[Cliente]],'BASE DE CLIENTES'!A:D,4,0)</f>
        <v>SERRALHEIRO</v>
      </c>
      <c r="L4045" s="17" t="str">
        <f>VLOOKUP(Tabela1[[#This Row],[Cliente]],'BASE DE CLIENTES'!A:E,5,0)</f>
        <v>Taguatinga sul</v>
      </c>
    </row>
    <row r="4046" spans="2:12" x14ac:dyDescent="0.3">
      <c r="B4046" t="s">
        <v>161</v>
      </c>
      <c r="C4046" s="17" t="str">
        <f>VLOOKUP(Tabela1[[#This Row],[Cliente]],'BASE DE CLIENTES'!A:E,2,0)</f>
        <v>Brasília</v>
      </c>
      <c r="D4046" s="17" t="str">
        <f>VLOOKUP(Tabela1[[#This Row],[Cliente]],'BASE DE CLIENTES'!A:C,3,0)</f>
        <v>DF</v>
      </c>
      <c r="E4046" s="17" t="str">
        <f>CONCATENATE(Tabela1[[#This Row],[CIDADE]],",",Tabela1[[#This Row],[UF]])</f>
        <v>Brasília,DF</v>
      </c>
      <c r="F4046" s="15">
        <v>46078</v>
      </c>
      <c r="G4046" s="5">
        <v>12570</v>
      </c>
      <c r="H4046" s="5">
        <v>17700</v>
      </c>
      <c r="I4046" s="8">
        <f>Tabela1[[#This Row],[Valor total]]-Tabela1[[#This Row],[Valor custo]]</f>
        <v>5130</v>
      </c>
      <c r="J4046" s="18">
        <f>Tabela1[[#This Row],[MARGEM BRUTA]]/Tabela1[[#This Row],[Valor total]]</f>
        <v>0.28983050847457625</v>
      </c>
      <c r="K4046" s="17" t="str">
        <f>VLOOKUP(Tabela1[[#This Row],[Cliente]],'BASE DE CLIENTES'!A:D,4,0)</f>
        <v>EMPRESA COM MAQUINA</v>
      </c>
      <c r="L4046" s="17" t="str">
        <f>VLOOKUP(Tabela1[[#This Row],[Cliente]],'BASE DE CLIENTES'!A:E,5,0)</f>
        <v>RIACHO FUNDO II</v>
      </c>
    </row>
    <row r="4047" spans="2:12" x14ac:dyDescent="0.3">
      <c r="B4047" t="s">
        <v>189</v>
      </c>
      <c r="C4047" s="17" t="str">
        <f>VLOOKUP(Tabela1[[#This Row],[Cliente]],'BASE DE CLIENTES'!A:E,2,0)</f>
        <v>Formosa</v>
      </c>
      <c r="D4047" s="17" t="str">
        <f>VLOOKUP(Tabela1[[#This Row],[Cliente]],'BASE DE CLIENTES'!A:C,3,0)</f>
        <v>GO</v>
      </c>
      <c r="E4047" s="17" t="str">
        <f>CONCATENATE(Tabela1[[#This Row],[CIDADE]],",",Tabela1[[#This Row],[UF]])</f>
        <v>Formosa,GO</v>
      </c>
      <c r="F4047" s="15">
        <v>46078</v>
      </c>
      <c r="G4047" s="5">
        <v>419</v>
      </c>
      <c r="H4047" s="5">
        <v>690</v>
      </c>
      <c r="I4047" s="8">
        <f>Tabela1[[#This Row],[Valor total]]-Tabela1[[#This Row],[Valor custo]]</f>
        <v>271</v>
      </c>
      <c r="J4047" s="18">
        <f>Tabela1[[#This Row],[MARGEM BRUTA]]/Tabela1[[#This Row],[Valor total]]</f>
        <v>0.39275362318840579</v>
      </c>
      <c r="K4047" s="17" t="str">
        <f>VLOOKUP(Tabela1[[#This Row],[Cliente]],'BASE DE CLIENTES'!A:D,4,0)</f>
        <v>SEM CLASSIFICAÇÃO</v>
      </c>
      <c r="L4047" s="17" t="str">
        <f>VLOOKUP(Tabela1[[#This Row],[Cliente]],'BASE DE CLIENTES'!A:E,5,0)</f>
        <v>Formosa</v>
      </c>
    </row>
    <row r="4048" spans="2:12" x14ac:dyDescent="0.3">
      <c r="B4048" t="s">
        <v>88</v>
      </c>
      <c r="C4048" s="17" t="str">
        <f>VLOOKUP(Tabela1[[#This Row],[Cliente]],'BASE DE CLIENTES'!A:E,2,0)</f>
        <v>Brasília</v>
      </c>
      <c r="D4048" s="17" t="str">
        <f>VLOOKUP(Tabela1[[#This Row],[Cliente]],'BASE DE CLIENTES'!A:C,3,0)</f>
        <v>DF</v>
      </c>
      <c r="E4048" s="17" t="str">
        <f>CONCATENATE(Tabela1[[#This Row],[CIDADE]],",",Tabela1[[#This Row],[UF]])</f>
        <v>Brasília,DF</v>
      </c>
      <c r="F4048" s="15">
        <v>46078</v>
      </c>
      <c r="G4048" s="5">
        <v>80</v>
      </c>
      <c r="H4048" s="5">
        <v>130</v>
      </c>
      <c r="I4048" s="8">
        <f>Tabela1[[#This Row],[Valor total]]-Tabela1[[#This Row],[Valor custo]]</f>
        <v>50</v>
      </c>
      <c r="J4048" s="18">
        <f>Tabela1[[#This Row],[MARGEM BRUTA]]/Tabela1[[#This Row],[Valor total]]</f>
        <v>0.38461538461538464</v>
      </c>
      <c r="K4048" s="17" t="str">
        <f>VLOOKUP(Tabela1[[#This Row],[Cliente]],'BASE DE CLIENTES'!A:D,4,0)</f>
        <v>SERRALHEIRO</v>
      </c>
      <c r="L4048" s="17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7" t="str">
        <f>VLOOKUP(Tabela1[[#This Row],[Cliente]],'BASE DE CLIENTES'!A:E,2,0)</f>
        <v>Santo Antônio Descoberto</v>
      </c>
      <c r="D4049" s="17" t="str">
        <f>VLOOKUP(Tabela1[[#This Row],[Cliente]],'BASE DE CLIENTES'!A:C,3,0)</f>
        <v>GO</v>
      </c>
      <c r="E4049" s="17" t="str">
        <f>CONCATENATE(Tabela1[[#This Row],[CIDADE]],",",Tabela1[[#This Row],[UF]])</f>
        <v>Santo Antônio Descoberto,GO</v>
      </c>
      <c r="F4049" s="15">
        <v>46078</v>
      </c>
      <c r="G4049" s="5">
        <v>1659.86</v>
      </c>
      <c r="H4049" s="5">
        <v>2650</v>
      </c>
      <c r="I4049" s="8">
        <f>Tabela1[[#This Row],[Valor total]]-Tabela1[[#This Row],[Valor custo]]</f>
        <v>990.1400000000001</v>
      </c>
      <c r="J4049" s="18">
        <f>Tabela1[[#This Row],[MARGEM BRUTA]]/Tabela1[[#This Row],[Valor total]]</f>
        <v>0.37363773584905663</v>
      </c>
      <c r="K4049" s="17" t="str">
        <f>VLOOKUP(Tabela1[[#This Row],[Cliente]],'BASE DE CLIENTES'!A:D,4,0)</f>
        <v>CLIENTE NOVO S/ IDENT.</v>
      </c>
      <c r="L4049" s="17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7" t="str">
        <f>VLOOKUP(Tabela1[[#This Row],[Cliente]],'BASE DE CLIENTES'!A:E,2,0)</f>
        <v>Águas Lindas de Goiás</v>
      </c>
      <c r="D4050" s="17" t="str">
        <f>VLOOKUP(Tabela1[[#This Row],[Cliente]],'BASE DE CLIENTES'!A:C,3,0)</f>
        <v>GO</v>
      </c>
      <c r="E4050" s="17" t="str">
        <f>CONCATENATE(Tabela1[[#This Row],[CIDADE]],",",Tabela1[[#This Row],[UF]])</f>
        <v>Águas Lindas de Goiás,GO</v>
      </c>
      <c r="F4050" s="15">
        <v>46078</v>
      </c>
      <c r="G4050" s="5">
        <v>450</v>
      </c>
      <c r="H4050" s="5">
        <v>750</v>
      </c>
      <c r="I4050" s="8">
        <f>Tabela1[[#This Row],[Valor total]]-Tabela1[[#This Row],[Valor custo]]</f>
        <v>300</v>
      </c>
      <c r="J4050" s="18">
        <f>Tabela1[[#This Row],[MARGEM BRUTA]]/Tabela1[[#This Row],[Valor total]]</f>
        <v>0.4</v>
      </c>
      <c r="K4050" s="17" t="str">
        <f>VLOOKUP(Tabela1[[#This Row],[Cliente]],'BASE DE CLIENTES'!A:D,4,0)</f>
        <v>SERRALHEIRO</v>
      </c>
      <c r="L4050" s="17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7" t="str">
        <f>VLOOKUP(Tabela1[[#This Row],[Cliente]],'BASE DE CLIENTES'!A:E,2,0)</f>
        <v>Brasília</v>
      </c>
      <c r="D4051" s="17" t="str">
        <f>VLOOKUP(Tabela1[[#This Row],[Cliente]],'BASE DE CLIENTES'!A:C,3,0)</f>
        <v>DF</v>
      </c>
      <c r="E4051" s="17" t="str">
        <f>CONCATENATE(Tabela1[[#This Row],[CIDADE]],",",Tabela1[[#This Row],[UF]])</f>
        <v>Brasília,DF</v>
      </c>
      <c r="F4051" s="15">
        <v>46078</v>
      </c>
      <c r="G4051" s="5">
        <v>883.6</v>
      </c>
      <c r="H4051" s="5">
        <v>1320</v>
      </c>
      <c r="I4051" s="8">
        <f>Tabela1[[#This Row],[Valor total]]-Tabela1[[#This Row],[Valor custo]]</f>
        <v>436.4</v>
      </c>
      <c r="J4051" s="18">
        <f>Tabela1[[#This Row],[MARGEM BRUTA]]/Tabela1[[#This Row],[Valor total]]</f>
        <v>0.33060606060606057</v>
      </c>
      <c r="K4051" s="17" t="str">
        <f>VLOOKUP(Tabela1[[#This Row],[Cliente]],'BASE DE CLIENTES'!A:D,4,0)</f>
        <v>EMPRESA COM MAQUINA</v>
      </c>
      <c r="L4051" s="17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7" t="str">
        <f>VLOOKUP(Tabela1[[#This Row],[Cliente]],'BASE DE CLIENTES'!A:E,2,0)</f>
        <v>Goiânia</v>
      </c>
      <c r="D4052" s="17" t="str">
        <f>VLOOKUP(Tabela1[[#This Row],[Cliente]],'BASE DE CLIENTES'!A:C,3,0)</f>
        <v>GO</v>
      </c>
      <c r="E4052" s="17" t="str">
        <f>CONCATENATE(Tabela1[[#This Row],[CIDADE]],",",Tabela1[[#This Row],[UF]])</f>
        <v>Goiânia,GO</v>
      </c>
      <c r="F4052" s="15">
        <v>46078</v>
      </c>
      <c r="G4052" s="5">
        <v>530</v>
      </c>
      <c r="H4052" s="5">
        <v>790</v>
      </c>
      <c r="I4052" s="8">
        <f>Tabela1[[#This Row],[Valor total]]-Tabela1[[#This Row],[Valor custo]]</f>
        <v>260</v>
      </c>
      <c r="J4052" s="18">
        <f>Tabela1[[#This Row],[MARGEM BRUTA]]/Tabela1[[#This Row],[Valor total]]</f>
        <v>0.32911392405063289</v>
      </c>
      <c r="K4052" s="17" t="str">
        <f>VLOOKUP(Tabela1[[#This Row],[Cliente]],'BASE DE CLIENTES'!A:D,4,0)</f>
        <v>EMPRESA COM MAQUINA</v>
      </c>
      <c r="L4052" s="17" t="str">
        <f>VLOOKUP(Tabela1[[#This Row],[Cliente]],'BASE DE CLIENTES'!A:E,5,0)</f>
        <v>Goiânia</v>
      </c>
    </row>
    <row r="4053" spans="2:12" x14ac:dyDescent="0.3">
      <c r="B4053" t="s">
        <v>128</v>
      </c>
      <c r="C4053" s="17" t="str">
        <f>VLOOKUP(Tabela1[[#This Row],[Cliente]],'BASE DE CLIENTES'!A:E,2,0)</f>
        <v>Brasília</v>
      </c>
      <c r="D4053" s="17" t="str">
        <f>VLOOKUP(Tabela1[[#This Row],[Cliente]],'BASE DE CLIENTES'!A:C,3,0)</f>
        <v>DF</v>
      </c>
      <c r="E4053" s="17" t="str">
        <f>CONCATENATE(Tabela1[[#This Row],[CIDADE]],",",Tabela1[[#This Row],[UF]])</f>
        <v>Brasília,DF</v>
      </c>
      <c r="F4053" s="15">
        <v>46078</v>
      </c>
      <c r="G4053" s="5">
        <v>2668.71</v>
      </c>
      <c r="H4053" s="5">
        <v>4990</v>
      </c>
      <c r="I4053" s="8">
        <f>Tabela1[[#This Row],[Valor total]]-Tabela1[[#This Row],[Valor custo]]</f>
        <v>2321.29</v>
      </c>
      <c r="J4053" s="18">
        <f>Tabela1[[#This Row],[MARGEM BRUTA]]/Tabela1[[#This Row],[Valor total]]</f>
        <v>0.46518837675350699</v>
      </c>
      <c r="K4053" s="17" t="str">
        <f>VLOOKUP(Tabela1[[#This Row],[Cliente]],'BASE DE CLIENTES'!A:D,4,0)</f>
        <v>SERRALHEIRO</v>
      </c>
      <c r="L4053" s="17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7" t="str">
        <f>VLOOKUP(Tabela1[[#This Row],[Cliente]],'BASE DE CLIENTES'!A:E,2,0)</f>
        <v>Brasília</v>
      </c>
      <c r="D4054" s="17" t="str">
        <f>VLOOKUP(Tabela1[[#This Row],[Cliente]],'BASE DE CLIENTES'!A:C,3,0)</f>
        <v>DF</v>
      </c>
      <c r="E4054" s="17" t="str">
        <f>CONCATENATE(Tabela1[[#This Row],[CIDADE]],",",Tabela1[[#This Row],[UF]])</f>
        <v>Brasília,DF</v>
      </c>
      <c r="F4054" s="15">
        <v>46078</v>
      </c>
      <c r="G4054" s="5">
        <v>1900.3</v>
      </c>
      <c r="H4054" s="5">
        <v>3315</v>
      </c>
      <c r="I4054" s="8">
        <f>Tabela1[[#This Row],[Valor total]]-Tabela1[[#This Row],[Valor custo]]</f>
        <v>1414.7</v>
      </c>
      <c r="J4054" s="18">
        <f>Tabela1[[#This Row],[MARGEM BRUTA]]/Tabela1[[#This Row],[Valor total]]</f>
        <v>0.42675716440422323</v>
      </c>
      <c r="K4054" s="17" t="str">
        <f>VLOOKUP(Tabela1[[#This Row],[Cliente]],'BASE DE CLIENTES'!A:D,4,0)</f>
        <v>EMPRESA COM MAQUINA</v>
      </c>
      <c r="L4054" s="17" t="str">
        <f>VLOOKUP(Tabela1[[#This Row],[Cliente]],'BASE DE CLIENTES'!A:E,5,0)</f>
        <v>RIACHO FUNDO II</v>
      </c>
    </row>
    <row r="4055" spans="2:12" x14ac:dyDescent="0.3">
      <c r="B4055" t="s">
        <v>27</v>
      </c>
      <c r="C4055" s="17" t="str">
        <f>VLOOKUP(Tabela1[[#This Row],[Cliente]],'BASE DE CLIENTES'!A:E,2,0)</f>
        <v>Brasília</v>
      </c>
      <c r="D4055" s="17" t="str">
        <f>VLOOKUP(Tabela1[[#This Row],[Cliente]],'BASE DE CLIENTES'!A:C,3,0)</f>
        <v>DF</v>
      </c>
      <c r="E4055" s="17" t="str">
        <f>CONCATENATE(Tabela1[[#This Row],[CIDADE]],",",Tabela1[[#This Row],[UF]])</f>
        <v>Brasília,DF</v>
      </c>
      <c r="F4055" s="15">
        <v>46078</v>
      </c>
      <c r="G4055" s="5">
        <v>509.06</v>
      </c>
      <c r="H4055" s="5">
        <v>800</v>
      </c>
      <c r="I4055" s="8">
        <f>Tabela1[[#This Row],[Valor total]]-Tabela1[[#This Row],[Valor custo]]</f>
        <v>290.94</v>
      </c>
      <c r="J4055" s="18">
        <f>Tabela1[[#This Row],[MARGEM BRUTA]]/Tabela1[[#This Row],[Valor total]]</f>
        <v>0.36367499999999997</v>
      </c>
      <c r="K4055" s="17" t="str">
        <f>VLOOKUP(Tabela1[[#This Row],[Cliente]],'BASE DE CLIENTES'!A:D,4,0)</f>
        <v>EMPRESA SEM MAQUINA</v>
      </c>
      <c r="L4055" s="17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7" t="str">
        <f>VLOOKUP(Tabela1[[#This Row],[Cliente]],'BASE DE CLIENTES'!A:E,2,0)</f>
        <v>Brasília</v>
      </c>
      <c r="D4056" s="17" t="str">
        <f>VLOOKUP(Tabela1[[#This Row],[Cliente]],'BASE DE CLIENTES'!A:C,3,0)</f>
        <v>DF</v>
      </c>
      <c r="E4056" s="17" t="str">
        <f>CONCATENATE(Tabela1[[#This Row],[CIDADE]],",",Tabela1[[#This Row],[UF]])</f>
        <v>Brasília,DF</v>
      </c>
      <c r="F4056" s="15">
        <v>46078</v>
      </c>
      <c r="G4056" s="5">
        <v>604.07000000000005</v>
      </c>
      <c r="H4056" s="5">
        <v>855</v>
      </c>
      <c r="I4056" s="8">
        <f>Tabela1[[#This Row],[Valor total]]-Tabela1[[#This Row],[Valor custo]]</f>
        <v>250.92999999999995</v>
      </c>
      <c r="J4056" s="18">
        <f>Tabela1[[#This Row],[MARGEM BRUTA]]/Tabela1[[#This Row],[Valor total]]</f>
        <v>0.29348538011695902</v>
      </c>
      <c r="K4056" s="17" t="str">
        <f>VLOOKUP(Tabela1[[#This Row],[Cliente]],'BASE DE CLIENTES'!A:D,4,0)</f>
        <v>EMPRESA SEM MAQUINA</v>
      </c>
      <c r="L4056" s="17" t="str">
        <f>VLOOKUP(Tabela1[[#This Row],[Cliente]],'BASE DE CLIENTES'!A:E,5,0)</f>
        <v>SAMAMBAIA</v>
      </c>
    </row>
    <row r="4057" spans="2:12" x14ac:dyDescent="0.3">
      <c r="B4057" t="s">
        <v>25</v>
      </c>
      <c r="C4057" s="17" t="str">
        <f>VLOOKUP(Tabela1[[#This Row],[Cliente]],'BASE DE CLIENTES'!A:E,2,0)</f>
        <v>Brasília</v>
      </c>
      <c r="D4057" s="17" t="str">
        <f>VLOOKUP(Tabela1[[#This Row],[Cliente]],'BASE DE CLIENTES'!A:C,3,0)</f>
        <v>DF</v>
      </c>
      <c r="E4057" s="17" t="str">
        <f>CONCATENATE(Tabela1[[#This Row],[CIDADE]],",",Tabela1[[#This Row],[UF]])</f>
        <v>Brasília,DF</v>
      </c>
      <c r="F4057" s="15">
        <v>46078</v>
      </c>
      <c r="G4057" s="5">
        <v>1410</v>
      </c>
      <c r="H4057" s="5">
        <v>2400</v>
      </c>
      <c r="I4057" s="8">
        <f>Tabela1[[#This Row],[Valor total]]-Tabela1[[#This Row],[Valor custo]]</f>
        <v>990</v>
      </c>
      <c r="J4057" s="18">
        <f>Tabela1[[#This Row],[MARGEM BRUTA]]/Tabela1[[#This Row],[Valor total]]</f>
        <v>0.41249999999999998</v>
      </c>
      <c r="K4057" s="17" t="str">
        <f>VLOOKUP(Tabela1[[#This Row],[Cliente]],'BASE DE CLIENTES'!A:D,4,0)</f>
        <v>EMPRESA COM MAQUINA</v>
      </c>
      <c r="L4057" s="17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7" t="str">
        <f>VLOOKUP(Tabela1[[#This Row],[Cliente]],'BASE DE CLIENTES'!A:E,2,0)</f>
        <v>Brasília</v>
      </c>
      <c r="D4058" s="17" t="str">
        <f>VLOOKUP(Tabela1[[#This Row],[Cliente]],'BASE DE CLIENTES'!A:C,3,0)</f>
        <v>DF</v>
      </c>
      <c r="E4058" s="17" t="str">
        <f>CONCATENATE(Tabela1[[#This Row],[CIDADE]],",",Tabela1[[#This Row],[UF]])</f>
        <v>Brasília,DF</v>
      </c>
      <c r="F4058" s="15">
        <v>46078</v>
      </c>
      <c r="G4058" s="5">
        <v>2095</v>
      </c>
      <c r="H4058" s="5">
        <v>3120</v>
      </c>
      <c r="I4058" s="8">
        <f>Tabela1[[#This Row],[Valor total]]-Tabela1[[#This Row],[Valor custo]]</f>
        <v>1025</v>
      </c>
      <c r="J4058" s="18">
        <f>Tabela1[[#This Row],[MARGEM BRUTA]]/Tabela1[[#This Row],[Valor total]]</f>
        <v>0.32852564102564102</v>
      </c>
      <c r="K4058" s="17" t="str">
        <f>VLOOKUP(Tabela1[[#This Row],[Cliente]],'BASE DE CLIENTES'!A:D,4,0)</f>
        <v>EMPRESA COM MAQUINA</v>
      </c>
      <c r="L4058" s="17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7" t="str">
        <f>VLOOKUP(Tabela1[[#This Row],[Cliente]],'BASE DE CLIENTES'!A:E,2,0)</f>
        <v>Goiânia</v>
      </c>
      <c r="D4059" s="17" t="str">
        <f>VLOOKUP(Tabela1[[#This Row],[Cliente]],'BASE DE CLIENTES'!A:C,3,0)</f>
        <v>GO</v>
      </c>
      <c r="E4059" s="17" t="str">
        <f>CONCATENATE(Tabela1[[#This Row],[CIDADE]],",",Tabela1[[#This Row],[UF]])</f>
        <v>Goiânia,GO</v>
      </c>
      <c r="F4059" s="15">
        <v>46078</v>
      </c>
      <c r="G4059" s="5">
        <v>1257</v>
      </c>
      <c r="H4059" s="5">
        <v>1770</v>
      </c>
      <c r="I4059" s="8">
        <f>Tabela1[[#This Row],[Valor total]]-Tabela1[[#This Row],[Valor custo]]</f>
        <v>513</v>
      </c>
      <c r="J4059" s="18">
        <f>Tabela1[[#This Row],[MARGEM BRUTA]]/Tabela1[[#This Row],[Valor total]]</f>
        <v>0.28983050847457625</v>
      </c>
      <c r="K4059" s="17" t="str">
        <f>VLOOKUP(Tabela1[[#This Row],[Cliente]],'BASE DE CLIENTES'!A:D,4,0)</f>
        <v>EMPRESA COM MAQUINA</v>
      </c>
      <c r="L4059" s="17" t="str">
        <f>VLOOKUP(Tabela1[[#This Row],[Cliente]],'BASE DE CLIENTES'!A:E,5,0)</f>
        <v>Goiânia</v>
      </c>
    </row>
    <row r="4060" spans="2:12" x14ac:dyDescent="0.3">
      <c r="B4060" t="s">
        <v>319</v>
      </c>
      <c r="C4060" s="17" t="str">
        <f>VLOOKUP(Tabela1[[#This Row],[Cliente]],'BASE DE CLIENTES'!A:E,2,0)</f>
        <v>Valparaíso de Goiás</v>
      </c>
      <c r="D4060" s="17" t="str">
        <f>VLOOKUP(Tabela1[[#This Row],[Cliente]],'BASE DE CLIENTES'!A:C,3,0)</f>
        <v>GO</v>
      </c>
      <c r="E4060" s="17" t="str">
        <f>CONCATENATE(Tabela1[[#This Row],[CIDADE]],",",Tabela1[[#This Row],[UF]])</f>
        <v>Valparaíso de Goiás,GO</v>
      </c>
      <c r="F4060" s="15">
        <v>46078</v>
      </c>
      <c r="G4060" s="5">
        <v>2260</v>
      </c>
      <c r="H4060" s="5">
        <v>3400</v>
      </c>
      <c r="I4060" s="8">
        <f>Tabela1[[#This Row],[Valor total]]-Tabela1[[#This Row],[Valor custo]]</f>
        <v>1140</v>
      </c>
      <c r="J4060" s="18">
        <f>Tabela1[[#This Row],[MARGEM BRUTA]]/Tabela1[[#This Row],[Valor total]]</f>
        <v>0.3352941176470588</v>
      </c>
      <c r="K4060" s="17" t="str">
        <f>VLOOKUP(Tabela1[[#This Row],[Cliente]],'BASE DE CLIENTES'!A:D,4,0)</f>
        <v>EMPRESA COM MAQUINA</v>
      </c>
      <c r="L4060" s="17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7" t="str">
        <f>VLOOKUP(Tabela1[[#This Row],[Cliente]],'BASE DE CLIENTES'!A:E,2,0)</f>
        <v>Brasília</v>
      </c>
      <c r="D4061" s="17" t="str">
        <f>VLOOKUP(Tabela1[[#This Row],[Cliente]],'BASE DE CLIENTES'!A:C,3,0)</f>
        <v>DF</v>
      </c>
      <c r="E4061" s="17" t="str">
        <f>CONCATENATE(Tabela1[[#This Row],[CIDADE]],",",Tabela1[[#This Row],[UF]])</f>
        <v>Brasília,DF</v>
      </c>
      <c r="F4061" s="15">
        <v>46078</v>
      </c>
      <c r="G4061" s="5">
        <v>1810</v>
      </c>
      <c r="H4061" s="5">
        <v>2810</v>
      </c>
      <c r="I4061" s="8">
        <f>Tabela1[[#This Row],[Valor total]]-Tabela1[[#This Row],[Valor custo]]</f>
        <v>1000</v>
      </c>
      <c r="J4061" s="18">
        <f>Tabela1[[#This Row],[MARGEM BRUTA]]/Tabela1[[#This Row],[Valor total]]</f>
        <v>0.35587188612099646</v>
      </c>
      <c r="K4061" s="17" t="str">
        <f>VLOOKUP(Tabela1[[#This Row],[Cliente]],'BASE DE CLIENTES'!A:D,4,0)</f>
        <v>EMPRESA SEM MAQUINA</v>
      </c>
      <c r="L4061" s="17" t="str">
        <f>VLOOKUP(Tabela1[[#This Row],[Cliente]],'BASE DE CLIENTES'!A:E,5,0)</f>
        <v>SAMAMBAIA</v>
      </c>
    </row>
    <row r="4062" spans="2:12" x14ac:dyDescent="0.3">
      <c r="B4062" t="s">
        <v>138</v>
      </c>
      <c r="C4062" s="17" t="str">
        <f>VLOOKUP(Tabela1[[#This Row],[Cliente]],'BASE DE CLIENTES'!A:E,2,0)</f>
        <v>Brasília</v>
      </c>
      <c r="D4062" s="17" t="str">
        <f>VLOOKUP(Tabela1[[#This Row],[Cliente]],'BASE DE CLIENTES'!A:C,3,0)</f>
        <v>DF</v>
      </c>
      <c r="E4062" s="17" t="str">
        <f>CONCATENATE(Tabela1[[#This Row],[CIDADE]],",",Tabela1[[#This Row],[UF]])</f>
        <v>Brasília,DF</v>
      </c>
      <c r="F4062" s="15">
        <v>46077</v>
      </c>
      <c r="G4062" s="5">
        <v>0</v>
      </c>
      <c r="H4062" s="5">
        <v>55</v>
      </c>
      <c r="I4062" s="8">
        <f>Tabela1[[#This Row],[Valor total]]-Tabela1[[#This Row],[Valor custo]]</f>
        <v>55</v>
      </c>
      <c r="J4062" s="18">
        <f>Tabela1[[#This Row],[MARGEM BRUTA]]/Tabela1[[#This Row],[Valor total]]</f>
        <v>1</v>
      </c>
      <c r="K4062" s="17" t="str">
        <f>VLOOKUP(Tabela1[[#This Row],[Cliente]],'BASE DE CLIENTES'!A:D,4,0)</f>
        <v>OUTROS RAMOS</v>
      </c>
      <c r="L4062" s="17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7" t="str">
        <f>VLOOKUP(Tabela1[[#This Row],[Cliente]],'BASE DE CLIENTES'!A:E,2,0)</f>
        <v>Brasília</v>
      </c>
      <c r="D4063" s="17" t="str">
        <f>VLOOKUP(Tabela1[[#This Row],[Cliente]],'BASE DE CLIENTES'!A:C,3,0)</f>
        <v>DF</v>
      </c>
      <c r="E4063" s="17" t="str">
        <f>CONCATENATE(Tabela1[[#This Row],[CIDADE]],",",Tabela1[[#This Row],[UF]])</f>
        <v>Brasília,DF</v>
      </c>
      <c r="F4063" s="15">
        <v>46077</v>
      </c>
      <c r="G4063" s="5">
        <v>191</v>
      </c>
      <c r="H4063" s="5">
        <v>550</v>
      </c>
      <c r="I4063" s="8">
        <f>Tabela1[[#This Row],[Valor total]]-Tabela1[[#This Row],[Valor custo]]</f>
        <v>359</v>
      </c>
      <c r="J4063" s="18">
        <f>Tabela1[[#This Row],[MARGEM BRUTA]]/Tabela1[[#This Row],[Valor total]]</f>
        <v>0.65272727272727271</v>
      </c>
      <c r="K4063" s="17" t="str">
        <f>VLOOKUP(Tabela1[[#This Row],[Cliente]],'BASE DE CLIENTES'!A:D,4,0)</f>
        <v>EMPRESA SEM MAQUINA</v>
      </c>
      <c r="L4063" s="17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7" t="str">
        <f>VLOOKUP(Tabela1[[#This Row],[Cliente]],'BASE DE CLIENTES'!A:E,2,0)</f>
        <v>Brasília</v>
      </c>
      <c r="D4064" s="17" t="str">
        <f>VLOOKUP(Tabela1[[#This Row],[Cliente]],'BASE DE CLIENTES'!A:C,3,0)</f>
        <v>DF</v>
      </c>
      <c r="E4064" s="17" t="str">
        <f>CONCATENATE(Tabela1[[#This Row],[CIDADE]],",",Tabela1[[#This Row],[UF]])</f>
        <v>Brasília,DF</v>
      </c>
      <c r="F4064" s="15">
        <v>46077</v>
      </c>
      <c r="G4064" s="5">
        <v>419</v>
      </c>
      <c r="H4064" s="5">
        <v>720</v>
      </c>
      <c r="I4064" s="8">
        <f>Tabela1[[#This Row],[Valor total]]-Tabela1[[#This Row],[Valor custo]]</f>
        <v>301</v>
      </c>
      <c r="J4064" s="18">
        <f>Tabela1[[#This Row],[MARGEM BRUTA]]/Tabela1[[#This Row],[Valor total]]</f>
        <v>0.41805555555555557</v>
      </c>
      <c r="K4064" s="17" t="str">
        <f>VLOOKUP(Tabela1[[#This Row],[Cliente]],'BASE DE CLIENTES'!A:D,4,0)</f>
        <v>SERRALHEIRO</v>
      </c>
      <c r="L4064" s="17" t="str">
        <f>VLOOKUP(Tabela1[[#This Row],[Cliente]],'BASE DE CLIENTES'!A:E,5,0)</f>
        <v>NA</v>
      </c>
    </row>
    <row r="4065" spans="2:12" x14ac:dyDescent="0.3">
      <c r="B4065" t="s">
        <v>68</v>
      </c>
      <c r="C4065" s="17" t="str">
        <f>VLOOKUP(Tabela1[[#This Row],[Cliente]],'BASE DE CLIENTES'!A:E,2,0)</f>
        <v>Brasília</v>
      </c>
      <c r="D4065" s="17" t="str">
        <f>VLOOKUP(Tabela1[[#This Row],[Cliente]],'BASE DE CLIENTES'!A:C,3,0)</f>
        <v>DF</v>
      </c>
      <c r="E4065" s="17" t="str">
        <f>CONCATENATE(Tabela1[[#This Row],[CIDADE]],",",Tabela1[[#This Row],[UF]])</f>
        <v>Brasília,DF</v>
      </c>
      <c r="F4065" s="15">
        <v>46077</v>
      </c>
      <c r="G4065" s="5">
        <v>500</v>
      </c>
      <c r="H4065" s="5">
        <v>600</v>
      </c>
      <c r="I4065" s="8">
        <f>Tabela1[[#This Row],[Valor total]]-Tabela1[[#This Row],[Valor custo]]</f>
        <v>100</v>
      </c>
      <c r="J4065" s="18">
        <f>Tabela1[[#This Row],[MARGEM BRUTA]]/Tabela1[[#This Row],[Valor total]]</f>
        <v>0.16666666666666666</v>
      </c>
      <c r="K4065" s="17" t="str">
        <f>VLOOKUP(Tabela1[[#This Row],[Cliente]],'BASE DE CLIENTES'!A:D,4,0)</f>
        <v>EMPRESA COM MAQUINA</v>
      </c>
      <c r="L4065" s="17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7" t="str">
        <f>VLOOKUP(Tabela1[[#This Row],[Cliente]],'BASE DE CLIENTES'!A:E,2,0)</f>
        <v>Fortaleza</v>
      </c>
      <c r="D4066" s="17" t="str">
        <f>VLOOKUP(Tabela1[[#This Row],[Cliente]],'BASE DE CLIENTES'!A:C,3,0)</f>
        <v>CE</v>
      </c>
      <c r="E4066" s="17" t="str">
        <f>CONCATENATE(Tabela1[[#This Row],[CIDADE]],",",Tabela1[[#This Row],[UF]])</f>
        <v>Fortaleza,CE</v>
      </c>
      <c r="F4066" s="15">
        <v>46077</v>
      </c>
      <c r="G4066" s="5">
        <v>6440.65</v>
      </c>
      <c r="H4066" s="5">
        <v>11650</v>
      </c>
      <c r="I4066" s="8">
        <f>Tabela1[[#This Row],[Valor total]]-Tabela1[[#This Row],[Valor custo]]</f>
        <v>5209.3500000000004</v>
      </c>
      <c r="J4066" s="18">
        <f>Tabela1[[#This Row],[MARGEM BRUTA]]/Tabela1[[#This Row],[Valor total]]</f>
        <v>0.44715450643776827</v>
      </c>
      <c r="K4066" s="17" t="str">
        <f>VLOOKUP(Tabela1[[#This Row],[Cliente]],'BASE DE CLIENTES'!A:D,4,0)</f>
        <v>EMPRESA COM MAQUINA</v>
      </c>
      <c r="L4066" s="17" t="str">
        <f>VLOOKUP(Tabela1[[#This Row],[Cliente]],'BASE DE CLIENTES'!A:E,5,0)</f>
        <v>Fortaleza</v>
      </c>
    </row>
    <row r="4067" spans="2:12" x14ac:dyDescent="0.3">
      <c r="B4067" t="s">
        <v>106</v>
      </c>
      <c r="C4067" s="17" t="str">
        <f>VLOOKUP(Tabela1[[#This Row],[Cliente]],'BASE DE CLIENTES'!A:E,2,0)</f>
        <v>Brasília</v>
      </c>
      <c r="D4067" s="17" t="str">
        <f>VLOOKUP(Tabela1[[#This Row],[Cliente]],'BASE DE CLIENTES'!A:C,3,0)</f>
        <v>DF</v>
      </c>
      <c r="E4067" s="17" t="str">
        <f>CONCATENATE(Tabela1[[#This Row],[CIDADE]],",",Tabela1[[#This Row],[UF]])</f>
        <v>Brasília,DF</v>
      </c>
      <c r="F4067" s="15">
        <v>46077</v>
      </c>
      <c r="G4067" s="5">
        <v>112.56</v>
      </c>
      <c r="H4067" s="5">
        <v>360</v>
      </c>
      <c r="I4067" s="8">
        <f>Tabela1[[#This Row],[Valor total]]-Tabela1[[#This Row],[Valor custo]]</f>
        <v>247.44</v>
      </c>
      <c r="J4067" s="18">
        <f>Tabela1[[#This Row],[MARGEM BRUTA]]/Tabela1[[#This Row],[Valor total]]</f>
        <v>0.68733333333333335</v>
      </c>
      <c r="K4067" s="17" t="str">
        <f>VLOOKUP(Tabela1[[#This Row],[Cliente]],'BASE DE CLIENTES'!A:D,4,0)</f>
        <v>EMPRESA COM MAQUINA</v>
      </c>
      <c r="L4067" s="17" t="str">
        <f>VLOOKUP(Tabela1[[#This Row],[Cliente]],'BASE DE CLIENTES'!A:E,5,0)</f>
        <v>26 DE SETEMBRO</v>
      </c>
    </row>
    <row r="4068" spans="2:12" x14ac:dyDescent="0.3">
      <c r="B4068" t="s">
        <v>68</v>
      </c>
      <c r="C4068" s="17" t="str">
        <f>VLOOKUP(Tabela1[[#This Row],[Cliente]],'BASE DE CLIENTES'!A:E,2,0)</f>
        <v>Brasília</v>
      </c>
      <c r="D4068" s="17" t="str">
        <f>VLOOKUP(Tabela1[[#This Row],[Cliente]],'BASE DE CLIENTES'!A:C,3,0)</f>
        <v>DF</v>
      </c>
      <c r="E4068" s="17" t="str">
        <f>CONCATENATE(Tabela1[[#This Row],[CIDADE]],",",Tabela1[[#This Row],[UF]])</f>
        <v>Brasília,DF</v>
      </c>
      <c r="F4068" s="15">
        <v>46077</v>
      </c>
      <c r="G4068" s="5">
        <v>680</v>
      </c>
      <c r="H4068" s="5">
        <v>1100</v>
      </c>
      <c r="I4068" s="8">
        <f>Tabela1[[#This Row],[Valor total]]-Tabela1[[#This Row],[Valor custo]]</f>
        <v>420</v>
      </c>
      <c r="J4068" s="18">
        <f>Tabela1[[#This Row],[MARGEM BRUTA]]/Tabela1[[#This Row],[Valor total]]</f>
        <v>0.38181818181818183</v>
      </c>
      <c r="K4068" s="17" t="str">
        <f>VLOOKUP(Tabela1[[#This Row],[Cliente]],'BASE DE CLIENTES'!A:D,4,0)</f>
        <v>EMPRESA COM MAQUINA</v>
      </c>
      <c r="L4068" s="17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7" t="str">
        <f>VLOOKUP(Tabela1[[#This Row],[Cliente]],'BASE DE CLIENTES'!A:E,2,0)</f>
        <v>Brasília</v>
      </c>
      <c r="D4069" s="17" t="str">
        <f>VLOOKUP(Tabela1[[#This Row],[Cliente]],'BASE DE CLIENTES'!A:C,3,0)</f>
        <v>DF</v>
      </c>
      <c r="E4069" s="17" t="str">
        <f>CONCATENATE(Tabela1[[#This Row],[CIDADE]],",",Tabela1[[#This Row],[UF]])</f>
        <v>Brasília,DF</v>
      </c>
      <c r="F4069" s="15">
        <v>46077</v>
      </c>
      <c r="G4069" s="5">
        <v>650</v>
      </c>
      <c r="H4069" s="5">
        <v>900</v>
      </c>
      <c r="I4069" s="8">
        <f>Tabela1[[#This Row],[Valor total]]-Tabela1[[#This Row],[Valor custo]]</f>
        <v>250</v>
      </c>
      <c r="J4069" s="18">
        <f>Tabela1[[#This Row],[MARGEM BRUTA]]/Tabela1[[#This Row],[Valor total]]</f>
        <v>0.27777777777777779</v>
      </c>
      <c r="K4069" s="17" t="str">
        <f>VLOOKUP(Tabela1[[#This Row],[Cliente]],'BASE DE CLIENTES'!A:D,4,0)</f>
        <v>EMPRESA COM MAQUINA</v>
      </c>
      <c r="L4069" s="17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7" t="str">
        <f>VLOOKUP(Tabela1[[#This Row],[Cliente]],'BASE DE CLIENTES'!A:E,2,0)</f>
        <v>Goiânia</v>
      </c>
      <c r="D4070" s="17" t="str">
        <f>VLOOKUP(Tabela1[[#This Row],[Cliente]],'BASE DE CLIENTES'!A:C,3,0)</f>
        <v>GO</v>
      </c>
      <c r="E4070" s="17" t="str">
        <f>CONCATENATE(Tabela1[[#This Row],[CIDADE]],",",Tabela1[[#This Row],[UF]])</f>
        <v>Goiânia,GO</v>
      </c>
      <c r="F4070" s="15">
        <v>46077</v>
      </c>
      <c r="G4070" s="5">
        <v>530</v>
      </c>
      <c r="H4070" s="5">
        <v>790</v>
      </c>
      <c r="I4070" s="8">
        <f>Tabela1[[#This Row],[Valor total]]-Tabela1[[#This Row],[Valor custo]]</f>
        <v>260</v>
      </c>
      <c r="J4070" s="18">
        <f>Tabela1[[#This Row],[MARGEM BRUTA]]/Tabela1[[#This Row],[Valor total]]</f>
        <v>0.32911392405063289</v>
      </c>
      <c r="K4070" s="17" t="str">
        <f>VLOOKUP(Tabela1[[#This Row],[Cliente]],'BASE DE CLIENTES'!A:D,4,0)</f>
        <v>EMPRESA COM MAQUINA</v>
      </c>
      <c r="L4070" s="17" t="str">
        <f>VLOOKUP(Tabela1[[#This Row],[Cliente]],'BASE DE CLIENTES'!A:E,5,0)</f>
        <v>Goiânia</v>
      </c>
    </row>
    <row r="4071" spans="2:12" x14ac:dyDescent="0.3">
      <c r="B4071" t="s">
        <v>52</v>
      </c>
      <c r="C4071" s="17" t="str">
        <f>VLOOKUP(Tabela1[[#This Row],[Cliente]],'BASE DE CLIENTES'!A:E,2,0)</f>
        <v>Brasília</v>
      </c>
      <c r="D4071" s="17" t="str">
        <f>VLOOKUP(Tabela1[[#This Row],[Cliente]],'BASE DE CLIENTES'!A:C,3,0)</f>
        <v>DF</v>
      </c>
      <c r="E4071" s="17" t="str">
        <f>CONCATENATE(Tabela1[[#This Row],[CIDADE]],",",Tabela1[[#This Row],[UF]])</f>
        <v>Brasília,DF</v>
      </c>
      <c r="F4071" s="15">
        <v>46077</v>
      </c>
      <c r="G4071" s="5">
        <v>419</v>
      </c>
      <c r="H4071" s="5">
        <v>580</v>
      </c>
      <c r="I4071" s="8">
        <f>Tabela1[[#This Row],[Valor total]]-Tabela1[[#This Row],[Valor custo]]</f>
        <v>161</v>
      </c>
      <c r="J4071" s="18">
        <f>Tabela1[[#This Row],[MARGEM BRUTA]]/Tabela1[[#This Row],[Valor total]]</f>
        <v>0.27758620689655172</v>
      </c>
      <c r="K4071" s="17" t="str">
        <f>VLOOKUP(Tabela1[[#This Row],[Cliente]],'BASE DE CLIENTES'!A:D,4,0)</f>
        <v>SERRALHEIRO</v>
      </c>
      <c r="L4071" s="17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7" t="str">
        <f>VLOOKUP(Tabela1[[#This Row],[Cliente]],'BASE DE CLIENTES'!A:E,2,0)</f>
        <v>Trindade</v>
      </c>
      <c r="D4072" s="17" t="str">
        <f>VLOOKUP(Tabela1[[#This Row],[Cliente]],'BASE DE CLIENTES'!A:C,3,0)</f>
        <v>GO</v>
      </c>
      <c r="E4072" s="17" t="str">
        <f>CONCATENATE(Tabela1[[#This Row],[CIDADE]],",",Tabela1[[#This Row],[UF]])</f>
        <v>Trindade,GO</v>
      </c>
      <c r="F4072" s="15">
        <v>46077</v>
      </c>
      <c r="G4072" s="5">
        <v>9203.8799999999992</v>
      </c>
      <c r="H4072" s="5">
        <v>15616</v>
      </c>
      <c r="I4072" s="8">
        <f>Tabela1[[#This Row],[Valor total]]-Tabela1[[#This Row],[Valor custo]]</f>
        <v>6412.1200000000008</v>
      </c>
      <c r="J4072" s="18">
        <f>Tabela1[[#This Row],[MARGEM BRUTA]]/Tabela1[[#This Row],[Valor total]]</f>
        <v>0.41061219262295084</v>
      </c>
      <c r="K4072" s="17" t="str">
        <f>VLOOKUP(Tabela1[[#This Row],[Cliente]],'BASE DE CLIENTES'!A:D,4,0)</f>
        <v>EMPRESA COM MAQUINA</v>
      </c>
      <c r="L4072" s="17" t="str">
        <f>VLOOKUP(Tabela1[[#This Row],[Cliente]],'BASE DE CLIENTES'!A:E,5,0)</f>
        <v>Trindade</v>
      </c>
    </row>
    <row r="4073" spans="2:12" x14ac:dyDescent="0.3">
      <c r="B4073" t="s">
        <v>204</v>
      </c>
      <c r="C4073" s="17" t="str">
        <f>VLOOKUP(Tabela1[[#This Row],[Cliente]],'BASE DE CLIENTES'!A:E,2,0)</f>
        <v>Goiânia</v>
      </c>
      <c r="D4073" s="17" t="str">
        <f>VLOOKUP(Tabela1[[#This Row],[Cliente]],'BASE DE CLIENTES'!A:C,3,0)</f>
        <v>GO</v>
      </c>
      <c r="E4073" s="17" t="str">
        <f>CONCATENATE(Tabela1[[#This Row],[CIDADE]],",",Tabela1[[#This Row],[UF]])</f>
        <v>Goiânia,GO</v>
      </c>
      <c r="F4073" s="15">
        <v>46077</v>
      </c>
      <c r="G4073" s="5">
        <v>1062.42</v>
      </c>
      <c r="H4073" s="5">
        <v>2130</v>
      </c>
      <c r="I4073" s="8">
        <f>Tabela1[[#This Row],[Valor total]]-Tabela1[[#This Row],[Valor custo]]</f>
        <v>1067.58</v>
      </c>
      <c r="J4073" s="18">
        <f>Tabela1[[#This Row],[MARGEM BRUTA]]/Tabela1[[#This Row],[Valor total]]</f>
        <v>0.50121126760563373</v>
      </c>
      <c r="K4073" s="17" t="str">
        <f>VLOOKUP(Tabela1[[#This Row],[Cliente]],'BASE DE CLIENTES'!A:D,4,0)</f>
        <v>EMPRESA COM MAQUINA</v>
      </c>
      <c r="L4073" s="17" t="str">
        <f>VLOOKUP(Tabela1[[#This Row],[Cliente]],'BASE DE CLIENTES'!A:E,5,0)</f>
        <v>Goiânia</v>
      </c>
    </row>
    <row r="4074" spans="2:12" x14ac:dyDescent="0.3">
      <c r="B4074" t="s">
        <v>127</v>
      </c>
      <c r="C4074" s="17" t="str">
        <f>VLOOKUP(Tabela1[[#This Row],[Cliente]],'BASE DE CLIENTES'!A:E,2,0)</f>
        <v>Brasília</v>
      </c>
      <c r="D4074" s="17" t="str">
        <f>VLOOKUP(Tabela1[[#This Row],[Cliente]],'BASE DE CLIENTES'!A:C,3,0)</f>
        <v>DF</v>
      </c>
      <c r="E4074" s="17" t="str">
        <f>CONCATENATE(Tabela1[[#This Row],[CIDADE]],",",Tabela1[[#This Row],[UF]])</f>
        <v>Brasília,DF</v>
      </c>
      <c r="F4074" s="15">
        <v>46077</v>
      </c>
      <c r="G4074" s="5">
        <v>530.84</v>
      </c>
      <c r="H4074" s="5">
        <v>880</v>
      </c>
      <c r="I4074" s="8">
        <f>Tabela1[[#This Row],[Valor total]]-Tabela1[[#This Row],[Valor custo]]</f>
        <v>349.15999999999997</v>
      </c>
      <c r="J4074" s="18">
        <f>Tabela1[[#This Row],[MARGEM BRUTA]]/Tabela1[[#This Row],[Valor total]]</f>
        <v>0.39677272727272722</v>
      </c>
      <c r="K4074" s="17" t="str">
        <f>VLOOKUP(Tabela1[[#This Row],[Cliente]],'BASE DE CLIENTES'!A:D,4,0)</f>
        <v>EMPRESA COM MAQUINA</v>
      </c>
      <c r="L4074" s="17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7" t="str">
        <f>VLOOKUP(Tabela1[[#This Row],[Cliente]],'BASE DE CLIENTES'!A:E,2,0)</f>
        <v>Brasília</v>
      </c>
      <c r="D4075" s="17" t="str">
        <f>VLOOKUP(Tabela1[[#This Row],[Cliente]],'BASE DE CLIENTES'!A:C,3,0)</f>
        <v>DF</v>
      </c>
      <c r="E4075" s="17" t="str">
        <f>CONCATENATE(Tabela1[[#This Row],[CIDADE]],",",Tabela1[[#This Row],[UF]])</f>
        <v>Brasília,DF</v>
      </c>
      <c r="F4075" s="15">
        <v>46077</v>
      </c>
      <c r="G4075" s="5">
        <v>4066.22</v>
      </c>
      <c r="H4075" s="5">
        <v>6625</v>
      </c>
      <c r="I4075" s="8">
        <f>Tabela1[[#This Row],[Valor total]]-Tabela1[[#This Row],[Valor custo]]</f>
        <v>2558.7800000000002</v>
      </c>
      <c r="J4075" s="18">
        <f>Tabela1[[#This Row],[MARGEM BRUTA]]/Tabela1[[#This Row],[Valor total]]</f>
        <v>0.38623094339622643</v>
      </c>
      <c r="K4075" s="17" t="str">
        <f>VLOOKUP(Tabela1[[#This Row],[Cliente]],'BASE DE CLIENTES'!A:D,4,0)</f>
        <v>EMPRESA COM MAQUINA</v>
      </c>
      <c r="L4075" s="17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7" t="str">
        <f>VLOOKUP(Tabela1[[#This Row],[Cliente]],'BASE DE CLIENTES'!A:E,2,0)</f>
        <v>Brasilândia de Minas</v>
      </c>
      <c r="D4076" s="17" t="str">
        <f>VLOOKUP(Tabela1[[#This Row],[Cliente]],'BASE DE CLIENTES'!A:C,3,0)</f>
        <v>MG</v>
      </c>
      <c r="E4076" s="17" t="str">
        <f>CONCATENATE(Tabela1[[#This Row],[CIDADE]],",",Tabela1[[#This Row],[UF]])</f>
        <v>Brasilândia de Minas,MG</v>
      </c>
      <c r="F4076" s="15">
        <v>46077</v>
      </c>
      <c r="G4076" s="5">
        <v>670</v>
      </c>
      <c r="H4076" s="5">
        <v>350</v>
      </c>
      <c r="I4076" s="8">
        <f>Tabela1[[#This Row],[Valor total]]-Tabela1[[#This Row],[Valor custo]]</f>
        <v>-320</v>
      </c>
      <c r="J4076" s="18">
        <f>Tabela1[[#This Row],[MARGEM BRUTA]]/Tabela1[[#This Row],[Valor total]]</f>
        <v>-0.91428571428571426</v>
      </c>
      <c r="K4076" s="17" t="str">
        <f>VLOOKUP(Tabela1[[#This Row],[Cliente]],'BASE DE CLIENTES'!A:D,4,0)</f>
        <v>EMPRESA SEM MAQUINA</v>
      </c>
      <c r="L4076" s="17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7" t="str">
        <f>VLOOKUP(Tabela1[[#This Row],[Cliente]],'BASE DE CLIENTES'!A:E,2,0)</f>
        <v>Brasília</v>
      </c>
      <c r="D4077" s="17" t="str">
        <f>VLOOKUP(Tabela1[[#This Row],[Cliente]],'BASE DE CLIENTES'!A:C,3,0)</f>
        <v>DF</v>
      </c>
      <c r="E4077" s="17" t="str">
        <f>CONCATENATE(Tabela1[[#This Row],[CIDADE]],",",Tabela1[[#This Row],[UF]])</f>
        <v>Brasília,DF</v>
      </c>
      <c r="F4077" s="15">
        <v>46077</v>
      </c>
      <c r="G4077" s="5">
        <v>1022.28</v>
      </c>
      <c r="H4077" s="5">
        <v>1915</v>
      </c>
      <c r="I4077" s="8">
        <f>Tabela1[[#This Row],[Valor total]]-Tabela1[[#This Row],[Valor custo]]</f>
        <v>892.72</v>
      </c>
      <c r="J4077" s="18">
        <f>Tabela1[[#This Row],[MARGEM BRUTA]]/Tabela1[[#This Row],[Valor total]]</f>
        <v>0.46617232375979112</v>
      </c>
      <c r="K4077" s="17" t="str">
        <f>VLOOKUP(Tabela1[[#This Row],[Cliente]],'BASE DE CLIENTES'!A:D,4,0)</f>
        <v>EMPRESA COM MAQUINA</v>
      </c>
      <c r="L4077" s="17" t="str">
        <f>VLOOKUP(Tabela1[[#This Row],[Cliente]],'BASE DE CLIENTES'!A:E,5,0)</f>
        <v>26 DE SETEMBRO</v>
      </c>
    </row>
    <row r="4078" spans="2:12" x14ac:dyDescent="0.3">
      <c r="B4078" t="s">
        <v>199</v>
      </c>
      <c r="C4078" s="17" t="str">
        <f>VLOOKUP(Tabela1[[#This Row],[Cliente]],'BASE DE CLIENTES'!A:E,2,0)</f>
        <v>Goiânia</v>
      </c>
      <c r="D4078" s="17" t="str">
        <f>VLOOKUP(Tabela1[[#This Row],[Cliente]],'BASE DE CLIENTES'!A:C,3,0)</f>
        <v>GO</v>
      </c>
      <c r="E4078" s="17" t="str">
        <f>CONCATENATE(Tabela1[[#This Row],[CIDADE]],",",Tabela1[[#This Row],[UF]])</f>
        <v>Goiânia,GO</v>
      </c>
      <c r="F4078" s="15">
        <v>46077</v>
      </c>
      <c r="G4078" s="5">
        <v>2048.71</v>
      </c>
      <c r="H4078" s="5">
        <v>3210</v>
      </c>
      <c r="I4078" s="8">
        <f>Tabela1[[#This Row],[Valor total]]-Tabela1[[#This Row],[Valor custo]]</f>
        <v>1161.29</v>
      </c>
      <c r="J4078" s="18">
        <f>Tabela1[[#This Row],[MARGEM BRUTA]]/Tabela1[[#This Row],[Valor total]]</f>
        <v>0.36177258566978193</v>
      </c>
      <c r="K4078" s="17" t="str">
        <f>VLOOKUP(Tabela1[[#This Row],[Cliente]],'BASE DE CLIENTES'!A:D,4,0)</f>
        <v>EMPRESA COM MAQUINA</v>
      </c>
      <c r="L4078" s="17" t="str">
        <f>VLOOKUP(Tabela1[[#This Row],[Cliente]],'BASE DE CLIENTES'!A:E,5,0)</f>
        <v>Goiânia</v>
      </c>
    </row>
    <row r="4079" spans="2:12" x14ac:dyDescent="0.3">
      <c r="B4079" t="s">
        <v>236</v>
      </c>
      <c r="C4079" s="17" t="str">
        <f>VLOOKUP(Tabela1[[#This Row],[Cliente]],'BASE DE CLIENTES'!A:E,2,0)</f>
        <v>Goiânia</v>
      </c>
      <c r="D4079" s="17" t="str">
        <f>VLOOKUP(Tabela1[[#This Row],[Cliente]],'BASE DE CLIENTES'!A:C,3,0)</f>
        <v>GO</v>
      </c>
      <c r="E4079" s="17" t="str">
        <f>CONCATENATE(Tabela1[[#This Row],[CIDADE]],",",Tabela1[[#This Row],[UF]])</f>
        <v>Goiânia,GO</v>
      </c>
      <c r="F4079" s="15">
        <v>46076</v>
      </c>
      <c r="G4079" s="5">
        <v>724</v>
      </c>
      <c r="H4079" s="5">
        <v>1040</v>
      </c>
      <c r="I4079" s="8">
        <f>Tabela1[[#This Row],[Valor total]]-Tabela1[[#This Row],[Valor custo]]</f>
        <v>316</v>
      </c>
      <c r="J4079" s="18">
        <f>Tabela1[[#This Row],[MARGEM BRUTA]]/Tabela1[[#This Row],[Valor total]]</f>
        <v>0.30384615384615382</v>
      </c>
      <c r="K4079" s="17" t="str">
        <f>VLOOKUP(Tabela1[[#This Row],[Cliente]],'BASE DE CLIENTES'!A:D,4,0)</f>
        <v>EMPRESA COM MAQUINA</v>
      </c>
      <c r="L4079" s="17" t="str">
        <f>VLOOKUP(Tabela1[[#This Row],[Cliente]],'BASE DE CLIENTES'!A:E,5,0)</f>
        <v>Goiânia</v>
      </c>
    </row>
    <row r="4080" spans="2:12" x14ac:dyDescent="0.3">
      <c r="B4080" t="s">
        <v>236</v>
      </c>
      <c r="C4080" s="17" t="str">
        <f>VLOOKUP(Tabela1[[#This Row],[Cliente]],'BASE DE CLIENTES'!A:E,2,0)</f>
        <v>Goiânia</v>
      </c>
      <c r="D4080" s="17" t="str">
        <f>VLOOKUP(Tabela1[[#This Row],[Cliente]],'BASE DE CLIENTES'!A:C,3,0)</f>
        <v>GO</v>
      </c>
      <c r="E4080" s="17" t="str">
        <f>CONCATENATE(Tabela1[[#This Row],[CIDADE]],",",Tabela1[[#This Row],[UF]])</f>
        <v>Goiânia,GO</v>
      </c>
      <c r="F4080" s="15">
        <v>46076</v>
      </c>
      <c r="G4080" s="5">
        <v>724</v>
      </c>
      <c r="H4080" s="5">
        <v>1040</v>
      </c>
      <c r="I4080" s="8">
        <f>Tabela1[[#This Row],[Valor total]]-Tabela1[[#This Row],[Valor custo]]</f>
        <v>316</v>
      </c>
      <c r="J4080" s="18">
        <f>Tabela1[[#This Row],[MARGEM BRUTA]]/Tabela1[[#This Row],[Valor total]]</f>
        <v>0.30384615384615382</v>
      </c>
      <c r="K4080" s="17" t="str">
        <f>VLOOKUP(Tabela1[[#This Row],[Cliente]],'BASE DE CLIENTES'!A:D,4,0)</f>
        <v>EMPRESA COM MAQUINA</v>
      </c>
      <c r="L4080" s="17" t="str">
        <f>VLOOKUP(Tabela1[[#This Row],[Cliente]],'BASE DE CLIENTES'!A:E,5,0)</f>
        <v>Goiânia</v>
      </c>
    </row>
    <row r="4081" spans="2:12" x14ac:dyDescent="0.3">
      <c r="B4081" t="s">
        <v>197</v>
      </c>
      <c r="C4081" s="17" t="str">
        <f>VLOOKUP(Tabela1[[#This Row],[Cliente]],'BASE DE CLIENTES'!A:E,2,0)</f>
        <v>Goiânia</v>
      </c>
      <c r="D4081" s="17" t="str">
        <f>VLOOKUP(Tabela1[[#This Row],[Cliente]],'BASE DE CLIENTES'!A:C,3,0)</f>
        <v>GO</v>
      </c>
      <c r="E4081" s="17" t="str">
        <f>CONCATENATE(Tabela1[[#This Row],[CIDADE]],",",Tabela1[[#This Row],[UF]])</f>
        <v>Goiânia,GO</v>
      </c>
      <c r="F4081" s="15">
        <v>46076</v>
      </c>
      <c r="G4081" s="5">
        <v>290</v>
      </c>
      <c r="H4081" s="5">
        <v>530</v>
      </c>
      <c r="I4081" s="8">
        <f>Tabela1[[#This Row],[Valor total]]-Tabela1[[#This Row],[Valor custo]]</f>
        <v>240</v>
      </c>
      <c r="J4081" s="18">
        <f>Tabela1[[#This Row],[MARGEM BRUTA]]/Tabela1[[#This Row],[Valor total]]</f>
        <v>0.45283018867924529</v>
      </c>
      <c r="K4081" s="17" t="str">
        <f>VLOOKUP(Tabela1[[#This Row],[Cliente]],'BASE DE CLIENTES'!A:D,4,0)</f>
        <v>EMPRESA COM MAQUINA</v>
      </c>
      <c r="L4081" s="17" t="str">
        <f>VLOOKUP(Tabela1[[#This Row],[Cliente]],'BASE DE CLIENTES'!A:E,5,0)</f>
        <v>Goiânia</v>
      </c>
    </row>
    <row r="4082" spans="2:12" x14ac:dyDescent="0.3">
      <c r="B4082" t="s">
        <v>123</v>
      </c>
      <c r="C4082" s="17" t="str">
        <f>VLOOKUP(Tabela1[[#This Row],[Cliente]],'BASE DE CLIENTES'!A:E,2,0)</f>
        <v>Brasília</v>
      </c>
      <c r="D4082" s="17" t="str">
        <f>VLOOKUP(Tabela1[[#This Row],[Cliente]],'BASE DE CLIENTES'!A:C,3,0)</f>
        <v>DF</v>
      </c>
      <c r="E4082" s="17" t="str">
        <f>CONCATENATE(Tabela1[[#This Row],[CIDADE]],",",Tabela1[[#This Row],[UF]])</f>
        <v>Brasília,DF</v>
      </c>
      <c r="F4082" s="15">
        <v>46076</v>
      </c>
      <c r="G4082" s="5">
        <v>45.6</v>
      </c>
      <c r="H4082" s="5">
        <v>70</v>
      </c>
      <c r="I4082" s="8">
        <f>Tabela1[[#This Row],[Valor total]]-Tabela1[[#This Row],[Valor custo]]</f>
        <v>24.4</v>
      </c>
      <c r="J4082" s="18">
        <f>Tabela1[[#This Row],[MARGEM BRUTA]]/Tabela1[[#This Row],[Valor total]]</f>
        <v>0.34857142857142853</v>
      </c>
      <c r="K4082" s="17" t="str">
        <f>VLOOKUP(Tabela1[[#This Row],[Cliente]],'BASE DE CLIENTES'!A:D,4,0)</f>
        <v>EMPRESA COM MAQUINA</v>
      </c>
      <c r="L4082" s="17" t="str">
        <f>VLOOKUP(Tabela1[[#This Row],[Cliente]],'BASE DE CLIENTES'!A:E,5,0)</f>
        <v>ADE CEILÂNDIA</v>
      </c>
    </row>
    <row r="4083" spans="2:12" x14ac:dyDescent="0.3">
      <c r="B4083" t="s">
        <v>106</v>
      </c>
      <c r="C4083" s="17" t="str">
        <f>VLOOKUP(Tabela1[[#This Row],[Cliente]],'BASE DE CLIENTES'!A:E,2,0)</f>
        <v>Brasília</v>
      </c>
      <c r="D4083" s="17" t="str">
        <f>VLOOKUP(Tabela1[[#This Row],[Cliente]],'BASE DE CLIENTES'!A:C,3,0)</f>
        <v>DF</v>
      </c>
      <c r="E4083" s="17" t="str">
        <f>CONCATENATE(Tabela1[[#This Row],[CIDADE]],",",Tabela1[[#This Row],[UF]])</f>
        <v>Brasília,DF</v>
      </c>
      <c r="F4083" s="15">
        <v>46076</v>
      </c>
      <c r="G4083" s="5">
        <v>2710</v>
      </c>
      <c r="H4083" s="5">
        <v>4450</v>
      </c>
      <c r="I4083" s="8">
        <f>Tabela1[[#This Row],[Valor total]]-Tabela1[[#This Row],[Valor custo]]</f>
        <v>1740</v>
      </c>
      <c r="J4083" s="18">
        <f>Tabela1[[#This Row],[MARGEM BRUTA]]/Tabela1[[#This Row],[Valor total]]</f>
        <v>0.39101123595505616</v>
      </c>
      <c r="K4083" s="17" t="str">
        <f>VLOOKUP(Tabela1[[#This Row],[Cliente]],'BASE DE CLIENTES'!A:D,4,0)</f>
        <v>EMPRESA COM MAQUINA</v>
      </c>
      <c r="L4083" s="17" t="str">
        <f>VLOOKUP(Tabela1[[#This Row],[Cliente]],'BASE DE CLIENTES'!A:E,5,0)</f>
        <v>26 DE SETEMBRO</v>
      </c>
    </row>
    <row r="4084" spans="2:12" x14ac:dyDescent="0.3">
      <c r="B4084" t="s">
        <v>27</v>
      </c>
      <c r="C4084" s="17" t="str">
        <f>VLOOKUP(Tabela1[[#This Row],[Cliente]],'BASE DE CLIENTES'!A:E,2,0)</f>
        <v>Brasília</v>
      </c>
      <c r="D4084" s="17" t="str">
        <f>VLOOKUP(Tabela1[[#This Row],[Cliente]],'BASE DE CLIENTES'!A:C,3,0)</f>
        <v>DF</v>
      </c>
      <c r="E4084" s="17" t="str">
        <f>CONCATENATE(Tabela1[[#This Row],[CIDADE]],",",Tabela1[[#This Row],[UF]])</f>
        <v>Brasília,DF</v>
      </c>
      <c r="F4084" s="15">
        <v>46076</v>
      </c>
      <c r="G4084" s="5">
        <v>419</v>
      </c>
      <c r="H4084" s="5">
        <v>650</v>
      </c>
      <c r="I4084" s="8">
        <f>Tabela1[[#This Row],[Valor total]]-Tabela1[[#This Row],[Valor custo]]</f>
        <v>231</v>
      </c>
      <c r="J4084" s="18">
        <f>Tabela1[[#This Row],[MARGEM BRUTA]]/Tabela1[[#This Row],[Valor total]]</f>
        <v>0.35538461538461541</v>
      </c>
      <c r="K4084" s="17" t="str">
        <f>VLOOKUP(Tabela1[[#This Row],[Cliente]],'BASE DE CLIENTES'!A:D,4,0)</f>
        <v>EMPRESA SEM MAQUINA</v>
      </c>
      <c r="L4084" s="17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7" t="str">
        <f>VLOOKUP(Tabela1[[#This Row],[Cliente]],'BASE DE CLIENTES'!A:E,2,0)</f>
        <v>Valparaíso de Goiás</v>
      </c>
      <c r="D4085" s="17" t="str">
        <f>VLOOKUP(Tabela1[[#This Row],[Cliente]],'BASE DE CLIENTES'!A:C,3,0)</f>
        <v>GO</v>
      </c>
      <c r="E4085" s="17" t="str">
        <f>CONCATENATE(Tabela1[[#This Row],[CIDADE]],",",Tabela1[[#This Row],[UF]])</f>
        <v>Valparaíso de Goiás,GO</v>
      </c>
      <c r="F4085" s="15">
        <v>46076</v>
      </c>
      <c r="G4085" s="5">
        <v>650</v>
      </c>
      <c r="H4085" s="5">
        <v>950</v>
      </c>
      <c r="I4085" s="8">
        <f>Tabela1[[#This Row],[Valor total]]-Tabela1[[#This Row],[Valor custo]]</f>
        <v>300</v>
      </c>
      <c r="J4085" s="18">
        <f>Tabela1[[#This Row],[MARGEM BRUTA]]/Tabela1[[#This Row],[Valor total]]</f>
        <v>0.31578947368421051</v>
      </c>
      <c r="K4085" s="17" t="str">
        <f>VLOOKUP(Tabela1[[#This Row],[Cliente]],'BASE DE CLIENTES'!A:D,4,0)</f>
        <v>EMPRESA COM MAQUINA</v>
      </c>
      <c r="L4085" s="17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7" t="str">
        <f>VLOOKUP(Tabela1[[#This Row],[Cliente]],'BASE DE CLIENTES'!A:E,2,0)</f>
        <v>Brasilândia de Minas</v>
      </c>
      <c r="D4086" s="17" t="str">
        <f>VLOOKUP(Tabela1[[#This Row],[Cliente]],'BASE DE CLIENTES'!A:C,3,0)</f>
        <v>MG</v>
      </c>
      <c r="E4086" s="17" t="str">
        <f>CONCATENATE(Tabela1[[#This Row],[CIDADE]],",",Tabela1[[#This Row],[UF]])</f>
        <v>Brasilândia de Minas,MG</v>
      </c>
      <c r="F4086" s="15">
        <v>46076</v>
      </c>
      <c r="G4086" s="5">
        <v>1389.19</v>
      </c>
      <c r="H4086" s="5">
        <v>2128</v>
      </c>
      <c r="I4086" s="8">
        <f>Tabela1[[#This Row],[Valor total]]-Tabela1[[#This Row],[Valor custo]]</f>
        <v>738.81</v>
      </c>
      <c r="J4086" s="18">
        <f>Tabela1[[#This Row],[MARGEM BRUTA]]/Tabela1[[#This Row],[Valor total]]</f>
        <v>0.34718515037593983</v>
      </c>
      <c r="K4086" s="17" t="str">
        <f>VLOOKUP(Tabela1[[#This Row],[Cliente]],'BASE DE CLIENTES'!A:D,4,0)</f>
        <v>EMPRESA SEM MAQUINA</v>
      </c>
      <c r="L4086" s="17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7" t="str">
        <f>VLOOKUP(Tabela1[[#This Row],[Cliente]],'BASE DE CLIENTES'!A:E,2,0)</f>
        <v>Brasília</v>
      </c>
      <c r="D4087" s="17" t="str">
        <f>VLOOKUP(Tabela1[[#This Row],[Cliente]],'BASE DE CLIENTES'!A:C,3,0)</f>
        <v>DF</v>
      </c>
      <c r="E4087" s="17" t="str">
        <f>CONCATENATE(Tabela1[[#This Row],[CIDADE]],",",Tabela1[[#This Row],[UF]])</f>
        <v>Brasília,DF</v>
      </c>
      <c r="F4087" s="15">
        <v>46076</v>
      </c>
      <c r="G4087" s="5">
        <v>504.34</v>
      </c>
      <c r="H4087" s="5">
        <v>826</v>
      </c>
      <c r="I4087" s="8">
        <f>Tabela1[[#This Row],[Valor total]]-Tabela1[[#This Row],[Valor custo]]</f>
        <v>321.66000000000003</v>
      </c>
      <c r="J4087" s="18">
        <f>Tabela1[[#This Row],[MARGEM BRUTA]]/Tabela1[[#This Row],[Valor total]]</f>
        <v>0.38941888619854725</v>
      </c>
      <c r="K4087" s="17" t="str">
        <f>VLOOKUP(Tabela1[[#This Row],[Cliente]],'BASE DE CLIENTES'!A:D,4,0)</f>
        <v>CLIENTE NOVO S/ IDENT.</v>
      </c>
      <c r="L4087" s="17" t="str">
        <f>VLOOKUP(Tabela1[[#This Row],[Cliente]],'BASE DE CLIENTES'!A:E,5,0)</f>
        <v>Brasília</v>
      </c>
    </row>
    <row r="4088" spans="2:12" x14ac:dyDescent="0.3">
      <c r="B4088" t="s">
        <v>19</v>
      </c>
      <c r="C4088" s="17" t="str">
        <f>VLOOKUP(Tabela1[[#This Row],[Cliente]],'BASE DE CLIENTES'!A:E,2,0)</f>
        <v>Águas Lindas de Goiás</v>
      </c>
      <c r="D4088" s="17" t="str">
        <f>VLOOKUP(Tabela1[[#This Row],[Cliente]],'BASE DE CLIENTES'!A:C,3,0)</f>
        <v>GO</v>
      </c>
      <c r="E4088" s="17" t="str">
        <f>CONCATENATE(Tabela1[[#This Row],[CIDADE]],",",Tabela1[[#This Row],[UF]])</f>
        <v>Águas Lindas de Goiás,GO</v>
      </c>
      <c r="F4088" s="15">
        <v>46076</v>
      </c>
      <c r="G4088" s="5">
        <v>1060</v>
      </c>
      <c r="H4088" s="5">
        <v>1840</v>
      </c>
      <c r="I4088" s="8">
        <f>Tabela1[[#This Row],[Valor total]]-Tabela1[[#This Row],[Valor custo]]</f>
        <v>780</v>
      </c>
      <c r="J4088" s="18">
        <f>Tabela1[[#This Row],[MARGEM BRUTA]]/Tabela1[[#This Row],[Valor total]]</f>
        <v>0.42391304347826086</v>
      </c>
      <c r="K4088" s="17" t="str">
        <f>VLOOKUP(Tabela1[[#This Row],[Cliente]],'BASE DE CLIENTES'!A:D,4,0)</f>
        <v>SERRALHEIRO</v>
      </c>
      <c r="L4088" s="17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7" t="str">
        <f>VLOOKUP(Tabela1[[#This Row],[Cliente]],'BASE DE CLIENTES'!A:E,2,0)</f>
        <v>Águas Lindas de Goiás</v>
      </c>
      <c r="D4089" s="17" t="str">
        <f>VLOOKUP(Tabela1[[#This Row],[Cliente]],'BASE DE CLIENTES'!A:C,3,0)</f>
        <v>GO</v>
      </c>
      <c r="E4089" s="17" t="str">
        <f>CONCATENATE(Tabela1[[#This Row],[CIDADE]],",",Tabela1[[#This Row],[UF]])</f>
        <v>Águas Lindas de Goiás,GO</v>
      </c>
      <c r="F4089" s="15">
        <v>46076</v>
      </c>
      <c r="G4089" s="5">
        <v>670</v>
      </c>
      <c r="H4089" s="5">
        <v>1100</v>
      </c>
      <c r="I4089" s="8">
        <f>Tabela1[[#This Row],[Valor total]]-Tabela1[[#This Row],[Valor custo]]</f>
        <v>430</v>
      </c>
      <c r="J4089" s="18">
        <f>Tabela1[[#This Row],[MARGEM BRUTA]]/Tabela1[[#This Row],[Valor total]]</f>
        <v>0.39090909090909093</v>
      </c>
      <c r="K4089" s="17" t="str">
        <f>VLOOKUP(Tabela1[[#This Row],[Cliente]],'BASE DE CLIENTES'!A:D,4,0)</f>
        <v>SERRALHEIRO</v>
      </c>
      <c r="L4089" s="17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7" t="str">
        <f>VLOOKUP(Tabela1[[#This Row],[Cliente]],'BASE DE CLIENTES'!A:E,2,0)</f>
        <v>Brasília</v>
      </c>
      <c r="D4090" s="17" t="str">
        <f>VLOOKUP(Tabela1[[#This Row],[Cliente]],'BASE DE CLIENTES'!A:C,3,0)</f>
        <v>DF</v>
      </c>
      <c r="E4090" s="17" t="str">
        <f>CONCATENATE(Tabela1[[#This Row],[CIDADE]],",",Tabela1[[#This Row],[UF]])</f>
        <v>Brasília,DF</v>
      </c>
      <c r="F4090" s="15">
        <v>46076</v>
      </c>
      <c r="G4090" s="5">
        <v>470</v>
      </c>
      <c r="H4090" s="5">
        <v>810</v>
      </c>
      <c r="I4090" s="8">
        <f>Tabela1[[#This Row],[Valor total]]-Tabela1[[#This Row],[Valor custo]]</f>
        <v>340</v>
      </c>
      <c r="J4090" s="18">
        <f>Tabela1[[#This Row],[MARGEM BRUTA]]/Tabela1[[#This Row],[Valor total]]</f>
        <v>0.41975308641975306</v>
      </c>
      <c r="K4090" s="17" t="str">
        <f>VLOOKUP(Tabela1[[#This Row],[Cliente]],'BASE DE CLIENTES'!A:D,4,0)</f>
        <v>EMPRESA SEM MAQUINA</v>
      </c>
      <c r="L4090" s="17" t="str">
        <f>VLOOKUP(Tabela1[[#This Row],[Cliente]],'BASE DE CLIENTES'!A:E,5,0)</f>
        <v>SAMAMBAIA</v>
      </c>
    </row>
    <row r="4091" spans="2:12" x14ac:dyDescent="0.3">
      <c r="B4091" t="s">
        <v>76</v>
      </c>
      <c r="C4091" s="17" t="str">
        <f>VLOOKUP(Tabela1[[#This Row],[Cliente]],'BASE DE CLIENTES'!A:E,2,0)</f>
        <v>Brasília</v>
      </c>
      <c r="D4091" s="17" t="str">
        <f>VLOOKUP(Tabela1[[#This Row],[Cliente]],'BASE DE CLIENTES'!A:C,3,0)</f>
        <v>DF</v>
      </c>
      <c r="E4091" s="17" t="str">
        <f>CONCATENATE(Tabela1[[#This Row],[CIDADE]],",",Tabela1[[#This Row],[UF]])</f>
        <v>Brasília,DF</v>
      </c>
      <c r="F4091" s="15">
        <v>46076</v>
      </c>
      <c r="G4091" s="5">
        <v>4244</v>
      </c>
      <c r="H4091" s="5">
        <v>6568</v>
      </c>
      <c r="I4091" s="8">
        <f>Tabela1[[#This Row],[Valor total]]-Tabela1[[#This Row],[Valor custo]]</f>
        <v>2324</v>
      </c>
      <c r="J4091" s="18">
        <f>Tabela1[[#This Row],[MARGEM BRUTA]]/Tabela1[[#This Row],[Valor total]]</f>
        <v>0.35383678440925698</v>
      </c>
      <c r="K4091" s="17" t="str">
        <f>VLOOKUP(Tabela1[[#This Row],[Cliente]],'BASE DE CLIENTES'!A:D,4,0)</f>
        <v>EMPRESA COM MAQUINA</v>
      </c>
      <c r="L4091" s="17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7" t="str">
        <f>VLOOKUP(Tabela1[[#This Row],[Cliente]],'BASE DE CLIENTES'!A:E,2,0)</f>
        <v>Brasília</v>
      </c>
      <c r="D4092" s="17" t="str">
        <f>VLOOKUP(Tabela1[[#This Row],[Cliente]],'BASE DE CLIENTES'!A:C,3,0)</f>
        <v>DF</v>
      </c>
      <c r="E4092" s="17" t="str">
        <f>CONCATENATE(Tabela1[[#This Row],[CIDADE]],",",Tabela1[[#This Row],[UF]])</f>
        <v>Brasília,DF</v>
      </c>
      <c r="F4092" s="15">
        <v>46076</v>
      </c>
      <c r="G4092" s="5">
        <v>695.6</v>
      </c>
      <c r="H4092" s="5">
        <v>1170</v>
      </c>
      <c r="I4092" s="8">
        <f>Tabela1[[#This Row],[Valor total]]-Tabela1[[#This Row],[Valor custo]]</f>
        <v>474.4</v>
      </c>
      <c r="J4092" s="18">
        <f>Tabela1[[#This Row],[MARGEM BRUTA]]/Tabela1[[#This Row],[Valor total]]</f>
        <v>0.40547008547008545</v>
      </c>
      <c r="K4092" s="17" t="str">
        <f>VLOOKUP(Tabela1[[#This Row],[Cliente]],'BASE DE CLIENTES'!A:D,4,0)</f>
        <v>CLIENTE NOVO S/ IDENT.</v>
      </c>
      <c r="L4092" s="17" t="str">
        <f>VLOOKUP(Tabela1[[#This Row],[Cliente]],'BASE DE CLIENTES'!A:E,5,0)</f>
        <v>Brasília</v>
      </c>
    </row>
    <row r="4093" spans="2:12" x14ac:dyDescent="0.3">
      <c r="B4093" t="s">
        <v>107</v>
      </c>
      <c r="C4093" s="17" t="str">
        <f>VLOOKUP(Tabela1[[#This Row],[Cliente]],'BASE DE CLIENTES'!A:E,2,0)</f>
        <v>Planaltina</v>
      </c>
      <c r="D4093" s="17" t="str">
        <f>VLOOKUP(Tabela1[[#This Row],[Cliente]],'BASE DE CLIENTES'!A:C,3,0)</f>
        <v>DF</v>
      </c>
      <c r="E4093" s="17" t="str">
        <f>CONCATENATE(Tabela1[[#This Row],[CIDADE]],",",Tabela1[[#This Row],[UF]])</f>
        <v>Planaltina,DF</v>
      </c>
      <c r="F4093" s="15">
        <v>46076</v>
      </c>
      <c r="G4093" s="5">
        <v>510.31</v>
      </c>
      <c r="H4093" s="5">
        <v>750</v>
      </c>
      <c r="I4093" s="8">
        <f>Tabela1[[#This Row],[Valor total]]-Tabela1[[#This Row],[Valor custo]]</f>
        <v>239.69</v>
      </c>
      <c r="J4093" s="18">
        <f>Tabela1[[#This Row],[MARGEM BRUTA]]/Tabela1[[#This Row],[Valor total]]</f>
        <v>0.31958666666666669</v>
      </c>
      <c r="K4093" s="17" t="str">
        <f>VLOOKUP(Tabela1[[#This Row],[Cliente]],'BASE DE CLIENTES'!A:D,4,0)</f>
        <v>EMPRESA COM MAQUINA</v>
      </c>
      <c r="L4093" s="17" t="str">
        <f>VLOOKUP(Tabela1[[#This Row],[Cliente]],'BASE DE CLIENTES'!A:E,5,0)</f>
        <v>SETOR LESTE</v>
      </c>
    </row>
    <row r="4094" spans="2:12" x14ac:dyDescent="0.3">
      <c r="B4094" t="s">
        <v>19</v>
      </c>
      <c r="C4094" s="17" t="str">
        <f>VLOOKUP(Tabela1[[#This Row],[Cliente]],'BASE DE CLIENTES'!A:E,2,0)</f>
        <v>Águas Lindas de Goiás</v>
      </c>
      <c r="D4094" s="17" t="str">
        <f>VLOOKUP(Tabela1[[#This Row],[Cliente]],'BASE DE CLIENTES'!A:C,3,0)</f>
        <v>GO</v>
      </c>
      <c r="E4094" s="17" t="str">
        <f>CONCATENATE(Tabela1[[#This Row],[CIDADE]],",",Tabela1[[#This Row],[UF]])</f>
        <v>Águas Lindas de Goiás,GO</v>
      </c>
      <c r="F4094" s="15">
        <v>46076</v>
      </c>
      <c r="G4094" s="5">
        <v>670</v>
      </c>
      <c r="H4094" s="5">
        <v>1100</v>
      </c>
      <c r="I4094" s="8">
        <f>Tabela1[[#This Row],[Valor total]]-Tabela1[[#This Row],[Valor custo]]</f>
        <v>430</v>
      </c>
      <c r="J4094" s="18">
        <f>Tabela1[[#This Row],[MARGEM BRUTA]]/Tabela1[[#This Row],[Valor total]]</f>
        <v>0.39090909090909093</v>
      </c>
      <c r="K4094" s="17" t="str">
        <f>VLOOKUP(Tabela1[[#This Row],[Cliente]],'BASE DE CLIENTES'!A:D,4,0)</f>
        <v>SERRALHEIRO</v>
      </c>
      <c r="L4094" s="17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7" t="str">
        <f>VLOOKUP(Tabela1[[#This Row],[Cliente]],'BASE DE CLIENTES'!A:E,2,0)</f>
        <v>Brasília</v>
      </c>
      <c r="D4095" s="17" t="str">
        <f>VLOOKUP(Tabela1[[#This Row],[Cliente]],'BASE DE CLIENTES'!A:C,3,0)</f>
        <v>DF</v>
      </c>
      <c r="E4095" s="17" t="str">
        <f>CONCATENATE(Tabela1[[#This Row],[CIDADE]],",",Tabela1[[#This Row],[UF]])</f>
        <v>Brasília,DF</v>
      </c>
      <c r="F4095" s="15">
        <v>46076</v>
      </c>
      <c r="G4095" s="5">
        <v>788.1</v>
      </c>
      <c r="H4095" s="5">
        <v>1800</v>
      </c>
      <c r="I4095" s="8">
        <f>Tabela1[[#This Row],[Valor total]]-Tabela1[[#This Row],[Valor custo]]</f>
        <v>1011.9</v>
      </c>
      <c r="J4095" s="18">
        <f>Tabela1[[#This Row],[MARGEM BRUTA]]/Tabela1[[#This Row],[Valor total]]</f>
        <v>0.5621666666666667</v>
      </c>
      <c r="K4095" s="17" t="str">
        <f>VLOOKUP(Tabela1[[#This Row],[Cliente]],'BASE DE CLIENTES'!A:D,4,0)</f>
        <v>CLIENTE NOVO S/ IDENT.</v>
      </c>
      <c r="L4095" s="17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7" t="str">
        <f>VLOOKUP(Tabela1[[#This Row],[Cliente]],'BASE DE CLIENTES'!A:E,2,0)</f>
        <v>Brasília</v>
      </c>
      <c r="D4096" s="17" t="str">
        <f>VLOOKUP(Tabela1[[#This Row],[Cliente]],'BASE DE CLIENTES'!A:C,3,0)</f>
        <v>DF</v>
      </c>
      <c r="E4096" s="17" t="str">
        <f>CONCATENATE(Tabela1[[#This Row],[CIDADE]],",",Tabela1[[#This Row],[UF]])</f>
        <v>Brasília,DF</v>
      </c>
      <c r="F4096" s="15">
        <v>46076</v>
      </c>
      <c r="G4096" s="5">
        <v>670</v>
      </c>
      <c r="H4096" s="5">
        <v>1000</v>
      </c>
      <c r="I4096" s="8">
        <f>Tabela1[[#This Row],[Valor total]]-Tabela1[[#This Row],[Valor custo]]</f>
        <v>330</v>
      </c>
      <c r="J4096" s="18">
        <f>Tabela1[[#This Row],[MARGEM BRUTA]]/Tabela1[[#This Row],[Valor total]]</f>
        <v>0.33</v>
      </c>
      <c r="K4096" s="17" t="str">
        <f>VLOOKUP(Tabela1[[#This Row],[Cliente]],'BASE DE CLIENTES'!A:D,4,0)</f>
        <v>EMPRESA COM MAQUINA</v>
      </c>
      <c r="L4096" s="17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7" t="str">
        <f>VLOOKUP(Tabela1[[#This Row],[Cliente]],'BASE DE CLIENTES'!A:E,2,0)</f>
        <v>Castanhal</v>
      </c>
      <c r="D4097" s="17" t="str">
        <f>VLOOKUP(Tabela1[[#This Row],[Cliente]],'BASE DE CLIENTES'!A:C,3,0)</f>
        <v>PA</v>
      </c>
      <c r="E4097" s="17" t="str">
        <f>CONCATENATE(Tabela1[[#This Row],[CIDADE]],",",Tabela1[[#This Row],[UF]])</f>
        <v>Castanhal,PA</v>
      </c>
      <c r="F4097" s="15">
        <v>46076</v>
      </c>
      <c r="G4097" s="5">
        <v>9090</v>
      </c>
      <c r="H4097" s="5">
        <v>14825</v>
      </c>
      <c r="I4097" s="8">
        <f>Tabela1[[#This Row],[Valor total]]-Tabela1[[#This Row],[Valor custo]]</f>
        <v>5735</v>
      </c>
      <c r="J4097" s="18">
        <f>Tabela1[[#This Row],[MARGEM BRUTA]]/Tabela1[[#This Row],[Valor total]]</f>
        <v>0.38684654300168636</v>
      </c>
      <c r="K4097" s="17" t="str">
        <f>VLOOKUP(Tabela1[[#This Row],[Cliente]],'BASE DE CLIENTES'!A:D,4,0)</f>
        <v>EMPRESA COM MAQUINA</v>
      </c>
      <c r="L4097" s="17" t="str">
        <f>VLOOKUP(Tabela1[[#This Row],[Cliente]],'BASE DE CLIENTES'!A:E,5,0)</f>
        <v>Castanhal</v>
      </c>
    </row>
    <row r="4098" spans="2:12" x14ac:dyDescent="0.3">
      <c r="B4098" t="s">
        <v>66</v>
      </c>
      <c r="C4098" s="17" t="str">
        <f>VLOOKUP(Tabela1[[#This Row],[Cliente]],'BASE DE CLIENTES'!A:E,2,0)</f>
        <v>Águas Lindas de Goiás</v>
      </c>
      <c r="D4098" s="17" t="str">
        <f>VLOOKUP(Tabela1[[#This Row],[Cliente]],'BASE DE CLIENTES'!A:C,3,0)</f>
        <v>GO</v>
      </c>
      <c r="E4098" s="17" t="str">
        <f>CONCATENATE(Tabela1[[#This Row],[CIDADE]],",",Tabela1[[#This Row],[UF]])</f>
        <v>Águas Lindas de Goiás,GO</v>
      </c>
      <c r="F4098" s="15">
        <v>46073</v>
      </c>
      <c r="G4098" s="5">
        <v>36.6</v>
      </c>
      <c r="H4098" s="5">
        <v>48</v>
      </c>
      <c r="I4098" s="8">
        <f>Tabela1[[#This Row],[Valor total]]-Tabela1[[#This Row],[Valor custo]]</f>
        <v>11.399999999999999</v>
      </c>
      <c r="J4098" s="18">
        <f>Tabela1[[#This Row],[MARGEM BRUTA]]/Tabela1[[#This Row],[Valor total]]</f>
        <v>0.23749999999999996</v>
      </c>
      <c r="K4098" s="17" t="str">
        <f>VLOOKUP(Tabela1[[#This Row],[Cliente]],'BASE DE CLIENTES'!A:D,4,0)</f>
        <v>EMPRESA COM MAQUINA</v>
      </c>
      <c r="L4098" s="17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7" t="str">
        <f>VLOOKUP(Tabela1[[#This Row],[Cliente]],'BASE DE CLIENTES'!A:E,2,0)</f>
        <v>Brasília</v>
      </c>
      <c r="D4099" s="17" t="str">
        <f>VLOOKUP(Tabela1[[#This Row],[Cliente]],'BASE DE CLIENTES'!A:C,3,0)</f>
        <v>DF</v>
      </c>
      <c r="E4099" s="17" t="str">
        <f>CONCATENATE(Tabela1[[#This Row],[CIDADE]],",",Tabela1[[#This Row],[UF]])</f>
        <v>Brasília,DF</v>
      </c>
      <c r="F4099" s="15">
        <v>46073</v>
      </c>
      <c r="G4099" s="5">
        <v>724</v>
      </c>
      <c r="H4099" s="5">
        <v>1100</v>
      </c>
      <c r="I4099" s="8">
        <f>Tabela1[[#This Row],[Valor total]]-Tabela1[[#This Row],[Valor custo]]</f>
        <v>376</v>
      </c>
      <c r="J4099" s="18">
        <f>Tabela1[[#This Row],[MARGEM BRUTA]]/Tabela1[[#This Row],[Valor total]]</f>
        <v>0.3418181818181818</v>
      </c>
      <c r="K4099" s="17" t="str">
        <f>VLOOKUP(Tabela1[[#This Row],[Cliente]],'BASE DE CLIENTES'!A:D,4,0)</f>
        <v>EMPRESA COM MAQUINA</v>
      </c>
      <c r="L4099" s="17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7" t="str">
        <f>VLOOKUP(Tabela1[[#This Row],[Cliente]],'BASE DE CLIENTES'!A:E,2,0)</f>
        <v>Goiânia</v>
      </c>
      <c r="D4100" s="17" t="str">
        <f>VLOOKUP(Tabela1[[#This Row],[Cliente]],'BASE DE CLIENTES'!A:C,3,0)</f>
        <v>GO</v>
      </c>
      <c r="E4100" s="17" t="str">
        <f>CONCATENATE(Tabela1[[#This Row],[CIDADE]],",",Tabela1[[#This Row],[UF]])</f>
        <v>Goiânia,GO</v>
      </c>
      <c r="F4100" s="15">
        <v>46073</v>
      </c>
      <c r="G4100" s="5">
        <v>18165</v>
      </c>
      <c r="H4100" s="5">
        <v>25410</v>
      </c>
      <c r="I4100" s="8">
        <f>Tabela1[[#This Row],[Valor total]]-Tabela1[[#This Row],[Valor custo]]</f>
        <v>7245</v>
      </c>
      <c r="J4100" s="18">
        <f>Tabela1[[#This Row],[MARGEM BRUTA]]/Tabela1[[#This Row],[Valor total]]</f>
        <v>0.28512396694214875</v>
      </c>
      <c r="K4100" s="17" t="str">
        <f>VLOOKUP(Tabela1[[#This Row],[Cliente]],'BASE DE CLIENTES'!A:D,4,0)</f>
        <v>EMPRESA COM MAQUINA</v>
      </c>
      <c r="L4100" s="17" t="str">
        <f>VLOOKUP(Tabela1[[#This Row],[Cliente]],'BASE DE CLIENTES'!A:E,5,0)</f>
        <v>Goiânia</v>
      </c>
    </row>
    <row r="4101" spans="2:12" x14ac:dyDescent="0.3">
      <c r="B4101" t="s">
        <v>38</v>
      </c>
      <c r="C4101" s="17" t="str">
        <f>VLOOKUP(Tabela1[[#This Row],[Cliente]],'BASE DE CLIENTES'!A:E,2,0)</f>
        <v>Brasília</v>
      </c>
      <c r="D4101" s="17" t="str">
        <f>VLOOKUP(Tabela1[[#This Row],[Cliente]],'BASE DE CLIENTES'!A:C,3,0)</f>
        <v>DF</v>
      </c>
      <c r="E4101" s="17" t="str">
        <f>CONCATENATE(Tabela1[[#This Row],[CIDADE]],",",Tabela1[[#This Row],[UF]])</f>
        <v>Brasília,DF</v>
      </c>
      <c r="F4101" s="15">
        <v>46073</v>
      </c>
      <c r="G4101" s="5">
        <v>872.31</v>
      </c>
      <c r="H4101" s="5">
        <v>1365</v>
      </c>
      <c r="I4101" s="8">
        <f>Tabela1[[#This Row],[Valor total]]-Tabela1[[#This Row],[Valor custo]]</f>
        <v>492.69000000000005</v>
      </c>
      <c r="J4101" s="18">
        <f>Tabela1[[#This Row],[MARGEM BRUTA]]/Tabela1[[#This Row],[Valor total]]</f>
        <v>0.36094505494505497</v>
      </c>
      <c r="K4101" s="17" t="str">
        <f>VLOOKUP(Tabela1[[#This Row],[Cliente]],'BASE DE CLIENTES'!A:D,4,0)</f>
        <v>EMPRESA SEM MAQUINA</v>
      </c>
      <c r="L4101" s="17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7" t="str">
        <f>VLOOKUP(Tabela1[[#This Row],[Cliente]],'BASE DE CLIENTES'!A:E,2,0)</f>
        <v>Aparecida de Goiânia</v>
      </c>
      <c r="D4102" s="17" t="str">
        <f>VLOOKUP(Tabela1[[#This Row],[Cliente]],'BASE DE CLIENTES'!A:C,3,0)</f>
        <v>GO</v>
      </c>
      <c r="E4102" s="17" t="str">
        <f>CONCATENATE(Tabela1[[#This Row],[CIDADE]],",",Tabela1[[#This Row],[UF]])</f>
        <v>Aparecida de Goiânia,GO</v>
      </c>
      <c r="F4102" s="15">
        <v>46073</v>
      </c>
      <c r="G4102" s="5">
        <v>450</v>
      </c>
      <c r="H4102" s="5">
        <v>750</v>
      </c>
      <c r="I4102" s="8">
        <f>Tabela1[[#This Row],[Valor total]]-Tabela1[[#This Row],[Valor custo]]</f>
        <v>300</v>
      </c>
      <c r="J4102" s="18">
        <f>Tabela1[[#This Row],[MARGEM BRUTA]]/Tabela1[[#This Row],[Valor total]]</f>
        <v>0.4</v>
      </c>
      <c r="K4102" s="17" t="str">
        <f>VLOOKUP(Tabela1[[#This Row],[Cliente]],'BASE DE CLIENTES'!A:D,4,0)</f>
        <v>TECNICO</v>
      </c>
      <c r="L4102" s="17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7" t="str">
        <f>VLOOKUP(Tabela1[[#This Row],[Cliente]],'BASE DE CLIENTES'!A:E,2,0)</f>
        <v>Goiânia</v>
      </c>
      <c r="D4103" s="17" t="str">
        <f>VLOOKUP(Tabela1[[#This Row],[Cliente]],'BASE DE CLIENTES'!A:C,3,0)</f>
        <v>GO</v>
      </c>
      <c r="E4103" s="17" t="str">
        <f>CONCATENATE(Tabela1[[#This Row],[CIDADE]],",",Tabela1[[#This Row],[UF]])</f>
        <v>Goiânia,GO</v>
      </c>
      <c r="F4103" s="15">
        <v>46073</v>
      </c>
      <c r="G4103" s="5">
        <v>250</v>
      </c>
      <c r="H4103" s="5">
        <v>300</v>
      </c>
      <c r="I4103" s="8">
        <f>Tabela1[[#This Row],[Valor total]]-Tabela1[[#This Row],[Valor custo]]</f>
        <v>50</v>
      </c>
      <c r="J4103" s="18">
        <f>Tabela1[[#This Row],[MARGEM BRUTA]]/Tabela1[[#This Row],[Valor total]]</f>
        <v>0.16666666666666666</v>
      </c>
      <c r="K4103" s="17" t="str">
        <f>VLOOKUP(Tabela1[[#This Row],[Cliente]],'BASE DE CLIENTES'!A:D,4,0)</f>
        <v>EMPRESA COM MAQUINA</v>
      </c>
      <c r="L4103" s="17" t="str">
        <f>VLOOKUP(Tabela1[[#This Row],[Cliente]],'BASE DE CLIENTES'!A:E,5,0)</f>
        <v>Goiânia</v>
      </c>
    </row>
    <row r="4104" spans="2:12" x14ac:dyDescent="0.3">
      <c r="B4104" t="s">
        <v>236</v>
      </c>
      <c r="C4104" s="17" t="str">
        <f>VLOOKUP(Tabela1[[#This Row],[Cliente]],'BASE DE CLIENTES'!A:E,2,0)</f>
        <v>Goiânia</v>
      </c>
      <c r="D4104" s="17" t="str">
        <f>VLOOKUP(Tabela1[[#This Row],[Cliente]],'BASE DE CLIENTES'!A:C,3,0)</f>
        <v>GO</v>
      </c>
      <c r="E4104" s="17" t="str">
        <f>CONCATENATE(Tabela1[[#This Row],[CIDADE]],",",Tabela1[[#This Row],[UF]])</f>
        <v>Goiânia,GO</v>
      </c>
      <c r="F4104" s="15">
        <v>46073</v>
      </c>
      <c r="G4104" s="5">
        <v>419</v>
      </c>
      <c r="H4104" s="5">
        <v>585</v>
      </c>
      <c r="I4104" s="8">
        <f>Tabela1[[#This Row],[Valor total]]-Tabela1[[#This Row],[Valor custo]]</f>
        <v>166</v>
      </c>
      <c r="J4104" s="18">
        <f>Tabela1[[#This Row],[MARGEM BRUTA]]/Tabela1[[#This Row],[Valor total]]</f>
        <v>0.28376068376068375</v>
      </c>
      <c r="K4104" s="17" t="str">
        <f>VLOOKUP(Tabela1[[#This Row],[Cliente]],'BASE DE CLIENTES'!A:D,4,0)</f>
        <v>EMPRESA COM MAQUINA</v>
      </c>
      <c r="L4104" s="17" t="str">
        <f>VLOOKUP(Tabela1[[#This Row],[Cliente]],'BASE DE CLIENTES'!A:E,5,0)</f>
        <v>Goiânia</v>
      </c>
    </row>
    <row r="4105" spans="2:12" x14ac:dyDescent="0.3">
      <c r="B4105" t="s">
        <v>27</v>
      </c>
      <c r="C4105" s="17" t="str">
        <f>VLOOKUP(Tabela1[[#This Row],[Cliente]],'BASE DE CLIENTES'!A:E,2,0)</f>
        <v>Brasília</v>
      </c>
      <c r="D4105" s="17" t="str">
        <f>VLOOKUP(Tabela1[[#This Row],[Cliente]],'BASE DE CLIENTES'!A:C,3,0)</f>
        <v>DF</v>
      </c>
      <c r="E4105" s="17" t="str">
        <f>CONCATENATE(Tabela1[[#This Row],[CIDADE]],",",Tabela1[[#This Row],[UF]])</f>
        <v>Brasília,DF</v>
      </c>
      <c r="F4105" s="15">
        <v>46073</v>
      </c>
      <c r="G4105" s="5">
        <v>470</v>
      </c>
      <c r="H4105" s="5">
        <v>710</v>
      </c>
      <c r="I4105" s="8">
        <f>Tabela1[[#This Row],[Valor total]]-Tabela1[[#This Row],[Valor custo]]</f>
        <v>240</v>
      </c>
      <c r="J4105" s="18">
        <f>Tabela1[[#This Row],[MARGEM BRUTA]]/Tabela1[[#This Row],[Valor total]]</f>
        <v>0.3380281690140845</v>
      </c>
      <c r="K4105" s="17" t="str">
        <f>VLOOKUP(Tabela1[[#This Row],[Cliente]],'BASE DE CLIENTES'!A:D,4,0)</f>
        <v>EMPRESA SEM MAQUINA</v>
      </c>
      <c r="L4105" s="17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7" t="str">
        <f>VLOOKUP(Tabela1[[#This Row],[Cliente]],'BASE DE CLIENTES'!A:E,2,0)</f>
        <v>Brasília</v>
      </c>
      <c r="D4106" s="17" t="str">
        <f>VLOOKUP(Tabela1[[#This Row],[Cliente]],'BASE DE CLIENTES'!A:C,3,0)</f>
        <v>DF</v>
      </c>
      <c r="E4106" s="17" t="str">
        <f>CONCATENATE(Tabela1[[#This Row],[CIDADE]],",",Tabela1[[#This Row],[UF]])</f>
        <v>Brasília,DF</v>
      </c>
      <c r="F4106" s="15">
        <v>46073</v>
      </c>
      <c r="G4106" s="5">
        <v>3010</v>
      </c>
      <c r="H4106" s="5">
        <v>4735</v>
      </c>
      <c r="I4106" s="8">
        <f>Tabela1[[#This Row],[Valor total]]-Tabela1[[#This Row],[Valor custo]]</f>
        <v>1725</v>
      </c>
      <c r="J4106" s="18">
        <f>Tabela1[[#This Row],[MARGEM BRUTA]]/Tabela1[[#This Row],[Valor total]]</f>
        <v>0.36430834213305174</v>
      </c>
      <c r="K4106" s="17" t="str">
        <f>VLOOKUP(Tabela1[[#This Row],[Cliente]],'BASE DE CLIENTES'!A:D,4,0)</f>
        <v>EMPRESA SEM MAQUINA</v>
      </c>
      <c r="L4106" s="17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7" t="str">
        <f>VLOOKUP(Tabela1[[#This Row],[Cliente]],'BASE DE CLIENTES'!A:E,2,0)</f>
        <v>Brasília</v>
      </c>
      <c r="D4107" s="17" t="str">
        <f>VLOOKUP(Tabela1[[#This Row],[Cliente]],'BASE DE CLIENTES'!A:C,3,0)</f>
        <v>DF</v>
      </c>
      <c r="E4107" s="17" t="str">
        <f>CONCATENATE(Tabela1[[#This Row],[CIDADE]],",",Tabela1[[#This Row],[UF]])</f>
        <v>Brasília,DF</v>
      </c>
      <c r="F4107" s="15">
        <v>46073</v>
      </c>
      <c r="G4107" s="5">
        <v>1221</v>
      </c>
      <c r="H4107" s="5">
        <v>2510</v>
      </c>
      <c r="I4107" s="8">
        <f>Tabela1[[#This Row],[Valor total]]-Tabela1[[#This Row],[Valor custo]]</f>
        <v>1289</v>
      </c>
      <c r="J4107" s="18">
        <f>Tabela1[[#This Row],[MARGEM BRUTA]]/Tabela1[[#This Row],[Valor total]]</f>
        <v>0.51354581673306776</v>
      </c>
      <c r="K4107" s="17" t="str">
        <f>VLOOKUP(Tabela1[[#This Row],[Cliente]],'BASE DE CLIENTES'!A:D,4,0)</f>
        <v>EMPRESA SEM MAQUINA</v>
      </c>
      <c r="L4107" s="17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7" t="str">
        <f>VLOOKUP(Tabela1[[#This Row],[Cliente]],'BASE DE CLIENTES'!A:E,2,0)</f>
        <v>Brasília</v>
      </c>
      <c r="D4108" s="17" t="str">
        <f>VLOOKUP(Tabela1[[#This Row],[Cliente]],'BASE DE CLIENTES'!A:C,3,0)</f>
        <v>DF</v>
      </c>
      <c r="E4108" s="17" t="str">
        <f>CONCATENATE(Tabela1[[#This Row],[CIDADE]],",",Tabela1[[#This Row],[UF]])</f>
        <v>Brasília,DF</v>
      </c>
      <c r="F4108" s="15">
        <v>46073</v>
      </c>
      <c r="G4108" s="5">
        <v>650</v>
      </c>
      <c r="H4108" s="5">
        <v>1000</v>
      </c>
      <c r="I4108" s="8">
        <f>Tabela1[[#This Row],[Valor total]]-Tabela1[[#This Row],[Valor custo]]</f>
        <v>350</v>
      </c>
      <c r="J4108" s="18">
        <f>Tabela1[[#This Row],[MARGEM BRUTA]]/Tabela1[[#This Row],[Valor total]]</f>
        <v>0.35</v>
      </c>
      <c r="K4108" s="17" t="str">
        <f>VLOOKUP(Tabela1[[#This Row],[Cliente]],'BASE DE CLIENTES'!A:D,4,0)</f>
        <v>SERRALHEIRO</v>
      </c>
      <c r="L4108" s="17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7" t="str">
        <f>VLOOKUP(Tabela1[[#This Row],[Cliente]],'BASE DE CLIENTES'!A:E,2,0)</f>
        <v>Brasília</v>
      </c>
      <c r="D4109" s="17" t="str">
        <f>VLOOKUP(Tabela1[[#This Row],[Cliente]],'BASE DE CLIENTES'!A:C,3,0)</f>
        <v>DF</v>
      </c>
      <c r="E4109" s="17" t="str">
        <f>CONCATENATE(Tabela1[[#This Row],[CIDADE]],",",Tabela1[[#This Row],[UF]])</f>
        <v>Brasília,DF</v>
      </c>
      <c r="F4109" s="15">
        <v>46073</v>
      </c>
      <c r="G4109" s="5">
        <v>404</v>
      </c>
      <c r="H4109" s="5">
        <v>670</v>
      </c>
      <c r="I4109" s="8">
        <f>Tabela1[[#This Row],[Valor total]]-Tabela1[[#This Row],[Valor custo]]</f>
        <v>266</v>
      </c>
      <c r="J4109" s="18">
        <f>Tabela1[[#This Row],[MARGEM BRUTA]]/Tabela1[[#This Row],[Valor total]]</f>
        <v>0.39701492537313432</v>
      </c>
      <c r="K4109" s="17" t="str">
        <f>VLOOKUP(Tabela1[[#This Row],[Cliente]],'BASE DE CLIENTES'!A:D,4,0)</f>
        <v>EMPRESA SEM MAQUINA</v>
      </c>
      <c r="L4109" s="17" t="str">
        <f>VLOOKUP(Tabela1[[#This Row],[Cliente]],'BASE DE CLIENTES'!A:E,5,0)</f>
        <v>SAMAMBAIA</v>
      </c>
    </row>
    <row r="4110" spans="2:12" x14ac:dyDescent="0.3">
      <c r="B4110" t="s">
        <v>286</v>
      </c>
      <c r="C4110" s="17" t="str">
        <f>VLOOKUP(Tabela1[[#This Row],[Cliente]],'BASE DE CLIENTES'!A:E,2,0)</f>
        <v>Planaltina</v>
      </c>
      <c r="D4110" s="17" t="str">
        <f>VLOOKUP(Tabela1[[#This Row],[Cliente]],'BASE DE CLIENTES'!A:C,3,0)</f>
        <v>GO</v>
      </c>
      <c r="E4110" s="17" t="str">
        <f>CONCATENATE(Tabela1[[#This Row],[CIDADE]],",",Tabela1[[#This Row],[UF]])</f>
        <v>Planaltina,GO</v>
      </c>
      <c r="F4110" s="15">
        <v>46073</v>
      </c>
      <c r="G4110" s="5">
        <v>2040</v>
      </c>
      <c r="H4110" s="5">
        <v>3200</v>
      </c>
      <c r="I4110" s="8">
        <f>Tabela1[[#This Row],[Valor total]]-Tabela1[[#This Row],[Valor custo]]</f>
        <v>1160</v>
      </c>
      <c r="J4110" s="18">
        <f>Tabela1[[#This Row],[MARGEM BRUTA]]/Tabela1[[#This Row],[Valor total]]</f>
        <v>0.36249999999999999</v>
      </c>
      <c r="K4110" s="17" t="str">
        <f>VLOOKUP(Tabela1[[#This Row],[Cliente]],'BASE DE CLIENTES'!A:D,4,0)</f>
        <v>SERRALHEIRO</v>
      </c>
      <c r="L4110" s="17" t="str">
        <f>VLOOKUP(Tabela1[[#This Row],[Cliente]],'BASE DE CLIENTES'!A:E,5,0)</f>
        <v>Planaltina</v>
      </c>
    </row>
    <row r="4111" spans="2:12" x14ac:dyDescent="0.3">
      <c r="B4111" t="s">
        <v>100</v>
      </c>
      <c r="C4111" s="17" t="str">
        <f>VLOOKUP(Tabela1[[#This Row],[Cliente]],'BASE DE CLIENTES'!A:E,2,0)</f>
        <v>Águas Lindas de Goiás</v>
      </c>
      <c r="D4111" s="17" t="str">
        <f>VLOOKUP(Tabela1[[#This Row],[Cliente]],'BASE DE CLIENTES'!A:C,3,0)</f>
        <v>GO</v>
      </c>
      <c r="E4111" s="17" t="str">
        <f>CONCATENATE(Tabela1[[#This Row],[CIDADE]],",",Tabela1[[#This Row],[UF]])</f>
        <v>Águas Lindas de Goiás,GO</v>
      </c>
      <c r="F4111" s="15">
        <v>46073</v>
      </c>
      <c r="G4111" s="5">
        <v>650</v>
      </c>
      <c r="H4111" s="5">
        <v>1000</v>
      </c>
      <c r="I4111" s="8">
        <f>Tabela1[[#This Row],[Valor total]]-Tabela1[[#This Row],[Valor custo]]</f>
        <v>350</v>
      </c>
      <c r="J4111" s="18">
        <f>Tabela1[[#This Row],[MARGEM BRUTA]]/Tabela1[[#This Row],[Valor total]]</f>
        <v>0.35</v>
      </c>
      <c r="K4111" s="17" t="str">
        <f>VLOOKUP(Tabela1[[#This Row],[Cliente]],'BASE DE CLIENTES'!A:D,4,0)</f>
        <v>EMPRESA SEM MAQUINA</v>
      </c>
      <c r="L4111" s="17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7" t="str">
        <f>VLOOKUP(Tabela1[[#This Row],[Cliente]],'BASE DE CLIENTES'!A:E,2,0)</f>
        <v>Brasília</v>
      </c>
      <c r="D4112" s="17" t="str">
        <f>VLOOKUP(Tabela1[[#This Row],[Cliente]],'BASE DE CLIENTES'!A:C,3,0)</f>
        <v>DF</v>
      </c>
      <c r="E4112" s="17" t="str">
        <f>CONCATENATE(Tabela1[[#This Row],[CIDADE]],",",Tabela1[[#This Row],[UF]])</f>
        <v>Brasília,DF</v>
      </c>
      <c r="F4112" s="15">
        <v>46073</v>
      </c>
      <c r="G4112" s="5">
        <v>419</v>
      </c>
      <c r="H4112" s="5">
        <v>650</v>
      </c>
      <c r="I4112" s="8">
        <f>Tabela1[[#This Row],[Valor total]]-Tabela1[[#This Row],[Valor custo]]</f>
        <v>231</v>
      </c>
      <c r="J4112" s="18">
        <f>Tabela1[[#This Row],[MARGEM BRUTA]]/Tabela1[[#This Row],[Valor total]]</f>
        <v>0.35538461538461541</v>
      </c>
      <c r="K4112" s="17" t="str">
        <f>VLOOKUP(Tabela1[[#This Row],[Cliente]],'BASE DE CLIENTES'!A:D,4,0)</f>
        <v>EMPRESA SEM MAQUINA</v>
      </c>
      <c r="L4112" s="17" t="str">
        <f>VLOOKUP(Tabela1[[#This Row],[Cliente]],'BASE DE CLIENTES'!A:E,5,0)</f>
        <v>SOBRADINHO</v>
      </c>
    </row>
    <row r="4113" spans="2:12" x14ac:dyDescent="0.3">
      <c r="B4113" t="s">
        <v>68</v>
      </c>
      <c r="C4113" s="17" t="str">
        <f>VLOOKUP(Tabela1[[#This Row],[Cliente]],'BASE DE CLIENTES'!A:E,2,0)</f>
        <v>Brasília</v>
      </c>
      <c r="D4113" s="17" t="str">
        <f>VLOOKUP(Tabela1[[#This Row],[Cliente]],'BASE DE CLIENTES'!A:C,3,0)</f>
        <v>DF</v>
      </c>
      <c r="E4113" s="17" t="str">
        <f>CONCATENATE(Tabela1[[#This Row],[CIDADE]],",",Tabela1[[#This Row],[UF]])</f>
        <v>Brasília,DF</v>
      </c>
      <c r="F4113" s="15">
        <v>46073</v>
      </c>
      <c r="G4113" s="5">
        <v>1086</v>
      </c>
      <c r="H4113" s="5">
        <v>1725</v>
      </c>
      <c r="I4113" s="8">
        <f>Tabela1[[#This Row],[Valor total]]-Tabela1[[#This Row],[Valor custo]]</f>
        <v>639</v>
      </c>
      <c r="J4113" s="18">
        <f>Tabela1[[#This Row],[MARGEM BRUTA]]/Tabela1[[#This Row],[Valor total]]</f>
        <v>0.37043478260869567</v>
      </c>
      <c r="K4113" s="17" t="str">
        <f>VLOOKUP(Tabela1[[#This Row],[Cliente]],'BASE DE CLIENTES'!A:D,4,0)</f>
        <v>EMPRESA COM MAQUINA</v>
      </c>
      <c r="L4113" s="17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7" t="str">
        <f>VLOOKUP(Tabela1[[#This Row],[Cliente]],'BASE DE CLIENTES'!A:E,2,0)</f>
        <v>Brasília</v>
      </c>
      <c r="D4114" s="17" t="str">
        <f>VLOOKUP(Tabela1[[#This Row],[Cliente]],'BASE DE CLIENTES'!A:C,3,0)</f>
        <v>DF</v>
      </c>
      <c r="E4114" s="17" t="str">
        <f>CONCATENATE(Tabela1[[#This Row],[CIDADE]],",",Tabela1[[#This Row],[UF]])</f>
        <v>Brasília,DF</v>
      </c>
      <c r="F4114" s="15">
        <v>46073</v>
      </c>
      <c r="G4114" s="5">
        <v>1907</v>
      </c>
      <c r="H4114" s="5">
        <v>3160</v>
      </c>
      <c r="I4114" s="8">
        <f>Tabela1[[#This Row],[Valor total]]-Tabela1[[#This Row],[Valor custo]]</f>
        <v>1253</v>
      </c>
      <c r="J4114" s="18">
        <f>Tabela1[[#This Row],[MARGEM BRUTA]]/Tabela1[[#This Row],[Valor total]]</f>
        <v>0.39651898734177216</v>
      </c>
      <c r="K4114" s="17" t="str">
        <f>VLOOKUP(Tabela1[[#This Row],[Cliente]],'BASE DE CLIENTES'!A:D,4,0)</f>
        <v>SERRALHEIRO</v>
      </c>
      <c r="L4114" s="17" t="str">
        <f>VLOOKUP(Tabela1[[#This Row],[Cliente]],'BASE DE CLIENTES'!A:E,5,0)</f>
        <v>CEILANDIA NORTE</v>
      </c>
    </row>
    <row r="4115" spans="2:12" x14ac:dyDescent="0.3">
      <c r="B4115" t="s">
        <v>254</v>
      </c>
      <c r="C4115" s="17" t="str">
        <f>VLOOKUP(Tabela1[[#This Row],[Cliente]],'BASE DE CLIENTES'!A:E,2,0)</f>
        <v>Luziânia</v>
      </c>
      <c r="D4115" s="17" t="str">
        <f>VLOOKUP(Tabela1[[#This Row],[Cliente]],'BASE DE CLIENTES'!A:C,3,0)</f>
        <v>GO</v>
      </c>
      <c r="E4115" s="17" t="str">
        <f>CONCATENATE(Tabela1[[#This Row],[CIDADE]],",",Tabela1[[#This Row],[UF]])</f>
        <v>Luziânia,GO</v>
      </c>
      <c r="F4115" s="15">
        <v>46073</v>
      </c>
      <c r="G4115" s="5">
        <v>1069</v>
      </c>
      <c r="H4115" s="5">
        <v>1650</v>
      </c>
      <c r="I4115" s="8">
        <f>Tabela1[[#This Row],[Valor total]]-Tabela1[[#This Row],[Valor custo]]</f>
        <v>581</v>
      </c>
      <c r="J4115" s="18">
        <f>Tabela1[[#This Row],[MARGEM BRUTA]]/Tabela1[[#This Row],[Valor total]]</f>
        <v>0.35212121212121211</v>
      </c>
      <c r="K4115" s="17" t="str">
        <f>VLOOKUP(Tabela1[[#This Row],[Cliente]],'BASE DE CLIENTES'!A:D,4,0)</f>
        <v>SERRALHEIRO</v>
      </c>
      <c r="L4115" s="17" t="str">
        <f>VLOOKUP(Tabela1[[#This Row],[Cliente]],'BASE DE CLIENTES'!A:E,5,0)</f>
        <v>Luziânia</v>
      </c>
    </row>
    <row r="4116" spans="2:12" x14ac:dyDescent="0.3">
      <c r="B4116" t="s">
        <v>236</v>
      </c>
      <c r="C4116" s="17" t="str">
        <f>VLOOKUP(Tabela1[[#This Row],[Cliente]],'BASE DE CLIENTES'!A:E,2,0)</f>
        <v>Goiânia</v>
      </c>
      <c r="D4116" s="17" t="str">
        <f>VLOOKUP(Tabela1[[#This Row],[Cliente]],'BASE DE CLIENTES'!A:C,3,0)</f>
        <v>GO</v>
      </c>
      <c r="E4116" s="17" t="str">
        <f>CONCATENATE(Tabela1[[#This Row],[CIDADE]],",",Tabela1[[#This Row],[UF]])</f>
        <v>Goiânia,GO</v>
      </c>
      <c r="F4116" s="15">
        <v>46073</v>
      </c>
      <c r="G4116" s="5">
        <v>2957</v>
      </c>
      <c r="H4116" s="5">
        <v>4045</v>
      </c>
      <c r="I4116" s="8">
        <f>Tabela1[[#This Row],[Valor total]]-Tabela1[[#This Row],[Valor custo]]</f>
        <v>1088</v>
      </c>
      <c r="J4116" s="18">
        <f>Tabela1[[#This Row],[MARGEM BRUTA]]/Tabela1[[#This Row],[Valor total]]</f>
        <v>0.26897404202719405</v>
      </c>
      <c r="K4116" s="17" t="str">
        <f>VLOOKUP(Tabela1[[#This Row],[Cliente]],'BASE DE CLIENTES'!A:D,4,0)</f>
        <v>EMPRESA COM MAQUINA</v>
      </c>
      <c r="L4116" s="17" t="str">
        <f>VLOOKUP(Tabela1[[#This Row],[Cliente]],'BASE DE CLIENTES'!A:E,5,0)</f>
        <v>Goiânia</v>
      </c>
    </row>
    <row r="4117" spans="2:12" x14ac:dyDescent="0.3">
      <c r="B4117" t="s">
        <v>220</v>
      </c>
      <c r="C4117" s="17" t="str">
        <f>VLOOKUP(Tabela1[[#This Row],[Cliente]],'BASE DE CLIENTES'!A:E,2,0)</f>
        <v>Goiânia</v>
      </c>
      <c r="D4117" s="17" t="str">
        <f>VLOOKUP(Tabela1[[#This Row],[Cliente]],'BASE DE CLIENTES'!A:C,3,0)</f>
        <v>GO</v>
      </c>
      <c r="E4117" s="17" t="str">
        <f>CONCATENATE(Tabela1[[#This Row],[CIDADE]],",",Tabela1[[#This Row],[UF]])</f>
        <v>Goiânia,GO</v>
      </c>
      <c r="F4117" s="15">
        <v>46073</v>
      </c>
      <c r="G4117" s="5">
        <v>0</v>
      </c>
      <c r="H4117" s="5">
        <v>450</v>
      </c>
      <c r="I4117" s="8">
        <f>Tabela1[[#This Row],[Valor total]]-Tabela1[[#This Row],[Valor custo]]</f>
        <v>450</v>
      </c>
      <c r="J4117" s="18">
        <f>Tabela1[[#This Row],[MARGEM BRUTA]]/Tabela1[[#This Row],[Valor total]]</f>
        <v>1</v>
      </c>
      <c r="K4117" s="17" t="str">
        <f>VLOOKUP(Tabela1[[#This Row],[Cliente]],'BASE DE CLIENTES'!A:D,4,0)</f>
        <v>EMPRESA COM MAQUINA</v>
      </c>
      <c r="L4117" s="17" t="str">
        <f>VLOOKUP(Tabela1[[#This Row],[Cliente]],'BASE DE CLIENTES'!A:E,5,0)</f>
        <v>Goiânia</v>
      </c>
    </row>
    <row r="4118" spans="2:12" x14ac:dyDescent="0.3">
      <c r="B4118" t="s">
        <v>161</v>
      </c>
      <c r="C4118" s="17" t="str">
        <f>VLOOKUP(Tabela1[[#This Row],[Cliente]],'BASE DE CLIENTES'!A:E,2,0)</f>
        <v>Brasília</v>
      </c>
      <c r="D4118" s="17" t="str">
        <f>VLOOKUP(Tabela1[[#This Row],[Cliente]],'BASE DE CLIENTES'!A:C,3,0)</f>
        <v>DF</v>
      </c>
      <c r="E4118" s="17" t="str">
        <f>CONCATENATE(Tabela1[[#This Row],[CIDADE]],",",Tabela1[[#This Row],[UF]])</f>
        <v>Brasília,DF</v>
      </c>
      <c r="F4118" s="15">
        <v>46073</v>
      </c>
      <c r="G4118" s="5">
        <v>11356</v>
      </c>
      <c r="H4118" s="5">
        <v>17345</v>
      </c>
      <c r="I4118" s="8">
        <f>Tabela1[[#This Row],[Valor total]]-Tabela1[[#This Row],[Valor custo]]</f>
        <v>5989</v>
      </c>
      <c r="J4118" s="18">
        <f>Tabela1[[#This Row],[MARGEM BRUTA]]/Tabela1[[#This Row],[Valor total]]</f>
        <v>0.34528682617469009</v>
      </c>
      <c r="K4118" s="17" t="str">
        <f>VLOOKUP(Tabela1[[#This Row],[Cliente]],'BASE DE CLIENTES'!A:D,4,0)</f>
        <v>EMPRESA COM MAQUINA</v>
      </c>
      <c r="L4118" s="17" t="str">
        <f>VLOOKUP(Tabela1[[#This Row],[Cliente]],'BASE DE CLIENTES'!A:E,5,0)</f>
        <v>RIACHO FUNDO II</v>
      </c>
    </row>
    <row r="4119" spans="2:12" x14ac:dyDescent="0.3">
      <c r="B4119" t="s">
        <v>141</v>
      </c>
      <c r="C4119" s="17" t="str">
        <f>VLOOKUP(Tabela1[[#This Row],[Cliente]],'BASE DE CLIENTES'!A:E,2,0)</f>
        <v>Brasília</v>
      </c>
      <c r="D4119" s="17" t="str">
        <f>VLOOKUP(Tabela1[[#This Row],[Cliente]],'BASE DE CLIENTES'!A:C,3,0)</f>
        <v>DF</v>
      </c>
      <c r="E4119" s="17" t="str">
        <f>CONCATENATE(Tabela1[[#This Row],[CIDADE]],",",Tabela1[[#This Row],[UF]])</f>
        <v>Brasília,DF</v>
      </c>
      <c r="F4119" s="15">
        <v>46073</v>
      </c>
      <c r="G4119" s="5">
        <v>865.3</v>
      </c>
      <c r="H4119" s="5">
        <v>1850</v>
      </c>
      <c r="I4119" s="8">
        <f>Tabela1[[#This Row],[Valor total]]-Tabela1[[#This Row],[Valor custo]]</f>
        <v>984.7</v>
      </c>
      <c r="J4119" s="18">
        <f>Tabela1[[#This Row],[MARGEM BRUTA]]/Tabela1[[#This Row],[Valor total]]</f>
        <v>0.5322702702702703</v>
      </c>
      <c r="K4119" s="17" t="str">
        <f>VLOOKUP(Tabela1[[#This Row],[Cliente]],'BASE DE CLIENTES'!A:D,4,0)</f>
        <v>EMPRESA COM MAQUINA</v>
      </c>
      <c r="L4119" s="17" t="str">
        <f>VLOOKUP(Tabela1[[#This Row],[Cliente]],'BASE DE CLIENTES'!A:E,5,0)</f>
        <v>TAGUATINGA</v>
      </c>
    </row>
    <row r="4120" spans="2:12" x14ac:dyDescent="0.3">
      <c r="B4120" t="s">
        <v>1140</v>
      </c>
      <c r="C4120" s="17" t="str">
        <f>VLOOKUP(Tabela1[[#This Row],[Cliente]],'BASE DE CLIENTES'!A:E,2,0)</f>
        <v>Brasília</v>
      </c>
      <c r="D4120" s="17" t="str">
        <f>VLOOKUP(Tabela1[[#This Row],[Cliente]],'BASE DE CLIENTES'!A:C,3,0)</f>
        <v>DF</v>
      </c>
      <c r="E4120" s="17" t="str">
        <f>CONCATENATE(Tabela1[[#This Row],[CIDADE]],",",Tabela1[[#This Row],[UF]])</f>
        <v>Brasília,DF</v>
      </c>
      <c r="F4120" s="15">
        <v>46073</v>
      </c>
      <c r="G4120" s="5">
        <v>1404.06</v>
      </c>
      <c r="H4120" s="5">
        <v>2500</v>
      </c>
      <c r="I4120" s="8">
        <f>Tabela1[[#This Row],[Valor total]]-Tabela1[[#This Row],[Valor custo]]</f>
        <v>1095.94</v>
      </c>
      <c r="J4120" s="18">
        <f>Tabela1[[#This Row],[MARGEM BRUTA]]/Tabela1[[#This Row],[Valor total]]</f>
        <v>0.43837600000000004</v>
      </c>
      <c r="K4120" s="17" t="str">
        <f>VLOOKUP(Tabela1[[#This Row],[Cliente]],'BASE DE CLIENTES'!A:D,4,0)</f>
        <v>CLIENTE NOVO S/ IDENT.</v>
      </c>
      <c r="L4120" s="17" t="str">
        <f>VLOOKUP(Tabela1[[#This Row],[Cliente]],'BASE DE CLIENTES'!A:E,5,0)</f>
        <v>VICENTE PIRES</v>
      </c>
    </row>
    <row r="4121" spans="2:12" x14ac:dyDescent="0.3">
      <c r="B4121" t="s">
        <v>1141</v>
      </c>
      <c r="C4121" s="17" t="str">
        <f>VLOOKUP(Tabela1[[#This Row],[Cliente]],'BASE DE CLIENTES'!A:E,2,0)</f>
        <v>Aparecida de Goiânia</v>
      </c>
      <c r="D4121" s="17" t="str">
        <f>VLOOKUP(Tabela1[[#This Row],[Cliente]],'BASE DE CLIENTES'!A:C,3,0)</f>
        <v>GO</v>
      </c>
      <c r="E4121" s="17" t="str">
        <f>CONCATENATE(Tabela1[[#This Row],[CIDADE]],",",Tabela1[[#This Row],[UF]])</f>
        <v>Aparecida de Goiânia,GO</v>
      </c>
      <c r="F4121" s="15">
        <v>46072</v>
      </c>
      <c r="G4121" s="5">
        <v>1261.31</v>
      </c>
      <c r="H4121" s="5">
        <v>2200</v>
      </c>
      <c r="I4121" s="8">
        <f>Tabela1[[#This Row],[Valor total]]-Tabela1[[#This Row],[Valor custo]]</f>
        <v>938.69</v>
      </c>
      <c r="J4121" s="18">
        <f>Tabela1[[#This Row],[MARGEM BRUTA]]/Tabela1[[#This Row],[Valor total]]</f>
        <v>0.42667727272727274</v>
      </c>
      <c r="K4121" s="17" t="str">
        <f>VLOOKUP(Tabela1[[#This Row],[Cliente]],'BASE DE CLIENTES'!A:D,4,0)</f>
        <v>CLIENTE NOVO S/ IDENT.</v>
      </c>
      <c r="L4121" s="17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7" t="str">
        <f>VLOOKUP(Tabela1[[#This Row],[Cliente]],'BASE DE CLIENTES'!A:E,2,0)</f>
        <v>Eunápolis</v>
      </c>
      <c r="D4122" s="17" t="str">
        <f>VLOOKUP(Tabela1[[#This Row],[Cliente]],'BASE DE CLIENTES'!A:C,3,0)</f>
        <v>BA</v>
      </c>
      <c r="E4122" s="17" t="str">
        <f>CONCATENATE(Tabela1[[#This Row],[CIDADE]],",",Tabela1[[#This Row],[UF]])</f>
        <v>Eunápolis,BA</v>
      </c>
      <c r="F4122" s="15">
        <v>46072</v>
      </c>
      <c r="G4122" s="5">
        <v>1125.5999999999999</v>
      </c>
      <c r="H4122" s="5">
        <v>2512.1</v>
      </c>
      <c r="I4122" s="8">
        <f>Tabela1[[#This Row],[Valor total]]-Tabela1[[#This Row],[Valor custo]]</f>
        <v>1386.5</v>
      </c>
      <c r="J4122" s="18">
        <f>Tabela1[[#This Row],[MARGEM BRUTA]]/Tabela1[[#This Row],[Valor total]]</f>
        <v>0.55192866526014095</v>
      </c>
      <c r="K4122" s="17" t="str">
        <f>VLOOKUP(Tabela1[[#This Row],[Cliente]],'BASE DE CLIENTES'!A:D,4,0)</f>
        <v>EMPRESA SEM MAQUINA</v>
      </c>
      <c r="L4122" s="17" t="str">
        <f>VLOOKUP(Tabela1[[#This Row],[Cliente]],'BASE DE CLIENTES'!A:E,5,0)</f>
        <v>Eunápolis</v>
      </c>
    </row>
    <row r="4123" spans="2:12" x14ac:dyDescent="0.3">
      <c r="B4123" t="s">
        <v>765</v>
      </c>
      <c r="C4123" s="17" t="str">
        <f>VLOOKUP(Tabela1[[#This Row],[Cliente]],'BASE DE CLIENTES'!A:E,2,0)</f>
        <v>Brasília</v>
      </c>
      <c r="D4123" s="17" t="str">
        <f>VLOOKUP(Tabela1[[#This Row],[Cliente]],'BASE DE CLIENTES'!A:C,3,0)</f>
        <v>DF</v>
      </c>
      <c r="E4123" s="17" t="str">
        <f>CONCATENATE(Tabela1[[#This Row],[CIDADE]],",",Tabela1[[#This Row],[UF]])</f>
        <v>Brasília,DF</v>
      </c>
      <c r="F4123" s="15">
        <v>46072</v>
      </c>
      <c r="G4123" s="5">
        <v>40.020000000000003</v>
      </c>
      <c r="H4123" s="5">
        <v>100</v>
      </c>
      <c r="I4123" s="8">
        <f>Tabela1[[#This Row],[Valor total]]-Tabela1[[#This Row],[Valor custo]]</f>
        <v>59.98</v>
      </c>
      <c r="J4123" s="18">
        <f>Tabela1[[#This Row],[MARGEM BRUTA]]/Tabela1[[#This Row],[Valor total]]</f>
        <v>0.5998</v>
      </c>
      <c r="K4123" s="17" t="str">
        <f>VLOOKUP(Tabela1[[#This Row],[Cliente]],'BASE DE CLIENTES'!A:D,4,0)</f>
        <v>SEM CLASSIFICAÇÃO</v>
      </c>
      <c r="L4123" s="17" t="str">
        <f>VLOOKUP(Tabela1[[#This Row],[Cliente]],'BASE DE CLIENTES'!A:E,5,0)</f>
        <v>SOBRADINHO</v>
      </c>
    </row>
    <row r="4124" spans="2:12" x14ac:dyDescent="0.3">
      <c r="B4124" t="s">
        <v>1142</v>
      </c>
      <c r="C4124" s="17" t="str">
        <f>VLOOKUP(Tabela1[[#This Row],[Cliente]],'BASE DE CLIENTES'!A:E,2,0)</f>
        <v>Brasília</v>
      </c>
      <c r="D4124" s="17" t="str">
        <f>VLOOKUP(Tabela1[[#This Row],[Cliente]],'BASE DE CLIENTES'!A:C,3,0)</f>
        <v>DF</v>
      </c>
      <c r="E4124" s="17" t="str">
        <f>CONCATENATE(Tabela1[[#This Row],[CIDADE]],",",Tabela1[[#This Row],[UF]])</f>
        <v>Brasília,DF</v>
      </c>
      <c r="F4124" s="15">
        <v>46072</v>
      </c>
      <c r="G4124" s="5">
        <v>191</v>
      </c>
      <c r="H4124" s="5">
        <v>299</v>
      </c>
      <c r="I4124" s="8">
        <f>Tabela1[[#This Row],[Valor total]]-Tabela1[[#This Row],[Valor custo]]</f>
        <v>108</v>
      </c>
      <c r="J4124" s="18">
        <f>Tabela1[[#This Row],[MARGEM BRUTA]]/Tabela1[[#This Row],[Valor total]]</f>
        <v>0.3612040133779264</v>
      </c>
      <c r="K4124" s="17" t="str">
        <f>VLOOKUP(Tabela1[[#This Row],[Cliente]],'BASE DE CLIENTES'!A:D,4,0)</f>
        <v>CLIENTE NOVO S/ IDENT.</v>
      </c>
      <c r="L4124" s="17" t="str">
        <f>VLOOKUP(Tabela1[[#This Row],[Cliente]],'BASE DE CLIENTES'!A:E,5,0)</f>
        <v>Cruzeiro Novo</v>
      </c>
    </row>
    <row r="4125" spans="2:12" x14ac:dyDescent="0.3">
      <c r="B4125" t="s">
        <v>111</v>
      </c>
      <c r="C4125" s="17" t="str">
        <f>VLOOKUP(Tabela1[[#This Row],[Cliente]],'BASE DE CLIENTES'!A:E,2,0)</f>
        <v>Brasília</v>
      </c>
      <c r="D4125" s="17" t="str">
        <f>VLOOKUP(Tabela1[[#This Row],[Cliente]],'BASE DE CLIENTES'!A:C,3,0)</f>
        <v>DF</v>
      </c>
      <c r="E4125" s="17" t="str">
        <f>CONCATENATE(Tabela1[[#This Row],[CIDADE]],",",Tabela1[[#This Row],[UF]])</f>
        <v>Brasília,DF</v>
      </c>
      <c r="F4125" s="15">
        <v>46072</v>
      </c>
      <c r="G4125" s="5">
        <v>900</v>
      </c>
      <c r="H4125" s="5">
        <v>1500</v>
      </c>
      <c r="I4125" s="8">
        <f>Tabela1[[#This Row],[Valor total]]-Tabela1[[#This Row],[Valor custo]]</f>
        <v>600</v>
      </c>
      <c r="J4125" s="18">
        <f>Tabela1[[#This Row],[MARGEM BRUTA]]/Tabela1[[#This Row],[Valor total]]</f>
        <v>0.4</v>
      </c>
      <c r="K4125" s="17" t="str">
        <f>VLOOKUP(Tabela1[[#This Row],[Cliente]],'BASE DE CLIENTES'!A:D,4,0)</f>
        <v>EMPRESA SEM MAQUINA</v>
      </c>
      <c r="L4125" s="17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7" t="str">
        <f>VLOOKUP(Tabela1[[#This Row],[Cliente]],'BASE DE CLIENTES'!A:E,2,0)</f>
        <v>Valparaíso de Goiás</v>
      </c>
      <c r="D4126" s="17" t="str">
        <f>VLOOKUP(Tabela1[[#This Row],[Cliente]],'BASE DE CLIENTES'!A:C,3,0)</f>
        <v>GO</v>
      </c>
      <c r="E4126" s="17" t="str">
        <f>CONCATENATE(Tabela1[[#This Row],[CIDADE]],",",Tabela1[[#This Row],[UF]])</f>
        <v>Valparaíso de Goiás,GO</v>
      </c>
      <c r="F4126" s="15">
        <v>46072</v>
      </c>
      <c r="G4126" s="5">
        <v>168.84</v>
      </c>
      <c r="H4126" s="5">
        <v>330</v>
      </c>
      <c r="I4126" s="8">
        <f>Tabela1[[#This Row],[Valor total]]-Tabela1[[#This Row],[Valor custo]]</f>
        <v>161.16</v>
      </c>
      <c r="J4126" s="18">
        <f>Tabela1[[#This Row],[MARGEM BRUTA]]/Tabela1[[#This Row],[Valor total]]</f>
        <v>0.48836363636363633</v>
      </c>
      <c r="K4126" s="17" t="str">
        <f>VLOOKUP(Tabela1[[#This Row],[Cliente]],'BASE DE CLIENTES'!A:D,4,0)</f>
        <v>SERRALHEIRO</v>
      </c>
      <c r="L4126" s="17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7" t="str">
        <f>VLOOKUP(Tabela1[[#This Row],[Cliente]],'BASE DE CLIENTES'!A:E,2,0)</f>
        <v>Brasília</v>
      </c>
      <c r="D4127" s="17" t="str">
        <f>VLOOKUP(Tabela1[[#This Row],[Cliente]],'BASE DE CLIENTES'!A:C,3,0)</f>
        <v>DF</v>
      </c>
      <c r="E4127" s="17" t="str">
        <f>CONCATENATE(Tabela1[[#This Row],[CIDADE]],",",Tabela1[[#This Row],[UF]])</f>
        <v>Brasília,DF</v>
      </c>
      <c r="F4127" s="15">
        <v>46072</v>
      </c>
      <c r="G4127" s="5">
        <v>250</v>
      </c>
      <c r="H4127" s="5">
        <v>300</v>
      </c>
      <c r="I4127" s="8">
        <f>Tabela1[[#This Row],[Valor total]]-Tabela1[[#This Row],[Valor custo]]</f>
        <v>50</v>
      </c>
      <c r="J4127" s="18">
        <f>Tabela1[[#This Row],[MARGEM BRUTA]]/Tabela1[[#This Row],[Valor total]]</f>
        <v>0.16666666666666666</v>
      </c>
      <c r="K4127" s="17" t="str">
        <f>VLOOKUP(Tabela1[[#This Row],[Cliente]],'BASE DE CLIENTES'!A:D,4,0)</f>
        <v>EMPRESA COM MAQUINA</v>
      </c>
      <c r="L4127" s="17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7" t="str">
        <f>VLOOKUP(Tabela1[[#This Row],[Cliente]],'BASE DE CLIENTES'!A:E,2,0)</f>
        <v>Brasília</v>
      </c>
      <c r="D4128" s="17" t="str">
        <f>VLOOKUP(Tabela1[[#This Row],[Cliente]],'BASE DE CLIENTES'!A:C,3,0)</f>
        <v>DF</v>
      </c>
      <c r="E4128" s="17" t="str">
        <f>CONCATENATE(Tabela1[[#This Row],[CIDADE]],",",Tabela1[[#This Row],[UF]])</f>
        <v>Brasília,DF</v>
      </c>
      <c r="F4128" s="15">
        <v>46072</v>
      </c>
      <c r="G4128" s="5">
        <v>1324.38</v>
      </c>
      <c r="H4128" s="5">
        <v>1930</v>
      </c>
      <c r="I4128" s="8">
        <f>Tabela1[[#This Row],[Valor total]]-Tabela1[[#This Row],[Valor custo]]</f>
        <v>605.61999999999989</v>
      </c>
      <c r="J4128" s="18">
        <f>Tabela1[[#This Row],[MARGEM BRUTA]]/Tabela1[[#This Row],[Valor total]]</f>
        <v>0.31379274611398961</v>
      </c>
      <c r="K4128" s="17" t="str">
        <f>VLOOKUP(Tabela1[[#This Row],[Cliente]],'BASE DE CLIENTES'!A:D,4,0)</f>
        <v>SERRALHEIRO</v>
      </c>
      <c r="L4128" s="17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7" t="str">
        <f>VLOOKUP(Tabela1[[#This Row],[Cliente]],'BASE DE CLIENTES'!A:E,2,0)</f>
        <v>Brasília</v>
      </c>
      <c r="D4129" s="17" t="str">
        <f>VLOOKUP(Tabela1[[#This Row],[Cliente]],'BASE DE CLIENTES'!A:C,3,0)</f>
        <v>DF</v>
      </c>
      <c r="E4129" s="17" t="str">
        <f>CONCATENATE(Tabela1[[#This Row],[CIDADE]],",",Tabela1[[#This Row],[UF]])</f>
        <v>Brasília,DF</v>
      </c>
      <c r="F4129" s="15">
        <v>46072</v>
      </c>
      <c r="G4129" s="5">
        <v>530</v>
      </c>
      <c r="H4129" s="5">
        <v>869</v>
      </c>
      <c r="I4129" s="8">
        <f>Tabela1[[#This Row],[Valor total]]-Tabela1[[#This Row],[Valor custo]]</f>
        <v>339</v>
      </c>
      <c r="J4129" s="18">
        <f>Tabela1[[#This Row],[MARGEM BRUTA]]/Tabela1[[#This Row],[Valor total]]</f>
        <v>0.39010356731875717</v>
      </c>
      <c r="K4129" s="17" t="str">
        <f>VLOOKUP(Tabela1[[#This Row],[Cliente]],'BASE DE CLIENTES'!A:D,4,0)</f>
        <v>SERRALHEIRO</v>
      </c>
      <c r="L4129" s="17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7" t="str">
        <f>VLOOKUP(Tabela1[[#This Row],[Cliente]],'BASE DE CLIENTES'!A:E,2,0)</f>
        <v>Brasília</v>
      </c>
      <c r="D4130" s="17" t="str">
        <f>VLOOKUP(Tabela1[[#This Row],[Cliente]],'BASE DE CLIENTES'!A:C,3,0)</f>
        <v>DF</v>
      </c>
      <c r="E4130" s="17" t="str">
        <f>CONCATENATE(Tabela1[[#This Row],[CIDADE]],",",Tabela1[[#This Row],[UF]])</f>
        <v>Brasília,DF</v>
      </c>
      <c r="F4130" s="15">
        <v>46072</v>
      </c>
      <c r="G4130" s="5">
        <v>652</v>
      </c>
      <c r="H4130" s="5">
        <v>1090</v>
      </c>
      <c r="I4130" s="8">
        <f>Tabela1[[#This Row],[Valor total]]-Tabela1[[#This Row],[Valor custo]]</f>
        <v>438</v>
      </c>
      <c r="J4130" s="18">
        <f>Tabela1[[#This Row],[MARGEM BRUTA]]/Tabela1[[#This Row],[Valor total]]</f>
        <v>0.40183486238532112</v>
      </c>
      <c r="K4130" s="17" t="str">
        <f>VLOOKUP(Tabela1[[#This Row],[Cliente]],'BASE DE CLIENTES'!A:D,4,0)</f>
        <v>SERRALHEIRO</v>
      </c>
      <c r="L4130" s="17" t="str">
        <f>VLOOKUP(Tabela1[[#This Row],[Cliente]],'BASE DE CLIENTES'!A:E,5,0)</f>
        <v>SANTA MARIA</v>
      </c>
    </row>
    <row r="4131" spans="2:12" x14ac:dyDescent="0.3">
      <c r="B4131" t="s">
        <v>132</v>
      </c>
      <c r="C4131" s="17" t="str">
        <f>VLOOKUP(Tabela1[[#This Row],[Cliente]],'BASE DE CLIENTES'!A:E,2,0)</f>
        <v>Águas Lindas de Goiás</v>
      </c>
      <c r="D4131" s="17" t="str">
        <f>VLOOKUP(Tabela1[[#This Row],[Cliente]],'BASE DE CLIENTES'!A:C,3,0)</f>
        <v>GO</v>
      </c>
      <c r="E4131" s="17" t="str">
        <f>CONCATENATE(Tabela1[[#This Row],[CIDADE]],",",Tabela1[[#This Row],[UF]])</f>
        <v>Águas Lindas de Goiás,GO</v>
      </c>
      <c r="F4131" s="15">
        <v>46072</v>
      </c>
      <c r="G4131" s="5">
        <v>797.76</v>
      </c>
      <c r="H4131" s="5">
        <v>1386</v>
      </c>
      <c r="I4131" s="8">
        <f>Tabela1[[#This Row],[Valor total]]-Tabela1[[#This Row],[Valor custo]]</f>
        <v>588.24</v>
      </c>
      <c r="J4131" s="18">
        <f>Tabela1[[#This Row],[MARGEM BRUTA]]/Tabela1[[#This Row],[Valor total]]</f>
        <v>0.42441558441558441</v>
      </c>
      <c r="K4131" s="17" t="str">
        <f>VLOOKUP(Tabela1[[#This Row],[Cliente]],'BASE DE CLIENTES'!A:D,4,0)</f>
        <v>SERRALHEIRO</v>
      </c>
      <c r="L4131" s="17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7" t="str">
        <f>VLOOKUP(Tabela1[[#This Row],[Cliente]],'BASE DE CLIENTES'!A:E,2,0)</f>
        <v>Brasília</v>
      </c>
      <c r="D4132" s="17" t="str">
        <f>VLOOKUP(Tabela1[[#This Row],[Cliente]],'BASE DE CLIENTES'!A:C,3,0)</f>
        <v>DF</v>
      </c>
      <c r="E4132" s="17" t="str">
        <f>CONCATENATE(Tabela1[[#This Row],[CIDADE]],",",Tabela1[[#This Row],[UF]])</f>
        <v>Brasília,DF</v>
      </c>
      <c r="F4132" s="15">
        <v>46072</v>
      </c>
      <c r="G4132" s="5">
        <v>818.14</v>
      </c>
      <c r="H4132" s="5">
        <v>1180</v>
      </c>
      <c r="I4132" s="8">
        <f>Tabela1[[#This Row],[Valor total]]-Tabela1[[#This Row],[Valor custo]]</f>
        <v>361.86</v>
      </c>
      <c r="J4132" s="18">
        <f>Tabela1[[#This Row],[MARGEM BRUTA]]/Tabela1[[#This Row],[Valor total]]</f>
        <v>0.30666101694915254</v>
      </c>
      <c r="K4132" s="17" t="str">
        <f>VLOOKUP(Tabela1[[#This Row],[Cliente]],'BASE DE CLIENTES'!A:D,4,0)</f>
        <v>EMPRESA COM MAQUINA</v>
      </c>
      <c r="L4132" s="17" t="str">
        <f>VLOOKUP(Tabela1[[#This Row],[Cliente]],'BASE DE CLIENTES'!A:E,5,0)</f>
        <v>RIACHO FUNDO II</v>
      </c>
    </row>
    <row r="4133" spans="2:12" x14ac:dyDescent="0.3">
      <c r="B4133" t="s">
        <v>161</v>
      </c>
      <c r="C4133" s="17" t="str">
        <f>VLOOKUP(Tabela1[[#This Row],[Cliente]],'BASE DE CLIENTES'!A:E,2,0)</f>
        <v>Brasília</v>
      </c>
      <c r="D4133" s="17" t="str">
        <f>VLOOKUP(Tabela1[[#This Row],[Cliente]],'BASE DE CLIENTES'!A:C,3,0)</f>
        <v>DF</v>
      </c>
      <c r="E4133" s="17" t="str">
        <f>CONCATENATE(Tabela1[[#This Row],[CIDADE]],",",Tabela1[[#This Row],[UF]])</f>
        <v>Brasília,DF</v>
      </c>
      <c r="F4133" s="15">
        <v>46072</v>
      </c>
      <c r="G4133" s="5">
        <v>6570</v>
      </c>
      <c r="H4133" s="5">
        <v>10175</v>
      </c>
      <c r="I4133" s="8">
        <f>Tabela1[[#This Row],[Valor total]]-Tabela1[[#This Row],[Valor custo]]</f>
        <v>3605</v>
      </c>
      <c r="J4133" s="18">
        <f>Tabela1[[#This Row],[MARGEM BRUTA]]/Tabela1[[#This Row],[Valor total]]</f>
        <v>0.3542997542997543</v>
      </c>
      <c r="K4133" s="17" t="str">
        <f>VLOOKUP(Tabela1[[#This Row],[Cliente]],'BASE DE CLIENTES'!A:D,4,0)</f>
        <v>EMPRESA COM MAQUINA</v>
      </c>
      <c r="L4133" s="17" t="str">
        <f>VLOOKUP(Tabela1[[#This Row],[Cliente]],'BASE DE CLIENTES'!A:E,5,0)</f>
        <v>RIACHO FUNDO II</v>
      </c>
    </row>
    <row r="4134" spans="2:12" x14ac:dyDescent="0.3">
      <c r="B4134" t="s">
        <v>27</v>
      </c>
      <c r="C4134" s="17" t="str">
        <f>VLOOKUP(Tabela1[[#This Row],[Cliente]],'BASE DE CLIENTES'!A:E,2,0)</f>
        <v>Brasília</v>
      </c>
      <c r="D4134" s="17" t="str">
        <f>VLOOKUP(Tabela1[[#This Row],[Cliente]],'BASE DE CLIENTES'!A:C,3,0)</f>
        <v>DF</v>
      </c>
      <c r="E4134" s="17" t="str">
        <f>CONCATENATE(Tabela1[[#This Row],[CIDADE]],",",Tabela1[[#This Row],[UF]])</f>
        <v>Brasília,DF</v>
      </c>
      <c r="F4134" s="15">
        <v>46072</v>
      </c>
      <c r="G4134" s="5">
        <v>419</v>
      </c>
      <c r="H4134" s="5">
        <v>502</v>
      </c>
      <c r="I4134" s="8">
        <f>Tabela1[[#This Row],[Valor total]]-Tabela1[[#This Row],[Valor custo]]</f>
        <v>83</v>
      </c>
      <c r="J4134" s="18">
        <f>Tabela1[[#This Row],[MARGEM BRUTA]]/Tabela1[[#This Row],[Valor total]]</f>
        <v>0.16533864541832669</v>
      </c>
      <c r="K4134" s="17" t="str">
        <f>VLOOKUP(Tabela1[[#This Row],[Cliente]],'BASE DE CLIENTES'!A:D,4,0)</f>
        <v>EMPRESA SEM MAQUINA</v>
      </c>
      <c r="L4134" s="17" t="str">
        <f>VLOOKUP(Tabela1[[#This Row],[Cliente]],'BASE DE CLIENTES'!A:E,5,0)</f>
        <v>RECANTO DAS EMAS</v>
      </c>
    </row>
    <row r="4135" spans="2:12" x14ac:dyDescent="0.3">
      <c r="B4135" t="s">
        <v>36</v>
      </c>
      <c r="C4135" s="17" t="str">
        <f>VLOOKUP(Tabela1[[#This Row],[Cliente]],'BASE DE CLIENTES'!A:E,2,0)</f>
        <v>Brasília</v>
      </c>
      <c r="D4135" s="17" t="str">
        <f>VLOOKUP(Tabela1[[#This Row],[Cliente]],'BASE DE CLIENTES'!A:C,3,0)</f>
        <v>DF</v>
      </c>
      <c r="E4135" s="17" t="str">
        <f>CONCATENATE(Tabela1[[#This Row],[CIDADE]],",",Tabela1[[#This Row],[UF]])</f>
        <v>Brasília,DF</v>
      </c>
      <c r="F4135" s="15">
        <v>46072</v>
      </c>
      <c r="G4135" s="5">
        <v>15.02</v>
      </c>
      <c r="H4135" s="5">
        <v>70</v>
      </c>
      <c r="I4135" s="8">
        <f>Tabela1[[#This Row],[Valor total]]-Tabela1[[#This Row],[Valor custo]]</f>
        <v>54.980000000000004</v>
      </c>
      <c r="J4135" s="18">
        <f>Tabela1[[#This Row],[MARGEM BRUTA]]/Tabela1[[#This Row],[Valor total]]</f>
        <v>0.78542857142857148</v>
      </c>
      <c r="K4135" s="17" t="str">
        <f>VLOOKUP(Tabela1[[#This Row],[Cliente]],'BASE DE CLIENTES'!A:D,4,0)</f>
        <v>SERRALHEIRO</v>
      </c>
      <c r="L4135" s="17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7" t="str">
        <f>VLOOKUP(Tabela1[[#This Row],[Cliente]],'BASE DE CLIENTES'!A:E,2,0)</f>
        <v>Brasília</v>
      </c>
      <c r="D4136" s="17" t="str">
        <f>VLOOKUP(Tabela1[[#This Row],[Cliente]],'BASE DE CLIENTES'!A:C,3,0)</f>
        <v>DF</v>
      </c>
      <c r="E4136" s="17" t="str">
        <f>CONCATENATE(Tabela1[[#This Row],[CIDADE]],",",Tabela1[[#This Row],[UF]])</f>
        <v>Brasília,DF</v>
      </c>
      <c r="F4136" s="15">
        <v>46072</v>
      </c>
      <c r="G4136" s="5">
        <v>75.099999999999994</v>
      </c>
      <c r="H4136" s="5">
        <v>280</v>
      </c>
      <c r="I4136" s="8">
        <f>Tabela1[[#This Row],[Valor total]]-Tabela1[[#This Row],[Valor custo]]</f>
        <v>204.9</v>
      </c>
      <c r="J4136" s="18">
        <f>Tabela1[[#This Row],[MARGEM BRUTA]]/Tabela1[[#This Row],[Valor total]]</f>
        <v>0.73178571428571426</v>
      </c>
      <c r="K4136" s="17" t="str">
        <f>VLOOKUP(Tabela1[[#This Row],[Cliente]],'BASE DE CLIENTES'!A:D,4,0)</f>
        <v>CLIENTE NOVO S/ IDENT.</v>
      </c>
      <c r="L4136" s="17" t="str">
        <f>VLOOKUP(Tabela1[[#This Row],[Cliente]],'BASE DE CLIENTES'!A:E,5,0)</f>
        <v>Ceilândia</v>
      </c>
    </row>
    <row r="4137" spans="2:12" x14ac:dyDescent="0.3">
      <c r="B4137" t="s">
        <v>1144</v>
      </c>
      <c r="C4137" s="17" t="str">
        <f>VLOOKUP(Tabela1[[#This Row],[Cliente]],'BASE DE CLIENTES'!A:E,2,0)</f>
        <v>Brasília</v>
      </c>
      <c r="D4137" s="17" t="str">
        <f>VLOOKUP(Tabela1[[#This Row],[Cliente]],'BASE DE CLIENTES'!A:C,3,0)</f>
        <v>DF</v>
      </c>
      <c r="E4137" s="17" t="str">
        <f>CONCATENATE(Tabela1[[#This Row],[CIDADE]],",",Tabela1[[#This Row],[UF]])</f>
        <v>Brasília,DF</v>
      </c>
      <c r="F4137" s="15">
        <v>46072</v>
      </c>
      <c r="G4137" s="5">
        <v>450</v>
      </c>
      <c r="H4137" s="5">
        <v>700</v>
      </c>
      <c r="I4137" s="8">
        <f>Tabela1[[#This Row],[Valor total]]-Tabela1[[#This Row],[Valor custo]]</f>
        <v>250</v>
      </c>
      <c r="J4137" s="18">
        <f>Tabela1[[#This Row],[MARGEM BRUTA]]/Tabela1[[#This Row],[Valor total]]</f>
        <v>0.35714285714285715</v>
      </c>
      <c r="K4137" s="17" t="str">
        <f>VLOOKUP(Tabela1[[#This Row],[Cliente]],'BASE DE CLIENTES'!A:D,4,0)</f>
        <v>CLIENTE NOVO S/ IDENT.</v>
      </c>
      <c r="L4137" s="17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7" t="str">
        <f>VLOOKUP(Tabela1[[#This Row],[Cliente]],'BASE DE CLIENTES'!A:E,2,0)</f>
        <v>Aparecida de Goiânia</v>
      </c>
      <c r="D4138" s="17" t="str">
        <f>VLOOKUP(Tabela1[[#This Row],[Cliente]],'BASE DE CLIENTES'!A:C,3,0)</f>
        <v>GO</v>
      </c>
      <c r="E4138" s="17" t="str">
        <f>CONCATENATE(Tabela1[[#This Row],[CIDADE]],",",Tabela1[[#This Row],[UF]])</f>
        <v>Aparecida de Goiânia,GO</v>
      </c>
      <c r="F4138" s="15">
        <v>46072</v>
      </c>
      <c r="G4138" s="5">
        <v>4640</v>
      </c>
      <c r="H4138" s="5">
        <v>6460</v>
      </c>
      <c r="I4138" s="8">
        <f>Tabela1[[#This Row],[Valor total]]-Tabela1[[#This Row],[Valor custo]]</f>
        <v>1820</v>
      </c>
      <c r="J4138" s="18">
        <f>Tabela1[[#This Row],[MARGEM BRUTA]]/Tabela1[[#This Row],[Valor total]]</f>
        <v>0.28173374613003094</v>
      </c>
      <c r="K4138" s="17" t="str">
        <f>VLOOKUP(Tabela1[[#This Row],[Cliente]],'BASE DE CLIENTES'!A:D,4,0)</f>
        <v>CLIENTE NOVO S/ IDENT.</v>
      </c>
      <c r="L4138" s="17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7" t="str">
        <f>VLOOKUP(Tabela1[[#This Row],[Cliente]],'BASE DE CLIENTES'!A:E,2,0)</f>
        <v>Brasília</v>
      </c>
      <c r="D4139" s="17" t="str">
        <f>VLOOKUP(Tabela1[[#This Row],[Cliente]],'BASE DE CLIENTES'!A:C,3,0)</f>
        <v>DF</v>
      </c>
      <c r="E4139" s="17" t="str">
        <f>CONCATENATE(Tabela1[[#This Row],[CIDADE]],",",Tabela1[[#This Row],[UF]])</f>
        <v>Brasília,DF</v>
      </c>
      <c r="F4139" s="15">
        <v>46072</v>
      </c>
      <c r="G4139" s="5">
        <v>90.06</v>
      </c>
      <c r="H4139" s="5">
        <v>170</v>
      </c>
      <c r="I4139" s="8">
        <f>Tabela1[[#This Row],[Valor total]]-Tabela1[[#This Row],[Valor custo]]</f>
        <v>79.94</v>
      </c>
      <c r="J4139" s="18">
        <f>Tabela1[[#This Row],[MARGEM BRUTA]]/Tabela1[[#This Row],[Valor total]]</f>
        <v>0.47023529411764703</v>
      </c>
      <c r="K4139" s="17" t="str">
        <f>VLOOKUP(Tabela1[[#This Row],[Cliente]],'BASE DE CLIENTES'!A:D,4,0)</f>
        <v>EMPRESA SEM MAQUINA</v>
      </c>
      <c r="L4139" s="17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7" t="str">
        <f>VLOOKUP(Tabela1[[#This Row],[Cliente]],'BASE DE CLIENTES'!A:E,2,0)</f>
        <v>Brasília</v>
      </c>
      <c r="D4140" s="17" t="str">
        <f>VLOOKUP(Tabela1[[#This Row],[Cliente]],'BASE DE CLIENTES'!A:C,3,0)</f>
        <v>DF</v>
      </c>
      <c r="E4140" s="17" t="str">
        <f>CONCATENATE(Tabela1[[#This Row],[CIDADE]],",",Tabela1[[#This Row],[UF]])</f>
        <v>Brasília,DF</v>
      </c>
      <c r="F4140" s="15">
        <v>46072</v>
      </c>
      <c r="G4140" s="5">
        <v>470</v>
      </c>
      <c r="H4140" s="5">
        <v>785</v>
      </c>
      <c r="I4140" s="8">
        <f>Tabela1[[#This Row],[Valor total]]-Tabela1[[#This Row],[Valor custo]]</f>
        <v>315</v>
      </c>
      <c r="J4140" s="18">
        <f>Tabela1[[#This Row],[MARGEM BRUTA]]/Tabela1[[#This Row],[Valor total]]</f>
        <v>0.40127388535031849</v>
      </c>
      <c r="K4140" s="17" t="str">
        <f>VLOOKUP(Tabela1[[#This Row],[Cliente]],'BASE DE CLIENTES'!A:D,4,0)</f>
        <v>EMPRESA COM MAQUINA</v>
      </c>
      <c r="L4140" s="17" t="str">
        <f>VLOOKUP(Tabela1[[#This Row],[Cliente]],'BASE DE CLIENTES'!A:E,5,0)</f>
        <v>RIACHO FUNDO II</v>
      </c>
    </row>
    <row r="4141" spans="2:12" x14ac:dyDescent="0.3">
      <c r="B4141" t="s">
        <v>232</v>
      </c>
      <c r="C4141" s="17" t="str">
        <f>VLOOKUP(Tabela1[[#This Row],[Cliente]],'BASE DE CLIENTES'!A:E,2,0)</f>
        <v>Brasília</v>
      </c>
      <c r="D4141" s="17" t="str">
        <f>VLOOKUP(Tabela1[[#This Row],[Cliente]],'BASE DE CLIENTES'!A:C,3,0)</f>
        <v>DF</v>
      </c>
      <c r="E4141" s="17" t="str">
        <f>CONCATENATE(Tabela1[[#This Row],[CIDADE]],",",Tabela1[[#This Row],[UF]])</f>
        <v>Brasília,DF</v>
      </c>
      <c r="F4141" s="15">
        <v>46072</v>
      </c>
      <c r="G4141" s="5">
        <v>191</v>
      </c>
      <c r="H4141" s="5">
        <v>500</v>
      </c>
      <c r="I4141" s="8">
        <f>Tabela1[[#This Row],[Valor total]]-Tabela1[[#This Row],[Valor custo]]</f>
        <v>309</v>
      </c>
      <c r="J4141" s="18">
        <f>Tabela1[[#This Row],[MARGEM BRUTA]]/Tabela1[[#This Row],[Valor total]]</f>
        <v>0.61799999999999999</v>
      </c>
      <c r="K4141" s="17" t="str">
        <f>VLOOKUP(Tabela1[[#This Row],[Cliente]],'BASE DE CLIENTES'!A:D,4,0)</f>
        <v>CHAVEIRO</v>
      </c>
      <c r="L4141" s="17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7" t="str">
        <f>VLOOKUP(Tabela1[[#This Row],[Cliente]],'BASE DE CLIENTES'!A:E,2,0)</f>
        <v>Brasília</v>
      </c>
      <c r="D4142" s="17" t="str">
        <f>VLOOKUP(Tabela1[[#This Row],[Cliente]],'BASE DE CLIENTES'!A:C,3,0)</f>
        <v>DF</v>
      </c>
      <c r="E4142" s="17" t="str">
        <f>CONCATENATE(Tabela1[[#This Row],[CIDADE]],",",Tabela1[[#This Row],[UF]])</f>
        <v>Brasília,DF</v>
      </c>
      <c r="F4142" s="15">
        <v>46072</v>
      </c>
      <c r="G4142" s="5">
        <v>680</v>
      </c>
      <c r="H4142" s="5">
        <v>1100</v>
      </c>
      <c r="I4142" s="8">
        <f>Tabela1[[#This Row],[Valor total]]-Tabela1[[#This Row],[Valor custo]]</f>
        <v>420</v>
      </c>
      <c r="J4142" s="18">
        <f>Tabela1[[#This Row],[MARGEM BRUTA]]/Tabela1[[#This Row],[Valor total]]</f>
        <v>0.38181818181818183</v>
      </c>
      <c r="K4142" s="17" t="str">
        <f>VLOOKUP(Tabela1[[#This Row],[Cliente]],'BASE DE CLIENTES'!A:D,4,0)</f>
        <v>EMPRESA SEM MAQUINA</v>
      </c>
      <c r="L4142" s="17" t="str">
        <f>VLOOKUP(Tabela1[[#This Row],[Cliente]],'BASE DE CLIENTES'!A:E,5,0)</f>
        <v>SAMAMBAIA</v>
      </c>
    </row>
    <row r="4143" spans="2:12" x14ac:dyDescent="0.3">
      <c r="B4143" t="s">
        <v>206</v>
      </c>
      <c r="C4143" s="17" t="str">
        <f>VLOOKUP(Tabela1[[#This Row],[Cliente]],'BASE DE CLIENTES'!A:E,2,0)</f>
        <v>Goiânia</v>
      </c>
      <c r="D4143" s="17" t="str">
        <f>VLOOKUP(Tabela1[[#This Row],[Cliente]],'BASE DE CLIENTES'!A:C,3,0)</f>
        <v>GO</v>
      </c>
      <c r="E4143" s="17" t="str">
        <f>CONCATENATE(Tabela1[[#This Row],[CIDADE]],",",Tabela1[[#This Row],[UF]])</f>
        <v>Goiânia,GO</v>
      </c>
      <c r="F4143" s="15">
        <v>46072</v>
      </c>
      <c r="G4143" s="5">
        <v>10360</v>
      </c>
      <c r="H4143" s="5">
        <v>17100</v>
      </c>
      <c r="I4143" s="8">
        <f>Tabela1[[#This Row],[Valor total]]-Tabela1[[#This Row],[Valor custo]]</f>
        <v>6740</v>
      </c>
      <c r="J4143" s="18">
        <f>Tabela1[[#This Row],[MARGEM BRUTA]]/Tabela1[[#This Row],[Valor total]]</f>
        <v>0.39415204678362575</v>
      </c>
      <c r="K4143" s="17" t="str">
        <f>VLOOKUP(Tabela1[[#This Row],[Cliente]],'BASE DE CLIENTES'!A:D,4,0)</f>
        <v>EMPRESA COM MAQUINA</v>
      </c>
      <c r="L4143" s="17" t="str">
        <f>VLOOKUP(Tabela1[[#This Row],[Cliente]],'BASE DE CLIENTES'!A:E,5,0)</f>
        <v>Goiânia</v>
      </c>
    </row>
    <row r="4144" spans="2:12" x14ac:dyDescent="0.3">
      <c r="B4144" t="s">
        <v>52</v>
      </c>
      <c r="C4144" s="17" t="str">
        <f>VLOOKUP(Tabela1[[#This Row],[Cliente]],'BASE DE CLIENTES'!A:E,2,0)</f>
        <v>Brasília</v>
      </c>
      <c r="D4144" s="17" t="str">
        <f>VLOOKUP(Tabela1[[#This Row],[Cliente]],'BASE DE CLIENTES'!A:C,3,0)</f>
        <v>DF</v>
      </c>
      <c r="E4144" s="17" t="str">
        <f>CONCATENATE(Tabela1[[#This Row],[CIDADE]],",",Tabela1[[#This Row],[UF]])</f>
        <v>Brasília,DF</v>
      </c>
      <c r="F4144" s="15">
        <v>46071</v>
      </c>
      <c r="G4144" s="5">
        <v>180</v>
      </c>
      <c r="H4144" s="5">
        <v>200</v>
      </c>
      <c r="I4144" s="8">
        <f>Tabela1[[#This Row],[Valor total]]-Tabela1[[#This Row],[Valor custo]]</f>
        <v>20</v>
      </c>
      <c r="J4144" s="18">
        <f>Tabela1[[#This Row],[MARGEM BRUTA]]/Tabela1[[#This Row],[Valor total]]</f>
        <v>0.1</v>
      </c>
      <c r="K4144" s="17" t="str">
        <f>VLOOKUP(Tabela1[[#This Row],[Cliente]],'BASE DE CLIENTES'!A:D,4,0)</f>
        <v>SERRALHEIRO</v>
      </c>
      <c r="L4144" s="17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7" t="str">
        <f>VLOOKUP(Tabela1[[#This Row],[Cliente]],'BASE DE CLIENTES'!A:E,2,0)</f>
        <v>Brasília</v>
      </c>
      <c r="D4145" s="17" t="str">
        <f>VLOOKUP(Tabela1[[#This Row],[Cliente]],'BASE DE CLIENTES'!A:C,3,0)</f>
        <v>DF</v>
      </c>
      <c r="E4145" s="17" t="str">
        <f>CONCATENATE(Tabela1[[#This Row],[CIDADE]],",",Tabela1[[#This Row],[UF]])</f>
        <v>Brasília,DF</v>
      </c>
      <c r="F4145" s="15">
        <v>46071</v>
      </c>
      <c r="G4145" s="5">
        <v>1703.5</v>
      </c>
      <c r="H4145" s="5">
        <v>2890</v>
      </c>
      <c r="I4145" s="8">
        <f>Tabela1[[#This Row],[Valor total]]-Tabela1[[#This Row],[Valor custo]]</f>
        <v>1186.5</v>
      </c>
      <c r="J4145" s="18">
        <f>Tabela1[[#This Row],[MARGEM BRUTA]]/Tabela1[[#This Row],[Valor total]]</f>
        <v>0.4105536332179931</v>
      </c>
      <c r="K4145" s="17" t="str">
        <f>VLOOKUP(Tabela1[[#This Row],[Cliente]],'BASE DE CLIENTES'!A:D,4,0)</f>
        <v>EMPRESA COM MAQUINA</v>
      </c>
      <c r="L4145" s="17" t="str">
        <f>VLOOKUP(Tabela1[[#This Row],[Cliente]],'BASE DE CLIENTES'!A:E,5,0)</f>
        <v>26 DE SETEMBRO</v>
      </c>
    </row>
    <row r="4146" spans="2:12" x14ac:dyDescent="0.3">
      <c r="B4146" t="s">
        <v>187</v>
      </c>
      <c r="C4146" s="17" t="str">
        <f>VLOOKUP(Tabela1[[#This Row],[Cliente]],'BASE DE CLIENTES'!A:E,2,0)</f>
        <v>Brasília</v>
      </c>
      <c r="D4146" s="17" t="str">
        <f>VLOOKUP(Tabela1[[#This Row],[Cliente]],'BASE DE CLIENTES'!A:C,3,0)</f>
        <v>DF</v>
      </c>
      <c r="E4146" s="17" t="str">
        <f>CONCATENATE(Tabela1[[#This Row],[CIDADE]],",",Tabela1[[#This Row],[UF]])</f>
        <v>Brasília,DF</v>
      </c>
      <c r="F4146" s="15">
        <v>46071</v>
      </c>
      <c r="G4146" s="5">
        <v>0</v>
      </c>
      <c r="H4146" s="5">
        <v>95</v>
      </c>
      <c r="I4146" s="8">
        <f>Tabela1[[#This Row],[Valor total]]-Tabela1[[#This Row],[Valor custo]]</f>
        <v>95</v>
      </c>
      <c r="J4146" s="18">
        <f>Tabela1[[#This Row],[MARGEM BRUTA]]/Tabela1[[#This Row],[Valor total]]</f>
        <v>1</v>
      </c>
      <c r="K4146" s="17" t="str">
        <f>VLOOKUP(Tabela1[[#This Row],[Cliente]],'BASE DE CLIENTES'!A:D,4,0)</f>
        <v>SERRALHEIRO</v>
      </c>
      <c r="L4146" s="17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7" t="str">
        <f>VLOOKUP(Tabela1[[#This Row],[Cliente]],'BASE DE CLIENTES'!A:E,2,0)</f>
        <v>Brasília</v>
      </c>
      <c r="D4147" s="17" t="str">
        <f>VLOOKUP(Tabela1[[#This Row],[Cliente]],'BASE DE CLIENTES'!A:C,3,0)</f>
        <v>DF</v>
      </c>
      <c r="E4147" s="17" t="str">
        <f>CONCATENATE(Tabela1[[#This Row],[CIDADE]],",",Tabela1[[#This Row],[UF]])</f>
        <v>Brasília,DF</v>
      </c>
      <c r="F4147" s="15">
        <v>46071</v>
      </c>
      <c r="G4147" s="5">
        <v>0</v>
      </c>
      <c r="H4147" s="5">
        <v>275</v>
      </c>
      <c r="I4147" s="8">
        <f>Tabela1[[#This Row],[Valor total]]-Tabela1[[#This Row],[Valor custo]]</f>
        <v>275</v>
      </c>
      <c r="J4147" s="18">
        <f>Tabela1[[#This Row],[MARGEM BRUTA]]/Tabela1[[#This Row],[Valor total]]</f>
        <v>1</v>
      </c>
      <c r="K4147" s="17" t="str">
        <f>VLOOKUP(Tabela1[[#This Row],[Cliente]],'BASE DE CLIENTES'!A:D,4,0)</f>
        <v>SERRALHEIRO</v>
      </c>
      <c r="L4147" s="17" t="str">
        <f>VLOOKUP(Tabela1[[#This Row],[Cliente]],'BASE DE CLIENTES'!A:E,5,0)</f>
        <v>RECANTO DAS EMAS</v>
      </c>
    </row>
    <row r="4148" spans="2:12" x14ac:dyDescent="0.3">
      <c r="B4148" t="s">
        <v>27</v>
      </c>
      <c r="C4148" s="17" t="str">
        <f>VLOOKUP(Tabela1[[#This Row],[Cliente]],'BASE DE CLIENTES'!A:E,2,0)</f>
        <v>Brasília</v>
      </c>
      <c r="D4148" s="17" t="str">
        <f>VLOOKUP(Tabela1[[#This Row],[Cliente]],'BASE DE CLIENTES'!A:C,3,0)</f>
        <v>DF</v>
      </c>
      <c r="E4148" s="17" t="str">
        <f>CONCATENATE(Tabela1[[#This Row],[CIDADE]],",",Tabela1[[#This Row],[UF]])</f>
        <v>Brasília,DF</v>
      </c>
      <c r="F4148" s="15">
        <v>46071</v>
      </c>
      <c r="G4148" s="5">
        <v>424.55</v>
      </c>
      <c r="H4148" s="5">
        <v>770</v>
      </c>
      <c r="I4148" s="8">
        <f>Tabela1[[#This Row],[Valor total]]-Tabela1[[#This Row],[Valor custo]]</f>
        <v>345.45</v>
      </c>
      <c r="J4148" s="18">
        <f>Tabela1[[#This Row],[MARGEM BRUTA]]/Tabela1[[#This Row],[Valor total]]</f>
        <v>0.44863636363636361</v>
      </c>
      <c r="K4148" s="17" t="str">
        <f>VLOOKUP(Tabela1[[#This Row],[Cliente]],'BASE DE CLIENTES'!A:D,4,0)</f>
        <v>EMPRESA SEM MAQUINA</v>
      </c>
      <c r="L4148" s="17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7" t="str">
        <f>VLOOKUP(Tabela1[[#This Row],[Cliente]],'BASE DE CLIENTES'!A:E,2,0)</f>
        <v>Goiânia</v>
      </c>
      <c r="D4149" s="17" t="str">
        <f>VLOOKUP(Tabela1[[#This Row],[Cliente]],'BASE DE CLIENTES'!A:C,3,0)</f>
        <v>GO</v>
      </c>
      <c r="E4149" s="17" t="str">
        <f>CONCATENATE(Tabela1[[#This Row],[CIDADE]],",",Tabela1[[#This Row],[UF]])</f>
        <v>Goiânia,GO</v>
      </c>
      <c r="F4149" s="15">
        <v>46071</v>
      </c>
      <c r="G4149" s="5">
        <v>4609</v>
      </c>
      <c r="H4149" s="5">
        <v>6820</v>
      </c>
      <c r="I4149" s="8">
        <f>Tabela1[[#This Row],[Valor total]]-Tabela1[[#This Row],[Valor custo]]</f>
        <v>2211</v>
      </c>
      <c r="J4149" s="18">
        <f>Tabela1[[#This Row],[MARGEM BRUTA]]/Tabela1[[#This Row],[Valor total]]</f>
        <v>0.3241935483870968</v>
      </c>
      <c r="K4149" s="17" t="str">
        <f>VLOOKUP(Tabela1[[#This Row],[Cliente]],'BASE DE CLIENTES'!A:D,4,0)</f>
        <v>EMPRESA COM MAQUINA</v>
      </c>
      <c r="L4149" s="17" t="str">
        <f>VLOOKUP(Tabela1[[#This Row],[Cliente]],'BASE DE CLIENTES'!A:E,5,0)</f>
        <v>Goiânia</v>
      </c>
    </row>
    <row r="4150" spans="2:12" x14ac:dyDescent="0.3">
      <c r="B4150" t="s">
        <v>117</v>
      </c>
      <c r="C4150" s="17" t="str">
        <f>VLOOKUP(Tabela1[[#This Row],[Cliente]],'BASE DE CLIENTES'!A:E,2,0)</f>
        <v>Brasília</v>
      </c>
      <c r="D4150" s="17" t="str">
        <f>VLOOKUP(Tabela1[[#This Row],[Cliente]],'BASE DE CLIENTES'!A:C,3,0)</f>
        <v>DF</v>
      </c>
      <c r="E4150" s="17" t="str">
        <f>CONCATENATE(Tabela1[[#This Row],[CIDADE]],",",Tabela1[[#This Row],[UF]])</f>
        <v>Brasília,DF</v>
      </c>
      <c r="F4150" s="15">
        <v>46071</v>
      </c>
      <c r="G4150" s="5">
        <v>1257</v>
      </c>
      <c r="H4150" s="5">
        <v>1800</v>
      </c>
      <c r="I4150" s="8">
        <f>Tabela1[[#This Row],[Valor total]]-Tabela1[[#This Row],[Valor custo]]</f>
        <v>543</v>
      </c>
      <c r="J4150" s="18">
        <f>Tabela1[[#This Row],[MARGEM BRUTA]]/Tabela1[[#This Row],[Valor total]]</f>
        <v>0.30166666666666669</v>
      </c>
      <c r="K4150" s="17" t="str">
        <f>VLOOKUP(Tabela1[[#This Row],[Cliente]],'BASE DE CLIENTES'!A:D,4,0)</f>
        <v>EMPRESA COM MAQUINA</v>
      </c>
      <c r="L4150" s="17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7" t="str">
        <f>VLOOKUP(Tabela1[[#This Row],[Cliente]],'BASE DE CLIENTES'!A:E,2,0)</f>
        <v>Valparaíso de Goiás</v>
      </c>
      <c r="D4151" s="17" t="str">
        <f>VLOOKUP(Tabela1[[#This Row],[Cliente]],'BASE DE CLIENTES'!A:C,3,0)</f>
        <v>GO</v>
      </c>
      <c r="E4151" s="17" t="str">
        <f>CONCATENATE(Tabela1[[#This Row],[CIDADE]],",",Tabela1[[#This Row],[UF]])</f>
        <v>Valparaíso de Goiás,GO</v>
      </c>
      <c r="F4151" s="15">
        <v>46071</v>
      </c>
      <c r="G4151" s="5">
        <v>4759</v>
      </c>
      <c r="H4151" s="5">
        <v>7755</v>
      </c>
      <c r="I4151" s="8">
        <f>Tabela1[[#This Row],[Valor total]]-Tabela1[[#This Row],[Valor custo]]</f>
        <v>2996</v>
      </c>
      <c r="J4151" s="18">
        <f>Tabela1[[#This Row],[MARGEM BRUTA]]/Tabela1[[#This Row],[Valor total]]</f>
        <v>0.38633139909735653</v>
      </c>
      <c r="K4151" s="17" t="str">
        <f>VLOOKUP(Tabela1[[#This Row],[Cliente]],'BASE DE CLIENTES'!A:D,4,0)</f>
        <v>EMPRESA COM MAQUINA</v>
      </c>
      <c r="L4151" s="17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7" t="str">
        <f>VLOOKUP(Tabela1[[#This Row],[Cliente]],'BASE DE CLIENTES'!A:E,2,0)</f>
        <v>Santo Antônio Descoberto</v>
      </c>
      <c r="D4152" s="17" t="str">
        <f>VLOOKUP(Tabela1[[#This Row],[Cliente]],'BASE DE CLIENTES'!A:C,3,0)</f>
        <v>GO</v>
      </c>
      <c r="E4152" s="17" t="str">
        <f>CONCATENATE(Tabela1[[#This Row],[CIDADE]],",",Tabela1[[#This Row],[UF]])</f>
        <v>Santo Antônio Descoberto,GO</v>
      </c>
      <c r="F4152" s="15">
        <v>46071</v>
      </c>
      <c r="G4152" s="5">
        <v>670</v>
      </c>
      <c r="H4152" s="5">
        <v>1000</v>
      </c>
      <c r="I4152" s="8">
        <f>Tabela1[[#This Row],[Valor total]]-Tabela1[[#This Row],[Valor custo]]</f>
        <v>330</v>
      </c>
      <c r="J4152" s="18">
        <f>Tabela1[[#This Row],[MARGEM BRUTA]]/Tabela1[[#This Row],[Valor total]]</f>
        <v>0.33</v>
      </c>
      <c r="K4152" s="17" t="str">
        <f>VLOOKUP(Tabela1[[#This Row],[Cliente]],'BASE DE CLIENTES'!A:D,4,0)</f>
        <v>CLIENTE NOVO S/ IDENT.</v>
      </c>
      <c r="L4152" s="17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7" t="str">
        <f>VLOOKUP(Tabela1[[#This Row],[Cliente]],'BASE DE CLIENTES'!A:E,2,0)</f>
        <v>Goiânia</v>
      </c>
      <c r="D4153" s="17" t="str">
        <f>VLOOKUP(Tabela1[[#This Row],[Cliente]],'BASE DE CLIENTES'!A:C,3,0)</f>
        <v>GO</v>
      </c>
      <c r="E4153" s="17" t="str">
        <f>CONCATENATE(Tabela1[[#This Row],[CIDADE]],",",Tabela1[[#This Row],[UF]])</f>
        <v>Goiânia,GO</v>
      </c>
      <c r="F4153" s="15">
        <v>46071</v>
      </c>
      <c r="G4153" s="5">
        <v>290</v>
      </c>
      <c r="H4153" s="5">
        <v>550</v>
      </c>
      <c r="I4153" s="8">
        <f>Tabela1[[#This Row],[Valor total]]-Tabela1[[#This Row],[Valor custo]]</f>
        <v>260</v>
      </c>
      <c r="J4153" s="18">
        <f>Tabela1[[#This Row],[MARGEM BRUTA]]/Tabela1[[#This Row],[Valor total]]</f>
        <v>0.47272727272727272</v>
      </c>
      <c r="K4153" s="17" t="str">
        <f>VLOOKUP(Tabela1[[#This Row],[Cliente]],'BASE DE CLIENTES'!A:D,4,0)</f>
        <v>EMPRESA COM MAQUINA</v>
      </c>
      <c r="L4153" s="17" t="str">
        <f>VLOOKUP(Tabela1[[#This Row],[Cliente]],'BASE DE CLIENTES'!A:E,5,0)</f>
        <v>Goiânia</v>
      </c>
    </row>
    <row r="4154" spans="2:12" x14ac:dyDescent="0.3">
      <c r="B4154" t="s">
        <v>19</v>
      </c>
      <c r="C4154" s="17" t="str">
        <f>VLOOKUP(Tabela1[[#This Row],[Cliente]],'BASE DE CLIENTES'!A:E,2,0)</f>
        <v>Águas Lindas de Goiás</v>
      </c>
      <c r="D4154" s="17" t="str">
        <f>VLOOKUP(Tabela1[[#This Row],[Cliente]],'BASE DE CLIENTES'!A:C,3,0)</f>
        <v>GO</v>
      </c>
      <c r="E4154" s="17" t="str">
        <f>CONCATENATE(Tabela1[[#This Row],[CIDADE]],",",Tabela1[[#This Row],[UF]])</f>
        <v>Águas Lindas de Goiás,GO</v>
      </c>
      <c r="F4154" s="15">
        <v>46071</v>
      </c>
      <c r="G4154" s="5">
        <v>12.18</v>
      </c>
      <c r="H4154" s="5">
        <v>22.5</v>
      </c>
      <c r="I4154" s="8">
        <f>Tabela1[[#This Row],[Valor total]]-Tabela1[[#This Row],[Valor custo]]</f>
        <v>10.32</v>
      </c>
      <c r="J4154" s="18">
        <f>Tabela1[[#This Row],[MARGEM BRUTA]]/Tabela1[[#This Row],[Valor total]]</f>
        <v>0.45866666666666667</v>
      </c>
      <c r="K4154" s="17" t="str">
        <f>VLOOKUP(Tabela1[[#This Row],[Cliente]],'BASE DE CLIENTES'!A:D,4,0)</f>
        <v>SERRALHEIRO</v>
      </c>
      <c r="L4154" s="17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7" t="str">
        <f>VLOOKUP(Tabela1[[#This Row],[Cliente]],'BASE DE CLIENTES'!A:E,2,0)</f>
        <v>Águas Lindas de Goiás</v>
      </c>
      <c r="D4155" s="17" t="str">
        <f>VLOOKUP(Tabela1[[#This Row],[Cliente]],'BASE DE CLIENTES'!A:C,3,0)</f>
        <v>GO</v>
      </c>
      <c r="E4155" s="17" t="str">
        <f>CONCATENATE(Tabela1[[#This Row],[CIDADE]],",",Tabela1[[#This Row],[UF]])</f>
        <v>Águas Lindas de Goiás,GO</v>
      </c>
      <c r="F4155" s="15">
        <v>46071</v>
      </c>
      <c r="G4155" s="5">
        <v>740</v>
      </c>
      <c r="H4155" s="5">
        <v>600</v>
      </c>
      <c r="I4155" s="8">
        <f>Tabela1[[#This Row],[Valor total]]-Tabela1[[#This Row],[Valor custo]]</f>
        <v>-140</v>
      </c>
      <c r="J4155" s="18">
        <f>Tabela1[[#This Row],[MARGEM BRUTA]]/Tabela1[[#This Row],[Valor total]]</f>
        <v>-0.23333333333333334</v>
      </c>
      <c r="K4155" s="17" t="str">
        <f>VLOOKUP(Tabela1[[#This Row],[Cliente]],'BASE DE CLIENTES'!A:D,4,0)</f>
        <v>SERRALHEIRO</v>
      </c>
      <c r="L4155" s="17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7" t="str">
        <f>VLOOKUP(Tabela1[[#This Row],[Cliente]],'BASE DE CLIENTES'!A:E,2,0)</f>
        <v>Brasília</v>
      </c>
      <c r="D4156" s="17" t="str">
        <f>VLOOKUP(Tabela1[[#This Row],[Cliente]],'BASE DE CLIENTES'!A:C,3,0)</f>
        <v>DF</v>
      </c>
      <c r="E4156" s="17" t="str">
        <f>CONCATENATE(Tabela1[[#This Row],[CIDADE]],",",Tabela1[[#This Row],[UF]])</f>
        <v>Brasília,DF</v>
      </c>
      <c r="F4156" s="15">
        <v>46071</v>
      </c>
      <c r="G4156" s="5">
        <v>168.84</v>
      </c>
      <c r="H4156" s="5">
        <v>410</v>
      </c>
      <c r="I4156" s="8">
        <f>Tabela1[[#This Row],[Valor total]]-Tabela1[[#This Row],[Valor custo]]</f>
        <v>241.16</v>
      </c>
      <c r="J4156" s="18">
        <f>Tabela1[[#This Row],[MARGEM BRUTA]]/Tabela1[[#This Row],[Valor total]]</f>
        <v>0.58819512195121948</v>
      </c>
      <c r="K4156" s="17" t="str">
        <f>VLOOKUP(Tabela1[[#This Row],[Cliente]],'BASE DE CLIENTES'!A:D,4,0)</f>
        <v>SEM CLASSIFICAÇÃO</v>
      </c>
      <c r="L4156" s="17" t="str">
        <f>VLOOKUP(Tabela1[[#This Row],[Cliente]],'BASE DE CLIENTES'!A:E,5,0)</f>
        <v>SOBRADINHO</v>
      </c>
    </row>
    <row r="4157" spans="2:12" x14ac:dyDescent="0.3">
      <c r="B4157" t="s">
        <v>36</v>
      </c>
      <c r="C4157" s="17" t="str">
        <f>VLOOKUP(Tabela1[[#This Row],[Cliente]],'BASE DE CLIENTES'!A:E,2,0)</f>
        <v>Brasília</v>
      </c>
      <c r="D4157" s="17" t="str">
        <f>VLOOKUP(Tabela1[[#This Row],[Cliente]],'BASE DE CLIENTES'!A:C,3,0)</f>
        <v>DF</v>
      </c>
      <c r="E4157" s="17" t="str">
        <f>CONCATENATE(Tabela1[[#This Row],[CIDADE]],",",Tabela1[[#This Row],[UF]])</f>
        <v>Brasília,DF</v>
      </c>
      <c r="F4157" s="15">
        <v>46071</v>
      </c>
      <c r="G4157" s="5">
        <v>13.69</v>
      </c>
      <c r="H4157" s="5">
        <v>110</v>
      </c>
      <c r="I4157" s="8">
        <f>Tabela1[[#This Row],[Valor total]]-Tabela1[[#This Row],[Valor custo]]</f>
        <v>96.31</v>
      </c>
      <c r="J4157" s="18">
        <f>Tabela1[[#This Row],[MARGEM BRUTA]]/Tabela1[[#This Row],[Valor total]]</f>
        <v>0.87554545454545452</v>
      </c>
      <c r="K4157" s="17" t="str">
        <f>VLOOKUP(Tabela1[[#This Row],[Cliente]],'BASE DE CLIENTES'!A:D,4,0)</f>
        <v>SERRALHEIRO</v>
      </c>
      <c r="L4157" s="17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7" t="str">
        <f>VLOOKUP(Tabela1[[#This Row],[Cliente]],'BASE DE CLIENTES'!A:E,2,0)</f>
        <v>Brasília</v>
      </c>
      <c r="D4158" s="17" t="str">
        <f>VLOOKUP(Tabela1[[#This Row],[Cliente]],'BASE DE CLIENTES'!A:C,3,0)</f>
        <v>DF</v>
      </c>
      <c r="E4158" s="17" t="str">
        <f>CONCATENATE(Tabela1[[#This Row],[CIDADE]],",",Tabela1[[#This Row],[UF]])</f>
        <v>Brasília,DF</v>
      </c>
      <c r="F4158" s="15">
        <v>46071</v>
      </c>
      <c r="G4158" s="5">
        <v>27.38</v>
      </c>
      <c r="H4158" s="5">
        <v>240</v>
      </c>
      <c r="I4158" s="8">
        <f>Tabela1[[#This Row],[Valor total]]-Tabela1[[#This Row],[Valor custo]]</f>
        <v>212.62</v>
      </c>
      <c r="J4158" s="18">
        <f>Tabela1[[#This Row],[MARGEM BRUTA]]/Tabela1[[#This Row],[Valor total]]</f>
        <v>0.88591666666666669</v>
      </c>
      <c r="K4158" s="17" t="str">
        <f>VLOOKUP(Tabela1[[#This Row],[Cliente]],'BASE DE CLIENTES'!A:D,4,0)</f>
        <v>CLIENTE NOVO S/ IDENT.</v>
      </c>
      <c r="L4158" s="17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7" t="str">
        <f>VLOOKUP(Tabela1[[#This Row],[Cliente]],'BASE DE CLIENTES'!A:E,2,0)</f>
        <v>Águas Lindas de Goiás</v>
      </c>
      <c r="D4159" s="17" t="str">
        <f>VLOOKUP(Tabela1[[#This Row],[Cliente]],'BASE DE CLIENTES'!A:C,3,0)</f>
        <v>GO</v>
      </c>
      <c r="E4159" s="17" t="str">
        <f>CONCATENATE(Tabela1[[#This Row],[CIDADE]],",",Tabela1[[#This Row],[UF]])</f>
        <v>Águas Lindas de Goiás,GO</v>
      </c>
      <c r="F4159" s="15">
        <v>46071</v>
      </c>
      <c r="G4159" s="5">
        <v>419</v>
      </c>
      <c r="H4159" s="5">
        <v>700</v>
      </c>
      <c r="I4159" s="8">
        <f>Tabela1[[#This Row],[Valor total]]-Tabela1[[#This Row],[Valor custo]]</f>
        <v>281</v>
      </c>
      <c r="J4159" s="18">
        <f>Tabela1[[#This Row],[MARGEM BRUTA]]/Tabela1[[#This Row],[Valor total]]</f>
        <v>0.40142857142857141</v>
      </c>
      <c r="K4159" s="17" t="str">
        <f>VLOOKUP(Tabela1[[#This Row],[Cliente]],'BASE DE CLIENTES'!A:D,4,0)</f>
        <v>SERRALHEIRO</v>
      </c>
      <c r="L4159" s="17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7" t="str">
        <f>VLOOKUP(Tabela1[[#This Row],[Cliente]],'BASE DE CLIENTES'!A:E,2,0)</f>
        <v>Brasília</v>
      </c>
      <c r="D4160" s="17" t="str">
        <f>VLOOKUP(Tabela1[[#This Row],[Cliente]],'BASE DE CLIENTES'!A:C,3,0)</f>
        <v>DF</v>
      </c>
      <c r="E4160" s="17" t="str">
        <f>CONCATENATE(Tabela1[[#This Row],[CIDADE]],",",Tabela1[[#This Row],[UF]])</f>
        <v>Brasília,DF</v>
      </c>
      <c r="F4160" s="15">
        <v>46071</v>
      </c>
      <c r="G4160" s="5">
        <v>1530.93</v>
      </c>
      <c r="H4160" s="5">
        <v>2100</v>
      </c>
      <c r="I4160" s="8">
        <f>Tabela1[[#This Row],[Valor total]]-Tabela1[[#This Row],[Valor custo]]</f>
        <v>569.06999999999994</v>
      </c>
      <c r="J4160" s="18">
        <f>Tabela1[[#This Row],[MARGEM BRUTA]]/Tabela1[[#This Row],[Valor total]]</f>
        <v>0.27098571428571427</v>
      </c>
      <c r="K4160" s="17" t="str">
        <f>VLOOKUP(Tabela1[[#This Row],[Cliente]],'BASE DE CLIENTES'!A:D,4,0)</f>
        <v>EMPRESA SEM MAQUINA</v>
      </c>
      <c r="L4160" s="17" t="str">
        <f>VLOOKUP(Tabela1[[#This Row],[Cliente]],'BASE DE CLIENTES'!A:E,5,0)</f>
        <v>SAMAMBAIA</v>
      </c>
    </row>
    <row r="4161" spans="2:12" x14ac:dyDescent="0.3">
      <c r="B4161" t="s">
        <v>68</v>
      </c>
      <c r="C4161" s="17" t="str">
        <f>VLOOKUP(Tabela1[[#This Row],[Cliente]],'BASE DE CLIENTES'!A:E,2,0)</f>
        <v>Brasília</v>
      </c>
      <c r="D4161" s="17" t="str">
        <f>VLOOKUP(Tabela1[[#This Row],[Cliente]],'BASE DE CLIENTES'!A:C,3,0)</f>
        <v>DF</v>
      </c>
      <c r="E4161" s="17" t="str">
        <f>CONCATENATE(Tabela1[[#This Row],[CIDADE]],",",Tabela1[[#This Row],[UF]])</f>
        <v>Brasília,DF</v>
      </c>
      <c r="F4161" s="15">
        <v>46071</v>
      </c>
      <c r="G4161" s="5">
        <v>3485</v>
      </c>
      <c r="H4161" s="5">
        <v>5400</v>
      </c>
      <c r="I4161" s="8">
        <f>Tabela1[[#This Row],[Valor total]]-Tabela1[[#This Row],[Valor custo]]</f>
        <v>1915</v>
      </c>
      <c r="J4161" s="18">
        <f>Tabela1[[#This Row],[MARGEM BRUTA]]/Tabela1[[#This Row],[Valor total]]</f>
        <v>0.35462962962962963</v>
      </c>
      <c r="K4161" s="17" t="str">
        <f>VLOOKUP(Tabela1[[#This Row],[Cliente]],'BASE DE CLIENTES'!A:D,4,0)</f>
        <v>EMPRESA COM MAQUINA</v>
      </c>
      <c r="L4161" s="17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7" t="str">
        <f>VLOOKUP(Tabela1[[#This Row],[Cliente]],'BASE DE CLIENTES'!A:E,2,0)</f>
        <v>Brasília</v>
      </c>
      <c r="D4162" s="17" t="str">
        <f>VLOOKUP(Tabela1[[#This Row],[Cliente]],'BASE DE CLIENTES'!A:C,3,0)</f>
        <v>DF</v>
      </c>
      <c r="E4162" s="17" t="str">
        <f>CONCATENATE(Tabela1[[#This Row],[CIDADE]],",",Tabela1[[#This Row],[UF]])</f>
        <v>Brasília,DF</v>
      </c>
      <c r="F4162" s="15">
        <v>46071</v>
      </c>
      <c r="G4162" s="5">
        <v>724</v>
      </c>
      <c r="H4162" s="5">
        <v>1230</v>
      </c>
      <c r="I4162" s="8">
        <f>Tabela1[[#This Row],[Valor total]]-Tabela1[[#This Row],[Valor custo]]</f>
        <v>506</v>
      </c>
      <c r="J4162" s="18">
        <f>Tabela1[[#This Row],[MARGEM BRUTA]]/Tabela1[[#This Row],[Valor total]]</f>
        <v>0.41138211382113821</v>
      </c>
      <c r="K4162" s="17" t="str">
        <f>VLOOKUP(Tabela1[[#This Row],[Cliente]],'BASE DE CLIENTES'!A:D,4,0)</f>
        <v>EMPRESA SEM MAQUINA</v>
      </c>
      <c r="L4162" s="17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7" t="str">
        <f>VLOOKUP(Tabela1[[#This Row],[Cliente]],'BASE DE CLIENTES'!A:E,2,0)</f>
        <v>Brasília</v>
      </c>
      <c r="D4163" s="17" t="str">
        <f>VLOOKUP(Tabela1[[#This Row],[Cliente]],'BASE DE CLIENTES'!A:C,3,0)</f>
        <v>DF</v>
      </c>
      <c r="E4163" s="17" t="str">
        <f>CONCATENATE(Tabela1[[#This Row],[CIDADE]],",",Tabela1[[#This Row],[UF]])</f>
        <v>Brasília,DF</v>
      </c>
      <c r="F4163" s="15">
        <v>46071</v>
      </c>
      <c r="G4163" s="5">
        <v>5000</v>
      </c>
      <c r="H4163" s="5">
        <v>8075</v>
      </c>
      <c r="I4163" s="8">
        <f>Tabela1[[#This Row],[Valor total]]-Tabela1[[#This Row],[Valor custo]]</f>
        <v>3075</v>
      </c>
      <c r="J4163" s="18">
        <f>Tabela1[[#This Row],[MARGEM BRUTA]]/Tabela1[[#This Row],[Valor total]]</f>
        <v>0.38080495356037153</v>
      </c>
      <c r="K4163" s="17" t="str">
        <f>VLOOKUP(Tabela1[[#This Row],[Cliente]],'BASE DE CLIENTES'!A:D,4,0)</f>
        <v>EMPRESA COM MAQUINA</v>
      </c>
      <c r="L4163" s="17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7" t="str">
        <f>VLOOKUP(Tabela1[[#This Row],[Cliente]],'BASE DE CLIENTES'!A:E,2,0)</f>
        <v>Londrina</v>
      </c>
      <c r="D4164" s="17" t="str">
        <f>VLOOKUP(Tabela1[[#This Row],[Cliente]],'BASE DE CLIENTES'!A:C,3,0)</f>
        <v>PR</v>
      </c>
      <c r="E4164" s="17" t="str">
        <f>CONCATENATE(Tabela1[[#This Row],[CIDADE]],",",Tabela1[[#This Row],[UF]])</f>
        <v>Londrina,PR</v>
      </c>
      <c r="F4164" s="15">
        <v>46071</v>
      </c>
      <c r="G4164" s="5">
        <v>562.79999999999995</v>
      </c>
      <c r="H4164" s="5">
        <v>1318.6</v>
      </c>
      <c r="I4164" s="8">
        <f>Tabela1[[#This Row],[Valor total]]-Tabela1[[#This Row],[Valor custo]]</f>
        <v>755.8</v>
      </c>
      <c r="J4164" s="18">
        <f>Tabela1[[#This Row],[MARGEM BRUTA]]/Tabela1[[#This Row],[Valor total]]</f>
        <v>0.57318367966024575</v>
      </c>
      <c r="K4164" s="17" t="str">
        <f>VLOOKUP(Tabela1[[#This Row],[Cliente]],'BASE DE CLIENTES'!A:D,4,0)</f>
        <v>CLIENTE NOVO S/ IDENT.</v>
      </c>
      <c r="L4164" s="17" t="str">
        <f>VLOOKUP(Tabela1[[#This Row],[Cliente]],'BASE DE CLIENTES'!A:E,5,0)</f>
        <v>Londrina</v>
      </c>
    </row>
    <row r="4165" spans="2:12" x14ac:dyDescent="0.3">
      <c r="B4165" t="s">
        <v>149</v>
      </c>
      <c r="C4165" s="17" t="str">
        <f>VLOOKUP(Tabela1[[#This Row],[Cliente]],'BASE DE CLIENTES'!A:E,2,0)</f>
        <v>Anápolis</v>
      </c>
      <c r="D4165" s="17" t="str">
        <f>VLOOKUP(Tabela1[[#This Row],[Cliente]],'BASE DE CLIENTES'!A:C,3,0)</f>
        <v>GO</v>
      </c>
      <c r="E4165" s="17" t="str">
        <f>CONCATENATE(Tabela1[[#This Row],[CIDADE]],",",Tabela1[[#This Row],[UF]])</f>
        <v>Anápolis,GO</v>
      </c>
      <c r="F4165" s="15">
        <v>46068</v>
      </c>
      <c r="G4165" s="5">
        <v>3120</v>
      </c>
      <c r="H4165" s="5">
        <v>4300</v>
      </c>
      <c r="I4165" s="8">
        <f>Tabela1[[#This Row],[Valor total]]-Tabela1[[#This Row],[Valor custo]]</f>
        <v>1180</v>
      </c>
      <c r="J4165" s="18">
        <f>Tabela1[[#This Row],[MARGEM BRUTA]]/Tabela1[[#This Row],[Valor total]]</f>
        <v>0.2744186046511628</v>
      </c>
      <c r="K4165" s="17" t="str">
        <f>VLOOKUP(Tabela1[[#This Row],[Cliente]],'BASE DE CLIENTES'!A:D,4,0)</f>
        <v>EMPRESA COM MAQUINA</v>
      </c>
      <c r="L4165" s="17" t="str">
        <f>VLOOKUP(Tabela1[[#This Row],[Cliente]],'BASE DE CLIENTES'!A:E,5,0)</f>
        <v>Anápolis</v>
      </c>
    </row>
    <row r="4166" spans="2:12" x14ac:dyDescent="0.3">
      <c r="B4166" t="s">
        <v>199</v>
      </c>
      <c r="C4166" s="17" t="str">
        <f>VLOOKUP(Tabela1[[#This Row],[Cliente]],'BASE DE CLIENTES'!A:E,2,0)</f>
        <v>Goiânia</v>
      </c>
      <c r="D4166" s="17" t="str">
        <f>VLOOKUP(Tabela1[[#This Row],[Cliente]],'BASE DE CLIENTES'!A:C,3,0)</f>
        <v>GO</v>
      </c>
      <c r="E4166" s="17" t="str">
        <f>CONCATENATE(Tabela1[[#This Row],[CIDADE]],",",Tabela1[[#This Row],[UF]])</f>
        <v>Goiânia,GO</v>
      </c>
      <c r="F4166" s="15">
        <v>46068</v>
      </c>
      <c r="G4166" s="5">
        <v>3236.28</v>
      </c>
      <c r="H4166" s="5">
        <v>4920</v>
      </c>
      <c r="I4166" s="8">
        <f>Tabela1[[#This Row],[Valor total]]-Tabela1[[#This Row],[Valor custo]]</f>
        <v>1683.7199999999998</v>
      </c>
      <c r="J4166" s="18">
        <f>Tabela1[[#This Row],[MARGEM BRUTA]]/Tabela1[[#This Row],[Valor total]]</f>
        <v>0.34221951219512192</v>
      </c>
      <c r="K4166" s="17" t="str">
        <f>VLOOKUP(Tabela1[[#This Row],[Cliente]],'BASE DE CLIENTES'!A:D,4,0)</f>
        <v>EMPRESA COM MAQUINA</v>
      </c>
      <c r="L4166" s="17" t="str">
        <f>VLOOKUP(Tabela1[[#This Row],[Cliente]],'BASE DE CLIENTES'!A:E,5,0)</f>
        <v>Goiânia</v>
      </c>
    </row>
    <row r="4167" spans="2:12" x14ac:dyDescent="0.3">
      <c r="B4167" t="s">
        <v>236</v>
      </c>
      <c r="C4167" s="17" t="str">
        <f>VLOOKUP(Tabela1[[#This Row],[Cliente]],'BASE DE CLIENTES'!A:E,2,0)</f>
        <v>Goiânia</v>
      </c>
      <c r="D4167" s="17" t="str">
        <f>VLOOKUP(Tabela1[[#This Row],[Cliente]],'BASE DE CLIENTES'!A:C,3,0)</f>
        <v>GO</v>
      </c>
      <c r="E4167" s="17" t="str">
        <f>CONCATENATE(Tabela1[[#This Row],[CIDADE]],",",Tabela1[[#This Row],[UF]])</f>
        <v>Goiânia,GO</v>
      </c>
      <c r="F4167" s="15">
        <v>46067</v>
      </c>
      <c r="G4167" s="5">
        <v>1086</v>
      </c>
      <c r="H4167" s="5">
        <v>1560</v>
      </c>
      <c r="I4167" s="8">
        <f>Tabela1[[#This Row],[Valor total]]-Tabela1[[#This Row],[Valor custo]]</f>
        <v>474</v>
      </c>
      <c r="J4167" s="18">
        <f>Tabela1[[#This Row],[MARGEM BRUTA]]/Tabela1[[#This Row],[Valor total]]</f>
        <v>0.30384615384615382</v>
      </c>
      <c r="K4167" s="17" t="str">
        <f>VLOOKUP(Tabela1[[#This Row],[Cliente]],'BASE DE CLIENTES'!A:D,4,0)</f>
        <v>EMPRESA COM MAQUINA</v>
      </c>
      <c r="L4167" s="17" t="str">
        <f>VLOOKUP(Tabela1[[#This Row],[Cliente]],'BASE DE CLIENTES'!A:E,5,0)</f>
        <v>Goiânia</v>
      </c>
    </row>
    <row r="4168" spans="2:12" x14ac:dyDescent="0.3">
      <c r="B4168" t="s">
        <v>110</v>
      </c>
      <c r="C4168" s="17" t="str">
        <f>VLOOKUP(Tabela1[[#This Row],[Cliente]],'BASE DE CLIENTES'!A:E,2,0)</f>
        <v>Brasília</v>
      </c>
      <c r="D4168" s="17" t="str">
        <f>VLOOKUP(Tabela1[[#This Row],[Cliente]],'BASE DE CLIENTES'!A:C,3,0)</f>
        <v>DF</v>
      </c>
      <c r="E4168" s="17" t="str">
        <f>CONCATENATE(Tabela1[[#This Row],[CIDADE]],",",Tabela1[[#This Row],[UF]])</f>
        <v>Brasília,DF</v>
      </c>
      <c r="F4168" s="15">
        <v>46066</v>
      </c>
      <c r="G4168" s="5">
        <v>191</v>
      </c>
      <c r="H4168" s="5">
        <v>350</v>
      </c>
      <c r="I4168" s="8">
        <f>Tabela1[[#This Row],[Valor total]]-Tabela1[[#This Row],[Valor custo]]</f>
        <v>159</v>
      </c>
      <c r="J4168" s="18">
        <f>Tabela1[[#This Row],[MARGEM BRUTA]]/Tabela1[[#This Row],[Valor total]]</f>
        <v>0.45428571428571429</v>
      </c>
      <c r="K4168" s="17" t="str">
        <f>VLOOKUP(Tabela1[[#This Row],[Cliente]],'BASE DE CLIENTES'!A:D,4,0)</f>
        <v>SERRALHEIRO</v>
      </c>
      <c r="L4168" s="17" t="str">
        <f>VLOOKUP(Tabela1[[#This Row],[Cliente]],'BASE DE CLIENTES'!A:E,5,0)</f>
        <v>Taguatinga sul</v>
      </c>
    </row>
    <row r="4169" spans="2:12" x14ac:dyDescent="0.3">
      <c r="B4169" t="s">
        <v>325</v>
      </c>
      <c r="C4169" s="17" t="str">
        <f>VLOOKUP(Tabela1[[#This Row],[Cliente]],'BASE DE CLIENTES'!A:E,2,0)</f>
        <v>Valparaíso de Goiás</v>
      </c>
      <c r="D4169" s="17" t="str">
        <f>VLOOKUP(Tabela1[[#This Row],[Cliente]],'BASE DE CLIENTES'!A:C,3,0)</f>
        <v>GO</v>
      </c>
      <c r="E4169" s="17" t="str">
        <f>CONCATENATE(Tabela1[[#This Row],[CIDADE]],",",Tabela1[[#This Row],[UF]])</f>
        <v>Valparaíso de Goiás,GO</v>
      </c>
      <c r="F4169" s="15">
        <v>46066</v>
      </c>
      <c r="G4169" s="5">
        <v>470</v>
      </c>
      <c r="H4169" s="5">
        <v>840</v>
      </c>
      <c r="I4169" s="8">
        <f>Tabela1[[#This Row],[Valor total]]-Tabela1[[#This Row],[Valor custo]]</f>
        <v>370</v>
      </c>
      <c r="J4169" s="18">
        <f>Tabela1[[#This Row],[MARGEM BRUTA]]/Tabela1[[#This Row],[Valor total]]</f>
        <v>0.44047619047619047</v>
      </c>
      <c r="K4169" s="17" t="str">
        <f>VLOOKUP(Tabela1[[#This Row],[Cliente]],'BASE DE CLIENTES'!A:D,4,0)</f>
        <v>SERRALHEIRO</v>
      </c>
      <c r="L4169" s="17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7" t="str">
        <f>VLOOKUP(Tabela1[[#This Row],[Cliente]],'BASE DE CLIENTES'!A:E,2,0)</f>
        <v>Brasília</v>
      </c>
      <c r="D4170" s="17" t="str">
        <f>VLOOKUP(Tabela1[[#This Row],[Cliente]],'BASE DE CLIENTES'!A:C,3,0)</f>
        <v>DF</v>
      </c>
      <c r="E4170" s="17" t="str">
        <f>CONCATENATE(Tabela1[[#This Row],[CIDADE]],",",Tabela1[[#This Row],[UF]])</f>
        <v>Brasília,DF</v>
      </c>
      <c r="F4170" s="15">
        <v>46066</v>
      </c>
      <c r="G4170" s="5">
        <v>650</v>
      </c>
      <c r="H4170" s="5">
        <v>930</v>
      </c>
      <c r="I4170" s="8">
        <f>Tabela1[[#This Row],[Valor total]]-Tabela1[[#This Row],[Valor custo]]</f>
        <v>280</v>
      </c>
      <c r="J4170" s="18">
        <f>Tabela1[[#This Row],[MARGEM BRUTA]]/Tabela1[[#This Row],[Valor total]]</f>
        <v>0.30107526881720431</v>
      </c>
      <c r="K4170" s="17" t="str">
        <f>VLOOKUP(Tabela1[[#This Row],[Cliente]],'BASE DE CLIENTES'!A:D,4,0)</f>
        <v>EMPRESA COM MAQUINA</v>
      </c>
      <c r="L4170" s="17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7" t="str">
        <f>VLOOKUP(Tabela1[[#This Row],[Cliente]],'BASE DE CLIENTES'!A:E,2,0)</f>
        <v>Rio Verde</v>
      </c>
      <c r="D4171" s="17" t="str">
        <f>VLOOKUP(Tabela1[[#This Row],[Cliente]],'BASE DE CLIENTES'!A:C,3,0)</f>
        <v>GO</v>
      </c>
      <c r="E4171" s="17" t="str">
        <f>CONCATENATE(Tabela1[[#This Row],[CIDADE]],",",Tabela1[[#This Row],[UF]])</f>
        <v>Rio Verde,GO</v>
      </c>
      <c r="F4171" s="15">
        <v>46066</v>
      </c>
      <c r="G4171" s="5">
        <v>650</v>
      </c>
      <c r="H4171" s="5">
        <v>900</v>
      </c>
      <c r="I4171" s="8">
        <f>Tabela1[[#This Row],[Valor total]]-Tabela1[[#This Row],[Valor custo]]</f>
        <v>250</v>
      </c>
      <c r="J4171" s="18">
        <f>Tabela1[[#This Row],[MARGEM BRUTA]]/Tabela1[[#This Row],[Valor total]]</f>
        <v>0.27777777777777779</v>
      </c>
      <c r="K4171" s="17" t="str">
        <f>VLOOKUP(Tabela1[[#This Row],[Cliente]],'BASE DE CLIENTES'!A:D,4,0)</f>
        <v>EMPRESA COM MAQUINA</v>
      </c>
      <c r="L4171" s="17" t="str">
        <f>VLOOKUP(Tabela1[[#This Row],[Cliente]],'BASE DE CLIENTES'!A:E,5,0)</f>
        <v>Rio Verde</v>
      </c>
    </row>
    <row r="4172" spans="2:12" x14ac:dyDescent="0.3">
      <c r="B4172" t="s">
        <v>66</v>
      </c>
      <c r="C4172" s="17" t="str">
        <f>VLOOKUP(Tabela1[[#This Row],[Cliente]],'BASE DE CLIENTES'!A:E,2,0)</f>
        <v>Águas Lindas de Goiás</v>
      </c>
      <c r="D4172" s="17" t="str">
        <f>VLOOKUP(Tabela1[[#This Row],[Cliente]],'BASE DE CLIENTES'!A:C,3,0)</f>
        <v>GO</v>
      </c>
      <c r="E4172" s="17" t="str">
        <f>CONCATENATE(Tabela1[[#This Row],[CIDADE]],",",Tabela1[[#This Row],[UF]])</f>
        <v>Águas Lindas de Goiás,GO</v>
      </c>
      <c r="F4172" s="15">
        <v>46066</v>
      </c>
      <c r="G4172" s="5">
        <v>362</v>
      </c>
      <c r="H4172" s="5">
        <v>620</v>
      </c>
      <c r="I4172" s="8">
        <f>Tabela1[[#This Row],[Valor total]]-Tabela1[[#This Row],[Valor custo]]</f>
        <v>258</v>
      </c>
      <c r="J4172" s="18">
        <f>Tabela1[[#This Row],[MARGEM BRUTA]]/Tabela1[[#This Row],[Valor total]]</f>
        <v>0.41612903225806452</v>
      </c>
      <c r="K4172" s="17" t="str">
        <f>VLOOKUP(Tabela1[[#This Row],[Cliente]],'BASE DE CLIENTES'!A:D,4,0)</f>
        <v>EMPRESA COM MAQUINA</v>
      </c>
      <c r="L4172" s="17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7" t="str">
        <f>VLOOKUP(Tabela1[[#This Row],[Cliente]],'BASE DE CLIENTES'!A:E,2,0)</f>
        <v>Águas Lindas de Goiás</v>
      </c>
      <c r="D4173" s="17" t="str">
        <f>VLOOKUP(Tabela1[[#This Row],[Cliente]],'BASE DE CLIENTES'!A:C,3,0)</f>
        <v>GO</v>
      </c>
      <c r="E4173" s="17" t="str">
        <f>CONCATENATE(Tabela1[[#This Row],[CIDADE]],",",Tabela1[[#This Row],[UF]])</f>
        <v>Águas Lindas de Goiás,GO</v>
      </c>
      <c r="F4173" s="15">
        <v>46066</v>
      </c>
      <c r="G4173" s="5">
        <v>180</v>
      </c>
      <c r="H4173" s="5">
        <v>300</v>
      </c>
      <c r="I4173" s="8">
        <f>Tabela1[[#This Row],[Valor total]]-Tabela1[[#This Row],[Valor custo]]</f>
        <v>120</v>
      </c>
      <c r="J4173" s="18">
        <f>Tabela1[[#This Row],[MARGEM BRUTA]]/Tabela1[[#This Row],[Valor total]]</f>
        <v>0.4</v>
      </c>
      <c r="K4173" s="17" t="str">
        <f>VLOOKUP(Tabela1[[#This Row],[Cliente]],'BASE DE CLIENTES'!A:D,4,0)</f>
        <v>EMPRESA COM MAQUINA</v>
      </c>
      <c r="L4173" s="17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7" t="str">
        <f>VLOOKUP(Tabela1[[#This Row],[Cliente]],'BASE DE CLIENTES'!A:E,2,0)</f>
        <v>Brasília</v>
      </c>
      <c r="D4174" s="17" t="str">
        <f>VLOOKUP(Tabela1[[#This Row],[Cliente]],'BASE DE CLIENTES'!A:C,3,0)</f>
        <v>DF</v>
      </c>
      <c r="E4174" s="17" t="str">
        <f>CONCATENATE(Tabela1[[#This Row],[CIDADE]],",",Tabela1[[#This Row],[UF]])</f>
        <v>Brasília,DF</v>
      </c>
      <c r="F4174" s="15">
        <v>46066</v>
      </c>
      <c r="G4174" s="5">
        <v>191</v>
      </c>
      <c r="H4174" s="5">
        <v>650</v>
      </c>
      <c r="I4174" s="8">
        <f>Tabela1[[#This Row],[Valor total]]-Tabela1[[#This Row],[Valor custo]]</f>
        <v>459</v>
      </c>
      <c r="J4174" s="18">
        <f>Tabela1[[#This Row],[MARGEM BRUTA]]/Tabela1[[#This Row],[Valor total]]</f>
        <v>0.70615384615384613</v>
      </c>
      <c r="K4174" s="17" t="str">
        <f>VLOOKUP(Tabela1[[#This Row],[Cliente]],'BASE DE CLIENTES'!A:D,4,0)</f>
        <v>CHAVEIRO</v>
      </c>
      <c r="L4174" s="17" t="str">
        <f>VLOOKUP(Tabela1[[#This Row],[Cliente]],'BASE DE CLIENTES'!A:E,5,0)</f>
        <v>NA</v>
      </c>
    </row>
    <row r="4175" spans="2:12" x14ac:dyDescent="0.3">
      <c r="B4175" t="s">
        <v>236</v>
      </c>
      <c r="C4175" s="17" t="str">
        <f>VLOOKUP(Tabela1[[#This Row],[Cliente]],'BASE DE CLIENTES'!A:E,2,0)</f>
        <v>Goiânia</v>
      </c>
      <c r="D4175" s="17" t="str">
        <f>VLOOKUP(Tabela1[[#This Row],[Cliente]],'BASE DE CLIENTES'!A:C,3,0)</f>
        <v>GO</v>
      </c>
      <c r="E4175" s="17" t="str">
        <f>CONCATENATE(Tabela1[[#This Row],[CIDADE]],",",Tabela1[[#This Row],[UF]])</f>
        <v>Goiânia,GO</v>
      </c>
      <c r="F4175" s="15">
        <v>46066</v>
      </c>
      <c r="G4175" s="5">
        <v>1448</v>
      </c>
      <c r="H4175" s="5">
        <v>2080</v>
      </c>
      <c r="I4175" s="8">
        <f>Tabela1[[#This Row],[Valor total]]-Tabela1[[#This Row],[Valor custo]]</f>
        <v>632</v>
      </c>
      <c r="J4175" s="18">
        <f>Tabela1[[#This Row],[MARGEM BRUTA]]/Tabela1[[#This Row],[Valor total]]</f>
        <v>0.30384615384615382</v>
      </c>
      <c r="K4175" s="17" t="str">
        <f>VLOOKUP(Tabela1[[#This Row],[Cliente]],'BASE DE CLIENTES'!A:D,4,0)</f>
        <v>EMPRESA COM MAQUINA</v>
      </c>
      <c r="L4175" s="17" t="str">
        <f>VLOOKUP(Tabela1[[#This Row],[Cliente]],'BASE DE CLIENTES'!A:E,5,0)</f>
        <v>Goiânia</v>
      </c>
    </row>
    <row r="4176" spans="2:12" x14ac:dyDescent="0.3">
      <c r="B4176" t="s">
        <v>42</v>
      </c>
      <c r="C4176" s="17" t="str">
        <f>VLOOKUP(Tabela1[[#This Row],[Cliente]],'BASE DE CLIENTES'!A:E,2,0)</f>
        <v>Brasília</v>
      </c>
      <c r="D4176" s="17" t="str">
        <f>VLOOKUP(Tabela1[[#This Row],[Cliente]],'BASE DE CLIENTES'!A:C,3,0)</f>
        <v>DF</v>
      </c>
      <c r="E4176" s="17" t="str">
        <f>CONCATENATE(Tabela1[[#This Row],[CIDADE]],",",Tabela1[[#This Row],[UF]])</f>
        <v>Brasília,DF</v>
      </c>
      <c r="F4176" s="15">
        <v>46066</v>
      </c>
      <c r="G4176" s="5">
        <v>146.28</v>
      </c>
      <c r="H4176" s="5">
        <v>180</v>
      </c>
      <c r="I4176" s="8">
        <f>Tabela1[[#This Row],[Valor total]]-Tabela1[[#This Row],[Valor custo]]</f>
        <v>33.72</v>
      </c>
      <c r="J4176" s="18">
        <f>Tabela1[[#This Row],[MARGEM BRUTA]]/Tabela1[[#This Row],[Valor total]]</f>
        <v>0.18733333333333332</v>
      </c>
      <c r="K4176" s="17" t="str">
        <f>VLOOKUP(Tabela1[[#This Row],[Cliente]],'BASE DE CLIENTES'!A:D,4,0)</f>
        <v>EMPRESA SEM MAQUINA</v>
      </c>
      <c r="L4176" s="17" t="str">
        <f>VLOOKUP(Tabela1[[#This Row],[Cliente]],'BASE DE CLIENTES'!A:E,5,0)</f>
        <v>SAMAMBAIA</v>
      </c>
    </row>
    <row r="4177" spans="2:12" x14ac:dyDescent="0.3">
      <c r="B4177" t="s">
        <v>92</v>
      </c>
      <c r="C4177" s="17" t="str">
        <f>VLOOKUP(Tabela1[[#This Row],[Cliente]],'BASE DE CLIENTES'!A:E,2,0)</f>
        <v>Brasília</v>
      </c>
      <c r="D4177" s="17" t="str">
        <f>VLOOKUP(Tabela1[[#This Row],[Cliente]],'BASE DE CLIENTES'!A:C,3,0)</f>
        <v>DF</v>
      </c>
      <c r="E4177" s="17" t="str">
        <f>CONCATENATE(Tabela1[[#This Row],[CIDADE]],",",Tabela1[[#This Row],[UF]])</f>
        <v>Brasília,DF</v>
      </c>
      <c r="F4177" s="15">
        <v>46066</v>
      </c>
      <c r="G4177" s="5">
        <v>362</v>
      </c>
      <c r="H4177" s="5">
        <v>600</v>
      </c>
      <c r="I4177" s="8">
        <f>Tabela1[[#This Row],[Valor total]]-Tabela1[[#This Row],[Valor custo]]</f>
        <v>238</v>
      </c>
      <c r="J4177" s="18">
        <f>Tabela1[[#This Row],[MARGEM BRUTA]]/Tabela1[[#This Row],[Valor total]]</f>
        <v>0.39666666666666667</v>
      </c>
      <c r="K4177" s="17" t="str">
        <f>VLOOKUP(Tabela1[[#This Row],[Cliente]],'BASE DE CLIENTES'!A:D,4,0)</f>
        <v>EMPRESA SEM MAQUINA</v>
      </c>
      <c r="L4177" s="17" t="str">
        <f>VLOOKUP(Tabela1[[#This Row],[Cliente]],'BASE DE CLIENTES'!A:E,5,0)</f>
        <v>SOBRADINHO</v>
      </c>
    </row>
    <row r="4178" spans="2:12" x14ac:dyDescent="0.3">
      <c r="B4178" t="s">
        <v>27</v>
      </c>
      <c r="C4178" s="17" t="str">
        <f>VLOOKUP(Tabela1[[#This Row],[Cliente]],'BASE DE CLIENTES'!A:E,2,0)</f>
        <v>Brasília</v>
      </c>
      <c r="D4178" s="17" t="str">
        <f>VLOOKUP(Tabela1[[#This Row],[Cliente]],'BASE DE CLIENTES'!A:C,3,0)</f>
        <v>DF</v>
      </c>
      <c r="E4178" s="17" t="str">
        <f>CONCATENATE(Tabela1[[#This Row],[CIDADE]],",",Tabela1[[#This Row],[UF]])</f>
        <v>Brasília,DF</v>
      </c>
      <c r="F4178" s="15">
        <v>46066</v>
      </c>
      <c r="G4178" s="5">
        <v>781</v>
      </c>
      <c r="H4178" s="5">
        <v>1265</v>
      </c>
      <c r="I4178" s="8">
        <f>Tabela1[[#This Row],[Valor total]]-Tabela1[[#This Row],[Valor custo]]</f>
        <v>484</v>
      </c>
      <c r="J4178" s="18">
        <f>Tabela1[[#This Row],[MARGEM BRUTA]]/Tabela1[[#This Row],[Valor total]]</f>
        <v>0.38260869565217392</v>
      </c>
      <c r="K4178" s="17" t="str">
        <f>VLOOKUP(Tabela1[[#This Row],[Cliente]],'BASE DE CLIENTES'!A:D,4,0)</f>
        <v>EMPRESA SEM MAQUINA</v>
      </c>
      <c r="L4178" s="17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7" t="str">
        <f>VLOOKUP(Tabela1[[#This Row],[Cliente]],'BASE DE CLIENTES'!A:E,2,0)</f>
        <v>Santo Antônio Descoberto</v>
      </c>
      <c r="D4179" s="17" t="str">
        <f>VLOOKUP(Tabela1[[#This Row],[Cliente]],'BASE DE CLIENTES'!A:C,3,0)</f>
        <v>GO</v>
      </c>
      <c r="E4179" s="17" t="str">
        <f>CONCATENATE(Tabela1[[#This Row],[CIDADE]],",",Tabela1[[#This Row],[UF]])</f>
        <v>Santo Antônio Descoberto,GO</v>
      </c>
      <c r="F4179" s="15">
        <v>46066</v>
      </c>
      <c r="G4179" s="5">
        <v>139.5</v>
      </c>
      <c r="H4179" s="5">
        <v>225</v>
      </c>
      <c r="I4179" s="8">
        <f>Tabela1[[#This Row],[Valor total]]-Tabela1[[#This Row],[Valor custo]]</f>
        <v>85.5</v>
      </c>
      <c r="J4179" s="18">
        <f>Tabela1[[#This Row],[MARGEM BRUTA]]/Tabela1[[#This Row],[Valor total]]</f>
        <v>0.38</v>
      </c>
      <c r="K4179" s="17" t="str">
        <f>VLOOKUP(Tabela1[[#This Row],[Cliente]],'BASE DE CLIENTES'!A:D,4,0)</f>
        <v>CLIENTE NOVO S/ IDENT.</v>
      </c>
      <c r="L4179" s="17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7" t="str">
        <f>VLOOKUP(Tabela1[[#This Row],[Cliente]],'BASE DE CLIENTES'!A:E,2,0)</f>
        <v>Santo Antônio Descoberto</v>
      </c>
      <c r="D4180" s="17" t="str">
        <f>VLOOKUP(Tabela1[[#This Row],[Cliente]],'BASE DE CLIENTES'!A:C,3,0)</f>
        <v>GO</v>
      </c>
      <c r="E4180" s="17" t="str">
        <f>CONCATENATE(Tabela1[[#This Row],[CIDADE]],",",Tabela1[[#This Row],[UF]])</f>
        <v>Santo Antônio Descoberto,GO</v>
      </c>
      <c r="F4180" s="15">
        <v>46066</v>
      </c>
      <c r="G4180" s="5">
        <v>1257</v>
      </c>
      <c r="H4180" s="5">
        <v>1906</v>
      </c>
      <c r="I4180" s="8">
        <f>Tabela1[[#This Row],[Valor total]]-Tabela1[[#This Row],[Valor custo]]</f>
        <v>649</v>
      </c>
      <c r="J4180" s="18">
        <f>Tabela1[[#This Row],[MARGEM BRUTA]]/Tabela1[[#This Row],[Valor total]]</f>
        <v>0.34050367261280168</v>
      </c>
      <c r="K4180" s="17" t="str">
        <f>VLOOKUP(Tabela1[[#This Row],[Cliente]],'BASE DE CLIENTES'!A:D,4,0)</f>
        <v>CLIENTE NOVO S/ IDENT.</v>
      </c>
      <c r="L4180" s="17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7" t="str">
        <f>VLOOKUP(Tabela1[[#This Row],[Cliente]],'BASE DE CLIENTES'!A:E,2,0)</f>
        <v>Brasília</v>
      </c>
      <c r="D4181" s="17" t="str">
        <f>VLOOKUP(Tabela1[[#This Row],[Cliente]],'BASE DE CLIENTES'!A:C,3,0)</f>
        <v>DF</v>
      </c>
      <c r="E4181" s="17" t="str">
        <f>CONCATENATE(Tabela1[[#This Row],[CIDADE]],",",Tabela1[[#This Row],[UF]])</f>
        <v>Brasília,DF</v>
      </c>
      <c r="F4181" s="15">
        <v>46066</v>
      </c>
      <c r="G4181" s="5">
        <v>450</v>
      </c>
      <c r="H4181" s="5">
        <v>690</v>
      </c>
      <c r="I4181" s="8">
        <f>Tabela1[[#This Row],[Valor total]]-Tabela1[[#This Row],[Valor custo]]</f>
        <v>240</v>
      </c>
      <c r="J4181" s="18">
        <f>Tabela1[[#This Row],[MARGEM BRUTA]]/Tabela1[[#This Row],[Valor total]]</f>
        <v>0.34782608695652173</v>
      </c>
      <c r="K4181" s="17" t="str">
        <f>VLOOKUP(Tabela1[[#This Row],[Cliente]],'BASE DE CLIENTES'!A:D,4,0)</f>
        <v>SERRALHEIRO</v>
      </c>
      <c r="L4181" s="17" t="str">
        <f>VLOOKUP(Tabela1[[#This Row],[Cliente]],'BASE DE CLIENTES'!A:E,5,0)</f>
        <v>RECANTO DAS EMAS</v>
      </c>
    </row>
    <row r="4182" spans="2:12" x14ac:dyDescent="0.3">
      <c r="B4182" t="s">
        <v>42</v>
      </c>
      <c r="C4182" s="17" t="str">
        <f>VLOOKUP(Tabela1[[#This Row],[Cliente]],'BASE DE CLIENTES'!A:E,2,0)</f>
        <v>Brasília</v>
      </c>
      <c r="D4182" s="17" t="str">
        <f>VLOOKUP(Tabela1[[#This Row],[Cliente]],'BASE DE CLIENTES'!A:C,3,0)</f>
        <v>DF</v>
      </c>
      <c r="E4182" s="17" t="str">
        <f>CONCATENATE(Tabela1[[#This Row],[CIDADE]],",",Tabela1[[#This Row],[UF]])</f>
        <v>Brasília,DF</v>
      </c>
      <c r="F4182" s="15">
        <v>46066</v>
      </c>
      <c r="G4182" s="5">
        <v>2650</v>
      </c>
      <c r="H4182" s="5">
        <v>3900</v>
      </c>
      <c r="I4182" s="8">
        <f>Tabela1[[#This Row],[Valor total]]-Tabela1[[#This Row],[Valor custo]]</f>
        <v>1250</v>
      </c>
      <c r="J4182" s="18">
        <f>Tabela1[[#This Row],[MARGEM BRUTA]]/Tabela1[[#This Row],[Valor total]]</f>
        <v>0.32051282051282054</v>
      </c>
      <c r="K4182" s="17" t="str">
        <f>VLOOKUP(Tabela1[[#This Row],[Cliente]],'BASE DE CLIENTES'!A:D,4,0)</f>
        <v>EMPRESA SEM MAQUINA</v>
      </c>
      <c r="L4182" s="17" t="str">
        <f>VLOOKUP(Tabela1[[#This Row],[Cliente]],'BASE DE CLIENTES'!A:E,5,0)</f>
        <v>SAMAMBAIA</v>
      </c>
    </row>
    <row r="4183" spans="2:12" x14ac:dyDescent="0.3">
      <c r="B4183" t="s">
        <v>161</v>
      </c>
      <c r="C4183" s="17" t="str">
        <f>VLOOKUP(Tabela1[[#This Row],[Cliente]],'BASE DE CLIENTES'!A:E,2,0)</f>
        <v>Brasília</v>
      </c>
      <c r="D4183" s="17" t="str">
        <f>VLOOKUP(Tabela1[[#This Row],[Cliente]],'BASE DE CLIENTES'!A:C,3,0)</f>
        <v>DF</v>
      </c>
      <c r="E4183" s="17" t="str">
        <f>CONCATENATE(Tabela1[[#This Row],[CIDADE]],",",Tabela1[[#This Row],[UF]])</f>
        <v>Brasília,DF</v>
      </c>
      <c r="F4183" s="15">
        <v>46066</v>
      </c>
      <c r="G4183" s="5">
        <v>720</v>
      </c>
      <c r="H4183" s="5">
        <v>1150</v>
      </c>
      <c r="I4183" s="8">
        <f>Tabela1[[#This Row],[Valor total]]-Tabela1[[#This Row],[Valor custo]]</f>
        <v>430</v>
      </c>
      <c r="J4183" s="18">
        <f>Tabela1[[#This Row],[MARGEM BRUTA]]/Tabela1[[#This Row],[Valor total]]</f>
        <v>0.37391304347826088</v>
      </c>
      <c r="K4183" s="17" t="str">
        <f>VLOOKUP(Tabela1[[#This Row],[Cliente]],'BASE DE CLIENTES'!A:D,4,0)</f>
        <v>EMPRESA COM MAQUINA</v>
      </c>
      <c r="L4183" s="17" t="str">
        <f>VLOOKUP(Tabela1[[#This Row],[Cliente]],'BASE DE CLIENTES'!A:E,5,0)</f>
        <v>RIACHO FUNDO II</v>
      </c>
    </row>
    <row r="4184" spans="2:12" x14ac:dyDescent="0.3">
      <c r="B4184" t="s">
        <v>120</v>
      </c>
      <c r="C4184" s="17" t="str">
        <f>VLOOKUP(Tabela1[[#This Row],[Cliente]],'BASE DE CLIENTES'!A:E,2,0)</f>
        <v>Brasília</v>
      </c>
      <c r="D4184" s="17" t="str">
        <f>VLOOKUP(Tabela1[[#This Row],[Cliente]],'BASE DE CLIENTES'!A:C,3,0)</f>
        <v>DF</v>
      </c>
      <c r="E4184" s="17" t="str">
        <f>CONCATENATE(Tabela1[[#This Row],[CIDADE]],",",Tabela1[[#This Row],[UF]])</f>
        <v>Brasília,DF</v>
      </c>
      <c r="F4184" s="15">
        <v>46065</v>
      </c>
      <c r="G4184" s="5">
        <v>1589</v>
      </c>
      <c r="H4184" s="5">
        <v>2610</v>
      </c>
      <c r="I4184" s="8">
        <f>Tabela1[[#This Row],[Valor total]]-Tabela1[[#This Row],[Valor custo]]</f>
        <v>1021</v>
      </c>
      <c r="J4184" s="18">
        <f>Tabela1[[#This Row],[MARGEM BRUTA]]/Tabela1[[#This Row],[Valor total]]</f>
        <v>0.39118773946360152</v>
      </c>
      <c r="K4184" s="17" t="str">
        <f>VLOOKUP(Tabela1[[#This Row],[Cliente]],'BASE DE CLIENTES'!A:D,4,0)</f>
        <v>EMPRESA SEM MAQUINA</v>
      </c>
      <c r="L4184" s="17" t="str">
        <f>VLOOKUP(Tabela1[[#This Row],[Cliente]],'BASE DE CLIENTES'!A:E,5,0)</f>
        <v>SAMAMBAIA</v>
      </c>
    </row>
    <row r="4185" spans="2:12" x14ac:dyDescent="0.3">
      <c r="B4185" t="s">
        <v>140</v>
      </c>
      <c r="C4185" s="17" t="str">
        <f>VLOOKUP(Tabela1[[#This Row],[Cliente]],'BASE DE CLIENTES'!A:E,2,0)</f>
        <v>Brasília</v>
      </c>
      <c r="D4185" s="17" t="str">
        <f>VLOOKUP(Tabela1[[#This Row],[Cliente]],'BASE DE CLIENTES'!A:C,3,0)</f>
        <v>DF</v>
      </c>
      <c r="E4185" s="17" t="str">
        <f>CONCATENATE(Tabela1[[#This Row],[CIDADE]],",",Tabela1[[#This Row],[UF]])</f>
        <v>Brasília,DF</v>
      </c>
      <c r="F4185" s="15">
        <v>46065</v>
      </c>
      <c r="G4185" s="5">
        <v>10055.41</v>
      </c>
      <c r="H4185" s="5">
        <v>14100</v>
      </c>
      <c r="I4185" s="8">
        <f>Tabela1[[#This Row],[Valor total]]-Tabela1[[#This Row],[Valor custo]]</f>
        <v>4044.59</v>
      </c>
      <c r="J4185" s="18">
        <f>Tabela1[[#This Row],[MARGEM BRUTA]]/Tabela1[[#This Row],[Valor total]]</f>
        <v>0.28685035460992908</v>
      </c>
      <c r="K4185" s="17" t="str">
        <f>VLOOKUP(Tabela1[[#This Row],[Cliente]],'BASE DE CLIENTES'!A:D,4,0)</f>
        <v>EMPRESA COM MAQUINA</v>
      </c>
      <c r="L4185" s="17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7" t="str">
        <f>VLOOKUP(Tabela1[[#This Row],[Cliente]],'BASE DE CLIENTES'!A:E,2,0)</f>
        <v>Brasília</v>
      </c>
      <c r="D4186" s="17" t="str">
        <f>VLOOKUP(Tabela1[[#This Row],[Cliente]],'BASE DE CLIENTES'!A:C,3,0)</f>
        <v>DF</v>
      </c>
      <c r="E4186" s="17" t="str">
        <f>CONCATENATE(Tabela1[[#This Row],[CIDADE]],",",Tabela1[[#This Row],[UF]])</f>
        <v>Brasília,DF</v>
      </c>
      <c r="F4186" s="15">
        <v>46065</v>
      </c>
      <c r="G4186" s="5">
        <v>6490</v>
      </c>
      <c r="H4186" s="5">
        <v>10400</v>
      </c>
      <c r="I4186" s="8">
        <f>Tabela1[[#This Row],[Valor total]]-Tabela1[[#This Row],[Valor custo]]</f>
        <v>3910</v>
      </c>
      <c r="J4186" s="18">
        <f>Tabela1[[#This Row],[MARGEM BRUTA]]/Tabela1[[#This Row],[Valor total]]</f>
        <v>0.37596153846153846</v>
      </c>
      <c r="K4186" s="17" t="str">
        <f>VLOOKUP(Tabela1[[#This Row],[Cliente]],'BASE DE CLIENTES'!A:D,4,0)</f>
        <v>EMPRESA COM MAQUINA</v>
      </c>
      <c r="L4186" s="17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7" t="str">
        <f>VLOOKUP(Tabela1[[#This Row],[Cliente]],'BASE DE CLIENTES'!A:E,2,0)</f>
        <v>Brasília</v>
      </c>
      <c r="D4187" s="17" t="str">
        <f>VLOOKUP(Tabela1[[#This Row],[Cliente]],'BASE DE CLIENTES'!A:C,3,0)</f>
        <v>DF</v>
      </c>
      <c r="E4187" s="17" t="str">
        <f>CONCATENATE(Tabela1[[#This Row],[CIDADE]],",",Tabela1[[#This Row],[UF]])</f>
        <v>Brasília,DF</v>
      </c>
      <c r="F4187" s="15">
        <v>46065</v>
      </c>
      <c r="G4187" s="5">
        <v>764</v>
      </c>
      <c r="H4187" s="5">
        <v>1160</v>
      </c>
      <c r="I4187" s="8">
        <f>Tabela1[[#This Row],[Valor total]]-Tabela1[[#This Row],[Valor custo]]</f>
        <v>396</v>
      </c>
      <c r="J4187" s="18">
        <f>Tabela1[[#This Row],[MARGEM BRUTA]]/Tabela1[[#This Row],[Valor total]]</f>
        <v>0.3413793103448276</v>
      </c>
      <c r="K4187" s="17" t="str">
        <f>VLOOKUP(Tabela1[[#This Row],[Cliente]],'BASE DE CLIENTES'!A:D,4,0)</f>
        <v>CLIENTE NOVO S/ IDENT.</v>
      </c>
      <c r="L4187" s="17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7" t="str">
        <f>VLOOKUP(Tabela1[[#This Row],[Cliente]],'BASE DE CLIENTES'!A:E,2,0)</f>
        <v>Goiânia</v>
      </c>
      <c r="D4188" s="17" t="str">
        <f>VLOOKUP(Tabela1[[#This Row],[Cliente]],'BASE DE CLIENTES'!A:C,3,0)</f>
        <v>GO</v>
      </c>
      <c r="E4188" s="17" t="str">
        <f>CONCATENATE(Tabela1[[#This Row],[CIDADE]],",",Tabela1[[#This Row],[UF]])</f>
        <v>Goiânia,GO</v>
      </c>
      <c r="F4188" s="15">
        <v>46065</v>
      </c>
      <c r="G4188" s="5">
        <v>530</v>
      </c>
      <c r="H4188" s="5">
        <v>790</v>
      </c>
      <c r="I4188" s="8">
        <f>Tabela1[[#This Row],[Valor total]]-Tabela1[[#This Row],[Valor custo]]</f>
        <v>260</v>
      </c>
      <c r="J4188" s="18">
        <f>Tabela1[[#This Row],[MARGEM BRUTA]]/Tabela1[[#This Row],[Valor total]]</f>
        <v>0.32911392405063289</v>
      </c>
      <c r="K4188" s="17" t="str">
        <f>VLOOKUP(Tabela1[[#This Row],[Cliente]],'BASE DE CLIENTES'!A:D,4,0)</f>
        <v>EMPRESA COM MAQUINA</v>
      </c>
      <c r="L4188" s="17" t="str">
        <f>VLOOKUP(Tabela1[[#This Row],[Cliente]],'BASE DE CLIENTES'!A:E,5,0)</f>
        <v>Goiânia</v>
      </c>
    </row>
    <row r="4189" spans="2:12" x14ac:dyDescent="0.3">
      <c r="B4189" t="s">
        <v>92</v>
      </c>
      <c r="C4189" s="17" t="str">
        <f>VLOOKUP(Tabela1[[#This Row],[Cliente]],'BASE DE CLIENTES'!A:E,2,0)</f>
        <v>Brasília</v>
      </c>
      <c r="D4189" s="17" t="str">
        <f>VLOOKUP(Tabela1[[#This Row],[Cliente]],'BASE DE CLIENTES'!A:C,3,0)</f>
        <v>DF</v>
      </c>
      <c r="E4189" s="17" t="str">
        <f>CONCATENATE(Tabela1[[#This Row],[CIDADE]],",",Tabela1[[#This Row],[UF]])</f>
        <v>Brasília,DF</v>
      </c>
      <c r="F4189" s="15">
        <v>46065</v>
      </c>
      <c r="G4189" s="5">
        <v>1174</v>
      </c>
      <c r="H4189" s="5">
        <v>1950</v>
      </c>
      <c r="I4189" s="8">
        <f>Tabela1[[#This Row],[Valor total]]-Tabela1[[#This Row],[Valor custo]]</f>
        <v>776</v>
      </c>
      <c r="J4189" s="18">
        <f>Tabela1[[#This Row],[MARGEM BRUTA]]/Tabela1[[#This Row],[Valor total]]</f>
        <v>0.39794871794871794</v>
      </c>
      <c r="K4189" s="17" t="str">
        <f>VLOOKUP(Tabela1[[#This Row],[Cliente]],'BASE DE CLIENTES'!A:D,4,0)</f>
        <v>EMPRESA SEM MAQUINA</v>
      </c>
      <c r="L4189" s="17" t="str">
        <f>VLOOKUP(Tabela1[[#This Row],[Cliente]],'BASE DE CLIENTES'!A:E,5,0)</f>
        <v>SOBRADINHO</v>
      </c>
    </row>
    <row r="4190" spans="2:12" x14ac:dyDescent="0.3">
      <c r="B4190" t="s">
        <v>183</v>
      </c>
      <c r="C4190" s="17" t="str">
        <f>VLOOKUP(Tabela1[[#This Row],[Cliente]],'BASE DE CLIENTES'!A:E,2,0)</f>
        <v>Caldas Novas</v>
      </c>
      <c r="D4190" s="17" t="str">
        <f>VLOOKUP(Tabela1[[#This Row],[Cliente]],'BASE DE CLIENTES'!A:C,3,0)</f>
        <v>GO</v>
      </c>
      <c r="E4190" s="17" t="str">
        <f>CONCATENATE(Tabela1[[#This Row],[CIDADE]],",",Tabela1[[#This Row],[UF]])</f>
        <v>Caldas Novas,GO</v>
      </c>
      <c r="F4190" s="15">
        <v>46065</v>
      </c>
      <c r="G4190" s="5">
        <v>13891.4</v>
      </c>
      <c r="H4190" s="5">
        <v>22438</v>
      </c>
      <c r="I4190" s="8">
        <f>Tabela1[[#This Row],[Valor total]]-Tabela1[[#This Row],[Valor custo]]</f>
        <v>8546.6</v>
      </c>
      <c r="J4190" s="18">
        <f>Tabela1[[#This Row],[MARGEM BRUTA]]/Tabela1[[#This Row],[Valor total]]</f>
        <v>0.38089847579998221</v>
      </c>
      <c r="K4190" s="17" t="str">
        <f>VLOOKUP(Tabela1[[#This Row],[Cliente]],'BASE DE CLIENTES'!A:D,4,0)</f>
        <v>EMPRESA COM MAQUINA</v>
      </c>
      <c r="L4190" s="17" t="str">
        <f>VLOOKUP(Tabela1[[#This Row],[Cliente]],'BASE DE CLIENTES'!A:E,5,0)</f>
        <v>Caldas Novas</v>
      </c>
    </row>
    <row r="4191" spans="2:12" x14ac:dyDescent="0.3">
      <c r="B4191" t="s">
        <v>49</v>
      </c>
      <c r="C4191" s="17" t="str">
        <f>VLOOKUP(Tabela1[[#This Row],[Cliente]],'BASE DE CLIENTES'!A:E,2,0)</f>
        <v>Brasília</v>
      </c>
      <c r="D4191" s="17" t="str">
        <f>VLOOKUP(Tabela1[[#This Row],[Cliente]],'BASE DE CLIENTES'!A:C,3,0)</f>
        <v>DF</v>
      </c>
      <c r="E4191" s="17" t="str">
        <f>CONCATENATE(Tabela1[[#This Row],[CIDADE]],",",Tabela1[[#This Row],[UF]])</f>
        <v>Brasília,DF</v>
      </c>
      <c r="F4191" s="15">
        <v>46065</v>
      </c>
      <c r="G4191" s="5">
        <v>800.31</v>
      </c>
      <c r="H4191" s="5">
        <v>1225</v>
      </c>
      <c r="I4191" s="8">
        <f>Tabela1[[#This Row],[Valor total]]-Tabela1[[#This Row],[Valor custo]]</f>
        <v>424.69000000000005</v>
      </c>
      <c r="J4191" s="18">
        <f>Tabela1[[#This Row],[MARGEM BRUTA]]/Tabela1[[#This Row],[Valor total]]</f>
        <v>0.34668571428571432</v>
      </c>
      <c r="K4191" s="17" t="str">
        <f>VLOOKUP(Tabela1[[#This Row],[Cliente]],'BASE DE CLIENTES'!A:D,4,0)</f>
        <v>EMPRESA COM MAQUINA</v>
      </c>
      <c r="L4191" s="17" t="str">
        <f>VLOOKUP(Tabela1[[#This Row],[Cliente]],'BASE DE CLIENTES'!A:E,5,0)</f>
        <v>TAGUATINGA</v>
      </c>
    </row>
    <row r="4192" spans="2:12" x14ac:dyDescent="0.3">
      <c r="B4192" t="s">
        <v>98</v>
      </c>
      <c r="C4192" s="17" t="str">
        <f>VLOOKUP(Tabela1[[#This Row],[Cliente]],'BASE DE CLIENTES'!A:E,2,0)</f>
        <v>Brasília</v>
      </c>
      <c r="D4192" s="17" t="str">
        <f>VLOOKUP(Tabela1[[#This Row],[Cliente]],'BASE DE CLIENTES'!A:C,3,0)</f>
        <v>DF</v>
      </c>
      <c r="E4192" s="17" t="str">
        <f>CONCATENATE(Tabela1[[#This Row],[CIDADE]],",",Tabela1[[#This Row],[UF]])</f>
        <v>Brasília,DF</v>
      </c>
      <c r="F4192" s="15">
        <v>46065</v>
      </c>
      <c r="G4192" s="5">
        <v>4.0599999999999996</v>
      </c>
      <c r="H4192" s="5">
        <v>7</v>
      </c>
      <c r="I4192" s="8">
        <f>Tabela1[[#This Row],[Valor total]]-Tabela1[[#This Row],[Valor custo]]</f>
        <v>2.9400000000000004</v>
      </c>
      <c r="J4192" s="18">
        <f>Tabela1[[#This Row],[MARGEM BRUTA]]/Tabela1[[#This Row],[Valor total]]</f>
        <v>0.42000000000000004</v>
      </c>
      <c r="K4192" s="17" t="str">
        <f>VLOOKUP(Tabela1[[#This Row],[Cliente]],'BASE DE CLIENTES'!A:D,4,0)</f>
        <v>SERRALHEIRO</v>
      </c>
      <c r="L4192" s="17" t="str">
        <f>VLOOKUP(Tabela1[[#This Row],[Cliente]],'BASE DE CLIENTES'!A:E,5,0)</f>
        <v>SANTA MARIA</v>
      </c>
    </row>
    <row r="4193" spans="2:12" x14ac:dyDescent="0.3">
      <c r="B4193" t="s">
        <v>232</v>
      </c>
      <c r="C4193" s="17" t="str">
        <f>VLOOKUP(Tabela1[[#This Row],[Cliente]],'BASE DE CLIENTES'!A:E,2,0)</f>
        <v>Brasília</v>
      </c>
      <c r="D4193" s="17" t="str">
        <f>VLOOKUP(Tabela1[[#This Row],[Cliente]],'BASE DE CLIENTES'!A:C,3,0)</f>
        <v>DF</v>
      </c>
      <c r="E4193" s="17" t="str">
        <f>CONCATENATE(Tabela1[[#This Row],[CIDADE]],",",Tabela1[[#This Row],[UF]])</f>
        <v>Brasília,DF</v>
      </c>
      <c r="F4193" s="15">
        <v>46065</v>
      </c>
      <c r="G4193" s="5">
        <v>382</v>
      </c>
      <c r="H4193" s="5">
        <v>620</v>
      </c>
      <c r="I4193" s="8">
        <f>Tabela1[[#This Row],[Valor total]]-Tabela1[[#This Row],[Valor custo]]</f>
        <v>238</v>
      </c>
      <c r="J4193" s="18">
        <f>Tabela1[[#This Row],[MARGEM BRUTA]]/Tabela1[[#This Row],[Valor total]]</f>
        <v>0.38387096774193546</v>
      </c>
      <c r="K4193" s="17" t="str">
        <f>VLOOKUP(Tabela1[[#This Row],[Cliente]],'BASE DE CLIENTES'!A:D,4,0)</f>
        <v>CHAVEIRO</v>
      </c>
      <c r="L4193" s="17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7" t="str">
        <f>VLOOKUP(Tabela1[[#This Row],[Cliente]],'BASE DE CLIENTES'!A:E,2,0)</f>
        <v>Águas Lindas de Goiás</v>
      </c>
      <c r="D4194" s="17" t="str">
        <f>VLOOKUP(Tabela1[[#This Row],[Cliente]],'BASE DE CLIENTES'!A:C,3,0)</f>
        <v>GO</v>
      </c>
      <c r="E4194" s="17" t="str">
        <f>CONCATENATE(Tabela1[[#This Row],[CIDADE]],",",Tabela1[[#This Row],[UF]])</f>
        <v>Águas Lindas de Goiás,GO</v>
      </c>
      <c r="F4194" s="15">
        <v>46065</v>
      </c>
      <c r="G4194" s="5">
        <v>1291.5</v>
      </c>
      <c r="H4194" s="5">
        <v>2110</v>
      </c>
      <c r="I4194" s="8">
        <f>Tabela1[[#This Row],[Valor total]]-Tabela1[[#This Row],[Valor custo]]</f>
        <v>818.5</v>
      </c>
      <c r="J4194" s="18">
        <f>Tabela1[[#This Row],[MARGEM BRUTA]]/Tabela1[[#This Row],[Valor total]]</f>
        <v>0.38791469194312794</v>
      </c>
      <c r="K4194" s="17" t="str">
        <f>VLOOKUP(Tabela1[[#This Row],[Cliente]],'BASE DE CLIENTES'!A:D,4,0)</f>
        <v>EMPRESA COM MAQUINA</v>
      </c>
      <c r="L4194" s="17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7" t="str">
        <f>VLOOKUP(Tabela1[[#This Row],[Cliente]],'BASE DE CLIENTES'!A:E,2,0)</f>
        <v>Brasília</v>
      </c>
      <c r="D4195" s="17" t="str">
        <f>VLOOKUP(Tabela1[[#This Row],[Cliente]],'BASE DE CLIENTES'!A:C,3,0)</f>
        <v>DF</v>
      </c>
      <c r="E4195" s="17" t="str">
        <f>CONCATENATE(Tabela1[[#This Row],[CIDADE]],",",Tabela1[[#This Row],[UF]])</f>
        <v>Brasília,DF</v>
      </c>
      <c r="F4195" s="15">
        <v>46065</v>
      </c>
      <c r="G4195" s="5">
        <v>540.35</v>
      </c>
      <c r="H4195" s="5">
        <v>920</v>
      </c>
      <c r="I4195" s="8">
        <f>Tabela1[[#This Row],[Valor total]]-Tabela1[[#This Row],[Valor custo]]</f>
        <v>379.65</v>
      </c>
      <c r="J4195" s="18">
        <f>Tabela1[[#This Row],[MARGEM BRUTA]]/Tabela1[[#This Row],[Valor total]]</f>
        <v>0.41266304347826083</v>
      </c>
      <c r="K4195" s="17" t="str">
        <f>VLOOKUP(Tabela1[[#This Row],[Cliente]],'BASE DE CLIENTES'!A:D,4,0)</f>
        <v>SERRALHEIRO</v>
      </c>
      <c r="L4195" s="17" t="str">
        <f>VLOOKUP(Tabela1[[#This Row],[Cliente]],'BASE DE CLIENTES'!A:E,5,0)</f>
        <v>SANTA MARIA</v>
      </c>
    </row>
    <row r="4196" spans="2:12" x14ac:dyDescent="0.3">
      <c r="B4196" t="s">
        <v>161</v>
      </c>
      <c r="C4196" s="17" t="str">
        <f>VLOOKUP(Tabela1[[#This Row],[Cliente]],'BASE DE CLIENTES'!A:E,2,0)</f>
        <v>Brasília</v>
      </c>
      <c r="D4196" s="17" t="str">
        <f>VLOOKUP(Tabela1[[#This Row],[Cliente]],'BASE DE CLIENTES'!A:C,3,0)</f>
        <v>DF</v>
      </c>
      <c r="E4196" s="17" t="str">
        <f>CONCATENATE(Tabela1[[#This Row],[CIDADE]],",",Tabela1[[#This Row],[UF]])</f>
        <v>Brasília,DF</v>
      </c>
      <c r="F4196" s="15">
        <v>46065</v>
      </c>
      <c r="G4196" s="5">
        <v>23430</v>
      </c>
      <c r="H4196" s="5">
        <v>34470</v>
      </c>
      <c r="I4196" s="8">
        <f>Tabela1[[#This Row],[Valor total]]-Tabela1[[#This Row],[Valor custo]]</f>
        <v>11040</v>
      </c>
      <c r="J4196" s="18">
        <f>Tabela1[[#This Row],[MARGEM BRUTA]]/Tabela1[[#This Row],[Valor total]]</f>
        <v>0.32027850304612709</v>
      </c>
      <c r="K4196" s="17" t="str">
        <f>VLOOKUP(Tabela1[[#This Row],[Cliente]],'BASE DE CLIENTES'!A:D,4,0)</f>
        <v>EMPRESA COM MAQUINA</v>
      </c>
      <c r="L4196" s="17" t="str">
        <f>VLOOKUP(Tabela1[[#This Row],[Cliente]],'BASE DE CLIENTES'!A:E,5,0)</f>
        <v>RIACHO FUNDO II</v>
      </c>
    </row>
    <row r="4197" spans="2:12" x14ac:dyDescent="0.3">
      <c r="B4197" t="s">
        <v>88</v>
      </c>
      <c r="C4197" s="17" t="str">
        <f>VLOOKUP(Tabela1[[#This Row],[Cliente]],'BASE DE CLIENTES'!A:E,2,0)</f>
        <v>Brasília</v>
      </c>
      <c r="D4197" s="17" t="str">
        <f>VLOOKUP(Tabela1[[#This Row],[Cliente]],'BASE DE CLIENTES'!A:C,3,0)</f>
        <v>DF</v>
      </c>
      <c r="E4197" s="17" t="str">
        <f>CONCATENATE(Tabela1[[#This Row],[CIDADE]],",",Tabela1[[#This Row],[UF]])</f>
        <v>Brasília,DF</v>
      </c>
      <c r="F4197" s="15">
        <v>46065</v>
      </c>
      <c r="G4197" s="5">
        <v>90.06</v>
      </c>
      <c r="H4197" s="5">
        <v>170</v>
      </c>
      <c r="I4197" s="8">
        <f>Tabela1[[#This Row],[Valor total]]-Tabela1[[#This Row],[Valor custo]]</f>
        <v>79.94</v>
      </c>
      <c r="J4197" s="18">
        <f>Tabela1[[#This Row],[MARGEM BRUTA]]/Tabela1[[#This Row],[Valor total]]</f>
        <v>0.47023529411764703</v>
      </c>
      <c r="K4197" s="17" t="str">
        <f>VLOOKUP(Tabela1[[#This Row],[Cliente]],'BASE DE CLIENTES'!A:D,4,0)</f>
        <v>SERRALHEIRO</v>
      </c>
      <c r="L4197" s="17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7" t="str">
        <f>VLOOKUP(Tabela1[[#This Row],[Cliente]],'BASE DE CLIENTES'!A:E,2,0)</f>
        <v>Goiânia</v>
      </c>
      <c r="D4198" s="17" t="str">
        <f>VLOOKUP(Tabela1[[#This Row],[Cliente]],'BASE DE CLIENTES'!A:C,3,0)</f>
        <v>GO</v>
      </c>
      <c r="E4198" s="17" t="str">
        <f>CONCATENATE(Tabela1[[#This Row],[CIDADE]],",",Tabela1[[#This Row],[UF]])</f>
        <v>Goiânia,GO</v>
      </c>
      <c r="F4198" s="15">
        <v>46065</v>
      </c>
      <c r="G4198" s="5">
        <v>724</v>
      </c>
      <c r="H4198" s="5">
        <v>1190</v>
      </c>
      <c r="I4198" s="8">
        <f>Tabela1[[#This Row],[Valor total]]-Tabela1[[#This Row],[Valor custo]]</f>
        <v>466</v>
      </c>
      <c r="J4198" s="18">
        <f>Tabela1[[#This Row],[MARGEM BRUTA]]/Tabela1[[#This Row],[Valor total]]</f>
        <v>0.39159663865546218</v>
      </c>
      <c r="K4198" s="17" t="str">
        <f>VLOOKUP(Tabela1[[#This Row],[Cliente]],'BASE DE CLIENTES'!A:D,4,0)</f>
        <v>EMPRESA COM MAQUINA</v>
      </c>
      <c r="L4198" s="17" t="str">
        <f>VLOOKUP(Tabela1[[#This Row],[Cliente]],'BASE DE CLIENTES'!A:E,5,0)</f>
        <v>Goiânia</v>
      </c>
    </row>
    <row r="4199" spans="2:12" x14ac:dyDescent="0.3">
      <c r="B4199" t="s">
        <v>331</v>
      </c>
      <c r="C4199" s="17" t="str">
        <f>VLOOKUP(Tabela1[[#This Row],[Cliente]],'BASE DE CLIENTES'!A:E,2,0)</f>
        <v>Águas Lindas de Goiás</v>
      </c>
      <c r="D4199" s="17" t="str">
        <f>VLOOKUP(Tabela1[[#This Row],[Cliente]],'BASE DE CLIENTES'!A:C,3,0)</f>
        <v>GO</v>
      </c>
      <c r="E4199" s="17" t="str">
        <f>CONCATENATE(Tabela1[[#This Row],[CIDADE]],",",Tabela1[[#This Row],[UF]])</f>
        <v>Águas Lindas de Goiás,GO</v>
      </c>
      <c r="F4199" s="15">
        <v>46065</v>
      </c>
      <c r="G4199" s="5">
        <v>191</v>
      </c>
      <c r="H4199" s="5">
        <v>389.9</v>
      </c>
      <c r="I4199" s="8">
        <f>Tabela1[[#This Row],[Valor total]]-Tabela1[[#This Row],[Valor custo]]</f>
        <v>198.89999999999998</v>
      </c>
      <c r="J4199" s="18">
        <f>Tabela1[[#This Row],[MARGEM BRUTA]]/Tabela1[[#This Row],[Valor total]]</f>
        <v>0.51013080276994094</v>
      </c>
      <c r="K4199" s="17" t="str">
        <f>VLOOKUP(Tabela1[[#This Row],[Cliente]],'BASE DE CLIENTES'!A:D,4,0)</f>
        <v>EMPRESA SEM MAQUINA</v>
      </c>
      <c r="L4199" s="17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7" t="str">
        <f>VLOOKUP(Tabela1[[#This Row],[Cliente]],'BASE DE CLIENTES'!A:E,2,0)</f>
        <v>Salvador</v>
      </c>
      <c r="D4200" s="17" t="str">
        <f>VLOOKUP(Tabela1[[#This Row],[Cliente]],'BASE DE CLIENTES'!A:C,3,0)</f>
        <v>BA</v>
      </c>
      <c r="E4200" s="17" t="str">
        <f>CONCATENATE(Tabela1[[#This Row],[CIDADE]],",",Tabela1[[#This Row],[UF]])</f>
        <v>Salvador,BA</v>
      </c>
      <c r="F4200" s="15">
        <v>46065</v>
      </c>
      <c r="G4200" s="5">
        <v>4186.3999999999996</v>
      </c>
      <c r="H4200" s="5">
        <v>6725.5</v>
      </c>
      <c r="I4200" s="8">
        <f>Tabela1[[#This Row],[Valor total]]-Tabela1[[#This Row],[Valor custo]]</f>
        <v>2539.1000000000004</v>
      </c>
      <c r="J4200" s="18">
        <f>Tabela1[[#This Row],[MARGEM BRUTA]]/Tabela1[[#This Row],[Valor total]]</f>
        <v>0.37753326890194044</v>
      </c>
      <c r="K4200" s="17" t="str">
        <f>VLOOKUP(Tabela1[[#This Row],[Cliente]],'BASE DE CLIENTES'!A:D,4,0)</f>
        <v>CLIENTE NOVO S/ IDENT.</v>
      </c>
      <c r="L4200" s="17" t="str">
        <f>VLOOKUP(Tabela1[[#This Row],[Cliente]],'BASE DE CLIENTES'!A:E,5,0)</f>
        <v>Salvador</v>
      </c>
    </row>
    <row r="4201" spans="2:12" x14ac:dyDescent="0.3">
      <c r="B4201" t="s">
        <v>96</v>
      </c>
      <c r="C4201" s="17" t="str">
        <f>VLOOKUP(Tabela1[[#This Row],[Cliente]],'BASE DE CLIENTES'!A:E,2,0)</f>
        <v>Brasília</v>
      </c>
      <c r="D4201" s="17" t="str">
        <f>VLOOKUP(Tabela1[[#This Row],[Cliente]],'BASE DE CLIENTES'!A:C,3,0)</f>
        <v>DF</v>
      </c>
      <c r="E4201" s="17" t="str">
        <f>CONCATENATE(Tabela1[[#This Row],[CIDADE]],",",Tabela1[[#This Row],[UF]])</f>
        <v>Brasília,DF</v>
      </c>
      <c r="F4201" s="15">
        <v>46065</v>
      </c>
      <c r="G4201" s="5">
        <v>751.4</v>
      </c>
      <c r="H4201" s="5">
        <v>1340</v>
      </c>
      <c r="I4201" s="8">
        <f>Tabela1[[#This Row],[Valor total]]-Tabela1[[#This Row],[Valor custo]]</f>
        <v>588.6</v>
      </c>
      <c r="J4201" s="18">
        <f>Tabela1[[#This Row],[MARGEM BRUTA]]/Tabela1[[#This Row],[Valor total]]</f>
        <v>0.4392537313432836</v>
      </c>
      <c r="K4201" s="17" t="str">
        <f>VLOOKUP(Tabela1[[#This Row],[Cliente]],'BASE DE CLIENTES'!A:D,4,0)</f>
        <v>EMPRESA SEM MAQUINA</v>
      </c>
      <c r="L4201" s="17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7" t="str">
        <f>VLOOKUP(Tabela1[[#This Row],[Cliente]],'BASE DE CLIENTES'!A:E,2,0)</f>
        <v>Águas Lindas de Goiás</v>
      </c>
      <c r="D4202" s="17" t="str">
        <f>VLOOKUP(Tabela1[[#This Row],[Cliente]],'BASE DE CLIENTES'!A:C,3,0)</f>
        <v>GO</v>
      </c>
      <c r="E4202" s="17" t="str">
        <f>CONCATENATE(Tabela1[[#This Row],[CIDADE]],",",Tabela1[[#This Row],[UF]])</f>
        <v>Águas Lindas de Goiás,GO</v>
      </c>
      <c r="F4202" s="15">
        <v>46065</v>
      </c>
      <c r="G4202" s="5">
        <v>37.5</v>
      </c>
      <c r="H4202" s="5">
        <v>95</v>
      </c>
      <c r="I4202" s="8">
        <f>Tabela1[[#This Row],[Valor total]]-Tabela1[[#This Row],[Valor custo]]</f>
        <v>57.5</v>
      </c>
      <c r="J4202" s="18">
        <f>Tabela1[[#This Row],[MARGEM BRUTA]]/Tabela1[[#This Row],[Valor total]]</f>
        <v>0.60526315789473684</v>
      </c>
      <c r="K4202" s="17" t="str">
        <f>VLOOKUP(Tabela1[[#This Row],[Cliente]],'BASE DE CLIENTES'!A:D,4,0)</f>
        <v>SERRALHEIRO</v>
      </c>
      <c r="L4202" s="17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7" t="str">
        <f>VLOOKUP(Tabela1[[#This Row],[Cliente]],'BASE DE CLIENTES'!A:E,2,0)</f>
        <v>Brasília</v>
      </c>
      <c r="D4203" s="17" t="str">
        <f>VLOOKUP(Tabela1[[#This Row],[Cliente]],'BASE DE CLIENTES'!A:C,3,0)</f>
        <v>DF</v>
      </c>
      <c r="E4203" s="17" t="str">
        <f>CONCATENATE(Tabela1[[#This Row],[CIDADE]],",",Tabela1[[#This Row],[UF]])</f>
        <v>Brasília,DF</v>
      </c>
      <c r="F4203" s="15">
        <v>46065</v>
      </c>
      <c r="G4203" s="5">
        <v>724</v>
      </c>
      <c r="H4203" s="5">
        <v>1230</v>
      </c>
      <c r="I4203" s="8">
        <f>Tabela1[[#This Row],[Valor total]]-Tabela1[[#This Row],[Valor custo]]</f>
        <v>506</v>
      </c>
      <c r="J4203" s="18">
        <f>Tabela1[[#This Row],[MARGEM BRUTA]]/Tabela1[[#This Row],[Valor total]]</f>
        <v>0.41138211382113821</v>
      </c>
      <c r="K4203" s="17" t="str">
        <f>VLOOKUP(Tabela1[[#This Row],[Cliente]],'BASE DE CLIENTES'!A:D,4,0)</f>
        <v>EMPRESA COM MAQUINA</v>
      </c>
      <c r="L4203" s="17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7" t="str">
        <f>VLOOKUP(Tabela1[[#This Row],[Cliente]],'BASE DE CLIENTES'!A:E,2,0)</f>
        <v>Brasília</v>
      </c>
      <c r="D4204" s="17" t="str">
        <f>VLOOKUP(Tabela1[[#This Row],[Cliente]],'BASE DE CLIENTES'!A:C,3,0)</f>
        <v>DF</v>
      </c>
      <c r="E4204" s="17" t="str">
        <f>CONCATENATE(Tabela1[[#This Row],[CIDADE]],",",Tabela1[[#This Row],[UF]])</f>
        <v>Brasília,DF</v>
      </c>
      <c r="F4204" s="15">
        <v>46065</v>
      </c>
      <c r="G4204" s="5">
        <v>13.69</v>
      </c>
      <c r="H4204" s="5">
        <v>120</v>
      </c>
      <c r="I4204" s="8">
        <f>Tabela1[[#This Row],[Valor total]]-Tabela1[[#This Row],[Valor custo]]</f>
        <v>106.31</v>
      </c>
      <c r="J4204" s="18">
        <f>Tabela1[[#This Row],[MARGEM BRUTA]]/Tabela1[[#This Row],[Valor total]]</f>
        <v>0.88591666666666669</v>
      </c>
      <c r="K4204" s="17" t="str">
        <f>VLOOKUP(Tabela1[[#This Row],[Cliente]],'BASE DE CLIENTES'!A:D,4,0)</f>
        <v>SERRALHEIRO</v>
      </c>
      <c r="L4204" s="17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7" t="str">
        <f>VLOOKUP(Tabela1[[#This Row],[Cliente]],'BASE DE CLIENTES'!A:E,2,0)</f>
        <v>Águas Lindas de Goiás</v>
      </c>
      <c r="D4205" s="17" t="str">
        <f>VLOOKUP(Tabela1[[#This Row],[Cliente]],'BASE DE CLIENTES'!A:C,3,0)</f>
        <v>GO</v>
      </c>
      <c r="E4205" s="17" t="str">
        <f>CONCATENATE(Tabela1[[#This Row],[CIDADE]],",",Tabela1[[#This Row],[UF]])</f>
        <v>Águas Lindas de Goiás,GO</v>
      </c>
      <c r="F4205" s="15">
        <v>46065</v>
      </c>
      <c r="G4205" s="5">
        <v>450</v>
      </c>
      <c r="H4205" s="5">
        <v>700</v>
      </c>
      <c r="I4205" s="8">
        <f>Tabela1[[#This Row],[Valor total]]-Tabela1[[#This Row],[Valor custo]]</f>
        <v>250</v>
      </c>
      <c r="J4205" s="18">
        <f>Tabela1[[#This Row],[MARGEM BRUTA]]/Tabela1[[#This Row],[Valor total]]</f>
        <v>0.35714285714285715</v>
      </c>
      <c r="K4205" s="17" t="str">
        <f>VLOOKUP(Tabela1[[#This Row],[Cliente]],'BASE DE CLIENTES'!A:D,4,0)</f>
        <v>EMPRESA SEM MAQUINA</v>
      </c>
      <c r="L4205" s="17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7" t="str">
        <f>VLOOKUP(Tabela1[[#This Row],[Cliente]],'BASE DE CLIENTES'!A:E,2,0)</f>
        <v>Águas Lindas de Goiás</v>
      </c>
      <c r="D4206" s="17" t="str">
        <f>VLOOKUP(Tabela1[[#This Row],[Cliente]],'BASE DE CLIENTES'!A:C,3,0)</f>
        <v>GO</v>
      </c>
      <c r="E4206" s="17" t="str">
        <f>CONCATENATE(Tabela1[[#This Row],[CIDADE]],",",Tabela1[[#This Row],[UF]])</f>
        <v>Águas Lindas de Goiás,GO</v>
      </c>
      <c r="F4206" s="15">
        <v>46065</v>
      </c>
      <c r="G4206" s="5">
        <v>290</v>
      </c>
      <c r="H4206" s="5">
        <v>550</v>
      </c>
      <c r="I4206" s="8">
        <f>Tabela1[[#This Row],[Valor total]]-Tabela1[[#This Row],[Valor custo]]</f>
        <v>260</v>
      </c>
      <c r="J4206" s="18">
        <f>Tabela1[[#This Row],[MARGEM BRUTA]]/Tabela1[[#This Row],[Valor total]]</f>
        <v>0.47272727272727272</v>
      </c>
      <c r="K4206" s="17" t="str">
        <f>VLOOKUP(Tabela1[[#This Row],[Cliente]],'BASE DE CLIENTES'!A:D,4,0)</f>
        <v>SERRALHEIRO</v>
      </c>
      <c r="L4206" s="17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7" t="str">
        <f>VLOOKUP(Tabela1[[#This Row],[Cliente]],'BASE DE CLIENTES'!A:E,2,0)</f>
        <v>Brasília</v>
      </c>
      <c r="D4207" s="17" t="str">
        <f>VLOOKUP(Tabela1[[#This Row],[Cliente]],'BASE DE CLIENTES'!A:C,3,0)</f>
        <v>DF</v>
      </c>
      <c r="E4207" s="17" t="str">
        <f>CONCATENATE(Tabela1[[#This Row],[CIDADE]],",",Tabela1[[#This Row],[UF]])</f>
        <v>Brasília,DF</v>
      </c>
      <c r="F4207" s="15">
        <v>46065</v>
      </c>
      <c r="G4207" s="5">
        <v>2771</v>
      </c>
      <c r="H4207" s="5">
        <v>4170</v>
      </c>
      <c r="I4207" s="8">
        <f>Tabela1[[#This Row],[Valor total]]-Tabela1[[#This Row],[Valor custo]]</f>
        <v>1399</v>
      </c>
      <c r="J4207" s="18">
        <f>Tabela1[[#This Row],[MARGEM BRUTA]]/Tabela1[[#This Row],[Valor total]]</f>
        <v>0.3354916067146283</v>
      </c>
      <c r="K4207" s="17" t="str">
        <f>VLOOKUP(Tabela1[[#This Row],[Cliente]],'BASE DE CLIENTES'!A:D,4,0)</f>
        <v>EMPRESA SEM MAQUINA</v>
      </c>
      <c r="L4207" s="17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7" t="str">
        <f>VLOOKUP(Tabela1[[#This Row],[Cliente]],'BASE DE CLIENTES'!A:E,2,0)</f>
        <v>Brasília</v>
      </c>
      <c r="D4208" s="17" t="str">
        <f>VLOOKUP(Tabela1[[#This Row],[Cliente]],'BASE DE CLIENTES'!A:C,3,0)</f>
        <v>DF</v>
      </c>
      <c r="E4208" s="17" t="str">
        <f>CONCATENATE(Tabela1[[#This Row],[CIDADE]],",",Tabela1[[#This Row],[UF]])</f>
        <v>Brasília,DF</v>
      </c>
      <c r="F4208" s="15">
        <v>46064</v>
      </c>
      <c r="G4208" s="5">
        <v>1783.06</v>
      </c>
      <c r="H4208" s="5">
        <v>2830</v>
      </c>
      <c r="I4208" s="8">
        <f>Tabela1[[#This Row],[Valor total]]-Tabela1[[#This Row],[Valor custo]]</f>
        <v>1046.94</v>
      </c>
      <c r="J4208" s="18">
        <f>Tabela1[[#This Row],[MARGEM BRUTA]]/Tabela1[[#This Row],[Valor total]]</f>
        <v>0.3699434628975265</v>
      </c>
      <c r="K4208" s="17" t="str">
        <f>VLOOKUP(Tabela1[[#This Row],[Cliente]],'BASE DE CLIENTES'!A:D,4,0)</f>
        <v>EMPRESA COM MAQUINA</v>
      </c>
      <c r="L4208" s="17" t="str">
        <f>VLOOKUP(Tabela1[[#This Row],[Cliente]],'BASE DE CLIENTES'!A:E,5,0)</f>
        <v>RIACHO FUNDO I</v>
      </c>
    </row>
    <row r="4209" spans="2:12" x14ac:dyDescent="0.3">
      <c r="B4209" t="s">
        <v>19</v>
      </c>
      <c r="C4209" s="17" t="str">
        <f>VLOOKUP(Tabela1[[#This Row],[Cliente]],'BASE DE CLIENTES'!A:E,2,0)</f>
        <v>Águas Lindas de Goiás</v>
      </c>
      <c r="D4209" s="17" t="str">
        <f>VLOOKUP(Tabela1[[#This Row],[Cliente]],'BASE DE CLIENTES'!A:C,3,0)</f>
        <v>GO</v>
      </c>
      <c r="E4209" s="17" t="str">
        <f>CONCATENATE(Tabela1[[#This Row],[CIDADE]],",",Tabela1[[#This Row],[UF]])</f>
        <v>Águas Lindas de Goiás,GO</v>
      </c>
      <c r="F4209" s="15">
        <v>46064</v>
      </c>
      <c r="G4209" s="5">
        <v>1320</v>
      </c>
      <c r="H4209" s="5">
        <v>2100</v>
      </c>
      <c r="I4209" s="8">
        <f>Tabela1[[#This Row],[Valor total]]-Tabela1[[#This Row],[Valor custo]]</f>
        <v>780</v>
      </c>
      <c r="J4209" s="18">
        <f>Tabela1[[#This Row],[MARGEM BRUTA]]/Tabela1[[#This Row],[Valor total]]</f>
        <v>0.37142857142857144</v>
      </c>
      <c r="K4209" s="17" t="str">
        <f>VLOOKUP(Tabela1[[#This Row],[Cliente]],'BASE DE CLIENTES'!A:D,4,0)</f>
        <v>SERRALHEIRO</v>
      </c>
      <c r="L4209" s="17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7" t="str">
        <f>VLOOKUP(Tabela1[[#This Row],[Cliente]],'BASE DE CLIENTES'!A:E,2,0)</f>
        <v>Águas Lindas de Goiás</v>
      </c>
      <c r="D4210" s="17" t="str">
        <f>VLOOKUP(Tabela1[[#This Row],[Cliente]],'BASE DE CLIENTES'!A:C,3,0)</f>
        <v>GO</v>
      </c>
      <c r="E4210" s="17" t="str">
        <f>CONCATENATE(Tabela1[[#This Row],[CIDADE]],",",Tabela1[[#This Row],[UF]])</f>
        <v>Águas Lindas de Goiás,GO</v>
      </c>
      <c r="F4210" s="15">
        <v>46064</v>
      </c>
      <c r="G4210" s="5">
        <v>362</v>
      </c>
      <c r="H4210" s="5">
        <v>615</v>
      </c>
      <c r="I4210" s="8">
        <f>Tabela1[[#This Row],[Valor total]]-Tabela1[[#This Row],[Valor custo]]</f>
        <v>253</v>
      </c>
      <c r="J4210" s="18">
        <f>Tabela1[[#This Row],[MARGEM BRUTA]]/Tabela1[[#This Row],[Valor total]]</f>
        <v>0.41138211382113821</v>
      </c>
      <c r="K4210" s="17" t="str">
        <f>VLOOKUP(Tabela1[[#This Row],[Cliente]],'BASE DE CLIENTES'!A:D,4,0)</f>
        <v>EMPRESA SEM MAQUINA</v>
      </c>
      <c r="L4210" s="17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7" t="str">
        <f>VLOOKUP(Tabela1[[#This Row],[Cliente]],'BASE DE CLIENTES'!A:E,2,0)</f>
        <v>Brasília</v>
      </c>
      <c r="D4211" s="17" t="str">
        <f>VLOOKUP(Tabela1[[#This Row],[Cliente]],'BASE DE CLIENTES'!A:C,3,0)</f>
        <v>DF</v>
      </c>
      <c r="E4211" s="17" t="str">
        <f>CONCATENATE(Tabela1[[#This Row],[CIDADE]],",",Tabela1[[#This Row],[UF]])</f>
        <v>Brasília,DF</v>
      </c>
      <c r="F4211" s="15">
        <v>46064</v>
      </c>
      <c r="G4211" s="5">
        <v>724</v>
      </c>
      <c r="H4211" s="5">
        <v>1193.0999999999999</v>
      </c>
      <c r="I4211" s="8">
        <f>Tabela1[[#This Row],[Valor total]]-Tabela1[[#This Row],[Valor custo]]</f>
        <v>469.09999999999991</v>
      </c>
      <c r="J4211" s="18">
        <f>Tabela1[[#This Row],[MARGEM BRUTA]]/Tabela1[[#This Row],[Valor total]]</f>
        <v>0.39317743692900842</v>
      </c>
      <c r="K4211" s="17" t="str">
        <f>VLOOKUP(Tabela1[[#This Row],[Cliente]],'BASE DE CLIENTES'!A:D,4,0)</f>
        <v>EMPRESA SEM MAQUINA</v>
      </c>
      <c r="L4211" s="17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7" t="str">
        <f>VLOOKUP(Tabela1[[#This Row],[Cliente]],'BASE DE CLIENTES'!A:E,2,0)</f>
        <v>Valparaíso de Goiás</v>
      </c>
      <c r="D4212" s="17" t="str">
        <f>VLOOKUP(Tabela1[[#This Row],[Cliente]],'BASE DE CLIENTES'!A:C,3,0)</f>
        <v>GO</v>
      </c>
      <c r="E4212" s="17" t="str">
        <f>CONCATENATE(Tabela1[[#This Row],[CIDADE]],",",Tabela1[[#This Row],[UF]])</f>
        <v>Valparaíso de Goiás,GO</v>
      </c>
      <c r="F4212" s="15">
        <v>46064</v>
      </c>
      <c r="G4212" s="5">
        <v>168.84</v>
      </c>
      <c r="H4212" s="5">
        <v>330</v>
      </c>
      <c r="I4212" s="8">
        <f>Tabela1[[#This Row],[Valor total]]-Tabela1[[#This Row],[Valor custo]]</f>
        <v>161.16</v>
      </c>
      <c r="J4212" s="18">
        <f>Tabela1[[#This Row],[MARGEM BRUTA]]/Tabela1[[#This Row],[Valor total]]</f>
        <v>0.48836363636363633</v>
      </c>
      <c r="K4212" s="17" t="str">
        <f>VLOOKUP(Tabela1[[#This Row],[Cliente]],'BASE DE CLIENTES'!A:D,4,0)</f>
        <v>SERRALHEIRO</v>
      </c>
      <c r="L4212" s="17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7" t="str">
        <f>VLOOKUP(Tabela1[[#This Row],[Cliente]],'BASE DE CLIENTES'!A:E,2,0)</f>
        <v>Brasília</v>
      </c>
      <c r="D4213" s="17" t="str">
        <f>VLOOKUP(Tabela1[[#This Row],[Cliente]],'BASE DE CLIENTES'!A:C,3,0)</f>
        <v>DF</v>
      </c>
      <c r="E4213" s="17" t="str">
        <f>CONCATENATE(Tabela1[[#This Row],[CIDADE]],",",Tabela1[[#This Row],[UF]])</f>
        <v>Brasília,DF</v>
      </c>
      <c r="F4213" s="15">
        <v>46064</v>
      </c>
      <c r="G4213" s="5">
        <v>37.549999999999997</v>
      </c>
      <c r="H4213" s="5">
        <v>150</v>
      </c>
      <c r="I4213" s="8">
        <f>Tabela1[[#This Row],[Valor total]]-Tabela1[[#This Row],[Valor custo]]</f>
        <v>112.45</v>
      </c>
      <c r="J4213" s="18">
        <f>Tabela1[[#This Row],[MARGEM BRUTA]]/Tabela1[[#This Row],[Valor total]]</f>
        <v>0.7496666666666667</v>
      </c>
      <c r="K4213" s="17" t="str">
        <f>VLOOKUP(Tabela1[[#This Row],[Cliente]],'BASE DE CLIENTES'!A:D,4,0)</f>
        <v>EMPRESA COM MAQUINA</v>
      </c>
      <c r="L4213" s="17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7" t="str">
        <f>VLOOKUP(Tabela1[[#This Row],[Cliente]],'BASE DE CLIENTES'!A:E,2,0)</f>
        <v>Brasília</v>
      </c>
      <c r="D4214" s="17" t="str">
        <f>VLOOKUP(Tabela1[[#This Row],[Cliente]],'BASE DE CLIENTES'!A:C,3,0)</f>
        <v>DF</v>
      </c>
      <c r="E4214" s="17" t="str">
        <f>CONCATENATE(Tabela1[[#This Row],[CIDADE]],",",Tabela1[[#This Row],[UF]])</f>
        <v>Brasília,DF</v>
      </c>
      <c r="F4214" s="15">
        <v>46064</v>
      </c>
      <c r="G4214" s="5">
        <v>306.24</v>
      </c>
      <c r="H4214" s="5">
        <v>574</v>
      </c>
      <c r="I4214" s="8">
        <f>Tabela1[[#This Row],[Valor total]]-Tabela1[[#This Row],[Valor custo]]</f>
        <v>267.76</v>
      </c>
      <c r="J4214" s="18">
        <f>Tabela1[[#This Row],[MARGEM BRUTA]]/Tabela1[[#This Row],[Valor total]]</f>
        <v>0.46648083623693376</v>
      </c>
      <c r="K4214" s="17" t="str">
        <f>VLOOKUP(Tabela1[[#This Row],[Cliente]],'BASE DE CLIENTES'!A:D,4,0)</f>
        <v>CLIENTE NOVO S/ IDENT.</v>
      </c>
      <c r="L4214" s="17" t="str">
        <f>VLOOKUP(Tabela1[[#This Row],[Cliente]],'BASE DE CLIENTES'!A:E,5,0)</f>
        <v>Brasília</v>
      </c>
    </row>
    <row r="4215" spans="2:12" x14ac:dyDescent="0.3">
      <c r="B4215" t="s">
        <v>221</v>
      </c>
      <c r="C4215" s="17" t="str">
        <f>VLOOKUP(Tabela1[[#This Row],[Cliente]],'BASE DE CLIENTES'!A:E,2,0)</f>
        <v>Goiânia</v>
      </c>
      <c r="D4215" s="17" t="str">
        <f>VLOOKUP(Tabela1[[#This Row],[Cliente]],'BASE DE CLIENTES'!A:C,3,0)</f>
        <v>GO</v>
      </c>
      <c r="E4215" s="17" t="str">
        <f>CONCATENATE(Tabela1[[#This Row],[CIDADE]],",",Tabela1[[#This Row],[UF]])</f>
        <v>Goiânia,GO</v>
      </c>
      <c r="F4215" s="15">
        <v>46064</v>
      </c>
      <c r="G4215" s="5">
        <v>450.3</v>
      </c>
      <c r="H4215" s="5">
        <v>800</v>
      </c>
      <c r="I4215" s="8">
        <f>Tabela1[[#This Row],[Valor total]]-Tabela1[[#This Row],[Valor custo]]</f>
        <v>349.7</v>
      </c>
      <c r="J4215" s="18">
        <f>Tabela1[[#This Row],[MARGEM BRUTA]]/Tabela1[[#This Row],[Valor total]]</f>
        <v>0.43712499999999999</v>
      </c>
      <c r="K4215" s="17" t="str">
        <f>VLOOKUP(Tabela1[[#This Row],[Cliente]],'BASE DE CLIENTES'!A:D,4,0)</f>
        <v>EMPRESA COM MAQUINA</v>
      </c>
      <c r="L4215" s="17" t="str">
        <f>VLOOKUP(Tabela1[[#This Row],[Cliente]],'BASE DE CLIENTES'!A:E,5,0)</f>
        <v>Goiânia</v>
      </c>
    </row>
    <row r="4216" spans="2:12" x14ac:dyDescent="0.3">
      <c r="B4216" t="s">
        <v>66</v>
      </c>
      <c r="C4216" s="17" t="str">
        <f>VLOOKUP(Tabela1[[#This Row],[Cliente]],'BASE DE CLIENTES'!A:E,2,0)</f>
        <v>Águas Lindas de Goiás</v>
      </c>
      <c r="D4216" s="17" t="str">
        <f>VLOOKUP(Tabela1[[#This Row],[Cliente]],'BASE DE CLIENTES'!A:C,3,0)</f>
        <v>GO</v>
      </c>
      <c r="E4216" s="17" t="str">
        <f>CONCATENATE(Tabela1[[#This Row],[CIDADE]],",",Tabela1[[#This Row],[UF]])</f>
        <v>Águas Lindas de Goiás,GO</v>
      </c>
      <c r="F4216" s="15">
        <v>46064</v>
      </c>
      <c r="G4216" s="5">
        <v>362</v>
      </c>
      <c r="H4216" s="5">
        <v>620</v>
      </c>
      <c r="I4216" s="8">
        <f>Tabela1[[#This Row],[Valor total]]-Tabela1[[#This Row],[Valor custo]]</f>
        <v>258</v>
      </c>
      <c r="J4216" s="18">
        <f>Tabela1[[#This Row],[MARGEM BRUTA]]/Tabela1[[#This Row],[Valor total]]</f>
        <v>0.41612903225806452</v>
      </c>
      <c r="K4216" s="17" t="str">
        <f>VLOOKUP(Tabela1[[#This Row],[Cliente]],'BASE DE CLIENTES'!A:D,4,0)</f>
        <v>EMPRESA COM MAQUINA</v>
      </c>
      <c r="L4216" s="17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7" t="str">
        <f>VLOOKUP(Tabela1[[#This Row],[Cliente]],'BASE DE CLIENTES'!A:E,2,0)</f>
        <v>Brasília</v>
      </c>
      <c r="D4217" s="17" t="str">
        <f>VLOOKUP(Tabela1[[#This Row],[Cliente]],'BASE DE CLIENTES'!A:C,3,0)</f>
        <v>DF</v>
      </c>
      <c r="E4217" s="17" t="str">
        <f>CONCATENATE(Tabela1[[#This Row],[CIDADE]],",",Tabela1[[#This Row],[UF]])</f>
        <v>Brasília,DF</v>
      </c>
      <c r="F4217" s="15">
        <v>46064</v>
      </c>
      <c r="G4217" s="5">
        <v>530</v>
      </c>
      <c r="H4217" s="5">
        <v>890</v>
      </c>
      <c r="I4217" s="8">
        <f>Tabela1[[#This Row],[Valor total]]-Tabela1[[#This Row],[Valor custo]]</f>
        <v>360</v>
      </c>
      <c r="J4217" s="18">
        <f>Tabela1[[#This Row],[MARGEM BRUTA]]/Tabela1[[#This Row],[Valor total]]</f>
        <v>0.4044943820224719</v>
      </c>
      <c r="K4217" s="17" t="str">
        <f>VLOOKUP(Tabela1[[#This Row],[Cliente]],'BASE DE CLIENTES'!A:D,4,0)</f>
        <v>SERRALHEIRO</v>
      </c>
      <c r="L4217" s="17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7" t="str">
        <f>VLOOKUP(Tabela1[[#This Row],[Cliente]],'BASE DE CLIENTES'!A:E,2,0)</f>
        <v>Brasília</v>
      </c>
      <c r="D4218" s="17" t="str">
        <f>VLOOKUP(Tabela1[[#This Row],[Cliente]],'BASE DE CLIENTES'!A:C,3,0)</f>
        <v>DF</v>
      </c>
      <c r="E4218" s="17" t="str">
        <f>CONCATENATE(Tabela1[[#This Row],[CIDADE]],",",Tabela1[[#This Row],[UF]])</f>
        <v>Brasília,DF</v>
      </c>
      <c r="F4218" s="15">
        <v>46064</v>
      </c>
      <c r="G4218" s="5">
        <v>419</v>
      </c>
      <c r="H4218" s="5">
        <v>655</v>
      </c>
      <c r="I4218" s="8">
        <f>Tabela1[[#This Row],[Valor total]]-Tabela1[[#This Row],[Valor custo]]</f>
        <v>236</v>
      </c>
      <c r="J4218" s="18">
        <f>Tabela1[[#This Row],[MARGEM BRUTA]]/Tabela1[[#This Row],[Valor total]]</f>
        <v>0.36030534351145038</v>
      </c>
      <c r="K4218" s="17" t="str">
        <f>VLOOKUP(Tabela1[[#This Row],[Cliente]],'BASE DE CLIENTES'!A:D,4,0)</f>
        <v>EMPRESA COM MAQUINA</v>
      </c>
      <c r="L4218" s="17" t="str">
        <f>VLOOKUP(Tabela1[[#This Row],[Cliente]],'BASE DE CLIENTES'!A:E,5,0)</f>
        <v>26 DE SETEMBRO</v>
      </c>
    </row>
    <row r="4219" spans="2:12" x14ac:dyDescent="0.3">
      <c r="B4219" t="s">
        <v>76</v>
      </c>
      <c r="C4219" s="17" t="str">
        <f>VLOOKUP(Tabela1[[#This Row],[Cliente]],'BASE DE CLIENTES'!A:E,2,0)</f>
        <v>Brasília</v>
      </c>
      <c r="D4219" s="17" t="str">
        <f>VLOOKUP(Tabela1[[#This Row],[Cliente]],'BASE DE CLIENTES'!A:C,3,0)</f>
        <v>DF</v>
      </c>
      <c r="E4219" s="17" t="str">
        <f>CONCATENATE(Tabela1[[#This Row],[CIDADE]],",",Tabela1[[#This Row],[UF]])</f>
        <v>Brasília,DF</v>
      </c>
      <c r="F4219" s="15">
        <v>46064</v>
      </c>
      <c r="G4219" s="5">
        <v>15315</v>
      </c>
      <c r="H4219" s="5">
        <v>23140</v>
      </c>
      <c r="I4219" s="8">
        <f>Tabela1[[#This Row],[Valor total]]-Tabela1[[#This Row],[Valor custo]]</f>
        <v>7825</v>
      </c>
      <c r="J4219" s="18">
        <f>Tabela1[[#This Row],[MARGEM BRUTA]]/Tabela1[[#This Row],[Valor total]]</f>
        <v>0.33815903197925667</v>
      </c>
      <c r="K4219" s="17" t="str">
        <f>VLOOKUP(Tabela1[[#This Row],[Cliente]],'BASE DE CLIENTES'!A:D,4,0)</f>
        <v>EMPRESA COM MAQUINA</v>
      </c>
      <c r="L4219" s="17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7" t="str">
        <f>VLOOKUP(Tabela1[[#This Row],[Cliente]],'BASE DE CLIENTES'!A:E,2,0)</f>
        <v>Brasília</v>
      </c>
      <c r="D4220" s="17" t="str">
        <f>VLOOKUP(Tabela1[[#This Row],[Cliente]],'BASE DE CLIENTES'!A:C,3,0)</f>
        <v>DF</v>
      </c>
      <c r="E4220" s="17" t="str">
        <f>CONCATENATE(Tabela1[[#This Row],[CIDADE]],",",Tabela1[[#This Row],[UF]])</f>
        <v>Brasília,DF</v>
      </c>
      <c r="F4220" s="15">
        <v>46064</v>
      </c>
      <c r="G4220" s="5">
        <v>724</v>
      </c>
      <c r="H4220" s="5">
        <v>1230</v>
      </c>
      <c r="I4220" s="8">
        <f>Tabela1[[#This Row],[Valor total]]-Tabela1[[#This Row],[Valor custo]]</f>
        <v>506</v>
      </c>
      <c r="J4220" s="18">
        <f>Tabela1[[#This Row],[MARGEM BRUTA]]/Tabela1[[#This Row],[Valor total]]</f>
        <v>0.41138211382113821</v>
      </c>
      <c r="K4220" s="17" t="str">
        <f>VLOOKUP(Tabela1[[#This Row],[Cliente]],'BASE DE CLIENTES'!A:D,4,0)</f>
        <v>EMPRESA SEM MAQUINA</v>
      </c>
      <c r="L4220" s="17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7" t="str">
        <f>VLOOKUP(Tabela1[[#This Row],[Cliente]],'BASE DE CLIENTES'!A:E,2,0)</f>
        <v>Brasília</v>
      </c>
      <c r="D4221" s="17" t="str">
        <f>VLOOKUP(Tabela1[[#This Row],[Cliente]],'BASE DE CLIENTES'!A:C,3,0)</f>
        <v>DF</v>
      </c>
      <c r="E4221" s="17" t="str">
        <f>CONCATENATE(Tabela1[[#This Row],[CIDADE]],",",Tabela1[[#This Row],[UF]])</f>
        <v>Brasília,DF</v>
      </c>
      <c r="F4221" s="15">
        <v>46064</v>
      </c>
      <c r="G4221" s="5">
        <v>1500</v>
      </c>
      <c r="H4221" s="5">
        <v>1860</v>
      </c>
      <c r="I4221" s="8">
        <f>Tabela1[[#This Row],[Valor total]]-Tabela1[[#This Row],[Valor custo]]</f>
        <v>360</v>
      </c>
      <c r="J4221" s="18">
        <f>Tabela1[[#This Row],[MARGEM BRUTA]]/Tabela1[[#This Row],[Valor total]]</f>
        <v>0.19354838709677419</v>
      </c>
      <c r="K4221" s="17" t="str">
        <f>VLOOKUP(Tabela1[[#This Row],[Cliente]],'BASE DE CLIENTES'!A:D,4,0)</f>
        <v>EMPRESA COM MAQUINA</v>
      </c>
      <c r="L4221" s="17" t="str">
        <f>VLOOKUP(Tabela1[[#This Row],[Cliente]],'BASE DE CLIENTES'!A:E,5,0)</f>
        <v>RIACHO FUNDO II</v>
      </c>
    </row>
    <row r="4222" spans="2:12" x14ac:dyDescent="0.3">
      <c r="B4222" t="s">
        <v>308</v>
      </c>
      <c r="C4222" s="17" t="str">
        <f>VLOOKUP(Tabela1[[#This Row],[Cliente]],'BASE DE CLIENTES'!A:E,2,0)</f>
        <v>Uberaba</v>
      </c>
      <c r="D4222" s="17" t="str">
        <f>VLOOKUP(Tabela1[[#This Row],[Cliente]],'BASE DE CLIENTES'!A:C,3,0)</f>
        <v>MG</v>
      </c>
      <c r="E4222" s="17" t="str">
        <f>CONCATENATE(Tabela1[[#This Row],[CIDADE]],",",Tabela1[[#This Row],[UF]])</f>
        <v>Uberaba,MG</v>
      </c>
      <c r="F4222" s="15">
        <v>46064</v>
      </c>
      <c r="G4222" s="5">
        <v>19016.77</v>
      </c>
      <c r="H4222" s="5">
        <v>30361</v>
      </c>
      <c r="I4222" s="8">
        <f>Tabela1[[#This Row],[Valor total]]-Tabela1[[#This Row],[Valor custo]]</f>
        <v>11344.23</v>
      </c>
      <c r="J4222" s="18">
        <f>Tabela1[[#This Row],[MARGEM BRUTA]]/Tabela1[[#This Row],[Valor total]]</f>
        <v>0.37364480748328444</v>
      </c>
      <c r="K4222" s="17" t="str">
        <f>VLOOKUP(Tabela1[[#This Row],[Cliente]],'BASE DE CLIENTES'!A:D,4,0)</f>
        <v>EMPRESA COM MAQUINA</v>
      </c>
      <c r="L4222" s="17" t="str">
        <f>VLOOKUP(Tabela1[[#This Row],[Cliente]],'BASE DE CLIENTES'!A:E,5,0)</f>
        <v>Uberaba</v>
      </c>
    </row>
    <row r="4223" spans="2:12" x14ac:dyDescent="0.3">
      <c r="B4223" t="s">
        <v>174</v>
      </c>
      <c r="C4223" s="17" t="str">
        <f>VLOOKUP(Tabela1[[#This Row],[Cliente]],'BASE DE CLIENTES'!A:E,2,0)</f>
        <v>Araguari</v>
      </c>
      <c r="D4223" s="17" t="str">
        <f>VLOOKUP(Tabela1[[#This Row],[Cliente]],'BASE DE CLIENTES'!A:C,3,0)</f>
        <v>MG</v>
      </c>
      <c r="E4223" s="17" t="str">
        <f>CONCATENATE(Tabela1[[#This Row],[CIDADE]],",",Tabela1[[#This Row],[UF]])</f>
        <v>Araguari,MG</v>
      </c>
      <c r="F4223" s="15">
        <v>46064</v>
      </c>
      <c r="G4223" s="5">
        <v>1956.8</v>
      </c>
      <c r="H4223" s="5">
        <v>2538</v>
      </c>
      <c r="I4223" s="8">
        <f>Tabela1[[#This Row],[Valor total]]-Tabela1[[#This Row],[Valor custo]]</f>
        <v>581.20000000000005</v>
      </c>
      <c r="J4223" s="18">
        <f>Tabela1[[#This Row],[MARGEM BRUTA]]/Tabela1[[#This Row],[Valor total]]</f>
        <v>0.22899921197793541</v>
      </c>
      <c r="K4223" s="17" t="str">
        <f>VLOOKUP(Tabela1[[#This Row],[Cliente]],'BASE DE CLIENTES'!A:D,4,0)</f>
        <v>EMPRESA COM MAQUINA</v>
      </c>
      <c r="L4223" s="17" t="str">
        <f>VLOOKUP(Tabela1[[#This Row],[Cliente]],'BASE DE CLIENTES'!A:E,5,0)</f>
        <v>Araguari</v>
      </c>
    </row>
    <row r="4224" spans="2:12" x14ac:dyDescent="0.3">
      <c r="B4224" t="s">
        <v>197</v>
      </c>
      <c r="C4224" s="17" t="str">
        <f>VLOOKUP(Tabela1[[#This Row],[Cliente]],'BASE DE CLIENTES'!A:E,2,0)</f>
        <v>Goiânia</v>
      </c>
      <c r="D4224" s="17" t="str">
        <f>VLOOKUP(Tabela1[[#This Row],[Cliente]],'BASE DE CLIENTES'!A:C,3,0)</f>
        <v>GO</v>
      </c>
      <c r="E4224" s="17" t="str">
        <f>CONCATENATE(Tabela1[[#This Row],[CIDADE]],",",Tabela1[[#This Row],[UF]])</f>
        <v>Goiânia,GO</v>
      </c>
      <c r="F4224" s="15">
        <v>46064</v>
      </c>
      <c r="G4224" s="5">
        <v>3864</v>
      </c>
      <c r="H4224" s="5">
        <v>6150</v>
      </c>
      <c r="I4224" s="8">
        <f>Tabela1[[#This Row],[Valor total]]-Tabela1[[#This Row],[Valor custo]]</f>
        <v>2286</v>
      </c>
      <c r="J4224" s="18">
        <f>Tabela1[[#This Row],[MARGEM BRUTA]]/Tabela1[[#This Row],[Valor total]]</f>
        <v>0.37170731707317073</v>
      </c>
      <c r="K4224" s="17" t="str">
        <f>VLOOKUP(Tabela1[[#This Row],[Cliente]],'BASE DE CLIENTES'!A:D,4,0)</f>
        <v>EMPRESA COM MAQUINA</v>
      </c>
      <c r="L4224" s="17" t="str">
        <f>VLOOKUP(Tabela1[[#This Row],[Cliente]],'BASE DE CLIENTES'!A:E,5,0)</f>
        <v>Goiânia</v>
      </c>
    </row>
    <row r="4225" spans="2:12" x14ac:dyDescent="0.3">
      <c r="B4225" t="s">
        <v>59</v>
      </c>
      <c r="C4225" s="17" t="str">
        <f>VLOOKUP(Tabela1[[#This Row],[Cliente]],'BASE DE CLIENTES'!A:E,2,0)</f>
        <v>Brasília</v>
      </c>
      <c r="D4225" s="17" t="str">
        <f>VLOOKUP(Tabela1[[#This Row],[Cliente]],'BASE DE CLIENTES'!A:C,3,0)</f>
        <v>DF</v>
      </c>
      <c r="E4225" s="17" t="str">
        <f>CONCATENATE(Tabela1[[#This Row],[CIDADE]],",",Tabela1[[#This Row],[UF]])</f>
        <v>Brasília,DF</v>
      </c>
      <c r="F4225" s="15">
        <v>46064</v>
      </c>
      <c r="G4225" s="5">
        <v>22.5</v>
      </c>
      <c r="H4225" s="5">
        <v>240</v>
      </c>
      <c r="I4225" s="8">
        <f>Tabela1[[#This Row],[Valor total]]-Tabela1[[#This Row],[Valor custo]]</f>
        <v>217.5</v>
      </c>
      <c r="J4225" s="18">
        <f>Tabela1[[#This Row],[MARGEM BRUTA]]/Tabela1[[#This Row],[Valor total]]</f>
        <v>0.90625</v>
      </c>
      <c r="K4225" s="17" t="str">
        <f>VLOOKUP(Tabela1[[#This Row],[Cliente]],'BASE DE CLIENTES'!A:D,4,0)</f>
        <v>EMPRESA COM MAQUINA</v>
      </c>
      <c r="L4225" s="17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7" t="str">
        <f>VLOOKUP(Tabela1[[#This Row],[Cliente]],'BASE DE CLIENTES'!A:E,2,0)</f>
        <v>Goiânia</v>
      </c>
      <c r="D4226" s="17" t="str">
        <f>VLOOKUP(Tabela1[[#This Row],[Cliente]],'BASE DE CLIENTES'!A:C,3,0)</f>
        <v>GO</v>
      </c>
      <c r="E4226" s="17" t="str">
        <f>CONCATENATE(Tabela1[[#This Row],[CIDADE]],",",Tabela1[[#This Row],[UF]])</f>
        <v>Goiânia,GO</v>
      </c>
      <c r="F4226" s="15">
        <v>46063</v>
      </c>
      <c r="G4226" s="5">
        <v>683.69</v>
      </c>
      <c r="H4226" s="5">
        <v>1105</v>
      </c>
      <c r="I4226" s="8">
        <f>Tabela1[[#This Row],[Valor total]]-Tabela1[[#This Row],[Valor custo]]</f>
        <v>421.30999999999995</v>
      </c>
      <c r="J4226" s="18">
        <f>Tabela1[[#This Row],[MARGEM BRUTA]]/Tabela1[[#This Row],[Valor total]]</f>
        <v>0.38127601809954748</v>
      </c>
      <c r="K4226" s="17" t="str">
        <f>VLOOKUP(Tabela1[[#This Row],[Cliente]],'BASE DE CLIENTES'!A:D,4,0)</f>
        <v>EMPRESA COM MAQUINA</v>
      </c>
      <c r="L4226" s="17" t="str">
        <f>VLOOKUP(Tabela1[[#This Row],[Cliente]],'BASE DE CLIENTES'!A:E,5,0)</f>
        <v>Goiânia</v>
      </c>
    </row>
    <row r="4227" spans="2:12" x14ac:dyDescent="0.3">
      <c r="B4227" t="s">
        <v>20</v>
      </c>
      <c r="C4227" s="17" t="str">
        <f>VLOOKUP(Tabela1[[#This Row],[Cliente]],'BASE DE CLIENTES'!A:E,2,0)</f>
        <v>Brasília</v>
      </c>
      <c r="D4227" s="17" t="str">
        <f>VLOOKUP(Tabela1[[#This Row],[Cliente]],'BASE DE CLIENTES'!A:C,3,0)</f>
        <v>DF</v>
      </c>
      <c r="E4227" s="17" t="str">
        <f>CONCATENATE(Tabela1[[#This Row],[CIDADE]],",",Tabela1[[#This Row],[UF]])</f>
        <v>Brasília,DF</v>
      </c>
      <c r="F4227" s="15">
        <v>46063</v>
      </c>
      <c r="G4227" s="5">
        <v>191</v>
      </c>
      <c r="H4227" s="5">
        <v>650</v>
      </c>
      <c r="I4227" s="8">
        <f>Tabela1[[#This Row],[Valor total]]-Tabela1[[#This Row],[Valor custo]]</f>
        <v>459</v>
      </c>
      <c r="J4227" s="18">
        <f>Tabela1[[#This Row],[MARGEM BRUTA]]/Tabela1[[#This Row],[Valor total]]</f>
        <v>0.70615384615384613</v>
      </c>
      <c r="K4227" s="17" t="str">
        <f>VLOOKUP(Tabela1[[#This Row],[Cliente]],'BASE DE CLIENTES'!A:D,4,0)</f>
        <v>CHAVEIRO</v>
      </c>
      <c r="L4227" s="17" t="str">
        <f>VLOOKUP(Tabela1[[#This Row],[Cliente]],'BASE DE CLIENTES'!A:E,5,0)</f>
        <v>NA</v>
      </c>
    </row>
    <row r="4228" spans="2:12" x14ac:dyDescent="0.3">
      <c r="B4228" t="s">
        <v>120</v>
      </c>
      <c r="C4228" s="17" t="str">
        <f>VLOOKUP(Tabela1[[#This Row],[Cliente]],'BASE DE CLIENTES'!A:E,2,0)</f>
        <v>Brasília</v>
      </c>
      <c r="D4228" s="17" t="str">
        <f>VLOOKUP(Tabela1[[#This Row],[Cliente]],'BASE DE CLIENTES'!A:C,3,0)</f>
        <v>DF</v>
      </c>
      <c r="E4228" s="17" t="str">
        <f>CONCATENATE(Tabela1[[#This Row],[CIDADE]],",",Tabela1[[#This Row],[UF]])</f>
        <v>Brasília,DF</v>
      </c>
      <c r="F4228" s="15">
        <v>46063</v>
      </c>
      <c r="G4228" s="5">
        <v>50</v>
      </c>
      <c r="H4228" s="5">
        <v>60</v>
      </c>
      <c r="I4228" s="8">
        <f>Tabela1[[#This Row],[Valor total]]-Tabela1[[#This Row],[Valor custo]]</f>
        <v>10</v>
      </c>
      <c r="J4228" s="18">
        <f>Tabela1[[#This Row],[MARGEM BRUTA]]/Tabela1[[#This Row],[Valor total]]</f>
        <v>0.16666666666666666</v>
      </c>
      <c r="K4228" s="17" t="str">
        <f>VLOOKUP(Tabela1[[#This Row],[Cliente]],'BASE DE CLIENTES'!A:D,4,0)</f>
        <v>EMPRESA SEM MAQUINA</v>
      </c>
      <c r="L4228" s="17" t="str">
        <f>VLOOKUP(Tabela1[[#This Row],[Cliente]],'BASE DE CLIENTES'!A:E,5,0)</f>
        <v>SAMAMBAIA</v>
      </c>
    </row>
    <row r="4229" spans="2:12" x14ac:dyDescent="0.3">
      <c r="B4229" t="s">
        <v>120</v>
      </c>
      <c r="C4229" s="17" t="str">
        <f>VLOOKUP(Tabela1[[#This Row],[Cliente]],'BASE DE CLIENTES'!A:E,2,0)</f>
        <v>Brasília</v>
      </c>
      <c r="D4229" s="17" t="str">
        <f>VLOOKUP(Tabela1[[#This Row],[Cliente]],'BASE DE CLIENTES'!A:C,3,0)</f>
        <v>DF</v>
      </c>
      <c r="E4229" s="17" t="str">
        <f>CONCATENATE(Tabela1[[#This Row],[CIDADE]],",",Tabela1[[#This Row],[UF]])</f>
        <v>Brasília,DF</v>
      </c>
      <c r="F4229" s="15">
        <v>46063</v>
      </c>
      <c r="G4229" s="5">
        <v>112.56</v>
      </c>
      <c r="H4229" s="5">
        <v>240</v>
      </c>
      <c r="I4229" s="8">
        <f>Tabela1[[#This Row],[Valor total]]-Tabela1[[#This Row],[Valor custo]]</f>
        <v>127.44</v>
      </c>
      <c r="J4229" s="18">
        <f>Tabela1[[#This Row],[MARGEM BRUTA]]/Tabela1[[#This Row],[Valor total]]</f>
        <v>0.53100000000000003</v>
      </c>
      <c r="K4229" s="17" t="str">
        <f>VLOOKUP(Tabela1[[#This Row],[Cliente]],'BASE DE CLIENTES'!A:D,4,0)</f>
        <v>EMPRESA SEM MAQUINA</v>
      </c>
      <c r="L4229" s="17" t="str">
        <f>VLOOKUP(Tabela1[[#This Row],[Cliente]],'BASE DE CLIENTES'!A:E,5,0)</f>
        <v>SAMAMBAIA</v>
      </c>
    </row>
    <row r="4230" spans="2:12" x14ac:dyDescent="0.3">
      <c r="B4230" t="s">
        <v>321</v>
      </c>
      <c r="C4230" s="17" t="str">
        <f>VLOOKUP(Tabela1[[#This Row],[Cliente]],'BASE DE CLIENTES'!A:E,2,0)</f>
        <v>Valparaíso de Goiás</v>
      </c>
      <c r="D4230" s="17" t="str">
        <f>VLOOKUP(Tabela1[[#This Row],[Cliente]],'BASE DE CLIENTES'!A:C,3,0)</f>
        <v>GO</v>
      </c>
      <c r="E4230" s="17" t="str">
        <f>CONCATENATE(Tabela1[[#This Row],[CIDADE]],",",Tabela1[[#This Row],[UF]])</f>
        <v>Valparaíso de Goiás,GO</v>
      </c>
      <c r="F4230" s="15">
        <v>46063</v>
      </c>
      <c r="G4230" s="5">
        <v>2312</v>
      </c>
      <c r="H4230" s="5">
        <v>3390</v>
      </c>
      <c r="I4230" s="8">
        <f>Tabela1[[#This Row],[Valor total]]-Tabela1[[#This Row],[Valor custo]]</f>
        <v>1078</v>
      </c>
      <c r="J4230" s="18">
        <f>Tabela1[[#This Row],[MARGEM BRUTA]]/Tabela1[[#This Row],[Valor total]]</f>
        <v>0.31799410029498526</v>
      </c>
      <c r="K4230" s="17" t="str">
        <f>VLOOKUP(Tabela1[[#This Row],[Cliente]],'BASE DE CLIENTES'!A:D,4,0)</f>
        <v>EMPRESA COM MAQUINA</v>
      </c>
      <c r="L4230" s="17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7" t="str">
        <f>VLOOKUP(Tabela1[[#This Row],[Cliente]],'BASE DE CLIENTES'!A:E,2,0)</f>
        <v>Brasília</v>
      </c>
      <c r="D4231" s="17" t="str">
        <f>VLOOKUP(Tabela1[[#This Row],[Cliente]],'BASE DE CLIENTES'!A:C,3,0)</f>
        <v>DF</v>
      </c>
      <c r="E4231" s="17" t="str">
        <f>CONCATENATE(Tabela1[[#This Row],[CIDADE]],",",Tabela1[[#This Row],[UF]])</f>
        <v>Brasília,DF</v>
      </c>
      <c r="F4231" s="15">
        <v>46063</v>
      </c>
      <c r="G4231" s="5">
        <v>105.08</v>
      </c>
      <c r="H4231" s="5">
        <v>220</v>
      </c>
      <c r="I4231" s="8">
        <f>Tabela1[[#This Row],[Valor total]]-Tabela1[[#This Row],[Valor custo]]</f>
        <v>114.92</v>
      </c>
      <c r="J4231" s="18">
        <f>Tabela1[[#This Row],[MARGEM BRUTA]]/Tabela1[[#This Row],[Valor total]]</f>
        <v>0.52236363636363636</v>
      </c>
      <c r="K4231" s="17" t="str">
        <f>VLOOKUP(Tabela1[[#This Row],[Cliente]],'BASE DE CLIENTES'!A:D,4,0)</f>
        <v>CLIENTE NOVO S/ IDENT.</v>
      </c>
      <c r="L4231" s="17" t="str">
        <f>VLOOKUP(Tabela1[[#This Row],[Cliente]],'BASE DE CLIENTES'!A:E,5,0)</f>
        <v>Brasília</v>
      </c>
    </row>
    <row r="4232" spans="2:12" x14ac:dyDescent="0.3">
      <c r="B4232" t="s">
        <v>1148</v>
      </c>
      <c r="C4232" s="17" t="str">
        <f>VLOOKUP(Tabela1[[#This Row],[Cliente]],'BASE DE CLIENTES'!A:E,2,0)</f>
        <v>Brasília</v>
      </c>
      <c r="D4232" s="17" t="str">
        <f>VLOOKUP(Tabela1[[#This Row],[Cliente]],'BASE DE CLIENTES'!A:C,3,0)</f>
        <v>DF</v>
      </c>
      <c r="E4232" s="17" t="str">
        <f>CONCATENATE(Tabela1[[#This Row],[CIDADE]],",",Tabela1[[#This Row],[UF]])</f>
        <v>Brasília,DF</v>
      </c>
      <c r="F4232" s="15">
        <v>46063</v>
      </c>
      <c r="G4232" s="5">
        <v>362</v>
      </c>
      <c r="H4232" s="5">
        <v>570</v>
      </c>
      <c r="I4232" s="8">
        <f>Tabela1[[#This Row],[Valor total]]-Tabela1[[#This Row],[Valor custo]]</f>
        <v>208</v>
      </c>
      <c r="J4232" s="18">
        <f>Tabela1[[#This Row],[MARGEM BRUTA]]/Tabela1[[#This Row],[Valor total]]</f>
        <v>0.36491228070175441</v>
      </c>
      <c r="K4232" s="17" t="str">
        <f>VLOOKUP(Tabela1[[#This Row],[Cliente]],'BASE DE CLIENTES'!A:D,4,0)</f>
        <v>CLIENTE NOVO S/ IDENT.</v>
      </c>
      <c r="L4232" s="17" t="str">
        <f>VLOOKUP(Tabela1[[#This Row],[Cliente]],'BASE DE CLIENTES'!A:E,5,0)</f>
        <v>Brasília</v>
      </c>
    </row>
    <row r="4233" spans="2:12" x14ac:dyDescent="0.3">
      <c r="B4233" t="s">
        <v>117</v>
      </c>
      <c r="C4233" s="17" t="str">
        <f>VLOOKUP(Tabela1[[#This Row],[Cliente]],'BASE DE CLIENTES'!A:E,2,0)</f>
        <v>Brasília</v>
      </c>
      <c r="D4233" s="17" t="str">
        <f>VLOOKUP(Tabela1[[#This Row],[Cliente]],'BASE DE CLIENTES'!A:C,3,0)</f>
        <v>DF</v>
      </c>
      <c r="E4233" s="17" t="str">
        <f>CONCATENATE(Tabela1[[#This Row],[CIDADE]],",",Tabela1[[#This Row],[UF]])</f>
        <v>Brasília,DF</v>
      </c>
      <c r="F4233" s="15">
        <v>46063</v>
      </c>
      <c r="G4233" s="5">
        <v>1006.09</v>
      </c>
      <c r="H4233" s="5">
        <v>2840</v>
      </c>
      <c r="I4233" s="8">
        <f>Tabela1[[#This Row],[Valor total]]-Tabela1[[#This Row],[Valor custo]]</f>
        <v>1833.9099999999999</v>
      </c>
      <c r="J4233" s="18">
        <f>Tabela1[[#This Row],[MARGEM BRUTA]]/Tabela1[[#This Row],[Valor total]]</f>
        <v>0.64574295774647883</v>
      </c>
      <c r="K4233" s="17" t="str">
        <f>VLOOKUP(Tabela1[[#This Row],[Cliente]],'BASE DE CLIENTES'!A:D,4,0)</f>
        <v>EMPRESA COM MAQUINA</v>
      </c>
      <c r="L4233" s="17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7" t="str">
        <f>VLOOKUP(Tabela1[[#This Row],[Cliente]],'BASE DE CLIENTES'!A:E,2,0)</f>
        <v>Brasília</v>
      </c>
      <c r="D4234" s="17" t="str">
        <f>VLOOKUP(Tabela1[[#This Row],[Cliente]],'BASE DE CLIENTES'!A:C,3,0)</f>
        <v>DF</v>
      </c>
      <c r="E4234" s="17" t="str">
        <f>CONCATENATE(Tabela1[[#This Row],[CIDADE]],",",Tabela1[[#This Row],[UF]])</f>
        <v>Brasília,DF</v>
      </c>
      <c r="F4234" s="15">
        <v>46063</v>
      </c>
      <c r="G4234" s="5">
        <v>2473.56</v>
      </c>
      <c r="H4234" s="5">
        <v>4380</v>
      </c>
      <c r="I4234" s="8">
        <f>Tabela1[[#This Row],[Valor total]]-Tabela1[[#This Row],[Valor custo]]</f>
        <v>1906.44</v>
      </c>
      <c r="J4234" s="18">
        <f>Tabela1[[#This Row],[MARGEM BRUTA]]/Tabela1[[#This Row],[Valor total]]</f>
        <v>0.43526027397260275</v>
      </c>
      <c r="K4234" s="17" t="str">
        <f>VLOOKUP(Tabela1[[#This Row],[Cliente]],'BASE DE CLIENTES'!A:D,4,0)</f>
        <v>EMPRESA COM MAQUINA</v>
      </c>
      <c r="L4234" s="17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7" t="str">
        <f>VLOOKUP(Tabela1[[#This Row],[Cliente]],'BASE DE CLIENTES'!A:E,2,0)</f>
        <v>Brasília</v>
      </c>
      <c r="D4235" s="17" t="str">
        <f>VLOOKUP(Tabela1[[#This Row],[Cliente]],'BASE DE CLIENTES'!A:C,3,0)</f>
        <v>DF</v>
      </c>
      <c r="E4235" s="17" t="str">
        <f>CONCATENATE(Tabela1[[#This Row],[CIDADE]],",",Tabela1[[#This Row],[UF]])</f>
        <v>Brasília,DF</v>
      </c>
      <c r="F4235" s="15">
        <v>46063</v>
      </c>
      <c r="G4235" s="5">
        <v>1257</v>
      </c>
      <c r="H4235" s="5">
        <v>1965</v>
      </c>
      <c r="I4235" s="8">
        <f>Tabela1[[#This Row],[Valor total]]-Tabela1[[#This Row],[Valor custo]]</f>
        <v>708</v>
      </c>
      <c r="J4235" s="18">
        <f>Tabela1[[#This Row],[MARGEM BRUTA]]/Tabela1[[#This Row],[Valor total]]</f>
        <v>0.36030534351145038</v>
      </c>
      <c r="K4235" s="17" t="str">
        <f>VLOOKUP(Tabela1[[#This Row],[Cliente]],'BASE DE CLIENTES'!A:D,4,0)</f>
        <v>EMPRESA COM MAQUINA</v>
      </c>
      <c r="L4235" s="17" t="str">
        <f>VLOOKUP(Tabela1[[#This Row],[Cliente]],'BASE DE CLIENTES'!A:E,5,0)</f>
        <v>26 DE SETEMBRO</v>
      </c>
    </row>
    <row r="4236" spans="2:12" x14ac:dyDescent="0.3">
      <c r="B4236" t="s">
        <v>55</v>
      </c>
      <c r="C4236" s="17" t="str">
        <f>VLOOKUP(Tabela1[[#This Row],[Cliente]],'BASE DE CLIENTES'!A:E,2,0)</f>
        <v>Brasília</v>
      </c>
      <c r="D4236" s="17" t="str">
        <f>VLOOKUP(Tabela1[[#This Row],[Cliente]],'BASE DE CLIENTES'!A:C,3,0)</f>
        <v>DF</v>
      </c>
      <c r="E4236" s="17" t="str">
        <f>CONCATENATE(Tabela1[[#This Row],[CIDADE]],",",Tabela1[[#This Row],[UF]])</f>
        <v>Brasília,DF</v>
      </c>
      <c r="F4236" s="15">
        <v>46063</v>
      </c>
      <c r="G4236" s="5">
        <v>153.08000000000001</v>
      </c>
      <c r="H4236" s="5">
        <v>200</v>
      </c>
      <c r="I4236" s="8">
        <f>Tabela1[[#This Row],[Valor total]]-Tabela1[[#This Row],[Valor custo]]</f>
        <v>46.919999999999987</v>
      </c>
      <c r="J4236" s="18">
        <f>Tabela1[[#This Row],[MARGEM BRUTA]]/Tabela1[[#This Row],[Valor total]]</f>
        <v>0.23459999999999995</v>
      </c>
      <c r="K4236" s="17" t="str">
        <f>VLOOKUP(Tabela1[[#This Row],[Cliente]],'BASE DE CLIENTES'!A:D,4,0)</f>
        <v>EMPRESA SEM MAQUINA</v>
      </c>
      <c r="L4236" s="17" t="str">
        <f>VLOOKUP(Tabela1[[#This Row],[Cliente]],'BASE DE CLIENTES'!A:E,5,0)</f>
        <v>RECANTO DAS EMAS</v>
      </c>
    </row>
    <row r="4237" spans="2:12" x14ac:dyDescent="0.3">
      <c r="B4237" t="s">
        <v>70</v>
      </c>
      <c r="C4237" s="17" t="str">
        <f>VLOOKUP(Tabela1[[#This Row],[Cliente]],'BASE DE CLIENTES'!A:E,2,0)</f>
        <v>Brasília</v>
      </c>
      <c r="D4237" s="17" t="str">
        <f>VLOOKUP(Tabela1[[#This Row],[Cliente]],'BASE DE CLIENTES'!A:C,3,0)</f>
        <v>DF</v>
      </c>
      <c r="E4237" s="17" t="str">
        <f>CONCATENATE(Tabela1[[#This Row],[CIDADE]],",",Tabela1[[#This Row],[UF]])</f>
        <v>Brasília,DF</v>
      </c>
      <c r="F4237" s="15">
        <v>46063</v>
      </c>
      <c r="G4237" s="5">
        <v>513.32000000000005</v>
      </c>
      <c r="H4237" s="5">
        <v>809</v>
      </c>
      <c r="I4237" s="8">
        <f>Tabela1[[#This Row],[Valor total]]-Tabela1[[#This Row],[Valor custo]]</f>
        <v>295.67999999999995</v>
      </c>
      <c r="J4237" s="18">
        <f>Tabela1[[#This Row],[MARGEM BRUTA]]/Tabela1[[#This Row],[Valor total]]</f>
        <v>0.36548825710754013</v>
      </c>
      <c r="K4237" s="17" t="str">
        <f>VLOOKUP(Tabela1[[#This Row],[Cliente]],'BASE DE CLIENTES'!A:D,4,0)</f>
        <v>EMPRESA COM MAQUINA</v>
      </c>
      <c r="L4237" s="17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7" t="str">
        <f>VLOOKUP(Tabela1[[#This Row],[Cliente]],'BASE DE CLIENTES'!A:E,2,0)</f>
        <v>Brasília</v>
      </c>
      <c r="D4238" s="17" t="str">
        <f>VLOOKUP(Tabela1[[#This Row],[Cliente]],'BASE DE CLIENTES'!A:C,3,0)</f>
        <v>DF</v>
      </c>
      <c r="E4238" s="17" t="str">
        <f>CONCATENATE(Tabela1[[#This Row],[CIDADE]],",",Tabela1[[#This Row],[UF]])</f>
        <v>Brasília,DF</v>
      </c>
      <c r="F4238" s="15">
        <v>46062</v>
      </c>
      <c r="G4238" s="5">
        <v>1012</v>
      </c>
      <c r="H4238" s="5">
        <v>1515</v>
      </c>
      <c r="I4238" s="8">
        <f>Tabela1[[#This Row],[Valor total]]-Tabela1[[#This Row],[Valor custo]]</f>
        <v>503</v>
      </c>
      <c r="J4238" s="18">
        <f>Tabela1[[#This Row],[MARGEM BRUTA]]/Tabela1[[#This Row],[Valor total]]</f>
        <v>0.33201320132013201</v>
      </c>
      <c r="K4238" s="17" t="str">
        <f>VLOOKUP(Tabela1[[#This Row],[Cliente]],'BASE DE CLIENTES'!A:D,4,0)</f>
        <v>EMPRESA SEM MAQUINA</v>
      </c>
      <c r="L4238" s="17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7" t="str">
        <f>VLOOKUP(Tabela1[[#This Row],[Cliente]],'BASE DE CLIENTES'!A:E,2,0)</f>
        <v>Águas Lindas de Goiás</v>
      </c>
      <c r="D4239" s="17" t="str">
        <f>VLOOKUP(Tabela1[[#This Row],[Cliente]],'BASE DE CLIENTES'!A:C,3,0)</f>
        <v>GO</v>
      </c>
      <c r="E4239" s="17" t="str">
        <f>CONCATENATE(Tabela1[[#This Row],[CIDADE]],",",Tabela1[[#This Row],[UF]])</f>
        <v>Águas Lindas de Goiás,GO</v>
      </c>
      <c r="F4239" s="15">
        <v>46062</v>
      </c>
      <c r="G4239" s="5">
        <v>849</v>
      </c>
      <c r="H4239" s="5">
        <v>1390</v>
      </c>
      <c r="I4239" s="8">
        <f>Tabela1[[#This Row],[Valor total]]-Tabela1[[#This Row],[Valor custo]]</f>
        <v>541</v>
      </c>
      <c r="J4239" s="18">
        <f>Tabela1[[#This Row],[MARGEM BRUTA]]/Tabela1[[#This Row],[Valor total]]</f>
        <v>0.38920863309352516</v>
      </c>
      <c r="K4239" s="17" t="str">
        <f>VLOOKUP(Tabela1[[#This Row],[Cliente]],'BASE DE CLIENTES'!A:D,4,0)</f>
        <v>EMPRESA COM MAQUINA</v>
      </c>
      <c r="L4239" s="17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7" t="str">
        <f>VLOOKUP(Tabela1[[#This Row],[Cliente]],'BASE DE CLIENTES'!A:E,2,0)</f>
        <v>Uberlândia</v>
      </c>
      <c r="D4240" s="17" t="str">
        <f>VLOOKUP(Tabela1[[#This Row],[Cliente]],'BASE DE CLIENTES'!A:C,3,0)</f>
        <v>MG</v>
      </c>
      <c r="E4240" s="17" t="str">
        <f>CONCATENATE(Tabela1[[#This Row],[CIDADE]],",",Tabela1[[#This Row],[UF]])</f>
        <v>Uberlândia,MG</v>
      </c>
      <c r="F4240" s="15">
        <v>46062</v>
      </c>
      <c r="G4240" s="5">
        <v>3620</v>
      </c>
      <c r="H4240" s="5">
        <v>5506</v>
      </c>
      <c r="I4240" s="8">
        <f>Tabela1[[#This Row],[Valor total]]-Tabela1[[#This Row],[Valor custo]]</f>
        <v>1886</v>
      </c>
      <c r="J4240" s="18">
        <f>Tabela1[[#This Row],[MARGEM BRUTA]]/Tabela1[[#This Row],[Valor total]]</f>
        <v>0.34253541590991643</v>
      </c>
      <c r="K4240" s="17" t="str">
        <f>VLOOKUP(Tabela1[[#This Row],[Cliente]],'BASE DE CLIENTES'!A:D,4,0)</f>
        <v>EMPRESA COM MAQUINA</v>
      </c>
      <c r="L4240" s="17" t="str">
        <f>VLOOKUP(Tabela1[[#This Row],[Cliente]],'BASE DE CLIENTES'!A:E,5,0)</f>
        <v>Uberlândia</v>
      </c>
    </row>
    <row r="4241" spans="2:12" x14ac:dyDescent="0.3">
      <c r="B4241" t="s">
        <v>307</v>
      </c>
      <c r="C4241" s="17" t="str">
        <f>VLOOKUP(Tabela1[[#This Row],[Cliente]],'BASE DE CLIENTES'!A:E,2,0)</f>
        <v>Uberaba</v>
      </c>
      <c r="D4241" s="17" t="str">
        <f>VLOOKUP(Tabela1[[#This Row],[Cliente]],'BASE DE CLIENTES'!A:C,3,0)</f>
        <v>MG</v>
      </c>
      <c r="E4241" s="17" t="str">
        <f>CONCATENATE(Tabela1[[#This Row],[CIDADE]],",",Tabela1[[#This Row],[UF]])</f>
        <v>Uberaba,MG</v>
      </c>
      <c r="F4241" s="15">
        <v>46062</v>
      </c>
      <c r="G4241" s="5">
        <v>10460</v>
      </c>
      <c r="H4241" s="5">
        <v>15950</v>
      </c>
      <c r="I4241" s="8">
        <f>Tabela1[[#This Row],[Valor total]]-Tabela1[[#This Row],[Valor custo]]</f>
        <v>5490</v>
      </c>
      <c r="J4241" s="18">
        <f>Tabela1[[#This Row],[MARGEM BRUTA]]/Tabela1[[#This Row],[Valor total]]</f>
        <v>0.34420062695924764</v>
      </c>
      <c r="K4241" s="17" t="str">
        <f>VLOOKUP(Tabela1[[#This Row],[Cliente]],'BASE DE CLIENTES'!A:D,4,0)</f>
        <v>EMPRESA COM MAQUINA</v>
      </c>
      <c r="L4241" s="17" t="str">
        <f>VLOOKUP(Tabela1[[#This Row],[Cliente]],'BASE DE CLIENTES'!A:E,5,0)</f>
        <v>Uberaba</v>
      </c>
    </row>
    <row r="4242" spans="2:12" x14ac:dyDescent="0.3">
      <c r="B4242" t="s">
        <v>52</v>
      </c>
      <c r="C4242" s="17" t="str">
        <f>VLOOKUP(Tabela1[[#This Row],[Cliente]],'BASE DE CLIENTES'!A:E,2,0)</f>
        <v>Brasília</v>
      </c>
      <c r="D4242" s="17" t="str">
        <f>VLOOKUP(Tabela1[[#This Row],[Cliente]],'BASE DE CLIENTES'!A:C,3,0)</f>
        <v>DF</v>
      </c>
      <c r="E4242" s="17" t="str">
        <f>CONCATENATE(Tabela1[[#This Row],[CIDADE]],",",Tabela1[[#This Row],[UF]])</f>
        <v>Brasília,DF</v>
      </c>
      <c r="F4242" s="15">
        <v>46062</v>
      </c>
      <c r="G4242" s="5">
        <v>3463</v>
      </c>
      <c r="H4242" s="5">
        <v>5210</v>
      </c>
      <c r="I4242" s="8">
        <f>Tabela1[[#This Row],[Valor total]]-Tabela1[[#This Row],[Valor custo]]</f>
        <v>1747</v>
      </c>
      <c r="J4242" s="18">
        <f>Tabela1[[#This Row],[MARGEM BRUTA]]/Tabela1[[#This Row],[Valor total]]</f>
        <v>0.33531669865642993</v>
      </c>
      <c r="K4242" s="17" t="str">
        <f>VLOOKUP(Tabela1[[#This Row],[Cliente]],'BASE DE CLIENTES'!A:D,4,0)</f>
        <v>SERRALHEIRO</v>
      </c>
      <c r="L4242" s="17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7" t="str">
        <f>VLOOKUP(Tabela1[[#This Row],[Cliente]],'BASE DE CLIENTES'!A:E,2,0)</f>
        <v>Brasília</v>
      </c>
      <c r="D4243" s="17" t="str">
        <f>VLOOKUP(Tabela1[[#This Row],[Cliente]],'BASE DE CLIENTES'!A:C,3,0)</f>
        <v>DF</v>
      </c>
      <c r="E4243" s="17" t="str">
        <f>CONCATENATE(Tabela1[[#This Row],[CIDADE]],",",Tabela1[[#This Row],[UF]])</f>
        <v>Brasília,DF</v>
      </c>
      <c r="F4243" s="15">
        <v>46062</v>
      </c>
      <c r="G4243" s="5">
        <v>487</v>
      </c>
      <c r="H4243" s="5">
        <v>765</v>
      </c>
      <c r="I4243" s="8">
        <f>Tabela1[[#This Row],[Valor total]]-Tabela1[[#This Row],[Valor custo]]</f>
        <v>278</v>
      </c>
      <c r="J4243" s="18">
        <f>Tabela1[[#This Row],[MARGEM BRUTA]]/Tabela1[[#This Row],[Valor total]]</f>
        <v>0.3633986928104575</v>
      </c>
      <c r="K4243" s="17" t="str">
        <f>VLOOKUP(Tabela1[[#This Row],[Cliente]],'BASE DE CLIENTES'!A:D,4,0)</f>
        <v>EMPRESA SEM MAQUINA</v>
      </c>
      <c r="L4243" s="17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7" t="str">
        <f>VLOOKUP(Tabela1[[#This Row],[Cliente]],'BASE DE CLIENTES'!A:E,2,0)</f>
        <v>Luziânia</v>
      </c>
      <c r="D4244" s="17" t="str">
        <f>VLOOKUP(Tabela1[[#This Row],[Cliente]],'BASE DE CLIENTES'!A:C,3,0)</f>
        <v>GO</v>
      </c>
      <c r="E4244" s="17" t="str">
        <f>CONCATENATE(Tabela1[[#This Row],[CIDADE]],",",Tabela1[[#This Row],[UF]])</f>
        <v>Luziânia,GO</v>
      </c>
      <c r="F4244" s="15">
        <v>46062</v>
      </c>
      <c r="G4244" s="5">
        <v>939.06</v>
      </c>
      <c r="H4244" s="5">
        <v>1560</v>
      </c>
      <c r="I4244" s="8">
        <f>Tabela1[[#This Row],[Valor total]]-Tabela1[[#This Row],[Valor custo]]</f>
        <v>620.94000000000005</v>
      </c>
      <c r="J4244" s="18">
        <f>Tabela1[[#This Row],[MARGEM BRUTA]]/Tabela1[[#This Row],[Valor total]]</f>
        <v>0.39803846153846156</v>
      </c>
      <c r="K4244" s="17" t="str">
        <f>VLOOKUP(Tabela1[[#This Row],[Cliente]],'BASE DE CLIENTES'!A:D,4,0)</f>
        <v>SERRALHEIRO</v>
      </c>
      <c r="L4244" s="17" t="str">
        <f>VLOOKUP(Tabela1[[#This Row],[Cliente]],'BASE DE CLIENTES'!A:E,5,0)</f>
        <v>Luziânia</v>
      </c>
    </row>
    <row r="4245" spans="2:12" x14ac:dyDescent="0.3">
      <c r="B4245" t="s">
        <v>161</v>
      </c>
      <c r="C4245" s="17" t="str">
        <f>VLOOKUP(Tabela1[[#This Row],[Cliente]],'BASE DE CLIENTES'!A:E,2,0)</f>
        <v>Brasília</v>
      </c>
      <c r="D4245" s="17" t="str">
        <f>VLOOKUP(Tabela1[[#This Row],[Cliente]],'BASE DE CLIENTES'!A:C,3,0)</f>
        <v>DF</v>
      </c>
      <c r="E4245" s="17" t="str">
        <f>CONCATENATE(Tabela1[[#This Row],[CIDADE]],",",Tabela1[[#This Row],[UF]])</f>
        <v>Brasília,DF</v>
      </c>
      <c r="F4245" s="15">
        <v>46062</v>
      </c>
      <c r="G4245" s="5">
        <v>6780</v>
      </c>
      <c r="H4245" s="5">
        <v>10380</v>
      </c>
      <c r="I4245" s="8">
        <f>Tabela1[[#This Row],[Valor total]]-Tabela1[[#This Row],[Valor custo]]</f>
        <v>3600</v>
      </c>
      <c r="J4245" s="18">
        <f>Tabela1[[#This Row],[MARGEM BRUTA]]/Tabela1[[#This Row],[Valor total]]</f>
        <v>0.34682080924855491</v>
      </c>
      <c r="K4245" s="17" t="str">
        <f>VLOOKUP(Tabela1[[#This Row],[Cliente]],'BASE DE CLIENTES'!A:D,4,0)</f>
        <v>EMPRESA COM MAQUINA</v>
      </c>
      <c r="L4245" s="17" t="str">
        <f>VLOOKUP(Tabela1[[#This Row],[Cliente]],'BASE DE CLIENTES'!A:E,5,0)</f>
        <v>RIACHO FUNDO II</v>
      </c>
    </row>
    <row r="4246" spans="2:12" x14ac:dyDescent="0.3">
      <c r="B4246" t="s">
        <v>316</v>
      </c>
      <c r="C4246" s="17" t="str">
        <f>VLOOKUP(Tabela1[[#This Row],[Cliente]],'BASE DE CLIENTES'!A:E,2,0)</f>
        <v>Valparaíso de Goiás</v>
      </c>
      <c r="D4246" s="17" t="str">
        <f>VLOOKUP(Tabela1[[#This Row],[Cliente]],'BASE DE CLIENTES'!A:C,3,0)</f>
        <v>GO</v>
      </c>
      <c r="E4246" s="17" t="str">
        <f>CONCATENATE(Tabela1[[#This Row],[CIDADE]],",",Tabela1[[#This Row],[UF]])</f>
        <v>Valparaíso de Goiás,GO</v>
      </c>
      <c r="F4246" s="15">
        <v>46062</v>
      </c>
      <c r="G4246" s="5">
        <v>503</v>
      </c>
      <c r="H4246" s="5">
        <v>950</v>
      </c>
      <c r="I4246" s="8">
        <f>Tabela1[[#This Row],[Valor total]]-Tabela1[[#This Row],[Valor custo]]</f>
        <v>447</v>
      </c>
      <c r="J4246" s="18">
        <f>Tabela1[[#This Row],[MARGEM BRUTA]]/Tabela1[[#This Row],[Valor total]]</f>
        <v>0.47052631578947368</v>
      </c>
      <c r="K4246" s="17" t="str">
        <f>VLOOKUP(Tabela1[[#This Row],[Cliente]],'BASE DE CLIENTES'!A:D,4,0)</f>
        <v>SERRALHEIRO</v>
      </c>
      <c r="L4246" s="17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7" t="str">
        <f>VLOOKUP(Tabela1[[#This Row],[Cliente]],'BASE DE CLIENTES'!A:E,2,0)</f>
        <v>Goiânia</v>
      </c>
      <c r="D4247" s="17" t="str">
        <f>VLOOKUP(Tabela1[[#This Row],[Cliente]],'BASE DE CLIENTES'!A:C,3,0)</f>
        <v>GO</v>
      </c>
      <c r="E4247" s="17" t="str">
        <f>CONCATENATE(Tabela1[[#This Row],[CIDADE]],",",Tabela1[[#This Row],[UF]])</f>
        <v>Goiânia,GO</v>
      </c>
      <c r="F4247" s="15">
        <v>46062</v>
      </c>
      <c r="G4247" s="5">
        <v>2951.38</v>
      </c>
      <c r="H4247" s="5">
        <v>4630</v>
      </c>
      <c r="I4247" s="8">
        <f>Tabela1[[#This Row],[Valor total]]-Tabela1[[#This Row],[Valor custo]]</f>
        <v>1678.62</v>
      </c>
      <c r="J4247" s="18">
        <f>Tabela1[[#This Row],[MARGEM BRUTA]]/Tabela1[[#This Row],[Valor total]]</f>
        <v>0.36255291576673865</v>
      </c>
      <c r="K4247" s="17" t="str">
        <f>VLOOKUP(Tabela1[[#This Row],[Cliente]],'BASE DE CLIENTES'!A:D,4,0)</f>
        <v>EMPRESA COM MAQUINA</v>
      </c>
      <c r="L4247" s="17" t="str">
        <f>VLOOKUP(Tabela1[[#This Row],[Cliente]],'BASE DE CLIENTES'!A:E,5,0)</f>
        <v>Goiânia</v>
      </c>
    </row>
    <row r="4248" spans="2:12" x14ac:dyDescent="0.3">
      <c r="B4248" t="s">
        <v>55</v>
      </c>
      <c r="C4248" s="17" t="str">
        <f>VLOOKUP(Tabela1[[#This Row],[Cliente]],'BASE DE CLIENTES'!A:E,2,0)</f>
        <v>Brasília</v>
      </c>
      <c r="D4248" s="17" t="str">
        <f>VLOOKUP(Tabela1[[#This Row],[Cliente]],'BASE DE CLIENTES'!A:C,3,0)</f>
        <v>DF</v>
      </c>
      <c r="E4248" s="17" t="str">
        <f>CONCATENATE(Tabela1[[#This Row],[CIDADE]],",",Tabela1[[#This Row],[UF]])</f>
        <v>Brasília,DF</v>
      </c>
      <c r="F4248" s="15">
        <v>46062</v>
      </c>
      <c r="G4248" s="5">
        <v>650</v>
      </c>
      <c r="H4248" s="5">
        <v>900</v>
      </c>
      <c r="I4248" s="8">
        <f>Tabela1[[#This Row],[Valor total]]-Tabela1[[#This Row],[Valor custo]]</f>
        <v>250</v>
      </c>
      <c r="J4248" s="18">
        <f>Tabela1[[#This Row],[MARGEM BRUTA]]/Tabela1[[#This Row],[Valor total]]</f>
        <v>0.27777777777777779</v>
      </c>
      <c r="K4248" s="17" t="str">
        <f>VLOOKUP(Tabela1[[#This Row],[Cliente]],'BASE DE CLIENTES'!A:D,4,0)</f>
        <v>EMPRESA SEM MAQUINA</v>
      </c>
      <c r="L4248" s="17" t="str">
        <f>VLOOKUP(Tabela1[[#This Row],[Cliente]],'BASE DE CLIENTES'!A:E,5,0)</f>
        <v>RECANTO DAS EMAS</v>
      </c>
    </row>
    <row r="4249" spans="2:12" x14ac:dyDescent="0.3">
      <c r="B4249" t="s">
        <v>27</v>
      </c>
      <c r="C4249" s="17" t="str">
        <f>VLOOKUP(Tabela1[[#This Row],[Cliente]],'BASE DE CLIENTES'!A:E,2,0)</f>
        <v>Brasília</v>
      </c>
      <c r="D4249" s="17" t="str">
        <f>VLOOKUP(Tabela1[[#This Row],[Cliente]],'BASE DE CLIENTES'!A:C,3,0)</f>
        <v>DF</v>
      </c>
      <c r="E4249" s="17" t="str">
        <f>CONCATENATE(Tabela1[[#This Row],[CIDADE]],",",Tabela1[[#This Row],[UF]])</f>
        <v>Brasília,DF</v>
      </c>
      <c r="F4249" s="15">
        <v>46062</v>
      </c>
      <c r="G4249" s="5">
        <v>56.28</v>
      </c>
      <c r="H4249" s="5">
        <v>150</v>
      </c>
      <c r="I4249" s="8">
        <f>Tabela1[[#This Row],[Valor total]]-Tabela1[[#This Row],[Valor custo]]</f>
        <v>93.72</v>
      </c>
      <c r="J4249" s="18">
        <f>Tabela1[[#This Row],[MARGEM BRUTA]]/Tabela1[[#This Row],[Valor total]]</f>
        <v>0.62480000000000002</v>
      </c>
      <c r="K4249" s="17" t="str">
        <f>VLOOKUP(Tabela1[[#This Row],[Cliente]],'BASE DE CLIENTES'!A:D,4,0)</f>
        <v>EMPRESA SEM MAQUINA</v>
      </c>
      <c r="L4249" s="17" t="str">
        <f>VLOOKUP(Tabela1[[#This Row],[Cliente]],'BASE DE CLIENTES'!A:E,5,0)</f>
        <v>RECANTO DAS EMAS</v>
      </c>
    </row>
    <row r="4250" spans="2:12" x14ac:dyDescent="0.3">
      <c r="B4250" t="s">
        <v>23</v>
      </c>
      <c r="C4250" s="17" t="str">
        <f>VLOOKUP(Tabela1[[#This Row],[Cliente]],'BASE DE CLIENTES'!A:E,2,0)</f>
        <v>Brasília</v>
      </c>
      <c r="D4250" s="17" t="str">
        <f>VLOOKUP(Tabela1[[#This Row],[Cliente]],'BASE DE CLIENTES'!A:C,3,0)</f>
        <v>DF</v>
      </c>
      <c r="E4250" s="17" t="str">
        <f>CONCATENATE(Tabela1[[#This Row],[CIDADE]],",",Tabela1[[#This Row],[UF]])</f>
        <v>Brasília,DF</v>
      </c>
      <c r="F4250" s="15">
        <v>46062</v>
      </c>
      <c r="G4250" s="5">
        <v>793.98</v>
      </c>
      <c r="H4250" s="5">
        <v>1270</v>
      </c>
      <c r="I4250" s="8">
        <f>Tabela1[[#This Row],[Valor total]]-Tabela1[[#This Row],[Valor custo]]</f>
        <v>476.02</v>
      </c>
      <c r="J4250" s="18">
        <f>Tabela1[[#This Row],[MARGEM BRUTA]]/Tabela1[[#This Row],[Valor total]]</f>
        <v>0.37481889763779525</v>
      </c>
      <c r="K4250" s="17" t="str">
        <f>VLOOKUP(Tabela1[[#This Row],[Cliente]],'BASE DE CLIENTES'!A:D,4,0)</f>
        <v>EMPRESA SEM MAQUINA</v>
      </c>
      <c r="L4250" s="17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7" t="str">
        <f>VLOOKUP(Tabela1[[#This Row],[Cliente]],'BASE DE CLIENTES'!A:E,2,0)</f>
        <v>Brasília</v>
      </c>
      <c r="D4251" s="17" t="str">
        <f>VLOOKUP(Tabela1[[#This Row],[Cliente]],'BASE DE CLIENTES'!A:C,3,0)</f>
        <v>DF</v>
      </c>
      <c r="E4251" s="17" t="str">
        <f>CONCATENATE(Tabela1[[#This Row],[CIDADE]],",",Tabela1[[#This Row],[UF]])</f>
        <v>Brasília,DF</v>
      </c>
      <c r="F4251" s="15">
        <v>46062</v>
      </c>
      <c r="G4251" s="5">
        <v>814</v>
      </c>
      <c r="H4251" s="5">
        <v>1410</v>
      </c>
      <c r="I4251" s="8">
        <f>Tabela1[[#This Row],[Valor total]]-Tabela1[[#This Row],[Valor custo]]</f>
        <v>596</v>
      </c>
      <c r="J4251" s="18">
        <f>Tabela1[[#This Row],[MARGEM BRUTA]]/Tabela1[[#This Row],[Valor total]]</f>
        <v>0.42269503546099291</v>
      </c>
      <c r="K4251" s="17" t="str">
        <f>VLOOKUP(Tabela1[[#This Row],[Cliente]],'BASE DE CLIENTES'!A:D,4,0)</f>
        <v>EMPRESA COM MAQUINA</v>
      </c>
      <c r="L4251" s="17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7" t="str">
        <f>VLOOKUP(Tabela1[[#This Row],[Cliente]],'BASE DE CLIENTES'!A:E,2,0)</f>
        <v>Águas Lindas de Goiás</v>
      </c>
      <c r="D4252" s="17" t="str">
        <f>VLOOKUP(Tabela1[[#This Row],[Cliente]],'BASE DE CLIENTES'!A:C,3,0)</f>
        <v>GO</v>
      </c>
      <c r="E4252" s="17" t="str">
        <f>CONCATENATE(Tabela1[[#This Row],[CIDADE]],",",Tabela1[[#This Row],[UF]])</f>
        <v>Águas Lindas de Goiás,GO</v>
      </c>
      <c r="F4252" s="15">
        <v>46062</v>
      </c>
      <c r="G4252" s="5">
        <v>530</v>
      </c>
      <c r="H4252" s="5">
        <v>950</v>
      </c>
      <c r="I4252" s="8">
        <f>Tabela1[[#This Row],[Valor total]]-Tabela1[[#This Row],[Valor custo]]</f>
        <v>420</v>
      </c>
      <c r="J4252" s="18">
        <f>Tabela1[[#This Row],[MARGEM BRUTA]]/Tabela1[[#This Row],[Valor total]]</f>
        <v>0.44210526315789472</v>
      </c>
      <c r="K4252" s="17" t="str">
        <f>VLOOKUP(Tabela1[[#This Row],[Cliente]],'BASE DE CLIENTES'!A:D,4,0)</f>
        <v>CLIENTE NOVO S/ IDENT.</v>
      </c>
      <c r="L4252" s="17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7" t="str">
        <f>VLOOKUP(Tabela1[[#This Row],[Cliente]],'BASE DE CLIENTES'!A:E,2,0)</f>
        <v>Brasília</v>
      </c>
      <c r="D4253" s="17" t="str">
        <f>VLOOKUP(Tabela1[[#This Row],[Cliente]],'BASE DE CLIENTES'!A:C,3,0)</f>
        <v>DF</v>
      </c>
      <c r="E4253" s="17" t="str">
        <f>CONCATENATE(Tabela1[[#This Row],[CIDADE]],",",Tabela1[[#This Row],[UF]])</f>
        <v>Brasília,DF</v>
      </c>
      <c r="F4253" s="15">
        <v>46060</v>
      </c>
      <c r="G4253" s="5">
        <v>1662</v>
      </c>
      <c r="H4253" s="5">
        <v>2645</v>
      </c>
      <c r="I4253" s="8">
        <f>Tabela1[[#This Row],[Valor total]]-Tabela1[[#This Row],[Valor custo]]</f>
        <v>983</v>
      </c>
      <c r="J4253" s="18">
        <f>Tabela1[[#This Row],[MARGEM BRUTA]]/Tabela1[[#This Row],[Valor total]]</f>
        <v>0.37164461247637048</v>
      </c>
      <c r="K4253" s="17" t="str">
        <f>VLOOKUP(Tabela1[[#This Row],[Cliente]],'BASE DE CLIENTES'!A:D,4,0)</f>
        <v>SERRALHEIRO</v>
      </c>
      <c r="L4253" s="17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7" t="str">
        <f>VLOOKUP(Tabela1[[#This Row],[Cliente]],'BASE DE CLIENTES'!A:E,2,0)</f>
        <v>Brasília</v>
      </c>
      <c r="D4254" s="17" t="str">
        <f>VLOOKUP(Tabela1[[#This Row],[Cliente]],'BASE DE CLIENTES'!A:C,3,0)</f>
        <v>DF</v>
      </c>
      <c r="E4254" s="17" t="str">
        <f>CONCATENATE(Tabela1[[#This Row],[CIDADE]],",",Tabela1[[#This Row],[UF]])</f>
        <v>Brasília,DF</v>
      </c>
      <c r="F4254" s="15">
        <v>46059</v>
      </c>
      <c r="G4254" s="5">
        <v>2807</v>
      </c>
      <c r="H4254" s="5">
        <v>4680</v>
      </c>
      <c r="I4254" s="8">
        <f>Tabela1[[#This Row],[Valor total]]-Tabela1[[#This Row],[Valor custo]]</f>
        <v>1873</v>
      </c>
      <c r="J4254" s="18">
        <f>Tabela1[[#This Row],[MARGEM BRUTA]]/Tabela1[[#This Row],[Valor total]]</f>
        <v>0.40021367521367524</v>
      </c>
      <c r="K4254" s="17" t="str">
        <f>VLOOKUP(Tabela1[[#This Row],[Cliente]],'BASE DE CLIENTES'!A:D,4,0)</f>
        <v>EMPRESA COM MAQUINA</v>
      </c>
      <c r="L4254" s="17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7" t="str">
        <f>VLOOKUP(Tabela1[[#This Row],[Cliente]],'BASE DE CLIENTES'!A:E,2,0)</f>
        <v>Brasília</v>
      </c>
      <c r="D4255" s="17" t="str">
        <f>VLOOKUP(Tabela1[[#This Row],[Cliente]],'BASE DE CLIENTES'!A:C,3,0)</f>
        <v>DF</v>
      </c>
      <c r="E4255" s="17" t="str">
        <f>CONCATENATE(Tabela1[[#This Row],[CIDADE]],",",Tabela1[[#This Row],[UF]])</f>
        <v>Brasília,DF</v>
      </c>
      <c r="F4255" s="15">
        <v>46059</v>
      </c>
      <c r="G4255" s="5">
        <v>0</v>
      </c>
      <c r="H4255" s="5">
        <v>120</v>
      </c>
      <c r="I4255" s="8">
        <f>Tabela1[[#This Row],[Valor total]]-Tabela1[[#This Row],[Valor custo]]</f>
        <v>120</v>
      </c>
      <c r="J4255" s="18">
        <f>Tabela1[[#This Row],[MARGEM BRUTA]]/Tabela1[[#This Row],[Valor total]]</f>
        <v>1</v>
      </c>
      <c r="K4255" s="17" t="str">
        <f>VLOOKUP(Tabela1[[#This Row],[Cliente]],'BASE DE CLIENTES'!A:D,4,0)</f>
        <v>EMPRESA COM MAQUINA</v>
      </c>
      <c r="L4255" s="17" t="str">
        <f>VLOOKUP(Tabela1[[#This Row],[Cliente]],'BASE DE CLIENTES'!A:E,5,0)</f>
        <v>RIACHO FUNDO II</v>
      </c>
    </row>
    <row r="4256" spans="2:12" x14ac:dyDescent="0.3">
      <c r="B4256" t="s">
        <v>236</v>
      </c>
      <c r="C4256" s="17" t="str">
        <f>VLOOKUP(Tabela1[[#This Row],[Cliente]],'BASE DE CLIENTES'!A:E,2,0)</f>
        <v>Goiânia</v>
      </c>
      <c r="D4256" s="17" t="str">
        <f>VLOOKUP(Tabela1[[#This Row],[Cliente]],'BASE DE CLIENTES'!A:C,3,0)</f>
        <v>GO</v>
      </c>
      <c r="E4256" s="17" t="str">
        <f>CONCATENATE(Tabela1[[#This Row],[CIDADE]],",",Tabela1[[#This Row],[UF]])</f>
        <v>Goiânia,GO</v>
      </c>
      <c r="F4256" s="15">
        <v>46059</v>
      </c>
      <c r="G4256" s="5">
        <v>2160</v>
      </c>
      <c r="H4256" s="5">
        <v>3000</v>
      </c>
      <c r="I4256" s="8">
        <f>Tabela1[[#This Row],[Valor total]]-Tabela1[[#This Row],[Valor custo]]</f>
        <v>840</v>
      </c>
      <c r="J4256" s="18">
        <f>Tabela1[[#This Row],[MARGEM BRUTA]]/Tabela1[[#This Row],[Valor total]]</f>
        <v>0.28000000000000003</v>
      </c>
      <c r="K4256" s="17" t="str">
        <f>VLOOKUP(Tabela1[[#This Row],[Cliente]],'BASE DE CLIENTES'!A:D,4,0)</f>
        <v>EMPRESA COM MAQUINA</v>
      </c>
      <c r="L4256" s="17" t="str">
        <f>VLOOKUP(Tabela1[[#This Row],[Cliente]],'BASE DE CLIENTES'!A:E,5,0)</f>
        <v>Goiânia</v>
      </c>
    </row>
    <row r="4257" spans="2:12" x14ac:dyDescent="0.3">
      <c r="B4257" t="s">
        <v>152</v>
      </c>
      <c r="C4257" s="17" t="str">
        <f>VLOOKUP(Tabela1[[#This Row],[Cliente]],'BASE DE CLIENTES'!A:E,2,0)</f>
        <v>Aparecida de Goiânia</v>
      </c>
      <c r="D4257" s="17" t="str">
        <f>VLOOKUP(Tabela1[[#This Row],[Cliente]],'BASE DE CLIENTES'!A:C,3,0)</f>
        <v>GO</v>
      </c>
      <c r="E4257" s="17" t="str">
        <f>CONCATENATE(Tabela1[[#This Row],[CIDADE]],",",Tabela1[[#This Row],[UF]])</f>
        <v>Aparecida de Goiânia,GO</v>
      </c>
      <c r="F4257" s="15">
        <v>46059</v>
      </c>
      <c r="G4257" s="5">
        <v>470</v>
      </c>
      <c r="H4257" s="5">
        <v>850</v>
      </c>
      <c r="I4257" s="8">
        <f>Tabela1[[#This Row],[Valor total]]-Tabela1[[#This Row],[Valor custo]]</f>
        <v>380</v>
      </c>
      <c r="J4257" s="18">
        <f>Tabela1[[#This Row],[MARGEM BRUTA]]/Tabela1[[#This Row],[Valor total]]</f>
        <v>0.44705882352941179</v>
      </c>
      <c r="K4257" s="17" t="str">
        <f>VLOOKUP(Tabela1[[#This Row],[Cliente]],'BASE DE CLIENTES'!A:D,4,0)</f>
        <v>TECNICO</v>
      </c>
      <c r="L4257" s="17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7" t="str">
        <f>VLOOKUP(Tabela1[[#This Row],[Cliente]],'BASE DE CLIENTES'!A:E,2,0)</f>
        <v>Brasília</v>
      </c>
      <c r="D4258" s="17" t="str">
        <f>VLOOKUP(Tabela1[[#This Row],[Cliente]],'BASE DE CLIENTES'!A:C,3,0)</f>
        <v>DF</v>
      </c>
      <c r="E4258" s="17" t="str">
        <f>CONCATENATE(Tabela1[[#This Row],[CIDADE]],",",Tabela1[[#This Row],[UF]])</f>
        <v>Brasília,DF</v>
      </c>
      <c r="F4258" s="15">
        <v>46059</v>
      </c>
      <c r="G4258" s="5">
        <v>1484.84</v>
      </c>
      <c r="H4258" s="5">
        <v>2512</v>
      </c>
      <c r="I4258" s="8">
        <f>Tabela1[[#This Row],[Valor total]]-Tabela1[[#This Row],[Valor custo]]</f>
        <v>1027.1600000000001</v>
      </c>
      <c r="J4258" s="18">
        <f>Tabela1[[#This Row],[MARGEM BRUTA]]/Tabela1[[#This Row],[Valor total]]</f>
        <v>0.40890127388535036</v>
      </c>
      <c r="K4258" s="17" t="str">
        <f>VLOOKUP(Tabela1[[#This Row],[Cliente]],'BASE DE CLIENTES'!A:D,4,0)</f>
        <v>EMPRESA SEM MAQUINA</v>
      </c>
      <c r="L4258" s="17" t="str">
        <f>VLOOKUP(Tabela1[[#This Row],[Cliente]],'BASE DE CLIENTES'!A:E,5,0)</f>
        <v>SAMAMBAIA</v>
      </c>
    </row>
    <row r="4259" spans="2:12" x14ac:dyDescent="0.3">
      <c r="B4259" t="s">
        <v>111</v>
      </c>
      <c r="C4259" s="17" t="str">
        <f>VLOOKUP(Tabela1[[#This Row],[Cliente]],'BASE DE CLIENTES'!A:E,2,0)</f>
        <v>Brasília</v>
      </c>
      <c r="D4259" s="17" t="str">
        <f>VLOOKUP(Tabela1[[#This Row],[Cliente]],'BASE DE CLIENTES'!A:C,3,0)</f>
        <v>DF</v>
      </c>
      <c r="E4259" s="17" t="str">
        <f>CONCATENATE(Tabela1[[#This Row],[CIDADE]],",",Tabela1[[#This Row],[UF]])</f>
        <v>Brasília,DF</v>
      </c>
      <c r="F4259" s="15">
        <v>46059</v>
      </c>
      <c r="G4259" s="5">
        <v>362</v>
      </c>
      <c r="H4259" s="5">
        <v>690</v>
      </c>
      <c r="I4259" s="8">
        <f>Tabela1[[#This Row],[Valor total]]-Tabela1[[#This Row],[Valor custo]]</f>
        <v>328</v>
      </c>
      <c r="J4259" s="18">
        <f>Tabela1[[#This Row],[MARGEM BRUTA]]/Tabela1[[#This Row],[Valor total]]</f>
        <v>0.47536231884057972</v>
      </c>
      <c r="K4259" s="17" t="str">
        <f>VLOOKUP(Tabela1[[#This Row],[Cliente]],'BASE DE CLIENTES'!A:D,4,0)</f>
        <v>EMPRESA SEM MAQUINA</v>
      </c>
      <c r="L4259" s="17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7" t="str">
        <f>VLOOKUP(Tabela1[[#This Row],[Cliente]],'BASE DE CLIENTES'!A:E,2,0)</f>
        <v>Águas Lindas de Goiás</v>
      </c>
      <c r="D4260" s="17" t="str">
        <f>VLOOKUP(Tabela1[[#This Row],[Cliente]],'BASE DE CLIENTES'!A:C,3,0)</f>
        <v>GO</v>
      </c>
      <c r="E4260" s="17" t="str">
        <f>CONCATENATE(Tabela1[[#This Row],[CIDADE]],",",Tabela1[[#This Row],[UF]])</f>
        <v>Águas Lindas de Goiás,GO</v>
      </c>
      <c r="F4260" s="15">
        <v>46059</v>
      </c>
      <c r="G4260" s="5">
        <v>362</v>
      </c>
      <c r="H4260" s="5">
        <v>620</v>
      </c>
      <c r="I4260" s="8">
        <f>Tabela1[[#This Row],[Valor total]]-Tabela1[[#This Row],[Valor custo]]</f>
        <v>258</v>
      </c>
      <c r="J4260" s="18">
        <f>Tabela1[[#This Row],[MARGEM BRUTA]]/Tabela1[[#This Row],[Valor total]]</f>
        <v>0.41612903225806452</v>
      </c>
      <c r="K4260" s="17" t="str">
        <f>VLOOKUP(Tabela1[[#This Row],[Cliente]],'BASE DE CLIENTES'!A:D,4,0)</f>
        <v>EMPRESA COM MAQUINA</v>
      </c>
      <c r="L4260" s="17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7" t="str">
        <f>VLOOKUP(Tabela1[[#This Row],[Cliente]],'BASE DE CLIENTES'!A:E,2,0)</f>
        <v>Brasília</v>
      </c>
      <c r="D4261" s="17" t="str">
        <f>VLOOKUP(Tabela1[[#This Row],[Cliente]],'BASE DE CLIENTES'!A:C,3,0)</f>
        <v>DF</v>
      </c>
      <c r="E4261" s="17" t="str">
        <f>CONCATENATE(Tabela1[[#This Row],[CIDADE]],",",Tabela1[[#This Row],[UF]])</f>
        <v>Brasília,DF</v>
      </c>
      <c r="F4261" s="15">
        <v>46059</v>
      </c>
      <c r="G4261" s="5">
        <v>90.06</v>
      </c>
      <c r="H4261" s="5">
        <v>170</v>
      </c>
      <c r="I4261" s="8">
        <f>Tabela1[[#This Row],[Valor total]]-Tabela1[[#This Row],[Valor custo]]</f>
        <v>79.94</v>
      </c>
      <c r="J4261" s="18">
        <f>Tabela1[[#This Row],[MARGEM BRUTA]]/Tabela1[[#This Row],[Valor total]]</f>
        <v>0.47023529411764703</v>
      </c>
      <c r="K4261" s="17" t="str">
        <f>VLOOKUP(Tabela1[[#This Row],[Cliente]],'BASE DE CLIENTES'!A:D,4,0)</f>
        <v>SERRALHEIRO</v>
      </c>
      <c r="L4261" s="17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7" t="str">
        <f>VLOOKUP(Tabela1[[#This Row],[Cliente]],'BASE DE CLIENTES'!A:E,2,0)</f>
        <v>Luziânia</v>
      </c>
      <c r="D4262" s="17" t="str">
        <f>VLOOKUP(Tabela1[[#This Row],[Cliente]],'BASE DE CLIENTES'!A:C,3,0)</f>
        <v>GO</v>
      </c>
      <c r="E4262" s="17" t="str">
        <f>CONCATENATE(Tabela1[[#This Row],[CIDADE]],",",Tabela1[[#This Row],[UF]])</f>
        <v>Luziânia,GO</v>
      </c>
      <c r="F4262" s="15">
        <v>46059</v>
      </c>
      <c r="G4262" s="5">
        <v>150.19999999999999</v>
      </c>
      <c r="H4262" s="5">
        <v>500</v>
      </c>
      <c r="I4262" s="8">
        <f>Tabela1[[#This Row],[Valor total]]-Tabela1[[#This Row],[Valor custo]]</f>
        <v>349.8</v>
      </c>
      <c r="J4262" s="18">
        <f>Tabela1[[#This Row],[MARGEM BRUTA]]/Tabela1[[#This Row],[Valor total]]</f>
        <v>0.6996</v>
      </c>
      <c r="K4262" s="17" t="str">
        <f>VLOOKUP(Tabela1[[#This Row],[Cliente]],'BASE DE CLIENTES'!A:D,4,0)</f>
        <v>EMPRESA COM MAQUINA</v>
      </c>
      <c r="L4262" s="17" t="str">
        <f>VLOOKUP(Tabela1[[#This Row],[Cliente]],'BASE DE CLIENTES'!A:E,5,0)</f>
        <v>Luziânia</v>
      </c>
    </row>
    <row r="4263" spans="2:12" x14ac:dyDescent="0.3">
      <c r="B4263" t="s">
        <v>236</v>
      </c>
      <c r="C4263" s="17" t="str">
        <f>VLOOKUP(Tabela1[[#This Row],[Cliente]],'BASE DE CLIENTES'!A:E,2,0)</f>
        <v>Goiânia</v>
      </c>
      <c r="D4263" s="17" t="str">
        <f>VLOOKUP(Tabela1[[#This Row],[Cliente]],'BASE DE CLIENTES'!A:C,3,0)</f>
        <v>GO</v>
      </c>
      <c r="E4263" s="17" t="str">
        <f>CONCATENATE(Tabela1[[#This Row],[CIDADE]],",",Tabela1[[#This Row],[UF]])</f>
        <v>Goiânia,GO</v>
      </c>
      <c r="F4263" s="15">
        <v>46059</v>
      </c>
      <c r="G4263" s="5">
        <v>2896</v>
      </c>
      <c r="H4263" s="5">
        <v>4160</v>
      </c>
      <c r="I4263" s="8">
        <f>Tabela1[[#This Row],[Valor total]]-Tabela1[[#This Row],[Valor custo]]</f>
        <v>1264</v>
      </c>
      <c r="J4263" s="18">
        <f>Tabela1[[#This Row],[MARGEM BRUTA]]/Tabela1[[#This Row],[Valor total]]</f>
        <v>0.30384615384615382</v>
      </c>
      <c r="K4263" s="17" t="str">
        <f>VLOOKUP(Tabela1[[#This Row],[Cliente]],'BASE DE CLIENTES'!A:D,4,0)</f>
        <v>EMPRESA COM MAQUINA</v>
      </c>
      <c r="L4263" s="17" t="str">
        <f>VLOOKUP(Tabela1[[#This Row],[Cliente]],'BASE DE CLIENTES'!A:E,5,0)</f>
        <v>Goiânia</v>
      </c>
    </row>
    <row r="4264" spans="2:12" x14ac:dyDescent="0.3">
      <c r="B4264" t="s">
        <v>70</v>
      </c>
      <c r="C4264" s="17" t="str">
        <f>VLOOKUP(Tabela1[[#This Row],[Cliente]],'BASE DE CLIENTES'!A:E,2,0)</f>
        <v>Brasília</v>
      </c>
      <c r="D4264" s="17" t="str">
        <f>VLOOKUP(Tabela1[[#This Row],[Cliente]],'BASE DE CLIENTES'!A:C,3,0)</f>
        <v>DF</v>
      </c>
      <c r="E4264" s="17" t="str">
        <f>CONCATENATE(Tabela1[[#This Row],[CIDADE]],",",Tabela1[[#This Row],[UF]])</f>
        <v>Brasília,DF</v>
      </c>
      <c r="F4264" s="15">
        <v>46059</v>
      </c>
      <c r="G4264" s="5">
        <v>781</v>
      </c>
      <c r="H4264" s="5">
        <v>1270</v>
      </c>
      <c r="I4264" s="8">
        <f>Tabela1[[#This Row],[Valor total]]-Tabela1[[#This Row],[Valor custo]]</f>
        <v>489</v>
      </c>
      <c r="J4264" s="18">
        <f>Tabela1[[#This Row],[MARGEM BRUTA]]/Tabela1[[#This Row],[Valor total]]</f>
        <v>0.38503937007874017</v>
      </c>
      <c r="K4264" s="17" t="str">
        <f>VLOOKUP(Tabela1[[#This Row],[Cliente]],'BASE DE CLIENTES'!A:D,4,0)</f>
        <v>EMPRESA COM MAQUINA</v>
      </c>
      <c r="L4264" s="17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7" t="str">
        <f>VLOOKUP(Tabela1[[#This Row],[Cliente]],'BASE DE CLIENTES'!A:E,2,0)</f>
        <v>Brasília</v>
      </c>
      <c r="D4265" s="17" t="str">
        <f>VLOOKUP(Tabela1[[#This Row],[Cliente]],'BASE DE CLIENTES'!A:C,3,0)</f>
        <v>DF</v>
      </c>
      <c r="E4265" s="17" t="str">
        <f>CONCATENATE(Tabela1[[#This Row],[CIDADE]],",",Tabela1[[#This Row],[UF]])</f>
        <v>Brasília,DF</v>
      </c>
      <c r="F4265" s="15">
        <v>46059</v>
      </c>
      <c r="G4265" s="5">
        <v>13.69</v>
      </c>
      <c r="H4265" s="5">
        <v>120</v>
      </c>
      <c r="I4265" s="8">
        <f>Tabela1[[#This Row],[Valor total]]-Tabela1[[#This Row],[Valor custo]]</f>
        <v>106.31</v>
      </c>
      <c r="J4265" s="18">
        <f>Tabela1[[#This Row],[MARGEM BRUTA]]/Tabela1[[#This Row],[Valor total]]</f>
        <v>0.88591666666666669</v>
      </c>
      <c r="K4265" s="17" t="str">
        <f>VLOOKUP(Tabela1[[#This Row],[Cliente]],'BASE DE CLIENTES'!A:D,4,0)</f>
        <v>SERRALHEIRO</v>
      </c>
      <c r="L4265" s="17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7" t="str">
        <f>VLOOKUP(Tabela1[[#This Row],[Cliente]],'BASE DE CLIENTES'!A:E,2,0)</f>
        <v>Brasília</v>
      </c>
      <c r="D4266" s="17" t="str">
        <f>VLOOKUP(Tabela1[[#This Row],[Cliente]],'BASE DE CLIENTES'!A:C,3,0)</f>
        <v>DF</v>
      </c>
      <c r="E4266" s="17" t="str">
        <f>CONCATENATE(Tabela1[[#This Row],[CIDADE]],",",Tabela1[[#This Row],[UF]])</f>
        <v>Brasília,DF</v>
      </c>
      <c r="F4266" s="15">
        <v>46059</v>
      </c>
      <c r="G4266" s="5">
        <v>13.69</v>
      </c>
      <c r="H4266" s="5">
        <v>200</v>
      </c>
      <c r="I4266" s="8">
        <f>Tabela1[[#This Row],[Valor total]]-Tabela1[[#This Row],[Valor custo]]</f>
        <v>186.31</v>
      </c>
      <c r="J4266" s="18">
        <f>Tabela1[[#This Row],[MARGEM BRUTA]]/Tabela1[[#This Row],[Valor total]]</f>
        <v>0.93154999999999999</v>
      </c>
      <c r="K4266" s="17" t="str">
        <f>VLOOKUP(Tabela1[[#This Row],[Cliente]],'BASE DE CLIENTES'!A:D,4,0)</f>
        <v>CLIENTE NOVO S/ IDENT.</v>
      </c>
      <c r="L4266" s="17" t="str">
        <f>VLOOKUP(Tabela1[[#This Row],[Cliente]],'BASE DE CLIENTES'!A:E,5,0)</f>
        <v>Brasília</v>
      </c>
    </row>
    <row r="4267" spans="2:12" x14ac:dyDescent="0.3">
      <c r="B4267" t="s">
        <v>30</v>
      </c>
      <c r="C4267" s="17" t="str">
        <f>VLOOKUP(Tabela1[[#This Row],[Cliente]],'BASE DE CLIENTES'!A:E,2,0)</f>
        <v>Águas Lindas de Goiás</v>
      </c>
      <c r="D4267" s="17" t="str">
        <f>VLOOKUP(Tabela1[[#This Row],[Cliente]],'BASE DE CLIENTES'!A:C,3,0)</f>
        <v>GO</v>
      </c>
      <c r="E4267" s="17" t="str">
        <f>CONCATENATE(Tabela1[[#This Row],[CIDADE]],",",Tabela1[[#This Row],[UF]])</f>
        <v>Águas Lindas de Goiás,GO</v>
      </c>
      <c r="F4267" s="15">
        <v>46059</v>
      </c>
      <c r="G4267" s="5">
        <v>838</v>
      </c>
      <c r="H4267" s="5">
        <v>1310</v>
      </c>
      <c r="I4267" s="8">
        <f>Tabela1[[#This Row],[Valor total]]-Tabela1[[#This Row],[Valor custo]]</f>
        <v>472</v>
      </c>
      <c r="J4267" s="18">
        <f>Tabela1[[#This Row],[MARGEM BRUTA]]/Tabela1[[#This Row],[Valor total]]</f>
        <v>0.36030534351145038</v>
      </c>
      <c r="K4267" s="17" t="str">
        <f>VLOOKUP(Tabela1[[#This Row],[Cliente]],'BASE DE CLIENTES'!A:D,4,0)</f>
        <v>SERRALHEIRO</v>
      </c>
      <c r="L4267" s="17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7" t="str">
        <f>VLOOKUP(Tabela1[[#This Row],[Cliente]],'BASE DE CLIENTES'!A:E,2,0)</f>
        <v>Aparecida de Goiânia</v>
      </c>
      <c r="D4268" s="17" t="str">
        <f>VLOOKUP(Tabela1[[#This Row],[Cliente]],'BASE DE CLIENTES'!A:C,3,0)</f>
        <v>GO</v>
      </c>
      <c r="E4268" s="17" t="str">
        <f>CONCATENATE(Tabela1[[#This Row],[CIDADE]],",",Tabela1[[#This Row],[UF]])</f>
        <v>Aparecida de Goiânia,GO</v>
      </c>
      <c r="F4268" s="15">
        <v>46059</v>
      </c>
      <c r="G4268" s="5">
        <v>225.12</v>
      </c>
      <c r="H4268" s="5">
        <v>600</v>
      </c>
      <c r="I4268" s="8">
        <f>Tabela1[[#This Row],[Valor total]]-Tabela1[[#This Row],[Valor custo]]</f>
        <v>374.88</v>
      </c>
      <c r="J4268" s="18">
        <f>Tabela1[[#This Row],[MARGEM BRUTA]]/Tabela1[[#This Row],[Valor total]]</f>
        <v>0.62480000000000002</v>
      </c>
      <c r="K4268" s="17" t="str">
        <f>VLOOKUP(Tabela1[[#This Row],[Cliente]],'BASE DE CLIENTES'!A:D,4,0)</f>
        <v>TECNICO</v>
      </c>
      <c r="L4268" s="17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7" t="str">
        <f>VLOOKUP(Tabela1[[#This Row],[Cliente]],'BASE DE CLIENTES'!A:E,2,0)</f>
        <v>Brasília</v>
      </c>
      <c r="D4269" s="17" t="str">
        <f>VLOOKUP(Tabela1[[#This Row],[Cliente]],'BASE DE CLIENTES'!A:C,3,0)</f>
        <v>DF</v>
      </c>
      <c r="E4269" s="17" t="str">
        <f>CONCATENATE(Tabela1[[#This Row],[CIDADE]],",",Tabela1[[#This Row],[UF]])</f>
        <v>Brasília,DF</v>
      </c>
      <c r="F4269" s="15">
        <v>46059</v>
      </c>
      <c r="G4269" s="5">
        <v>12300</v>
      </c>
      <c r="H4269" s="5">
        <v>19200</v>
      </c>
      <c r="I4269" s="8">
        <f>Tabela1[[#This Row],[Valor total]]-Tabela1[[#This Row],[Valor custo]]</f>
        <v>6900</v>
      </c>
      <c r="J4269" s="18">
        <f>Tabela1[[#This Row],[MARGEM BRUTA]]/Tabela1[[#This Row],[Valor total]]</f>
        <v>0.359375</v>
      </c>
      <c r="K4269" s="17" t="str">
        <f>VLOOKUP(Tabela1[[#This Row],[Cliente]],'BASE DE CLIENTES'!A:D,4,0)</f>
        <v>EMPRESA COM MAQUINA</v>
      </c>
      <c r="L4269" s="17" t="str">
        <f>VLOOKUP(Tabela1[[#This Row],[Cliente]],'BASE DE CLIENTES'!A:E,5,0)</f>
        <v>26 DE SETEMBRO</v>
      </c>
    </row>
    <row r="4270" spans="2:12" x14ac:dyDescent="0.3">
      <c r="B4270" t="s">
        <v>152</v>
      </c>
      <c r="C4270" s="17" t="str">
        <f>VLOOKUP(Tabela1[[#This Row],[Cliente]],'BASE DE CLIENTES'!A:E,2,0)</f>
        <v>Aparecida de Goiânia</v>
      </c>
      <c r="D4270" s="17" t="str">
        <f>VLOOKUP(Tabela1[[#This Row],[Cliente]],'BASE DE CLIENTES'!A:C,3,0)</f>
        <v>GO</v>
      </c>
      <c r="E4270" s="17" t="str">
        <f>CONCATENATE(Tabela1[[#This Row],[CIDADE]],",",Tabela1[[#This Row],[UF]])</f>
        <v>Aparecida de Goiânia,GO</v>
      </c>
      <c r="F4270" s="15">
        <v>46059</v>
      </c>
      <c r="G4270" s="5">
        <v>290</v>
      </c>
      <c r="H4270" s="5">
        <v>500</v>
      </c>
      <c r="I4270" s="8">
        <f>Tabela1[[#This Row],[Valor total]]-Tabela1[[#This Row],[Valor custo]]</f>
        <v>210</v>
      </c>
      <c r="J4270" s="18">
        <f>Tabela1[[#This Row],[MARGEM BRUTA]]/Tabela1[[#This Row],[Valor total]]</f>
        <v>0.42</v>
      </c>
      <c r="K4270" s="17" t="str">
        <f>VLOOKUP(Tabela1[[#This Row],[Cliente]],'BASE DE CLIENTES'!A:D,4,0)</f>
        <v>TECNICO</v>
      </c>
      <c r="L4270" s="17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7" t="str">
        <f>VLOOKUP(Tabela1[[#This Row],[Cliente]],'BASE DE CLIENTES'!A:E,2,0)</f>
        <v>Goiânia</v>
      </c>
      <c r="D4271" s="17" t="str">
        <f>VLOOKUP(Tabela1[[#This Row],[Cliente]],'BASE DE CLIENTES'!A:C,3,0)</f>
        <v>GO</v>
      </c>
      <c r="E4271" s="17" t="str">
        <f>CONCATENATE(Tabela1[[#This Row],[CIDADE]],",",Tabela1[[#This Row],[UF]])</f>
        <v>Goiânia,GO</v>
      </c>
      <c r="F4271" s="15">
        <v>46059</v>
      </c>
      <c r="G4271" s="5">
        <v>2172</v>
      </c>
      <c r="H4271" s="5">
        <v>3120</v>
      </c>
      <c r="I4271" s="8">
        <f>Tabela1[[#This Row],[Valor total]]-Tabela1[[#This Row],[Valor custo]]</f>
        <v>948</v>
      </c>
      <c r="J4271" s="18">
        <f>Tabela1[[#This Row],[MARGEM BRUTA]]/Tabela1[[#This Row],[Valor total]]</f>
        <v>0.30384615384615382</v>
      </c>
      <c r="K4271" s="17" t="str">
        <f>VLOOKUP(Tabela1[[#This Row],[Cliente]],'BASE DE CLIENTES'!A:D,4,0)</f>
        <v>EMPRESA COM MAQUINA</v>
      </c>
      <c r="L4271" s="17" t="str">
        <f>VLOOKUP(Tabela1[[#This Row],[Cliente]],'BASE DE CLIENTES'!A:E,5,0)</f>
        <v>Goiânia</v>
      </c>
    </row>
    <row r="4272" spans="2:12" x14ac:dyDescent="0.3">
      <c r="B4272" t="s">
        <v>97</v>
      </c>
      <c r="C4272" s="17" t="str">
        <f>VLOOKUP(Tabela1[[#This Row],[Cliente]],'BASE DE CLIENTES'!A:E,2,0)</f>
        <v>Brasília</v>
      </c>
      <c r="D4272" s="17" t="str">
        <f>VLOOKUP(Tabela1[[#This Row],[Cliente]],'BASE DE CLIENTES'!A:C,3,0)</f>
        <v>DF</v>
      </c>
      <c r="E4272" s="17" t="str">
        <f>CONCATENATE(Tabela1[[#This Row],[CIDADE]],",",Tabela1[[#This Row],[UF]])</f>
        <v>Brasília,DF</v>
      </c>
      <c r="F4272" s="15">
        <v>46059</v>
      </c>
      <c r="G4272" s="5">
        <v>1408.86</v>
      </c>
      <c r="H4272" s="5">
        <v>2140</v>
      </c>
      <c r="I4272" s="8">
        <f>Tabela1[[#This Row],[Valor total]]-Tabela1[[#This Row],[Valor custo]]</f>
        <v>731.1400000000001</v>
      </c>
      <c r="J4272" s="18">
        <f>Tabela1[[#This Row],[MARGEM BRUTA]]/Tabela1[[#This Row],[Valor total]]</f>
        <v>0.34165420560747667</v>
      </c>
      <c r="K4272" s="17" t="str">
        <f>VLOOKUP(Tabela1[[#This Row],[Cliente]],'BASE DE CLIENTES'!A:D,4,0)</f>
        <v>SERRALHEIRO</v>
      </c>
      <c r="L4272" s="17" t="str">
        <f>VLOOKUP(Tabela1[[#This Row],[Cliente]],'BASE DE CLIENTES'!A:E,5,0)</f>
        <v>CEILANDIA NORTE</v>
      </c>
    </row>
    <row r="4273" spans="2:12" x14ac:dyDescent="0.3">
      <c r="B4273" t="s">
        <v>55</v>
      </c>
      <c r="C4273" s="17" t="str">
        <f>VLOOKUP(Tabela1[[#This Row],[Cliente]],'BASE DE CLIENTES'!A:E,2,0)</f>
        <v>Brasília</v>
      </c>
      <c r="D4273" s="17" t="str">
        <f>VLOOKUP(Tabela1[[#This Row],[Cliente]],'BASE DE CLIENTES'!A:C,3,0)</f>
        <v>DF</v>
      </c>
      <c r="E4273" s="17" t="str">
        <f>CONCATENATE(Tabela1[[#This Row],[CIDADE]],",",Tabela1[[#This Row],[UF]])</f>
        <v>Brasília,DF</v>
      </c>
      <c r="F4273" s="15">
        <v>46059</v>
      </c>
      <c r="G4273" s="5">
        <v>530</v>
      </c>
      <c r="H4273" s="5">
        <v>870</v>
      </c>
      <c r="I4273" s="8">
        <f>Tabela1[[#This Row],[Valor total]]-Tabela1[[#This Row],[Valor custo]]</f>
        <v>340</v>
      </c>
      <c r="J4273" s="18">
        <f>Tabela1[[#This Row],[MARGEM BRUTA]]/Tabela1[[#This Row],[Valor total]]</f>
        <v>0.39080459770114945</v>
      </c>
      <c r="K4273" s="17" t="str">
        <f>VLOOKUP(Tabela1[[#This Row],[Cliente]],'BASE DE CLIENTES'!A:D,4,0)</f>
        <v>EMPRESA SEM MAQUINA</v>
      </c>
      <c r="L4273" s="17" t="str">
        <f>VLOOKUP(Tabela1[[#This Row],[Cliente]],'BASE DE CLIENTES'!A:E,5,0)</f>
        <v>RECANTO DAS EMAS</v>
      </c>
    </row>
    <row r="4274" spans="2:12" x14ac:dyDescent="0.3">
      <c r="B4274" t="s">
        <v>49</v>
      </c>
      <c r="C4274" s="17" t="str">
        <f>VLOOKUP(Tabela1[[#This Row],[Cliente]],'BASE DE CLIENTES'!A:E,2,0)</f>
        <v>Brasília</v>
      </c>
      <c r="D4274" s="17" t="str">
        <f>VLOOKUP(Tabela1[[#This Row],[Cliente]],'BASE DE CLIENTES'!A:C,3,0)</f>
        <v>DF</v>
      </c>
      <c r="E4274" s="17" t="str">
        <f>CONCATENATE(Tabela1[[#This Row],[CIDADE]],",",Tabela1[[#This Row],[UF]])</f>
        <v>Brasília,DF</v>
      </c>
      <c r="F4274" s="15">
        <v>46059</v>
      </c>
      <c r="G4274" s="5">
        <v>180.12</v>
      </c>
      <c r="H4274" s="5">
        <v>330</v>
      </c>
      <c r="I4274" s="8">
        <f>Tabela1[[#This Row],[Valor total]]-Tabela1[[#This Row],[Valor custo]]</f>
        <v>149.88</v>
      </c>
      <c r="J4274" s="18">
        <f>Tabela1[[#This Row],[MARGEM BRUTA]]/Tabela1[[#This Row],[Valor total]]</f>
        <v>0.45418181818181819</v>
      </c>
      <c r="K4274" s="17" t="str">
        <f>VLOOKUP(Tabela1[[#This Row],[Cliente]],'BASE DE CLIENTES'!A:D,4,0)</f>
        <v>EMPRESA COM MAQUINA</v>
      </c>
      <c r="L4274" s="17" t="str">
        <f>VLOOKUP(Tabela1[[#This Row],[Cliente]],'BASE DE CLIENTES'!A:E,5,0)</f>
        <v>TAGUATINGA</v>
      </c>
    </row>
    <row r="4275" spans="2:12" x14ac:dyDescent="0.3">
      <c r="B4275" t="s">
        <v>316</v>
      </c>
      <c r="C4275" s="17" t="str">
        <f>VLOOKUP(Tabela1[[#This Row],[Cliente]],'BASE DE CLIENTES'!A:E,2,0)</f>
        <v>Valparaíso de Goiás</v>
      </c>
      <c r="D4275" s="17" t="str">
        <f>VLOOKUP(Tabela1[[#This Row],[Cliente]],'BASE DE CLIENTES'!A:C,3,0)</f>
        <v>GO</v>
      </c>
      <c r="E4275" s="17" t="str">
        <f>CONCATENATE(Tabela1[[#This Row],[CIDADE]],",",Tabela1[[#This Row],[UF]])</f>
        <v>Valparaíso de Goiás,GO</v>
      </c>
      <c r="F4275" s="15">
        <v>46059</v>
      </c>
      <c r="G4275" s="5">
        <v>510.31</v>
      </c>
      <c r="H4275" s="5">
        <v>750</v>
      </c>
      <c r="I4275" s="8">
        <f>Tabela1[[#This Row],[Valor total]]-Tabela1[[#This Row],[Valor custo]]</f>
        <v>239.69</v>
      </c>
      <c r="J4275" s="18">
        <f>Tabela1[[#This Row],[MARGEM BRUTA]]/Tabela1[[#This Row],[Valor total]]</f>
        <v>0.31958666666666669</v>
      </c>
      <c r="K4275" s="17" t="str">
        <f>VLOOKUP(Tabela1[[#This Row],[Cliente]],'BASE DE CLIENTES'!A:D,4,0)</f>
        <v>SERRALHEIRO</v>
      </c>
      <c r="L4275" s="17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7" t="str">
        <f>VLOOKUP(Tabela1[[#This Row],[Cliente]],'BASE DE CLIENTES'!A:E,2,0)</f>
        <v>Brasília</v>
      </c>
      <c r="D4276" s="17" t="str">
        <f>VLOOKUP(Tabela1[[#This Row],[Cliente]],'BASE DE CLIENTES'!A:C,3,0)</f>
        <v>DF</v>
      </c>
      <c r="E4276" s="17" t="str">
        <f>CONCATENATE(Tabela1[[#This Row],[CIDADE]],",",Tabela1[[#This Row],[UF]])</f>
        <v>Brasília,DF</v>
      </c>
      <c r="F4276" s="15">
        <v>46059</v>
      </c>
      <c r="G4276" s="5">
        <v>1012</v>
      </c>
      <c r="H4276" s="5">
        <v>1645</v>
      </c>
      <c r="I4276" s="8">
        <f>Tabela1[[#This Row],[Valor total]]-Tabela1[[#This Row],[Valor custo]]</f>
        <v>633</v>
      </c>
      <c r="J4276" s="18">
        <f>Tabela1[[#This Row],[MARGEM BRUTA]]/Tabela1[[#This Row],[Valor total]]</f>
        <v>0.38480243161094224</v>
      </c>
      <c r="K4276" s="17" t="str">
        <f>VLOOKUP(Tabela1[[#This Row],[Cliente]],'BASE DE CLIENTES'!A:D,4,0)</f>
        <v>SERRALHEIRO</v>
      </c>
      <c r="L4276" s="17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7" t="str">
        <f>VLOOKUP(Tabela1[[#This Row],[Cliente]],'BASE DE CLIENTES'!A:E,2,0)</f>
        <v>Brasília</v>
      </c>
      <c r="D4277" s="17" t="str">
        <f>VLOOKUP(Tabela1[[#This Row],[Cliente]],'BASE DE CLIENTES'!A:C,3,0)</f>
        <v>DF</v>
      </c>
      <c r="E4277" s="17" t="str">
        <f>CONCATENATE(Tabela1[[#This Row],[CIDADE]],",",Tabela1[[#This Row],[UF]])</f>
        <v>Brasília,DF</v>
      </c>
      <c r="F4277" s="15">
        <v>46059</v>
      </c>
      <c r="G4277" s="5">
        <v>1030</v>
      </c>
      <c r="H4277" s="5">
        <v>1469</v>
      </c>
      <c r="I4277" s="8">
        <f>Tabela1[[#This Row],[Valor total]]-Tabela1[[#This Row],[Valor custo]]</f>
        <v>439</v>
      </c>
      <c r="J4277" s="18">
        <f>Tabela1[[#This Row],[MARGEM BRUTA]]/Tabela1[[#This Row],[Valor total]]</f>
        <v>0.2988427501701838</v>
      </c>
      <c r="K4277" s="17" t="str">
        <f>VLOOKUP(Tabela1[[#This Row],[Cliente]],'BASE DE CLIENTES'!A:D,4,0)</f>
        <v>EMPRESA SEM MAQUINA</v>
      </c>
      <c r="L4277" s="17" t="str">
        <f>VLOOKUP(Tabela1[[#This Row],[Cliente]],'BASE DE CLIENTES'!A:E,5,0)</f>
        <v>SAMAMBAIA</v>
      </c>
    </row>
    <row r="4278" spans="2:12" x14ac:dyDescent="0.3">
      <c r="B4278" t="s">
        <v>27</v>
      </c>
      <c r="C4278" s="17" t="str">
        <f>VLOOKUP(Tabela1[[#This Row],[Cliente]],'BASE DE CLIENTES'!A:E,2,0)</f>
        <v>Brasília</v>
      </c>
      <c r="D4278" s="17" t="str">
        <f>VLOOKUP(Tabela1[[#This Row],[Cliente]],'BASE DE CLIENTES'!A:C,3,0)</f>
        <v>DF</v>
      </c>
      <c r="E4278" s="17" t="str">
        <f>CONCATENATE(Tabela1[[#This Row],[CIDADE]],",",Tabela1[[#This Row],[UF]])</f>
        <v>Brasília,DF</v>
      </c>
      <c r="F4278" s="15">
        <v>46059</v>
      </c>
      <c r="G4278" s="5">
        <v>2087</v>
      </c>
      <c r="H4278" s="5">
        <v>4365</v>
      </c>
      <c r="I4278" s="8">
        <f>Tabela1[[#This Row],[Valor total]]-Tabela1[[#This Row],[Valor custo]]</f>
        <v>2278</v>
      </c>
      <c r="J4278" s="18">
        <f>Tabela1[[#This Row],[MARGEM BRUTA]]/Tabela1[[#This Row],[Valor total]]</f>
        <v>0.52187857961053841</v>
      </c>
      <c r="K4278" s="17" t="str">
        <f>VLOOKUP(Tabela1[[#This Row],[Cliente]],'BASE DE CLIENTES'!A:D,4,0)</f>
        <v>EMPRESA SEM MAQUINA</v>
      </c>
      <c r="L4278" s="17" t="str">
        <f>VLOOKUP(Tabela1[[#This Row],[Cliente]],'BASE DE CLIENTES'!A:E,5,0)</f>
        <v>RECANTO DAS EMAS</v>
      </c>
    </row>
    <row r="4279" spans="2:12" x14ac:dyDescent="0.3">
      <c r="B4279" t="s">
        <v>52</v>
      </c>
      <c r="C4279" s="17" t="str">
        <f>VLOOKUP(Tabela1[[#This Row],[Cliente]],'BASE DE CLIENTES'!A:E,2,0)</f>
        <v>Brasília</v>
      </c>
      <c r="D4279" s="17" t="str">
        <f>VLOOKUP(Tabela1[[#This Row],[Cliente]],'BASE DE CLIENTES'!A:C,3,0)</f>
        <v>DF</v>
      </c>
      <c r="E4279" s="17" t="str">
        <f>CONCATENATE(Tabela1[[#This Row],[CIDADE]],",",Tabela1[[#This Row],[UF]])</f>
        <v>Brasília,DF</v>
      </c>
      <c r="F4279" s="15">
        <v>46059</v>
      </c>
      <c r="G4279" s="5">
        <v>838</v>
      </c>
      <c r="H4279" s="5">
        <v>1360</v>
      </c>
      <c r="I4279" s="8">
        <f>Tabela1[[#This Row],[Valor total]]-Tabela1[[#This Row],[Valor custo]]</f>
        <v>522</v>
      </c>
      <c r="J4279" s="18">
        <f>Tabela1[[#This Row],[MARGEM BRUTA]]/Tabela1[[#This Row],[Valor total]]</f>
        <v>0.38382352941176473</v>
      </c>
      <c r="K4279" s="17" t="str">
        <f>VLOOKUP(Tabela1[[#This Row],[Cliente]],'BASE DE CLIENTES'!A:D,4,0)</f>
        <v>SERRALHEIRO</v>
      </c>
      <c r="L4279" s="17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7" t="str">
        <f>VLOOKUP(Tabela1[[#This Row],[Cliente]],'BASE DE CLIENTES'!A:E,2,0)</f>
        <v>Brasília</v>
      </c>
      <c r="D4280" s="17" t="str">
        <f>VLOOKUP(Tabela1[[#This Row],[Cliente]],'BASE DE CLIENTES'!A:C,3,0)</f>
        <v>DF</v>
      </c>
      <c r="E4280" s="17" t="str">
        <f>CONCATENATE(Tabela1[[#This Row],[CIDADE]],",",Tabela1[[#This Row],[UF]])</f>
        <v>Brasília,DF</v>
      </c>
      <c r="F4280" s="15">
        <v>46059</v>
      </c>
      <c r="G4280" s="5">
        <v>90.06</v>
      </c>
      <c r="H4280" s="5">
        <v>160</v>
      </c>
      <c r="I4280" s="8">
        <f>Tabela1[[#This Row],[Valor total]]-Tabela1[[#This Row],[Valor custo]]</f>
        <v>69.94</v>
      </c>
      <c r="J4280" s="18">
        <f>Tabela1[[#This Row],[MARGEM BRUTA]]/Tabela1[[#This Row],[Valor total]]</f>
        <v>0.43712499999999999</v>
      </c>
      <c r="K4280" s="17" t="str">
        <f>VLOOKUP(Tabela1[[#This Row],[Cliente]],'BASE DE CLIENTES'!A:D,4,0)</f>
        <v>SERRALHEIRO</v>
      </c>
      <c r="L4280" s="17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7" t="str">
        <f>VLOOKUP(Tabela1[[#This Row],[Cliente]],'BASE DE CLIENTES'!A:E,2,0)</f>
        <v>Brasília</v>
      </c>
      <c r="D4281" s="17" t="str">
        <f>VLOOKUP(Tabela1[[#This Row],[Cliente]],'BASE DE CLIENTES'!A:C,3,0)</f>
        <v>DF</v>
      </c>
      <c r="E4281" s="17" t="str">
        <f>CONCATENATE(Tabela1[[#This Row],[CIDADE]],",",Tabela1[[#This Row],[UF]])</f>
        <v>Brasília,DF</v>
      </c>
      <c r="F4281" s="15">
        <v>46059</v>
      </c>
      <c r="G4281" s="5">
        <v>362</v>
      </c>
      <c r="H4281" s="5">
        <v>615</v>
      </c>
      <c r="I4281" s="8">
        <f>Tabela1[[#This Row],[Valor total]]-Tabela1[[#This Row],[Valor custo]]</f>
        <v>253</v>
      </c>
      <c r="J4281" s="18">
        <f>Tabela1[[#This Row],[MARGEM BRUTA]]/Tabela1[[#This Row],[Valor total]]</f>
        <v>0.41138211382113821</v>
      </c>
      <c r="K4281" s="17" t="str">
        <f>VLOOKUP(Tabela1[[#This Row],[Cliente]],'BASE DE CLIENTES'!A:D,4,0)</f>
        <v>EMPRESA SEM MAQUINA</v>
      </c>
      <c r="L4281" s="17" t="str">
        <f>VLOOKUP(Tabela1[[#This Row],[Cliente]],'BASE DE CLIENTES'!A:E,5,0)</f>
        <v>SAMAMBAIA</v>
      </c>
    </row>
    <row r="4282" spans="2:12" x14ac:dyDescent="0.3">
      <c r="B4282" t="s">
        <v>1141</v>
      </c>
      <c r="C4282" s="17" t="str">
        <f>VLOOKUP(Tabela1[[#This Row],[Cliente]],'BASE DE CLIENTES'!A:E,2,0)</f>
        <v>Aparecida de Goiânia</v>
      </c>
      <c r="D4282" s="17" t="str">
        <f>VLOOKUP(Tabela1[[#This Row],[Cliente]],'BASE DE CLIENTES'!A:C,3,0)</f>
        <v>GO</v>
      </c>
      <c r="E4282" s="17" t="str">
        <f>CONCATENATE(Tabela1[[#This Row],[CIDADE]],",",Tabela1[[#This Row],[UF]])</f>
        <v>Aparecida de Goiânia,GO</v>
      </c>
      <c r="F4282" s="15">
        <v>46059</v>
      </c>
      <c r="G4282" s="5">
        <v>3960</v>
      </c>
      <c r="H4282" s="5">
        <v>5400</v>
      </c>
      <c r="I4282" s="8">
        <f>Tabela1[[#This Row],[Valor total]]-Tabela1[[#This Row],[Valor custo]]</f>
        <v>1440</v>
      </c>
      <c r="J4282" s="18">
        <f>Tabela1[[#This Row],[MARGEM BRUTA]]/Tabela1[[#This Row],[Valor total]]</f>
        <v>0.26666666666666666</v>
      </c>
      <c r="K4282" s="17" t="str">
        <f>VLOOKUP(Tabela1[[#This Row],[Cliente]],'BASE DE CLIENTES'!A:D,4,0)</f>
        <v>CLIENTE NOVO S/ IDENT.</v>
      </c>
      <c r="L4282" s="17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7" t="str">
        <f>VLOOKUP(Tabela1[[#This Row],[Cliente]],'BASE DE CLIENTES'!A:E,2,0)</f>
        <v>Brasília</v>
      </c>
      <c r="D4283" s="17" t="str">
        <f>VLOOKUP(Tabela1[[#This Row],[Cliente]],'BASE DE CLIENTES'!A:C,3,0)</f>
        <v>DF</v>
      </c>
      <c r="E4283" s="17" t="str">
        <f>CONCATENATE(Tabela1[[#This Row],[CIDADE]],",",Tabela1[[#This Row],[UF]])</f>
        <v>Brasília,DF</v>
      </c>
      <c r="F4283" s="15">
        <v>46059</v>
      </c>
      <c r="G4283" s="5">
        <v>1220.74</v>
      </c>
      <c r="H4283" s="5">
        <v>1855</v>
      </c>
      <c r="I4283" s="8">
        <f>Tabela1[[#This Row],[Valor total]]-Tabela1[[#This Row],[Valor custo]]</f>
        <v>634.26</v>
      </c>
      <c r="J4283" s="18">
        <f>Tabela1[[#This Row],[MARGEM BRUTA]]/Tabela1[[#This Row],[Valor total]]</f>
        <v>0.34191913746630725</v>
      </c>
      <c r="K4283" s="17" t="str">
        <f>VLOOKUP(Tabela1[[#This Row],[Cliente]],'BASE DE CLIENTES'!A:D,4,0)</f>
        <v>EMPRESA SEM MAQUINA</v>
      </c>
      <c r="L4283" s="17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7" t="str">
        <f>VLOOKUP(Tabela1[[#This Row],[Cliente]],'BASE DE CLIENTES'!A:E,2,0)</f>
        <v>Santo Antônio Descoberto</v>
      </c>
      <c r="D4284" s="17" t="str">
        <f>VLOOKUP(Tabela1[[#This Row],[Cliente]],'BASE DE CLIENTES'!A:C,3,0)</f>
        <v>GO</v>
      </c>
      <c r="E4284" s="17" t="str">
        <f>CONCATENATE(Tabela1[[#This Row],[CIDADE]],",",Tabela1[[#This Row],[UF]])</f>
        <v>Santo Antônio Descoberto,GO</v>
      </c>
      <c r="F4284" s="15">
        <v>46058</v>
      </c>
      <c r="G4284" s="5">
        <v>2532</v>
      </c>
      <c r="H4284" s="5">
        <v>3771.4</v>
      </c>
      <c r="I4284" s="8">
        <f>Tabela1[[#This Row],[Valor total]]-Tabela1[[#This Row],[Valor custo]]</f>
        <v>1239.4000000000001</v>
      </c>
      <c r="J4284" s="18">
        <f>Tabela1[[#This Row],[MARGEM BRUTA]]/Tabela1[[#This Row],[Valor total]]</f>
        <v>0.32863127750967813</v>
      </c>
      <c r="K4284" s="17" t="str">
        <f>VLOOKUP(Tabela1[[#This Row],[Cliente]],'BASE DE CLIENTES'!A:D,4,0)</f>
        <v>CLIENTE NOVO S/ IDENT.</v>
      </c>
      <c r="L4284" s="17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7" t="str">
        <f>VLOOKUP(Tabela1[[#This Row],[Cliente]],'BASE DE CLIENTES'!A:E,2,0)</f>
        <v>Brasília</v>
      </c>
      <c r="D4285" s="17" t="str">
        <f>VLOOKUP(Tabela1[[#This Row],[Cliente]],'BASE DE CLIENTES'!A:C,3,0)</f>
        <v>DF</v>
      </c>
      <c r="E4285" s="17" t="str">
        <f>CONCATENATE(Tabela1[[#This Row],[CIDADE]],",",Tabela1[[#This Row],[UF]])</f>
        <v>Brasília,DF</v>
      </c>
      <c r="F4285" s="15">
        <v>46058</v>
      </c>
      <c r="G4285" s="5">
        <v>191</v>
      </c>
      <c r="H4285" s="5">
        <v>500</v>
      </c>
      <c r="I4285" s="8">
        <f>Tabela1[[#This Row],[Valor total]]-Tabela1[[#This Row],[Valor custo]]</f>
        <v>309</v>
      </c>
      <c r="J4285" s="18">
        <f>Tabela1[[#This Row],[MARGEM BRUTA]]/Tabela1[[#This Row],[Valor total]]</f>
        <v>0.61799999999999999</v>
      </c>
      <c r="K4285" s="17" t="str">
        <f>VLOOKUP(Tabela1[[#This Row],[Cliente]],'BASE DE CLIENTES'!A:D,4,0)</f>
        <v>CLIENTE FECHADURA</v>
      </c>
      <c r="L4285" s="17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7" t="str">
        <f>VLOOKUP(Tabela1[[#This Row],[Cliente]],'BASE DE CLIENTES'!A:E,2,0)</f>
        <v>Valparaíso de Goiás</v>
      </c>
      <c r="D4286" s="17" t="str">
        <f>VLOOKUP(Tabela1[[#This Row],[Cliente]],'BASE DE CLIENTES'!A:C,3,0)</f>
        <v>GO</v>
      </c>
      <c r="E4286" s="17" t="str">
        <f>CONCATENATE(Tabela1[[#This Row],[CIDADE]],",",Tabela1[[#This Row],[UF]])</f>
        <v>Valparaíso de Goiás,GO</v>
      </c>
      <c r="F4286" s="15">
        <v>46058</v>
      </c>
      <c r="G4286" s="5">
        <v>530</v>
      </c>
      <c r="H4286" s="5">
        <v>900</v>
      </c>
      <c r="I4286" s="8">
        <f>Tabela1[[#This Row],[Valor total]]-Tabela1[[#This Row],[Valor custo]]</f>
        <v>370</v>
      </c>
      <c r="J4286" s="18">
        <f>Tabela1[[#This Row],[MARGEM BRUTA]]/Tabela1[[#This Row],[Valor total]]</f>
        <v>0.41111111111111109</v>
      </c>
      <c r="K4286" s="17" t="str">
        <f>VLOOKUP(Tabela1[[#This Row],[Cliente]],'BASE DE CLIENTES'!A:D,4,0)</f>
        <v>SERRALHEIRO</v>
      </c>
      <c r="L4286" s="17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7" t="str">
        <f>VLOOKUP(Tabela1[[#This Row],[Cliente]],'BASE DE CLIENTES'!A:E,2,0)</f>
        <v>Anápolis</v>
      </c>
      <c r="D4287" s="17" t="str">
        <f>VLOOKUP(Tabela1[[#This Row],[Cliente]],'BASE DE CLIENTES'!A:C,3,0)</f>
        <v>GO</v>
      </c>
      <c r="E4287" s="17" t="str">
        <f>CONCATENATE(Tabela1[[#This Row],[CIDADE]],",",Tabela1[[#This Row],[UF]])</f>
        <v>Anápolis,GO</v>
      </c>
      <c r="F4287" s="15">
        <v>46058</v>
      </c>
      <c r="G4287" s="5">
        <v>1810</v>
      </c>
      <c r="H4287" s="5">
        <v>3075</v>
      </c>
      <c r="I4287" s="8">
        <f>Tabela1[[#This Row],[Valor total]]-Tabela1[[#This Row],[Valor custo]]</f>
        <v>1265</v>
      </c>
      <c r="J4287" s="18">
        <f>Tabela1[[#This Row],[MARGEM BRUTA]]/Tabela1[[#This Row],[Valor total]]</f>
        <v>0.41138211382113821</v>
      </c>
      <c r="K4287" s="17" t="str">
        <f>VLOOKUP(Tabela1[[#This Row],[Cliente]],'BASE DE CLIENTES'!A:D,4,0)</f>
        <v>EMPRESA COM MAQUINA</v>
      </c>
      <c r="L4287" s="17" t="str">
        <f>VLOOKUP(Tabela1[[#This Row],[Cliente]],'BASE DE CLIENTES'!A:E,5,0)</f>
        <v>Anápolis</v>
      </c>
    </row>
    <row r="4288" spans="2:12" x14ac:dyDescent="0.3">
      <c r="B4288" t="s">
        <v>197</v>
      </c>
      <c r="C4288" s="17" t="str">
        <f>VLOOKUP(Tabela1[[#This Row],[Cliente]],'BASE DE CLIENTES'!A:E,2,0)</f>
        <v>Goiânia</v>
      </c>
      <c r="D4288" s="17" t="str">
        <f>VLOOKUP(Tabela1[[#This Row],[Cliente]],'BASE DE CLIENTES'!A:C,3,0)</f>
        <v>GO</v>
      </c>
      <c r="E4288" s="17" t="str">
        <f>CONCATENATE(Tabela1[[#This Row],[CIDADE]],",",Tabela1[[#This Row],[UF]])</f>
        <v>Goiânia,GO</v>
      </c>
      <c r="F4288" s="15">
        <v>46058</v>
      </c>
      <c r="G4288" s="5">
        <v>2545</v>
      </c>
      <c r="H4288" s="5">
        <v>3825</v>
      </c>
      <c r="I4288" s="8">
        <f>Tabela1[[#This Row],[Valor total]]-Tabela1[[#This Row],[Valor custo]]</f>
        <v>1280</v>
      </c>
      <c r="J4288" s="18">
        <f>Tabela1[[#This Row],[MARGEM BRUTA]]/Tabela1[[#This Row],[Valor total]]</f>
        <v>0.33464052287581697</v>
      </c>
      <c r="K4288" s="17" t="str">
        <f>VLOOKUP(Tabela1[[#This Row],[Cliente]],'BASE DE CLIENTES'!A:D,4,0)</f>
        <v>EMPRESA COM MAQUINA</v>
      </c>
      <c r="L4288" s="17" t="str">
        <f>VLOOKUP(Tabela1[[#This Row],[Cliente]],'BASE DE CLIENTES'!A:E,5,0)</f>
        <v>Goiânia</v>
      </c>
    </row>
    <row r="4289" spans="2:12" x14ac:dyDescent="0.3">
      <c r="B4289" t="s">
        <v>88</v>
      </c>
      <c r="C4289" s="17" t="str">
        <f>VLOOKUP(Tabela1[[#This Row],[Cliente]],'BASE DE CLIENTES'!A:E,2,0)</f>
        <v>Brasília</v>
      </c>
      <c r="D4289" s="17" t="str">
        <f>VLOOKUP(Tabela1[[#This Row],[Cliente]],'BASE DE CLIENTES'!A:C,3,0)</f>
        <v>DF</v>
      </c>
      <c r="E4289" s="17" t="str">
        <f>CONCATENATE(Tabela1[[#This Row],[CIDADE]],",",Tabela1[[#This Row],[UF]])</f>
        <v>Brasília,DF</v>
      </c>
      <c r="F4289" s="15">
        <v>46058</v>
      </c>
      <c r="G4289" s="5">
        <v>724</v>
      </c>
      <c r="H4289" s="5">
        <v>1290</v>
      </c>
      <c r="I4289" s="8">
        <f>Tabela1[[#This Row],[Valor total]]-Tabela1[[#This Row],[Valor custo]]</f>
        <v>566</v>
      </c>
      <c r="J4289" s="18">
        <f>Tabela1[[#This Row],[MARGEM BRUTA]]/Tabela1[[#This Row],[Valor total]]</f>
        <v>0.4387596899224806</v>
      </c>
      <c r="K4289" s="17" t="str">
        <f>VLOOKUP(Tabela1[[#This Row],[Cliente]],'BASE DE CLIENTES'!A:D,4,0)</f>
        <v>SERRALHEIRO</v>
      </c>
      <c r="L4289" s="17" t="str">
        <f>VLOOKUP(Tabela1[[#This Row],[Cliente]],'BASE DE CLIENTES'!A:E,5,0)</f>
        <v>RECANTO DAS EMAS</v>
      </c>
    </row>
    <row r="4290" spans="2:12" x14ac:dyDescent="0.3">
      <c r="B4290" t="s">
        <v>98</v>
      </c>
      <c r="C4290" s="17" t="str">
        <f>VLOOKUP(Tabela1[[#This Row],[Cliente]],'BASE DE CLIENTES'!A:E,2,0)</f>
        <v>Brasília</v>
      </c>
      <c r="D4290" s="17" t="str">
        <f>VLOOKUP(Tabela1[[#This Row],[Cliente]],'BASE DE CLIENTES'!A:C,3,0)</f>
        <v>DF</v>
      </c>
      <c r="E4290" s="17" t="str">
        <f>CONCATENATE(Tabela1[[#This Row],[CIDADE]],",",Tabela1[[#This Row],[UF]])</f>
        <v>Brasília,DF</v>
      </c>
      <c r="F4290" s="15">
        <v>46058</v>
      </c>
      <c r="G4290" s="5">
        <v>27.38</v>
      </c>
      <c r="H4290" s="5">
        <v>220</v>
      </c>
      <c r="I4290" s="8">
        <f>Tabela1[[#This Row],[Valor total]]-Tabela1[[#This Row],[Valor custo]]</f>
        <v>192.62</v>
      </c>
      <c r="J4290" s="18">
        <f>Tabela1[[#This Row],[MARGEM BRUTA]]/Tabela1[[#This Row],[Valor total]]</f>
        <v>0.87554545454545452</v>
      </c>
      <c r="K4290" s="17" t="str">
        <f>VLOOKUP(Tabela1[[#This Row],[Cliente]],'BASE DE CLIENTES'!A:D,4,0)</f>
        <v>SERRALHEIRO</v>
      </c>
      <c r="L4290" s="17" t="str">
        <f>VLOOKUP(Tabela1[[#This Row],[Cliente]],'BASE DE CLIENTES'!A:E,5,0)</f>
        <v>SANTA MARIA</v>
      </c>
    </row>
    <row r="4291" spans="2:12" x14ac:dyDescent="0.3">
      <c r="B4291" t="s">
        <v>288</v>
      </c>
      <c r="C4291" s="17" t="str">
        <f>VLOOKUP(Tabela1[[#This Row],[Cliente]],'BASE DE CLIENTES'!A:E,2,0)</f>
        <v>Redenção</v>
      </c>
      <c r="D4291" s="17" t="str">
        <f>VLOOKUP(Tabela1[[#This Row],[Cliente]],'BASE DE CLIENTES'!A:C,3,0)</f>
        <v>PA</v>
      </c>
      <c r="E4291" s="17" t="str">
        <f>CONCATENATE(Tabela1[[#This Row],[CIDADE]],",",Tabela1[[#This Row],[UF]])</f>
        <v>Redenção,PA</v>
      </c>
      <c r="F4291" s="15">
        <v>46058</v>
      </c>
      <c r="G4291" s="5">
        <v>5242.3</v>
      </c>
      <c r="H4291" s="5">
        <v>8250</v>
      </c>
      <c r="I4291" s="8">
        <f>Tabela1[[#This Row],[Valor total]]-Tabela1[[#This Row],[Valor custo]]</f>
        <v>3007.7</v>
      </c>
      <c r="J4291" s="18">
        <f>Tabela1[[#This Row],[MARGEM BRUTA]]/Tabela1[[#This Row],[Valor total]]</f>
        <v>0.36456969696969693</v>
      </c>
      <c r="K4291" s="17" t="str">
        <f>VLOOKUP(Tabela1[[#This Row],[Cliente]],'BASE DE CLIENTES'!A:D,4,0)</f>
        <v>EMPRESA COM MAQUINA</v>
      </c>
      <c r="L4291" s="17" t="str">
        <f>VLOOKUP(Tabela1[[#This Row],[Cliente]],'BASE DE CLIENTES'!A:E,5,0)</f>
        <v>Redenção</v>
      </c>
    </row>
    <row r="4292" spans="2:12" x14ac:dyDescent="0.3">
      <c r="B4292" t="s">
        <v>120</v>
      </c>
      <c r="C4292" s="17" t="str">
        <f>VLOOKUP(Tabela1[[#This Row],[Cliente]],'BASE DE CLIENTES'!A:E,2,0)</f>
        <v>Brasília</v>
      </c>
      <c r="D4292" s="17" t="str">
        <f>VLOOKUP(Tabela1[[#This Row],[Cliente]],'BASE DE CLIENTES'!A:C,3,0)</f>
        <v>DF</v>
      </c>
      <c r="E4292" s="17" t="str">
        <f>CONCATENATE(Tabela1[[#This Row],[CIDADE]],",",Tabela1[[#This Row],[UF]])</f>
        <v>Brasília,DF</v>
      </c>
      <c r="F4292" s="15">
        <v>46058</v>
      </c>
      <c r="G4292" s="5">
        <v>838</v>
      </c>
      <c r="H4292" s="5">
        <v>1310</v>
      </c>
      <c r="I4292" s="8">
        <f>Tabela1[[#This Row],[Valor total]]-Tabela1[[#This Row],[Valor custo]]</f>
        <v>472</v>
      </c>
      <c r="J4292" s="18">
        <f>Tabela1[[#This Row],[MARGEM BRUTA]]/Tabela1[[#This Row],[Valor total]]</f>
        <v>0.36030534351145038</v>
      </c>
      <c r="K4292" s="17" t="str">
        <f>VLOOKUP(Tabela1[[#This Row],[Cliente]],'BASE DE CLIENTES'!A:D,4,0)</f>
        <v>EMPRESA SEM MAQUINA</v>
      </c>
      <c r="L4292" s="17" t="str">
        <f>VLOOKUP(Tabela1[[#This Row],[Cliente]],'BASE DE CLIENTES'!A:E,5,0)</f>
        <v>SAMAMBAIA</v>
      </c>
    </row>
    <row r="4293" spans="2:12" x14ac:dyDescent="0.3">
      <c r="B4293" t="s">
        <v>303</v>
      </c>
      <c r="C4293" s="17" t="str">
        <f>VLOOKUP(Tabela1[[#This Row],[Cliente]],'BASE DE CLIENTES'!A:E,2,0)</f>
        <v>Trindade</v>
      </c>
      <c r="D4293" s="17" t="str">
        <f>VLOOKUP(Tabela1[[#This Row],[Cliente]],'BASE DE CLIENTES'!A:C,3,0)</f>
        <v>GO</v>
      </c>
      <c r="E4293" s="17" t="str">
        <f>CONCATENATE(Tabela1[[#This Row],[CIDADE]],",",Tabela1[[#This Row],[UF]])</f>
        <v>Trindade,GO</v>
      </c>
      <c r="F4293" s="15">
        <v>46058</v>
      </c>
      <c r="G4293" s="5">
        <v>4461.57</v>
      </c>
      <c r="H4293" s="5">
        <v>7050</v>
      </c>
      <c r="I4293" s="8">
        <f>Tabela1[[#This Row],[Valor total]]-Tabela1[[#This Row],[Valor custo]]</f>
        <v>2588.4300000000003</v>
      </c>
      <c r="J4293" s="18">
        <f>Tabela1[[#This Row],[MARGEM BRUTA]]/Tabela1[[#This Row],[Valor total]]</f>
        <v>0.36715319148936176</v>
      </c>
      <c r="K4293" s="17" t="str">
        <f>VLOOKUP(Tabela1[[#This Row],[Cliente]],'BASE DE CLIENTES'!A:D,4,0)</f>
        <v>EMPRESA COM MAQUINA</v>
      </c>
      <c r="L4293" s="17" t="str">
        <f>VLOOKUP(Tabela1[[#This Row],[Cliente]],'BASE DE CLIENTES'!A:E,5,0)</f>
        <v>Trindade</v>
      </c>
    </row>
    <row r="4294" spans="2:12" x14ac:dyDescent="0.3">
      <c r="B4294" t="s">
        <v>147</v>
      </c>
      <c r="C4294" s="17" t="str">
        <f>VLOOKUP(Tabela1[[#This Row],[Cliente]],'BASE DE CLIENTES'!A:E,2,0)</f>
        <v>Brasília</v>
      </c>
      <c r="D4294" s="17" t="str">
        <f>VLOOKUP(Tabela1[[#This Row],[Cliente]],'BASE DE CLIENTES'!A:C,3,0)</f>
        <v>DF</v>
      </c>
      <c r="E4294" s="17" t="str">
        <f>CONCATENATE(Tabela1[[#This Row],[CIDADE]],",",Tabela1[[#This Row],[UF]])</f>
        <v>Brasília,DF</v>
      </c>
      <c r="F4294" s="15">
        <v>46058</v>
      </c>
      <c r="G4294" s="5">
        <v>1502</v>
      </c>
      <c r="H4294" s="5">
        <v>2900</v>
      </c>
      <c r="I4294" s="8">
        <f>Tabela1[[#This Row],[Valor total]]-Tabela1[[#This Row],[Valor custo]]</f>
        <v>1398</v>
      </c>
      <c r="J4294" s="18">
        <f>Tabela1[[#This Row],[MARGEM BRUTA]]/Tabela1[[#This Row],[Valor total]]</f>
        <v>0.48206896551724138</v>
      </c>
      <c r="K4294" s="17" t="str">
        <f>VLOOKUP(Tabela1[[#This Row],[Cliente]],'BASE DE CLIENTES'!A:D,4,0)</f>
        <v>SEM CLASSIFICAÇÃO</v>
      </c>
      <c r="L4294" s="17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7" t="str">
        <f>VLOOKUP(Tabela1[[#This Row],[Cliente]],'BASE DE CLIENTES'!A:E,2,0)</f>
        <v>Brasília</v>
      </c>
      <c r="D4295" s="17" t="str">
        <f>VLOOKUP(Tabela1[[#This Row],[Cliente]],'BASE DE CLIENTES'!A:C,3,0)</f>
        <v>DF</v>
      </c>
      <c r="E4295" s="17" t="str">
        <f>CONCATENATE(Tabela1[[#This Row],[CIDADE]],",",Tabela1[[#This Row],[UF]])</f>
        <v>Brasília,DF</v>
      </c>
      <c r="F4295" s="15">
        <v>46058</v>
      </c>
      <c r="G4295" s="5">
        <v>532.20000000000005</v>
      </c>
      <c r="H4295" s="5">
        <v>1099.8</v>
      </c>
      <c r="I4295" s="8">
        <f>Tabela1[[#This Row],[Valor total]]-Tabela1[[#This Row],[Valor custo]]</f>
        <v>567.59999999999991</v>
      </c>
      <c r="J4295" s="18">
        <f>Tabela1[[#This Row],[MARGEM BRUTA]]/Tabela1[[#This Row],[Valor total]]</f>
        <v>0.5160938352427713</v>
      </c>
      <c r="K4295" s="17" t="str">
        <f>VLOOKUP(Tabela1[[#This Row],[Cliente]],'BASE DE CLIENTES'!A:D,4,0)</f>
        <v>EMPRESA SEM MAQUINA</v>
      </c>
      <c r="L4295" s="17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7" t="str">
        <f>VLOOKUP(Tabela1[[#This Row],[Cliente]],'BASE DE CLIENTES'!A:E,2,0)</f>
        <v>Goiânia</v>
      </c>
      <c r="D4296" s="17" t="str">
        <f>VLOOKUP(Tabela1[[#This Row],[Cliente]],'BASE DE CLIENTES'!A:C,3,0)</f>
        <v>GO</v>
      </c>
      <c r="E4296" s="17" t="str">
        <f>CONCATENATE(Tabela1[[#This Row],[CIDADE]],",",Tabela1[[#This Row],[UF]])</f>
        <v>Goiânia,GO</v>
      </c>
      <c r="F4296" s="15">
        <v>46058</v>
      </c>
      <c r="G4296" s="5">
        <v>8688</v>
      </c>
      <c r="H4296" s="5">
        <v>12480</v>
      </c>
      <c r="I4296" s="8">
        <f>Tabela1[[#This Row],[Valor total]]-Tabela1[[#This Row],[Valor custo]]</f>
        <v>3792</v>
      </c>
      <c r="J4296" s="18">
        <f>Tabela1[[#This Row],[MARGEM BRUTA]]/Tabela1[[#This Row],[Valor total]]</f>
        <v>0.30384615384615382</v>
      </c>
      <c r="K4296" s="17" t="str">
        <f>VLOOKUP(Tabela1[[#This Row],[Cliente]],'BASE DE CLIENTES'!A:D,4,0)</f>
        <v>EMPRESA COM MAQUINA</v>
      </c>
      <c r="L4296" s="17" t="str">
        <f>VLOOKUP(Tabela1[[#This Row],[Cliente]],'BASE DE CLIENTES'!A:E,5,0)</f>
        <v>Goiânia</v>
      </c>
    </row>
    <row r="4297" spans="2:12" x14ac:dyDescent="0.3">
      <c r="B4297" t="s">
        <v>236</v>
      </c>
      <c r="C4297" s="17" t="str">
        <f>VLOOKUP(Tabela1[[#This Row],[Cliente]],'BASE DE CLIENTES'!A:E,2,0)</f>
        <v>Goiânia</v>
      </c>
      <c r="D4297" s="17" t="str">
        <f>VLOOKUP(Tabela1[[#This Row],[Cliente]],'BASE DE CLIENTES'!A:C,3,0)</f>
        <v>GO</v>
      </c>
      <c r="E4297" s="17" t="str">
        <f>CONCATENATE(Tabela1[[#This Row],[CIDADE]],",",Tabela1[[#This Row],[UF]])</f>
        <v>Goiânia,GO</v>
      </c>
      <c r="F4297" s="15">
        <v>46058</v>
      </c>
      <c r="G4297" s="5">
        <v>1563</v>
      </c>
      <c r="H4297" s="5">
        <v>2465</v>
      </c>
      <c r="I4297" s="8">
        <f>Tabela1[[#This Row],[Valor total]]-Tabela1[[#This Row],[Valor custo]]</f>
        <v>902</v>
      </c>
      <c r="J4297" s="18">
        <f>Tabela1[[#This Row],[MARGEM BRUTA]]/Tabela1[[#This Row],[Valor total]]</f>
        <v>0.36592292089249495</v>
      </c>
      <c r="K4297" s="17" t="str">
        <f>VLOOKUP(Tabela1[[#This Row],[Cliente]],'BASE DE CLIENTES'!A:D,4,0)</f>
        <v>EMPRESA COM MAQUINA</v>
      </c>
      <c r="L4297" s="17" t="str">
        <f>VLOOKUP(Tabela1[[#This Row],[Cliente]],'BASE DE CLIENTES'!A:E,5,0)</f>
        <v>Goiânia</v>
      </c>
    </row>
    <row r="4298" spans="2:12" x14ac:dyDescent="0.3">
      <c r="B4298" t="s">
        <v>19</v>
      </c>
      <c r="C4298" s="17" t="str">
        <f>VLOOKUP(Tabela1[[#This Row],[Cliente]],'BASE DE CLIENTES'!A:E,2,0)</f>
        <v>Águas Lindas de Goiás</v>
      </c>
      <c r="D4298" s="17" t="str">
        <f>VLOOKUP(Tabela1[[#This Row],[Cliente]],'BASE DE CLIENTES'!A:C,3,0)</f>
        <v>GO</v>
      </c>
      <c r="E4298" s="17" t="str">
        <f>CONCATENATE(Tabela1[[#This Row],[CIDADE]],",",Tabela1[[#This Row],[UF]])</f>
        <v>Águas Lindas de Goiás,GO</v>
      </c>
      <c r="F4298" s="15">
        <v>46058</v>
      </c>
      <c r="G4298" s="5">
        <v>687.2</v>
      </c>
      <c r="H4298" s="5">
        <v>206</v>
      </c>
      <c r="I4298" s="8">
        <f>Tabela1[[#This Row],[Valor total]]-Tabela1[[#This Row],[Valor custo]]</f>
        <v>-481.20000000000005</v>
      </c>
      <c r="J4298" s="18">
        <f>Tabela1[[#This Row],[MARGEM BRUTA]]/Tabela1[[#This Row],[Valor total]]</f>
        <v>-2.3359223300970875</v>
      </c>
      <c r="K4298" s="17" t="str">
        <f>VLOOKUP(Tabela1[[#This Row],[Cliente]],'BASE DE CLIENTES'!A:D,4,0)</f>
        <v>SERRALHEIRO</v>
      </c>
      <c r="L4298" s="17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7" t="str">
        <f>VLOOKUP(Tabela1[[#This Row],[Cliente]],'BASE DE CLIENTES'!A:E,2,0)</f>
        <v>Goiânia</v>
      </c>
      <c r="D4299" s="17" t="str">
        <f>VLOOKUP(Tabela1[[#This Row],[Cliente]],'BASE DE CLIENTES'!A:C,3,0)</f>
        <v>GO</v>
      </c>
      <c r="E4299" s="17" t="str">
        <f>CONCATENATE(Tabela1[[#This Row],[CIDADE]],",",Tabela1[[#This Row],[UF]])</f>
        <v>Goiânia,GO</v>
      </c>
      <c r="F4299" s="15">
        <v>46058</v>
      </c>
      <c r="G4299" s="5">
        <v>11370</v>
      </c>
      <c r="H4299" s="5">
        <v>16600</v>
      </c>
      <c r="I4299" s="8">
        <f>Tabela1[[#This Row],[Valor total]]-Tabela1[[#This Row],[Valor custo]]</f>
        <v>5230</v>
      </c>
      <c r="J4299" s="18">
        <f>Tabela1[[#This Row],[MARGEM BRUTA]]/Tabela1[[#This Row],[Valor total]]</f>
        <v>0.31506024096385543</v>
      </c>
      <c r="K4299" s="17" t="str">
        <f>VLOOKUP(Tabela1[[#This Row],[Cliente]],'BASE DE CLIENTES'!A:D,4,0)</f>
        <v>EMPRESA SEM MAQUINA</v>
      </c>
      <c r="L4299" s="17" t="str">
        <f>VLOOKUP(Tabela1[[#This Row],[Cliente]],'BASE DE CLIENTES'!A:E,5,0)</f>
        <v>Goiânia</v>
      </c>
    </row>
    <row r="4300" spans="2:12" x14ac:dyDescent="0.3">
      <c r="B4300" t="s">
        <v>59</v>
      </c>
      <c r="C4300" s="17" t="str">
        <f>VLOOKUP(Tabela1[[#This Row],[Cliente]],'BASE DE CLIENTES'!A:E,2,0)</f>
        <v>Brasília</v>
      </c>
      <c r="D4300" s="17" t="str">
        <f>VLOOKUP(Tabela1[[#This Row],[Cliente]],'BASE DE CLIENTES'!A:C,3,0)</f>
        <v>DF</v>
      </c>
      <c r="E4300" s="17" t="str">
        <f>CONCATENATE(Tabela1[[#This Row],[CIDADE]],",",Tabela1[[#This Row],[UF]])</f>
        <v>Brasília,DF</v>
      </c>
      <c r="F4300" s="15">
        <v>46058</v>
      </c>
      <c r="G4300" s="5">
        <v>290</v>
      </c>
      <c r="H4300" s="5">
        <v>0</v>
      </c>
      <c r="I4300" s="8">
        <f>Tabela1[[#This Row],[Valor total]]-Tabela1[[#This Row],[Valor custo]]</f>
        <v>-290</v>
      </c>
      <c r="J4300" s="18" t="e">
        <f>Tabela1[[#This Row],[MARGEM BRUTA]]/Tabela1[[#This Row],[Valor total]]</f>
        <v>#DIV/0!</v>
      </c>
      <c r="K4300" s="17" t="str">
        <f>VLOOKUP(Tabela1[[#This Row],[Cliente]],'BASE DE CLIENTES'!A:D,4,0)</f>
        <v>EMPRESA COM MAQUINA</v>
      </c>
      <c r="L4300" s="17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7" t="str">
        <f>VLOOKUP(Tabela1[[#This Row],[Cliente]],'BASE DE CLIENTES'!A:E,2,0)</f>
        <v>Aparecida de Goiânia</v>
      </c>
      <c r="D4301" s="17" t="str">
        <f>VLOOKUP(Tabela1[[#This Row],[Cliente]],'BASE DE CLIENTES'!A:C,3,0)</f>
        <v>GO</v>
      </c>
      <c r="E4301" s="17" t="str">
        <f>CONCATENATE(Tabela1[[#This Row],[CIDADE]],",",Tabela1[[#This Row],[UF]])</f>
        <v>Aparecida de Goiânia,GO</v>
      </c>
      <c r="F4301" s="15">
        <v>46057</v>
      </c>
      <c r="G4301" s="5">
        <v>470</v>
      </c>
      <c r="H4301" s="5">
        <v>775</v>
      </c>
      <c r="I4301" s="8">
        <f>Tabela1[[#This Row],[Valor total]]-Tabela1[[#This Row],[Valor custo]]</f>
        <v>305</v>
      </c>
      <c r="J4301" s="18">
        <f>Tabela1[[#This Row],[MARGEM BRUTA]]/Tabela1[[#This Row],[Valor total]]</f>
        <v>0.3935483870967742</v>
      </c>
      <c r="K4301" s="17" t="str">
        <f>VLOOKUP(Tabela1[[#This Row],[Cliente]],'BASE DE CLIENTES'!A:D,4,0)</f>
        <v>EMPRESA COM MAQUINA</v>
      </c>
      <c r="L4301" s="17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7" t="str">
        <f>VLOOKUP(Tabela1[[#This Row],[Cliente]],'BASE DE CLIENTES'!A:E,2,0)</f>
        <v>Aparecida de Goiânia</v>
      </c>
      <c r="D4302" s="17" t="str">
        <f>VLOOKUP(Tabela1[[#This Row],[Cliente]],'BASE DE CLIENTES'!A:C,3,0)</f>
        <v>GO</v>
      </c>
      <c r="E4302" s="17" t="str">
        <f>CONCATENATE(Tabela1[[#This Row],[CIDADE]],",",Tabela1[[#This Row],[UF]])</f>
        <v>Aparecida de Goiânia,GO</v>
      </c>
      <c r="F4302" s="15">
        <v>46057</v>
      </c>
      <c r="G4302" s="5">
        <v>66</v>
      </c>
      <c r="H4302" s="5">
        <v>300</v>
      </c>
      <c r="I4302" s="8">
        <f>Tabela1[[#This Row],[Valor total]]-Tabela1[[#This Row],[Valor custo]]</f>
        <v>234</v>
      </c>
      <c r="J4302" s="18">
        <f>Tabela1[[#This Row],[MARGEM BRUTA]]/Tabela1[[#This Row],[Valor total]]</f>
        <v>0.78</v>
      </c>
      <c r="K4302" s="17" t="str">
        <f>VLOOKUP(Tabela1[[#This Row],[Cliente]],'BASE DE CLIENTES'!A:D,4,0)</f>
        <v>TECNICO</v>
      </c>
      <c r="L4302" s="17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7" t="str">
        <f>VLOOKUP(Tabela1[[#This Row],[Cliente]],'BASE DE CLIENTES'!A:E,2,0)</f>
        <v>Brasília</v>
      </c>
      <c r="D4303" s="17" t="str">
        <f>VLOOKUP(Tabela1[[#This Row],[Cliente]],'BASE DE CLIENTES'!A:C,3,0)</f>
        <v>DF</v>
      </c>
      <c r="E4303" s="17" t="str">
        <f>CONCATENATE(Tabela1[[#This Row],[CIDADE]],",",Tabela1[[#This Row],[UF]])</f>
        <v>Brasília,DF</v>
      </c>
      <c r="F4303" s="15">
        <v>46057</v>
      </c>
      <c r="G4303" s="5">
        <v>382</v>
      </c>
      <c r="H4303" s="5">
        <v>598</v>
      </c>
      <c r="I4303" s="8">
        <f>Tabela1[[#This Row],[Valor total]]-Tabela1[[#This Row],[Valor custo]]</f>
        <v>216</v>
      </c>
      <c r="J4303" s="18">
        <f>Tabela1[[#This Row],[MARGEM BRUTA]]/Tabela1[[#This Row],[Valor total]]</f>
        <v>0.3612040133779264</v>
      </c>
      <c r="K4303" s="17" t="str">
        <f>VLOOKUP(Tabela1[[#This Row],[Cliente]],'BASE DE CLIENTES'!A:D,4,0)</f>
        <v>CLIENTE NOVO S/ IDENT.</v>
      </c>
      <c r="L4303" s="17" t="str">
        <f>VLOOKUP(Tabela1[[#This Row],[Cliente]],'BASE DE CLIENTES'!A:E,5,0)</f>
        <v>Cruzeiro Novo</v>
      </c>
    </row>
    <row r="4304" spans="2:12" x14ac:dyDescent="0.3">
      <c r="B4304" t="s">
        <v>52</v>
      </c>
      <c r="C4304" s="17" t="str">
        <f>VLOOKUP(Tabela1[[#This Row],[Cliente]],'BASE DE CLIENTES'!A:E,2,0)</f>
        <v>Brasília</v>
      </c>
      <c r="D4304" s="17" t="str">
        <f>VLOOKUP(Tabela1[[#This Row],[Cliente]],'BASE DE CLIENTES'!A:C,3,0)</f>
        <v>DF</v>
      </c>
      <c r="E4304" s="17" t="str">
        <f>CONCATENATE(Tabela1[[#This Row],[CIDADE]],",",Tabela1[[#This Row],[UF]])</f>
        <v>Brasília,DF</v>
      </c>
      <c r="F4304" s="15">
        <v>46057</v>
      </c>
      <c r="G4304" s="5">
        <v>425.1</v>
      </c>
      <c r="H4304" s="5">
        <v>70</v>
      </c>
      <c r="I4304" s="8">
        <f>Tabela1[[#This Row],[Valor total]]-Tabela1[[#This Row],[Valor custo]]</f>
        <v>-355.1</v>
      </c>
      <c r="J4304" s="18">
        <f>Tabela1[[#This Row],[MARGEM BRUTA]]/Tabela1[[#This Row],[Valor total]]</f>
        <v>-5.072857142857143</v>
      </c>
      <c r="K4304" s="17" t="str">
        <f>VLOOKUP(Tabela1[[#This Row],[Cliente]],'BASE DE CLIENTES'!A:D,4,0)</f>
        <v>SERRALHEIRO</v>
      </c>
      <c r="L4304" s="17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7" t="str">
        <f>VLOOKUP(Tabela1[[#This Row],[Cliente]],'BASE DE CLIENTES'!A:E,2,0)</f>
        <v>Brasília</v>
      </c>
      <c r="D4305" s="17" t="str">
        <f>VLOOKUP(Tabela1[[#This Row],[Cliente]],'BASE DE CLIENTES'!A:C,3,0)</f>
        <v>DF</v>
      </c>
      <c r="E4305" s="17" t="str">
        <f>CONCATENATE(Tabela1[[#This Row],[CIDADE]],",",Tabela1[[#This Row],[UF]])</f>
        <v>Brasília,DF</v>
      </c>
      <c r="F4305" s="15">
        <v>46057</v>
      </c>
      <c r="G4305" s="5">
        <v>1060</v>
      </c>
      <c r="H4305" s="5">
        <v>1740</v>
      </c>
      <c r="I4305" s="8">
        <f>Tabela1[[#This Row],[Valor total]]-Tabela1[[#This Row],[Valor custo]]</f>
        <v>680</v>
      </c>
      <c r="J4305" s="18">
        <f>Tabela1[[#This Row],[MARGEM BRUTA]]/Tabela1[[#This Row],[Valor total]]</f>
        <v>0.39080459770114945</v>
      </c>
      <c r="K4305" s="17" t="str">
        <f>VLOOKUP(Tabela1[[#This Row],[Cliente]],'BASE DE CLIENTES'!A:D,4,0)</f>
        <v>EMPRESA SEM MAQUINA</v>
      </c>
      <c r="L4305" s="17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7" t="str">
        <f>VLOOKUP(Tabela1[[#This Row],[Cliente]],'BASE DE CLIENTES'!A:E,2,0)</f>
        <v>Brasília</v>
      </c>
      <c r="D4306" s="17" t="str">
        <f>VLOOKUP(Tabela1[[#This Row],[Cliente]],'BASE DE CLIENTES'!A:C,3,0)</f>
        <v>DF</v>
      </c>
      <c r="E4306" s="17" t="str">
        <f>CONCATENATE(Tabela1[[#This Row],[CIDADE]],",",Tabela1[[#This Row],[UF]])</f>
        <v>Brasília,DF</v>
      </c>
      <c r="F4306" s="15">
        <v>46057</v>
      </c>
      <c r="G4306" s="5">
        <v>530</v>
      </c>
      <c r="H4306" s="5">
        <v>945</v>
      </c>
      <c r="I4306" s="8">
        <f>Tabela1[[#This Row],[Valor total]]-Tabela1[[#This Row],[Valor custo]]</f>
        <v>415</v>
      </c>
      <c r="J4306" s="18">
        <f>Tabela1[[#This Row],[MARGEM BRUTA]]/Tabela1[[#This Row],[Valor total]]</f>
        <v>0.43915343915343913</v>
      </c>
      <c r="K4306" s="17" t="str">
        <f>VLOOKUP(Tabela1[[#This Row],[Cliente]],'BASE DE CLIENTES'!A:D,4,0)</f>
        <v>CLIENTE NOVO S/ IDENT.</v>
      </c>
      <c r="L4306" s="17" t="str">
        <f>VLOOKUP(Tabela1[[#This Row],[Cliente]],'BASE DE CLIENTES'!A:E,5,0)</f>
        <v>Itapoã</v>
      </c>
    </row>
    <row r="4307" spans="2:12" x14ac:dyDescent="0.3">
      <c r="B4307" t="s">
        <v>211</v>
      </c>
      <c r="C4307" s="17" t="str">
        <f>VLOOKUP(Tabela1[[#This Row],[Cliente]],'BASE DE CLIENTES'!A:E,2,0)</f>
        <v>Goiânia</v>
      </c>
      <c r="D4307" s="17" t="str">
        <f>VLOOKUP(Tabela1[[#This Row],[Cliente]],'BASE DE CLIENTES'!A:C,3,0)</f>
        <v>GO</v>
      </c>
      <c r="E4307" s="17" t="str">
        <f>CONCATENATE(Tabela1[[#This Row],[CIDADE]],",",Tabela1[[#This Row],[UF]])</f>
        <v>Goiânia,GO</v>
      </c>
      <c r="F4307" s="15">
        <v>46057</v>
      </c>
      <c r="G4307" s="5">
        <v>375.5</v>
      </c>
      <c r="H4307" s="5">
        <v>1000</v>
      </c>
      <c r="I4307" s="8">
        <f>Tabela1[[#This Row],[Valor total]]-Tabela1[[#This Row],[Valor custo]]</f>
        <v>624.5</v>
      </c>
      <c r="J4307" s="18">
        <f>Tabela1[[#This Row],[MARGEM BRUTA]]/Tabela1[[#This Row],[Valor total]]</f>
        <v>0.62450000000000006</v>
      </c>
      <c r="K4307" s="17" t="str">
        <f>VLOOKUP(Tabela1[[#This Row],[Cliente]],'BASE DE CLIENTES'!A:D,4,0)</f>
        <v>EMPRESA COM MAQUINA</v>
      </c>
      <c r="L4307" s="17" t="str">
        <f>VLOOKUP(Tabela1[[#This Row],[Cliente]],'BASE DE CLIENTES'!A:E,5,0)</f>
        <v>Goiânia</v>
      </c>
    </row>
    <row r="4308" spans="2:12" x14ac:dyDescent="0.3">
      <c r="B4308" t="s">
        <v>195</v>
      </c>
      <c r="C4308" s="17" t="str">
        <f>VLOOKUP(Tabela1[[#This Row],[Cliente]],'BASE DE CLIENTES'!A:E,2,0)</f>
        <v>Goiânia</v>
      </c>
      <c r="D4308" s="17" t="str">
        <f>VLOOKUP(Tabela1[[#This Row],[Cliente]],'BASE DE CLIENTES'!A:C,3,0)</f>
        <v>GO</v>
      </c>
      <c r="E4308" s="17" t="str">
        <f>CONCATENATE(Tabela1[[#This Row],[CIDADE]],",",Tabela1[[#This Row],[UF]])</f>
        <v>Goiânia,GO</v>
      </c>
      <c r="F4308" s="15">
        <v>46057</v>
      </c>
      <c r="G4308" s="5">
        <v>5303.45</v>
      </c>
      <c r="H4308" s="5">
        <v>8350</v>
      </c>
      <c r="I4308" s="8">
        <f>Tabela1[[#This Row],[Valor total]]-Tabela1[[#This Row],[Valor custo]]</f>
        <v>3046.55</v>
      </c>
      <c r="J4308" s="18">
        <f>Tabela1[[#This Row],[MARGEM BRUTA]]/Tabela1[[#This Row],[Valor total]]</f>
        <v>0.36485628742514975</v>
      </c>
      <c r="K4308" s="17" t="str">
        <f>VLOOKUP(Tabela1[[#This Row],[Cliente]],'BASE DE CLIENTES'!A:D,4,0)</f>
        <v>EMPRESA COM MAQUINA</v>
      </c>
      <c r="L4308" s="17" t="str">
        <f>VLOOKUP(Tabela1[[#This Row],[Cliente]],'BASE DE CLIENTES'!A:E,5,0)</f>
        <v>Goiânia</v>
      </c>
    </row>
    <row r="4309" spans="2:12" x14ac:dyDescent="0.3">
      <c r="B4309" t="s">
        <v>152</v>
      </c>
      <c r="C4309" s="17" t="str">
        <f>VLOOKUP(Tabela1[[#This Row],[Cliente]],'BASE DE CLIENTES'!A:E,2,0)</f>
        <v>Aparecida de Goiânia</v>
      </c>
      <c r="D4309" s="17" t="str">
        <f>VLOOKUP(Tabela1[[#This Row],[Cliente]],'BASE DE CLIENTES'!A:C,3,0)</f>
        <v>GO</v>
      </c>
      <c r="E4309" s="17" t="str">
        <f>CONCATENATE(Tabela1[[#This Row],[CIDADE]],",",Tabela1[[#This Row],[UF]])</f>
        <v>Aparecida de Goiânia,GO</v>
      </c>
      <c r="F4309" s="15">
        <v>46057</v>
      </c>
      <c r="G4309" s="5">
        <v>250</v>
      </c>
      <c r="H4309" s="5">
        <v>300</v>
      </c>
      <c r="I4309" s="8">
        <f>Tabela1[[#This Row],[Valor total]]-Tabela1[[#This Row],[Valor custo]]</f>
        <v>50</v>
      </c>
      <c r="J4309" s="18">
        <f>Tabela1[[#This Row],[MARGEM BRUTA]]/Tabela1[[#This Row],[Valor total]]</f>
        <v>0.16666666666666666</v>
      </c>
      <c r="K4309" s="17" t="str">
        <f>VLOOKUP(Tabela1[[#This Row],[Cliente]],'BASE DE CLIENTES'!A:D,4,0)</f>
        <v>TECNICO</v>
      </c>
      <c r="L4309" s="17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7" t="str">
        <f>VLOOKUP(Tabela1[[#This Row],[Cliente]],'BASE DE CLIENTES'!A:E,2,0)</f>
        <v>Planaltina</v>
      </c>
      <c r="D4310" s="17" t="str">
        <f>VLOOKUP(Tabela1[[#This Row],[Cliente]],'BASE DE CLIENTES'!A:C,3,0)</f>
        <v>GO</v>
      </c>
      <c r="E4310" s="17" t="str">
        <f>CONCATENATE(Tabela1[[#This Row],[CIDADE]],",",Tabela1[[#This Row],[UF]])</f>
        <v>Planaltina,GO</v>
      </c>
      <c r="F4310" s="15">
        <v>46057</v>
      </c>
      <c r="G4310" s="5">
        <v>1180.31</v>
      </c>
      <c r="H4310" s="5">
        <v>1750</v>
      </c>
      <c r="I4310" s="8">
        <f>Tabela1[[#This Row],[Valor total]]-Tabela1[[#This Row],[Valor custo]]</f>
        <v>569.69000000000005</v>
      </c>
      <c r="J4310" s="18">
        <f>Tabela1[[#This Row],[MARGEM BRUTA]]/Tabela1[[#This Row],[Valor total]]</f>
        <v>0.32553714285714291</v>
      </c>
      <c r="K4310" s="17" t="str">
        <f>VLOOKUP(Tabela1[[#This Row],[Cliente]],'BASE DE CLIENTES'!A:D,4,0)</f>
        <v>SERRALHEIRO</v>
      </c>
      <c r="L4310" s="17" t="str">
        <f>VLOOKUP(Tabela1[[#This Row],[Cliente]],'BASE DE CLIENTES'!A:E,5,0)</f>
        <v>Planaltina</v>
      </c>
    </row>
    <row r="4311" spans="2:12" x14ac:dyDescent="0.3">
      <c r="B4311" t="s">
        <v>305</v>
      </c>
      <c r="C4311" s="17" t="str">
        <f>VLOOKUP(Tabela1[[#This Row],[Cliente]],'BASE DE CLIENTES'!A:E,2,0)</f>
        <v>Brasília</v>
      </c>
      <c r="D4311" s="17" t="str">
        <f>VLOOKUP(Tabela1[[#This Row],[Cliente]],'BASE DE CLIENTES'!A:C,3,0)</f>
        <v>DF</v>
      </c>
      <c r="E4311" s="17" t="str">
        <f>CONCATENATE(Tabela1[[#This Row],[CIDADE]],",",Tabela1[[#This Row],[UF]])</f>
        <v>Brasília,DF</v>
      </c>
      <c r="F4311" s="15">
        <v>46057</v>
      </c>
      <c r="G4311" s="5">
        <v>419</v>
      </c>
      <c r="H4311" s="5">
        <v>700</v>
      </c>
      <c r="I4311" s="8">
        <f>Tabela1[[#This Row],[Valor total]]-Tabela1[[#This Row],[Valor custo]]</f>
        <v>281</v>
      </c>
      <c r="J4311" s="18">
        <f>Tabela1[[#This Row],[MARGEM BRUTA]]/Tabela1[[#This Row],[Valor total]]</f>
        <v>0.40142857142857141</v>
      </c>
      <c r="K4311" s="17" t="str">
        <f>VLOOKUP(Tabela1[[#This Row],[Cliente]],'BASE DE CLIENTES'!A:D,4,0)</f>
        <v>SERRALHEIRO</v>
      </c>
      <c r="L4311" s="17" t="str">
        <f>VLOOKUP(Tabela1[[#This Row],[Cliente]],'BASE DE CLIENTES'!A:E,5,0)</f>
        <v>RIACHO FUNDO I</v>
      </c>
    </row>
    <row r="4312" spans="2:12" x14ac:dyDescent="0.3">
      <c r="B4312" t="s">
        <v>66</v>
      </c>
      <c r="C4312" s="17" t="str">
        <f>VLOOKUP(Tabela1[[#This Row],[Cliente]],'BASE DE CLIENTES'!A:E,2,0)</f>
        <v>Águas Lindas de Goiás</v>
      </c>
      <c r="D4312" s="17" t="str">
        <f>VLOOKUP(Tabela1[[#This Row],[Cliente]],'BASE DE CLIENTES'!A:C,3,0)</f>
        <v>GO</v>
      </c>
      <c r="E4312" s="17" t="str">
        <f>CONCATENATE(Tabela1[[#This Row],[CIDADE]],",",Tabela1[[#This Row],[UF]])</f>
        <v>Águas Lindas de Goiás,GO</v>
      </c>
      <c r="F4312" s="15">
        <v>46057</v>
      </c>
      <c r="G4312" s="5">
        <v>1188.03</v>
      </c>
      <c r="H4312" s="5">
        <v>2100</v>
      </c>
      <c r="I4312" s="8">
        <f>Tabela1[[#This Row],[Valor total]]-Tabela1[[#This Row],[Valor custo]]</f>
        <v>911.97</v>
      </c>
      <c r="J4312" s="18">
        <f>Tabela1[[#This Row],[MARGEM BRUTA]]/Tabela1[[#This Row],[Valor total]]</f>
        <v>0.43427142857142859</v>
      </c>
      <c r="K4312" s="17" t="str">
        <f>VLOOKUP(Tabela1[[#This Row],[Cliente]],'BASE DE CLIENTES'!A:D,4,0)</f>
        <v>EMPRESA COM MAQUINA</v>
      </c>
      <c r="L4312" s="17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7" t="str">
        <f>VLOOKUP(Tabela1[[#This Row],[Cliente]],'BASE DE CLIENTES'!A:E,2,0)</f>
        <v>Goiânia</v>
      </c>
      <c r="D4313" s="17" t="str">
        <f>VLOOKUP(Tabela1[[#This Row],[Cliente]],'BASE DE CLIENTES'!A:C,3,0)</f>
        <v>GO</v>
      </c>
      <c r="E4313" s="17" t="str">
        <f>CONCATENATE(Tabela1[[#This Row],[CIDADE]],",",Tabela1[[#This Row],[UF]])</f>
        <v>Goiânia,GO</v>
      </c>
      <c r="F4313" s="15">
        <v>46057</v>
      </c>
      <c r="G4313" s="5">
        <v>724</v>
      </c>
      <c r="H4313" s="5">
        <v>1040</v>
      </c>
      <c r="I4313" s="8">
        <f>Tabela1[[#This Row],[Valor total]]-Tabela1[[#This Row],[Valor custo]]</f>
        <v>316</v>
      </c>
      <c r="J4313" s="18">
        <f>Tabela1[[#This Row],[MARGEM BRUTA]]/Tabela1[[#This Row],[Valor total]]</f>
        <v>0.30384615384615382</v>
      </c>
      <c r="K4313" s="17" t="str">
        <f>VLOOKUP(Tabela1[[#This Row],[Cliente]],'BASE DE CLIENTES'!A:D,4,0)</f>
        <v>EMPRESA COM MAQUINA</v>
      </c>
      <c r="L4313" s="17" t="str">
        <f>VLOOKUP(Tabela1[[#This Row],[Cliente]],'BASE DE CLIENTES'!A:E,5,0)</f>
        <v>Goiânia</v>
      </c>
    </row>
    <row r="4314" spans="2:12" x14ac:dyDescent="0.3">
      <c r="B4314" t="s">
        <v>80</v>
      </c>
      <c r="C4314" s="17" t="str">
        <f>VLOOKUP(Tabela1[[#This Row],[Cliente]],'BASE DE CLIENTES'!A:E,2,0)</f>
        <v>Brasília</v>
      </c>
      <c r="D4314" s="17" t="str">
        <f>VLOOKUP(Tabela1[[#This Row],[Cliente]],'BASE DE CLIENTES'!A:C,3,0)</f>
        <v>DF</v>
      </c>
      <c r="E4314" s="17" t="str">
        <f>CONCATENATE(Tabela1[[#This Row],[CIDADE]],",",Tabela1[[#This Row],[UF]])</f>
        <v>Brasília,DF</v>
      </c>
      <c r="F4314" s="15">
        <v>46057</v>
      </c>
      <c r="G4314" s="5">
        <v>470</v>
      </c>
      <c r="H4314" s="5">
        <v>840</v>
      </c>
      <c r="I4314" s="8">
        <f>Tabela1[[#This Row],[Valor total]]-Tabela1[[#This Row],[Valor custo]]</f>
        <v>370</v>
      </c>
      <c r="J4314" s="18">
        <f>Tabela1[[#This Row],[MARGEM BRUTA]]/Tabela1[[#This Row],[Valor total]]</f>
        <v>0.44047619047619047</v>
      </c>
      <c r="K4314" s="17" t="str">
        <f>VLOOKUP(Tabela1[[#This Row],[Cliente]],'BASE DE CLIENTES'!A:D,4,0)</f>
        <v>EMPRESA SEM MAQUINA</v>
      </c>
      <c r="L4314" s="17" t="str">
        <f>VLOOKUP(Tabela1[[#This Row],[Cliente]],'BASE DE CLIENTES'!A:E,5,0)</f>
        <v>JOKEY</v>
      </c>
    </row>
    <row r="4315" spans="2:12" x14ac:dyDescent="0.3">
      <c r="B4315" t="s">
        <v>68</v>
      </c>
      <c r="C4315" s="17" t="str">
        <f>VLOOKUP(Tabela1[[#This Row],[Cliente]],'BASE DE CLIENTES'!A:E,2,0)</f>
        <v>Brasília</v>
      </c>
      <c r="D4315" s="17" t="str">
        <f>VLOOKUP(Tabela1[[#This Row],[Cliente]],'BASE DE CLIENTES'!A:C,3,0)</f>
        <v>DF</v>
      </c>
      <c r="E4315" s="17" t="str">
        <f>CONCATENATE(Tabela1[[#This Row],[CIDADE]],",",Tabela1[[#This Row],[UF]])</f>
        <v>Brasília,DF</v>
      </c>
      <c r="F4315" s="15">
        <v>46057</v>
      </c>
      <c r="G4315" s="5">
        <v>1012</v>
      </c>
      <c r="H4315" s="5">
        <v>1475</v>
      </c>
      <c r="I4315" s="8">
        <f>Tabela1[[#This Row],[Valor total]]-Tabela1[[#This Row],[Valor custo]]</f>
        <v>463</v>
      </c>
      <c r="J4315" s="18">
        <f>Tabela1[[#This Row],[MARGEM BRUTA]]/Tabela1[[#This Row],[Valor total]]</f>
        <v>0.31389830508474575</v>
      </c>
      <c r="K4315" s="17" t="str">
        <f>VLOOKUP(Tabela1[[#This Row],[Cliente]],'BASE DE CLIENTES'!A:D,4,0)</f>
        <v>EMPRESA COM MAQUINA</v>
      </c>
      <c r="L4315" s="17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7" t="str">
        <f>VLOOKUP(Tabela1[[#This Row],[Cliente]],'BASE DE CLIENTES'!A:E,2,0)</f>
        <v>Brasília</v>
      </c>
      <c r="D4316" s="17" t="str">
        <f>VLOOKUP(Tabela1[[#This Row],[Cliente]],'BASE DE CLIENTES'!A:C,3,0)</f>
        <v>DF</v>
      </c>
      <c r="E4316" s="17" t="str">
        <f>CONCATENATE(Tabela1[[#This Row],[CIDADE]],",",Tabela1[[#This Row],[UF]])</f>
        <v>Brasília,DF</v>
      </c>
      <c r="F4316" s="15">
        <v>46057</v>
      </c>
      <c r="G4316" s="5">
        <v>1220</v>
      </c>
      <c r="H4316" s="5">
        <v>1675</v>
      </c>
      <c r="I4316" s="8">
        <f>Tabela1[[#This Row],[Valor total]]-Tabela1[[#This Row],[Valor custo]]</f>
        <v>455</v>
      </c>
      <c r="J4316" s="18">
        <f>Tabela1[[#This Row],[MARGEM BRUTA]]/Tabela1[[#This Row],[Valor total]]</f>
        <v>0.27164179104477609</v>
      </c>
      <c r="K4316" s="17" t="str">
        <f>VLOOKUP(Tabela1[[#This Row],[Cliente]],'BASE DE CLIENTES'!A:D,4,0)</f>
        <v>EMPRESA COM MAQUINA</v>
      </c>
      <c r="L4316" s="17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7" t="str">
        <f>VLOOKUP(Tabela1[[#This Row],[Cliente]],'BASE DE CLIENTES'!A:E,2,0)</f>
        <v>Brasília</v>
      </c>
      <c r="D4317" s="17" t="str">
        <f>VLOOKUP(Tabela1[[#This Row],[Cliente]],'BASE DE CLIENTES'!A:C,3,0)</f>
        <v>DF</v>
      </c>
      <c r="E4317" s="17" t="str">
        <f>CONCATENATE(Tabela1[[#This Row],[CIDADE]],",",Tabela1[[#This Row],[UF]])</f>
        <v>Brasília,DF</v>
      </c>
      <c r="F4317" s="15">
        <v>46057</v>
      </c>
      <c r="G4317" s="5">
        <v>440.2</v>
      </c>
      <c r="H4317" s="5">
        <v>1100</v>
      </c>
      <c r="I4317" s="8">
        <f>Tabela1[[#This Row],[Valor total]]-Tabela1[[#This Row],[Valor custo]]</f>
        <v>659.8</v>
      </c>
      <c r="J4317" s="18">
        <f>Tabela1[[#This Row],[MARGEM BRUTA]]/Tabela1[[#This Row],[Valor total]]</f>
        <v>0.59981818181818181</v>
      </c>
      <c r="K4317" s="17" t="str">
        <f>VLOOKUP(Tabela1[[#This Row],[Cliente]],'BASE DE CLIENTES'!A:D,4,0)</f>
        <v>SERRALHEIRO</v>
      </c>
      <c r="L4317" s="17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7" t="str">
        <f>VLOOKUP(Tabela1[[#This Row],[Cliente]],'BASE DE CLIENTES'!A:E,2,0)</f>
        <v>Brasília</v>
      </c>
      <c r="D4318" s="17" t="str">
        <f>VLOOKUP(Tabela1[[#This Row],[Cliente]],'BASE DE CLIENTES'!A:C,3,0)</f>
        <v>DF</v>
      </c>
      <c r="E4318" s="17" t="str">
        <f>CONCATENATE(Tabela1[[#This Row],[CIDADE]],",",Tabela1[[#This Row],[UF]])</f>
        <v>Brasília,DF</v>
      </c>
      <c r="F4318" s="15">
        <v>46057</v>
      </c>
      <c r="G4318" s="5">
        <v>1000</v>
      </c>
      <c r="H4318" s="5">
        <v>1680</v>
      </c>
      <c r="I4318" s="8">
        <f>Tabela1[[#This Row],[Valor total]]-Tabela1[[#This Row],[Valor custo]]</f>
        <v>680</v>
      </c>
      <c r="J4318" s="18">
        <f>Tabela1[[#This Row],[MARGEM BRUTA]]/Tabela1[[#This Row],[Valor total]]</f>
        <v>0.40476190476190477</v>
      </c>
      <c r="K4318" s="17" t="str">
        <f>VLOOKUP(Tabela1[[#This Row],[Cliente]],'BASE DE CLIENTES'!A:D,4,0)</f>
        <v>EMPRESA SEM MAQUINA</v>
      </c>
      <c r="L4318" s="17" t="str">
        <f>VLOOKUP(Tabela1[[#This Row],[Cliente]],'BASE DE CLIENTES'!A:E,5,0)</f>
        <v>SAMAMBAIA</v>
      </c>
    </row>
    <row r="4319" spans="2:12" x14ac:dyDescent="0.3">
      <c r="B4319" t="s">
        <v>96</v>
      </c>
      <c r="C4319" s="17" t="str">
        <f>VLOOKUP(Tabela1[[#This Row],[Cliente]],'BASE DE CLIENTES'!A:E,2,0)</f>
        <v>Brasília</v>
      </c>
      <c r="D4319" s="17" t="str">
        <f>VLOOKUP(Tabela1[[#This Row],[Cliente]],'BASE DE CLIENTES'!A:C,3,0)</f>
        <v>DF</v>
      </c>
      <c r="E4319" s="17" t="str">
        <f>CONCATENATE(Tabela1[[#This Row],[CIDADE]],",",Tabela1[[#This Row],[UF]])</f>
        <v>Brasília,DF</v>
      </c>
      <c r="F4319" s="15">
        <v>46057</v>
      </c>
      <c r="G4319" s="5">
        <v>46.5</v>
      </c>
      <c r="H4319" s="5">
        <v>65</v>
      </c>
      <c r="I4319" s="8">
        <f>Tabela1[[#This Row],[Valor total]]-Tabela1[[#This Row],[Valor custo]]</f>
        <v>18.5</v>
      </c>
      <c r="J4319" s="18">
        <f>Tabela1[[#This Row],[MARGEM BRUTA]]/Tabela1[[#This Row],[Valor total]]</f>
        <v>0.2846153846153846</v>
      </c>
      <c r="K4319" s="17" t="str">
        <f>VLOOKUP(Tabela1[[#This Row],[Cliente]],'BASE DE CLIENTES'!A:D,4,0)</f>
        <v>EMPRESA SEM MAQUINA</v>
      </c>
      <c r="L4319" s="17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7" t="str">
        <f>VLOOKUP(Tabela1[[#This Row],[Cliente]],'BASE DE CLIENTES'!A:E,2,0)</f>
        <v>Brasília</v>
      </c>
      <c r="D4320" s="17" t="str">
        <f>VLOOKUP(Tabela1[[#This Row],[Cliente]],'BASE DE CLIENTES'!A:C,3,0)</f>
        <v>DF</v>
      </c>
      <c r="E4320" s="17" t="str">
        <f>CONCATENATE(Tabela1[[#This Row],[CIDADE]],",",Tabela1[[#This Row],[UF]])</f>
        <v>Brasília,DF</v>
      </c>
      <c r="F4320" s="15">
        <v>46057</v>
      </c>
      <c r="G4320" s="5">
        <v>2877.56</v>
      </c>
      <c r="H4320" s="5">
        <v>4100</v>
      </c>
      <c r="I4320" s="8">
        <f>Tabela1[[#This Row],[Valor total]]-Tabela1[[#This Row],[Valor custo]]</f>
        <v>1222.44</v>
      </c>
      <c r="J4320" s="18">
        <f>Tabela1[[#This Row],[MARGEM BRUTA]]/Tabela1[[#This Row],[Valor total]]</f>
        <v>0.29815609756097561</v>
      </c>
      <c r="K4320" s="17" t="str">
        <f>VLOOKUP(Tabela1[[#This Row],[Cliente]],'BASE DE CLIENTES'!A:D,4,0)</f>
        <v>EMPRESA COM MAQUINA</v>
      </c>
      <c r="L4320" s="17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7" t="str">
        <f>VLOOKUP(Tabela1[[#This Row],[Cliente]],'BASE DE CLIENTES'!A:E,2,0)</f>
        <v>Brasília</v>
      </c>
      <c r="D4321" s="17" t="str">
        <f>VLOOKUP(Tabela1[[#This Row],[Cliente]],'BASE DE CLIENTES'!A:C,3,0)</f>
        <v>DF</v>
      </c>
      <c r="E4321" s="17" t="str">
        <f>CONCATENATE(Tabela1[[#This Row],[CIDADE]],",",Tabela1[[#This Row],[UF]])</f>
        <v>Brasília,DF</v>
      </c>
      <c r="F4321" s="15">
        <v>46057</v>
      </c>
      <c r="G4321" s="5">
        <v>5010.18</v>
      </c>
      <c r="H4321" s="5">
        <v>8000</v>
      </c>
      <c r="I4321" s="8">
        <f>Tabela1[[#This Row],[Valor total]]-Tabela1[[#This Row],[Valor custo]]</f>
        <v>2989.8199999999997</v>
      </c>
      <c r="J4321" s="18">
        <f>Tabela1[[#This Row],[MARGEM BRUTA]]/Tabela1[[#This Row],[Valor total]]</f>
        <v>0.37372749999999999</v>
      </c>
      <c r="K4321" s="17" t="str">
        <f>VLOOKUP(Tabela1[[#This Row],[Cliente]],'BASE DE CLIENTES'!A:D,4,0)</f>
        <v>EMPRESA COM MAQUINA</v>
      </c>
      <c r="L4321" s="17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7" t="str">
        <f>VLOOKUP(Tabela1[[#This Row],[Cliente]],'BASE DE CLIENTES'!A:E,2,0)</f>
        <v>Brasília</v>
      </c>
      <c r="D4322" s="17" t="str">
        <f>VLOOKUP(Tabela1[[#This Row],[Cliente]],'BASE DE CLIENTES'!A:C,3,0)</f>
        <v>DF</v>
      </c>
      <c r="E4322" s="17" t="str">
        <f>CONCATENATE(Tabela1[[#This Row],[CIDADE]],",",Tabela1[[#This Row],[UF]])</f>
        <v>Brasília,DF</v>
      </c>
      <c r="F4322" s="15">
        <v>46056</v>
      </c>
      <c r="G4322" s="5">
        <v>715.02</v>
      </c>
      <c r="H4322" s="5">
        <v>1235</v>
      </c>
      <c r="I4322" s="8">
        <f>Tabela1[[#This Row],[Valor total]]-Tabela1[[#This Row],[Valor custo]]</f>
        <v>519.98</v>
      </c>
      <c r="J4322" s="18">
        <f>Tabela1[[#This Row],[MARGEM BRUTA]]/Tabela1[[#This Row],[Valor total]]</f>
        <v>0.4210364372469636</v>
      </c>
      <c r="K4322" s="17" t="str">
        <f>VLOOKUP(Tabela1[[#This Row],[Cliente]],'BASE DE CLIENTES'!A:D,4,0)</f>
        <v>EMPRESA COM MAQUINA</v>
      </c>
      <c r="L4322" s="17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7" t="str">
        <f>VLOOKUP(Tabela1[[#This Row],[Cliente]],'BASE DE CLIENTES'!A:E,2,0)</f>
        <v>Brasília</v>
      </c>
      <c r="D4323" s="17" t="str">
        <f>VLOOKUP(Tabela1[[#This Row],[Cliente]],'BASE DE CLIENTES'!A:C,3,0)</f>
        <v>DF</v>
      </c>
      <c r="E4323" s="17" t="str">
        <f>CONCATENATE(Tabela1[[#This Row],[CIDADE]],",",Tabela1[[#This Row],[UF]])</f>
        <v>Brasília,DF</v>
      </c>
      <c r="F4323" s="15">
        <v>46056</v>
      </c>
      <c r="G4323" s="5">
        <v>1086</v>
      </c>
      <c r="H4323" s="5">
        <v>1800</v>
      </c>
      <c r="I4323" s="8">
        <f>Tabela1[[#This Row],[Valor total]]-Tabela1[[#This Row],[Valor custo]]</f>
        <v>714</v>
      </c>
      <c r="J4323" s="18">
        <f>Tabela1[[#This Row],[MARGEM BRUTA]]/Tabela1[[#This Row],[Valor total]]</f>
        <v>0.39666666666666667</v>
      </c>
      <c r="K4323" s="17" t="str">
        <f>VLOOKUP(Tabela1[[#This Row],[Cliente]],'BASE DE CLIENTES'!A:D,4,0)</f>
        <v>EMPRESA COM MAQUINA</v>
      </c>
      <c r="L4323" s="17" t="str">
        <f>VLOOKUP(Tabela1[[#This Row],[Cliente]],'BASE DE CLIENTES'!A:E,5,0)</f>
        <v>RIACHO FUNDO I</v>
      </c>
    </row>
    <row r="4324" spans="2:12" x14ac:dyDescent="0.3">
      <c r="B4324" t="s">
        <v>152</v>
      </c>
      <c r="C4324" s="17" t="str">
        <f>VLOOKUP(Tabela1[[#This Row],[Cliente]],'BASE DE CLIENTES'!A:E,2,0)</f>
        <v>Aparecida de Goiânia</v>
      </c>
      <c r="D4324" s="17" t="str">
        <f>VLOOKUP(Tabela1[[#This Row],[Cliente]],'BASE DE CLIENTES'!A:C,3,0)</f>
        <v>GO</v>
      </c>
      <c r="E4324" s="17" t="str">
        <f>CONCATENATE(Tabela1[[#This Row],[CIDADE]],",",Tabela1[[#This Row],[UF]])</f>
        <v>Aparecida de Goiânia,GO</v>
      </c>
      <c r="F4324" s="15">
        <v>46056</v>
      </c>
      <c r="G4324" s="5">
        <v>132</v>
      </c>
      <c r="H4324" s="5">
        <v>600</v>
      </c>
      <c r="I4324" s="8">
        <f>Tabela1[[#This Row],[Valor total]]-Tabela1[[#This Row],[Valor custo]]</f>
        <v>468</v>
      </c>
      <c r="J4324" s="18">
        <f>Tabela1[[#This Row],[MARGEM BRUTA]]/Tabela1[[#This Row],[Valor total]]</f>
        <v>0.78</v>
      </c>
      <c r="K4324" s="17" t="str">
        <f>VLOOKUP(Tabela1[[#This Row],[Cliente]],'BASE DE CLIENTES'!A:D,4,0)</f>
        <v>TECNICO</v>
      </c>
      <c r="L4324" s="17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7" t="str">
        <f>VLOOKUP(Tabela1[[#This Row],[Cliente]],'BASE DE CLIENTES'!A:E,2,0)</f>
        <v>Aparecida de Goiânia</v>
      </c>
      <c r="D4325" s="17" t="str">
        <f>VLOOKUP(Tabela1[[#This Row],[Cliente]],'BASE DE CLIENTES'!A:C,3,0)</f>
        <v>GO</v>
      </c>
      <c r="E4325" s="17" t="str">
        <f>CONCATENATE(Tabela1[[#This Row],[CIDADE]],",",Tabela1[[#This Row],[UF]])</f>
        <v>Aparecida de Goiânia,GO</v>
      </c>
      <c r="F4325" s="15">
        <v>46056</v>
      </c>
      <c r="G4325" s="5">
        <v>362</v>
      </c>
      <c r="H4325" s="5">
        <v>615</v>
      </c>
      <c r="I4325" s="8">
        <f>Tabela1[[#This Row],[Valor total]]-Tabela1[[#This Row],[Valor custo]]</f>
        <v>253</v>
      </c>
      <c r="J4325" s="18">
        <f>Tabela1[[#This Row],[MARGEM BRUTA]]/Tabela1[[#This Row],[Valor total]]</f>
        <v>0.41138211382113821</v>
      </c>
      <c r="K4325" s="17" t="str">
        <f>VLOOKUP(Tabela1[[#This Row],[Cliente]],'BASE DE CLIENTES'!A:D,4,0)</f>
        <v>TECNICO</v>
      </c>
      <c r="L4325" s="17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7" t="str">
        <f>VLOOKUP(Tabela1[[#This Row],[Cliente]],'BASE DE CLIENTES'!A:E,2,0)</f>
        <v>Aparecida de Goiânia</v>
      </c>
      <c r="D4326" s="17" t="str">
        <f>VLOOKUP(Tabela1[[#This Row],[Cliente]],'BASE DE CLIENTES'!A:C,3,0)</f>
        <v>GO</v>
      </c>
      <c r="E4326" s="17" t="str">
        <f>CONCATENATE(Tabela1[[#This Row],[CIDADE]],",",Tabela1[[#This Row],[UF]])</f>
        <v>Aparecida de Goiânia,GO</v>
      </c>
      <c r="F4326" s="15">
        <v>46056</v>
      </c>
      <c r="G4326" s="5">
        <v>900</v>
      </c>
      <c r="H4326" s="5">
        <v>1500</v>
      </c>
      <c r="I4326" s="8">
        <f>Tabela1[[#This Row],[Valor total]]-Tabela1[[#This Row],[Valor custo]]</f>
        <v>600</v>
      </c>
      <c r="J4326" s="18">
        <f>Tabela1[[#This Row],[MARGEM BRUTA]]/Tabela1[[#This Row],[Valor total]]</f>
        <v>0.4</v>
      </c>
      <c r="K4326" s="17" t="str">
        <f>VLOOKUP(Tabela1[[#This Row],[Cliente]],'BASE DE CLIENTES'!A:D,4,0)</f>
        <v>TECNICO</v>
      </c>
      <c r="L4326" s="17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7" t="str">
        <f>VLOOKUP(Tabela1[[#This Row],[Cliente]],'BASE DE CLIENTES'!A:E,2,0)</f>
        <v>Brasília</v>
      </c>
      <c r="D4327" s="17" t="str">
        <f>VLOOKUP(Tabela1[[#This Row],[Cliente]],'BASE DE CLIENTES'!A:C,3,0)</f>
        <v>DF</v>
      </c>
      <c r="E4327" s="17" t="str">
        <f>CONCATENATE(Tabela1[[#This Row],[CIDADE]],",",Tabela1[[#This Row],[UF]])</f>
        <v>Brasília,DF</v>
      </c>
      <c r="F4327" s="15">
        <v>46056</v>
      </c>
      <c r="G4327" s="5">
        <v>1089</v>
      </c>
      <c r="H4327" s="5">
        <v>1650</v>
      </c>
      <c r="I4327" s="8">
        <f>Tabela1[[#This Row],[Valor total]]-Tabela1[[#This Row],[Valor custo]]</f>
        <v>561</v>
      </c>
      <c r="J4327" s="18">
        <f>Tabela1[[#This Row],[MARGEM BRUTA]]/Tabela1[[#This Row],[Valor total]]</f>
        <v>0.34</v>
      </c>
      <c r="K4327" s="17" t="str">
        <f>VLOOKUP(Tabela1[[#This Row],[Cliente]],'BASE DE CLIENTES'!A:D,4,0)</f>
        <v>EMPRESA SEM MAQUINA</v>
      </c>
      <c r="L4327" s="17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7" t="str">
        <f>VLOOKUP(Tabela1[[#This Row],[Cliente]],'BASE DE CLIENTES'!A:E,2,0)</f>
        <v>Brasília</v>
      </c>
      <c r="D4328" s="17" t="str">
        <f>VLOOKUP(Tabela1[[#This Row],[Cliente]],'BASE DE CLIENTES'!A:C,3,0)</f>
        <v>DF</v>
      </c>
      <c r="E4328" s="17" t="str">
        <f>CONCATENATE(Tabela1[[#This Row],[CIDADE]],",",Tabela1[[#This Row],[UF]])</f>
        <v>Brasília,DF</v>
      </c>
      <c r="F4328" s="15">
        <v>46056</v>
      </c>
      <c r="G4328" s="5">
        <v>6720</v>
      </c>
      <c r="H4328" s="5">
        <v>10795</v>
      </c>
      <c r="I4328" s="8">
        <f>Tabela1[[#This Row],[Valor total]]-Tabela1[[#This Row],[Valor custo]]</f>
        <v>4075</v>
      </c>
      <c r="J4328" s="18">
        <f>Tabela1[[#This Row],[MARGEM BRUTA]]/Tabela1[[#This Row],[Valor total]]</f>
        <v>0.37748957850856879</v>
      </c>
      <c r="K4328" s="17" t="str">
        <f>VLOOKUP(Tabela1[[#This Row],[Cliente]],'BASE DE CLIENTES'!A:D,4,0)</f>
        <v>EMPRESA COM MAQUINA</v>
      </c>
      <c r="L4328" s="17" t="str">
        <f>VLOOKUP(Tabela1[[#This Row],[Cliente]],'BASE DE CLIENTES'!A:E,5,0)</f>
        <v>RIACHO FUNDO II</v>
      </c>
    </row>
    <row r="4329" spans="2:12" x14ac:dyDescent="0.3">
      <c r="B4329" t="s">
        <v>316</v>
      </c>
      <c r="C4329" s="17" t="str">
        <f>VLOOKUP(Tabela1[[#This Row],[Cliente]],'BASE DE CLIENTES'!A:E,2,0)</f>
        <v>Valparaíso de Goiás</v>
      </c>
      <c r="D4329" s="17" t="str">
        <f>VLOOKUP(Tabela1[[#This Row],[Cliente]],'BASE DE CLIENTES'!A:C,3,0)</f>
        <v>GO</v>
      </c>
      <c r="E4329" s="17" t="str">
        <f>CONCATENATE(Tabela1[[#This Row],[CIDADE]],",",Tabela1[[#This Row],[UF]])</f>
        <v>Valparaíso de Goiás,GO</v>
      </c>
      <c r="F4329" s="15">
        <v>46056</v>
      </c>
      <c r="G4329" s="5">
        <v>362</v>
      </c>
      <c r="H4329" s="5">
        <v>620</v>
      </c>
      <c r="I4329" s="8">
        <f>Tabela1[[#This Row],[Valor total]]-Tabela1[[#This Row],[Valor custo]]</f>
        <v>258</v>
      </c>
      <c r="J4329" s="18">
        <f>Tabela1[[#This Row],[MARGEM BRUTA]]/Tabela1[[#This Row],[Valor total]]</f>
        <v>0.41612903225806452</v>
      </c>
      <c r="K4329" s="17" t="str">
        <f>VLOOKUP(Tabela1[[#This Row],[Cliente]],'BASE DE CLIENTES'!A:D,4,0)</f>
        <v>SERRALHEIRO</v>
      </c>
      <c r="L4329" s="17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7" t="str">
        <f>VLOOKUP(Tabela1[[#This Row],[Cliente]],'BASE DE CLIENTES'!A:E,2,0)</f>
        <v>Valparaíso de Goiás</v>
      </c>
      <c r="D4330" s="17" t="str">
        <f>VLOOKUP(Tabela1[[#This Row],[Cliente]],'BASE DE CLIENTES'!A:C,3,0)</f>
        <v>GO</v>
      </c>
      <c r="E4330" s="17" t="str">
        <f>CONCATENATE(Tabela1[[#This Row],[CIDADE]],",",Tabela1[[#This Row],[UF]])</f>
        <v>Valparaíso de Goiás,GO</v>
      </c>
      <c r="F4330" s="15">
        <v>46056</v>
      </c>
      <c r="G4330" s="5">
        <v>1530.93</v>
      </c>
      <c r="H4330" s="5">
        <v>2250</v>
      </c>
      <c r="I4330" s="8">
        <f>Tabela1[[#This Row],[Valor total]]-Tabela1[[#This Row],[Valor custo]]</f>
        <v>719.06999999999994</v>
      </c>
      <c r="J4330" s="18">
        <f>Tabela1[[#This Row],[MARGEM BRUTA]]/Tabela1[[#This Row],[Valor total]]</f>
        <v>0.31958666666666663</v>
      </c>
      <c r="K4330" s="17" t="str">
        <f>VLOOKUP(Tabela1[[#This Row],[Cliente]],'BASE DE CLIENTES'!A:D,4,0)</f>
        <v>CLIENTE NOVO S/ IDENT.</v>
      </c>
      <c r="L4330" s="17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7" t="str">
        <f>VLOOKUP(Tabela1[[#This Row],[Cliente]],'BASE DE CLIENTES'!A:E,2,0)</f>
        <v>Brasília</v>
      </c>
      <c r="D4331" s="17" t="str">
        <f>VLOOKUP(Tabela1[[#This Row],[Cliente]],'BASE DE CLIENTES'!A:C,3,0)</f>
        <v>DF</v>
      </c>
      <c r="E4331" s="17" t="str">
        <f>CONCATENATE(Tabela1[[#This Row],[CIDADE]],",",Tabela1[[#This Row],[UF]])</f>
        <v>Brasília,DF</v>
      </c>
      <c r="F4331" s="15">
        <v>46056</v>
      </c>
      <c r="G4331" s="5">
        <v>5360</v>
      </c>
      <c r="H4331" s="5">
        <v>7600</v>
      </c>
      <c r="I4331" s="8">
        <f>Tabela1[[#This Row],[Valor total]]-Tabela1[[#This Row],[Valor custo]]</f>
        <v>2240</v>
      </c>
      <c r="J4331" s="18">
        <f>Tabela1[[#This Row],[MARGEM BRUTA]]/Tabela1[[#This Row],[Valor total]]</f>
        <v>0.29473684210526313</v>
      </c>
      <c r="K4331" s="17" t="str">
        <f>VLOOKUP(Tabela1[[#This Row],[Cliente]],'BASE DE CLIENTES'!A:D,4,0)</f>
        <v>EMPRESA SEM MAQUINA</v>
      </c>
      <c r="L4331" s="17" t="str">
        <f>VLOOKUP(Tabela1[[#This Row],[Cliente]],'BASE DE CLIENTES'!A:E,5,0)</f>
        <v>RECANTO DAS EMAS</v>
      </c>
    </row>
    <row r="4332" spans="2:12" x14ac:dyDescent="0.3">
      <c r="B4332" t="s">
        <v>30</v>
      </c>
      <c r="C4332" s="17" t="str">
        <f>VLOOKUP(Tabela1[[#This Row],[Cliente]],'BASE DE CLIENTES'!A:E,2,0)</f>
        <v>Águas Lindas de Goiás</v>
      </c>
      <c r="D4332" s="17" t="str">
        <f>VLOOKUP(Tabela1[[#This Row],[Cliente]],'BASE DE CLIENTES'!A:C,3,0)</f>
        <v>GO</v>
      </c>
      <c r="E4332" s="17" t="str">
        <f>CONCATENATE(Tabela1[[#This Row],[CIDADE]],",",Tabela1[[#This Row],[UF]])</f>
        <v>Águas Lindas de Goiás,GO</v>
      </c>
      <c r="F4332" s="15">
        <v>46056</v>
      </c>
      <c r="G4332" s="5">
        <v>1508</v>
      </c>
      <c r="H4332" s="5">
        <v>2410</v>
      </c>
      <c r="I4332" s="8">
        <f>Tabela1[[#This Row],[Valor total]]-Tabela1[[#This Row],[Valor custo]]</f>
        <v>902</v>
      </c>
      <c r="J4332" s="18">
        <f>Tabela1[[#This Row],[MARGEM BRUTA]]/Tabela1[[#This Row],[Valor total]]</f>
        <v>0.37427385892116183</v>
      </c>
      <c r="K4332" s="17" t="str">
        <f>VLOOKUP(Tabela1[[#This Row],[Cliente]],'BASE DE CLIENTES'!A:D,4,0)</f>
        <v>SERRALHEIRO</v>
      </c>
      <c r="L4332" s="17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7" t="str">
        <f>VLOOKUP(Tabela1[[#This Row],[Cliente]],'BASE DE CLIENTES'!A:E,2,0)</f>
        <v>Brasília</v>
      </c>
      <c r="D4333" s="17" t="str">
        <f>VLOOKUP(Tabela1[[#This Row],[Cliente]],'BASE DE CLIENTES'!A:C,3,0)</f>
        <v>DF</v>
      </c>
      <c r="E4333" s="17" t="str">
        <f>CONCATENATE(Tabela1[[#This Row],[CIDADE]],",",Tabela1[[#This Row],[UF]])</f>
        <v>Brasília,DF</v>
      </c>
      <c r="F4333" s="15">
        <v>46056</v>
      </c>
      <c r="G4333" s="5">
        <v>405.29</v>
      </c>
      <c r="H4333" s="5">
        <v>675.5</v>
      </c>
      <c r="I4333" s="8">
        <f>Tabela1[[#This Row],[Valor total]]-Tabela1[[#This Row],[Valor custo]]</f>
        <v>270.20999999999998</v>
      </c>
      <c r="J4333" s="18">
        <f>Tabela1[[#This Row],[MARGEM BRUTA]]/Tabela1[[#This Row],[Valor total]]</f>
        <v>0.40001480384900073</v>
      </c>
      <c r="K4333" s="17" t="str">
        <f>VLOOKUP(Tabela1[[#This Row],[Cliente]],'BASE DE CLIENTES'!A:D,4,0)</f>
        <v>SERRALHEIRO</v>
      </c>
      <c r="L4333" s="17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7" t="str">
        <f>VLOOKUP(Tabela1[[#This Row],[Cliente]],'BASE DE CLIENTES'!A:E,2,0)</f>
        <v>Brasília</v>
      </c>
      <c r="D4334" s="17" t="str">
        <f>VLOOKUP(Tabela1[[#This Row],[Cliente]],'BASE DE CLIENTES'!A:C,3,0)</f>
        <v>DF</v>
      </c>
      <c r="E4334" s="17" t="str">
        <f>CONCATENATE(Tabela1[[#This Row],[CIDADE]],",",Tabela1[[#This Row],[UF]])</f>
        <v>Brasília,DF</v>
      </c>
      <c r="F4334" s="15">
        <v>46056</v>
      </c>
      <c r="G4334" s="5">
        <v>90.06</v>
      </c>
      <c r="H4334" s="5">
        <v>160</v>
      </c>
      <c r="I4334" s="8">
        <f>Tabela1[[#This Row],[Valor total]]-Tabela1[[#This Row],[Valor custo]]</f>
        <v>69.94</v>
      </c>
      <c r="J4334" s="18">
        <f>Tabela1[[#This Row],[MARGEM BRUTA]]/Tabela1[[#This Row],[Valor total]]</f>
        <v>0.43712499999999999</v>
      </c>
      <c r="K4334" s="17" t="str">
        <f>VLOOKUP(Tabela1[[#This Row],[Cliente]],'BASE DE CLIENTES'!A:D,4,0)</f>
        <v>EMPRESA SEM MAQUINA</v>
      </c>
      <c r="L4334" s="17" t="str">
        <f>VLOOKUP(Tabela1[[#This Row],[Cliente]],'BASE DE CLIENTES'!A:E,5,0)</f>
        <v>RECANTO DAS EMAS</v>
      </c>
    </row>
    <row r="4335" spans="2:12" x14ac:dyDescent="0.3">
      <c r="B4335" t="s">
        <v>17</v>
      </c>
      <c r="C4335" s="17" t="str">
        <f>VLOOKUP(Tabela1[[#This Row],[Cliente]],'BASE DE CLIENTES'!A:E,2,0)</f>
        <v>Águas Lindas de Goiás</v>
      </c>
      <c r="D4335" s="17" t="str">
        <f>VLOOKUP(Tabela1[[#This Row],[Cliente]],'BASE DE CLIENTES'!A:C,3,0)</f>
        <v>GO</v>
      </c>
      <c r="E4335" s="17" t="str">
        <f>CONCATENATE(Tabela1[[#This Row],[CIDADE]],",",Tabela1[[#This Row],[UF]])</f>
        <v>Águas Lindas de Goiás,GO</v>
      </c>
      <c r="F4335" s="15">
        <v>46056</v>
      </c>
      <c r="G4335" s="5">
        <v>362</v>
      </c>
      <c r="H4335" s="5">
        <v>645</v>
      </c>
      <c r="I4335" s="8">
        <f>Tabela1[[#This Row],[Valor total]]-Tabela1[[#This Row],[Valor custo]]</f>
        <v>283</v>
      </c>
      <c r="J4335" s="18">
        <f>Tabela1[[#This Row],[MARGEM BRUTA]]/Tabela1[[#This Row],[Valor total]]</f>
        <v>0.4387596899224806</v>
      </c>
      <c r="K4335" s="17" t="str">
        <f>VLOOKUP(Tabela1[[#This Row],[Cliente]],'BASE DE CLIENTES'!A:D,4,0)</f>
        <v>SERRALHEIRO</v>
      </c>
      <c r="L4335" s="17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7" t="str">
        <f>VLOOKUP(Tabela1[[#This Row],[Cliente]],'BASE DE CLIENTES'!A:E,2,0)</f>
        <v>Brasília</v>
      </c>
      <c r="D4336" s="17" t="str">
        <f>VLOOKUP(Tabela1[[#This Row],[Cliente]],'BASE DE CLIENTES'!A:C,3,0)</f>
        <v>DF</v>
      </c>
      <c r="E4336" s="17" t="str">
        <f>CONCATENATE(Tabela1[[#This Row],[CIDADE]],",",Tabela1[[#This Row],[UF]])</f>
        <v>Brasília,DF</v>
      </c>
      <c r="F4336" s="15">
        <v>46056</v>
      </c>
      <c r="G4336" s="5">
        <v>1300</v>
      </c>
      <c r="H4336" s="5">
        <v>1800</v>
      </c>
      <c r="I4336" s="8">
        <f>Tabela1[[#This Row],[Valor total]]-Tabela1[[#This Row],[Valor custo]]</f>
        <v>500</v>
      </c>
      <c r="J4336" s="18">
        <f>Tabela1[[#This Row],[MARGEM BRUTA]]/Tabela1[[#This Row],[Valor total]]</f>
        <v>0.27777777777777779</v>
      </c>
      <c r="K4336" s="17" t="str">
        <f>VLOOKUP(Tabela1[[#This Row],[Cliente]],'BASE DE CLIENTES'!A:D,4,0)</f>
        <v>EMPRESA COM MAQUINA</v>
      </c>
      <c r="L4336" s="17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7" t="str">
        <f>VLOOKUP(Tabela1[[#This Row],[Cliente]],'BASE DE CLIENTES'!A:E,2,0)</f>
        <v>Brasília</v>
      </c>
      <c r="D4337" s="17" t="str">
        <f>VLOOKUP(Tabela1[[#This Row],[Cliente]],'BASE DE CLIENTES'!A:C,3,0)</f>
        <v>DF</v>
      </c>
      <c r="E4337" s="17" t="str">
        <f>CONCATENATE(Tabela1[[#This Row],[CIDADE]],",",Tabela1[[#This Row],[UF]])</f>
        <v>Brasília,DF</v>
      </c>
      <c r="F4337" s="15">
        <v>46056</v>
      </c>
      <c r="G4337" s="5">
        <v>85.5</v>
      </c>
      <c r="H4337" s="5">
        <v>155</v>
      </c>
      <c r="I4337" s="8">
        <f>Tabela1[[#This Row],[Valor total]]-Tabela1[[#This Row],[Valor custo]]</f>
        <v>69.5</v>
      </c>
      <c r="J4337" s="18">
        <f>Tabela1[[#This Row],[MARGEM BRUTA]]/Tabela1[[#This Row],[Valor total]]</f>
        <v>0.44838709677419353</v>
      </c>
      <c r="K4337" s="17" t="str">
        <f>VLOOKUP(Tabela1[[#This Row],[Cliente]],'BASE DE CLIENTES'!A:D,4,0)</f>
        <v>FUNCIONÁRIO</v>
      </c>
      <c r="L4337" s="17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7" t="str">
        <f>VLOOKUP(Tabela1[[#This Row],[Cliente]],'BASE DE CLIENTES'!A:E,2,0)</f>
        <v>Brasília</v>
      </c>
      <c r="D4338" s="17" t="str">
        <f>VLOOKUP(Tabela1[[#This Row],[Cliente]],'BASE DE CLIENTES'!A:C,3,0)</f>
        <v>DF</v>
      </c>
      <c r="E4338" s="17" t="str">
        <f>CONCATENATE(Tabela1[[#This Row],[CIDADE]],",",Tabela1[[#This Row],[UF]])</f>
        <v>Brasília,DF</v>
      </c>
      <c r="F4338" s="15">
        <v>46056</v>
      </c>
      <c r="G4338" s="5">
        <v>54.43</v>
      </c>
      <c r="H4338" s="5">
        <v>65</v>
      </c>
      <c r="I4338" s="8">
        <f>Tabela1[[#This Row],[Valor total]]-Tabela1[[#This Row],[Valor custo]]</f>
        <v>10.57</v>
      </c>
      <c r="J4338" s="18">
        <f>Tabela1[[#This Row],[MARGEM BRUTA]]/Tabela1[[#This Row],[Valor total]]</f>
        <v>0.16261538461538461</v>
      </c>
      <c r="K4338" s="17" t="str">
        <f>VLOOKUP(Tabela1[[#This Row],[Cliente]],'BASE DE CLIENTES'!A:D,4,0)</f>
        <v>EMPRESA SEM MAQUINA</v>
      </c>
      <c r="L4338" s="17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7" t="str">
        <f>VLOOKUP(Tabela1[[#This Row],[Cliente]],'BASE DE CLIENTES'!A:E,2,0)</f>
        <v>Brasília</v>
      </c>
      <c r="D4339" s="17" t="str">
        <f>VLOOKUP(Tabela1[[#This Row],[Cliente]],'BASE DE CLIENTES'!A:C,3,0)</f>
        <v>DF</v>
      </c>
      <c r="E4339" s="17" t="str">
        <f>CONCATENATE(Tabela1[[#This Row],[CIDADE]],",",Tabela1[[#This Row],[UF]])</f>
        <v>Brasília,DF</v>
      </c>
      <c r="F4339" s="15">
        <v>46056</v>
      </c>
      <c r="G4339" s="5">
        <v>419</v>
      </c>
      <c r="H4339" s="5">
        <v>655</v>
      </c>
      <c r="I4339" s="8">
        <f>Tabela1[[#This Row],[Valor total]]-Tabela1[[#This Row],[Valor custo]]</f>
        <v>236</v>
      </c>
      <c r="J4339" s="18">
        <f>Tabela1[[#This Row],[MARGEM BRUTA]]/Tabela1[[#This Row],[Valor total]]</f>
        <v>0.36030534351145038</v>
      </c>
      <c r="K4339" s="17" t="str">
        <f>VLOOKUP(Tabela1[[#This Row],[Cliente]],'BASE DE CLIENTES'!A:D,4,0)</f>
        <v>EMPRESA COM MAQUINA</v>
      </c>
      <c r="L4339" s="17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7" t="str">
        <f>VLOOKUP(Tabela1[[#This Row],[Cliente]],'BASE DE CLIENTES'!A:E,2,0)</f>
        <v>Brasília</v>
      </c>
      <c r="D4340" s="17" t="str">
        <f>VLOOKUP(Tabela1[[#This Row],[Cliente]],'BASE DE CLIENTES'!A:C,3,0)</f>
        <v>DF</v>
      </c>
      <c r="E4340" s="17" t="str">
        <f>CONCATENATE(Tabela1[[#This Row],[CIDADE]],",",Tabela1[[#This Row],[UF]])</f>
        <v>Brasília,DF</v>
      </c>
      <c r="F4340" s="15">
        <v>46056</v>
      </c>
      <c r="G4340" s="5">
        <v>1676</v>
      </c>
      <c r="H4340" s="5">
        <v>2620</v>
      </c>
      <c r="I4340" s="8">
        <f>Tabela1[[#This Row],[Valor total]]-Tabela1[[#This Row],[Valor custo]]</f>
        <v>944</v>
      </c>
      <c r="J4340" s="18">
        <f>Tabela1[[#This Row],[MARGEM BRUTA]]/Tabela1[[#This Row],[Valor total]]</f>
        <v>0.36030534351145038</v>
      </c>
      <c r="K4340" s="17" t="str">
        <f>VLOOKUP(Tabela1[[#This Row],[Cliente]],'BASE DE CLIENTES'!A:D,4,0)</f>
        <v>EMPRESA COM MAQUINA</v>
      </c>
      <c r="L4340" s="17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7" t="str">
        <f>VLOOKUP(Tabela1[[#This Row],[Cliente]],'BASE DE CLIENTES'!A:E,2,0)</f>
        <v>Brasília</v>
      </c>
      <c r="D4341" s="17" t="str">
        <f>VLOOKUP(Tabela1[[#This Row],[Cliente]],'BASE DE CLIENTES'!A:C,3,0)</f>
        <v>DF</v>
      </c>
      <c r="E4341" s="17" t="str">
        <f>CONCATENATE(Tabela1[[#This Row],[CIDADE]],",",Tabela1[[#This Row],[UF]])</f>
        <v>Brasília,DF</v>
      </c>
      <c r="F4341" s="15">
        <v>46056</v>
      </c>
      <c r="G4341" s="5">
        <v>392</v>
      </c>
      <c r="H4341" s="5">
        <v>715</v>
      </c>
      <c r="I4341" s="8">
        <f>Tabela1[[#This Row],[Valor total]]-Tabela1[[#This Row],[Valor custo]]</f>
        <v>323</v>
      </c>
      <c r="J4341" s="18">
        <f>Tabela1[[#This Row],[MARGEM BRUTA]]/Tabela1[[#This Row],[Valor total]]</f>
        <v>0.45174825174825173</v>
      </c>
      <c r="K4341" s="17" t="str">
        <f>VLOOKUP(Tabela1[[#This Row],[Cliente]],'BASE DE CLIENTES'!A:D,4,0)</f>
        <v>CLIENTE NOVO S/ IDENT.</v>
      </c>
      <c r="L4341" s="17" t="str">
        <f>VLOOKUP(Tabela1[[#This Row],[Cliente]],'BASE DE CLIENTES'!A:E,5,0)</f>
        <v>Brasília</v>
      </c>
    </row>
    <row r="4342" spans="2:12" x14ac:dyDescent="0.3">
      <c r="B4342" t="s">
        <v>1150</v>
      </c>
      <c r="C4342" s="17" t="str">
        <f>VLOOKUP(Tabela1[[#This Row],[Cliente]],'BASE DE CLIENTES'!A:E,2,0)</f>
        <v>Brasília</v>
      </c>
      <c r="D4342" s="17" t="str">
        <f>VLOOKUP(Tabela1[[#This Row],[Cliente]],'BASE DE CLIENTES'!A:C,3,0)</f>
        <v>DF</v>
      </c>
      <c r="E4342" s="17" t="str">
        <f>CONCATENATE(Tabela1[[#This Row],[CIDADE]],",",Tabela1[[#This Row],[UF]])</f>
        <v>Brasília,DF</v>
      </c>
      <c r="F4342" s="15">
        <v>46056</v>
      </c>
      <c r="G4342" s="5">
        <v>1172.52</v>
      </c>
      <c r="H4342" s="5">
        <v>1199.5999999999999</v>
      </c>
      <c r="I4342" s="8">
        <f>Tabela1[[#This Row],[Valor total]]-Tabela1[[#This Row],[Valor custo]]</f>
        <v>27.079999999999927</v>
      </c>
      <c r="J4342" s="18">
        <f>Tabela1[[#This Row],[MARGEM BRUTA]]/Tabela1[[#This Row],[Valor total]]</f>
        <v>2.2574191397132317E-2</v>
      </c>
      <c r="K4342" s="17" t="str">
        <f>VLOOKUP(Tabela1[[#This Row],[Cliente]],'BASE DE CLIENTES'!A:D,4,0)</f>
        <v>CLIENTE NOVO S/ IDENT.</v>
      </c>
      <c r="L4342" s="17" t="str">
        <f>VLOOKUP(Tabela1[[#This Row],[Cliente]],'BASE DE CLIENTES'!A:E,5,0)</f>
        <v>ÁGUAS CLARAS</v>
      </c>
    </row>
    <row r="4343" spans="2:12" x14ac:dyDescent="0.3">
      <c r="B4343" t="s">
        <v>19</v>
      </c>
      <c r="C4343" s="17" t="str">
        <f>VLOOKUP(Tabela1[[#This Row],[Cliente]],'BASE DE CLIENTES'!A:E,2,0)</f>
        <v>Águas Lindas de Goiás</v>
      </c>
      <c r="D4343" s="17" t="str">
        <f>VLOOKUP(Tabela1[[#This Row],[Cliente]],'BASE DE CLIENTES'!A:C,3,0)</f>
        <v>GO</v>
      </c>
      <c r="E4343" s="17" t="str">
        <f>CONCATENATE(Tabela1[[#This Row],[CIDADE]],",",Tabela1[[#This Row],[UF]])</f>
        <v>Águas Lindas de Goiás,GO</v>
      </c>
      <c r="F4343" s="15">
        <v>46056</v>
      </c>
      <c r="G4343" s="5">
        <v>1262.06</v>
      </c>
      <c r="H4343" s="5">
        <v>2155</v>
      </c>
      <c r="I4343" s="8">
        <f>Tabela1[[#This Row],[Valor total]]-Tabela1[[#This Row],[Valor custo]]</f>
        <v>892.94</v>
      </c>
      <c r="J4343" s="18">
        <f>Tabela1[[#This Row],[MARGEM BRUTA]]/Tabela1[[#This Row],[Valor total]]</f>
        <v>0.41435730858468678</v>
      </c>
      <c r="K4343" s="17" t="str">
        <f>VLOOKUP(Tabela1[[#This Row],[Cliente]],'BASE DE CLIENTES'!A:D,4,0)</f>
        <v>SERRALHEIRO</v>
      </c>
      <c r="L4343" s="17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7" t="str">
        <f>VLOOKUP(Tabela1[[#This Row],[Cliente]],'BASE DE CLIENTES'!A:E,2,0)</f>
        <v>Brasília</v>
      </c>
      <c r="D4344" s="17" t="str">
        <f>VLOOKUP(Tabela1[[#This Row],[Cliente]],'BASE DE CLIENTES'!A:C,3,0)</f>
        <v>DF</v>
      </c>
      <c r="E4344" s="17" t="str">
        <f>CONCATENATE(Tabela1[[#This Row],[CIDADE]],",",Tabela1[[#This Row],[UF]])</f>
        <v>Brasília,DF</v>
      </c>
      <c r="F4344" s="15">
        <v>46056</v>
      </c>
      <c r="G4344" s="5">
        <v>4570.3100000000004</v>
      </c>
      <c r="H4344" s="5">
        <v>7120</v>
      </c>
      <c r="I4344" s="8">
        <f>Tabela1[[#This Row],[Valor total]]-Tabela1[[#This Row],[Valor custo]]</f>
        <v>2549.6899999999996</v>
      </c>
      <c r="J4344" s="18">
        <f>Tabela1[[#This Row],[MARGEM BRUTA]]/Tabela1[[#This Row],[Valor total]]</f>
        <v>0.35810252808988757</v>
      </c>
      <c r="K4344" s="17" t="str">
        <f>VLOOKUP(Tabela1[[#This Row],[Cliente]],'BASE DE CLIENTES'!A:D,4,0)</f>
        <v>EMPRESA COM MAQUINA</v>
      </c>
      <c r="L4344" s="17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7" t="str">
        <f>VLOOKUP(Tabela1[[#This Row],[Cliente]],'BASE DE CLIENTES'!A:E,2,0)</f>
        <v>Brasília</v>
      </c>
      <c r="D4345" s="17" t="str">
        <f>VLOOKUP(Tabela1[[#This Row],[Cliente]],'BASE DE CLIENTES'!A:C,3,0)</f>
        <v>DF</v>
      </c>
      <c r="E4345" s="17" t="str">
        <f>CONCATENATE(Tabela1[[#This Row],[CIDADE]],",",Tabela1[[#This Row],[UF]])</f>
        <v>Brasília,DF</v>
      </c>
      <c r="F4345" s="15">
        <v>46055</v>
      </c>
      <c r="G4345" s="5">
        <v>781</v>
      </c>
      <c r="H4345" s="5">
        <v>1300</v>
      </c>
      <c r="I4345" s="8">
        <f>Tabela1[[#This Row],[Valor total]]-Tabela1[[#This Row],[Valor custo]]</f>
        <v>519</v>
      </c>
      <c r="J4345" s="18">
        <f>Tabela1[[#This Row],[MARGEM BRUTA]]/Tabela1[[#This Row],[Valor total]]</f>
        <v>0.39923076923076922</v>
      </c>
      <c r="K4345" s="17" t="str">
        <f>VLOOKUP(Tabela1[[#This Row],[Cliente]],'BASE DE CLIENTES'!A:D,4,0)</f>
        <v>SERRALHEIRO</v>
      </c>
      <c r="L4345" s="17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7" t="str">
        <f>VLOOKUP(Tabela1[[#This Row],[Cliente]],'BASE DE CLIENTES'!A:E,2,0)</f>
        <v>Brasília</v>
      </c>
      <c r="D4346" s="17" t="str">
        <f>VLOOKUP(Tabela1[[#This Row],[Cliente]],'BASE DE CLIENTES'!A:C,3,0)</f>
        <v>DF</v>
      </c>
      <c r="E4346" s="17" t="str">
        <f>CONCATENATE(Tabela1[[#This Row],[CIDADE]],",",Tabela1[[#This Row],[UF]])</f>
        <v>Brasília,DF</v>
      </c>
      <c r="F4346" s="15">
        <v>46055</v>
      </c>
      <c r="G4346" s="5">
        <v>497.6</v>
      </c>
      <c r="H4346" s="5">
        <v>845</v>
      </c>
      <c r="I4346" s="8">
        <f>Tabela1[[#This Row],[Valor total]]-Tabela1[[#This Row],[Valor custo]]</f>
        <v>347.4</v>
      </c>
      <c r="J4346" s="18">
        <f>Tabela1[[#This Row],[MARGEM BRUTA]]/Tabela1[[#This Row],[Valor total]]</f>
        <v>0.41112426035502958</v>
      </c>
      <c r="K4346" s="17" t="str">
        <f>VLOOKUP(Tabela1[[#This Row],[Cliente]],'BASE DE CLIENTES'!A:D,4,0)</f>
        <v>EMPRESA COM MAQUINA</v>
      </c>
      <c r="L4346" s="17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7" t="str">
        <f>VLOOKUP(Tabela1[[#This Row],[Cliente]],'BASE DE CLIENTES'!A:E,2,0)</f>
        <v>Águas Lindas de Goiás</v>
      </c>
      <c r="D4347" s="17" t="str">
        <f>VLOOKUP(Tabela1[[#This Row],[Cliente]],'BASE DE CLIENTES'!A:C,3,0)</f>
        <v>GO</v>
      </c>
      <c r="E4347" s="17" t="str">
        <f>CONCATENATE(Tabela1[[#This Row],[CIDADE]],",",Tabela1[[#This Row],[UF]])</f>
        <v>Águas Lindas de Goiás,GO</v>
      </c>
      <c r="F4347" s="15">
        <v>46055</v>
      </c>
      <c r="G4347" s="5">
        <v>86.32</v>
      </c>
      <c r="H4347" s="5">
        <v>439</v>
      </c>
      <c r="I4347" s="8">
        <f>Tabela1[[#This Row],[Valor total]]-Tabela1[[#This Row],[Valor custo]]</f>
        <v>352.68</v>
      </c>
      <c r="J4347" s="18">
        <f>Tabela1[[#This Row],[MARGEM BRUTA]]/Tabela1[[#This Row],[Valor total]]</f>
        <v>0.80337129840546695</v>
      </c>
      <c r="K4347" s="17" t="str">
        <f>VLOOKUP(Tabela1[[#This Row],[Cliente]],'BASE DE CLIENTES'!A:D,4,0)</f>
        <v>SERRALHEIRO</v>
      </c>
      <c r="L4347" s="17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7" t="str">
        <f>VLOOKUP(Tabela1[[#This Row],[Cliente]],'BASE DE CLIENTES'!A:E,2,0)</f>
        <v>Goiânia</v>
      </c>
      <c r="D4348" s="17" t="str">
        <f>VLOOKUP(Tabela1[[#This Row],[Cliente]],'BASE DE CLIENTES'!A:C,3,0)</f>
        <v>GO</v>
      </c>
      <c r="E4348" s="17" t="str">
        <f>CONCATENATE(Tabela1[[#This Row],[CIDADE]],",",Tabela1[[#This Row],[UF]])</f>
        <v>Goiânia,GO</v>
      </c>
      <c r="F4348" s="15">
        <v>46055</v>
      </c>
      <c r="G4348" s="5">
        <v>2095</v>
      </c>
      <c r="H4348" s="5">
        <v>3100</v>
      </c>
      <c r="I4348" s="8">
        <f>Tabela1[[#This Row],[Valor total]]-Tabela1[[#This Row],[Valor custo]]</f>
        <v>1005</v>
      </c>
      <c r="J4348" s="18">
        <f>Tabela1[[#This Row],[MARGEM BRUTA]]/Tabela1[[#This Row],[Valor total]]</f>
        <v>0.3241935483870968</v>
      </c>
      <c r="K4348" s="17" t="str">
        <f>VLOOKUP(Tabela1[[#This Row],[Cliente]],'BASE DE CLIENTES'!A:D,4,0)</f>
        <v>EMPRESA COM MAQUINA</v>
      </c>
      <c r="L4348" s="17" t="str">
        <f>VLOOKUP(Tabela1[[#This Row],[Cliente]],'BASE DE CLIENTES'!A:E,5,0)</f>
        <v>Goiânia</v>
      </c>
    </row>
    <row r="4349" spans="2:12" x14ac:dyDescent="0.3">
      <c r="B4349" t="s">
        <v>205</v>
      </c>
      <c r="C4349" s="17" t="str">
        <f>VLOOKUP(Tabela1[[#This Row],[Cliente]],'BASE DE CLIENTES'!A:E,2,0)</f>
        <v>Brasília</v>
      </c>
      <c r="D4349" s="17" t="str">
        <f>VLOOKUP(Tabela1[[#This Row],[Cliente]],'BASE DE CLIENTES'!A:C,3,0)</f>
        <v>DF</v>
      </c>
      <c r="E4349" s="17" t="str">
        <f>CONCATENATE(Tabela1[[#This Row],[CIDADE]],",",Tabela1[[#This Row],[UF]])</f>
        <v>Brasília,DF</v>
      </c>
      <c r="F4349" s="15">
        <v>46055</v>
      </c>
      <c r="G4349" s="5">
        <v>764</v>
      </c>
      <c r="H4349" s="5">
        <v>1199.5999999999999</v>
      </c>
      <c r="I4349" s="8">
        <f>Tabela1[[#This Row],[Valor total]]-Tabela1[[#This Row],[Valor custo]]</f>
        <v>435.59999999999991</v>
      </c>
      <c r="J4349" s="18">
        <f>Tabela1[[#This Row],[MARGEM BRUTA]]/Tabela1[[#This Row],[Valor total]]</f>
        <v>0.36312104034678222</v>
      </c>
      <c r="K4349" s="17" t="str">
        <f>VLOOKUP(Tabela1[[#This Row],[Cliente]],'BASE DE CLIENTES'!A:D,4,0)</f>
        <v>PRODUTOS ELETRONICOS</v>
      </c>
      <c r="L4349" s="17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7" t="str">
        <f>VLOOKUP(Tabela1[[#This Row],[Cliente]],'BASE DE CLIENTES'!A:E,2,0)</f>
        <v>Castanhal</v>
      </c>
      <c r="D4350" s="17" t="str">
        <f>VLOOKUP(Tabela1[[#This Row],[Cliente]],'BASE DE CLIENTES'!A:C,3,0)</f>
        <v>PA</v>
      </c>
      <c r="E4350" s="17" t="str">
        <f>CONCATENATE(Tabela1[[#This Row],[CIDADE]],",",Tabela1[[#This Row],[UF]])</f>
        <v>Castanhal,PA</v>
      </c>
      <c r="F4350" s="15">
        <v>46055</v>
      </c>
      <c r="G4350" s="5">
        <v>975.59</v>
      </c>
      <c r="H4350" s="5">
        <v>2400</v>
      </c>
      <c r="I4350" s="8">
        <f>Tabela1[[#This Row],[Valor total]]-Tabela1[[#This Row],[Valor custo]]</f>
        <v>1424.4099999999999</v>
      </c>
      <c r="J4350" s="18">
        <f>Tabela1[[#This Row],[MARGEM BRUTA]]/Tabela1[[#This Row],[Valor total]]</f>
        <v>0.59350416666666661</v>
      </c>
      <c r="K4350" s="17" t="str">
        <f>VLOOKUP(Tabela1[[#This Row],[Cliente]],'BASE DE CLIENTES'!A:D,4,0)</f>
        <v>EMPRESA COM MAQUINA</v>
      </c>
      <c r="L4350" s="17" t="str">
        <f>VLOOKUP(Tabela1[[#This Row],[Cliente]],'BASE DE CLIENTES'!A:E,5,0)</f>
        <v>Castanhal</v>
      </c>
    </row>
    <row r="4351" spans="2:12" x14ac:dyDescent="0.3">
      <c r="B4351" t="s">
        <v>100</v>
      </c>
      <c r="C4351" s="17" t="str">
        <f>VLOOKUP(Tabela1[[#This Row],[Cliente]],'BASE DE CLIENTES'!A:E,2,0)</f>
        <v>Águas Lindas de Goiás</v>
      </c>
      <c r="D4351" s="17" t="str">
        <f>VLOOKUP(Tabela1[[#This Row],[Cliente]],'BASE DE CLIENTES'!A:C,3,0)</f>
        <v>GO</v>
      </c>
      <c r="E4351" s="17" t="str">
        <f>CONCATENATE(Tabela1[[#This Row],[CIDADE]],",",Tabela1[[#This Row],[UF]])</f>
        <v>Águas Lindas de Goiás,GO</v>
      </c>
      <c r="F4351" s="15">
        <v>46055</v>
      </c>
      <c r="G4351" s="5">
        <v>362</v>
      </c>
      <c r="H4351" s="5">
        <v>645</v>
      </c>
      <c r="I4351" s="8">
        <f>Tabela1[[#This Row],[Valor total]]-Tabela1[[#This Row],[Valor custo]]</f>
        <v>283</v>
      </c>
      <c r="J4351" s="18">
        <f>Tabela1[[#This Row],[MARGEM BRUTA]]/Tabela1[[#This Row],[Valor total]]</f>
        <v>0.4387596899224806</v>
      </c>
      <c r="K4351" s="17" t="str">
        <f>VLOOKUP(Tabela1[[#This Row],[Cliente]],'BASE DE CLIENTES'!A:D,4,0)</f>
        <v>EMPRESA SEM MAQUINA</v>
      </c>
      <c r="L4351" s="17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7" t="str">
        <f>VLOOKUP(Tabela1[[#This Row],[Cliente]],'BASE DE CLIENTES'!A:E,2,0)</f>
        <v>Águas Lindas de Goiás</v>
      </c>
      <c r="D4352" s="17" t="str">
        <f>VLOOKUP(Tabela1[[#This Row],[Cliente]],'BASE DE CLIENTES'!A:C,3,0)</f>
        <v>GO</v>
      </c>
      <c r="E4352" s="17" t="str">
        <f>CONCATENATE(Tabela1[[#This Row],[CIDADE]],",",Tabela1[[#This Row],[UF]])</f>
        <v>Águas Lindas de Goiás,GO</v>
      </c>
      <c r="F4352" s="15">
        <v>46055</v>
      </c>
      <c r="G4352" s="5">
        <v>90.06</v>
      </c>
      <c r="H4352" s="5">
        <v>170</v>
      </c>
      <c r="I4352" s="8">
        <f>Tabela1[[#This Row],[Valor total]]-Tabela1[[#This Row],[Valor custo]]</f>
        <v>79.94</v>
      </c>
      <c r="J4352" s="18">
        <f>Tabela1[[#This Row],[MARGEM BRUTA]]/Tabela1[[#This Row],[Valor total]]</f>
        <v>0.47023529411764703</v>
      </c>
      <c r="K4352" s="17" t="str">
        <f>VLOOKUP(Tabela1[[#This Row],[Cliente]],'BASE DE CLIENTES'!A:D,4,0)</f>
        <v>EMPRESA SEM MAQUINA</v>
      </c>
      <c r="L4352" s="17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7" t="str">
        <f>VLOOKUP(Tabela1[[#This Row],[Cliente]],'BASE DE CLIENTES'!A:E,2,0)</f>
        <v>Brasília</v>
      </c>
      <c r="D4353" s="17" t="str">
        <f>VLOOKUP(Tabela1[[#This Row],[Cliente]],'BASE DE CLIENTES'!A:C,3,0)</f>
        <v>DF</v>
      </c>
      <c r="E4353" s="17" t="str">
        <f>CONCATENATE(Tabela1[[#This Row],[CIDADE]],",",Tabela1[[#This Row],[UF]])</f>
        <v>Brasília,DF</v>
      </c>
      <c r="F4353" s="15">
        <v>46055</v>
      </c>
      <c r="G4353" s="5">
        <v>191</v>
      </c>
      <c r="H4353" s="5">
        <v>400</v>
      </c>
      <c r="I4353" s="8">
        <f>Tabela1[[#This Row],[Valor total]]-Tabela1[[#This Row],[Valor custo]]</f>
        <v>209</v>
      </c>
      <c r="J4353" s="18">
        <f>Tabela1[[#This Row],[MARGEM BRUTA]]/Tabela1[[#This Row],[Valor total]]</f>
        <v>0.52249999999999996</v>
      </c>
      <c r="K4353" s="17" t="str">
        <f>VLOOKUP(Tabela1[[#This Row],[Cliente]],'BASE DE CLIENTES'!A:D,4,0)</f>
        <v>CLIENTE NOVO S/ IDENT.</v>
      </c>
      <c r="L4353" s="17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7" t="str">
        <f>VLOOKUP(Tabela1[[#This Row],[Cliente]],'BASE DE CLIENTES'!A:E,2,0)</f>
        <v>Rio Verde</v>
      </c>
      <c r="D4354" s="17" t="str">
        <f>VLOOKUP(Tabela1[[#This Row],[Cliente]],'BASE DE CLIENTES'!A:C,3,0)</f>
        <v>GO</v>
      </c>
      <c r="E4354" s="17" t="str">
        <f>CONCATENATE(Tabela1[[#This Row],[CIDADE]],",",Tabela1[[#This Row],[UF]])</f>
        <v>Rio Verde,GO</v>
      </c>
      <c r="F4354" s="15">
        <v>46055</v>
      </c>
      <c r="G4354" s="5">
        <v>1069</v>
      </c>
      <c r="H4354" s="5">
        <v>1550</v>
      </c>
      <c r="I4354" s="8">
        <f>Tabela1[[#This Row],[Valor total]]-Tabela1[[#This Row],[Valor custo]]</f>
        <v>481</v>
      </c>
      <c r="J4354" s="18">
        <f>Tabela1[[#This Row],[MARGEM BRUTA]]/Tabela1[[#This Row],[Valor total]]</f>
        <v>0.31032258064516127</v>
      </c>
      <c r="K4354" s="17" t="str">
        <f>VLOOKUP(Tabela1[[#This Row],[Cliente]],'BASE DE CLIENTES'!A:D,4,0)</f>
        <v>EMPRESA COM MAQUINA</v>
      </c>
      <c r="L4354" s="17" t="str">
        <f>VLOOKUP(Tabela1[[#This Row],[Cliente]],'BASE DE CLIENTES'!A:E,5,0)</f>
        <v>Rio Verde</v>
      </c>
    </row>
    <row r="4355" spans="2:12" x14ac:dyDescent="0.3">
      <c r="B4355" t="s">
        <v>138</v>
      </c>
      <c r="C4355" s="17" t="str">
        <f>VLOOKUP(Tabela1[[#This Row],[Cliente]],'BASE DE CLIENTES'!A:E,2,0)</f>
        <v>Brasília</v>
      </c>
      <c r="D4355" s="17" t="str">
        <f>VLOOKUP(Tabela1[[#This Row],[Cliente]],'BASE DE CLIENTES'!A:C,3,0)</f>
        <v>DF</v>
      </c>
      <c r="E4355" s="17" t="str">
        <f>CONCATENATE(Tabela1[[#This Row],[CIDADE]],",",Tabela1[[#This Row],[UF]])</f>
        <v>Brasília,DF</v>
      </c>
      <c r="F4355" s="15">
        <v>46055</v>
      </c>
      <c r="G4355" s="5">
        <v>764</v>
      </c>
      <c r="H4355" s="5">
        <v>1160</v>
      </c>
      <c r="I4355" s="8">
        <f>Tabela1[[#This Row],[Valor total]]-Tabela1[[#This Row],[Valor custo]]</f>
        <v>396</v>
      </c>
      <c r="J4355" s="18">
        <f>Tabela1[[#This Row],[MARGEM BRUTA]]/Tabela1[[#This Row],[Valor total]]</f>
        <v>0.3413793103448276</v>
      </c>
      <c r="K4355" s="17" t="str">
        <f>VLOOKUP(Tabela1[[#This Row],[Cliente]],'BASE DE CLIENTES'!A:D,4,0)</f>
        <v>OUTROS RAMOS</v>
      </c>
      <c r="L4355" s="17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7" t="str">
        <f>VLOOKUP(Tabela1[[#This Row],[Cliente]],'BASE DE CLIENTES'!A:E,2,0)</f>
        <v>Brasília</v>
      </c>
      <c r="D4356" s="17" t="str">
        <f>VLOOKUP(Tabela1[[#This Row],[Cliente]],'BASE DE CLIENTES'!A:C,3,0)</f>
        <v>DF</v>
      </c>
      <c r="E4356" s="17" t="str">
        <f>CONCATENATE(Tabela1[[#This Row],[CIDADE]],",",Tabela1[[#This Row],[UF]])</f>
        <v>Brasília,DF</v>
      </c>
      <c r="F4356" s="15">
        <v>46055</v>
      </c>
      <c r="G4356" s="5">
        <v>1455.88</v>
      </c>
      <c r="H4356" s="5">
        <v>2200</v>
      </c>
      <c r="I4356" s="8">
        <f>Tabela1[[#This Row],[Valor total]]-Tabela1[[#This Row],[Valor custo]]</f>
        <v>744.11999999999989</v>
      </c>
      <c r="J4356" s="18">
        <f>Tabela1[[#This Row],[MARGEM BRUTA]]/Tabela1[[#This Row],[Valor total]]</f>
        <v>0.33823636363636361</v>
      </c>
      <c r="K4356" s="17" t="str">
        <f>VLOOKUP(Tabela1[[#This Row],[Cliente]],'BASE DE CLIENTES'!A:D,4,0)</f>
        <v>EMPRESA COM MAQUINA</v>
      </c>
      <c r="L4356" s="17" t="str">
        <f>VLOOKUP(Tabela1[[#This Row],[Cliente]],'BASE DE CLIENTES'!A:E,5,0)</f>
        <v>RIACHO FUNDO II</v>
      </c>
    </row>
    <row r="4357" spans="2:12" x14ac:dyDescent="0.3">
      <c r="B4357" t="s">
        <v>17</v>
      </c>
      <c r="C4357" s="17" t="str">
        <f>VLOOKUP(Tabela1[[#This Row],[Cliente]],'BASE DE CLIENTES'!A:E,2,0)</f>
        <v>Águas Lindas de Goiás</v>
      </c>
      <c r="D4357" s="17" t="str">
        <f>VLOOKUP(Tabela1[[#This Row],[Cliente]],'BASE DE CLIENTES'!A:C,3,0)</f>
        <v>GO</v>
      </c>
      <c r="E4357" s="17" t="str">
        <f>CONCATENATE(Tabela1[[#This Row],[CIDADE]],",",Tabela1[[#This Row],[UF]])</f>
        <v>Águas Lindas de Goiás,GO</v>
      </c>
      <c r="F4357" s="15">
        <v>46055</v>
      </c>
      <c r="G4357" s="5">
        <v>555.34</v>
      </c>
      <c r="H4357" s="5">
        <v>974</v>
      </c>
      <c r="I4357" s="8">
        <f>Tabela1[[#This Row],[Valor total]]-Tabela1[[#This Row],[Valor custo]]</f>
        <v>418.65999999999997</v>
      </c>
      <c r="J4357" s="18">
        <f>Tabela1[[#This Row],[MARGEM BRUTA]]/Tabela1[[#This Row],[Valor total]]</f>
        <v>0.42983572895277206</v>
      </c>
      <c r="K4357" s="17" t="str">
        <f>VLOOKUP(Tabela1[[#This Row],[Cliente]],'BASE DE CLIENTES'!A:D,4,0)</f>
        <v>SERRALHEIRO</v>
      </c>
      <c r="L4357" s="17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7" t="str">
        <f>VLOOKUP(Tabela1[[#This Row],[Cliente]],'BASE DE CLIENTES'!A:E,2,0)</f>
        <v>Goiânia</v>
      </c>
      <c r="D4358" s="17" t="str">
        <f>VLOOKUP(Tabela1[[#This Row],[Cliente]],'BASE DE CLIENTES'!A:C,3,0)</f>
        <v>GO</v>
      </c>
      <c r="E4358" s="17" t="str">
        <f>CONCATENATE(Tabela1[[#This Row],[CIDADE]],",",Tabela1[[#This Row],[UF]])</f>
        <v>Goiânia,GO</v>
      </c>
      <c r="F4358" s="15">
        <v>46055</v>
      </c>
      <c r="G4358" s="5">
        <v>12570</v>
      </c>
      <c r="H4358" s="5">
        <v>17610</v>
      </c>
      <c r="I4358" s="8">
        <f>Tabela1[[#This Row],[Valor total]]-Tabela1[[#This Row],[Valor custo]]</f>
        <v>5040</v>
      </c>
      <c r="J4358" s="18">
        <f>Tabela1[[#This Row],[MARGEM BRUTA]]/Tabela1[[#This Row],[Valor total]]</f>
        <v>0.28620102214650767</v>
      </c>
      <c r="K4358" s="17" t="str">
        <f>VLOOKUP(Tabela1[[#This Row],[Cliente]],'BASE DE CLIENTES'!A:D,4,0)</f>
        <v>EMPRESA COM MAQUINA</v>
      </c>
      <c r="L4358" s="17" t="str">
        <f>VLOOKUP(Tabela1[[#This Row],[Cliente]],'BASE DE CLIENTES'!A:E,5,0)</f>
        <v>Goiânia</v>
      </c>
    </row>
    <row r="4359" spans="2:12" x14ac:dyDescent="0.3">
      <c r="B4359" t="s">
        <v>70</v>
      </c>
      <c r="C4359" s="17" t="str">
        <f>VLOOKUP(Tabela1[[#This Row],[Cliente]],'BASE DE CLIENTES'!A:E,2,0)</f>
        <v>Brasília</v>
      </c>
      <c r="D4359" s="17" t="str">
        <f>VLOOKUP(Tabela1[[#This Row],[Cliente]],'BASE DE CLIENTES'!A:C,3,0)</f>
        <v>DF</v>
      </c>
      <c r="E4359" s="17" t="str">
        <f>CONCATENATE(Tabela1[[#This Row],[CIDADE]],",",Tabela1[[#This Row],[UF]])</f>
        <v>Brasília,DF</v>
      </c>
      <c r="F4359" s="15">
        <v>46055</v>
      </c>
      <c r="G4359" s="5">
        <v>3220.87</v>
      </c>
      <c r="H4359" s="5">
        <v>5000</v>
      </c>
      <c r="I4359" s="8">
        <f>Tabela1[[#This Row],[Valor total]]-Tabela1[[#This Row],[Valor custo]]</f>
        <v>1779.13</v>
      </c>
      <c r="J4359" s="18">
        <f>Tabela1[[#This Row],[MARGEM BRUTA]]/Tabela1[[#This Row],[Valor total]]</f>
        <v>0.35582600000000003</v>
      </c>
      <c r="K4359" s="17" t="str">
        <f>VLOOKUP(Tabela1[[#This Row],[Cliente]],'BASE DE CLIENTES'!A:D,4,0)</f>
        <v>EMPRESA COM MAQUINA</v>
      </c>
      <c r="L4359" s="17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7" t="str">
        <f>VLOOKUP(Tabela1[[#This Row],[Cliente]],'BASE DE CLIENTES'!A:E,2,0)</f>
        <v>Brasília</v>
      </c>
      <c r="D4360" s="17" t="str">
        <f>VLOOKUP(Tabela1[[#This Row],[Cliente]],'BASE DE CLIENTES'!A:C,3,0)</f>
        <v>DF</v>
      </c>
      <c r="E4360" s="17" t="str">
        <f>CONCATENATE(Tabela1[[#This Row],[CIDADE]],",",Tabela1[[#This Row],[UF]])</f>
        <v>Brasília,DF</v>
      </c>
      <c r="F4360" s="15">
        <v>46055</v>
      </c>
      <c r="G4360" s="5">
        <v>700</v>
      </c>
      <c r="H4360" s="5">
        <v>1100</v>
      </c>
      <c r="I4360" s="8">
        <f>Tabela1[[#This Row],[Valor total]]-Tabela1[[#This Row],[Valor custo]]</f>
        <v>400</v>
      </c>
      <c r="J4360" s="18">
        <f>Tabela1[[#This Row],[MARGEM BRUTA]]/Tabela1[[#This Row],[Valor total]]</f>
        <v>0.36363636363636365</v>
      </c>
      <c r="K4360" s="17" t="str">
        <f>VLOOKUP(Tabela1[[#This Row],[Cliente]],'BASE DE CLIENTES'!A:D,4,0)</f>
        <v>EMPRESA SEM MAQUINA</v>
      </c>
      <c r="L4360" s="17" t="str">
        <f>VLOOKUP(Tabela1[[#This Row],[Cliente]],'BASE DE CLIENTES'!A:E,5,0)</f>
        <v>RECANTO DAS EMAS</v>
      </c>
    </row>
    <row r="4361" spans="2:12" x14ac:dyDescent="0.3">
      <c r="B4361" t="s">
        <v>42</v>
      </c>
      <c r="C4361" s="17" t="str">
        <f>VLOOKUP(Tabela1[[#This Row],[Cliente]],'BASE DE CLIENTES'!A:E,2,0)</f>
        <v>Brasília</v>
      </c>
      <c r="D4361" s="17" t="str">
        <f>VLOOKUP(Tabela1[[#This Row],[Cliente]],'BASE DE CLIENTES'!A:C,3,0)</f>
        <v>DF</v>
      </c>
      <c r="E4361" s="17" t="str">
        <f>CONCATENATE(Tabela1[[#This Row],[CIDADE]],",",Tabela1[[#This Row],[UF]])</f>
        <v>Brasília,DF</v>
      </c>
      <c r="F4361" s="15">
        <v>46055</v>
      </c>
      <c r="G4361" s="5">
        <v>962.93</v>
      </c>
      <c r="H4361" s="5">
        <v>1300</v>
      </c>
      <c r="I4361" s="8">
        <f>Tabela1[[#This Row],[Valor total]]-Tabela1[[#This Row],[Valor custo]]</f>
        <v>337.07000000000005</v>
      </c>
      <c r="J4361" s="18">
        <f>Tabela1[[#This Row],[MARGEM BRUTA]]/Tabela1[[#This Row],[Valor total]]</f>
        <v>0.25928461538461545</v>
      </c>
      <c r="K4361" s="17" t="str">
        <f>VLOOKUP(Tabela1[[#This Row],[Cliente]],'BASE DE CLIENTES'!A:D,4,0)</f>
        <v>EMPRESA SEM MAQUINA</v>
      </c>
      <c r="L4361" s="17" t="str">
        <f>VLOOKUP(Tabela1[[#This Row],[Cliente]],'BASE DE CLIENTES'!A:E,5,0)</f>
        <v>SAMAMBAIA</v>
      </c>
    </row>
    <row r="4362" spans="2:12" x14ac:dyDescent="0.3">
      <c r="B4362" t="s">
        <v>23</v>
      </c>
      <c r="C4362" s="17" t="str">
        <f>VLOOKUP(Tabela1[[#This Row],[Cliente]],'BASE DE CLIENTES'!A:E,2,0)</f>
        <v>Brasília</v>
      </c>
      <c r="D4362" s="17" t="str">
        <f>VLOOKUP(Tabela1[[#This Row],[Cliente]],'BASE DE CLIENTES'!A:C,3,0)</f>
        <v>DF</v>
      </c>
      <c r="E4362" s="17" t="str">
        <f>CONCATENATE(Tabela1[[#This Row],[CIDADE]],",",Tabela1[[#This Row],[UF]])</f>
        <v>Brasília,DF</v>
      </c>
      <c r="F4362" s="15">
        <v>46055</v>
      </c>
      <c r="G4362" s="5">
        <v>2117.84</v>
      </c>
      <c r="H4362" s="5">
        <v>2970</v>
      </c>
      <c r="I4362" s="8">
        <f>Tabela1[[#This Row],[Valor total]]-Tabela1[[#This Row],[Valor custo]]</f>
        <v>852.15999999999985</v>
      </c>
      <c r="J4362" s="18">
        <f>Tabela1[[#This Row],[MARGEM BRUTA]]/Tabela1[[#This Row],[Valor total]]</f>
        <v>0.28692255892255886</v>
      </c>
      <c r="K4362" s="17" t="str">
        <f>VLOOKUP(Tabela1[[#This Row],[Cliente]],'BASE DE CLIENTES'!A:D,4,0)</f>
        <v>EMPRESA SEM MAQUINA</v>
      </c>
      <c r="L4362" s="17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7" t="str">
        <f>VLOOKUP(Tabela1[[#This Row],[Cliente]],'BASE DE CLIENTES'!A:E,2,0)</f>
        <v>Valparaíso de Goiás</v>
      </c>
      <c r="D4363" s="17" t="str">
        <f>VLOOKUP(Tabela1[[#This Row],[Cliente]],'BASE DE CLIENTES'!A:C,3,0)</f>
        <v>GO</v>
      </c>
      <c r="E4363" s="17" t="str">
        <f>CONCATENATE(Tabela1[[#This Row],[CIDADE]],",",Tabela1[[#This Row],[UF]])</f>
        <v>Valparaíso de Goiás,GO</v>
      </c>
      <c r="F4363" s="15">
        <v>46055</v>
      </c>
      <c r="G4363" s="5">
        <v>712.93</v>
      </c>
      <c r="H4363" s="5">
        <v>1100</v>
      </c>
      <c r="I4363" s="8">
        <f>Tabela1[[#This Row],[Valor total]]-Tabela1[[#This Row],[Valor custo]]</f>
        <v>387.07000000000005</v>
      </c>
      <c r="J4363" s="18">
        <f>Tabela1[[#This Row],[MARGEM BRUTA]]/Tabela1[[#This Row],[Valor total]]</f>
        <v>0.35188181818181824</v>
      </c>
      <c r="K4363" s="17" t="str">
        <f>VLOOKUP(Tabela1[[#This Row],[Cliente]],'BASE DE CLIENTES'!A:D,4,0)</f>
        <v>SERRALHEIRO</v>
      </c>
      <c r="L4363" s="17" t="str">
        <f>VLOOKUP(Tabela1[[#This Row],[Cliente]],'BASE DE CLIENTES'!A:E,5,0)</f>
        <v>Valparaíso de Goiás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655"/>
  <sheetViews>
    <sheetView showGridLines="0" topLeftCell="A632" workbookViewId="0">
      <selection activeCell="E641" sqref="E641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bestFit="1" customWidth="1"/>
    <col min="6" max="6" width="14" bestFit="1" customWidth="1"/>
    <col min="7" max="7" width="14.77734375" bestFit="1" customWidth="1"/>
    <col min="8" max="8" width="12.44140625" bestFit="1" customWidth="1"/>
    <col min="9" max="9" width="11.88671875" bestFit="1" customWidth="1"/>
    <col min="10" max="10" width="14" bestFit="1" customWidth="1"/>
    <col min="11" max="11" width="12.88671875" bestFit="1" customWidth="1"/>
    <col min="12" max="12" width="11" bestFit="1" customWidth="1"/>
    <col min="13" max="13" width="11.88671875" style="12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7</v>
      </c>
      <c r="K1" s="5" t="s">
        <v>499</v>
      </c>
      <c r="L1" t="s">
        <v>500</v>
      </c>
      <c r="M1" s="12" t="s">
        <v>750</v>
      </c>
    </row>
    <row r="2" spans="1:13" x14ac:dyDescent="0.3">
      <c r="A2" t="s">
        <v>501</v>
      </c>
      <c r="B2" t="s">
        <v>502</v>
      </c>
      <c r="C2" t="s">
        <v>503</v>
      </c>
      <c r="D2" s="10">
        <v>5014</v>
      </c>
      <c r="E2" s="5">
        <v>6.93</v>
      </c>
      <c r="F2" s="5">
        <v>34747.019999999997</v>
      </c>
      <c r="G2" s="5">
        <v>7.76</v>
      </c>
      <c r="H2" s="5">
        <v>55.68</v>
      </c>
      <c r="I2" s="5">
        <v>0</v>
      </c>
      <c r="J2" s="5">
        <v>38918.019999999997</v>
      </c>
      <c r="K2" s="5">
        <v>4171</v>
      </c>
      <c r="L2" t="s">
        <v>504</v>
      </c>
      <c r="M2" s="13">
        <v>2025</v>
      </c>
    </row>
    <row r="3" spans="1:13" x14ac:dyDescent="0.3">
      <c r="A3" t="s">
        <v>505</v>
      </c>
      <c r="B3" t="s">
        <v>502</v>
      </c>
      <c r="C3" t="s">
        <v>506</v>
      </c>
      <c r="D3" s="10">
        <v>1350</v>
      </c>
      <c r="E3" s="5">
        <v>2.5</v>
      </c>
      <c r="F3" s="5">
        <v>3375</v>
      </c>
      <c r="G3" s="5">
        <v>3.07</v>
      </c>
      <c r="H3" s="5">
        <v>5.75</v>
      </c>
      <c r="I3" s="5">
        <v>83.02</v>
      </c>
      <c r="J3" s="5">
        <v>4139.7700000000004</v>
      </c>
      <c r="K3" s="5">
        <v>764.77</v>
      </c>
      <c r="L3" t="s">
        <v>504</v>
      </c>
      <c r="M3" s="13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5">
        <v>0.65</v>
      </c>
      <c r="F4" s="5">
        <v>211.25</v>
      </c>
      <c r="G4" s="5">
        <v>1.19</v>
      </c>
      <c r="H4" s="5">
        <v>2.88</v>
      </c>
      <c r="I4" s="5">
        <v>0</v>
      </c>
      <c r="J4" s="5">
        <v>387.12</v>
      </c>
      <c r="K4" s="5">
        <v>175.87</v>
      </c>
      <c r="L4" t="s">
        <v>504</v>
      </c>
      <c r="M4" s="13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5">
        <v>0.65</v>
      </c>
      <c r="F5" s="5">
        <v>211.25</v>
      </c>
      <c r="G5" s="5">
        <v>1.19</v>
      </c>
      <c r="H5" s="5">
        <v>2.88</v>
      </c>
      <c r="I5" s="5">
        <v>0</v>
      </c>
      <c r="J5" s="5">
        <v>387.12</v>
      </c>
      <c r="K5" s="5">
        <v>175.87</v>
      </c>
      <c r="L5" t="s">
        <v>504</v>
      </c>
      <c r="M5" s="13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5">
        <v>439.2</v>
      </c>
      <c r="F6" s="5">
        <v>100137.60000000001</v>
      </c>
      <c r="G6" s="5">
        <v>620.02</v>
      </c>
      <c r="H6" s="5">
        <v>493.63</v>
      </c>
      <c r="I6" s="5">
        <v>117.86</v>
      </c>
      <c r="J6" s="5">
        <v>141364.23000000001</v>
      </c>
      <c r="K6" s="5">
        <v>41226.629999999997</v>
      </c>
      <c r="L6" t="s">
        <v>504</v>
      </c>
      <c r="M6" s="13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5">
        <v>514.45000000000005</v>
      </c>
      <c r="F7" s="5">
        <v>88485.4</v>
      </c>
      <c r="G7" s="5">
        <v>693.33</v>
      </c>
      <c r="H7" s="5">
        <v>621.03</v>
      </c>
      <c r="I7" s="5">
        <v>95.11</v>
      </c>
      <c r="J7" s="5">
        <v>119252.68</v>
      </c>
      <c r="K7" s="5">
        <v>30767.279999999999</v>
      </c>
      <c r="L7" t="s">
        <v>504</v>
      </c>
      <c r="M7" s="13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5">
        <v>10.44</v>
      </c>
      <c r="F8" s="5">
        <v>1659.96</v>
      </c>
      <c r="G8" s="5">
        <v>31.03</v>
      </c>
      <c r="H8" s="5">
        <v>7.07</v>
      </c>
      <c r="I8" s="5">
        <v>129.22</v>
      </c>
      <c r="J8" s="5">
        <v>4933.09</v>
      </c>
      <c r="K8" s="5">
        <v>3273.13</v>
      </c>
      <c r="L8" t="s">
        <v>504</v>
      </c>
      <c r="M8" s="13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5">
        <v>3.26</v>
      </c>
      <c r="F9" s="5">
        <v>326</v>
      </c>
      <c r="G9" s="5">
        <v>5</v>
      </c>
      <c r="H9" s="5">
        <v>0</v>
      </c>
      <c r="I9" s="5">
        <v>0</v>
      </c>
      <c r="J9" s="5">
        <v>500</v>
      </c>
      <c r="K9" s="5">
        <v>174</v>
      </c>
      <c r="L9" t="s">
        <v>504</v>
      </c>
      <c r="M9" s="13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5">
        <v>0.96</v>
      </c>
      <c r="F10" s="5">
        <v>96</v>
      </c>
      <c r="G10" s="5">
        <v>0.88</v>
      </c>
      <c r="H10" s="5">
        <v>0</v>
      </c>
      <c r="I10" s="5">
        <v>0</v>
      </c>
      <c r="J10" s="5">
        <v>87.5</v>
      </c>
      <c r="K10" s="5">
        <v>-8.5</v>
      </c>
      <c r="L10" t="s">
        <v>504</v>
      </c>
      <c r="M10" s="13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5">
        <v>531.45000000000005</v>
      </c>
      <c r="F11" s="5">
        <v>44641.8</v>
      </c>
      <c r="G11" s="5">
        <v>756.44</v>
      </c>
      <c r="H11" s="5">
        <v>233.09</v>
      </c>
      <c r="I11" s="5">
        <v>0</v>
      </c>
      <c r="J11" s="5">
        <v>63540.91</v>
      </c>
      <c r="K11" s="5">
        <v>18899.11</v>
      </c>
      <c r="L11" t="s">
        <v>504</v>
      </c>
      <c r="M11" s="13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5">
        <v>12.55</v>
      </c>
      <c r="F12" s="5">
        <v>878.5</v>
      </c>
      <c r="G12" s="5">
        <v>13.71</v>
      </c>
      <c r="H12" s="5">
        <v>10</v>
      </c>
      <c r="I12" s="5">
        <v>0</v>
      </c>
      <c r="J12" s="5">
        <v>960</v>
      </c>
      <c r="K12" s="5">
        <v>81.5</v>
      </c>
      <c r="L12" t="s">
        <v>504</v>
      </c>
      <c r="M12" s="13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5">
        <v>409.87</v>
      </c>
      <c r="F13" s="5">
        <v>27461.29</v>
      </c>
      <c r="G13" s="5">
        <v>571.94000000000005</v>
      </c>
      <c r="H13" s="5">
        <v>0</v>
      </c>
      <c r="I13" s="5">
        <v>0</v>
      </c>
      <c r="J13" s="5">
        <v>38320</v>
      </c>
      <c r="K13" s="5">
        <v>10858.71</v>
      </c>
      <c r="L13" t="s">
        <v>504</v>
      </c>
      <c r="M13" s="13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5">
        <v>57.13</v>
      </c>
      <c r="F14" s="5">
        <v>3484.93</v>
      </c>
      <c r="G14" s="5">
        <v>184.11</v>
      </c>
      <c r="H14" s="5">
        <v>129.19</v>
      </c>
      <c r="I14" s="5">
        <v>0</v>
      </c>
      <c r="J14" s="5">
        <v>11230.81</v>
      </c>
      <c r="K14" s="5">
        <v>7745.88</v>
      </c>
      <c r="L14" t="s">
        <v>504</v>
      </c>
      <c r="M14" s="13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5">
        <v>593.83000000000004</v>
      </c>
      <c r="F15" s="5">
        <v>34442.14</v>
      </c>
      <c r="G15" s="5">
        <v>861.01</v>
      </c>
      <c r="H15" s="5">
        <v>54.08</v>
      </c>
      <c r="I15" s="5">
        <v>77.569999999999993</v>
      </c>
      <c r="J15" s="5">
        <v>49938.49</v>
      </c>
      <c r="K15" s="5">
        <v>15496.35</v>
      </c>
      <c r="L15" t="s">
        <v>504</v>
      </c>
      <c r="M15" s="13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5">
        <v>12.38</v>
      </c>
      <c r="F16" s="5">
        <v>718.04</v>
      </c>
      <c r="G16" s="5">
        <v>16.12</v>
      </c>
      <c r="H16" s="5">
        <v>0</v>
      </c>
      <c r="I16" s="5">
        <v>0</v>
      </c>
      <c r="J16" s="5">
        <v>934.8</v>
      </c>
      <c r="K16" s="5">
        <v>216.76</v>
      </c>
      <c r="L16" t="s">
        <v>504</v>
      </c>
      <c r="M16" s="13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5">
        <v>12.97</v>
      </c>
      <c r="F17" s="5">
        <v>700.38</v>
      </c>
      <c r="G17" s="5">
        <v>19.46</v>
      </c>
      <c r="H17" s="5">
        <v>2.68</v>
      </c>
      <c r="I17" s="5">
        <v>0</v>
      </c>
      <c r="J17" s="5">
        <v>1051.02</v>
      </c>
      <c r="K17" s="5">
        <v>350.64</v>
      </c>
      <c r="L17" t="s">
        <v>504</v>
      </c>
      <c r="M17" s="13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5">
        <v>548.47</v>
      </c>
      <c r="F18" s="5">
        <v>27971.97</v>
      </c>
      <c r="G18" s="5">
        <v>810.89</v>
      </c>
      <c r="H18" s="5">
        <v>382.33</v>
      </c>
      <c r="I18" s="5">
        <v>67.97</v>
      </c>
      <c r="J18" s="5">
        <v>41355.64</v>
      </c>
      <c r="K18" s="5">
        <v>13383.67</v>
      </c>
      <c r="L18" t="s">
        <v>504</v>
      </c>
      <c r="M18" s="13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5">
        <v>25</v>
      </c>
      <c r="F19" s="5">
        <v>1225</v>
      </c>
      <c r="G19" s="5">
        <v>29.99</v>
      </c>
      <c r="H19" s="5">
        <v>25.27</v>
      </c>
      <c r="I19" s="5">
        <v>0</v>
      </c>
      <c r="J19" s="5">
        <v>1469.73</v>
      </c>
      <c r="K19" s="5">
        <v>244.73</v>
      </c>
      <c r="L19" t="s">
        <v>504</v>
      </c>
      <c r="M19" s="13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5">
        <v>718.57</v>
      </c>
      <c r="F20" s="5">
        <v>30179.94</v>
      </c>
      <c r="G20" s="5">
        <v>1191.75</v>
      </c>
      <c r="H20" s="5">
        <v>486.49</v>
      </c>
      <c r="I20" s="5">
        <v>0</v>
      </c>
      <c r="J20" s="5">
        <v>50053.51</v>
      </c>
      <c r="K20" s="5">
        <v>19873.57</v>
      </c>
      <c r="L20" t="s">
        <v>504</v>
      </c>
      <c r="M20" s="13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5">
        <v>684.55</v>
      </c>
      <c r="F21" s="5">
        <v>27382</v>
      </c>
      <c r="G21" s="5">
        <v>1134.1500000000001</v>
      </c>
      <c r="H21" s="5">
        <v>284.14999999999998</v>
      </c>
      <c r="I21" s="5">
        <v>0</v>
      </c>
      <c r="J21" s="5">
        <v>45365.85</v>
      </c>
      <c r="K21" s="5">
        <v>17983.849999999999</v>
      </c>
      <c r="L21" t="s">
        <v>504</v>
      </c>
      <c r="M21" s="13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5">
        <v>2.7</v>
      </c>
      <c r="F22" s="5">
        <v>81</v>
      </c>
      <c r="G22" s="5">
        <v>3.67</v>
      </c>
      <c r="H22" s="5">
        <v>0</v>
      </c>
      <c r="I22" s="5">
        <v>0</v>
      </c>
      <c r="J22" s="5">
        <v>110</v>
      </c>
      <c r="K22" s="5">
        <v>29</v>
      </c>
      <c r="L22" t="s">
        <v>504</v>
      </c>
      <c r="M22" s="13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5">
        <v>13.69</v>
      </c>
      <c r="F23" s="5">
        <v>383.32</v>
      </c>
      <c r="G23" s="5">
        <v>106.29</v>
      </c>
      <c r="H23" s="5">
        <v>0</v>
      </c>
      <c r="I23" s="5">
        <v>31.18</v>
      </c>
      <c r="J23" s="5">
        <v>2976.18</v>
      </c>
      <c r="K23" s="5">
        <v>2592.86</v>
      </c>
      <c r="L23" t="s">
        <v>504</v>
      </c>
      <c r="M23" s="13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5">
        <v>3.05</v>
      </c>
      <c r="F24" s="5">
        <v>79.3</v>
      </c>
      <c r="G24" s="5">
        <v>4.5</v>
      </c>
      <c r="H24" s="5">
        <v>0</v>
      </c>
      <c r="I24" s="5">
        <v>0</v>
      </c>
      <c r="J24" s="5">
        <v>117</v>
      </c>
      <c r="K24" s="5">
        <v>37.700000000000003</v>
      </c>
      <c r="L24" t="s">
        <v>504</v>
      </c>
      <c r="M24" s="13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5">
        <v>42</v>
      </c>
      <c r="F25" s="5">
        <v>1050</v>
      </c>
      <c r="G25" s="5">
        <v>63</v>
      </c>
      <c r="H25" s="5">
        <v>10.09</v>
      </c>
      <c r="I25" s="5">
        <v>0</v>
      </c>
      <c r="J25" s="5">
        <v>1574.91</v>
      </c>
      <c r="K25" s="5">
        <v>524.91</v>
      </c>
      <c r="L25" t="s">
        <v>504</v>
      </c>
      <c r="M25" s="13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5">
        <v>61.37</v>
      </c>
      <c r="F26" s="5">
        <v>1350.14</v>
      </c>
      <c r="G26" s="5">
        <v>88.18</v>
      </c>
      <c r="H26" s="5">
        <v>0</v>
      </c>
      <c r="I26" s="5">
        <v>0</v>
      </c>
      <c r="J26" s="5">
        <v>1940</v>
      </c>
      <c r="K26" s="5">
        <v>589.86</v>
      </c>
      <c r="L26" t="s">
        <v>504</v>
      </c>
      <c r="M26" s="13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5">
        <v>707.23</v>
      </c>
      <c r="F27" s="5">
        <v>14144.6</v>
      </c>
      <c r="G27" s="5">
        <v>1315.18</v>
      </c>
      <c r="H27" s="5">
        <v>296.33999999999997</v>
      </c>
      <c r="I27" s="5">
        <v>0</v>
      </c>
      <c r="J27" s="5">
        <v>26303.66</v>
      </c>
      <c r="K27" s="5">
        <v>12159.06</v>
      </c>
      <c r="L27" t="s">
        <v>504</v>
      </c>
      <c r="M27" s="13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5">
        <v>888.67</v>
      </c>
      <c r="F28" s="5">
        <v>11552.71</v>
      </c>
      <c r="G28" s="5">
        <v>1365.38</v>
      </c>
      <c r="H28" s="5">
        <v>0</v>
      </c>
      <c r="I28" s="5">
        <v>0</v>
      </c>
      <c r="J28" s="5">
        <v>17750</v>
      </c>
      <c r="K28" s="5">
        <v>6197.29</v>
      </c>
      <c r="L28" t="s">
        <v>504</v>
      </c>
      <c r="M28" s="13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5">
        <v>268.45999999999998</v>
      </c>
      <c r="F29" s="5">
        <v>2953.06</v>
      </c>
      <c r="G29" s="5">
        <v>519.54999999999995</v>
      </c>
      <c r="H29" s="5">
        <v>0</v>
      </c>
      <c r="I29" s="5">
        <v>25</v>
      </c>
      <c r="J29" s="5">
        <v>5715</v>
      </c>
      <c r="K29" s="5">
        <v>2761.94</v>
      </c>
      <c r="L29" t="s">
        <v>504</v>
      </c>
      <c r="M29" s="13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5">
        <v>41</v>
      </c>
      <c r="F30" s="5">
        <v>410</v>
      </c>
      <c r="G30" s="5">
        <v>74.7</v>
      </c>
      <c r="H30" s="5">
        <v>3.02</v>
      </c>
      <c r="I30" s="5">
        <v>0</v>
      </c>
      <c r="J30" s="5">
        <v>746.98</v>
      </c>
      <c r="K30" s="5">
        <v>336.98</v>
      </c>
      <c r="L30" t="s">
        <v>504</v>
      </c>
      <c r="M30" s="13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5">
        <v>5</v>
      </c>
      <c r="F31" s="5">
        <v>40</v>
      </c>
      <c r="G31" s="5">
        <v>8</v>
      </c>
      <c r="H31" s="5">
        <v>0</v>
      </c>
      <c r="I31" s="5">
        <v>0</v>
      </c>
      <c r="J31" s="5">
        <v>64</v>
      </c>
      <c r="K31" s="5">
        <v>24</v>
      </c>
      <c r="L31" t="s">
        <v>504</v>
      </c>
      <c r="M31" s="13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5">
        <v>33</v>
      </c>
      <c r="F32" s="5">
        <v>231</v>
      </c>
      <c r="G32" s="5">
        <v>111.11</v>
      </c>
      <c r="H32" s="5">
        <v>17.489999999999998</v>
      </c>
      <c r="I32" s="5">
        <v>35.28</v>
      </c>
      <c r="J32" s="5">
        <v>777.79</v>
      </c>
      <c r="K32" s="5">
        <v>546.79</v>
      </c>
      <c r="L32" t="s">
        <v>504</v>
      </c>
      <c r="M32" s="13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5">
        <v>90</v>
      </c>
      <c r="F33" s="5">
        <v>360</v>
      </c>
      <c r="G33" s="5">
        <v>200</v>
      </c>
      <c r="H33" s="5">
        <v>0</v>
      </c>
      <c r="I33" s="5">
        <v>0</v>
      </c>
      <c r="J33" s="5">
        <v>800</v>
      </c>
      <c r="K33" s="5">
        <v>440</v>
      </c>
      <c r="L33" t="s">
        <v>504</v>
      </c>
      <c r="M33" s="13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5">
        <v>100</v>
      </c>
      <c r="F34" s="5">
        <v>400</v>
      </c>
      <c r="G34" s="5">
        <v>200</v>
      </c>
      <c r="H34" s="5">
        <v>0</v>
      </c>
      <c r="I34" s="5">
        <v>0</v>
      </c>
      <c r="J34" s="5">
        <v>800</v>
      </c>
      <c r="K34" s="5">
        <v>400</v>
      </c>
      <c r="L34" t="s">
        <v>504</v>
      </c>
      <c r="M34" s="13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5">
        <v>9.3800000000000008</v>
      </c>
      <c r="F35" s="5">
        <v>28.14</v>
      </c>
      <c r="G35" s="5">
        <v>15</v>
      </c>
      <c r="H35" s="5">
        <v>0</v>
      </c>
      <c r="I35" s="5">
        <v>0</v>
      </c>
      <c r="J35" s="5">
        <v>45</v>
      </c>
      <c r="K35" s="5">
        <v>16.86</v>
      </c>
      <c r="L35" t="s">
        <v>504</v>
      </c>
      <c r="M35" s="13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5">
        <v>540.99</v>
      </c>
      <c r="F36" s="5">
        <v>1081.98</v>
      </c>
      <c r="G36" s="5">
        <v>830.5</v>
      </c>
      <c r="H36" s="5">
        <v>0</v>
      </c>
      <c r="I36" s="5">
        <v>0</v>
      </c>
      <c r="J36" s="5">
        <v>1661</v>
      </c>
      <c r="K36" s="5">
        <v>579.02</v>
      </c>
      <c r="L36" t="s">
        <v>504</v>
      </c>
      <c r="M36" s="13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5">
        <v>400</v>
      </c>
      <c r="F37" s="5">
        <v>800</v>
      </c>
      <c r="G37" s="5">
        <v>600</v>
      </c>
      <c r="H37" s="5">
        <v>0</v>
      </c>
      <c r="I37" s="5">
        <v>0</v>
      </c>
      <c r="J37" s="5">
        <v>1200</v>
      </c>
      <c r="K37" s="5">
        <v>400</v>
      </c>
      <c r="L37" t="s">
        <v>504</v>
      </c>
      <c r="M37" s="13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5">
        <v>3</v>
      </c>
      <c r="F38" s="5">
        <v>3</v>
      </c>
      <c r="G38" s="5">
        <v>45</v>
      </c>
      <c r="H38" s="5">
        <v>0</v>
      </c>
      <c r="I38" s="5">
        <v>0</v>
      </c>
      <c r="J38" s="5">
        <v>45</v>
      </c>
      <c r="K38" s="5">
        <v>42</v>
      </c>
      <c r="L38" t="s">
        <v>504</v>
      </c>
      <c r="M38" s="13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5">
        <v>30.49</v>
      </c>
      <c r="F39" s="5">
        <v>30.49</v>
      </c>
      <c r="G39" s="5">
        <v>45</v>
      </c>
      <c r="H39" s="5">
        <v>0</v>
      </c>
      <c r="I39" s="5">
        <v>0</v>
      </c>
      <c r="J39" s="5">
        <v>45</v>
      </c>
      <c r="K39" s="5">
        <v>14.51</v>
      </c>
      <c r="L39" t="s">
        <v>504</v>
      </c>
      <c r="M39" s="13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5">
        <v>0</v>
      </c>
      <c r="F40" s="5">
        <v>0</v>
      </c>
      <c r="G40" s="5">
        <v>250</v>
      </c>
      <c r="H40" s="5">
        <v>0</v>
      </c>
      <c r="I40" s="5">
        <v>0</v>
      </c>
      <c r="J40" s="5">
        <v>250</v>
      </c>
      <c r="K40" s="5">
        <v>250</v>
      </c>
      <c r="L40" t="s">
        <v>504</v>
      </c>
      <c r="M40" s="13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5">
        <v>0</v>
      </c>
      <c r="F41" s="5">
        <v>0</v>
      </c>
      <c r="G41" s="5">
        <v>85</v>
      </c>
      <c r="H41" s="5">
        <v>0</v>
      </c>
      <c r="I41" s="5">
        <v>0</v>
      </c>
      <c r="J41" s="5">
        <v>85</v>
      </c>
      <c r="K41" s="5">
        <v>85</v>
      </c>
      <c r="L41" t="s">
        <v>504</v>
      </c>
      <c r="M41" s="13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5">
        <v>0</v>
      </c>
      <c r="F42" s="5">
        <v>0</v>
      </c>
      <c r="G42" s="5">
        <v>500</v>
      </c>
      <c r="H42" s="5">
        <v>0</v>
      </c>
      <c r="I42" s="5">
        <v>0</v>
      </c>
      <c r="J42" s="5">
        <v>500</v>
      </c>
      <c r="K42" s="5">
        <v>500</v>
      </c>
      <c r="L42" t="s">
        <v>504</v>
      </c>
      <c r="M42" s="13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5">
        <v>150</v>
      </c>
      <c r="F43" s="5">
        <v>150</v>
      </c>
      <c r="G43" s="5">
        <v>530</v>
      </c>
      <c r="H43" s="5">
        <v>0</v>
      </c>
      <c r="I43" s="5">
        <v>0</v>
      </c>
      <c r="J43" s="5">
        <v>530</v>
      </c>
      <c r="K43" s="5">
        <v>380</v>
      </c>
      <c r="L43" t="s">
        <v>504</v>
      </c>
      <c r="M43" s="13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5">
        <v>0</v>
      </c>
      <c r="F44" s="5">
        <v>0</v>
      </c>
      <c r="G44" s="5">
        <v>350</v>
      </c>
      <c r="H44" s="5">
        <v>0</v>
      </c>
      <c r="I44" s="5">
        <v>0</v>
      </c>
      <c r="J44" s="5">
        <v>350</v>
      </c>
      <c r="K44" s="5">
        <v>350</v>
      </c>
      <c r="L44" t="s">
        <v>504</v>
      </c>
      <c r="M44" s="13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5">
        <v>911.35</v>
      </c>
      <c r="F45" s="5">
        <v>911.35</v>
      </c>
      <c r="G45" s="5">
        <v>1802.5</v>
      </c>
      <c r="H45" s="5">
        <v>0</v>
      </c>
      <c r="I45" s="5">
        <v>0</v>
      </c>
      <c r="J45" s="5">
        <v>1802.5</v>
      </c>
      <c r="K45" s="5">
        <v>891.15</v>
      </c>
      <c r="L45" t="s">
        <v>504</v>
      </c>
      <c r="M45" s="13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5">
        <v>718.57</v>
      </c>
      <c r="F46" s="5">
        <v>718.57</v>
      </c>
      <c r="G46" s="5">
        <v>1550</v>
      </c>
      <c r="H46" s="5">
        <v>0</v>
      </c>
      <c r="I46" s="5">
        <v>0</v>
      </c>
      <c r="J46" s="5">
        <v>1550</v>
      </c>
      <c r="K46" s="5">
        <v>831.43</v>
      </c>
      <c r="L46" t="s">
        <v>504</v>
      </c>
      <c r="M46" s="13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5">
        <v>0</v>
      </c>
      <c r="F47" s="5">
        <v>0</v>
      </c>
      <c r="G47" s="5">
        <v>538.89</v>
      </c>
      <c r="H47" s="5">
        <v>11.11</v>
      </c>
      <c r="I47" s="5">
        <v>0</v>
      </c>
      <c r="J47" s="5">
        <v>538.89</v>
      </c>
      <c r="K47" s="5">
        <v>538.89</v>
      </c>
      <c r="L47" t="s">
        <v>504</v>
      </c>
      <c r="M47" s="13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5">
        <v>0</v>
      </c>
      <c r="F48" s="5">
        <v>0</v>
      </c>
      <c r="G48" s="5">
        <v>550</v>
      </c>
      <c r="H48" s="5">
        <v>0</v>
      </c>
      <c r="I48" s="5">
        <v>0</v>
      </c>
      <c r="J48" s="5">
        <v>550</v>
      </c>
      <c r="K48" s="5">
        <v>550</v>
      </c>
      <c r="L48" t="s">
        <v>504</v>
      </c>
      <c r="M48" s="13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5">
        <v>33.56</v>
      </c>
      <c r="F49" s="5">
        <v>33.56</v>
      </c>
      <c r="G49" s="5">
        <v>85</v>
      </c>
      <c r="H49" s="5">
        <v>0</v>
      </c>
      <c r="I49" s="5">
        <v>0</v>
      </c>
      <c r="J49" s="5">
        <v>85</v>
      </c>
      <c r="K49" s="5">
        <v>51.44</v>
      </c>
      <c r="L49" t="s">
        <v>504</v>
      </c>
      <c r="M49" s="13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5">
        <v>0</v>
      </c>
      <c r="F50" s="5">
        <v>0</v>
      </c>
      <c r="G50" s="5">
        <v>250</v>
      </c>
      <c r="H50" s="5">
        <v>0</v>
      </c>
      <c r="I50" s="5">
        <v>0</v>
      </c>
      <c r="J50" s="5">
        <v>250</v>
      </c>
      <c r="K50" s="5">
        <v>250</v>
      </c>
      <c r="L50" t="s">
        <v>504</v>
      </c>
      <c r="M50" s="13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5">
        <v>2.5</v>
      </c>
      <c r="F51" s="5">
        <v>2125</v>
      </c>
      <c r="G51" s="5">
        <v>3</v>
      </c>
      <c r="H51" s="5">
        <v>1.72</v>
      </c>
      <c r="I51" s="5">
        <v>0</v>
      </c>
      <c r="J51" s="5">
        <v>2548.2800000000002</v>
      </c>
      <c r="K51" s="5">
        <v>423.28</v>
      </c>
      <c r="L51" t="s">
        <v>594</v>
      </c>
      <c r="M51" s="13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5">
        <v>10.44</v>
      </c>
      <c r="F52" s="5">
        <v>2714.4</v>
      </c>
      <c r="G52" s="5">
        <v>31.83</v>
      </c>
      <c r="H52" s="5">
        <v>1.97</v>
      </c>
      <c r="I52" s="5">
        <v>69.53</v>
      </c>
      <c r="J52" s="5">
        <v>8275.5300000000007</v>
      </c>
      <c r="K52" s="5">
        <v>5561.13</v>
      </c>
      <c r="L52" t="s">
        <v>594</v>
      </c>
      <c r="M52" s="13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5">
        <v>439.2</v>
      </c>
      <c r="F53" s="5">
        <v>79934.399999999994</v>
      </c>
      <c r="G53" s="5">
        <v>618.1</v>
      </c>
      <c r="H53" s="5">
        <v>553.77</v>
      </c>
      <c r="I53" s="5">
        <v>136.43</v>
      </c>
      <c r="J53" s="5">
        <v>112494.66</v>
      </c>
      <c r="K53" s="5">
        <v>32560.26</v>
      </c>
      <c r="L53" t="s">
        <v>594</v>
      </c>
      <c r="M53" s="13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5">
        <v>3.05</v>
      </c>
      <c r="F54" s="5">
        <v>414.8</v>
      </c>
      <c r="G54" s="5">
        <v>4.12</v>
      </c>
      <c r="H54" s="5">
        <v>0</v>
      </c>
      <c r="I54" s="5">
        <v>0</v>
      </c>
      <c r="J54" s="5">
        <v>560</v>
      </c>
      <c r="K54" s="5">
        <v>145.19999999999999</v>
      </c>
      <c r="L54" t="s">
        <v>594</v>
      </c>
      <c r="M54" s="13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5">
        <v>514.45000000000005</v>
      </c>
      <c r="F55" s="5">
        <v>56075.05</v>
      </c>
      <c r="G55" s="5">
        <v>682.22</v>
      </c>
      <c r="H55" s="5">
        <v>283.01</v>
      </c>
      <c r="I55" s="5">
        <v>138.38999999999999</v>
      </c>
      <c r="J55" s="5">
        <v>74362.38</v>
      </c>
      <c r="K55" s="5">
        <v>18287.330000000002</v>
      </c>
      <c r="L55" t="s">
        <v>594</v>
      </c>
      <c r="M55" s="13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5">
        <v>13.69</v>
      </c>
      <c r="F56" s="5">
        <v>1327.93</v>
      </c>
      <c r="G56" s="5">
        <v>87.61</v>
      </c>
      <c r="H56" s="5">
        <v>4.1500000000000004</v>
      </c>
      <c r="I56" s="5">
        <v>4.37</v>
      </c>
      <c r="J56" s="5">
        <v>8498.32</v>
      </c>
      <c r="K56" s="5">
        <v>7170.39</v>
      </c>
      <c r="L56" t="s">
        <v>594</v>
      </c>
      <c r="M56" s="13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5">
        <v>531.45000000000005</v>
      </c>
      <c r="F57" s="5">
        <v>44110.35</v>
      </c>
      <c r="G57" s="5">
        <v>745.61</v>
      </c>
      <c r="H57" s="5">
        <v>385.44</v>
      </c>
      <c r="I57" s="5">
        <v>60.23</v>
      </c>
      <c r="J57" s="5">
        <v>61885.39</v>
      </c>
      <c r="K57" s="5">
        <v>17775.04</v>
      </c>
      <c r="L57" t="s">
        <v>594</v>
      </c>
      <c r="M57" s="13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5">
        <v>409.87</v>
      </c>
      <c r="F58" s="5">
        <v>33199.47</v>
      </c>
      <c r="G58" s="5">
        <v>552.86</v>
      </c>
      <c r="H58" s="5">
        <v>103.55</v>
      </c>
      <c r="I58" s="5">
        <v>0</v>
      </c>
      <c r="J58" s="5">
        <v>44781.45</v>
      </c>
      <c r="K58" s="5">
        <v>11581.98</v>
      </c>
      <c r="L58" t="s">
        <v>594</v>
      </c>
      <c r="M58" s="13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5">
        <v>12.38</v>
      </c>
      <c r="F59" s="5">
        <v>978.02</v>
      </c>
      <c r="G59" s="5">
        <v>15.64</v>
      </c>
      <c r="H59" s="5">
        <v>0</v>
      </c>
      <c r="I59" s="5">
        <v>17.25</v>
      </c>
      <c r="J59" s="5">
        <v>1235.55</v>
      </c>
      <c r="K59" s="5">
        <v>257.52999999999997</v>
      </c>
      <c r="L59" t="s">
        <v>594</v>
      </c>
      <c r="M59" s="13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5">
        <v>0.65</v>
      </c>
      <c r="F60" s="5">
        <v>40.950000000000003</v>
      </c>
      <c r="G60" s="5">
        <v>1.2</v>
      </c>
      <c r="H60" s="5">
        <v>0</v>
      </c>
      <c r="I60" s="5">
        <v>0</v>
      </c>
      <c r="J60" s="5">
        <v>75.599999999999994</v>
      </c>
      <c r="K60" s="5">
        <v>34.65</v>
      </c>
      <c r="L60" t="s">
        <v>594</v>
      </c>
      <c r="M60" s="13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5">
        <v>0.65</v>
      </c>
      <c r="F61" s="5">
        <v>40.950000000000003</v>
      </c>
      <c r="G61" s="5">
        <v>1.2</v>
      </c>
      <c r="H61" s="5">
        <v>0</v>
      </c>
      <c r="I61" s="5">
        <v>0</v>
      </c>
      <c r="J61" s="5">
        <v>75.599999999999994</v>
      </c>
      <c r="K61" s="5">
        <v>34.65</v>
      </c>
      <c r="L61" t="s">
        <v>594</v>
      </c>
      <c r="M61" s="13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5">
        <v>707.23</v>
      </c>
      <c r="F62" s="5">
        <v>43141.03</v>
      </c>
      <c r="G62" s="5">
        <v>1329.4</v>
      </c>
      <c r="H62" s="5">
        <v>447.59</v>
      </c>
      <c r="I62" s="5">
        <v>241.29</v>
      </c>
      <c r="J62" s="5">
        <v>81093.7</v>
      </c>
      <c r="K62" s="5">
        <v>37952.67</v>
      </c>
      <c r="L62" t="s">
        <v>594</v>
      </c>
      <c r="M62" s="13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5">
        <v>548.47</v>
      </c>
      <c r="F63" s="5">
        <v>30165.85</v>
      </c>
      <c r="G63" s="5">
        <v>799.63</v>
      </c>
      <c r="H63" s="5">
        <v>320.2</v>
      </c>
      <c r="I63" s="5">
        <v>0</v>
      </c>
      <c r="J63" s="5">
        <v>43979.8</v>
      </c>
      <c r="K63" s="5">
        <v>13813.95</v>
      </c>
      <c r="L63" t="s">
        <v>594</v>
      </c>
      <c r="M63" s="13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5">
        <v>3.26</v>
      </c>
      <c r="F64" s="5">
        <v>169.52</v>
      </c>
      <c r="G64" s="5">
        <v>5</v>
      </c>
      <c r="H64" s="5">
        <v>0</v>
      </c>
      <c r="I64" s="5">
        <v>0</v>
      </c>
      <c r="J64" s="5">
        <v>260</v>
      </c>
      <c r="K64" s="5">
        <v>90.48</v>
      </c>
      <c r="L64" t="s">
        <v>594</v>
      </c>
      <c r="M64" s="13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5">
        <v>1.47</v>
      </c>
      <c r="F65" s="5">
        <v>73.5</v>
      </c>
      <c r="G65" s="5">
        <v>1.8</v>
      </c>
      <c r="H65" s="5">
        <v>0</v>
      </c>
      <c r="I65" s="5">
        <v>0</v>
      </c>
      <c r="J65" s="5">
        <v>90</v>
      </c>
      <c r="K65" s="5">
        <v>16.5</v>
      </c>
      <c r="L65" t="s">
        <v>594</v>
      </c>
      <c r="M65" s="13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5">
        <v>12.55</v>
      </c>
      <c r="F66" s="5">
        <v>502</v>
      </c>
      <c r="G66" s="5">
        <v>13.5</v>
      </c>
      <c r="H66" s="5">
        <v>5</v>
      </c>
      <c r="I66" s="5">
        <v>0</v>
      </c>
      <c r="J66" s="5">
        <v>540</v>
      </c>
      <c r="K66" s="5">
        <v>38</v>
      </c>
      <c r="L66" t="s">
        <v>594</v>
      </c>
      <c r="M66" s="13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5">
        <v>33</v>
      </c>
      <c r="F67" s="5">
        <v>1254</v>
      </c>
      <c r="G67" s="5">
        <v>136.46</v>
      </c>
      <c r="H67" s="5">
        <v>17.97</v>
      </c>
      <c r="I67" s="5">
        <v>53.62</v>
      </c>
      <c r="J67" s="5">
        <v>5185.6499999999996</v>
      </c>
      <c r="K67" s="5">
        <v>3931.65</v>
      </c>
      <c r="L67" t="s">
        <v>594</v>
      </c>
      <c r="M67" s="13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5">
        <v>57.13</v>
      </c>
      <c r="F68" s="5">
        <v>1999.55</v>
      </c>
      <c r="G68" s="5">
        <v>179.84</v>
      </c>
      <c r="H68" s="5">
        <v>25.44</v>
      </c>
      <c r="I68" s="5">
        <v>0</v>
      </c>
      <c r="J68" s="5">
        <v>6294.56</v>
      </c>
      <c r="K68" s="5">
        <v>4295.01</v>
      </c>
      <c r="L68" t="s">
        <v>594</v>
      </c>
      <c r="M68" s="13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5">
        <v>718.57</v>
      </c>
      <c r="F69" s="5">
        <v>21557.1</v>
      </c>
      <c r="G69" s="5">
        <v>1222.67</v>
      </c>
      <c r="H69" s="5">
        <v>0</v>
      </c>
      <c r="I69" s="5">
        <v>0</v>
      </c>
      <c r="J69" s="5">
        <v>36680</v>
      </c>
      <c r="K69" s="5">
        <v>15122.9</v>
      </c>
      <c r="L69" t="s">
        <v>594</v>
      </c>
      <c r="M69" s="13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5">
        <v>593.83000000000004</v>
      </c>
      <c r="F70" s="5">
        <v>17814.900000000001</v>
      </c>
      <c r="G70" s="5">
        <v>862.14</v>
      </c>
      <c r="H70" s="5">
        <v>150.88</v>
      </c>
      <c r="I70" s="5">
        <v>0</v>
      </c>
      <c r="J70" s="5">
        <v>25864.12</v>
      </c>
      <c r="K70" s="5">
        <v>8049.22</v>
      </c>
      <c r="L70" t="s">
        <v>594</v>
      </c>
      <c r="M70" s="13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5">
        <v>25</v>
      </c>
      <c r="F71" s="5">
        <v>675</v>
      </c>
      <c r="G71" s="5">
        <v>29.99</v>
      </c>
      <c r="H71" s="5">
        <v>0.2</v>
      </c>
      <c r="I71" s="5">
        <v>0</v>
      </c>
      <c r="J71" s="5">
        <v>809.8</v>
      </c>
      <c r="K71" s="5">
        <v>134.80000000000001</v>
      </c>
      <c r="L71" t="s">
        <v>594</v>
      </c>
      <c r="M71" s="13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5">
        <v>42</v>
      </c>
      <c r="F72" s="5">
        <v>1092</v>
      </c>
      <c r="G72" s="5">
        <v>55</v>
      </c>
      <c r="H72" s="5">
        <v>0</v>
      </c>
      <c r="I72" s="5">
        <v>0</v>
      </c>
      <c r="J72" s="5">
        <v>1430</v>
      </c>
      <c r="K72" s="5">
        <v>338</v>
      </c>
      <c r="L72" t="s">
        <v>594</v>
      </c>
      <c r="M72" s="13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5">
        <v>0.96</v>
      </c>
      <c r="F73" s="5">
        <v>24</v>
      </c>
      <c r="G73" s="5">
        <v>1.6</v>
      </c>
      <c r="H73" s="5">
        <v>0</v>
      </c>
      <c r="I73" s="5">
        <v>0</v>
      </c>
      <c r="J73" s="5">
        <v>40</v>
      </c>
      <c r="K73" s="5">
        <v>16</v>
      </c>
      <c r="L73" t="s">
        <v>594</v>
      </c>
      <c r="M73" s="13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5">
        <v>12.97</v>
      </c>
      <c r="F74" s="5">
        <v>311.27999999999997</v>
      </c>
      <c r="G74" s="5">
        <v>18</v>
      </c>
      <c r="H74" s="5">
        <v>0</v>
      </c>
      <c r="I74" s="5">
        <v>0</v>
      </c>
      <c r="J74" s="5">
        <v>432</v>
      </c>
      <c r="K74" s="5">
        <v>120.72</v>
      </c>
      <c r="L74" t="s">
        <v>594</v>
      </c>
      <c r="M74" s="13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5">
        <v>90</v>
      </c>
      <c r="F75" s="5">
        <v>1890</v>
      </c>
      <c r="G75" s="5">
        <v>202.86</v>
      </c>
      <c r="H75" s="5">
        <v>0</v>
      </c>
      <c r="I75" s="5">
        <v>0</v>
      </c>
      <c r="J75" s="5">
        <v>4260</v>
      </c>
      <c r="K75" s="5">
        <v>2370</v>
      </c>
      <c r="L75" t="s">
        <v>594</v>
      </c>
      <c r="M75" s="13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5">
        <v>268.45999999999998</v>
      </c>
      <c r="F76" s="5">
        <v>5637.66</v>
      </c>
      <c r="G76" s="5">
        <v>479.14</v>
      </c>
      <c r="H76" s="5">
        <v>518.03</v>
      </c>
      <c r="I76" s="5">
        <v>0</v>
      </c>
      <c r="J76" s="5">
        <v>10061.969999999999</v>
      </c>
      <c r="K76" s="5">
        <v>4424.3100000000004</v>
      </c>
      <c r="L76" t="s">
        <v>594</v>
      </c>
      <c r="M76" s="13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5">
        <v>61.37</v>
      </c>
      <c r="F77" s="5">
        <v>981.92</v>
      </c>
      <c r="G77" s="5">
        <v>86.25</v>
      </c>
      <c r="H77" s="5">
        <v>0</v>
      </c>
      <c r="I77" s="5">
        <v>0</v>
      </c>
      <c r="J77" s="5">
        <v>1380</v>
      </c>
      <c r="K77" s="5">
        <v>398.08</v>
      </c>
      <c r="L77" t="s">
        <v>594</v>
      </c>
      <c r="M77" s="13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5">
        <v>48.39</v>
      </c>
      <c r="F78" s="5">
        <v>483.89</v>
      </c>
      <c r="G78" s="5">
        <v>77.7</v>
      </c>
      <c r="H78" s="5">
        <v>2.98</v>
      </c>
      <c r="I78" s="5">
        <v>0</v>
      </c>
      <c r="J78" s="5">
        <v>777.02</v>
      </c>
      <c r="K78" s="5">
        <v>293.13</v>
      </c>
      <c r="L78" t="s">
        <v>594</v>
      </c>
      <c r="M78" s="13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5">
        <v>2.7</v>
      </c>
      <c r="F79" s="5">
        <v>27</v>
      </c>
      <c r="G79" s="5">
        <v>4</v>
      </c>
      <c r="H79" s="5">
        <v>0</v>
      </c>
      <c r="I79" s="5">
        <v>0</v>
      </c>
      <c r="J79" s="5">
        <v>40</v>
      </c>
      <c r="K79" s="5">
        <v>13</v>
      </c>
      <c r="L79" t="s">
        <v>594</v>
      </c>
      <c r="M79" s="13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5">
        <v>5</v>
      </c>
      <c r="F80" s="5">
        <v>35</v>
      </c>
      <c r="G80" s="5">
        <v>8</v>
      </c>
      <c r="H80" s="5">
        <v>0</v>
      </c>
      <c r="I80" s="5">
        <v>0</v>
      </c>
      <c r="J80" s="5">
        <v>56</v>
      </c>
      <c r="K80" s="5">
        <v>21</v>
      </c>
      <c r="L80" t="s">
        <v>594</v>
      </c>
      <c r="M80" s="13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5">
        <v>911.35</v>
      </c>
      <c r="F81" s="5">
        <v>5468.1</v>
      </c>
      <c r="G81" s="5">
        <v>1355.24</v>
      </c>
      <c r="H81" s="5">
        <v>32.47</v>
      </c>
      <c r="I81" s="5">
        <v>13.9</v>
      </c>
      <c r="J81" s="5">
        <v>8131.43</v>
      </c>
      <c r="K81" s="5">
        <v>2663.33</v>
      </c>
      <c r="L81" t="s">
        <v>594</v>
      </c>
      <c r="M81" s="13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5">
        <v>0</v>
      </c>
      <c r="F82" s="5">
        <v>0</v>
      </c>
      <c r="G82" s="5">
        <v>200</v>
      </c>
      <c r="H82" s="5">
        <v>0</v>
      </c>
      <c r="I82" s="5">
        <v>0</v>
      </c>
      <c r="J82" s="5">
        <v>1200</v>
      </c>
      <c r="K82" s="5">
        <v>1200</v>
      </c>
      <c r="L82" t="s">
        <v>594</v>
      </c>
      <c r="M82" s="13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5">
        <v>540.99</v>
      </c>
      <c r="F83" s="5">
        <v>2704.95</v>
      </c>
      <c r="G83" s="5">
        <v>842.2</v>
      </c>
      <c r="H83" s="5">
        <v>0</v>
      </c>
      <c r="I83" s="5">
        <v>0</v>
      </c>
      <c r="J83" s="5">
        <v>4211</v>
      </c>
      <c r="K83" s="5">
        <v>1506.05</v>
      </c>
      <c r="L83" t="s">
        <v>594</v>
      </c>
      <c r="M83" s="13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5">
        <v>300</v>
      </c>
      <c r="F84" s="5">
        <v>1200</v>
      </c>
      <c r="G84" s="5">
        <v>1600</v>
      </c>
      <c r="H84" s="5">
        <v>0</v>
      </c>
      <c r="I84" s="5">
        <v>0</v>
      </c>
      <c r="J84" s="5">
        <v>6400</v>
      </c>
      <c r="K84" s="5">
        <v>5200</v>
      </c>
      <c r="L84" t="s">
        <v>594</v>
      </c>
      <c r="M84" s="13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5">
        <v>684.55</v>
      </c>
      <c r="F85" s="5">
        <v>2053.65</v>
      </c>
      <c r="G85" s="5">
        <v>1153.33</v>
      </c>
      <c r="H85" s="5">
        <v>0</v>
      </c>
      <c r="I85" s="5">
        <v>0</v>
      </c>
      <c r="J85" s="5">
        <v>3460</v>
      </c>
      <c r="K85" s="5">
        <v>1406.35</v>
      </c>
      <c r="L85" t="s">
        <v>594</v>
      </c>
      <c r="M85" s="13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5">
        <v>150</v>
      </c>
      <c r="F86" s="5">
        <v>450</v>
      </c>
      <c r="G86" s="5">
        <v>280</v>
      </c>
      <c r="H86" s="5">
        <v>450</v>
      </c>
      <c r="I86" s="5">
        <v>0</v>
      </c>
      <c r="J86" s="5">
        <v>840</v>
      </c>
      <c r="K86" s="5">
        <v>390</v>
      </c>
      <c r="L86" t="s">
        <v>594</v>
      </c>
      <c r="M86" s="13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5">
        <v>52.14</v>
      </c>
      <c r="F87" s="5">
        <v>156.43</v>
      </c>
      <c r="G87" s="5">
        <v>70</v>
      </c>
      <c r="H87" s="5">
        <v>0</v>
      </c>
      <c r="I87" s="5">
        <v>0</v>
      </c>
      <c r="J87" s="5">
        <v>210</v>
      </c>
      <c r="K87" s="5">
        <v>53.57</v>
      </c>
      <c r="L87" t="s">
        <v>594</v>
      </c>
      <c r="M87" s="13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5">
        <v>30.49</v>
      </c>
      <c r="F88" s="5">
        <v>91.47</v>
      </c>
      <c r="G88" s="5">
        <v>45</v>
      </c>
      <c r="H88" s="5">
        <v>0</v>
      </c>
      <c r="I88" s="5">
        <v>0</v>
      </c>
      <c r="J88" s="5">
        <v>135</v>
      </c>
      <c r="K88" s="5">
        <v>43.53</v>
      </c>
      <c r="L88" t="s">
        <v>594</v>
      </c>
      <c r="M88" s="13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5">
        <v>888.67</v>
      </c>
      <c r="F89" s="5">
        <v>1777.34</v>
      </c>
      <c r="G89" s="5">
        <v>1298.2</v>
      </c>
      <c r="H89" s="5">
        <v>403.6</v>
      </c>
      <c r="I89" s="5">
        <v>0</v>
      </c>
      <c r="J89" s="5">
        <v>2596.4</v>
      </c>
      <c r="K89" s="5">
        <v>819.06</v>
      </c>
      <c r="L89" t="s">
        <v>594</v>
      </c>
      <c r="M89" s="13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t="s">
        <v>594</v>
      </c>
      <c r="M90" s="13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5">
        <v>20</v>
      </c>
      <c r="F91" s="5">
        <v>40</v>
      </c>
      <c r="G91" s="5">
        <v>45</v>
      </c>
      <c r="H91" s="5">
        <v>0</v>
      </c>
      <c r="I91" s="5">
        <v>0</v>
      </c>
      <c r="J91" s="5">
        <v>90</v>
      </c>
      <c r="K91" s="5">
        <v>50</v>
      </c>
      <c r="L91" t="s">
        <v>594</v>
      </c>
      <c r="M91" s="13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5">
        <v>33.56</v>
      </c>
      <c r="F92" s="5">
        <v>33.56</v>
      </c>
      <c r="G92" s="5">
        <v>85</v>
      </c>
      <c r="H92" s="5">
        <v>0</v>
      </c>
      <c r="I92" s="5">
        <v>0</v>
      </c>
      <c r="J92" s="5">
        <v>85</v>
      </c>
      <c r="K92" s="5">
        <v>51.44</v>
      </c>
      <c r="L92" t="s">
        <v>594</v>
      </c>
      <c r="M92" s="13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5">
        <v>650</v>
      </c>
      <c r="F93" s="5">
        <v>650</v>
      </c>
      <c r="G93" s="5">
        <v>1450</v>
      </c>
      <c r="H93" s="5">
        <v>0</v>
      </c>
      <c r="I93" s="5">
        <v>0</v>
      </c>
      <c r="J93" s="5">
        <v>1450</v>
      </c>
      <c r="K93" s="5">
        <v>800</v>
      </c>
      <c r="L93" t="s">
        <v>594</v>
      </c>
      <c r="M93" s="13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5">
        <v>100</v>
      </c>
      <c r="F94" s="5">
        <v>100</v>
      </c>
      <c r="G94" s="5">
        <v>200</v>
      </c>
      <c r="H94" s="5">
        <v>0</v>
      </c>
      <c r="I94" s="5">
        <v>0</v>
      </c>
      <c r="J94" s="5">
        <v>200</v>
      </c>
      <c r="K94" s="5">
        <v>100</v>
      </c>
      <c r="L94" t="s">
        <v>594</v>
      </c>
      <c r="M94" s="13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5">
        <v>180</v>
      </c>
      <c r="F95" s="5">
        <v>180</v>
      </c>
      <c r="G95" s="5">
        <v>2.13</v>
      </c>
      <c r="H95" s="5">
        <v>550</v>
      </c>
      <c r="I95" s="5">
        <v>2.13</v>
      </c>
      <c r="J95" s="5">
        <v>2.13</v>
      </c>
      <c r="K95" s="5">
        <v>-177.87</v>
      </c>
      <c r="L95" t="s">
        <v>594</v>
      </c>
      <c r="M95" s="13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t="s">
        <v>594</v>
      </c>
      <c r="M96" s="13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5">
        <v>0</v>
      </c>
      <c r="F97" s="5">
        <v>0</v>
      </c>
      <c r="G97" s="5">
        <v>149.01</v>
      </c>
      <c r="H97" s="5">
        <v>0.99</v>
      </c>
      <c r="I97" s="5">
        <v>0</v>
      </c>
      <c r="J97" s="5">
        <v>149.01</v>
      </c>
      <c r="K97" s="5">
        <v>149.01</v>
      </c>
      <c r="L97" t="s">
        <v>594</v>
      </c>
      <c r="M97" s="13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5">
        <v>33.56</v>
      </c>
      <c r="F98" s="5">
        <v>33.56</v>
      </c>
      <c r="G98" s="5">
        <v>39.74</v>
      </c>
      <c r="H98" s="5">
        <v>0.26</v>
      </c>
      <c r="I98" s="5">
        <v>0</v>
      </c>
      <c r="J98" s="5">
        <v>39.74</v>
      </c>
      <c r="K98" s="5">
        <v>6.18</v>
      </c>
      <c r="L98" t="s">
        <v>594</v>
      </c>
      <c r="M98" s="13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5">
        <v>3</v>
      </c>
      <c r="F99" s="5">
        <v>3</v>
      </c>
      <c r="G99" s="5">
        <v>44.15</v>
      </c>
      <c r="H99" s="5">
        <v>0.85</v>
      </c>
      <c r="I99" s="5">
        <v>0</v>
      </c>
      <c r="J99" s="5">
        <v>44.15</v>
      </c>
      <c r="K99" s="5">
        <v>41.15</v>
      </c>
      <c r="L99" t="s">
        <v>594</v>
      </c>
      <c r="M99" s="13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5">
        <v>307.68</v>
      </c>
      <c r="F100" s="5">
        <v>307.68</v>
      </c>
      <c r="G100" s="5">
        <v>590</v>
      </c>
      <c r="H100" s="5">
        <v>0</v>
      </c>
      <c r="I100" s="5">
        <v>0</v>
      </c>
      <c r="J100" s="5">
        <v>590</v>
      </c>
      <c r="K100" s="5">
        <v>282.32</v>
      </c>
      <c r="L100" t="s">
        <v>594</v>
      </c>
      <c r="M100" s="13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5">
        <v>2.5</v>
      </c>
      <c r="F101" s="5">
        <v>3250</v>
      </c>
      <c r="G101" s="5">
        <v>3.02</v>
      </c>
      <c r="H101" s="5">
        <v>4.07</v>
      </c>
      <c r="I101" s="5">
        <v>29.56</v>
      </c>
      <c r="J101" s="5">
        <v>3930.49</v>
      </c>
      <c r="K101" s="5">
        <v>680.49</v>
      </c>
      <c r="L101" t="s">
        <v>618</v>
      </c>
      <c r="M101" s="13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5">
        <v>9.83</v>
      </c>
      <c r="F102" s="5">
        <v>3704.74</v>
      </c>
      <c r="G102" s="5">
        <v>30.42</v>
      </c>
      <c r="H102" s="5">
        <v>202.41</v>
      </c>
      <c r="I102" s="5">
        <v>15.79</v>
      </c>
      <c r="J102" s="5">
        <v>11469.83</v>
      </c>
      <c r="K102" s="5">
        <v>7765.09</v>
      </c>
      <c r="L102" t="s">
        <v>618</v>
      </c>
      <c r="M102" s="13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5">
        <v>0.65</v>
      </c>
      <c r="F103" s="5">
        <v>146.25</v>
      </c>
      <c r="G103" s="5">
        <v>1</v>
      </c>
      <c r="H103" s="5">
        <v>10</v>
      </c>
      <c r="I103" s="5">
        <v>0</v>
      </c>
      <c r="J103" s="5">
        <v>225</v>
      </c>
      <c r="K103" s="5">
        <v>78.75</v>
      </c>
      <c r="L103" t="s">
        <v>618</v>
      </c>
      <c r="M103" s="13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5">
        <v>0.65</v>
      </c>
      <c r="F104" s="5">
        <v>146.25</v>
      </c>
      <c r="G104" s="5">
        <v>1</v>
      </c>
      <c r="H104" s="5">
        <v>10</v>
      </c>
      <c r="I104" s="5">
        <v>0</v>
      </c>
      <c r="J104" s="5">
        <v>225</v>
      </c>
      <c r="K104" s="5">
        <v>78.75</v>
      </c>
      <c r="L104" t="s">
        <v>618</v>
      </c>
      <c r="M104" s="13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5">
        <v>511.01</v>
      </c>
      <c r="F105" s="5">
        <v>104757.6</v>
      </c>
      <c r="G105" s="5">
        <v>660.43</v>
      </c>
      <c r="H105" s="5">
        <v>1940.78</v>
      </c>
      <c r="I105" s="5">
        <v>89</v>
      </c>
      <c r="J105" s="5">
        <v>135388.22</v>
      </c>
      <c r="K105" s="5">
        <v>30630.62</v>
      </c>
      <c r="L105" t="s">
        <v>618</v>
      </c>
      <c r="M105" s="13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5">
        <v>440.04</v>
      </c>
      <c r="F106" s="5">
        <v>81847.199999999997</v>
      </c>
      <c r="G106" s="5">
        <v>620.48</v>
      </c>
      <c r="H106" s="5">
        <v>1183.2</v>
      </c>
      <c r="I106" s="5">
        <v>178.25</v>
      </c>
      <c r="J106" s="5">
        <v>115409.05</v>
      </c>
      <c r="K106" s="5">
        <v>33561.85</v>
      </c>
      <c r="L106" t="s">
        <v>618</v>
      </c>
      <c r="M106" s="13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5">
        <v>25</v>
      </c>
      <c r="F107" s="5">
        <v>2800</v>
      </c>
      <c r="G107" s="5">
        <v>29.84</v>
      </c>
      <c r="H107" s="5">
        <v>0.08</v>
      </c>
      <c r="I107" s="5">
        <v>22.64</v>
      </c>
      <c r="J107" s="5">
        <v>3342.56</v>
      </c>
      <c r="K107" s="5">
        <v>542.55999999999995</v>
      </c>
      <c r="L107" t="s">
        <v>618</v>
      </c>
      <c r="M107" s="13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5">
        <v>409.87</v>
      </c>
      <c r="F108" s="5">
        <v>38117.910000000003</v>
      </c>
      <c r="G108" s="5">
        <v>529.61</v>
      </c>
      <c r="H108" s="5">
        <v>640.82000000000005</v>
      </c>
      <c r="I108" s="5">
        <v>0</v>
      </c>
      <c r="J108" s="5">
        <v>49254.18</v>
      </c>
      <c r="K108" s="5">
        <v>11136.27</v>
      </c>
      <c r="L108" t="s">
        <v>618</v>
      </c>
      <c r="M108" s="13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5">
        <v>528.9</v>
      </c>
      <c r="F109" s="5">
        <v>42840.75</v>
      </c>
      <c r="G109" s="5">
        <v>749.63</v>
      </c>
      <c r="H109" s="5">
        <v>102.61</v>
      </c>
      <c r="I109" s="5">
        <v>113.03</v>
      </c>
      <c r="J109" s="5">
        <v>60720.42</v>
      </c>
      <c r="K109" s="5">
        <v>17879.669999999998</v>
      </c>
      <c r="L109" t="s">
        <v>618</v>
      </c>
      <c r="M109" s="13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5">
        <v>12.38</v>
      </c>
      <c r="F110" s="5">
        <v>965.64</v>
      </c>
      <c r="G110" s="5">
        <v>15.1</v>
      </c>
      <c r="H110" s="5">
        <v>2.52</v>
      </c>
      <c r="I110" s="5">
        <v>13.03</v>
      </c>
      <c r="J110" s="5">
        <v>1177.5</v>
      </c>
      <c r="K110" s="5">
        <v>211.86</v>
      </c>
      <c r="L110" t="s">
        <v>618</v>
      </c>
      <c r="M110" s="13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5">
        <v>546.44000000000005</v>
      </c>
      <c r="F111" s="5">
        <v>29507.5</v>
      </c>
      <c r="G111" s="5">
        <v>805.76</v>
      </c>
      <c r="H111" s="5">
        <v>450</v>
      </c>
      <c r="I111" s="5">
        <v>145.85</v>
      </c>
      <c r="J111" s="5">
        <v>43510.85</v>
      </c>
      <c r="K111" s="5">
        <v>14003.35</v>
      </c>
      <c r="L111" t="s">
        <v>618</v>
      </c>
      <c r="M111" s="13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5">
        <v>593.55999999999995</v>
      </c>
      <c r="F112" s="5">
        <v>21368.05</v>
      </c>
      <c r="G112" s="5">
        <v>870.49</v>
      </c>
      <c r="H112" s="5">
        <v>86.5</v>
      </c>
      <c r="I112" s="5">
        <v>14</v>
      </c>
      <c r="J112" s="5">
        <v>31337.5</v>
      </c>
      <c r="K112" s="5">
        <v>9969.4500000000007</v>
      </c>
      <c r="L112" t="s">
        <v>618</v>
      </c>
      <c r="M112" s="13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5">
        <v>688.19</v>
      </c>
      <c r="F113" s="5">
        <v>24086.5</v>
      </c>
      <c r="G113" s="5">
        <v>1210.53</v>
      </c>
      <c r="H113" s="5">
        <v>178.07</v>
      </c>
      <c r="I113" s="5">
        <v>46.51</v>
      </c>
      <c r="J113" s="5">
        <v>42368.44</v>
      </c>
      <c r="K113" s="5">
        <v>18281.939999999999</v>
      </c>
      <c r="L113" t="s">
        <v>618</v>
      </c>
      <c r="M113" s="13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5">
        <v>12.55</v>
      </c>
      <c r="F114" s="5">
        <v>439.25</v>
      </c>
      <c r="G114" s="5">
        <v>14.14</v>
      </c>
      <c r="H114" s="5">
        <v>0</v>
      </c>
      <c r="I114" s="5">
        <v>0</v>
      </c>
      <c r="J114" s="5">
        <v>495</v>
      </c>
      <c r="K114" s="5">
        <v>55.75</v>
      </c>
      <c r="L114" t="s">
        <v>618</v>
      </c>
      <c r="M114" s="13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5">
        <v>13.69</v>
      </c>
      <c r="F115" s="5">
        <v>479.15</v>
      </c>
      <c r="G115" s="5">
        <v>103.53</v>
      </c>
      <c r="H115" s="5">
        <v>9.61</v>
      </c>
      <c r="I115" s="5">
        <v>4.6399999999999997</v>
      </c>
      <c r="J115" s="5">
        <v>3623.44</v>
      </c>
      <c r="K115" s="5">
        <v>3144.29</v>
      </c>
      <c r="L115" t="s">
        <v>618</v>
      </c>
      <c r="M115" s="13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5">
        <v>3.05</v>
      </c>
      <c r="F116" s="5">
        <v>103.7</v>
      </c>
      <c r="G116" s="5">
        <v>4.76</v>
      </c>
      <c r="H116" s="5">
        <v>0</v>
      </c>
      <c r="I116" s="5">
        <v>8.6999999999999993</v>
      </c>
      <c r="J116" s="5">
        <v>161.69</v>
      </c>
      <c r="K116" s="5">
        <v>57.99</v>
      </c>
      <c r="L116" t="s">
        <v>618</v>
      </c>
      <c r="M116" s="13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5">
        <v>719.4</v>
      </c>
      <c r="F117" s="5">
        <v>22301.39</v>
      </c>
      <c r="G117" s="5">
        <v>1332.54</v>
      </c>
      <c r="H117" s="5">
        <v>50.41</v>
      </c>
      <c r="I117" s="5">
        <v>9.25</v>
      </c>
      <c r="J117" s="5">
        <v>41308.839999999997</v>
      </c>
      <c r="K117" s="5">
        <v>19007.45</v>
      </c>
      <c r="L117" t="s">
        <v>618</v>
      </c>
      <c r="M117" s="13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5">
        <v>61.37</v>
      </c>
      <c r="F118" s="5">
        <v>1595.62</v>
      </c>
      <c r="G118" s="5">
        <v>87.19</v>
      </c>
      <c r="H118" s="5">
        <v>0</v>
      </c>
      <c r="I118" s="5">
        <v>17</v>
      </c>
      <c r="J118" s="5">
        <v>2267</v>
      </c>
      <c r="K118" s="5">
        <v>671.38</v>
      </c>
      <c r="L118" t="s">
        <v>618</v>
      </c>
      <c r="M118" s="13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5">
        <v>42</v>
      </c>
      <c r="F119" s="5">
        <v>798</v>
      </c>
      <c r="G119" s="5">
        <v>55</v>
      </c>
      <c r="H119" s="5">
        <v>0</v>
      </c>
      <c r="I119" s="5">
        <v>0</v>
      </c>
      <c r="J119" s="5">
        <v>1045</v>
      </c>
      <c r="K119" s="5">
        <v>247</v>
      </c>
      <c r="L119" t="s">
        <v>618</v>
      </c>
      <c r="M119" s="13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5">
        <v>57.13</v>
      </c>
      <c r="F120" s="5">
        <v>971.21</v>
      </c>
      <c r="G120" s="5">
        <v>193.97</v>
      </c>
      <c r="H120" s="5">
        <v>0</v>
      </c>
      <c r="I120" s="5">
        <v>27.47</v>
      </c>
      <c r="J120" s="5">
        <v>3297.47</v>
      </c>
      <c r="K120" s="5">
        <v>2326.2600000000002</v>
      </c>
      <c r="L120" t="s">
        <v>618</v>
      </c>
      <c r="M120" s="13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5">
        <v>707.23</v>
      </c>
      <c r="F121" s="5">
        <v>9901.2199999999993</v>
      </c>
      <c r="G121" s="5">
        <v>1417.86</v>
      </c>
      <c r="H121" s="5">
        <v>50</v>
      </c>
      <c r="I121" s="5">
        <v>0</v>
      </c>
      <c r="J121" s="5">
        <v>19850</v>
      </c>
      <c r="K121" s="5">
        <v>9948.7800000000007</v>
      </c>
      <c r="L121" t="s">
        <v>618</v>
      </c>
      <c r="M121" s="13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5">
        <v>41</v>
      </c>
      <c r="F122" s="5">
        <v>533</v>
      </c>
      <c r="G122" s="5">
        <v>54.9</v>
      </c>
      <c r="H122" s="5">
        <v>1.34</v>
      </c>
      <c r="I122" s="5">
        <v>0</v>
      </c>
      <c r="J122" s="5">
        <v>713.66</v>
      </c>
      <c r="K122" s="5">
        <v>180.66</v>
      </c>
      <c r="L122" t="s">
        <v>618</v>
      </c>
      <c r="M122" s="13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5">
        <v>268.45999999999998</v>
      </c>
      <c r="F123" s="5">
        <v>3221.52</v>
      </c>
      <c r="G123" s="5">
        <v>526.48</v>
      </c>
      <c r="H123" s="5">
        <v>0</v>
      </c>
      <c r="I123" s="5">
        <v>17.75</v>
      </c>
      <c r="J123" s="5">
        <v>6317.75</v>
      </c>
      <c r="K123" s="5">
        <v>3096.23</v>
      </c>
      <c r="L123" t="s">
        <v>618</v>
      </c>
      <c r="M123" s="13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5">
        <v>49.21</v>
      </c>
      <c r="F124" s="5">
        <v>590.52</v>
      </c>
      <c r="G124" s="5">
        <v>80.83</v>
      </c>
      <c r="H124" s="5">
        <v>0.02</v>
      </c>
      <c r="I124" s="5">
        <v>0</v>
      </c>
      <c r="J124" s="5">
        <v>969.98</v>
      </c>
      <c r="K124" s="5">
        <v>379.46</v>
      </c>
      <c r="L124" t="s">
        <v>618</v>
      </c>
      <c r="M124" s="13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5">
        <v>3</v>
      </c>
      <c r="F125" s="5">
        <v>36</v>
      </c>
      <c r="G125" s="5">
        <v>49.58</v>
      </c>
      <c r="H125" s="5">
        <v>50</v>
      </c>
      <c r="I125" s="5">
        <v>30.8</v>
      </c>
      <c r="J125" s="5">
        <v>595</v>
      </c>
      <c r="K125" s="5">
        <v>559</v>
      </c>
      <c r="L125" t="s">
        <v>618</v>
      </c>
      <c r="M125" s="13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5">
        <v>33.56</v>
      </c>
      <c r="F126" s="5">
        <v>302.04000000000002</v>
      </c>
      <c r="G126" s="5">
        <v>42.97</v>
      </c>
      <c r="H126" s="5">
        <v>73.25</v>
      </c>
      <c r="I126" s="5">
        <v>0</v>
      </c>
      <c r="J126" s="5">
        <v>386.7</v>
      </c>
      <c r="K126" s="5">
        <v>84.66</v>
      </c>
      <c r="L126" t="s">
        <v>618</v>
      </c>
      <c r="M126" s="13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5">
        <v>743.59</v>
      </c>
      <c r="F127" s="5">
        <v>6692.28</v>
      </c>
      <c r="G127" s="5">
        <v>1605.56</v>
      </c>
      <c r="H127" s="5">
        <v>150</v>
      </c>
      <c r="I127" s="5">
        <v>0</v>
      </c>
      <c r="J127" s="5">
        <v>14450</v>
      </c>
      <c r="K127" s="5">
        <v>7757.72</v>
      </c>
      <c r="L127" t="s">
        <v>618</v>
      </c>
      <c r="M127" s="13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5">
        <v>722.84</v>
      </c>
      <c r="F128" s="5">
        <v>6505.56</v>
      </c>
      <c r="G128" s="5">
        <v>1503.77</v>
      </c>
      <c r="H128" s="5">
        <v>266.07</v>
      </c>
      <c r="I128" s="5">
        <v>0</v>
      </c>
      <c r="J128" s="5">
        <v>13533.93</v>
      </c>
      <c r="K128" s="5">
        <v>7028.37</v>
      </c>
      <c r="L128" t="s">
        <v>618</v>
      </c>
      <c r="M128" s="13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5">
        <v>33</v>
      </c>
      <c r="F129" s="5">
        <v>264</v>
      </c>
      <c r="G129" s="5">
        <v>154.18</v>
      </c>
      <c r="H129" s="5">
        <v>0</v>
      </c>
      <c r="I129" s="5">
        <v>33.46</v>
      </c>
      <c r="J129" s="5">
        <v>1233.46</v>
      </c>
      <c r="K129" s="5">
        <v>969.46</v>
      </c>
      <c r="L129" t="s">
        <v>618</v>
      </c>
      <c r="M129" s="13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5">
        <v>33.56</v>
      </c>
      <c r="F130" s="5">
        <v>234.92</v>
      </c>
      <c r="G130" s="5">
        <v>85</v>
      </c>
      <c r="H130" s="5">
        <v>0</v>
      </c>
      <c r="I130" s="5">
        <v>0</v>
      </c>
      <c r="J130" s="5">
        <v>595</v>
      </c>
      <c r="K130" s="5">
        <v>360.08</v>
      </c>
      <c r="L130" t="s">
        <v>618</v>
      </c>
      <c r="M130" s="13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5">
        <v>35</v>
      </c>
      <c r="F131" s="5">
        <v>140</v>
      </c>
      <c r="G131" s="5">
        <v>55</v>
      </c>
      <c r="H131" s="5">
        <v>20</v>
      </c>
      <c r="I131" s="5">
        <v>0</v>
      </c>
      <c r="J131" s="5">
        <v>220</v>
      </c>
      <c r="K131" s="5">
        <v>80</v>
      </c>
      <c r="L131" t="s">
        <v>618</v>
      </c>
      <c r="M131" s="13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5">
        <v>90</v>
      </c>
      <c r="F132" s="5">
        <v>360</v>
      </c>
      <c r="G132" s="5">
        <v>195.51</v>
      </c>
      <c r="H132" s="5">
        <v>0</v>
      </c>
      <c r="I132" s="5">
        <v>2.0499999999999998</v>
      </c>
      <c r="J132" s="5">
        <v>782.05</v>
      </c>
      <c r="K132" s="5">
        <v>422.05</v>
      </c>
      <c r="L132" t="s">
        <v>618</v>
      </c>
      <c r="M132" s="13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5">
        <v>911.35</v>
      </c>
      <c r="F133" s="5">
        <v>2734.05</v>
      </c>
      <c r="G133" s="5">
        <v>1400</v>
      </c>
      <c r="H133" s="5">
        <v>0</v>
      </c>
      <c r="I133" s="5">
        <v>0</v>
      </c>
      <c r="J133" s="5">
        <v>4200</v>
      </c>
      <c r="K133" s="5">
        <v>1465.95</v>
      </c>
      <c r="L133" t="s">
        <v>618</v>
      </c>
      <c r="M133" s="13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5">
        <v>5</v>
      </c>
      <c r="F134" s="5">
        <v>15</v>
      </c>
      <c r="G134" s="5">
        <v>8</v>
      </c>
      <c r="H134" s="5">
        <v>0</v>
      </c>
      <c r="I134" s="5">
        <v>0</v>
      </c>
      <c r="J134" s="5">
        <v>24</v>
      </c>
      <c r="K134" s="5">
        <v>9</v>
      </c>
      <c r="L134" t="s">
        <v>618</v>
      </c>
      <c r="M134" s="13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5">
        <v>958.22</v>
      </c>
      <c r="F135" s="5">
        <v>2874.67</v>
      </c>
      <c r="G135" s="5">
        <v>1400</v>
      </c>
      <c r="H135" s="5">
        <v>0</v>
      </c>
      <c r="I135" s="5">
        <v>0</v>
      </c>
      <c r="J135" s="5">
        <v>4200</v>
      </c>
      <c r="K135" s="5">
        <v>1325.33</v>
      </c>
      <c r="L135" t="s">
        <v>618</v>
      </c>
      <c r="M135" s="13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5">
        <v>0</v>
      </c>
      <c r="F136" s="5">
        <v>0</v>
      </c>
      <c r="G136" s="5">
        <v>200</v>
      </c>
      <c r="H136" s="5">
        <v>0</v>
      </c>
      <c r="I136" s="5">
        <v>0</v>
      </c>
      <c r="J136" s="5">
        <v>400</v>
      </c>
      <c r="K136" s="5">
        <v>400</v>
      </c>
      <c r="L136" t="s">
        <v>618</v>
      </c>
      <c r="M136" s="13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5">
        <v>30.49</v>
      </c>
      <c r="F137" s="5">
        <v>60.98</v>
      </c>
      <c r="G137" s="5">
        <v>42.5</v>
      </c>
      <c r="H137" s="5">
        <v>0</v>
      </c>
      <c r="I137" s="5">
        <v>0</v>
      </c>
      <c r="J137" s="5">
        <v>85</v>
      </c>
      <c r="K137" s="5">
        <v>24.02</v>
      </c>
      <c r="L137" t="s">
        <v>618</v>
      </c>
      <c r="M137" s="13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5">
        <v>20.92</v>
      </c>
      <c r="F138" s="5">
        <v>41.84</v>
      </c>
      <c r="G138" s="5">
        <v>35</v>
      </c>
      <c r="H138" s="5">
        <v>0</v>
      </c>
      <c r="I138" s="5">
        <v>0</v>
      </c>
      <c r="J138" s="5">
        <v>70</v>
      </c>
      <c r="K138" s="5">
        <v>28.16</v>
      </c>
      <c r="L138" t="s">
        <v>618</v>
      </c>
      <c r="M138" s="13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5">
        <v>10.58</v>
      </c>
      <c r="F139" s="5">
        <v>21.16</v>
      </c>
      <c r="G139" s="5">
        <v>21</v>
      </c>
      <c r="H139" s="5">
        <v>0</v>
      </c>
      <c r="I139" s="5">
        <v>0</v>
      </c>
      <c r="J139" s="5">
        <v>42</v>
      </c>
      <c r="K139" s="5">
        <v>20.84</v>
      </c>
      <c r="L139" t="s">
        <v>618</v>
      </c>
      <c r="M139" s="13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5">
        <v>100</v>
      </c>
      <c r="F140" s="5">
        <v>100</v>
      </c>
      <c r="G140" s="5">
        <v>200</v>
      </c>
      <c r="H140" s="5">
        <v>0</v>
      </c>
      <c r="I140" s="5">
        <v>0</v>
      </c>
      <c r="J140" s="5">
        <v>200</v>
      </c>
      <c r="K140" s="5">
        <v>100</v>
      </c>
      <c r="L140" t="s">
        <v>618</v>
      </c>
      <c r="M140" s="13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5">
        <v>0</v>
      </c>
      <c r="F141" s="5">
        <v>0</v>
      </c>
      <c r="G141" s="5">
        <v>80</v>
      </c>
      <c r="H141" s="5">
        <v>0</v>
      </c>
      <c r="I141" s="5">
        <v>0</v>
      </c>
      <c r="J141" s="5">
        <v>80</v>
      </c>
      <c r="K141" s="5">
        <v>80</v>
      </c>
      <c r="L141" t="s">
        <v>618</v>
      </c>
      <c r="M141" s="13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5">
        <v>400</v>
      </c>
      <c r="F142" s="5">
        <v>400</v>
      </c>
      <c r="G142" s="5">
        <v>600</v>
      </c>
      <c r="H142" s="5">
        <v>0</v>
      </c>
      <c r="I142" s="5">
        <v>0</v>
      </c>
      <c r="J142" s="5">
        <v>600</v>
      </c>
      <c r="K142" s="5">
        <v>200</v>
      </c>
      <c r="L142" t="s">
        <v>618</v>
      </c>
      <c r="M142" s="13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5">
        <v>0</v>
      </c>
      <c r="F143" s="5">
        <v>0</v>
      </c>
      <c r="G143" s="5">
        <v>80</v>
      </c>
      <c r="H143" s="5">
        <v>0</v>
      </c>
      <c r="I143" s="5">
        <v>0</v>
      </c>
      <c r="J143" s="5">
        <v>80</v>
      </c>
      <c r="K143" s="5">
        <v>80</v>
      </c>
      <c r="L143" t="s">
        <v>618</v>
      </c>
      <c r="M143" s="13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5">
        <v>3.53</v>
      </c>
      <c r="F144" s="5">
        <v>3.53</v>
      </c>
      <c r="G144" s="5">
        <v>8</v>
      </c>
      <c r="H144" s="5">
        <v>0</v>
      </c>
      <c r="I144" s="5">
        <v>0</v>
      </c>
      <c r="J144" s="5">
        <v>8</v>
      </c>
      <c r="K144" s="5">
        <v>4.47</v>
      </c>
      <c r="L144" t="s">
        <v>618</v>
      </c>
      <c r="M144" s="13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5">
        <v>2.5</v>
      </c>
      <c r="F145" s="5">
        <v>5875</v>
      </c>
      <c r="G145" s="5">
        <v>3</v>
      </c>
      <c r="H145" s="5">
        <v>8.6199999999999992</v>
      </c>
      <c r="I145" s="5">
        <v>0</v>
      </c>
      <c r="J145" s="5">
        <v>7041.38</v>
      </c>
      <c r="K145" s="5">
        <v>1166.3800000000001</v>
      </c>
      <c r="L145" t="s">
        <v>636</v>
      </c>
      <c r="M145" s="13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5">
        <v>7.9</v>
      </c>
      <c r="F146" s="5">
        <v>1587.9</v>
      </c>
      <c r="G146" s="5">
        <v>28.64</v>
      </c>
      <c r="H146" s="5">
        <v>61.43</v>
      </c>
      <c r="I146" s="5">
        <v>18</v>
      </c>
      <c r="J146" s="5">
        <v>5756.57</v>
      </c>
      <c r="K146" s="5">
        <v>4168.67</v>
      </c>
      <c r="L146" t="s">
        <v>636</v>
      </c>
      <c r="M146" s="13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5">
        <v>447</v>
      </c>
      <c r="F147" s="5">
        <v>77778</v>
      </c>
      <c r="G147" s="5">
        <v>629.21</v>
      </c>
      <c r="H147" s="5">
        <v>996.54</v>
      </c>
      <c r="I147" s="5">
        <v>85.71</v>
      </c>
      <c r="J147" s="5">
        <v>109482.98</v>
      </c>
      <c r="K147" s="5">
        <v>31704.98</v>
      </c>
      <c r="L147" t="s">
        <v>636</v>
      </c>
      <c r="M147" s="13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5">
        <v>473</v>
      </c>
      <c r="F148" s="5">
        <v>82302</v>
      </c>
      <c r="G148" s="5">
        <v>642.14</v>
      </c>
      <c r="H148" s="5">
        <v>178.11</v>
      </c>
      <c r="I148" s="5">
        <v>103.21</v>
      </c>
      <c r="J148" s="5">
        <v>111732.1</v>
      </c>
      <c r="K148" s="5">
        <v>29430.1</v>
      </c>
      <c r="L148" t="s">
        <v>636</v>
      </c>
      <c r="M148" s="13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5">
        <v>0.65</v>
      </c>
      <c r="F149" s="5">
        <v>65</v>
      </c>
      <c r="G149" s="5">
        <v>1</v>
      </c>
      <c r="H149" s="5">
        <v>0</v>
      </c>
      <c r="I149" s="5">
        <v>0</v>
      </c>
      <c r="J149" s="5">
        <v>100</v>
      </c>
      <c r="K149" s="5">
        <v>35</v>
      </c>
      <c r="L149" t="s">
        <v>636</v>
      </c>
      <c r="M149" s="13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5">
        <v>0.65</v>
      </c>
      <c r="F150" s="5">
        <v>65</v>
      </c>
      <c r="G150" s="5">
        <v>1</v>
      </c>
      <c r="H150" s="5">
        <v>0</v>
      </c>
      <c r="I150" s="5">
        <v>0</v>
      </c>
      <c r="J150" s="5">
        <v>100</v>
      </c>
      <c r="K150" s="5">
        <v>35</v>
      </c>
      <c r="L150" t="s">
        <v>636</v>
      </c>
      <c r="M150" s="13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5">
        <v>25</v>
      </c>
      <c r="F151" s="5">
        <v>2150</v>
      </c>
      <c r="G151" s="5">
        <v>29.89</v>
      </c>
      <c r="H151" s="5">
        <v>1.99</v>
      </c>
      <c r="I151" s="5">
        <v>12.86</v>
      </c>
      <c r="J151" s="5">
        <v>2570.87</v>
      </c>
      <c r="K151" s="5">
        <v>420.87</v>
      </c>
      <c r="L151" t="s">
        <v>636</v>
      </c>
      <c r="M151" s="13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5">
        <v>409.87</v>
      </c>
      <c r="F152" s="5">
        <v>28690.9</v>
      </c>
      <c r="G152" s="5">
        <v>579.9</v>
      </c>
      <c r="H152" s="5">
        <v>21.98</v>
      </c>
      <c r="I152" s="5">
        <v>0</v>
      </c>
      <c r="J152" s="5">
        <v>40593.019999999997</v>
      </c>
      <c r="K152" s="5">
        <v>11902.12</v>
      </c>
      <c r="L152" t="s">
        <v>636</v>
      </c>
      <c r="M152" s="13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5">
        <v>497</v>
      </c>
      <c r="F153" s="5">
        <v>34293</v>
      </c>
      <c r="G153" s="5">
        <v>750.33</v>
      </c>
      <c r="H153" s="5">
        <v>68.64</v>
      </c>
      <c r="I153" s="5">
        <v>74.040000000000006</v>
      </c>
      <c r="J153" s="5">
        <v>51772.7</v>
      </c>
      <c r="K153" s="5">
        <v>17479.7</v>
      </c>
      <c r="L153" t="s">
        <v>636</v>
      </c>
      <c r="M153" s="13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5">
        <v>521</v>
      </c>
      <c r="F154" s="5">
        <v>32302</v>
      </c>
      <c r="G154" s="5">
        <v>812.37</v>
      </c>
      <c r="H154" s="5">
        <v>47.1</v>
      </c>
      <c r="I154" s="5">
        <v>35.840000000000003</v>
      </c>
      <c r="J154" s="5">
        <v>50366.94</v>
      </c>
      <c r="K154" s="5">
        <v>18064.939999999999</v>
      </c>
      <c r="L154" t="s">
        <v>636</v>
      </c>
      <c r="M154" s="13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5">
        <v>41</v>
      </c>
      <c r="F155" s="5">
        <v>2214</v>
      </c>
      <c r="G155" s="5">
        <v>54.54</v>
      </c>
      <c r="H155" s="5">
        <v>4.82</v>
      </c>
      <c r="I155" s="5">
        <v>0</v>
      </c>
      <c r="J155" s="5">
        <v>2945.18</v>
      </c>
      <c r="K155" s="5">
        <v>731.18</v>
      </c>
      <c r="L155" t="s">
        <v>636</v>
      </c>
      <c r="M155" s="13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5">
        <v>584</v>
      </c>
      <c r="F156" s="5">
        <v>28032</v>
      </c>
      <c r="G156" s="5">
        <v>863.88</v>
      </c>
      <c r="H156" s="5">
        <v>488.17</v>
      </c>
      <c r="I156" s="5">
        <v>234.18</v>
      </c>
      <c r="J156" s="5">
        <v>41466.03</v>
      </c>
      <c r="K156" s="5">
        <v>13434.03</v>
      </c>
      <c r="L156" t="s">
        <v>636</v>
      </c>
      <c r="M156" s="13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5">
        <v>3.05</v>
      </c>
      <c r="F157" s="5">
        <v>125.05</v>
      </c>
      <c r="G157" s="5">
        <v>4.45</v>
      </c>
      <c r="H157" s="5">
        <v>0.21</v>
      </c>
      <c r="I157" s="5">
        <v>0</v>
      </c>
      <c r="J157" s="5">
        <v>182.29</v>
      </c>
      <c r="K157" s="5">
        <v>57.24</v>
      </c>
      <c r="L157" t="s">
        <v>636</v>
      </c>
      <c r="M157" s="13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5">
        <v>12.2</v>
      </c>
      <c r="F158" s="5">
        <v>390.27</v>
      </c>
      <c r="G158" s="5">
        <v>16.45</v>
      </c>
      <c r="H158" s="5">
        <v>0</v>
      </c>
      <c r="I158" s="5">
        <v>0</v>
      </c>
      <c r="J158" s="5">
        <v>526.5</v>
      </c>
      <c r="K158" s="5">
        <v>136.22999999999999</v>
      </c>
      <c r="L158" t="s">
        <v>636</v>
      </c>
      <c r="M158" s="13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5">
        <v>725</v>
      </c>
      <c r="F159" s="5">
        <v>20300</v>
      </c>
      <c r="G159" s="5">
        <v>1315.13</v>
      </c>
      <c r="H159" s="5">
        <v>26.47</v>
      </c>
      <c r="I159" s="5">
        <v>0</v>
      </c>
      <c r="J159" s="5">
        <v>36823.53</v>
      </c>
      <c r="K159" s="5">
        <v>16523.53</v>
      </c>
      <c r="L159" t="s">
        <v>636</v>
      </c>
      <c r="M159" s="13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5">
        <v>49.21</v>
      </c>
      <c r="F160" s="5">
        <v>984.2</v>
      </c>
      <c r="G160" s="5">
        <v>79.16</v>
      </c>
      <c r="H160" s="5">
        <v>1.82</v>
      </c>
      <c r="I160" s="5">
        <v>0</v>
      </c>
      <c r="J160" s="5">
        <v>1583.18</v>
      </c>
      <c r="K160" s="5">
        <v>598.98</v>
      </c>
      <c r="L160" t="s">
        <v>636</v>
      </c>
      <c r="M160" s="13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5">
        <v>13.69</v>
      </c>
      <c r="F161" s="5">
        <v>219.04</v>
      </c>
      <c r="G161" s="5">
        <v>63.13</v>
      </c>
      <c r="H161" s="5">
        <v>0</v>
      </c>
      <c r="I161" s="5">
        <v>0</v>
      </c>
      <c r="J161" s="5">
        <v>1010</v>
      </c>
      <c r="K161" s="5">
        <v>790.96</v>
      </c>
      <c r="L161" t="s">
        <v>636</v>
      </c>
      <c r="M161" s="13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5">
        <v>33</v>
      </c>
      <c r="F162" s="5">
        <v>495</v>
      </c>
      <c r="G162" s="5">
        <v>145.72</v>
      </c>
      <c r="H162" s="5">
        <v>4.1500000000000004</v>
      </c>
      <c r="I162" s="5">
        <v>0</v>
      </c>
      <c r="J162" s="5">
        <v>2185.85</v>
      </c>
      <c r="K162" s="5">
        <v>1690.85</v>
      </c>
      <c r="L162" t="s">
        <v>636</v>
      </c>
      <c r="M162" s="13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5">
        <v>710</v>
      </c>
      <c r="F163" s="5">
        <v>10650</v>
      </c>
      <c r="G163" s="5">
        <v>1248.72</v>
      </c>
      <c r="H163" s="5">
        <v>19.149999999999999</v>
      </c>
      <c r="I163" s="5">
        <v>0</v>
      </c>
      <c r="J163" s="5">
        <v>18730.849999999999</v>
      </c>
      <c r="K163" s="5">
        <v>8080.85</v>
      </c>
      <c r="L163" t="s">
        <v>636</v>
      </c>
      <c r="M163" s="13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5">
        <v>268.45999999999998</v>
      </c>
      <c r="F164" s="5">
        <v>4026.9</v>
      </c>
      <c r="G164" s="5">
        <v>550.87</v>
      </c>
      <c r="H164" s="5">
        <v>0</v>
      </c>
      <c r="I164" s="5">
        <v>13</v>
      </c>
      <c r="J164" s="5">
        <v>8263</v>
      </c>
      <c r="K164" s="5">
        <v>4236.1000000000004</v>
      </c>
      <c r="L164" t="s">
        <v>636</v>
      </c>
      <c r="M164" s="13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5">
        <v>90</v>
      </c>
      <c r="F165" s="5">
        <v>1260</v>
      </c>
      <c r="G165" s="5">
        <v>183.57</v>
      </c>
      <c r="H165" s="5">
        <v>0</v>
      </c>
      <c r="I165" s="5">
        <v>0</v>
      </c>
      <c r="J165" s="5">
        <v>2570</v>
      </c>
      <c r="K165" s="5">
        <v>1310</v>
      </c>
      <c r="L165" t="s">
        <v>636</v>
      </c>
      <c r="M165" s="13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5">
        <v>740</v>
      </c>
      <c r="F166" s="5">
        <v>8140</v>
      </c>
      <c r="G166" s="5">
        <v>1440.91</v>
      </c>
      <c r="H166" s="5">
        <v>0</v>
      </c>
      <c r="I166" s="5">
        <v>0</v>
      </c>
      <c r="J166" s="5">
        <v>15850</v>
      </c>
      <c r="K166" s="5">
        <v>7710</v>
      </c>
      <c r="L166" t="s">
        <v>636</v>
      </c>
      <c r="M166" s="13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5">
        <v>0</v>
      </c>
      <c r="F167" s="5">
        <v>0</v>
      </c>
      <c r="G167" s="5">
        <v>0.21</v>
      </c>
      <c r="H167" s="5">
        <v>0</v>
      </c>
      <c r="I167" s="5">
        <v>2.14</v>
      </c>
      <c r="J167" s="5">
        <v>2.14</v>
      </c>
      <c r="K167" s="5">
        <v>2.14</v>
      </c>
      <c r="L167" t="s">
        <v>636</v>
      </c>
      <c r="M167" s="13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5">
        <v>14.44</v>
      </c>
      <c r="F168" s="5">
        <v>144.4</v>
      </c>
      <c r="G168" s="5">
        <v>12</v>
      </c>
      <c r="H168" s="5">
        <v>0</v>
      </c>
      <c r="I168" s="5">
        <v>0</v>
      </c>
      <c r="J168" s="5">
        <v>120</v>
      </c>
      <c r="K168" s="5">
        <v>-24.4</v>
      </c>
      <c r="L168" t="s">
        <v>636</v>
      </c>
      <c r="M168" s="13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5">
        <v>61.37</v>
      </c>
      <c r="F169" s="5">
        <v>490.96</v>
      </c>
      <c r="G169" s="5">
        <v>86.25</v>
      </c>
      <c r="H169" s="5">
        <v>20</v>
      </c>
      <c r="I169" s="5">
        <v>0</v>
      </c>
      <c r="J169" s="5">
        <v>690</v>
      </c>
      <c r="K169" s="5">
        <v>199.04</v>
      </c>
      <c r="L169" t="s">
        <v>636</v>
      </c>
      <c r="M169" s="13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5">
        <v>757</v>
      </c>
      <c r="F170" s="5">
        <v>4542</v>
      </c>
      <c r="G170" s="5">
        <v>1552.36</v>
      </c>
      <c r="H170" s="5">
        <v>0</v>
      </c>
      <c r="I170" s="5">
        <v>14.16</v>
      </c>
      <c r="J170" s="5">
        <v>9314.16</v>
      </c>
      <c r="K170" s="5">
        <v>4772.16</v>
      </c>
      <c r="L170" t="s">
        <v>636</v>
      </c>
      <c r="M170" s="13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5">
        <v>33.56</v>
      </c>
      <c r="F171" s="5">
        <v>167.8</v>
      </c>
      <c r="G171" s="5">
        <v>85</v>
      </c>
      <c r="H171" s="5">
        <v>0</v>
      </c>
      <c r="I171" s="5">
        <v>0</v>
      </c>
      <c r="J171" s="5">
        <v>425</v>
      </c>
      <c r="K171" s="5">
        <v>257.2</v>
      </c>
      <c r="L171" t="s">
        <v>636</v>
      </c>
      <c r="M171" s="13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5">
        <v>42</v>
      </c>
      <c r="F172" s="5">
        <v>210</v>
      </c>
      <c r="G172" s="5">
        <v>61</v>
      </c>
      <c r="H172" s="5">
        <v>0</v>
      </c>
      <c r="I172" s="5">
        <v>0</v>
      </c>
      <c r="J172" s="5">
        <v>305</v>
      </c>
      <c r="K172" s="5">
        <v>95</v>
      </c>
      <c r="L172" t="s">
        <v>636</v>
      </c>
      <c r="M172" s="13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5">
        <v>773</v>
      </c>
      <c r="F173" s="5">
        <v>3092</v>
      </c>
      <c r="G173" s="5">
        <v>1650</v>
      </c>
      <c r="H173" s="5">
        <v>0</v>
      </c>
      <c r="I173" s="5">
        <v>0</v>
      </c>
      <c r="J173" s="5">
        <v>6600</v>
      </c>
      <c r="K173" s="5">
        <v>3508</v>
      </c>
      <c r="L173" t="s">
        <v>636</v>
      </c>
      <c r="M173" s="13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5">
        <v>33.56</v>
      </c>
      <c r="F174" s="5">
        <v>100.68</v>
      </c>
      <c r="G174" s="5">
        <v>85</v>
      </c>
      <c r="H174" s="5">
        <v>0</v>
      </c>
      <c r="I174" s="5">
        <v>0</v>
      </c>
      <c r="J174" s="5">
        <v>255</v>
      </c>
      <c r="K174" s="5">
        <v>154.32</v>
      </c>
      <c r="L174" t="s">
        <v>636</v>
      </c>
      <c r="M174" s="13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5">
        <v>0</v>
      </c>
      <c r="F175" s="5">
        <v>0</v>
      </c>
      <c r="G175" s="5">
        <v>80</v>
      </c>
      <c r="H175" s="5">
        <v>0</v>
      </c>
      <c r="I175" s="5">
        <v>0</v>
      </c>
      <c r="J175" s="5">
        <v>160</v>
      </c>
      <c r="K175" s="5">
        <v>160</v>
      </c>
      <c r="L175" t="s">
        <v>636</v>
      </c>
      <c r="M175" s="13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5">
        <v>0</v>
      </c>
      <c r="F176" s="5">
        <v>0</v>
      </c>
      <c r="G176" s="5">
        <v>440</v>
      </c>
      <c r="H176" s="5">
        <v>0</v>
      </c>
      <c r="I176" s="5">
        <v>0</v>
      </c>
      <c r="J176" s="5">
        <v>880</v>
      </c>
      <c r="K176" s="5">
        <v>880</v>
      </c>
      <c r="L176" t="s">
        <v>636</v>
      </c>
      <c r="M176" s="13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t="s">
        <v>636</v>
      </c>
      <c r="M177" s="13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5">
        <v>30.49</v>
      </c>
      <c r="F178" s="5">
        <v>30.49</v>
      </c>
      <c r="G178" s="5">
        <v>45</v>
      </c>
      <c r="H178" s="5">
        <v>0</v>
      </c>
      <c r="I178" s="5">
        <v>0</v>
      </c>
      <c r="J178" s="5">
        <v>45</v>
      </c>
      <c r="K178" s="5">
        <v>14.51</v>
      </c>
      <c r="L178" t="s">
        <v>636</v>
      </c>
      <c r="M178" s="13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5">
        <v>993</v>
      </c>
      <c r="F179" s="5">
        <v>993</v>
      </c>
      <c r="G179" s="5">
        <v>1370</v>
      </c>
      <c r="H179" s="5">
        <v>0</v>
      </c>
      <c r="I179" s="5">
        <v>0</v>
      </c>
      <c r="J179" s="5">
        <v>1370</v>
      </c>
      <c r="K179" s="5">
        <v>377</v>
      </c>
      <c r="L179" t="s">
        <v>636</v>
      </c>
      <c r="M179" s="13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5">
        <v>0</v>
      </c>
      <c r="F180" s="5">
        <v>0</v>
      </c>
      <c r="G180" s="5">
        <v>8.0399999999999991</v>
      </c>
      <c r="H180" s="5">
        <v>1.81</v>
      </c>
      <c r="I180" s="5">
        <v>9.85</v>
      </c>
      <c r="J180" s="5">
        <v>8.0399999999999991</v>
      </c>
      <c r="K180" s="5">
        <v>8.0399999999999991</v>
      </c>
      <c r="L180" t="s">
        <v>636</v>
      </c>
      <c r="M180" s="13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5">
        <v>1025</v>
      </c>
      <c r="F181" s="5">
        <v>1025</v>
      </c>
      <c r="G181" s="5">
        <v>1700</v>
      </c>
      <c r="H181" s="5">
        <v>0</v>
      </c>
      <c r="I181" s="5">
        <v>0</v>
      </c>
      <c r="J181" s="5">
        <v>1700</v>
      </c>
      <c r="K181" s="5">
        <v>675</v>
      </c>
      <c r="L181" t="s">
        <v>636</v>
      </c>
      <c r="M181" s="13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5">
        <v>9.3800000000000008</v>
      </c>
      <c r="F182" s="5">
        <v>9.3800000000000008</v>
      </c>
      <c r="G182" s="5">
        <v>15</v>
      </c>
      <c r="H182" s="5">
        <v>0</v>
      </c>
      <c r="I182" s="5">
        <v>0</v>
      </c>
      <c r="J182" s="5">
        <v>15</v>
      </c>
      <c r="K182" s="5">
        <v>5.62</v>
      </c>
      <c r="L182" t="s">
        <v>636</v>
      </c>
      <c r="M182" s="13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5">
        <v>0</v>
      </c>
      <c r="F183" s="5">
        <v>0</v>
      </c>
      <c r="G183" s="5">
        <v>180</v>
      </c>
      <c r="H183" s="5">
        <v>0</v>
      </c>
      <c r="I183" s="5">
        <v>0</v>
      </c>
      <c r="J183" s="5">
        <v>180</v>
      </c>
      <c r="K183" s="5">
        <v>180</v>
      </c>
      <c r="L183" t="s">
        <v>636</v>
      </c>
      <c r="M183" s="13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5">
        <v>0</v>
      </c>
      <c r="F184" s="5">
        <v>0</v>
      </c>
      <c r="G184" s="5">
        <v>200</v>
      </c>
      <c r="H184" s="5">
        <v>0</v>
      </c>
      <c r="I184" s="5">
        <v>0</v>
      </c>
      <c r="J184" s="5">
        <v>200</v>
      </c>
      <c r="K184" s="5">
        <v>200</v>
      </c>
      <c r="L184" t="s">
        <v>636</v>
      </c>
      <c r="M184" s="13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5">
        <v>57.13</v>
      </c>
      <c r="F185" s="5">
        <v>57.13</v>
      </c>
      <c r="G185" s="5">
        <v>200</v>
      </c>
      <c r="H185" s="5">
        <v>0</v>
      </c>
      <c r="I185" s="5">
        <v>0</v>
      </c>
      <c r="J185" s="5">
        <v>200</v>
      </c>
      <c r="K185" s="5">
        <v>142.87</v>
      </c>
      <c r="L185" t="s">
        <v>636</v>
      </c>
      <c r="M185" s="13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5">
        <v>0</v>
      </c>
      <c r="F186" s="5">
        <v>0</v>
      </c>
      <c r="G186" s="5">
        <v>180</v>
      </c>
      <c r="H186" s="5">
        <v>0</v>
      </c>
      <c r="I186" s="5">
        <v>0</v>
      </c>
      <c r="J186" s="5">
        <v>180</v>
      </c>
      <c r="K186" s="5">
        <v>180</v>
      </c>
      <c r="L186" t="s">
        <v>636</v>
      </c>
      <c r="M186" s="13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5">
        <v>0</v>
      </c>
      <c r="F187" s="5">
        <v>0</v>
      </c>
      <c r="G187" s="5">
        <v>189.9</v>
      </c>
      <c r="H187" s="5">
        <v>0</v>
      </c>
      <c r="I187" s="5">
        <v>0</v>
      </c>
      <c r="J187" s="5">
        <v>189.9</v>
      </c>
      <c r="K187" s="5">
        <v>189.9</v>
      </c>
      <c r="L187" t="s">
        <v>636</v>
      </c>
      <c r="M187" s="13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5">
        <v>10.58</v>
      </c>
      <c r="F188" s="5">
        <v>10.58</v>
      </c>
      <c r="G188" s="5">
        <v>22</v>
      </c>
      <c r="H188" s="5">
        <v>0</v>
      </c>
      <c r="I188" s="5">
        <v>0</v>
      </c>
      <c r="J188" s="5">
        <v>22</v>
      </c>
      <c r="K188" s="5">
        <v>11.42</v>
      </c>
      <c r="L188" t="s">
        <v>636</v>
      </c>
      <c r="M188" s="13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5">
        <v>0</v>
      </c>
      <c r="F189" s="5">
        <v>0</v>
      </c>
      <c r="G189" s="5">
        <v>590</v>
      </c>
      <c r="H189" s="5">
        <v>0</v>
      </c>
      <c r="I189" s="5">
        <v>0</v>
      </c>
      <c r="J189" s="5">
        <v>590</v>
      </c>
      <c r="K189" s="5">
        <v>590</v>
      </c>
      <c r="L189" t="s">
        <v>636</v>
      </c>
      <c r="M189" s="13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5">
        <v>2.5</v>
      </c>
      <c r="F190" s="5">
        <v>1750</v>
      </c>
      <c r="G190" s="5">
        <v>3.02</v>
      </c>
      <c r="H190" s="5">
        <v>0</v>
      </c>
      <c r="I190" s="5">
        <v>11.04</v>
      </c>
      <c r="J190" s="5">
        <v>2111.04</v>
      </c>
      <c r="K190" s="5">
        <v>361.04</v>
      </c>
      <c r="L190" t="s">
        <v>648</v>
      </c>
      <c r="M190" s="13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5">
        <v>0.65</v>
      </c>
      <c r="F191" s="5">
        <v>330.2</v>
      </c>
      <c r="G191" s="5">
        <v>1.96</v>
      </c>
      <c r="H191" s="5">
        <v>0</v>
      </c>
      <c r="I191" s="5">
        <v>0</v>
      </c>
      <c r="J191" s="5">
        <v>994.4</v>
      </c>
      <c r="K191" s="5">
        <v>664.2</v>
      </c>
      <c r="L191" t="s">
        <v>648</v>
      </c>
      <c r="M191" s="13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5">
        <v>0.65</v>
      </c>
      <c r="F192" s="5">
        <v>325</v>
      </c>
      <c r="G192" s="5">
        <v>1</v>
      </c>
      <c r="H192" s="5">
        <v>0</v>
      </c>
      <c r="I192" s="5">
        <v>0</v>
      </c>
      <c r="J192" s="5">
        <v>500</v>
      </c>
      <c r="K192" s="5">
        <v>175</v>
      </c>
      <c r="L192" t="s">
        <v>648</v>
      </c>
      <c r="M192" s="13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5">
        <v>7.9</v>
      </c>
      <c r="F193" s="5">
        <v>2662.3</v>
      </c>
      <c r="G193" s="5">
        <v>23.1</v>
      </c>
      <c r="H193" s="5">
        <v>14.98</v>
      </c>
      <c r="I193" s="5">
        <v>0</v>
      </c>
      <c r="J193" s="5">
        <v>7785.02</v>
      </c>
      <c r="K193" s="5">
        <v>5122.72</v>
      </c>
      <c r="L193" t="s">
        <v>648</v>
      </c>
      <c r="M193" s="13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5">
        <v>409.87</v>
      </c>
      <c r="F194" s="5">
        <v>83203.61</v>
      </c>
      <c r="G194" s="5">
        <v>561.42999999999995</v>
      </c>
      <c r="H194" s="5">
        <v>459.01</v>
      </c>
      <c r="I194" s="5">
        <v>0</v>
      </c>
      <c r="J194" s="5">
        <v>113970.99</v>
      </c>
      <c r="K194" s="5">
        <v>30767.38</v>
      </c>
      <c r="L194" t="s">
        <v>648</v>
      </c>
      <c r="M194" s="13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5">
        <v>473</v>
      </c>
      <c r="F195" s="5">
        <v>88924</v>
      </c>
      <c r="G195" s="5">
        <v>657.07</v>
      </c>
      <c r="H195" s="5">
        <v>1275.51</v>
      </c>
      <c r="I195" s="5">
        <v>24.72</v>
      </c>
      <c r="J195" s="5">
        <v>123529.21</v>
      </c>
      <c r="K195" s="5">
        <v>34605.21</v>
      </c>
      <c r="L195" t="s">
        <v>648</v>
      </c>
      <c r="M195" s="13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5">
        <v>3.05</v>
      </c>
      <c r="F196" s="5">
        <v>445.3</v>
      </c>
      <c r="G196" s="5">
        <v>4.21</v>
      </c>
      <c r="H196" s="5">
        <v>0.2</v>
      </c>
      <c r="I196" s="5">
        <v>6.18</v>
      </c>
      <c r="J196" s="5">
        <v>614.98</v>
      </c>
      <c r="K196" s="5">
        <v>169.68</v>
      </c>
      <c r="L196" t="s">
        <v>648</v>
      </c>
      <c r="M196" s="13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5">
        <v>447</v>
      </c>
      <c r="F197" s="5">
        <v>62133</v>
      </c>
      <c r="G197" s="5">
        <v>617.62</v>
      </c>
      <c r="H197" s="5">
        <v>779.58</v>
      </c>
      <c r="I197" s="5">
        <v>53.22</v>
      </c>
      <c r="J197" s="5">
        <v>85848.63</v>
      </c>
      <c r="K197" s="5">
        <v>23715.63</v>
      </c>
      <c r="L197" t="s">
        <v>648</v>
      </c>
      <c r="M197" s="13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5">
        <v>25</v>
      </c>
      <c r="F198" s="5">
        <v>2850</v>
      </c>
      <c r="G198" s="5">
        <v>29.8</v>
      </c>
      <c r="H198" s="5">
        <v>0.26</v>
      </c>
      <c r="I198" s="5">
        <v>2.06</v>
      </c>
      <c r="J198" s="5">
        <v>3396.8</v>
      </c>
      <c r="K198" s="5">
        <v>546.79999999999995</v>
      </c>
      <c r="L198" t="s">
        <v>648</v>
      </c>
      <c r="M198" s="13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5">
        <v>12.19</v>
      </c>
      <c r="F199" s="5">
        <v>1340.9</v>
      </c>
      <c r="G199" s="5">
        <v>16.010000000000002</v>
      </c>
      <c r="H199" s="5">
        <v>0.4</v>
      </c>
      <c r="I199" s="5">
        <v>0</v>
      </c>
      <c r="J199" s="5">
        <v>1761.1</v>
      </c>
      <c r="K199" s="5">
        <v>420.2</v>
      </c>
      <c r="L199" t="s">
        <v>648</v>
      </c>
      <c r="M199" s="13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5">
        <v>521</v>
      </c>
      <c r="F200" s="5">
        <v>45848</v>
      </c>
      <c r="G200" s="5">
        <v>789.8</v>
      </c>
      <c r="H200" s="5">
        <v>137.34</v>
      </c>
      <c r="I200" s="5">
        <v>0</v>
      </c>
      <c r="J200" s="5">
        <v>69502.66</v>
      </c>
      <c r="K200" s="5">
        <v>23654.66</v>
      </c>
      <c r="L200" t="s">
        <v>648</v>
      </c>
      <c r="M200" s="13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5">
        <v>0.96</v>
      </c>
      <c r="F201" s="5">
        <v>72</v>
      </c>
      <c r="G201" s="5">
        <v>0</v>
      </c>
      <c r="H201" s="5">
        <v>0</v>
      </c>
      <c r="I201" s="5">
        <v>0</v>
      </c>
      <c r="J201" s="5">
        <v>0</v>
      </c>
      <c r="K201" s="5">
        <v>-72</v>
      </c>
      <c r="L201" t="s">
        <v>648</v>
      </c>
      <c r="M201" s="13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5">
        <v>584</v>
      </c>
      <c r="F202" s="5">
        <v>30952</v>
      </c>
      <c r="G202" s="5">
        <v>853.21</v>
      </c>
      <c r="H202" s="5">
        <v>255</v>
      </c>
      <c r="I202" s="5">
        <v>0</v>
      </c>
      <c r="J202" s="5">
        <v>45220</v>
      </c>
      <c r="K202" s="5">
        <v>14268</v>
      </c>
      <c r="L202" t="s">
        <v>648</v>
      </c>
      <c r="M202" s="13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5">
        <v>1.47</v>
      </c>
      <c r="F203" s="5">
        <v>73.5</v>
      </c>
      <c r="G203" s="5">
        <v>1.99</v>
      </c>
      <c r="H203" s="5">
        <v>0.41</v>
      </c>
      <c r="I203" s="5">
        <v>0</v>
      </c>
      <c r="J203" s="5">
        <v>99.59</v>
      </c>
      <c r="K203" s="5">
        <v>26.09</v>
      </c>
      <c r="L203" t="s">
        <v>648</v>
      </c>
      <c r="M203" s="13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5">
        <v>497</v>
      </c>
      <c r="F204" s="5">
        <v>24353</v>
      </c>
      <c r="G204" s="5">
        <v>746.17</v>
      </c>
      <c r="H204" s="5">
        <v>230.29</v>
      </c>
      <c r="I204" s="5">
        <v>57.78</v>
      </c>
      <c r="J204" s="5">
        <v>36562.49</v>
      </c>
      <c r="K204" s="5">
        <v>12209.49</v>
      </c>
      <c r="L204" t="s">
        <v>648</v>
      </c>
      <c r="M204" s="13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5">
        <v>33</v>
      </c>
      <c r="F205" s="5">
        <v>561</v>
      </c>
      <c r="G205" s="5">
        <v>149.12</v>
      </c>
      <c r="H205" s="5">
        <v>44.99</v>
      </c>
      <c r="I205" s="5">
        <v>0</v>
      </c>
      <c r="J205" s="5">
        <v>2535.0100000000002</v>
      </c>
      <c r="K205" s="5">
        <v>1974.01</v>
      </c>
      <c r="L205" t="s">
        <v>648</v>
      </c>
      <c r="M205" s="13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5">
        <v>13.69</v>
      </c>
      <c r="F206" s="5">
        <v>232.73</v>
      </c>
      <c r="G206" s="5">
        <v>98.41</v>
      </c>
      <c r="H206" s="5">
        <v>100</v>
      </c>
      <c r="I206" s="5">
        <v>12.94</v>
      </c>
      <c r="J206" s="5">
        <v>1672.94</v>
      </c>
      <c r="K206" s="5">
        <v>1440.21</v>
      </c>
      <c r="L206" t="s">
        <v>648</v>
      </c>
      <c r="M206" s="13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t="s">
        <v>648</v>
      </c>
      <c r="M207" s="13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5">
        <v>42</v>
      </c>
      <c r="F208" s="5">
        <v>546</v>
      </c>
      <c r="G208" s="5">
        <v>56.77</v>
      </c>
      <c r="H208" s="5">
        <v>0</v>
      </c>
      <c r="I208" s="5">
        <v>3.06</v>
      </c>
      <c r="J208" s="5">
        <v>738.06</v>
      </c>
      <c r="K208" s="5">
        <v>192.06</v>
      </c>
      <c r="L208" t="s">
        <v>648</v>
      </c>
      <c r="M208" s="13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5">
        <v>1025</v>
      </c>
      <c r="F209" s="5">
        <v>11275</v>
      </c>
      <c r="G209" s="5">
        <v>1504.55</v>
      </c>
      <c r="H209" s="5">
        <v>350</v>
      </c>
      <c r="I209" s="5">
        <v>0</v>
      </c>
      <c r="J209" s="5">
        <v>16550</v>
      </c>
      <c r="K209" s="5">
        <v>5275</v>
      </c>
      <c r="L209" t="s">
        <v>648</v>
      </c>
      <c r="M209" s="13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5">
        <v>61.37</v>
      </c>
      <c r="F210" s="5">
        <v>613.70000000000005</v>
      </c>
      <c r="G210" s="5">
        <v>90.3</v>
      </c>
      <c r="H210" s="5">
        <v>0</v>
      </c>
      <c r="I210" s="5">
        <v>23</v>
      </c>
      <c r="J210" s="5">
        <v>903</v>
      </c>
      <c r="K210" s="5">
        <v>289.3</v>
      </c>
      <c r="L210" t="s">
        <v>648</v>
      </c>
      <c r="M210" s="13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5">
        <v>35</v>
      </c>
      <c r="F211" s="5">
        <v>280</v>
      </c>
      <c r="G211" s="5">
        <v>33.75</v>
      </c>
      <c r="H211" s="5">
        <v>40</v>
      </c>
      <c r="I211" s="5">
        <v>0</v>
      </c>
      <c r="J211" s="5">
        <v>270</v>
      </c>
      <c r="K211" s="5">
        <v>-10</v>
      </c>
      <c r="L211" t="s">
        <v>648</v>
      </c>
      <c r="M211" s="13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5">
        <v>41</v>
      </c>
      <c r="F212" s="5">
        <v>328</v>
      </c>
      <c r="G212" s="5">
        <v>55</v>
      </c>
      <c r="H212" s="5">
        <v>0</v>
      </c>
      <c r="I212" s="5">
        <v>0</v>
      </c>
      <c r="J212" s="5">
        <v>440</v>
      </c>
      <c r="K212" s="5">
        <v>112</v>
      </c>
      <c r="L212" t="s">
        <v>648</v>
      </c>
      <c r="M212" s="13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5">
        <v>49.21</v>
      </c>
      <c r="F213" s="5">
        <v>393.68</v>
      </c>
      <c r="G213" s="5">
        <v>80</v>
      </c>
      <c r="H213" s="5">
        <v>10</v>
      </c>
      <c r="I213" s="5">
        <v>0</v>
      </c>
      <c r="J213" s="5">
        <v>640</v>
      </c>
      <c r="K213" s="5">
        <v>246.32</v>
      </c>
      <c r="L213" t="s">
        <v>648</v>
      </c>
      <c r="M213" s="13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5">
        <v>30.49</v>
      </c>
      <c r="F214" s="5">
        <v>213.43</v>
      </c>
      <c r="G214" s="5">
        <v>39.94</v>
      </c>
      <c r="H214" s="5">
        <v>5.44</v>
      </c>
      <c r="I214" s="5">
        <v>0</v>
      </c>
      <c r="J214" s="5">
        <v>279.56</v>
      </c>
      <c r="K214" s="5">
        <v>66.13</v>
      </c>
      <c r="L214" t="s">
        <v>648</v>
      </c>
      <c r="M214" s="13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5">
        <v>5</v>
      </c>
      <c r="F215" s="5">
        <v>30</v>
      </c>
      <c r="G215" s="5">
        <v>8.33</v>
      </c>
      <c r="H215" s="5">
        <v>0.04</v>
      </c>
      <c r="I215" s="5">
        <v>0</v>
      </c>
      <c r="J215" s="5">
        <v>49.96</v>
      </c>
      <c r="K215" s="5">
        <v>19.96</v>
      </c>
      <c r="L215" t="s">
        <v>648</v>
      </c>
      <c r="M215" s="13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5">
        <v>33.56</v>
      </c>
      <c r="F216" s="5">
        <v>134.24</v>
      </c>
      <c r="G216" s="5">
        <v>83.75</v>
      </c>
      <c r="H216" s="5">
        <v>5</v>
      </c>
      <c r="I216" s="5">
        <v>0</v>
      </c>
      <c r="J216" s="5">
        <v>335</v>
      </c>
      <c r="K216" s="5">
        <v>200.76</v>
      </c>
      <c r="L216" t="s">
        <v>648</v>
      </c>
      <c r="M216" s="13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5">
        <v>0</v>
      </c>
      <c r="F217" s="5">
        <v>0</v>
      </c>
      <c r="G217" s="5">
        <v>180</v>
      </c>
      <c r="H217" s="5">
        <v>0</v>
      </c>
      <c r="I217" s="5">
        <v>0</v>
      </c>
      <c r="J217" s="5">
        <v>540</v>
      </c>
      <c r="K217" s="5">
        <v>540</v>
      </c>
      <c r="L217" t="s">
        <v>648</v>
      </c>
      <c r="M217" s="13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5">
        <v>993</v>
      </c>
      <c r="F218" s="5">
        <v>2979</v>
      </c>
      <c r="G218" s="5">
        <v>1450</v>
      </c>
      <c r="H218" s="5">
        <v>0</v>
      </c>
      <c r="I218" s="5">
        <v>0</v>
      </c>
      <c r="J218" s="5">
        <v>4350</v>
      </c>
      <c r="K218" s="5">
        <v>1371</v>
      </c>
      <c r="L218" t="s">
        <v>648</v>
      </c>
      <c r="M218" s="13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5">
        <v>90</v>
      </c>
      <c r="F219" s="5">
        <v>270</v>
      </c>
      <c r="G219" s="5">
        <v>180</v>
      </c>
      <c r="H219" s="5">
        <v>0</v>
      </c>
      <c r="I219" s="5">
        <v>0</v>
      </c>
      <c r="J219" s="5">
        <v>540</v>
      </c>
      <c r="K219" s="5">
        <v>270</v>
      </c>
      <c r="L219" t="s">
        <v>648</v>
      </c>
      <c r="M219" s="13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5">
        <v>0</v>
      </c>
      <c r="F220" s="5">
        <v>0</v>
      </c>
      <c r="G220" s="5">
        <v>4.9800000000000004</v>
      </c>
      <c r="H220" s="5">
        <v>0.04</v>
      </c>
      <c r="I220" s="5">
        <v>0</v>
      </c>
      <c r="J220" s="5">
        <v>9.9600000000000009</v>
      </c>
      <c r="K220" s="5">
        <v>9.9600000000000009</v>
      </c>
      <c r="L220" t="s">
        <v>648</v>
      </c>
      <c r="M220" s="13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5">
        <v>0</v>
      </c>
      <c r="F221" s="5">
        <v>0</v>
      </c>
      <c r="G221" s="5">
        <v>180</v>
      </c>
      <c r="H221" s="5">
        <v>0</v>
      </c>
      <c r="I221" s="5">
        <v>0</v>
      </c>
      <c r="J221" s="5">
        <v>360</v>
      </c>
      <c r="K221" s="5">
        <v>360</v>
      </c>
      <c r="L221" t="s">
        <v>648</v>
      </c>
      <c r="M221" s="13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5">
        <v>268.45999999999998</v>
      </c>
      <c r="F222" s="5">
        <v>536.91999999999996</v>
      </c>
      <c r="G222" s="5">
        <v>575</v>
      </c>
      <c r="H222" s="5">
        <v>0</v>
      </c>
      <c r="I222" s="5">
        <v>0</v>
      </c>
      <c r="J222" s="5">
        <v>1150</v>
      </c>
      <c r="K222" s="5">
        <v>613.08000000000004</v>
      </c>
      <c r="L222" t="s">
        <v>648</v>
      </c>
      <c r="M222" s="13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5">
        <v>9.3800000000000008</v>
      </c>
      <c r="F223" s="5">
        <v>18.760000000000002</v>
      </c>
      <c r="G223" s="5">
        <v>15</v>
      </c>
      <c r="H223" s="5">
        <v>0</v>
      </c>
      <c r="I223" s="5">
        <v>0</v>
      </c>
      <c r="J223" s="5">
        <v>30</v>
      </c>
      <c r="K223" s="5">
        <v>11.24</v>
      </c>
      <c r="L223" t="s">
        <v>648</v>
      </c>
      <c r="M223" s="13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5">
        <v>0</v>
      </c>
      <c r="F224" s="5">
        <v>0</v>
      </c>
      <c r="G224" s="5">
        <v>200</v>
      </c>
      <c r="H224" s="5">
        <v>0</v>
      </c>
      <c r="I224" s="5">
        <v>0</v>
      </c>
      <c r="J224" s="5">
        <v>400</v>
      </c>
      <c r="K224" s="5">
        <v>400</v>
      </c>
      <c r="L224" t="s">
        <v>648</v>
      </c>
      <c r="M224" s="13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5">
        <v>57.13</v>
      </c>
      <c r="F225" s="5">
        <v>57.13</v>
      </c>
      <c r="G225" s="5">
        <v>350</v>
      </c>
      <c r="H225" s="5">
        <v>0</v>
      </c>
      <c r="I225" s="5">
        <v>0</v>
      </c>
      <c r="J225" s="5">
        <v>350</v>
      </c>
      <c r="K225" s="5">
        <v>292.87</v>
      </c>
      <c r="L225" t="s">
        <v>648</v>
      </c>
      <c r="M225" s="13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5">
        <v>0</v>
      </c>
      <c r="F226" s="5">
        <v>0</v>
      </c>
      <c r="G226" s="5">
        <v>845</v>
      </c>
      <c r="H226" s="5">
        <v>0</v>
      </c>
      <c r="I226" s="5">
        <v>0</v>
      </c>
      <c r="J226" s="5">
        <v>845</v>
      </c>
      <c r="K226" s="5">
        <v>845</v>
      </c>
      <c r="L226" t="s">
        <v>648</v>
      </c>
      <c r="M226" s="13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5">
        <v>3</v>
      </c>
      <c r="F227" s="5">
        <v>3</v>
      </c>
      <c r="G227" s="5">
        <v>35</v>
      </c>
      <c r="H227" s="5">
        <v>0</v>
      </c>
      <c r="I227" s="5">
        <v>0</v>
      </c>
      <c r="J227" s="5">
        <v>35</v>
      </c>
      <c r="K227" s="5">
        <v>32</v>
      </c>
      <c r="L227" t="s">
        <v>648</v>
      </c>
      <c r="M227" s="13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5">
        <v>0</v>
      </c>
      <c r="F228" s="5">
        <v>0</v>
      </c>
      <c r="G228" s="5">
        <v>180</v>
      </c>
      <c r="H228" s="5">
        <v>0</v>
      </c>
      <c r="I228" s="5">
        <v>0</v>
      </c>
      <c r="J228" s="5">
        <v>180</v>
      </c>
      <c r="K228" s="5">
        <v>180</v>
      </c>
      <c r="L228" t="s">
        <v>648</v>
      </c>
      <c r="M228" s="13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5">
        <v>0</v>
      </c>
      <c r="F229" s="5">
        <v>0</v>
      </c>
      <c r="G229" s="5">
        <v>350</v>
      </c>
      <c r="H229" s="5">
        <v>0</v>
      </c>
      <c r="I229" s="5">
        <v>0</v>
      </c>
      <c r="J229" s="5">
        <v>350</v>
      </c>
      <c r="K229" s="5">
        <v>350</v>
      </c>
      <c r="L229" t="s">
        <v>648</v>
      </c>
      <c r="M229" s="13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5">
        <v>2.5</v>
      </c>
      <c r="F230" s="5">
        <v>4875</v>
      </c>
      <c r="G230" s="5">
        <v>2.96</v>
      </c>
      <c r="H230" s="5">
        <v>4.1500000000000004</v>
      </c>
      <c r="I230" s="5">
        <v>0</v>
      </c>
      <c r="J230" s="5">
        <v>5765.85</v>
      </c>
      <c r="K230" s="5">
        <v>890.85</v>
      </c>
      <c r="L230" t="s">
        <v>654</v>
      </c>
      <c r="M230" s="13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5">
        <v>7.9</v>
      </c>
      <c r="F231" s="5">
        <v>3381.2</v>
      </c>
      <c r="G231" s="5">
        <v>24.23</v>
      </c>
      <c r="H231" s="5">
        <v>80.680000000000007</v>
      </c>
      <c r="I231" s="5">
        <v>34.340000000000003</v>
      </c>
      <c r="J231" s="5">
        <v>10368.66</v>
      </c>
      <c r="K231" s="5">
        <v>6987.46</v>
      </c>
      <c r="L231" t="s">
        <v>654</v>
      </c>
      <c r="M231" s="13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5">
        <v>473</v>
      </c>
      <c r="F232" s="5">
        <v>114466</v>
      </c>
      <c r="G232" s="5">
        <v>654.55999999999995</v>
      </c>
      <c r="H232" s="5">
        <v>792.65</v>
      </c>
      <c r="I232" s="5">
        <v>153.84</v>
      </c>
      <c r="J232" s="5">
        <v>158403.39000000001</v>
      </c>
      <c r="K232" s="5">
        <v>43937.39</v>
      </c>
      <c r="L232" t="s">
        <v>654</v>
      </c>
      <c r="M232" s="13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5">
        <v>409.87</v>
      </c>
      <c r="F233" s="5">
        <v>71727.25</v>
      </c>
      <c r="G233" s="5">
        <v>572.99</v>
      </c>
      <c r="H233" s="5">
        <v>131.61000000000001</v>
      </c>
      <c r="I233" s="5">
        <v>4.76</v>
      </c>
      <c r="J233" s="5">
        <v>100273.15</v>
      </c>
      <c r="K233" s="5">
        <v>28545.9</v>
      </c>
      <c r="L233" t="s">
        <v>654</v>
      </c>
      <c r="M233" s="13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5">
        <v>0.65</v>
      </c>
      <c r="F234" s="5">
        <v>97.5</v>
      </c>
      <c r="G234" s="5">
        <v>1</v>
      </c>
      <c r="H234" s="5">
        <v>0</v>
      </c>
      <c r="I234" s="5">
        <v>0</v>
      </c>
      <c r="J234" s="5">
        <v>150</v>
      </c>
      <c r="K234" s="5">
        <v>52.5</v>
      </c>
      <c r="L234" t="s">
        <v>654</v>
      </c>
      <c r="M234" s="13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5">
        <v>0.65</v>
      </c>
      <c r="F235" s="5">
        <v>97.5</v>
      </c>
      <c r="G235" s="5">
        <v>1</v>
      </c>
      <c r="H235" s="5">
        <v>0</v>
      </c>
      <c r="I235" s="5">
        <v>0</v>
      </c>
      <c r="J235" s="5">
        <v>150</v>
      </c>
      <c r="K235" s="5">
        <v>52.5</v>
      </c>
      <c r="L235" t="s">
        <v>654</v>
      </c>
      <c r="M235" s="13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5">
        <v>447</v>
      </c>
      <c r="F236" s="5">
        <v>50064</v>
      </c>
      <c r="G236" s="5">
        <v>607.65</v>
      </c>
      <c r="H236" s="5">
        <v>700.04</v>
      </c>
      <c r="I236" s="5">
        <v>36.799999999999997</v>
      </c>
      <c r="J236" s="5">
        <v>68056.759999999995</v>
      </c>
      <c r="K236" s="5">
        <v>17992.759999999998</v>
      </c>
      <c r="L236" t="s">
        <v>654</v>
      </c>
      <c r="M236" s="13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5">
        <v>3.05</v>
      </c>
      <c r="F237" s="5">
        <v>323.3</v>
      </c>
      <c r="G237" s="5">
        <v>3.98</v>
      </c>
      <c r="H237" s="5">
        <v>9.0500000000000007</v>
      </c>
      <c r="I237" s="5">
        <v>0</v>
      </c>
      <c r="J237" s="5">
        <v>421.95</v>
      </c>
      <c r="K237" s="5">
        <v>98.65</v>
      </c>
      <c r="L237" t="s">
        <v>654</v>
      </c>
      <c r="M237" s="13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5">
        <v>584</v>
      </c>
      <c r="F238" s="5">
        <v>54312</v>
      </c>
      <c r="G238" s="5">
        <v>822.91</v>
      </c>
      <c r="H238" s="5">
        <v>502.45</v>
      </c>
      <c r="I238" s="5">
        <v>25.52</v>
      </c>
      <c r="J238" s="5">
        <v>76531.070000000007</v>
      </c>
      <c r="K238" s="5">
        <v>22219.07</v>
      </c>
      <c r="L238" t="s">
        <v>654</v>
      </c>
      <c r="M238" s="13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5">
        <v>497</v>
      </c>
      <c r="F239" s="5">
        <v>39263</v>
      </c>
      <c r="G239" s="5">
        <v>727.78</v>
      </c>
      <c r="H239" s="5">
        <v>650</v>
      </c>
      <c r="I239" s="5">
        <v>0</v>
      </c>
      <c r="J239" s="5">
        <v>57495</v>
      </c>
      <c r="K239" s="5">
        <v>18232</v>
      </c>
      <c r="L239" t="s">
        <v>654</v>
      </c>
      <c r="M239" s="13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5">
        <v>25</v>
      </c>
      <c r="F240" s="5">
        <v>1900</v>
      </c>
      <c r="G240" s="5">
        <v>29.66</v>
      </c>
      <c r="H240" s="5">
        <v>0.9</v>
      </c>
      <c r="I240" s="5">
        <v>0</v>
      </c>
      <c r="J240" s="5">
        <v>2254.1</v>
      </c>
      <c r="K240" s="5">
        <v>354.1</v>
      </c>
      <c r="L240" t="s">
        <v>654</v>
      </c>
      <c r="M240" s="13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5">
        <v>0.96</v>
      </c>
      <c r="F241" s="5">
        <v>72</v>
      </c>
      <c r="G241" s="5">
        <v>0</v>
      </c>
      <c r="H241" s="5">
        <v>0</v>
      </c>
      <c r="I241" s="5">
        <v>0</v>
      </c>
      <c r="J241" s="5">
        <v>0</v>
      </c>
      <c r="K241" s="5">
        <v>-72</v>
      </c>
      <c r="L241" t="s">
        <v>654</v>
      </c>
      <c r="M241" s="13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5">
        <v>13.69</v>
      </c>
      <c r="F242" s="5">
        <v>958.3</v>
      </c>
      <c r="G242" s="5">
        <v>92.29</v>
      </c>
      <c r="H242" s="5">
        <v>0</v>
      </c>
      <c r="I242" s="5">
        <v>0</v>
      </c>
      <c r="J242" s="5">
        <v>6460</v>
      </c>
      <c r="K242" s="5">
        <v>5501.7</v>
      </c>
      <c r="L242" t="s">
        <v>654</v>
      </c>
      <c r="M242" s="13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5">
        <v>521</v>
      </c>
      <c r="F243" s="5">
        <v>36470</v>
      </c>
      <c r="G243" s="5">
        <v>778.79</v>
      </c>
      <c r="H243" s="5">
        <v>136.66999999999999</v>
      </c>
      <c r="I243" s="5">
        <v>37</v>
      </c>
      <c r="J243" s="5">
        <v>54515.33</v>
      </c>
      <c r="K243" s="5">
        <v>18045.330000000002</v>
      </c>
      <c r="L243" t="s">
        <v>654</v>
      </c>
      <c r="M243" s="13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5">
        <v>12.19</v>
      </c>
      <c r="F244" s="5">
        <v>743.59</v>
      </c>
      <c r="G244" s="5">
        <v>15.11</v>
      </c>
      <c r="H244" s="5">
        <v>0</v>
      </c>
      <c r="I244" s="5">
        <v>0</v>
      </c>
      <c r="J244" s="5">
        <v>921.5</v>
      </c>
      <c r="K244" s="5">
        <v>177.91</v>
      </c>
      <c r="L244" t="s">
        <v>654</v>
      </c>
      <c r="M244" s="13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5">
        <v>40</v>
      </c>
      <c r="F245" s="5">
        <v>2200</v>
      </c>
      <c r="G245" s="5">
        <v>60.45</v>
      </c>
      <c r="H245" s="5">
        <v>0</v>
      </c>
      <c r="I245" s="5">
        <v>0</v>
      </c>
      <c r="J245" s="5">
        <v>3325</v>
      </c>
      <c r="K245" s="5">
        <v>1125</v>
      </c>
      <c r="L245" t="s">
        <v>654</v>
      </c>
      <c r="M245" s="13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5">
        <v>3.26</v>
      </c>
      <c r="F246" s="5">
        <v>163</v>
      </c>
      <c r="G246" s="5">
        <v>0</v>
      </c>
      <c r="H246" s="5">
        <v>0</v>
      </c>
      <c r="I246" s="5">
        <v>0</v>
      </c>
      <c r="J246" s="5">
        <v>0</v>
      </c>
      <c r="K246" s="5">
        <v>-163</v>
      </c>
      <c r="L246" t="s">
        <v>654</v>
      </c>
      <c r="M246" s="13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5">
        <v>710</v>
      </c>
      <c r="F247" s="5">
        <v>33370</v>
      </c>
      <c r="G247" s="5">
        <v>1161.1300000000001</v>
      </c>
      <c r="H247" s="5">
        <v>779.11</v>
      </c>
      <c r="I247" s="5">
        <v>32.14</v>
      </c>
      <c r="J247" s="5">
        <v>54573.03</v>
      </c>
      <c r="K247" s="5">
        <v>21203.03</v>
      </c>
      <c r="L247" t="s">
        <v>654</v>
      </c>
      <c r="M247" s="13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5">
        <v>725</v>
      </c>
      <c r="F248" s="5">
        <v>29000</v>
      </c>
      <c r="G248" s="5">
        <v>1243.04</v>
      </c>
      <c r="H248" s="5">
        <v>128.35</v>
      </c>
      <c r="I248" s="5">
        <v>0</v>
      </c>
      <c r="J248" s="5">
        <v>49721.65</v>
      </c>
      <c r="K248" s="5">
        <v>20721.650000000001</v>
      </c>
      <c r="L248" t="s">
        <v>654</v>
      </c>
      <c r="M248" s="13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5">
        <v>42</v>
      </c>
      <c r="F249" s="5">
        <v>1428</v>
      </c>
      <c r="G249" s="5">
        <v>55.36</v>
      </c>
      <c r="H249" s="5">
        <v>12.82</v>
      </c>
      <c r="I249" s="5">
        <v>15.11</v>
      </c>
      <c r="J249" s="5">
        <v>1882.29</v>
      </c>
      <c r="K249" s="5">
        <v>454.29</v>
      </c>
      <c r="L249" t="s">
        <v>654</v>
      </c>
      <c r="M249" s="13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t="s">
        <v>654</v>
      </c>
      <c r="M250" s="13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5">
        <v>268.45999999999998</v>
      </c>
      <c r="F251" s="5">
        <v>6711.5</v>
      </c>
      <c r="G251" s="5">
        <v>516.59</v>
      </c>
      <c r="H251" s="5">
        <v>181.48</v>
      </c>
      <c r="I251" s="5">
        <v>76.22</v>
      </c>
      <c r="J251" s="5">
        <v>12914.74</v>
      </c>
      <c r="K251" s="5">
        <v>6203.24</v>
      </c>
      <c r="L251" t="s">
        <v>654</v>
      </c>
      <c r="M251" s="13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5">
        <v>57.13</v>
      </c>
      <c r="F252" s="5">
        <v>1371.12</v>
      </c>
      <c r="G252" s="5">
        <v>196.68</v>
      </c>
      <c r="H252" s="5">
        <v>1.69</v>
      </c>
      <c r="I252" s="5">
        <v>59.39</v>
      </c>
      <c r="J252" s="5">
        <v>4720.2</v>
      </c>
      <c r="K252" s="5">
        <v>3349.08</v>
      </c>
      <c r="L252" t="s">
        <v>654</v>
      </c>
      <c r="M252" s="13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5">
        <v>41</v>
      </c>
      <c r="F253" s="5">
        <v>943</v>
      </c>
      <c r="G253" s="5">
        <v>58.26</v>
      </c>
      <c r="H253" s="5">
        <v>0</v>
      </c>
      <c r="I253" s="5">
        <v>75</v>
      </c>
      <c r="J253" s="5">
        <v>1340</v>
      </c>
      <c r="K253" s="5">
        <v>397</v>
      </c>
      <c r="L253" t="s">
        <v>654</v>
      </c>
      <c r="M253" s="13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5">
        <v>14.44</v>
      </c>
      <c r="F254" s="5">
        <v>288.8</v>
      </c>
      <c r="G254" s="5">
        <v>12</v>
      </c>
      <c r="H254" s="5">
        <v>0</v>
      </c>
      <c r="I254" s="5">
        <v>0</v>
      </c>
      <c r="J254" s="5">
        <v>240</v>
      </c>
      <c r="K254" s="5">
        <v>-48.8</v>
      </c>
      <c r="L254" t="s">
        <v>654</v>
      </c>
      <c r="M254" s="13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5">
        <v>61.37</v>
      </c>
      <c r="F255" s="5">
        <v>1227.4000000000001</v>
      </c>
      <c r="G255" s="5">
        <v>84.92</v>
      </c>
      <c r="H255" s="5">
        <v>14.6</v>
      </c>
      <c r="I255" s="5">
        <v>12.91</v>
      </c>
      <c r="J255" s="5">
        <v>1698.32</v>
      </c>
      <c r="K255" s="5">
        <v>470.92</v>
      </c>
      <c r="L255" t="s">
        <v>654</v>
      </c>
      <c r="M255" s="13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5">
        <v>49.21</v>
      </c>
      <c r="F256" s="5">
        <v>787.36</v>
      </c>
      <c r="G256" s="5">
        <v>79.64</v>
      </c>
      <c r="H256" s="5">
        <v>10.78</v>
      </c>
      <c r="I256" s="5">
        <v>0</v>
      </c>
      <c r="J256" s="5">
        <v>1274.22</v>
      </c>
      <c r="K256" s="5">
        <v>486.86</v>
      </c>
      <c r="L256" t="s">
        <v>654</v>
      </c>
      <c r="M256" s="13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5">
        <v>33</v>
      </c>
      <c r="F257" s="5">
        <v>528</v>
      </c>
      <c r="G257" s="5">
        <v>152.58000000000001</v>
      </c>
      <c r="H257" s="5">
        <v>0</v>
      </c>
      <c r="I257" s="5">
        <v>41.21</v>
      </c>
      <c r="J257" s="5">
        <v>2441.21</v>
      </c>
      <c r="K257" s="5">
        <v>1913.21</v>
      </c>
      <c r="L257" t="s">
        <v>654</v>
      </c>
      <c r="M257" s="13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5">
        <v>740</v>
      </c>
      <c r="F258" s="5">
        <v>11840</v>
      </c>
      <c r="G258" s="5">
        <v>1366.88</v>
      </c>
      <c r="H258" s="5">
        <v>200</v>
      </c>
      <c r="I258" s="5">
        <v>0</v>
      </c>
      <c r="J258" s="5">
        <v>21870</v>
      </c>
      <c r="K258" s="5">
        <v>10030</v>
      </c>
      <c r="L258" t="s">
        <v>654</v>
      </c>
      <c r="M258" s="13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t="s">
        <v>654</v>
      </c>
      <c r="M259" s="13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5">
        <v>35</v>
      </c>
      <c r="F260" s="5">
        <v>455</v>
      </c>
      <c r="G260" s="5">
        <v>40.85</v>
      </c>
      <c r="H260" s="5">
        <v>0</v>
      </c>
      <c r="I260" s="5">
        <v>10.99</v>
      </c>
      <c r="J260" s="5">
        <v>530.99</v>
      </c>
      <c r="K260" s="5">
        <v>75.989999999999995</v>
      </c>
      <c r="L260" t="s">
        <v>654</v>
      </c>
      <c r="M260" s="13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5">
        <v>90</v>
      </c>
      <c r="F261" s="5">
        <v>1170</v>
      </c>
      <c r="G261" s="5">
        <v>152.31</v>
      </c>
      <c r="H261" s="5">
        <v>0</v>
      </c>
      <c r="I261" s="5">
        <v>0</v>
      </c>
      <c r="J261" s="5">
        <v>1980</v>
      </c>
      <c r="K261" s="5">
        <v>810</v>
      </c>
      <c r="L261" t="s">
        <v>654</v>
      </c>
      <c r="M261" s="13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5">
        <v>540.99</v>
      </c>
      <c r="F262" s="5">
        <v>5950.89</v>
      </c>
      <c r="G262" s="5">
        <v>856.07</v>
      </c>
      <c r="H262" s="5">
        <v>0</v>
      </c>
      <c r="I262" s="5">
        <v>116.76</v>
      </c>
      <c r="J262" s="5">
        <v>9416.76</v>
      </c>
      <c r="K262" s="5">
        <v>3465.87</v>
      </c>
      <c r="L262" t="s">
        <v>654</v>
      </c>
      <c r="M262" s="13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t="s">
        <v>654</v>
      </c>
      <c r="M263" s="13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5">
        <v>757</v>
      </c>
      <c r="F264" s="5">
        <v>6056</v>
      </c>
      <c r="G264" s="5">
        <v>1472.5</v>
      </c>
      <c r="H264" s="5">
        <v>0</v>
      </c>
      <c r="I264" s="5">
        <v>0</v>
      </c>
      <c r="J264" s="5">
        <v>11780</v>
      </c>
      <c r="K264" s="5">
        <v>5724</v>
      </c>
      <c r="L264" t="s">
        <v>654</v>
      </c>
      <c r="M264" s="13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5">
        <v>33.56</v>
      </c>
      <c r="F265" s="5">
        <v>268.48</v>
      </c>
      <c r="G265" s="5">
        <v>84.45</v>
      </c>
      <c r="H265" s="5">
        <v>4.4400000000000004</v>
      </c>
      <c r="I265" s="5">
        <v>0</v>
      </c>
      <c r="J265" s="5">
        <v>675.56</v>
      </c>
      <c r="K265" s="5">
        <v>407.08</v>
      </c>
      <c r="L265" t="s">
        <v>654</v>
      </c>
      <c r="M265" s="13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5">
        <v>0</v>
      </c>
      <c r="F266" s="5">
        <v>0</v>
      </c>
      <c r="G266" s="5">
        <v>50</v>
      </c>
      <c r="H266" s="5">
        <v>0</v>
      </c>
      <c r="I266" s="5">
        <v>0</v>
      </c>
      <c r="J266" s="5">
        <v>350</v>
      </c>
      <c r="K266" s="5">
        <v>350</v>
      </c>
      <c r="L266" t="s">
        <v>654</v>
      </c>
      <c r="M266" s="13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5">
        <v>293.13</v>
      </c>
      <c r="F267" s="5">
        <v>2051.91</v>
      </c>
      <c r="G267" s="5">
        <v>458.14</v>
      </c>
      <c r="H267" s="5">
        <v>0</v>
      </c>
      <c r="I267" s="5">
        <v>0</v>
      </c>
      <c r="J267" s="5">
        <v>3207</v>
      </c>
      <c r="K267" s="5">
        <v>1155.0899999999999</v>
      </c>
      <c r="L267" t="s">
        <v>654</v>
      </c>
      <c r="M267" s="13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5">
        <v>1025</v>
      </c>
      <c r="F268" s="5">
        <v>3075</v>
      </c>
      <c r="G268" s="5">
        <v>1619.54</v>
      </c>
      <c r="H268" s="5">
        <v>91.38</v>
      </c>
      <c r="I268" s="5">
        <v>0</v>
      </c>
      <c r="J268" s="5">
        <v>4858.62</v>
      </c>
      <c r="K268" s="5">
        <v>1783.62</v>
      </c>
      <c r="L268" t="s">
        <v>654</v>
      </c>
      <c r="M268" s="13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5">
        <v>0</v>
      </c>
      <c r="F269" s="5">
        <v>0</v>
      </c>
      <c r="G269" s="5">
        <v>150</v>
      </c>
      <c r="H269" s="5">
        <v>0</v>
      </c>
      <c r="I269" s="5">
        <v>0</v>
      </c>
      <c r="J269" s="5">
        <v>300</v>
      </c>
      <c r="K269" s="5">
        <v>300</v>
      </c>
      <c r="L269" t="s">
        <v>654</v>
      </c>
      <c r="M269" s="13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5">
        <v>0</v>
      </c>
      <c r="F270" s="5">
        <v>0</v>
      </c>
      <c r="G270" s="5">
        <v>400</v>
      </c>
      <c r="H270" s="5">
        <v>0</v>
      </c>
      <c r="I270" s="5">
        <v>0</v>
      </c>
      <c r="J270" s="5">
        <v>800</v>
      </c>
      <c r="K270" s="5">
        <v>800</v>
      </c>
      <c r="L270" t="s">
        <v>654</v>
      </c>
      <c r="M270" s="13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5">
        <v>0</v>
      </c>
      <c r="F271" s="5">
        <v>0</v>
      </c>
      <c r="G271" s="5">
        <v>180</v>
      </c>
      <c r="H271" s="5">
        <v>0</v>
      </c>
      <c r="I271" s="5">
        <v>0</v>
      </c>
      <c r="J271" s="5">
        <v>360</v>
      </c>
      <c r="K271" s="5">
        <v>360</v>
      </c>
      <c r="L271" t="s">
        <v>654</v>
      </c>
      <c r="M271" s="13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5">
        <v>9.3800000000000008</v>
      </c>
      <c r="F272" s="5">
        <v>18.760000000000002</v>
      </c>
      <c r="G272" s="5">
        <v>7.5</v>
      </c>
      <c r="H272" s="5">
        <v>0</v>
      </c>
      <c r="I272" s="5">
        <v>0</v>
      </c>
      <c r="J272" s="5">
        <v>15</v>
      </c>
      <c r="K272" s="5">
        <v>-3.76</v>
      </c>
      <c r="L272" t="s">
        <v>654</v>
      </c>
      <c r="M272" s="13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5">
        <v>773</v>
      </c>
      <c r="F273" s="5">
        <v>1546</v>
      </c>
      <c r="G273" s="5">
        <v>1575</v>
      </c>
      <c r="H273" s="5">
        <v>100</v>
      </c>
      <c r="I273" s="5">
        <v>0</v>
      </c>
      <c r="J273" s="5">
        <v>3150</v>
      </c>
      <c r="K273" s="5">
        <v>1604</v>
      </c>
      <c r="L273" t="s">
        <v>654</v>
      </c>
      <c r="M273" s="13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5">
        <v>0</v>
      </c>
      <c r="F274" s="5">
        <v>0</v>
      </c>
      <c r="G274" s="5">
        <v>200</v>
      </c>
      <c r="H274" s="5">
        <v>0</v>
      </c>
      <c r="I274" s="5">
        <v>0</v>
      </c>
      <c r="J274" s="5">
        <v>400</v>
      </c>
      <c r="K274" s="5">
        <v>400</v>
      </c>
      <c r="L274" t="s">
        <v>654</v>
      </c>
      <c r="M274" s="13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5">
        <v>0</v>
      </c>
      <c r="F275" s="5">
        <v>0</v>
      </c>
      <c r="G275" s="5">
        <v>180</v>
      </c>
      <c r="H275" s="5">
        <v>0</v>
      </c>
      <c r="I275" s="5">
        <v>0</v>
      </c>
      <c r="J275" s="5">
        <v>360</v>
      </c>
      <c r="K275" s="5">
        <v>360</v>
      </c>
      <c r="L275" t="s">
        <v>654</v>
      </c>
      <c r="M275" s="13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5">
        <v>0</v>
      </c>
      <c r="F276" s="5">
        <v>0</v>
      </c>
      <c r="G276" s="5">
        <v>220</v>
      </c>
      <c r="H276" s="5">
        <v>0</v>
      </c>
      <c r="I276" s="5">
        <v>0</v>
      </c>
      <c r="J276" s="5">
        <v>220</v>
      </c>
      <c r="K276" s="5">
        <v>220</v>
      </c>
      <c r="L276" t="s">
        <v>654</v>
      </c>
      <c r="M276" s="13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5">
        <v>3.53</v>
      </c>
      <c r="F277" s="5">
        <v>3.53</v>
      </c>
      <c r="G277" s="5">
        <v>7.86</v>
      </c>
      <c r="H277" s="5">
        <v>0.14000000000000001</v>
      </c>
      <c r="I277" s="5">
        <v>0</v>
      </c>
      <c r="J277" s="5">
        <v>7.86</v>
      </c>
      <c r="K277" s="5">
        <v>4.33</v>
      </c>
      <c r="L277" t="s">
        <v>654</v>
      </c>
      <c r="M277" s="13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5">
        <v>20</v>
      </c>
      <c r="F278" s="5">
        <v>20</v>
      </c>
      <c r="G278" s="5">
        <v>10</v>
      </c>
      <c r="H278" s="5">
        <v>0</v>
      </c>
      <c r="I278" s="5">
        <v>0</v>
      </c>
      <c r="J278" s="5">
        <v>10</v>
      </c>
      <c r="K278" s="5">
        <v>-10</v>
      </c>
      <c r="L278" t="s">
        <v>654</v>
      </c>
      <c r="M278" s="13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5">
        <v>0</v>
      </c>
      <c r="F279" s="5">
        <v>0</v>
      </c>
      <c r="G279" s="5">
        <v>180</v>
      </c>
      <c r="H279" s="5">
        <v>0</v>
      </c>
      <c r="I279" s="5">
        <v>0</v>
      </c>
      <c r="J279" s="5">
        <v>180</v>
      </c>
      <c r="K279" s="5">
        <v>180</v>
      </c>
      <c r="L279" t="s">
        <v>654</v>
      </c>
      <c r="M279" s="13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5">
        <v>30.49</v>
      </c>
      <c r="F280" s="5">
        <v>30.49</v>
      </c>
      <c r="G280" s="5">
        <v>40</v>
      </c>
      <c r="H280" s="5">
        <v>0</v>
      </c>
      <c r="I280" s="5">
        <v>0</v>
      </c>
      <c r="J280" s="5">
        <v>40</v>
      </c>
      <c r="K280" s="5">
        <v>9.51</v>
      </c>
      <c r="L280" t="s">
        <v>654</v>
      </c>
      <c r="M280" s="13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5">
        <v>2.5</v>
      </c>
      <c r="F281" s="5">
        <v>5625</v>
      </c>
      <c r="G281" s="5">
        <v>2.99</v>
      </c>
      <c r="H281" s="5">
        <v>1.19</v>
      </c>
      <c r="I281" s="5">
        <v>10.119999999999999</v>
      </c>
      <c r="J281" s="5">
        <v>6733.93</v>
      </c>
      <c r="K281" s="5">
        <v>1108.93</v>
      </c>
      <c r="L281" t="s">
        <v>668</v>
      </c>
      <c r="M281" s="13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5">
        <v>403.22</v>
      </c>
      <c r="F282" s="5">
        <v>153628.20000000001</v>
      </c>
      <c r="G282" s="5">
        <v>592.41999999999996</v>
      </c>
      <c r="H282" s="5">
        <v>1228.82</v>
      </c>
      <c r="I282" s="5">
        <v>60</v>
      </c>
      <c r="J282" s="5">
        <v>225711.18</v>
      </c>
      <c r="K282" s="5">
        <v>72082.98</v>
      </c>
      <c r="L282" t="s">
        <v>668</v>
      </c>
      <c r="M282" s="13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5">
        <v>7.59</v>
      </c>
      <c r="F283" s="5">
        <v>2414.91</v>
      </c>
      <c r="G283" s="5">
        <v>17.13</v>
      </c>
      <c r="H283" s="5">
        <v>30</v>
      </c>
      <c r="I283" s="5">
        <v>0</v>
      </c>
      <c r="J283" s="5">
        <v>5446</v>
      </c>
      <c r="K283" s="5">
        <v>3031.09</v>
      </c>
      <c r="L283" t="s">
        <v>668</v>
      </c>
      <c r="M283" s="13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5">
        <v>453.89</v>
      </c>
      <c r="F284" s="5">
        <v>107572.62</v>
      </c>
      <c r="G284" s="5">
        <v>639.72</v>
      </c>
      <c r="H284" s="5">
        <v>1030.54</v>
      </c>
      <c r="I284" s="5">
        <v>0</v>
      </c>
      <c r="J284" s="5">
        <v>151614.46</v>
      </c>
      <c r="K284" s="5">
        <v>44041.84</v>
      </c>
      <c r="L284" t="s">
        <v>668</v>
      </c>
      <c r="M284" s="13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5">
        <v>3.05</v>
      </c>
      <c r="F285" s="5">
        <v>597.79999999999995</v>
      </c>
      <c r="G285" s="5">
        <v>4.04</v>
      </c>
      <c r="H285" s="5">
        <v>5.03</v>
      </c>
      <c r="I285" s="5">
        <v>0</v>
      </c>
      <c r="J285" s="5">
        <v>791.97</v>
      </c>
      <c r="K285" s="5">
        <v>194.17</v>
      </c>
      <c r="L285" t="s">
        <v>668</v>
      </c>
      <c r="M285" s="13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5">
        <v>0.65</v>
      </c>
      <c r="F286" s="5">
        <v>97.5</v>
      </c>
      <c r="G286" s="5">
        <v>0.93</v>
      </c>
      <c r="H286" s="5">
        <v>0</v>
      </c>
      <c r="I286" s="5">
        <v>0</v>
      </c>
      <c r="J286" s="5">
        <v>140</v>
      </c>
      <c r="K286" s="5">
        <v>42.5</v>
      </c>
      <c r="L286" t="s">
        <v>668</v>
      </c>
      <c r="M286" s="13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5">
        <v>0.65</v>
      </c>
      <c r="F287" s="5">
        <v>97.5</v>
      </c>
      <c r="G287" s="5">
        <v>0.93</v>
      </c>
      <c r="H287" s="5">
        <v>0</v>
      </c>
      <c r="I287" s="5">
        <v>0</v>
      </c>
      <c r="J287" s="5">
        <v>140</v>
      </c>
      <c r="K287" s="5">
        <v>42.5</v>
      </c>
      <c r="L287" t="s">
        <v>668</v>
      </c>
      <c r="M287" s="13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5">
        <v>483.8</v>
      </c>
      <c r="F288" s="5">
        <v>67732</v>
      </c>
      <c r="G288" s="5">
        <v>730.69</v>
      </c>
      <c r="H288" s="5">
        <v>652.96</v>
      </c>
      <c r="I288" s="5">
        <v>0</v>
      </c>
      <c r="J288" s="5">
        <v>102297.04</v>
      </c>
      <c r="K288" s="5">
        <v>34565.040000000001</v>
      </c>
      <c r="L288" t="s">
        <v>668</v>
      </c>
      <c r="M288" s="13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5">
        <v>504.54</v>
      </c>
      <c r="F289" s="5">
        <v>66095</v>
      </c>
      <c r="G289" s="5">
        <v>775.24</v>
      </c>
      <c r="H289" s="5">
        <v>568.17999999999995</v>
      </c>
      <c r="I289" s="5">
        <v>0</v>
      </c>
      <c r="J289" s="5">
        <v>101556.82</v>
      </c>
      <c r="K289" s="5">
        <v>35461.82</v>
      </c>
      <c r="L289" t="s">
        <v>668</v>
      </c>
      <c r="M289" s="13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5">
        <v>561.79999999999995</v>
      </c>
      <c r="F290" s="5">
        <v>70225</v>
      </c>
      <c r="G290" s="5">
        <v>817.23</v>
      </c>
      <c r="H290" s="5">
        <v>538.94000000000005</v>
      </c>
      <c r="I290" s="5">
        <v>30</v>
      </c>
      <c r="J290" s="5">
        <v>102154.06</v>
      </c>
      <c r="K290" s="5">
        <v>31929.06</v>
      </c>
      <c r="L290" t="s">
        <v>668</v>
      </c>
      <c r="M290" s="13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5">
        <v>25</v>
      </c>
      <c r="F291" s="5">
        <v>3050</v>
      </c>
      <c r="G291" s="5">
        <v>29.89</v>
      </c>
      <c r="H291" s="5">
        <v>0.24</v>
      </c>
      <c r="I291" s="5">
        <v>2.02</v>
      </c>
      <c r="J291" s="5">
        <v>3646.79</v>
      </c>
      <c r="K291" s="5">
        <v>596.79</v>
      </c>
      <c r="L291" t="s">
        <v>668</v>
      </c>
      <c r="M291" s="13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5">
        <v>683.31</v>
      </c>
      <c r="F292" s="5">
        <v>36899</v>
      </c>
      <c r="G292" s="5">
        <v>1175.0999999999999</v>
      </c>
      <c r="H292" s="5">
        <v>815.32</v>
      </c>
      <c r="I292" s="5">
        <v>25.57</v>
      </c>
      <c r="J292" s="5">
        <v>63455.25</v>
      </c>
      <c r="K292" s="5">
        <v>26556.25</v>
      </c>
      <c r="L292" t="s">
        <v>668</v>
      </c>
      <c r="M292" s="13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5">
        <v>40</v>
      </c>
      <c r="F293" s="5">
        <v>2040</v>
      </c>
      <c r="G293" s="5">
        <v>59.9</v>
      </c>
      <c r="H293" s="5">
        <v>0</v>
      </c>
      <c r="I293" s="5">
        <v>0</v>
      </c>
      <c r="J293" s="5">
        <v>3055</v>
      </c>
      <c r="K293" s="5">
        <v>1015</v>
      </c>
      <c r="L293" t="s">
        <v>668</v>
      </c>
      <c r="M293" s="13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5">
        <v>61.37</v>
      </c>
      <c r="F294" s="5">
        <v>2945.76</v>
      </c>
      <c r="G294" s="5">
        <v>54.38</v>
      </c>
      <c r="H294" s="5">
        <v>0</v>
      </c>
      <c r="I294" s="5">
        <v>0</v>
      </c>
      <c r="J294" s="5">
        <v>2610</v>
      </c>
      <c r="K294" s="5">
        <v>-335.76</v>
      </c>
      <c r="L294" t="s">
        <v>668</v>
      </c>
      <c r="M294" s="13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5">
        <v>12.19</v>
      </c>
      <c r="F295" s="5">
        <v>548.54999999999995</v>
      </c>
      <c r="G295" s="5">
        <v>15.2</v>
      </c>
      <c r="H295" s="5">
        <v>0</v>
      </c>
      <c r="I295" s="5">
        <v>0</v>
      </c>
      <c r="J295" s="5">
        <v>684</v>
      </c>
      <c r="K295" s="5">
        <v>135.44999999999999</v>
      </c>
      <c r="L295" t="s">
        <v>668</v>
      </c>
      <c r="M295" s="13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5">
        <v>706.98</v>
      </c>
      <c r="F296" s="5">
        <v>31107</v>
      </c>
      <c r="G296" s="5">
        <v>1253.55</v>
      </c>
      <c r="H296" s="5">
        <v>248.79</v>
      </c>
      <c r="I296" s="5">
        <v>0</v>
      </c>
      <c r="J296" s="5">
        <v>55156.21</v>
      </c>
      <c r="K296" s="5">
        <v>24049.21</v>
      </c>
      <c r="L296" t="s">
        <v>668</v>
      </c>
      <c r="M296" s="13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5">
        <v>42</v>
      </c>
      <c r="F297" s="5">
        <v>1680</v>
      </c>
      <c r="G297" s="5">
        <v>55.1</v>
      </c>
      <c r="H297" s="5">
        <v>0.78</v>
      </c>
      <c r="I297" s="5">
        <v>4.8600000000000003</v>
      </c>
      <c r="J297" s="5">
        <v>2204.0700000000002</v>
      </c>
      <c r="K297" s="5">
        <v>524.07000000000005</v>
      </c>
      <c r="L297" t="s">
        <v>668</v>
      </c>
      <c r="M297" s="13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5">
        <v>56.21</v>
      </c>
      <c r="F298" s="5">
        <v>2079.73</v>
      </c>
      <c r="G298" s="5">
        <v>185.77</v>
      </c>
      <c r="H298" s="5">
        <v>60.98</v>
      </c>
      <c r="I298" s="5">
        <v>39.43</v>
      </c>
      <c r="J298" s="5">
        <v>6873.44</v>
      </c>
      <c r="K298" s="5">
        <v>4793.71</v>
      </c>
      <c r="L298" t="s">
        <v>668</v>
      </c>
      <c r="M298" s="13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5">
        <v>33</v>
      </c>
      <c r="F299" s="5">
        <v>924</v>
      </c>
      <c r="G299" s="5">
        <v>147.72</v>
      </c>
      <c r="H299" s="5">
        <v>33.9</v>
      </c>
      <c r="I299" s="5">
        <v>0</v>
      </c>
      <c r="J299" s="5">
        <v>4136.1000000000004</v>
      </c>
      <c r="K299" s="5">
        <v>3212.1</v>
      </c>
      <c r="L299" t="s">
        <v>668</v>
      </c>
      <c r="M299" s="13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5">
        <v>13.69</v>
      </c>
      <c r="F300" s="5">
        <v>355.94</v>
      </c>
      <c r="G300" s="5">
        <v>104.04</v>
      </c>
      <c r="H300" s="5">
        <v>0</v>
      </c>
      <c r="I300" s="5">
        <v>0</v>
      </c>
      <c r="J300" s="5">
        <v>2705</v>
      </c>
      <c r="K300" s="5">
        <v>2349.06</v>
      </c>
      <c r="L300" t="s">
        <v>668</v>
      </c>
      <c r="M300" s="13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5">
        <v>0</v>
      </c>
      <c r="F301" s="5">
        <v>0</v>
      </c>
      <c r="G301" s="5">
        <v>15</v>
      </c>
      <c r="H301" s="5">
        <v>0</v>
      </c>
      <c r="I301" s="5">
        <v>0</v>
      </c>
      <c r="J301" s="5">
        <v>300</v>
      </c>
      <c r="K301" s="5">
        <v>300</v>
      </c>
      <c r="L301" t="s">
        <v>668</v>
      </c>
      <c r="M301" s="13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5">
        <v>293.13</v>
      </c>
      <c r="F302" s="5">
        <v>4690.08</v>
      </c>
      <c r="G302" s="5">
        <v>481.81</v>
      </c>
      <c r="H302" s="5">
        <v>0</v>
      </c>
      <c r="I302" s="5">
        <v>0</v>
      </c>
      <c r="J302" s="5">
        <v>7709</v>
      </c>
      <c r="K302" s="5">
        <v>3018.92</v>
      </c>
      <c r="L302" t="s">
        <v>668</v>
      </c>
      <c r="M302" s="13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5">
        <v>278.73</v>
      </c>
      <c r="F303" s="5">
        <v>4459.68</v>
      </c>
      <c r="G303" s="5">
        <v>547.80999999999995</v>
      </c>
      <c r="H303" s="5">
        <v>100</v>
      </c>
      <c r="I303" s="5">
        <v>15</v>
      </c>
      <c r="J303" s="5">
        <v>8765</v>
      </c>
      <c r="K303" s="5">
        <v>4305.32</v>
      </c>
      <c r="L303" t="s">
        <v>668</v>
      </c>
      <c r="M303" s="13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5">
        <v>41</v>
      </c>
      <c r="F304" s="5">
        <v>574</v>
      </c>
      <c r="G304" s="5">
        <v>55</v>
      </c>
      <c r="H304" s="5">
        <v>0</v>
      </c>
      <c r="I304" s="5">
        <v>0</v>
      </c>
      <c r="J304" s="5">
        <v>770</v>
      </c>
      <c r="K304" s="5">
        <v>196</v>
      </c>
      <c r="L304" t="s">
        <v>668</v>
      </c>
      <c r="M304" s="13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5">
        <v>484.43</v>
      </c>
      <c r="F305" s="5">
        <v>6781.97</v>
      </c>
      <c r="G305" s="5">
        <v>814.5</v>
      </c>
      <c r="H305" s="5">
        <v>137</v>
      </c>
      <c r="I305" s="5">
        <v>0</v>
      </c>
      <c r="J305" s="5">
        <v>11403</v>
      </c>
      <c r="K305" s="5">
        <v>4621.03</v>
      </c>
      <c r="L305" t="s">
        <v>668</v>
      </c>
      <c r="M305" s="13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5">
        <v>995.23</v>
      </c>
      <c r="F306" s="5">
        <v>12938</v>
      </c>
      <c r="G306" s="5">
        <v>1540.38</v>
      </c>
      <c r="H306" s="5">
        <v>475.11</v>
      </c>
      <c r="I306" s="5">
        <v>0</v>
      </c>
      <c r="J306" s="5">
        <v>20024.89</v>
      </c>
      <c r="K306" s="5">
        <v>7086.89</v>
      </c>
      <c r="L306" t="s">
        <v>668</v>
      </c>
      <c r="M306" s="13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5">
        <v>737.31</v>
      </c>
      <c r="F307" s="5">
        <v>9585</v>
      </c>
      <c r="G307" s="5">
        <v>1500</v>
      </c>
      <c r="H307" s="5">
        <v>0</v>
      </c>
      <c r="I307" s="5">
        <v>0</v>
      </c>
      <c r="J307" s="5">
        <v>19500</v>
      </c>
      <c r="K307" s="5">
        <v>9915</v>
      </c>
      <c r="L307" t="s">
        <v>668</v>
      </c>
      <c r="M307" s="13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5">
        <v>0</v>
      </c>
      <c r="F308" s="5">
        <v>0</v>
      </c>
      <c r="G308" s="5">
        <v>400</v>
      </c>
      <c r="H308" s="5">
        <v>0</v>
      </c>
      <c r="I308" s="5">
        <v>0</v>
      </c>
      <c r="J308" s="5">
        <v>5200</v>
      </c>
      <c r="K308" s="5">
        <v>5200</v>
      </c>
      <c r="L308" t="s">
        <v>668</v>
      </c>
      <c r="M308" s="13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5">
        <v>33.56</v>
      </c>
      <c r="F309" s="5">
        <v>402.72</v>
      </c>
      <c r="G309" s="5">
        <v>72.92</v>
      </c>
      <c r="H309" s="5">
        <v>0</v>
      </c>
      <c r="I309" s="5">
        <v>0</v>
      </c>
      <c r="J309" s="5">
        <v>875</v>
      </c>
      <c r="K309" s="5">
        <v>472.28</v>
      </c>
      <c r="L309" t="s">
        <v>668</v>
      </c>
      <c r="M309" s="13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5">
        <v>748.27</v>
      </c>
      <c r="F310" s="5">
        <v>8231</v>
      </c>
      <c r="G310" s="5">
        <v>1545.45</v>
      </c>
      <c r="H310" s="5">
        <v>100</v>
      </c>
      <c r="I310" s="5">
        <v>0</v>
      </c>
      <c r="J310" s="5">
        <v>17000</v>
      </c>
      <c r="K310" s="5">
        <v>8769</v>
      </c>
      <c r="L310" t="s">
        <v>668</v>
      </c>
      <c r="M310" s="13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t="s">
        <v>668</v>
      </c>
      <c r="M311" s="13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5">
        <v>715.6</v>
      </c>
      <c r="F312" s="5">
        <v>7156</v>
      </c>
      <c r="G312" s="5">
        <v>1387.35</v>
      </c>
      <c r="H312" s="5">
        <v>151.46</v>
      </c>
      <c r="I312" s="5">
        <v>0</v>
      </c>
      <c r="J312" s="5">
        <v>13873.54</v>
      </c>
      <c r="K312" s="5">
        <v>6717.54</v>
      </c>
      <c r="L312" t="s">
        <v>668</v>
      </c>
      <c r="M312" s="13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5">
        <v>0</v>
      </c>
      <c r="F313" s="5">
        <v>0</v>
      </c>
      <c r="G313" s="5">
        <v>20</v>
      </c>
      <c r="H313" s="5">
        <v>0</v>
      </c>
      <c r="I313" s="5">
        <v>0</v>
      </c>
      <c r="J313" s="5">
        <v>200</v>
      </c>
      <c r="K313" s="5">
        <v>200</v>
      </c>
      <c r="L313" t="s">
        <v>668</v>
      </c>
      <c r="M313" s="13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5">
        <v>0</v>
      </c>
      <c r="F314" s="5">
        <v>0</v>
      </c>
      <c r="G314" s="5">
        <v>25</v>
      </c>
      <c r="H314" s="5">
        <v>0</v>
      </c>
      <c r="I314" s="5">
        <v>0</v>
      </c>
      <c r="J314" s="5">
        <v>250</v>
      </c>
      <c r="K314" s="5">
        <v>250</v>
      </c>
      <c r="L314" t="s">
        <v>668</v>
      </c>
      <c r="M314" s="13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5">
        <v>14.44</v>
      </c>
      <c r="F315" s="5">
        <v>144.4</v>
      </c>
      <c r="G315" s="5">
        <v>11.5</v>
      </c>
      <c r="H315" s="5">
        <v>0</v>
      </c>
      <c r="I315" s="5">
        <v>0</v>
      </c>
      <c r="J315" s="5">
        <v>115</v>
      </c>
      <c r="K315" s="5">
        <v>-29.4</v>
      </c>
      <c r="L315" t="s">
        <v>668</v>
      </c>
      <c r="M315" s="13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5">
        <v>90</v>
      </c>
      <c r="F316" s="5">
        <v>810</v>
      </c>
      <c r="G316" s="5">
        <v>186.67</v>
      </c>
      <c r="H316" s="5">
        <v>0</v>
      </c>
      <c r="I316" s="5">
        <v>0</v>
      </c>
      <c r="J316" s="5">
        <v>1680</v>
      </c>
      <c r="K316" s="5">
        <v>870</v>
      </c>
      <c r="L316" t="s">
        <v>668</v>
      </c>
      <c r="M316" s="13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5">
        <v>946.33</v>
      </c>
      <c r="F317" s="5">
        <v>8517</v>
      </c>
      <c r="G317" s="5">
        <v>1322.31</v>
      </c>
      <c r="H317" s="5">
        <v>149.22999999999999</v>
      </c>
      <c r="I317" s="5">
        <v>0</v>
      </c>
      <c r="J317" s="5">
        <v>11900.77</v>
      </c>
      <c r="K317" s="5">
        <v>3383.77</v>
      </c>
      <c r="L317" t="s">
        <v>668</v>
      </c>
      <c r="M317" s="13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5">
        <v>49.21</v>
      </c>
      <c r="F318" s="5">
        <v>442.89</v>
      </c>
      <c r="G318" s="5">
        <v>79.97</v>
      </c>
      <c r="H318" s="5">
        <v>0.31</v>
      </c>
      <c r="I318" s="5">
        <v>0</v>
      </c>
      <c r="J318" s="5">
        <v>719.69</v>
      </c>
      <c r="K318" s="5">
        <v>276.8</v>
      </c>
      <c r="L318" t="s">
        <v>668</v>
      </c>
      <c r="M318" s="13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5">
        <v>429.73</v>
      </c>
      <c r="F319" s="5">
        <v>3437.8</v>
      </c>
      <c r="G319" s="5">
        <v>668.14</v>
      </c>
      <c r="H319" s="5">
        <v>4.8899999999999997</v>
      </c>
      <c r="I319" s="5">
        <v>0</v>
      </c>
      <c r="J319" s="5">
        <v>5345.11</v>
      </c>
      <c r="K319" s="5">
        <v>1907.31</v>
      </c>
      <c r="L319" t="s">
        <v>668</v>
      </c>
      <c r="M319" s="13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5">
        <v>0</v>
      </c>
      <c r="F320" s="5">
        <v>0</v>
      </c>
      <c r="G320" s="5">
        <v>430</v>
      </c>
      <c r="H320" s="5">
        <v>0</v>
      </c>
      <c r="I320" s="5">
        <v>0</v>
      </c>
      <c r="J320" s="5">
        <v>2150</v>
      </c>
      <c r="K320" s="5">
        <v>2150</v>
      </c>
      <c r="L320" t="s">
        <v>668</v>
      </c>
      <c r="M320" s="13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5">
        <v>3</v>
      </c>
      <c r="F321" s="5">
        <v>15</v>
      </c>
      <c r="G321" s="5">
        <v>48</v>
      </c>
      <c r="H321" s="5">
        <v>0</v>
      </c>
      <c r="I321" s="5">
        <v>0</v>
      </c>
      <c r="J321" s="5">
        <v>240</v>
      </c>
      <c r="K321" s="5">
        <v>225</v>
      </c>
      <c r="L321" t="s">
        <v>668</v>
      </c>
      <c r="M321" s="13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5">
        <v>3.26</v>
      </c>
      <c r="F322" s="5">
        <v>13.04</v>
      </c>
      <c r="G322" s="5">
        <v>5.76</v>
      </c>
      <c r="H322" s="5">
        <v>0</v>
      </c>
      <c r="I322" s="5">
        <v>0</v>
      </c>
      <c r="J322" s="5">
        <v>23.04</v>
      </c>
      <c r="K322" s="5">
        <v>10</v>
      </c>
      <c r="L322" t="s">
        <v>668</v>
      </c>
      <c r="M322" s="13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5">
        <v>0</v>
      </c>
      <c r="F323" s="5">
        <v>0</v>
      </c>
      <c r="G323" s="5">
        <v>90</v>
      </c>
      <c r="H323" s="5">
        <v>0</v>
      </c>
      <c r="I323" s="5">
        <v>0</v>
      </c>
      <c r="J323" s="5">
        <v>270</v>
      </c>
      <c r="K323" s="5">
        <v>270</v>
      </c>
      <c r="L323" t="s">
        <v>668</v>
      </c>
      <c r="M323" s="13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5">
        <v>0</v>
      </c>
      <c r="F324" s="5">
        <v>0</v>
      </c>
      <c r="G324" s="5">
        <v>50</v>
      </c>
      <c r="H324" s="5">
        <v>0</v>
      </c>
      <c r="I324" s="5">
        <v>0</v>
      </c>
      <c r="J324" s="5">
        <v>100</v>
      </c>
      <c r="K324" s="5">
        <v>100</v>
      </c>
      <c r="L324" t="s">
        <v>668</v>
      </c>
      <c r="M324" s="13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5">
        <v>409.87</v>
      </c>
      <c r="F325" s="5">
        <v>819.74</v>
      </c>
      <c r="G325" s="5">
        <v>547.89</v>
      </c>
      <c r="H325" s="5">
        <v>4.21</v>
      </c>
      <c r="I325" s="5">
        <v>0</v>
      </c>
      <c r="J325" s="5">
        <v>1095.79</v>
      </c>
      <c r="K325" s="5">
        <v>276.05</v>
      </c>
      <c r="L325" t="s">
        <v>668</v>
      </c>
      <c r="M325" s="13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5">
        <v>0</v>
      </c>
      <c r="F326" s="5">
        <v>0</v>
      </c>
      <c r="G326" s="5">
        <v>40</v>
      </c>
      <c r="H326" s="5">
        <v>0</v>
      </c>
      <c r="I326" s="5">
        <v>0</v>
      </c>
      <c r="J326" s="5">
        <v>80</v>
      </c>
      <c r="K326" s="5">
        <v>80</v>
      </c>
      <c r="L326" t="s">
        <v>668</v>
      </c>
      <c r="M326" s="13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5">
        <v>0</v>
      </c>
      <c r="F327" s="5">
        <v>0</v>
      </c>
      <c r="G327" s="5">
        <v>180</v>
      </c>
      <c r="H327" s="5">
        <v>0</v>
      </c>
      <c r="I327" s="5">
        <v>0</v>
      </c>
      <c r="J327" s="5">
        <v>360</v>
      </c>
      <c r="K327" s="5">
        <v>360</v>
      </c>
      <c r="L327" t="s">
        <v>668</v>
      </c>
      <c r="M327" s="13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5">
        <v>9.3800000000000008</v>
      </c>
      <c r="F328" s="5">
        <v>9.3800000000000008</v>
      </c>
      <c r="G328" s="5">
        <v>0</v>
      </c>
      <c r="H328" s="5">
        <v>0</v>
      </c>
      <c r="I328" s="5">
        <v>0</v>
      </c>
      <c r="J328" s="5">
        <v>0</v>
      </c>
      <c r="K328" s="5">
        <v>-9.3800000000000008</v>
      </c>
      <c r="L328" t="s">
        <v>668</v>
      </c>
      <c r="M328" s="13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5">
        <v>30.49</v>
      </c>
      <c r="F329" s="5">
        <v>30.49</v>
      </c>
      <c r="G329" s="5">
        <v>40</v>
      </c>
      <c r="H329" s="5">
        <v>0</v>
      </c>
      <c r="I329" s="5">
        <v>0</v>
      </c>
      <c r="J329" s="5">
        <v>40</v>
      </c>
      <c r="K329" s="5">
        <v>9.51</v>
      </c>
      <c r="L329" t="s">
        <v>668</v>
      </c>
      <c r="M329" s="13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5">
        <v>0</v>
      </c>
      <c r="F330" s="5">
        <v>0</v>
      </c>
      <c r="G330" s="5">
        <v>80</v>
      </c>
      <c r="H330" s="5">
        <v>0</v>
      </c>
      <c r="I330" s="5">
        <v>0</v>
      </c>
      <c r="J330" s="5">
        <v>80</v>
      </c>
      <c r="K330" s="5">
        <v>80</v>
      </c>
      <c r="L330" t="s">
        <v>668</v>
      </c>
      <c r="M330" s="13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5">
        <v>35</v>
      </c>
      <c r="F331" s="5">
        <v>35</v>
      </c>
      <c r="G331" s="5">
        <v>44.89</v>
      </c>
      <c r="H331" s="5">
        <v>0.11</v>
      </c>
      <c r="I331" s="5">
        <v>0</v>
      </c>
      <c r="J331" s="5">
        <v>44.89</v>
      </c>
      <c r="K331" s="5">
        <v>9.89</v>
      </c>
      <c r="L331" t="s">
        <v>668</v>
      </c>
      <c r="M331" s="13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5">
        <v>0</v>
      </c>
      <c r="F332" s="5">
        <v>0</v>
      </c>
      <c r="G332" s="5">
        <v>150</v>
      </c>
      <c r="H332" s="5">
        <v>0</v>
      </c>
      <c r="I332" s="5">
        <v>0</v>
      </c>
      <c r="J332" s="5">
        <v>150</v>
      </c>
      <c r="K332" s="5">
        <v>150</v>
      </c>
      <c r="L332" t="s">
        <v>668</v>
      </c>
      <c r="M332" s="13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5">
        <v>0</v>
      </c>
      <c r="F333" s="5">
        <v>0</v>
      </c>
      <c r="G333" s="5">
        <v>250</v>
      </c>
      <c r="H333" s="5">
        <v>0</v>
      </c>
      <c r="I333" s="5">
        <v>0</v>
      </c>
      <c r="J333" s="5">
        <v>250</v>
      </c>
      <c r="K333" s="5">
        <v>250</v>
      </c>
      <c r="L333" t="s">
        <v>668</v>
      </c>
      <c r="M333" s="13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5">
        <v>20</v>
      </c>
      <c r="F334" s="5">
        <v>20</v>
      </c>
      <c r="G334" s="5">
        <v>70</v>
      </c>
      <c r="H334" s="5">
        <v>0</v>
      </c>
      <c r="I334" s="5">
        <v>0</v>
      </c>
      <c r="J334" s="5">
        <v>70</v>
      </c>
      <c r="K334" s="5">
        <v>50</v>
      </c>
      <c r="L334" t="s">
        <v>668</v>
      </c>
      <c r="M334" s="13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t="s">
        <v>668</v>
      </c>
      <c r="M335" s="13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5">
        <v>54.43</v>
      </c>
      <c r="F336" s="5">
        <v>54.43</v>
      </c>
      <c r="G336" s="5">
        <v>60</v>
      </c>
      <c r="H336" s="5">
        <v>0</v>
      </c>
      <c r="I336" s="5">
        <v>0</v>
      </c>
      <c r="J336" s="5">
        <v>60</v>
      </c>
      <c r="K336" s="5">
        <v>5.57</v>
      </c>
      <c r="L336" t="s">
        <v>668</v>
      </c>
      <c r="M336" s="13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5">
        <v>2.5</v>
      </c>
      <c r="F337" s="5">
        <v>5625</v>
      </c>
      <c r="G337" s="5">
        <v>3</v>
      </c>
      <c r="H337" s="5">
        <v>1.76</v>
      </c>
      <c r="I337" s="5">
        <v>15</v>
      </c>
      <c r="J337" s="5">
        <v>6743.24</v>
      </c>
      <c r="K337" s="5">
        <v>1118.24</v>
      </c>
      <c r="L337" t="s">
        <v>684</v>
      </c>
      <c r="M337" s="13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5">
        <v>382.3</v>
      </c>
      <c r="F338" s="5">
        <v>157507.6</v>
      </c>
      <c r="G338" s="5">
        <v>596.41999999999996</v>
      </c>
      <c r="H338" s="5">
        <v>2659.01</v>
      </c>
      <c r="I338" s="5">
        <v>59.22</v>
      </c>
      <c r="J338" s="5">
        <v>245724.21</v>
      </c>
      <c r="K338" s="5">
        <v>88216.61</v>
      </c>
      <c r="L338" t="s">
        <v>684</v>
      </c>
      <c r="M338" s="13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5">
        <v>7.21</v>
      </c>
      <c r="F339" s="5">
        <v>2364.88</v>
      </c>
      <c r="G339" s="5">
        <v>21.97</v>
      </c>
      <c r="H339" s="5">
        <v>167.97</v>
      </c>
      <c r="I339" s="5">
        <v>0</v>
      </c>
      <c r="J339" s="5">
        <v>7207.03</v>
      </c>
      <c r="K339" s="5">
        <v>4842.1499999999996</v>
      </c>
      <c r="L339" t="s">
        <v>684</v>
      </c>
      <c r="M339" s="13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5">
        <v>432.79</v>
      </c>
      <c r="F340" s="5">
        <v>140656.75</v>
      </c>
      <c r="G340" s="5">
        <v>631.59</v>
      </c>
      <c r="H340" s="5">
        <v>1975.96</v>
      </c>
      <c r="I340" s="5">
        <v>21.19</v>
      </c>
      <c r="J340" s="5">
        <v>205266.23</v>
      </c>
      <c r="K340" s="5">
        <v>64609.48</v>
      </c>
      <c r="L340" t="s">
        <v>684</v>
      </c>
      <c r="M340" s="13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0</v>
      </c>
      <c r="K341" s="5">
        <v>0</v>
      </c>
      <c r="L341" t="s">
        <v>684</v>
      </c>
      <c r="M341" s="13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5">
        <v>455</v>
      </c>
      <c r="F342" s="5">
        <v>64610</v>
      </c>
      <c r="G342" s="5">
        <v>725.49</v>
      </c>
      <c r="H342" s="5">
        <v>1104.3599999999999</v>
      </c>
      <c r="I342" s="5">
        <v>0</v>
      </c>
      <c r="J342" s="5">
        <v>103019.64</v>
      </c>
      <c r="K342" s="5">
        <v>38409.64</v>
      </c>
      <c r="L342" t="s">
        <v>684</v>
      </c>
      <c r="M342" s="13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5">
        <v>55</v>
      </c>
      <c r="F343" s="5">
        <v>6710</v>
      </c>
      <c r="G343" s="5">
        <v>157.85</v>
      </c>
      <c r="H343" s="5">
        <v>67.78</v>
      </c>
      <c r="I343" s="5">
        <v>0</v>
      </c>
      <c r="J343" s="5">
        <v>19257.22</v>
      </c>
      <c r="K343" s="5">
        <v>12547.22</v>
      </c>
      <c r="L343" t="s">
        <v>684</v>
      </c>
      <c r="M343" s="13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5">
        <v>534</v>
      </c>
      <c r="F344" s="5">
        <v>55002</v>
      </c>
      <c r="G344" s="5">
        <v>819.51</v>
      </c>
      <c r="H344" s="5">
        <v>903.97</v>
      </c>
      <c r="I344" s="5">
        <v>0</v>
      </c>
      <c r="J344" s="5">
        <v>84409.03</v>
      </c>
      <c r="K344" s="5">
        <v>29407.03</v>
      </c>
      <c r="L344" t="s">
        <v>684</v>
      </c>
      <c r="M344" s="13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5">
        <v>25</v>
      </c>
      <c r="F345" s="5">
        <v>1975</v>
      </c>
      <c r="G345" s="5">
        <v>29.92</v>
      </c>
      <c r="H345" s="5">
        <v>1.45</v>
      </c>
      <c r="I345" s="5">
        <v>0</v>
      </c>
      <c r="J345" s="5">
        <v>2363.5500000000002</v>
      </c>
      <c r="K345" s="5">
        <v>388.55</v>
      </c>
      <c r="L345" t="s">
        <v>684</v>
      </c>
      <c r="M345" s="13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5">
        <v>0.65</v>
      </c>
      <c r="F346" s="5">
        <v>48.75</v>
      </c>
      <c r="G346" s="5">
        <v>0.99</v>
      </c>
      <c r="H346" s="5">
        <v>0.53</v>
      </c>
      <c r="I346" s="5">
        <v>0</v>
      </c>
      <c r="J346" s="5">
        <v>74.47</v>
      </c>
      <c r="K346" s="5">
        <v>25.72</v>
      </c>
      <c r="L346" t="s">
        <v>684</v>
      </c>
      <c r="M346" s="13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5">
        <v>0.65</v>
      </c>
      <c r="F347" s="5">
        <v>48.75</v>
      </c>
      <c r="G347" s="5">
        <v>0.99</v>
      </c>
      <c r="H347" s="5">
        <v>0.53</v>
      </c>
      <c r="I347" s="5">
        <v>0</v>
      </c>
      <c r="J347" s="5">
        <v>74.47</v>
      </c>
      <c r="K347" s="5">
        <v>25.72</v>
      </c>
      <c r="L347" t="s">
        <v>684</v>
      </c>
      <c r="M347" s="13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5">
        <v>12.19</v>
      </c>
      <c r="F348" s="5">
        <v>816.73</v>
      </c>
      <c r="G348" s="5">
        <v>15.09</v>
      </c>
      <c r="H348" s="5">
        <v>4.54</v>
      </c>
      <c r="I348" s="5">
        <v>0</v>
      </c>
      <c r="J348" s="5">
        <v>1010.96</v>
      </c>
      <c r="K348" s="5">
        <v>194.23</v>
      </c>
      <c r="L348" t="s">
        <v>684</v>
      </c>
      <c r="M348" s="13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5">
        <v>477</v>
      </c>
      <c r="F349" s="5">
        <v>31005</v>
      </c>
      <c r="G349" s="5">
        <v>775.9</v>
      </c>
      <c r="H349" s="5">
        <v>704.4</v>
      </c>
      <c r="I349" s="5">
        <v>0</v>
      </c>
      <c r="J349" s="5">
        <v>50433.599999999999</v>
      </c>
      <c r="K349" s="5">
        <v>19428.599999999999</v>
      </c>
      <c r="L349" t="s">
        <v>684</v>
      </c>
      <c r="M349" s="13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5">
        <v>3.05</v>
      </c>
      <c r="F350" s="5">
        <v>183</v>
      </c>
      <c r="G350" s="5">
        <v>3.71</v>
      </c>
      <c r="H350" s="5">
        <v>0.63</v>
      </c>
      <c r="I350" s="5">
        <v>0</v>
      </c>
      <c r="J350" s="5">
        <v>222.37</v>
      </c>
      <c r="K350" s="5">
        <v>39.369999999999997</v>
      </c>
      <c r="L350" t="s">
        <v>684</v>
      </c>
      <c r="M350" s="13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5">
        <v>649</v>
      </c>
      <c r="F351" s="5">
        <v>26609</v>
      </c>
      <c r="G351" s="5">
        <v>1191.1199999999999</v>
      </c>
      <c r="H351" s="5">
        <v>64.12</v>
      </c>
      <c r="I351" s="5">
        <v>0</v>
      </c>
      <c r="J351" s="5">
        <v>48835.88</v>
      </c>
      <c r="K351" s="5">
        <v>22226.880000000001</v>
      </c>
      <c r="L351" t="s">
        <v>684</v>
      </c>
      <c r="M351" s="13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5">
        <v>491</v>
      </c>
      <c r="F352" s="5">
        <v>20131</v>
      </c>
      <c r="G352" s="5">
        <v>666.1</v>
      </c>
      <c r="H352" s="5">
        <v>0</v>
      </c>
      <c r="I352" s="5">
        <v>0</v>
      </c>
      <c r="J352" s="5">
        <v>27310</v>
      </c>
      <c r="K352" s="5">
        <v>7179</v>
      </c>
      <c r="L352" t="s">
        <v>684</v>
      </c>
      <c r="M352" s="13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5">
        <v>664</v>
      </c>
      <c r="F353" s="5">
        <v>26560</v>
      </c>
      <c r="G353" s="5">
        <v>1278.8599999999999</v>
      </c>
      <c r="H353" s="5">
        <v>125.78</v>
      </c>
      <c r="I353" s="5">
        <v>0</v>
      </c>
      <c r="J353" s="5">
        <v>51154.22</v>
      </c>
      <c r="K353" s="5">
        <v>24594.22</v>
      </c>
      <c r="L353" t="s">
        <v>684</v>
      </c>
      <c r="M353" s="13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5">
        <v>90</v>
      </c>
      <c r="F354" s="5">
        <v>3420</v>
      </c>
      <c r="G354" s="5">
        <v>150</v>
      </c>
      <c r="H354" s="5">
        <v>0</v>
      </c>
      <c r="I354" s="5">
        <v>0</v>
      </c>
      <c r="J354" s="5">
        <v>5700</v>
      </c>
      <c r="K354" s="5">
        <v>2280</v>
      </c>
      <c r="L354" t="s">
        <v>684</v>
      </c>
      <c r="M354" s="13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5">
        <v>61.37</v>
      </c>
      <c r="F355" s="5">
        <v>1779.73</v>
      </c>
      <c r="G355" s="5">
        <v>88.62</v>
      </c>
      <c r="H355" s="5">
        <v>23</v>
      </c>
      <c r="I355" s="5">
        <v>23</v>
      </c>
      <c r="J355" s="5">
        <v>2570</v>
      </c>
      <c r="K355" s="5">
        <v>790.27</v>
      </c>
      <c r="L355" t="s">
        <v>684</v>
      </c>
      <c r="M355" s="13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5">
        <v>909</v>
      </c>
      <c r="F356" s="5">
        <v>23634</v>
      </c>
      <c r="G356" s="5">
        <v>1289.8699999999999</v>
      </c>
      <c r="H356" s="5">
        <v>467.32</v>
      </c>
      <c r="I356" s="5">
        <v>0</v>
      </c>
      <c r="J356" s="5">
        <v>33536.68</v>
      </c>
      <c r="K356" s="5">
        <v>9902.68</v>
      </c>
      <c r="L356" t="s">
        <v>684</v>
      </c>
      <c r="M356" s="13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5">
        <v>2</v>
      </c>
      <c r="F357" s="5">
        <v>40</v>
      </c>
      <c r="G357" s="5">
        <v>3</v>
      </c>
      <c r="H357" s="5">
        <v>0.03</v>
      </c>
      <c r="I357" s="5">
        <v>0</v>
      </c>
      <c r="J357" s="5">
        <v>59.97</v>
      </c>
      <c r="K357" s="5">
        <v>19.97</v>
      </c>
      <c r="L357" t="s">
        <v>684</v>
      </c>
      <c r="M357" s="13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5">
        <v>42</v>
      </c>
      <c r="F358" s="5">
        <v>714</v>
      </c>
      <c r="G358" s="5">
        <v>54.71</v>
      </c>
      <c r="H358" s="5">
        <v>5</v>
      </c>
      <c r="I358" s="5">
        <v>0</v>
      </c>
      <c r="J358" s="5">
        <v>930</v>
      </c>
      <c r="K358" s="5">
        <v>216</v>
      </c>
      <c r="L358" t="s">
        <v>684</v>
      </c>
      <c r="M358" s="13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5">
        <v>293.13</v>
      </c>
      <c r="F359" s="5">
        <v>4690.08</v>
      </c>
      <c r="G359" s="5">
        <v>429.83</v>
      </c>
      <c r="H359" s="5">
        <v>50</v>
      </c>
      <c r="I359" s="5">
        <v>0</v>
      </c>
      <c r="J359" s="5">
        <v>6877.2</v>
      </c>
      <c r="K359" s="5">
        <v>2187.12</v>
      </c>
      <c r="L359" t="s">
        <v>684</v>
      </c>
      <c r="M359" s="13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5">
        <v>40</v>
      </c>
      <c r="F360" s="5">
        <v>600</v>
      </c>
      <c r="G360" s="5">
        <v>66.17</v>
      </c>
      <c r="H360" s="5">
        <v>2.41</v>
      </c>
      <c r="I360" s="5">
        <v>0</v>
      </c>
      <c r="J360" s="5">
        <v>992.59</v>
      </c>
      <c r="K360" s="5">
        <v>392.59</v>
      </c>
      <c r="L360" t="s">
        <v>684</v>
      </c>
      <c r="M360" s="13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5">
        <v>679</v>
      </c>
      <c r="F361" s="5">
        <v>10185</v>
      </c>
      <c r="G361" s="5">
        <v>1380.96</v>
      </c>
      <c r="H361" s="5">
        <v>35.65</v>
      </c>
      <c r="I361" s="5">
        <v>0</v>
      </c>
      <c r="J361" s="5">
        <v>20714.349999999999</v>
      </c>
      <c r="K361" s="5">
        <v>10529.35</v>
      </c>
      <c r="L361" t="s">
        <v>684</v>
      </c>
      <c r="M361" s="13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t="s">
        <v>684</v>
      </c>
      <c r="M362" s="13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5">
        <v>13.69</v>
      </c>
      <c r="F363" s="5">
        <v>191.66</v>
      </c>
      <c r="G363" s="5">
        <v>100.65</v>
      </c>
      <c r="H363" s="5">
        <v>20.95</v>
      </c>
      <c r="I363" s="5">
        <v>0</v>
      </c>
      <c r="J363" s="5">
        <v>1409.05</v>
      </c>
      <c r="K363" s="5">
        <v>1217.3900000000001</v>
      </c>
      <c r="L363" t="s">
        <v>684</v>
      </c>
      <c r="M363" s="13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5">
        <v>46.16</v>
      </c>
      <c r="F364" s="5">
        <v>600.02</v>
      </c>
      <c r="G364" s="5">
        <v>71.069999999999993</v>
      </c>
      <c r="H364" s="5">
        <v>6.07</v>
      </c>
      <c r="I364" s="5">
        <v>0</v>
      </c>
      <c r="J364" s="5">
        <v>923.93</v>
      </c>
      <c r="K364" s="5">
        <v>323.91000000000003</v>
      </c>
      <c r="L364" t="s">
        <v>684</v>
      </c>
      <c r="M364" s="13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5">
        <v>0</v>
      </c>
      <c r="F365" s="5">
        <v>0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t="s">
        <v>684</v>
      </c>
      <c r="M365" s="13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t="s">
        <v>684</v>
      </c>
      <c r="M366" s="13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t="s">
        <v>684</v>
      </c>
      <c r="M367" s="13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t="s">
        <v>684</v>
      </c>
      <c r="M368" s="13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5">
        <v>289</v>
      </c>
      <c r="F369" s="5">
        <v>3468</v>
      </c>
      <c r="G369" s="5">
        <v>435.67</v>
      </c>
      <c r="H369" s="5">
        <v>0</v>
      </c>
      <c r="I369" s="5">
        <v>0</v>
      </c>
      <c r="J369" s="5">
        <v>5228</v>
      </c>
      <c r="K369" s="5">
        <v>1760</v>
      </c>
      <c r="L369" t="s">
        <v>684</v>
      </c>
      <c r="M369" s="13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5">
        <v>41</v>
      </c>
      <c r="F370" s="5">
        <v>492</v>
      </c>
      <c r="G370" s="5">
        <v>55.35</v>
      </c>
      <c r="H370" s="5">
        <v>0.86</v>
      </c>
      <c r="I370" s="5">
        <v>0</v>
      </c>
      <c r="J370" s="5">
        <v>664.14</v>
      </c>
      <c r="K370" s="5">
        <v>172.14</v>
      </c>
      <c r="L370" t="s">
        <v>684</v>
      </c>
      <c r="M370" s="13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5">
        <v>33.56</v>
      </c>
      <c r="F371" s="5">
        <v>369.16</v>
      </c>
      <c r="G371" s="5">
        <v>85</v>
      </c>
      <c r="H371" s="5">
        <v>0</v>
      </c>
      <c r="I371" s="5">
        <v>0</v>
      </c>
      <c r="J371" s="5">
        <v>935</v>
      </c>
      <c r="K371" s="5">
        <v>565.84</v>
      </c>
      <c r="L371" t="s">
        <v>684</v>
      </c>
      <c r="M371" s="13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5">
        <v>33</v>
      </c>
      <c r="F372" s="5">
        <v>330</v>
      </c>
      <c r="G372" s="5">
        <v>148.29</v>
      </c>
      <c r="H372" s="5">
        <v>0</v>
      </c>
      <c r="I372" s="5">
        <v>2.86</v>
      </c>
      <c r="J372" s="5">
        <v>1482.86</v>
      </c>
      <c r="K372" s="5">
        <v>1152.8599999999999</v>
      </c>
      <c r="L372" t="s">
        <v>684</v>
      </c>
      <c r="M372" s="13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5">
        <v>0</v>
      </c>
      <c r="F373" s="5">
        <v>0</v>
      </c>
      <c r="G373" s="5">
        <v>3</v>
      </c>
      <c r="H373" s="5">
        <v>0</v>
      </c>
      <c r="I373" s="5">
        <v>0</v>
      </c>
      <c r="J373" s="5">
        <v>30</v>
      </c>
      <c r="K373" s="5">
        <v>30</v>
      </c>
      <c r="L373" t="s">
        <v>684</v>
      </c>
      <c r="M373" s="13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5">
        <v>693</v>
      </c>
      <c r="F374" s="5">
        <v>6237</v>
      </c>
      <c r="G374" s="5">
        <v>1399.78</v>
      </c>
      <c r="H374" s="5">
        <v>252</v>
      </c>
      <c r="I374" s="5">
        <v>0</v>
      </c>
      <c r="J374" s="5">
        <v>12598</v>
      </c>
      <c r="K374" s="5">
        <v>6361</v>
      </c>
      <c r="L374" t="s">
        <v>684</v>
      </c>
      <c r="M374" s="13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5">
        <v>33.56</v>
      </c>
      <c r="F375" s="5">
        <v>268.48</v>
      </c>
      <c r="G375" s="5">
        <v>50.63</v>
      </c>
      <c r="H375" s="5">
        <v>0</v>
      </c>
      <c r="I375" s="5">
        <v>0</v>
      </c>
      <c r="J375" s="5">
        <v>405</v>
      </c>
      <c r="K375" s="5">
        <v>136.52000000000001</v>
      </c>
      <c r="L375" t="s">
        <v>684</v>
      </c>
      <c r="M375" s="13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5">
        <v>938</v>
      </c>
      <c r="F376" s="5">
        <v>7504</v>
      </c>
      <c r="G376" s="5">
        <v>1431.25</v>
      </c>
      <c r="H376" s="5">
        <v>0</v>
      </c>
      <c r="I376" s="5">
        <v>0</v>
      </c>
      <c r="J376" s="5">
        <v>11450</v>
      </c>
      <c r="K376" s="5">
        <v>3946</v>
      </c>
      <c r="L376" t="s">
        <v>684</v>
      </c>
      <c r="M376" s="13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5">
        <v>469</v>
      </c>
      <c r="F377" s="5">
        <v>3752</v>
      </c>
      <c r="G377" s="5">
        <v>826.97</v>
      </c>
      <c r="H377" s="5">
        <v>0</v>
      </c>
      <c r="I377" s="5">
        <v>13.73</v>
      </c>
      <c r="J377" s="5">
        <v>6615.73</v>
      </c>
      <c r="K377" s="5">
        <v>2863.73</v>
      </c>
      <c r="L377" t="s">
        <v>684</v>
      </c>
      <c r="M377" s="13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5">
        <v>705</v>
      </c>
      <c r="F378" s="5">
        <v>4935</v>
      </c>
      <c r="G378" s="5">
        <v>1366.47</v>
      </c>
      <c r="H378" s="5">
        <v>84.74</v>
      </c>
      <c r="I378" s="5">
        <v>0</v>
      </c>
      <c r="J378" s="5">
        <v>9565.26</v>
      </c>
      <c r="K378" s="5">
        <v>4630.26</v>
      </c>
      <c r="L378" t="s">
        <v>684</v>
      </c>
      <c r="M378" s="13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5">
        <v>10</v>
      </c>
      <c r="F379" s="5">
        <v>50</v>
      </c>
      <c r="G379" s="5">
        <v>35</v>
      </c>
      <c r="H379" s="5">
        <v>0</v>
      </c>
      <c r="I379" s="5">
        <v>0</v>
      </c>
      <c r="J379" s="5">
        <v>175</v>
      </c>
      <c r="K379" s="5">
        <v>125</v>
      </c>
      <c r="L379" t="s">
        <v>684</v>
      </c>
      <c r="M379" s="13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5">
        <v>0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t="s">
        <v>684</v>
      </c>
      <c r="M380" s="13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5">
        <v>54.43</v>
      </c>
      <c r="F381" s="5">
        <v>217.72</v>
      </c>
      <c r="G381" s="5">
        <v>69.349999999999994</v>
      </c>
      <c r="H381" s="5">
        <v>2.59</v>
      </c>
      <c r="I381" s="5">
        <v>0</v>
      </c>
      <c r="J381" s="5">
        <v>277.41000000000003</v>
      </c>
      <c r="K381" s="5">
        <v>59.69</v>
      </c>
      <c r="L381" t="s">
        <v>684</v>
      </c>
      <c r="M381" s="13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5">
        <v>0</v>
      </c>
      <c r="F382" s="5">
        <v>0</v>
      </c>
      <c r="G382" s="5">
        <v>30</v>
      </c>
      <c r="H382" s="5">
        <v>0</v>
      </c>
      <c r="I382" s="5">
        <v>0</v>
      </c>
      <c r="J382" s="5">
        <v>120</v>
      </c>
      <c r="K382" s="5">
        <v>120</v>
      </c>
      <c r="L382" t="s">
        <v>684</v>
      </c>
      <c r="M382" s="13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5">
        <v>0</v>
      </c>
      <c r="F383" s="5">
        <v>0</v>
      </c>
      <c r="G383" s="5">
        <v>50</v>
      </c>
      <c r="H383" s="5">
        <v>0</v>
      </c>
      <c r="I383" s="5">
        <v>0</v>
      </c>
      <c r="J383" s="5">
        <v>150</v>
      </c>
      <c r="K383" s="5">
        <v>150</v>
      </c>
      <c r="L383" t="s">
        <v>684</v>
      </c>
      <c r="M383" s="13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5">
        <v>0</v>
      </c>
      <c r="F384" s="5">
        <v>0</v>
      </c>
      <c r="G384" s="5">
        <v>15</v>
      </c>
      <c r="H384" s="5">
        <v>0</v>
      </c>
      <c r="I384" s="5">
        <v>0</v>
      </c>
      <c r="J384" s="5">
        <v>45</v>
      </c>
      <c r="K384" s="5">
        <v>45</v>
      </c>
      <c r="L384" t="s">
        <v>684</v>
      </c>
      <c r="M384" s="13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5">
        <v>3.26</v>
      </c>
      <c r="F385" s="5">
        <v>9.7799999999999994</v>
      </c>
      <c r="G385" s="5">
        <v>0</v>
      </c>
      <c r="H385" s="5">
        <v>0</v>
      </c>
      <c r="I385" s="5">
        <v>0</v>
      </c>
      <c r="J385" s="5">
        <v>0</v>
      </c>
      <c r="K385" s="5">
        <v>-9.7799999999999994</v>
      </c>
      <c r="L385" t="s">
        <v>684</v>
      </c>
      <c r="M385" s="13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5">
        <v>5</v>
      </c>
      <c r="F386" s="5">
        <v>15</v>
      </c>
      <c r="G386" s="5">
        <v>7.81</v>
      </c>
      <c r="H386" s="5">
        <v>0.08</v>
      </c>
      <c r="I386" s="5">
        <v>0</v>
      </c>
      <c r="J386" s="5">
        <v>23.42</v>
      </c>
      <c r="K386" s="5">
        <v>8.42</v>
      </c>
      <c r="L386" t="s">
        <v>684</v>
      </c>
      <c r="M386" s="13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5">
        <v>65</v>
      </c>
      <c r="F387" s="5">
        <v>130</v>
      </c>
      <c r="G387" s="5">
        <v>95</v>
      </c>
      <c r="H387" s="5">
        <v>0</v>
      </c>
      <c r="I387" s="5">
        <v>0</v>
      </c>
      <c r="J387" s="5">
        <v>190</v>
      </c>
      <c r="K387" s="5">
        <v>60</v>
      </c>
      <c r="L387" t="s">
        <v>684</v>
      </c>
      <c r="M387" s="13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5">
        <v>30.49</v>
      </c>
      <c r="F388" s="5">
        <v>60.98</v>
      </c>
      <c r="G388" s="5">
        <v>40</v>
      </c>
      <c r="H388" s="5">
        <v>0</v>
      </c>
      <c r="I388" s="5">
        <v>0</v>
      </c>
      <c r="J388" s="5">
        <v>80</v>
      </c>
      <c r="K388" s="5">
        <v>19.02</v>
      </c>
      <c r="L388" t="s">
        <v>684</v>
      </c>
      <c r="M388" s="13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t="s">
        <v>684</v>
      </c>
      <c r="M389" s="13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5">
        <v>9.3800000000000008</v>
      </c>
      <c r="F390" s="5">
        <v>9.3800000000000008</v>
      </c>
      <c r="G390" s="5">
        <v>16</v>
      </c>
      <c r="H390" s="5">
        <v>0</v>
      </c>
      <c r="I390" s="5">
        <v>0</v>
      </c>
      <c r="J390" s="5">
        <v>16</v>
      </c>
      <c r="K390" s="5">
        <v>6.62</v>
      </c>
      <c r="L390" t="s">
        <v>684</v>
      </c>
      <c r="M390" s="13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t="s">
        <v>684</v>
      </c>
      <c r="M391" s="13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5">
        <v>0</v>
      </c>
      <c r="F392" s="5">
        <v>0</v>
      </c>
      <c r="G392" s="5">
        <v>190</v>
      </c>
      <c r="H392" s="5">
        <v>0</v>
      </c>
      <c r="I392" s="5">
        <v>0</v>
      </c>
      <c r="J392" s="5">
        <v>190</v>
      </c>
      <c r="K392" s="5">
        <v>190</v>
      </c>
      <c r="L392" t="s">
        <v>684</v>
      </c>
      <c r="M392" s="13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5">
        <v>0</v>
      </c>
      <c r="F393" s="5">
        <v>0</v>
      </c>
      <c r="G393" s="5">
        <v>320</v>
      </c>
      <c r="H393" s="5">
        <v>0</v>
      </c>
      <c r="I393" s="5">
        <v>0</v>
      </c>
      <c r="J393" s="5">
        <v>320</v>
      </c>
      <c r="K393" s="5">
        <v>320</v>
      </c>
      <c r="L393" t="s">
        <v>684</v>
      </c>
      <c r="M393" s="13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5">
        <v>0</v>
      </c>
      <c r="F394" s="5">
        <v>0</v>
      </c>
      <c r="G394" s="5">
        <v>60</v>
      </c>
      <c r="H394" s="5">
        <v>0</v>
      </c>
      <c r="I394" s="5">
        <v>0</v>
      </c>
      <c r="J394" s="5">
        <v>60</v>
      </c>
      <c r="K394" s="5">
        <v>60</v>
      </c>
      <c r="L394" t="s">
        <v>684</v>
      </c>
      <c r="M394" s="13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5">
        <v>0</v>
      </c>
      <c r="F395" s="5">
        <v>0</v>
      </c>
      <c r="G395" s="5">
        <v>600</v>
      </c>
      <c r="H395" s="5">
        <v>0</v>
      </c>
      <c r="I395" s="5">
        <v>0</v>
      </c>
      <c r="J395" s="5">
        <v>600</v>
      </c>
      <c r="K395" s="5">
        <v>600</v>
      </c>
      <c r="L395" t="s">
        <v>684</v>
      </c>
      <c r="M395" s="13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t="s">
        <v>684</v>
      </c>
      <c r="M396" s="13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5">
        <v>3</v>
      </c>
      <c r="F397" s="5">
        <v>3</v>
      </c>
      <c r="G397" s="5">
        <v>50</v>
      </c>
      <c r="H397" s="5">
        <v>0</v>
      </c>
      <c r="I397" s="5">
        <v>0</v>
      </c>
      <c r="J397" s="5">
        <v>50</v>
      </c>
      <c r="K397" s="5">
        <v>47</v>
      </c>
      <c r="L397" t="s">
        <v>684</v>
      </c>
      <c r="M397" s="13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5">
        <v>0</v>
      </c>
      <c r="F398" s="5">
        <v>0</v>
      </c>
      <c r="G398" s="5">
        <v>249.46</v>
      </c>
      <c r="H398" s="5">
        <v>0.54</v>
      </c>
      <c r="I398" s="5">
        <v>0</v>
      </c>
      <c r="J398" s="5">
        <v>249.46</v>
      </c>
      <c r="K398" s="5">
        <v>249.46</v>
      </c>
      <c r="L398" t="s">
        <v>684</v>
      </c>
      <c r="M398" s="13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5">
        <v>10.58</v>
      </c>
      <c r="F399" s="5">
        <v>10.58</v>
      </c>
      <c r="G399" s="5">
        <v>25</v>
      </c>
      <c r="H399" s="5">
        <v>0</v>
      </c>
      <c r="I399" s="5">
        <v>0</v>
      </c>
      <c r="J399" s="5">
        <v>25</v>
      </c>
      <c r="K399" s="5">
        <v>14.42</v>
      </c>
      <c r="L399" t="s">
        <v>684</v>
      </c>
      <c r="M399" s="13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5">
        <v>0</v>
      </c>
      <c r="F400" s="5">
        <v>0</v>
      </c>
      <c r="G400" s="5">
        <v>300</v>
      </c>
      <c r="H400" s="5">
        <v>0</v>
      </c>
      <c r="I400" s="5">
        <v>0</v>
      </c>
      <c r="J400" s="5">
        <v>300</v>
      </c>
      <c r="K400" s="5">
        <v>300</v>
      </c>
      <c r="L400" t="s">
        <v>684</v>
      </c>
      <c r="M400" s="13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5">
        <v>0</v>
      </c>
      <c r="F401" s="5">
        <v>0</v>
      </c>
      <c r="G401" s="5">
        <v>250</v>
      </c>
      <c r="H401" s="5">
        <v>0</v>
      </c>
      <c r="I401" s="5">
        <v>0</v>
      </c>
      <c r="J401" s="5">
        <v>250</v>
      </c>
      <c r="K401" s="5">
        <v>250</v>
      </c>
      <c r="L401" t="s">
        <v>684</v>
      </c>
      <c r="M401" s="13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5">
        <v>0</v>
      </c>
      <c r="F402" s="5">
        <v>0</v>
      </c>
      <c r="G402" s="5">
        <v>15</v>
      </c>
      <c r="H402" s="5">
        <v>0</v>
      </c>
      <c r="I402" s="5">
        <v>0</v>
      </c>
      <c r="J402" s="5">
        <v>15</v>
      </c>
      <c r="K402" s="5">
        <v>15</v>
      </c>
      <c r="L402" t="s">
        <v>684</v>
      </c>
      <c r="M402" s="13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5">
        <v>0</v>
      </c>
      <c r="F403" s="5">
        <v>0</v>
      </c>
      <c r="G403" s="5">
        <v>700</v>
      </c>
      <c r="H403" s="5">
        <v>0</v>
      </c>
      <c r="I403" s="5">
        <v>0</v>
      </c>
      <c r="J403" s="5">
        <v>700</v>
      </c>
      <c r="K403" s="5">
        <v>700</v>
      </c>
      <c r="L403" t="s">
        <v>684</v>
      </c>
      <c r="M403" s="13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5">
        <v>2.5</v>
      </c>
      <c r="F404" s="5">
        <v>10377.5</v>
      </c>
      <c r="G404" s="5">
        <v>2.96</v>
      </c>
      <c r="H404" s="5">
        <v>0.25</v>
      </c>
      <c r="I404" s="5">
        <v>0</v>
      </c>
      <c r="J404" s="5">
        <v>12282.75</v>
      </c>
      <c r="K404" s="5">
        <v>1905.25</v>
      </c>
      <c r="L404" t="s">
        <v>709</v>
      </c>
      <c r="M404" s="13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5">
        <v>0.65</v>
      </c>
      <c r="F405" s="5">
        <v>798.2</v>
      </c>
      <c r="G405" s="5">
        <v>1</v>
      </c>
      <c r="H405" s="5">
        <v>12.5</v>
      </c>
      <c r="I405" s="5">
        <v>0</v>
      </c>
      <c r="J405" s="5">
        <v>1223.5</v>
      </c>
      <c r="K405" s="5">
        <v>425.3</v>
      </c>
      <c r="L405" t="s">
        <v>709</v>
      </c>
      <c r="M405" s="13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5">
        <v>0.65</v>
      </c>
      <c r="F406" s="5">
        <v>788.45</v>
      </c>
      <c r="G406" s="5">
        <v>0.99</v>
      </c>
      <c r="H406" s="5">
        <v>12.5</v>
      </c>
      <c r="I406" s="5">
        <v>0</v>
      </c>
      <c r="J406" s="5">
        <v>1205.5</v>
      </c>
      <c r="K406" s="5">
        <v>417.05</v>
      </c>
      <c r="L406" t="s">
        <v>709</v>
      </c>
      <c r="M406" s="13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5">
        <v>7.21</v>
      </c>
      <c r="F407" s="5">
        <v>3972.71</v>
      </c>
      <c r="G407" s="5">
        <v>17.09</v>
      </c>
      <c r="H407" s="5">
        <v>45.11</v>
      </c>
      <c r="I407" s="5">
        <v>61.7</v>
      </c>
      <c r="J407" s="5">
        <v>9414.89</v>
      </c>
      <c r="K407" s="5">
        <v>5442.18</v>
      </c>
      <c r="L407" t="s">
        <v>709</v>
      </c>
      <c r="M407" s="13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5">
        <v>3.05</v>
      </c>
      <c r="F408" s="5">
        <v>1421.3</v>
      </c>
      <c r="G408" s="5">
        <v>3.88</v>
      </c>
      <c r="H408" s="5">
        <v>0.49</v>
      </c>
      <c r="I408" s="5">
        <v>0</v>
      </c>
      <c r="J408" s="5">
        <v>1808.51</v>
      </c>
      <c r="K408" s="5">
        <v>387.21</v>
      </c>
      <c r="L408" t="s">
        <v>709</v>
      </c>
      <c r="M408" s="13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5">
        <v>382.3</v>
      </c>
      <c r="F409" s="5">
        <v>165918.20000000001</v>
      </c>
      <c r="G409" s="5">
        <v>587.83000000000004</v>
      </c>
      <c r="H409" s="5">
        <v>3768.39</v>
      </c>
      <c r="I409" s="5">
        <v>575.58000000000004</v>
      </c>
      <c r="J409" s="5">
        <v>255116.19</v>
      </c>
      <c r="K409" s="5">
        <v>89197.99</v>
      </c>
      <c r="L409" t="s">
        <v>709</v>
      </c>
      <c r="M409" s="13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5">
        <v>0.96</v>
      </c>
      <c r="F410" s="5">
        <v>408</v>
      </c>
      <c r="G410" s="5">
        <v>0.55000000000000004</v>
      </c>
      <c r="H410" s="5">
        <v>0</v>
      </c>
      <c r="I410" s="5">
        <v>0</v>
      </c>
      <c r="J410" s="5">
        <v>234.35</v>
      </c>
      <c r="K410" s="5">
        <v>-173.65</v>
      </c>
      <c r="L410" t="s">
        <v>709</v>
      </c>
      <c r="M410" s="13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5">
        <v>432.79</v>
      </c>
      <c r="F411" s="5">
        <v>92184.27</v>
      </c>
      <c r="G411" s="5">
        <v>620.80999999999995</v>
      </c>
      <c r="H411" s="5">
        <v>1731.58</v>
      </c>
      <c r="I411" s="5">
        <v>142.43</v>
      </c>
      <c r="J411" s="5">
        <v>132232.85</v>
      </c>
      <c r="K411" s="5">
        <v>40048.58</v>
      </c>
      <c r="L411" t="s">
        <v>709</v>
      </c>
      <c r="M411" s="13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5">
        <v>25</v>
      </c>
      <c r="F412" s="5">
        <v>4850</v>
      </c>
      <c r="G412" s="5">
        <v>29.3</v>
      </c>
      <c r="H412" s="5">
        <v>14.86</v>
      </c>
      <c r="I412" s="5">
        <v>0</v>
      </c>
      <c r="J412" s="5">
        <v>5685.14</v>
      </c>
      <c r="K412" s="5">
        <v>835.14</v>
      </c>
      <c r="L412" t="s">
        <v>709</v>
      </c>
      <c r="M412" s="13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5">
        <v>455</v>
      </c>
      <c r="F413" s="5">
        <v>61880</v>
      </c>
      <c r="G413" s="5">
        <v>702.86</v>
      </c>
      <c r="H413" s="5">
        <v>1616.4</v>
      </c>
      <c r="I413" s="5">
        <v>430.14</v>
      </c>
      <c r="J413" s="5">
        <v>95588.74</v>
      </c>
      <c r="K413" s="5">
        <v>33708.74</v>
      </c>
      <c r="L413" t="s">
        <v>709</v>
      </c>
      <c r="M413" s="13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5">
        <v>477</v>
      </c>
      <c r="F414" s="5">
        <v>40068</v>
      </c>
      <c r="G414" s="5">
        <v>764.86</v>
      </c>
      <c r="H414" s="5">
        <v>897.07</v>
      </c>
      <c r="I414" s="5">
        <v>0</v>
      </c>
      <c r="J414" s="5">
        <v>64247.93</v>
      </c>
      <c r="K414" s="5">
        <v>24179.93</v>
      </c>
      <c r="L414" t="s">
        <v>709</v>
      </c>
      <c r="M414" s="13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5">
        <v>664</v>
      </c>
      <c r="F415" s="5">
        <v>46480</v>
      </c>
      <c r="G415" s="5">
        <v>1251.79</v>
      </c>
      <c r="H415" s="5">
        <v>164.93</v>
      </c>
      <c r="I415" s="5">
        <v>0</v>
      </c>
      <c r="J415" s="5">
        <v>87625.07</v>
      </c>
      <c r="K415" s="5">
        <v>41145.07</v>
      </c>
      <c r="L415" t="s">
        <v>709</v>
      </c>
      <c r="M415" s="13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5">
        <v>534</v>
      </c>
      <c r="F416" s="5">
        <v>36312</v>
      </c>
      <c r="G416" s="5">
        <v>811.27</v>
      </c>
      <c r="H416" s="5">
        <v>759.99</v>
      </c>
      <c r="I416" s="5">
        <v>656.13</v>
      </c>
      <c r="J416" s="5">
        <v>55166.14</v>
      </c>
      <c r="K416" s="5">
        <v>18854.14</v>
      </c>
      <c r="L416" t="s">
        <v>709</v>
      </c>
      <c r="M416" s="13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5">
        <v>649</v>
      </c>
      <c r="F417" s="5">
        <v>41536</v>
      </c>
      <c r="G417" s="5">
        <v>1136.19</v>
      </c>
      <c r="H417" s="5">
        <v>180.96</v>
      </c>
      <c r="I417" s="5">
        <v>0</v>
      </c>
      <c r="J417" s="5">
        <v>72716.039999999994</v>
      </c>
      <c r="K417" s="5">
        <v>31180.04</v>
      </c>
      <c r="L417" t="s">
        <v>709</v>
      </c>
      <c r="M417" s="13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5">
        <v>12.19</v>
      </c>
      <c r="F418" s="5">
        <v>767.97</v>
      </c>
      <c r="G418" s="5">
        <v>15.3</v>
      </c>
      <c r="H418" s="5">
        <v>0.71</v>
      </c>
      <c r="I418" s="5">
        <v>0</v>
      </c>
      <c r="J418" s="5">
        <v>963.79</v>
      </c>
      <c r="K418" s="5">
        <v>195.82</v>
      </c>
      <c r="L418" t="s">
        <v>709</v>
      </c>
      <c r="M418" s="13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5">
        <v>55</v>
      </c>
      <c r="F419" s="5">
        <v>3025</v>
      </c>
      <c r="G419" s="5">
        <v>171.61</v>
      </c>
      <c r="H419" s="5">
        <v>44.24</v>
      </c>
      <c r="I419" s="5">
        <v>67.88</v>
      </c>
      <c r="J419" s="5">
        <v>9438.6299999999992</v>
      </c>
      <c r="K419" s="5">
        <v>6413.63</v>
      </c>
      <c r="L419" t="s">
        <v>709</v>
      </c>
      <c r="M419" s="13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5">
        <v>42</v>
      </c>
      <c r="F420" s="5">
        <v>1554</v>
      </c>
      <c r="G420" s="5">
        <v>53.63</v>
      </c>
      <c r="H420" s="5">
        <v>0.81</v>
      </c>
      <c r="I420" s="5">
        <v>0</v>
      </c>
      <c r="J420" s="5">
        <v>1984.19</v>
      </c>
      <c r="K420" s="5">
        <v>430.19</v>
      </c>
      <c r="L420" t="s">
        <v>709</v>
      </c>
      <c r="M420" s="13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5">
        <v>13.69</v>
      </c>
      <c r="F421" s="5">
        <v>438.08</v>
      </c>
      <c r="G421" s="5">
        <v>84.58</v>
      </c>
      <c r="H421" s="5">
        <v>5.47</v>
      </c>
      <c r="I421" s="5">
        <v>0</v>
      </c>
      <c r="J421" s="5">
        <v>2706.61</v>
      </c>
      <c r="K421" s="5">
        <v>2268.5300000000002</v>
      </c>
      <c r="L421" t="s">
        <v>709</v>
      </c>
      <c r="M421" s="13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5">
        <v>33.56</v>
      </c>
      <c r="F422" s="5">
        <v>1006.8</v>
      </c>
      <c r="G422" s="5">
        <v>66.53</v>
      </c>
      <c r="H422" s="5">
        <v>56.26</v>
      </c>
      <c r="I422" s="5">
        <v>23.76</v>
      </c>
      <c r="J422" s="5">
        <v>1995.92</v>
      </c>
      <c r="K422" s="5">
        <v>989.12</v>
      </c>
      <c r="L422" t="s">
        <v>709</v>
      </c>
      <c r="M422" s="13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5">
        <v>491</v>
      </c>
      <c r="F423" s="5">
        <v>12275</v>
      </c>
      <c r="G423" s="5">
        <v>661.89</v>
      </c>
      <c r="H423" s="5">
        <v>52.64</v>
      </c>
      <c r="I423" s="5">
        <v>0</v>
      </c>
      <c r="J423" s="5">
        <v>16547.36</v>
      </c>
      <c r="K423" s="5">
        <v>4272.3599999999997</v>
      </c>
      <c r="L423" t="s">
        <v>709</v>
      </c>
      <c r="M423" s="13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5">
        <v>61.37</v>
      </c>
      <c r="F424" s="5">
        <v>1472.88</v>
      </c>
      <c r="G424" s="5">
        <v>80.12</v>
      </c>
      <c r="H424" s="5">
        <v>0</v>
      </c>
      <c r="I424" s="5">
        <v>22.93</v>
      </c>
      <c r="J424" s="5">
        <v>1922.93</v>
      </c>
      <c r="K424" s="5">
        <v>450.05</v>
      </c>
      <c r="L424" t="s">
        <v>709</v>
      </c>
      <c r="M424" s="13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5">
        <v>679</v>
      </c>
      <c r="F425" s="5">
        <v>15617</v>
      </c>
      <c r="G425" s="5">
        <v>1329.32</v>
      </c>
      <c r="H425" s="5">
        <v>90.29</v>
      </c>
      <c r="I425" s="5">
        <v>14.7</v>
      </c>
      <c r="J425" s="5">
        <v>30574.41</v>
      </c>
      <c r="K425" s="5">
        <v>14957.41</v>
      </c>
      <c r="L425" t="s">
        <v>709</v>
      </c>
      <c r="M425" s="13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5">
        <v>45.6</v>
      </c>
      <c r="F426" s="5">
        <v>866.4</v>
      </c>
      <c r="G426" s="5">
        <v>70.41</v>
      </c>
      <c r="H426" s="5">
        <v>7.13</v>
      </c>
      <c r="I426" s="5">
        <v>0</v>
      </c>
      <c r="J426" s="5">
        <v>1337.87</v>
      </c>
      <c r="K426" s="5">
        <v>471.47</v>
      </c>
      <c r="L426" t="s">
        <v>709</v>
      </c>
      <c r="M426" s="13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5">
        <v>469</v>
      </c>
      <c r="F427" s="5">
        <v>8442</v>
      </c>
      <c r="G427" s="5">
        <v>802.29</v>
      </c>
      <c r="H427" s="5">
        <v>467.82</v>
      </c>
      <c r="I427" s="5">
        <v>279.10000000000002</v>
      </c>
      <c r="J427" s="5">
        <v>14441.29</v>
      </c>
      <c r="K427" s="5">
        <v>5999.29</v>
      </c>
      <c r="L427" t="s">
        <v>709</v>
      </c>
      <c r="M427" s="13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5">
        <v>293.13</v>
      </c>
      <c r="F428" s="5">
        <v>5276.34</v>
      </c>
      <c r="G428" s="5">
        <v>424.33</v>
      </c>
      <c r="H428" s="5">
        <v>0</v>
      </c>
      <c r="I428" s="5">
        <v>15</v>
      </c>
      <c r="J428" s="5">
        <v>7637.98</v>
      </c>
      <c r="K428" s="5">
        <v>2361.64</v>
      </c>
      <c r="L428" t="s">
        <v>709</v>
      </c>
      <c r="M428" s="13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5">
        <v>90</v>
      </c>
      <c r="F429" s="5">
        <v>1530</v>
      </c>
      <c r="G429" s="5">
        <v>149.38</v>
      </c>
      <c r="H429" s="5">
        <v>0.49</v>
      </c>
      <c r="I429" s="5">
        <v>0</v>
      </c>
      <c r="J429" s="5">
        <v>2539.5100000000002</v>
      </c>
      <c r="K429" s="5">
        <v>1009.51</v>
      </c>
      <c r="L429" t="s">
        <v>709</v>
      </c>
      <c r="M429" s="13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5">
        <v>289</v>
      </c>
      <c r="F430" s="5">
        <v>4624</v>
      </c>
      <c r="G430" s="5">
        <v>536.42999999999995</v>
      </c>
      <c r="H430" s="5">
        <v>16.66</v>
      </c>
      <c r="I430" s="5">
        <v>0</v>
      </c>
      <c r="J430" s="5">
        <v>8582.84</v>
      </c>
      <c r="K430" s="5">
        <v>3958.84</v>
      </c>
      <c r="L430" t="s">
        <v>709</v>
      </c>
      <c r="M430" s="13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5">
        <v>909</v>
      </c>
      <c r="F431" s="5">
        <v>13635</v>
      </c>
      <c r="G431" s="5">
        <v>1304.78</v>
      </c>
      <c r="H431" s="5">
        <v>222.57</v>
      </c>
      <c r="I431" s="5">
        <v>135.22</v>
      </c>
      <c r="J431" s="5">
        <v>19571.650000000001</v>
      </c>
      <c r="K431" s="5">
        <v>5936.65</v>
      </c>
      <c r="L431" t="s">
        <v>709</v>
      </c>
      <c r="M431" s="13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5">
        <v>938</v>
      </c>
      <c r="F432" s="5">
        <v>12194</v>
      </c>
      <c r="G432" s="5">
        <v>1585.58</v>
      </c>
      <c r="H432" s="5">
        <v>247.48</v>
      </c>
      <c r="I432" s="5">
        <v>0</v>
      </c>
      <c r="J432" s="5">
        <v>20612.52</v>
      </c>
      <c r="K432" s="5">
        <v>8418.52</v>
      </c>
      <c r="L432" t="s">
        <v>709</v>
      </c>
      <c r="M432" s="13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5">
        <v>0</v>
      </c>
      <c r="F433" s="5">
        <v>0</v>
      </c>
      <c r="G433" s="5">
        <v>188.26</v>
      </c>
      <c r="H433" s="5">
        <v>0.84</v>
      </c>
      <c r="I433" s="5">
        <v>0</v>
      </c>
      <c r="J433" s="5">
        <v>2259.16</v>
      </c>
      <c r="K433" s="5">
        <v>2259.16</v>
      </c>
      <c r="L433" t="s">
        <v>709</v>
      </c>
      <c r="M433" s="13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t="s">
        <v>709</v>
      </c>
      <c r="M434" s="13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5">
        <v>2</v>
      </c>
      <c r="F435" s="5">
        <v>20</v>
      </c>
      <c r="G435" s="5">
        <v>3.25</v>
      </c>
      <c r="H435" s="5">
        <v>0</v>
      </c>
      <c r="I435" s="5">
        <v>0</v>
      </c>
      <c r="J435" s="5">
        <v>32.5</v>
      </c>
      <c r="K435" s="5">
        <v>12.5</v>
      </c>
      <c r="L435" t="s">
        <v>709</v>
      </c>
      <c r="M435" s="13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5">
        <v>705</v>
      </c>
      <c r="F436" s="5">
        <v>5640</v>
      </c>
      <c r="G436" s="5">
        <v>1570.82</v>
      </c>
      <c r="H436" s="5">
        <v>25.84</v>
      </c>
      <c r="I436" s="5">
        <v>42.44</v>
      </c>
      <c r="J436" s="5">
        <v>12566.6</v>
      </c>
      <c r="K436" s="5">
        <v>6926.6</v>
      </c>
      <c r="L436" t="s">
        <v>709</v>
      </c>
      <c r="M436" s="13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5">
        <v>693</v>
      </c>
      <c r="F437" s="5">
        <v>5544</v>
      </c>
      <c r="G437" s="5">
        <v>1437.5</v>
      </c>
      <c r="H437" s="5">
        <v>0</v>
      </c>
      <c r="I437" s="5">
        <v>0</v>
      </c>
      <c r="J437" s="5">
        <v>11500</v>
      </c>
      <c r="K437" s="5">
        <v>5956</v>
      </c>
      <c r="L437" t="s">
        <v>709</v>
      </c>
      <c r="M437" s="13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5">
        <v>35</v>
      </c>
      <c r="F438" s="5">
        <v>210</v>
      </c>
      <c r="G438" s="5">
        <v>41.67</v>
      </c>
      <c r="H438" s="5">
        <v>0</v>
      </c>
      <c r="I438" s="5">
        <v>0</v>
      </c>
      <c r="J438" s="5">
        <v>250</v>
      </c>
      <c r="K438" s="5">
        <v>40</v>
      </c>
      <c r="L438" t="s">
        <v>709</v>
      </c>
      <c r="M438" s="13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5">
        <v>0</v>
      </c>
      <c r="F439" s="5">
        <v>0</v>
      </c>
      <c r="G439" s="5">
        <v>199.94</v>
      </c>
      <c r="H439" s="5">
        <v>0.35</v>
      </c>
      <c r="I439" s="5">
        <v>0</v>
      </c>
      <c r="J439" s="5">
        <v>1199.6500000000001</v>
      </c>
      <c r="K439" s="5">
        <v>1199.6500000000001</v>
      </c>
      <c r="L439" t="s">
        <v>709</v>
      </c>
      <c r="M439" s="13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5">
        <v>0</v>
      </c>
      <c r="F440" s="5">
        <v>0</v>
      </c>
      <c r="G440" s="5">
        <v>45</v>
      </c>
      <c r="H440" s="5">
        <v>0</v>
      </c>
      <c r="I440" s="5">
        <v>0</v>
      </c>
      <c r="J440" s="5">
        <v>225</v>
      </c>
      <c r="K440" s="5">
        <v>225</v>
      </c>
      <c r="L440" t="s">
        <v>709</v>
      </c>
      <c r="M440" s="13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5">
        <v>0</v>
      </c>
      <c r="F441" s="5">
        <v>0</v>
      </c>
      <c r="G441" s="5">
        <v>49.62</v>
      </c>
      <c r="H441" s="5">
        <v>1.52</v>
      </c>
      <c r="I441" s="5">
        <v>0</v>
      </c>
      <c r="J441" s="5">
        <v>198.48</v>
      </c>
      <c r="K441" s="5">
        <v>198.48</v>
      </c>
      <c r="L441" t="s">
        <v>709</v>
      </c>
      <c r="M441" s="13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5">
        <v>65</v>
      </c>
      <c r="F442" s="5">
        <v>195</v>
      </c>
      <c r="G442" s="5">
        <v>81.58</v>
      </c>
      <c r="H442" s="5">
        <v>10</v>
      </c>
      <c r="I442" s="5">
        <v>0</v>
      </c>
      <c r="J442" s="5">
        <v>244.74</v>
      </c>
      <c r="K442" s="5">
        <v>49.74</v>
      </c>
      <c r="L442" t="s">
        <v>709</v>
      </c>
      <c r="M442" s="13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5">
        <v>54.43</v>
      </c>
      <c r="F443" s="5">
        <v>163.29</v>
      </c>
      <c r="G443" s="5">
        <v>58.33</v>
      </c>
      <c r="H443" s="5">
        <v>0</v>
      </c>
      <c r="I443" s="5">
        <v>0</v>
      </c>
      <c r="J443" s="5">
        <v>175</v>
      </c>
      <c r="K443" s="5">
        <v>11.71</v>
      </c>
      <c r="L443" t="s">
        <v>709</v>
      </c>
      <c r="M443" s="13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t="s">
        <v>709</v>
      </c>
      <c r="M444" s="13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5">
        <v>0</v>
      </c>
      <c r="F445" s="5">
        <v>0</v>
      </c>
      <c r="G445" s="5">
        <v>150</v>
      </c>
      <c r="H445" s="5">
        <v>0</v>
      </c>
      <c r="I445" s="5">
        <v>0</v>
      </c>
      <c r="J445" s="5">
        <v>450</v>
      </c>
      <c r="K445" s="5">
        <v>450</v>
      </c>
      <c r="L445" t="s">
        <v>709</v>
      </c>
      <c r="M445" s="13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5">
        <v>30.49</v>
      </c>
      <c r="F446" s="5">
        <v>91.47</v>
      </c>
      <c r="G446" s="5">
        <v>43.33</v>
      </c>
      <c r="H446" s="5">
        <v>0</v>
      </c>
      <c r="I446" s="5">
        <v>0</v>
      </c>
      <c r="J446" s="5">
        <v>130</v>
      </c>
      <c r="K446" s="5">
        <v>38.53</v>
      </c>
      <c r="L446" t="s">
        <v>709</v>
      </c>
      <c r="M446" s="13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5">
        <v>20</v>
      </c>
      <c r="F447" s="5">
        <v>40</v>
      </c>
      <c r="G447" s="5">
        <v>50</v>
      </c>
      <c r="H447" s="5">
        <v>0</v>
      </c>
      <c r="I447" s="5">
        <v>0</v>
      </c>
      <c r="J447" s="5">
        <v>100</v>
      </c>
      <c r="K447" s="5">
        <v>60</v>
      </c>
      <c r="L447" t="s">
        <v>709</v>
      </c>
      <c r="M447" s="13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5">
        <v>41</v>
      </c>
      <c r="F448" s="5">
        <v>82</v>
      </c>
      <c r="G448" s="5">
        <v>55</v>
      </c>
      <c r="H448" s="5">
        <v>0</v>
      </c>
      <c r="I448" s="5">
        <v>0</v>
      </c>
      <c r="J448" s="5">
        <v>110</v>
      </c>
      <c r="K448" s="5">
        <v>28</v>
      </c>
      <c r="L448" t="s">
        <v>709</v>
      </c>
      <c r="M448" s="13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5">
        <v>0</v>
      </c>
      <c r="F449" s="5">
        <v>0</v>
      </c>
      <c r="G449" s="5">
        <v>150</v>
      </c>
      <c r="H449" s="5">
        <v>0</v>
      </c>
      <c r="I449" s="5">
        <v>0</v>
      </c>
      <c r="J449" s="5">
        <v>300</v>
      </c>
      <c r="K449" s="5">
        <v>300</v>
      </c>
      <c r="L449" t="s">
        <v>709</v>
      </c>
      <c r="M449" s="13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5">
        <v>0</v>
      </c>
      <c r="F450" s="5">
        <v>0</v>
      </c>
      <c r="G450" s="5">
        <v>450</v>
      </c>
      <c r="H450" s="5">
        <v>0</v>
      </c>
      <c r="I450" s="5">
        <v>0</v>
      </c>
      <c r="J450" s="5">
        <v>900</v>
      </c>
      <c r="K450" s="5">
        <v>900</v>
      </c>
      <c r="L450" t="s">
        <v>709</v>
      </c>
      <c r="M450" s="13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5">
        <v>1652.88</v>
      </c>
      <c r="F451" s="5">
        <v>1652.88</v>
      </c>
      <c r="G451" s="5">
        <v>2500</v>
      </c>
      <c r="H451" s="5">
        <v>0</v>
      </c>
      <c r="I451" s="5">
        <v>0</v>
      </c>
      <c r="J451" s="5">
        <v>2500</v>
      </c>
      <c r="K451" s="5">
        <v>847.12</v>
      </c>
      <c r="L451" t="s">
        <v>709</v>
      </c>
      <c r="M451" s="13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5">
        <v>0</v>
      </c>
      <c r="F452" s="5">
        <v>0</v>
      </c>
      <c r="G452" s="5">
        <v>45</v>
      </c>
      <c r="H452" s="5">
        <v>0</v>
      </c>
      <c r="I452" s="5">
        <v>0</v>
      </c>
      <c r="J452" s="5">
        <v>45</v>
      </c>
      <c r="K452" s="5">
        <v>45</v>
      </c>
      <c r="L452" t="s">
        <v>709</v>
      </c>
      <c r="M452" s="13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5">
        <v>0</v>
      </c>
      <c r="F453" s="5">
        <v>0</v>
      </c>
      <c r="G453" s="5">
        <v>450</v>
      </c>
      <c r="H453" s="5">
        <v>0</v>
      </c>
      <c r="I453" s="5">
        <v>0</v>
      </c>
      <c r="J453" s="5">
        <v>450</v>
      </c>
      <c r="K453" s="5">
        <v>450</v>
      </c>
      <c r="L453" t="s">
        <v>709</v>
      </c>
      <c r="M453" s="13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5">
        <v>0</v>
      </c>
      <c r="F454" s="5">
        <v>0</v>
      </c>
      <c r="G454" s="5">
        <v>50</v>
      </c>
      <c r="H454" s="5">
        <v>0</v>
      </c>
      <c r="I454" s="5">
        <v>0</v>
      </c>
      <c r="J454" s="5">
        <v>50</v>
      </c>
      <c r="K454" s="5">
        <v>50</v>
      </c>
      <c r="L454" t="s">
        <v>709</v>
      </c>
      <c r="M454" s="13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5">
        <v>0</v>
      </c>
      <c r="F455" s="5">
        <v>0</v>
      </c>
      <c r="G455" s="5">
        <v>900</v>
      </c>
      <c r="H455" s="5">
        <v>0</v>
      </c>
      <c r="I455" s="5">
        <v>0</v>
      </c>
      <c r="J455" s="5">
        <v>900</v>
      </c>
      <c r="K455" s="5">
        <v>900</v>
      </c>
      <c r="L455" t="s">
        <v>709</v>
      </c>
      <c r="M455" s="13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5">
        <v>0</v>
      </c>
      <c r="F456" s="5">
        <v>0</v>
      </c>
      <c r="G456" s="5">
        <v>30</v>
      </c>
      <c r="H456" s="5">
        <v>0</v>
      </c>
      <c r="I456" s="5">
        <v>0</v>
      </c>
      <c r="J456" s="5">
        <v>30</v>
      </c>
      <c r="K456" s="5">
        <v>30</v>
      </c>
      <c r="L456" t="s">
        <v>709</v>
      </c>
      <c r="M456" s="13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t="s">
        <v>709</v>
      </c>
      <c r="M457" s="13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5">
        <v>0</v>
      </c>
      <c r="F458" s="5">
        <v>0</v>
      </c>
      <c r="G458" s="5">
        <v>250</v>
      </c>
      <c r="H458" s="5">
        <v>0</v>
      </c>
      <c r="I458" s="5">
        <v>0</v>
      </c>
      <c r="J458" s="5">
        <v>250</v>
      </c>
      <c r="K458" s="5">
        <v>250</v>
      </c>
      <c r="L458" t="s">
        <v>709</v>
      </c>
      <c r="M458" s="13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5">
        <v>2.5</v>
      </c>
      <c r="F459" s="5">
        <v>13002.5</v>
      </c>
      <c r="G459" s="5">
        <v>2.98</v>
      </c>
      <c r="H459" s="5">
        <v>12.03</v>
      </c>
      <c r="I459" s="5">
        <v>112.27</v>
      </c>
      <c r="J459" s="5">
        <v>15510.84</v>
      </c>
      <c r="K459" s="5">
        <v>2508.34</v>
      </c>
      <c r="L459" t="s">
        <v>725</v>
      </c>
      <c r="M459" s="13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5">
        <v>3.05</v>
      </c>
      <c r="F460" s="5">
        <v>3416</v>
      </c>
      <c r="G460" s="5">
        <v>4.07</v>
      </c>
      <c r="H460" s="5">
        <v>7.0000000000000007E-2</v>
      </c>
      <c r="I460" s="5">
        <v>196</v>
      </c>
      <c r="J460" s="5">
        <v>4556.43</v>
      </c>
      <c r="K460" s="5">
        <v>1140.43</v>
      </c>
      <c r="L460" t="s">
        <v>725</v>
      </c>
      <c r="M460" s="13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5">
        <v>7.21</v>
      </c>
      <c r="F461" s="5">
        <v>4225.0600000000004</v>
      </c>
      <c r="G461" s="5">
        <v>18.440000000000001</v>
      </c>
      <c r="H461" s="5">
        <v>24.74</v>
      </c>
      <c r="I461" s="5">
        <v>32.049999999999997</v>
      </c>
      <c r="J461" s="5">
        <v>10807.31</v>
      </c>
      <c r="K461" s="5">
        <v>6582.25</v>
      </c>
      <c r="L461" t="s">
        <v>725</v>
      </c>
      <c r="M461" s="13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5">
        <v>382.86</v>
      </c>
      <c r="F462" s="5">
        <v>165778.9</v>
      </c>
      <c r="G462" s="5">
        <v>576.76</v>
      </c>
      <c r="H462" s="5">
        <v>1687.66</v>
      </c>
      <c r="I462" s="5">
        <v>520.61</v>
      </c>
      <c r="J462" s="5">
        <v>249735.94</v>
      </c>
      <c r="K462" s="5">
        <v>83957.04</v>
      </c>
      <c r="L462" t="s">
        <v>725</v>
      </c>
      <c r="M462" s="13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5">
        <v>432.79</v>
      </c>
      <c r="F463" s="5">
        <v>138060.01</v>
      </c>
      <c r="G463" s="5">
        <v>619</v>
      </c>
      <c r="H463" s="5">
        <v>1272.17</v>
      </c>
      <c r="I463" s="5">
        <v>1584.06</v>
      </c>
      <c r="J463" s="5">
        <v>197461.89</v>
      </c>
      <c r="K463" s="5">
        <v>59401.88</v>
      </c>
      <c r="L463" t="s">
        <v>725</v>
      </c>
      <c r="M463" s="13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5">
        <v>0.65</v>
      </c>
      <c r="F464" s="5">
        <v>178.75</v>
      </c>
      <c r="G464" s="5">
        <v>1</v>
      </c>
      <c r="H464" s="5">
        <v>0</v>
      </c>
      <c r="I464" s="5">
        <v>0</v>
      </c>
      <c r="J464" s="5">
        <v>275</v>
      </c>
      <c r="K464" s="5">
        <v>96.25</v>
      </c>
      <c r="L464" t="s">
        <v>725</v>
      </c>
      <c r="M464" s="13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5">
        <v>0.65</v>
      </c>
      <c r="F465" s="5">
        <v>178.75</v>
      </c>
      <c r="G465" s="5">
        <v>1</v>
      </c>
      <c r="H465" s="5">
        <v>0</v>
      </c>
      <c r="I465" s="5">
        <v>0</v>
      </c>
      <c r="J465" s="5">
        <v>275</v>
      </c>
      <c r="K465" s="5">
        <v>96.25</v>
      </c>
      <c r="L465" t="s">
        <v>725</v>
      </c>
      <c r="M465" s="13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5">
        <v>456.39</v>
      </c>
      <c r="F466" s="5">
        <v>89452</v>
      </c>
      <c r="G466" s="5">
        <v>705.43</v>
      </c>
      <c r="H466" s="5">
        <v>668.94</v>
      </c>
      <c r="I466" s="5">
        <v>835.85</v>
      </c>
      <c r="J466" s="5">
        <v>138263.9</v>
      </c>
      <c r="K466" s="5">
        <v>48811.9</v>
      </c>
      <c r="L466" t="s">
        <v>725</v>
      </c>
      <c r="M466" s="13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5">
        <v>12.19</v>
      </c>
      <c r="F467" s="5">
        <v>2145.44</v>
      </c>
      <c r="G467" s="5">
        <v>14.99</v>
      </c>
      <c r="H467" s="5">
        <v>2.4900000000000002</v>
      </c>
      <c r="I467" s="5">
        <v>0</v>
      </c>
      <c r="J467" s="5">
        <v>2638.51</v>
      </c>
      <c r="K467" s="5">
        <v>493.07</v>
      </c>
      <c r="L467" t="s">
        <v>725</v>
      </c>
      <c r="M467" s="13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5">
        <v>25</v>
      </c>
      <c r="F468" s="5">
        <v>4025</v>
      </c>
      <c r="G468" s="5">
        <v>29.48</v>
      </c>
      <c r="H468" s="5">
        <v>1.92</v>
      </c>
      <c r="I468" s="5">
        <v>9.48</v>
      </c>
      <c r="J468" s="5">
        <v>4745.55</v>
      </c>
      <c r="K468" s="5">
        <v>720.55</v>
      </c>
      <c r="L468" t="s">
        <v>725</v>
      </c>
      <c r="M468" s="13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5">
        <v>55</v>
      </c>
      <c r="F469" s="5">
        <v>6050</v>
      </c>
      <c r="G469" s="5">
        <v>151.63</v>
      </c>
      <c r="H469" s="5">
        <v>79.61</v>
      </c>
      <c r="I469" s="5">
        <v>299.01</v>
      </c>
      <c r="J469" s="5">
        <v>16679.400000000001</v>
      </c>
      <c r="K469" s="5">
        <v>10629.4</v>
      </c>
      <c r="L469" t="s">
        <v>725</v>
      </c>
      <c r="M469" s="13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5">
        <v>479.44</v>
      </c>
      <c r="F470" s="5">
        <v>50341</v>
      </c>
      <c r="G470" s="5">
        <v>766.47</v>
      </c>
      <c r="H470" s="5">
        <v>645.63</v>
      </c>
      <c r="I470" s="5">
        <v>0</v>
      </c>
      <c r="J470" s="5">
        <v>80479.37</v>
      </c>
      <c r="K470" s="5">
        <v>30138.37</v>
      </c>
      <c r="L470" t="s">
        <v>725</v>
      </c>
      <c r="M470" s="13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5">
        <v>3.5</v>
      </c>
      <c r="F471" s="5">
        <v>343</v>
      </c>
      <c r="G471" s="5">
        <v>6.89</v>
      </c>
      <c r="H471" s="5">
        <v>0.2</v>
      </c>
      <c r="I471" s="5">
        <v>185.2</v>
      </c>
      <c r="J471" s="5">
        <v>675</v>
      </c>
      <c r="K471" s="5">
        <v>332</v>
      </c>
      <c r="L471" t="s">
        <v>725</v>
      </c>
      <c r="M471" s="13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5">
        <v>535.86</v>
      </c>
      <c r="F472" s="5">
        <v>51978</v>
      </c>
      <c r="G472" s="5">
        <v>818.83</v>
      </c>
      <c r="H472" s="5">
        <v>869.52</v>
      </c>
      <c r="I472" s="5">
        <v>373.1</v>
      </c>
      <c r="J472" s="5">
        <v>79426.58</v>
      </c>
      <c r="K472" s="5">
        <v>27448.58</v>
      </c>
      <c r="L472" t="s">
        <v>725</v>
      </c>
      <c r="M472" s="13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5">
        <v>13.69</v>
      </c>
      <c r="F473" s="5">
        <v>971.99</v>
      </c>
      <c r="G473" s="5">
        <v>83.66</v>
      </c>
      <c r="H473" s="5">
        <v>9.9499999999999993</v>
      </c>
      <c r="I473" s="5">
        <v>0</v>
      </c>
      <c r="J473" s="5">
        <v>5940.05</v>
      </c>
      <c r="K473" s="5">
        <v>4968.0600000000004</v>
      </c>
      <c r="L473" t="s">
        <v>725</v>
      </c>
      <c r="M473" s="13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5">
        <v>47.9</v>
      </c>
      <c r="F474" s="5">
        <v>3161.34</v>
      </c>
      <c r="G474" s="5">
        <v>65.08</v>
      </c>
      <c r="H474" s="5">
        <v>20</v>
      </c>
      <c r="I474" s="5">
        <v>0</v>
      </c>
      <c r="J474" s="5">
        <v>4295</v>
      </c>
      <c r="K474" s="5">
        <v>1133.6600000000001</v>
      </c>
      <c r="L474" t="s">
        <v>725</v>
      </c>
      <c r="M474" s="13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5">
        <v>649</v>
      </c>
      <c r="F475" s="5">
        <v>40238</v>
      </c>
      <c r="G475" s="5">
        <v>988.73</v>
      </c>
      <c r="H475" s="5">
        <v>164.5</v>
      </c>
      <c r="I475" s="5">
        <v>46</v>
      </c>
      <c r="J475" s="5">
        <v>61301.5</v>
      </c>
      <c r="K475" s="5">
        <v>21063.5</v>
      </c>
      <c r="L475" t="s">
        <v>725</v>
      </c>
      <c r="M475" s="13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5">
        <v>664</v>
      </c>
      <c r="F476" s="5">
        <v>33864</v>
      </c>
      <c r="G476" s="5">
        <v>1073.96</v>
      </c>
      <c r="H476" s="5">
        <v>748.24</v>
      </c>
      <c r="I476" s="5">
        <v>0</v>
      </c>
      <c r="J476" s="5">
        <v>54771.76</v>
      </c>
      <c r="K476" s="5">
        <v>20907.759999999998</v>
      </c>
      <c r="L476" t="s">
        <v>725</v>
      </c>
      <c r="M476" s="13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5">
        <v>2</v>
      </c>
      <c r="F477" s="5">
        <v>80</v>
      </c>
      <c r="G477" s="5">
        <v>5.51</v>
      </c>
      <c r="H477" s="5">
        <v>0</v>
      </c>
      <c r="I477" s="5">
        <v>100.47</v>
      </c>
      <c r="J477" s="5">
        <v>220.47</v>
      </c>
      <c r="K477" s="5">
        <v>140.47</v>
      </c>
      <c r="L477" t="s">
        <v>725</v>
      </c>
      <c r="M477" s="13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5">
        <v>42</v>
      </c>
      <c r="F478" s="5">
        <v>1638</v>
      </c>
      <c r="G478" s="5">
        <v>57.18</v>
      </c>
      <c r="H478" s="5">
        <v>2.87</v>
      </c>
      <c r="I478" s="5">
        <v>47.74</v>
      </c>
      <c r="J478" s="5">
        <v>2229.87</v>
      </c>
      <c r="K478" s="5">
        <v>591.87</v>
      </c>
      <c r="L478" t="s">
        <v>725</v>
      </c>
      <c r="M478" s="13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5">
        <v>33.56</v>
      </c>
      <c r="F479" s="5">
        <v>1006.8</v>
      </c>
      <c r="G479" s="5">
        <v>62.14</v>
      </c>
      <c r="H479" s="5">
        <v>0</v>
      </c>
      <c r="I479" s="5">
        <v>194.2</v>
      </c>
      <c r="J479" s="5">
        <v>1864.2</v>
      </c>
      <c r="K479" s="5">
        <v>857.4</v>
      </c>
      <c r="L479" t="s">
        <v>725</v>
      </c>
      <c r="M479" s="13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5">
        <v>0</v>
      </c>
      <c r="F480" s="5">
        <v>0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t="s">
        <v>725</v>
      </c>
      <c r="M480" s="13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5">
        <v>693</v>
      </c>
      <c r="F481" s="5">
        <v>18711</v>
      </c>
      <c r="G481" s="5">
        <v>1238.8900000000001</v>
      </c>
      <c r="H481" s="5">
        <v>150</v>
      </c>
      <c r="I481" s="5">
        <v>0</v>
      </c>
      <c r="J481" s="5">
        <v>33450</v>
      </c>
      <c r="K481" s="5">
        <v>14739</v>
      </c>
      <c r="L481" t="s">
        <v>725</v>
      </c>
      <c r="M481" s="13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5">
        <v>679</v>
      </c>
      <c r="F482" s="5">
        <v>16296</v>
      </c>
      <c r="G482" s="5">
        <v>1147.72</v>
      </c>
      <c r="H482" s="5">
        <v>42</v>
      </c>
      <c r="I482" s="5">
        <v>287.20999999999998</v>
      </c>
      <c r="J482" s="5">
        <v>27545.21</v>
      </c>
      <c r="K482" s="5">
        <v>11249.21</v>
      </c>
      <c r="L482" t="s">
        <v>725</v>
      </c>
      <c r="M482" s="13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5">
        <v>90</v>
      </c>
      <c r="F483" s="5">
        <v>2070</v>
      </c>
      <c r="G483" s="5">
        <v>141.52000000000001</v>
      </c>
      <c r="H483" s="5">
        <v>0</v>
      </c>
      <c r="I483" s="5">
        <v>0</v>
      </c>
      <c r="J483" s="5">
        <v>3255</v>
      </c>
      <c r="K483" s="5">
        <v>1185</v>
      </c>
      <c r="L483" t="s">
        <v>725</v>
      </c>
      <c r="M483" s="13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5">
        <v>0</v>
      </c>
      <c r="F484" s="5">
        <v>0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t="s">
        <v>725</v>
      </c>
      <c r="M484" s="13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5">
        <v>45.6</v>
      </c>
      <c r="F485" s="5">
        <v>866.4</v>
      </c>
      <c r="G485" s="5">
        <v>70.31</v>
      </c>
      <c r="H485" s="5">
        <v>0</v>
      </c>
      <c r="I485" s="5">
        <v>5.96</v>
      </c>
      <c r="J485" s="5">
        <v>1335.96</v>
      </c>
      <c r="K485" s="5">
        <v>469.56</v>
      </c>
      <c r="L485" t="s">
        <v>725</v>
      </c>
      <c r="M485" s="13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5">
        <v>289</v>
      </c>
      <c r="F486" s="5">
        <v>5491</v>
      </c>
      <c r="G486" s="5">
        <v>525.05999999999995</v>
      </c>
      <c r="H486" s="5">
        <v>4.91</v>
      </c>
      <c r="I486" s="5">
        <v>26</v>
      </c>
      <c r="J486" s="5">
        <v>9976.09</v>
      </c>
      <c r="K486" s="5">
        <v>4485.09</v>
      </c>
      <c r="L486" t="s">
        <v>725</v>
      </c>
      <c r="M486" s="13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5">
        <v>705</v>
      </c>
      <c r="F487" s="5">
        <v>12690</v>
      </c>
      <c r="G487" s="5">
        <v>1366.67</v>
      </c>
      <c r="H487" s="5">
        <v>100</v>
      </c>
      <c r="I487" s="5">
        <v>0</v>
      </c>
      <c r="J487" s="5">
        <v>24600</v>
      </c>
      <c r="K487" s="5">
        <v>11910</v>
      </c>
      <c r="L487" t="s">
        <v>725</v>
      </c>
      <c r="M487" s="13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5">
        <v>0</v>
      </c>
      <c r="F488" s="5">
        <v>0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t="s">
        <v>725</v>
      </c>
      <c r="M488" s="13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5">
        <v>0</v>
      </c>
      <c r="F489" s="5">
        <v>0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t="s">
        <v>725</v>
      </c>
      <c r="M489" s="13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5">
        <v>491</v>
      </c>
      <c r="F490" s="5">
        <v>3928</v>
      </c>
      <c r="G490" s="5">
        <v>743.25</v>
      </c>
      <c r="H490" s="5">
        <v>0</v>
      </c>
      <c r="I490" s="5">
        <v>46</v>
      </c>
      <c r="J490" s="5">
        <v>5946</v>
      </c>
      <c r="K490" s="5">
        <v>2018</v>
      </c>
      <c r="L490" t="s">
        <v>725</v>
      </c>
      <c r="M490" s="13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5">
        <v>293.13</v>
      </c>
      <c r="F491" s="5">
        <v>2051.91</v>
      </c>
      <c r="G491" s="5">
        <v>430</v>
      </c>
      <c r="H491" s="5">
        <v>0</v>
      </c>
      <c r="I491" s="5">
        <v>0</v>
      </c>
      <c r="J491" s="5">
        <v>3010</v>
      </c>
      <c r="K491" s="5">
        <v>958.09</v>
      </c>
      <c r="L491" t="s">
        <v>725</v>
      </c>
      <c r="M491" s="13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5">
        <v>65</v>
      </c>
      <c r="F492" s="5">
        <v>390</v>
      </c>
      <c r="G492" s="5">
        <v>85</v>
      </c>
      <c r="H492" s="5">
        <v>0</v>
      </c>
      <c r="I492" s="5">
        <v>0</v>
      </c>
      <c r="J492" s="5">
        <v>510</v>
      </c>
      <c r="K492" s="5">
        <v>120</v>
      </c>
      <c r="L492" t="s">
        <v>725</v>
      </c>
      <c r="M492" s="13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5">
        <v>35</v>
      </c>
      <c r="F493" s="5">
        <v>140</v>
      </c>
      <c r="G493" s="5">
        <v>44.78</v>
      </c>
      <c r="H493" s="5">
        <v>0.88</v>
      </c>
      <c r="I493" s="5">
        <v>0</v>
      </c>
      <c r="J493" s="5">
        <v>179.12</v>
      </c>
      <c r="K493" s="5">
        <v>39.119999999999997</v>
      </c>
      <c r="L493" t="s">
        <v>725</v>
      </c>
      <c r="M493" s="13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5">
        <v>0</v>
      </c>
      <c r="F494" s="5">
        <v>0</v>
      </c>
      <c r="G494" s="5">
        <v>450</v>
      </c>
      <c r="H494" s="5">
        <v>0</v>
      </c>
      <c r="I494" s="5">
        <v>0</v>
      </c>
      <c r="J494" s="5">
        <v>1350</v>
      </c>
      <c r="K494" s="5">
        <v>1350</v>
      </c>
      <c r="L494" t="s">
        <v>725</v>
      </c>
      <c r="M494" s="13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5">
        <v>30.49</v>
      </c>
      <c r="F495" s="5">
        <v>91.47</v>
      </c>
      <c r="G495" s="5">
        <v>42.3</v>
      </c>
      <c r="H495" s="5">
        <v>3.11</v>
      </c>
      <c r="I495" s="5">
        <v>0</v>
      </c>
      <c r="J495" s="5">
        <v>126.89</v>
      </c>
      <c r="K495" s="5">
        <v>35.42</v>
      </c>
      <c r="L495" t="s">
        <v>725</v>
      </c>
      <c r="M495" s="13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5">
        <v>3.26</v>
      </c>
      <c r="F496" s="5">
        <v>9.7799999999999994</v>
      </c>
      <c r="G496" s="5">
        <v>4</v>
      </c>
      <c r="H496" s="5">
        <v>0</v>
      </c>
      <c r="I496" s="5">
        <v>0</v>
      </c>
      <c r="J496" s="5">
        <v>12</v>
      </c>
      <c r="K496" s="5">
        <v>2.2200000000000002</v>
      </c>
      <c r="L496" t="s">
        <v>725</v>
      </c>
      <c r="M496" s="13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5">
        <v>0</v>
      </c>
      <c r="F497" s="5">
        <v>0</v>
      </c>
      <c r="G497" s="5">
        <v>350</v>
      </c>
      <c r="H497" s="5">
        <v>0</v>
      </c>
      <c r="I497" s="5">
        <v>0</v>
      </c>
      <c r="J497" s="5">
        <v>700</v>
      </c>
      <c r="K497" s="5">
        <v>700</v>
      </c>
      <c r="L497" t="s">
        <v>725</v>
      </c>
      <c r="M497" s="13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5">
        <v>0</v>
      </c>
      <c r="F498" s="5">
        <v>0</v>
      </c>
      <c r="G498" s="5">
        <v>125</v>
      </c>
      <c r="H498" s="5">
        <v>0</v>
      </c>
      <c r="I498" s="5">
        <v>0</v>
      </c>
      <c r="J498" s="5">
        <v>250</v>
      </c>
      <c r="K498" s="5">
        <v>250</v>
      </c>
      <c r="L498" t="s">
        <v>725</v>
      </c>
      <c r="M498" s="13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5">
        <v>33</v>
      </c>
      <c r="F499" s="5">
        <v>66</v>
      </c>
      <c r="G499" s="5">
        <v>105</v>
      </c>
      <c r="H499" s="5">
        <v>0</v>
      </c>
      <c r="I499" s="5">
        <v>0</v>
      </c>
      <c r="J499" s="5">
        <v>210</v>
      </c>
      <c r="K499" s="5">
        <v>144</v>
      </c>
      <c r="L499" t="s">
        <v>725</v>
      </c>
      <c r="M499" s="13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5">
        <v>3</v>
      </c>
      <c r="F500" s="5">
        <v>3</v>
      </c>
      <c r="G500" s="5">
        <v>40</v>
      </c>
      <c r="H500" s="5">
        <v>0</v>
      </c>
      <c r="I500" s="5">
        <v>0</v>
      </c>
      <c r="J500" s="5">
        <v>40</v>
      </c>
      <c r="K500" s="5">
        <v>37</v>
      </c>
      <c r="L500" t="s">
        <v>725</v>
      </c>
      <c r="M500" s="13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5">
        <v>10.58</v>
      </c>
      <c r="F501" s="5">
        <v>10.58</v>
      </c>
      <c r="G501" s="5">
        <v>30</v>
      </c>
      <c r="H501" s="5">
        <v>0</v>
      </c>
      <c r="I501" s="5">
        <v>0</v>
      </c>
      <c r="J501" s="5">
        <v>30</v>
      </c>
      <c r="K501" s="5">
        <v>19.420000000000002</v>
      </c>
      <c r="L501" t="s">
        <v>725</v>
      </c>
      <c r="M501" s="13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5">
        <v>0</v>
      </c>
      <c r="F502" s="5">
        <v>0</v>
      </c>
      <c r="G502" s="5">
        <v>150</v>
      </c>
      <c r="H502" s="5">
        <v>0</v>
      </c>
      <c r="I502" s="5">
        <v>0</v>
      </c>
      <c r="J502" s="5">
        <v>150</v>
      </c>
      <c r="K502" s="5">
        <v>150</v>
      </c>
      <c r="L502" t="s">
        <v>725</v>
      </c>
      <c r="M502" s="13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5">
        <v>469</v>
      </c>
      <c r="F503" s="5">
        <v>469</v>
      </c>
      <c r="G503" s="5">
        <v>800</v>
      </c>
      <c r="H503" s="5">
        <v>100</v>
      </c>
      <c r="I503" s="5">
        <v>0</v>
      </c>
      <c r="J503" s="5">
        <v>800</v>
      </c>
      <c r="K503" s="5">
        <v>331</v>
      </c>
      <c r="L503" t="s">
        <v>725</v>
      </c>
      <c r="M503" s="13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5">
        <v>54.43</v>
      </c>
      <c r="F504" s="5">
        <v>54.43</v>
      </c>
      <c r="G504" s="5">
        <v>52.11</v>
      </c>
      <c r="H504" s="5">
        <v>2.89</v>
      </c>
      <c r="I504" s="5">
        <v>0</v>
      </c>
      <c r="J504" s="5">
        <v>52.11</v>
      </c>
      <c r="K504" s="5">
        <v>-2.3199999999999998</v>
      </c>
      <c r="L504" t="s">
        <v>725</v>
      </c>
      <c r="M504" s="13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5">
        <v>40</v>
      </c>
      <c r="F505" s="5">
        <v>40</v>
      </c>
      <c r="G505" s="5">
        <v>149.94</v>
      </c>
      <c r="H505" s="5">
        <v>0.06</v>
      </c>
      <c r="I505" s="5">
        <v>0</v>
      </c>
      <c r="J505" s="5">
        <v>149.94</v>
      </c>
      <c r="K505" s="5">
        <v>109.94</v>
      </c>
      <c r="L505" t="s">
        <v>725</v>
      </c>
      <c r="M505" s="13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5">
        <v>909</v>
      </c>
      <c r="F506" s="5">
        <v>909</v>
      </c>
      <c r="G506" s="5">
        <v>900</v>
      </c>
      <c r="H506" s="5">
        <v>0</v>
      </c>
      <c r="I506" s="5">
        <v>0</v>
      </c>
      <c r="J506" s="5">
        <v>900</v>
      </c>
      <c r="K506" s="5">
        <v>-9</v>
      </c>
      <c r="L506" t="s">
        <v>725</v>
      </c>
      <c r="M506" s="13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5">
        <v>0</v>
      </c>
      <c r="F507" s="5">
        <v>0</v>
      </c>
      <c r="G507" s="5">
        <v>180</v>
      </c>
      <c r="H507" s="5">
        <v>0</v>
      </c>
      <c r="I507" s="5">
        <v>0</v>
      </c>
      <c r="J507" s="5">
        <v>180</v>
      </c>
      <c r="K507" s="5">
        <v>180</v>
      </c>
      <c r="L507" t="s">
        <v>725</v>
      </c>
      <c r="M507" s="13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5">
        <v>2.5</v>
      </c>
      <c r="F508" s="5">
        <v>6625</v>
      </c>
      <c r="G508" s="5">
        <v>2.94</v>
      </c>
      <c r="H508" s="5">
        <v>0</v>
      </c>
      <c r="I508" s="5">
        <v>0</v>
      </c>
      <c r="J508" s="5">
        <v>7790</v>
      </c>
      <c r="K508" s="5">
        <v>1165</v>
      </c>
      <c r="L508" t="s">
        <v>735</v>
      </c>
      <c r="M508" s="13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5">
        <v>7.21</v>
      </c>
      <c r="F509" s="5">
        <v>5436.34</v>
      </c>
      <c r="G509" s="5">
        <v>18.329999999999998</v>
      </c>
      <c r="H509" s="5">
        <v>9.83</v>
      </c>
      <c r="I509" s="5">
        <v>23.9</v>
      </c>
      <c r="J509" s="5">
        <v>13817.57</v>
      </c>
      <c r="K509" s="5">
        <v>8381.23</v>
      </c>
      <c r="L509" t="s">
        <v>735</v>
      </c>
      <c r="M509" s="13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5">
        <v>0.65</v>
      </c>
      <c r="F510" s="5">
        <v>471.25</v>
      </c>
      <c r="G510" s="5">
        <v>1</v>
      </c>
      <c r="H510" s="5">
        <v>0</v>
      </c>
      <c r="I510" s="5">
        <v>0</v>
      </c>
      <c r="J510" s="5">
        <v>725</v>
      </c>
      <c r="K510" s="5">
        <v>253.75</v>
      </c>
      <c r="L510" t="s">
        <v>735</v>
      </c>
      <c r="M510" s="13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5">
        <v>0.65</v>
      </c>
      <c r="F511" s="5">
        <v>471.25</v>
      </c>
      <c r="G511" s="5">
        <v>1</v>
      </c>
      <c r="H511" s="5">
        <v>0</v>
      </c>
      <c r="I511" s="5">
        <v>0</v>
      </c>
      <c r="J511" s="5">
        <v>725</v>
      </c>
      <c r="K511" s="5">
        <v>253.75</v>
      </c>
      <c r="L511" t="s">
        <v>735</v>
      </c>
      <c r="M511" s="13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5">
        <v>3.05</v>
      </c>
      <c r="F512" s="5">
        <v>1192.55</v>
      </c>
      <c r="G512" s="5">
        <v>3.85</v>
      </c>
      <c r="H512" s="5">
        <v>0</v>
      </c>
      <c r="I512" s="5">
        <v>0.32</v>
      </c>
      <c r="J512" s="5">
        <v>1504.32</v>
      </c>
      <c r="K512" s="5">
        <v>311.77</v>
      </c>
      <c r="L512" t="s">
        <v>735</v>
      </c>
      <c r="M512" s="13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5">
        <v>432.79</v>
      </c>
      <c r="F513" s="5">
        <v>143253.49</v>
      </c>
      <c r="G513" s="5">
        <v>621.85</v>
      </c>
      <c r="H513" s="5">
        <v>776.52</v>
      </c>
      <c r="I513" s="5">
        <v>1538.14</v>
      </c>
      <c r="J513" s="5">
        <v>205831.61</v>
      </c>
      <c r="K513" s="5">
        <v>62578.12</v>
      </c>
      <c r="L513" t="s">
        <v>735</v>
      </c>
      <c r="M513" s="13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5">
        <v>385</v>
      </c>
      <c r="F514" s="5">
        <v>105875</v>
      </c>
      <c r="G514" s="5">
        <v>580.09</v>
      </c>
      <c r="H514" s="5">
        <v>515.30999999999995</v>
      </c>
      <c r="I514" s="5">
        <v>627.91</v>
      </c>
      <c r="J514" s="5">
        <v>159523.6</v>
      </c>
      <c r="K514" s="5">
        <v>53648.6</v>
      </c>
      <c r="L514" t="s">
        <v>735</v>
      </c>
      <c r="M514" s="13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5">
        <v>463</v>
      </c>
      <c r="F515" s="5">
        <v>70376</v>
      </c>
      <c r="G515" s="5">
        <v>719.9</v>
      </c>
      <c r="H515" s="5">
        <v>683.54</v>
      </c>
      <c r="I515" s="5">
        <v>882.61</v>
      </c>
      <c r="J515" s="5">
        <v>109424.07</v>
      </c>
      <c r="K515" s="5">
        <v>39048.07</v>
      </c>
      <c r="L515" t="s">
        <v>735</v>
      </c>
      <c r="M515" s="13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5">
        <v>12.19</v>
      </c>
      <c r="F516" s="5">
        <v>1499.37</v>
      </c>
      <c r="G516" s="5">
        <v>14.78</v>
      </c>
      <c r="H516" s="5">
        <v>2.5299999999999998</v>
      </c>
      <c r="I516" s="5">
        <v>0</v>
      </c>
      <c r="J516" s="5">
        <v>1817.97</v>
      </c>
      <c r="K516" s="5">
        <v>318.60000000000002</v>
      </c>
      <c r="L516" t="s">
        <v>735</v>
      </c>
      <c r="M516" s="13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5">
        <v>55</v>
      </c>
      <c r="F517" s="5">
        <v>6435</v>
      </c>
      <c r="G517" s="5">
        <v>130.37</v>
      </c>
      <c r="H517" s="5">
        <v>41.32</v>
      </c>
      <c r="I517" s="5">
        <v>141.18</v>
      </c>
      <c r="J517" s="5">
        <v>15252.85</v>
      </c>
      <c r="K517" s="5">
        <v>8817.85</v>
      </c>
      <c r="L517" t="s">
        <v>735</v>
      </c>
      <c r="M517" s="13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5">
        <v>544</v>
      </c>
      <c r="F518" s="5">
        <v>55488</v>
      </c>
      <c r="G518" s="5">
        <v>797.53</v>
      </c>
      <c r="H518" s="5">
        <v>139.04</v>
      </c>
      <c r="I518" s="5">
        <v>492.96</v>
      </c>
      <c r="J518" s="5">
        <v>81348.02</v>
      </c>
      <c r="K518" s="5">
        <v>25860.02</v>
      </c>
      <c r="L518" t="s">
        <v>735</v>
      </c>
      <c r="M518" s="13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5">
        <v>649</v>
      </c>
      <c r="F519" s="5">
        <v>46728</v>
      </c>
      <c r="G519" s="5">
        <v>911.13</v>
      </c>
      <c r="H519" s="5">
        <v>45.94</v>
      </c>
      <c r="I519" s="5">
        <v>0</v>
      </c>
      <c r="J519" s="5">
        <v>65601.06</v>
      </c>
      <c r="K519" s="5">
        <v>18873.060000000001</v>
      </c>
      <c r="L519" t="s">
        <v>735</v>
      </c>
      <c r="M519" s="13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5">
        <v>485</v>
      </c>
      <c r="F520" s="5">
        <v>33950</v>
      </c>
      <c r="G520" s="5">
        <v>770.8</v>
      </c>
      <c r="H520" s="5">
        <v>399.16</v>
      </c>
      <c r="I520" s="5">
        <v>0</v>
      </c>
      <c r="J520" s="5">
        <v>53955.839999999997</v>
      </c>
      <c r="K520" s="5">
        <v>20005.84</v>
      </c>
      <c r="L520" t="s">
        <v>735</v>
      </c>
      <c r="M520" s="13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5">
        <v>25</v>
      </c>
      <c r="F521" s="5">
        <v>1600</v>
      </c>
      <c r="G521" s="5">
        <v>29.75</v>
      </c>
      <c r="H521" s="5">
        <v>6.04</v>
      </c>
      <c r="I521" s="5">
        <v>0</v>
      </c>
      <c r="J521" s="5">
        <v>1903.96</v>
      </c>
      <c r="K521" s="5">
        <v>303.95999999999998</v>
      </c>
      <c r="L521" t="s">
        <v>735</v>
      </c>
      <c r="M521" s="13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5">
        <v>0.96</v>
      </c>
      <c r="F522" s="5">
        <v>48</v>
      </c>
      <c r="G522" s="5">
        <v>1.2</v>
      </c>
      <c r="H522" s="5">
        <v>0</v>
      </c>
      <c r="I522" s="5">
        <v>0</v>
      </c>
      <c r="J522" s="5">
        <v>60</v>
      </c>
      <c r="K522" s="5">
        <v>12</v>
      </c>
      <c r="L522" t="s">
        <v>735</v>
      </c>
      <c r="M522" s="13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5">
        <v>664</v>
      </c>
      <c r="F523" s="5">
        <v>29216</v>
      </c>
      <c r="G523" s="5">
        <v>1024.76</v>
      </c>
      <c r="H523" s="5">
        <v>0.45</v>
      </c>
      <c r="I523" s="5">
        <v>0</v>
      </c>
      <c r="J523" s="5">
        <v>45089.55</v>
      </c>
      <c r="K523" s="5">
        <v>15873.55</v>
      </c>
      <c r="L523" t="s">
        <v>735</v>
      </c>
      <c r="M523" s="13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5">
        <v>42</v>
      </c>
      <c r="F524" s="5">
        <v>1302</v>
      </c>
      <c r="G524" s="5">
        <v>54.25</v>
      </c>
      <c r="H524" s="5">
        <v>1.1599999999999999</v>
      </c>
      <c r="I524" s="5">
        <v>0</v>
      </c>
      <c r="J524" s="5">
        <v>1681.84</v>
      </c>
      <c r="K524" s="5">
        <v>379.84</v>
      </c>
      <c r="L524" t="s">
        <v>735</v>
      </c>
      <c r="M524" s="13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5">
        <v>13.69</v>
      </c>
      <c r="F525" s="5">
        <v>410.7</v>
      </c>
      <c r="G525" s="5">
        <v>97.77</v>
      </c>
      <c r="H525" s="5">
        <v>2.0299999999999998</v>
      </c>
      <c r="I525" s="5">
        <v>0</v>
      </c>
      <c r="J525" s="5">
        <v>2932.97</v>
      </c>
      <c r="K525" s="5">
        <v>2522.27</v>
      </c>
      <c r="L525" t="s">
        <v>735</v>
      </c>
      <c r="M525" s="13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5">
        <v>47.03</v>
      </c>
      <c r="F526" s="5">
        <v>1222.78</v>
      </c>
      <c r="G526" s="5">
        <v>51.46</v>
      </c>
      <c r="H526" s="5">
        <v>0</v>
      </c>
      <c r="I526" s="5">
        <v>0</v>
      </c>
      <c r="J526" s="5">
        <v>1338</v>
      </c>
      <c r="K526" s="5">
        <v>115.22</v>
      </c>
      <c r="L526" t="s">
        <v>735</v>
      </c>
      <c r="M526" s="13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5">
        <v>3.26</v>
      </c>
      <c r="F527" s="5">
        <v>81.5</v>
      </c>
      <c r="G527" s="5">
        <v>3.6</v>
      </c>
      <c r="H527" s="5">
        <v>0</v>
      </c>
      <c r="I527" s="5">
        <v>0</v>
      </c>
      <c r="J527" s="5">
        <v>90</v>
      </c>
      <c r="K527" s="5">
        <v>8.5</v>
      </c>
      <c r="L527" t="s">
        <v>735</v>
      </c>
      <c r="M527" s="13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5">
        <v>2</v>
      </c>
      <c r="F528" s="5">
        <v>50</v>
      </c>
      <c r="G528" s="5">
        <v>3</v>
      </c>
      <c r="H528" s="5">
        <v>0</v>
      </c>
      <c r="I528" s="5">
        <v>0</v>
      </c>
      <c r="J528" s="5">
        <v>75</v>
      </c>
      <c r="K528" s="5">
        <v>25</v>
      </c>
      <c r="L528" t="s">
        <v>735</v>
      </c>
      <c r="M528" s="13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t="s">
        <v>735</v>
      </c>
      <c r="M529" s="13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5">
        <v>90</v>
      </c>
      <c r="F530" s="5">
        <v>1620</v>
      </c>
      <c r="G530" s="5">
        <v>71.5</v>
      </c>
      <c r="H530" s="5">
        <v>3.08</v>
      </c>
      <c r="I530" s="5">
        <v>0</v>
      </c>
      <c r="J530" s="5">
        <v>1286.92</v>
      </c>
      <c r="K530" s="5">
        <v>-333.08</v>
      </c>
      <c r="L530" t="s">
        <v>735</v>
      </c>
      <c r="M530" s="13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5">
        <v>679</v>
      </c>
      <c r="F531" s="5">
        <v>11543</v>
      </c>
      <c r="G531" s="5">
        <v>1082.75</v>
      </c>
      <c r="H531" s="5">
        <v>103.32</v>
      </c>
      <c r="I531" s="5">
        <v>0</v>
      </c>
      <c r="J531" s="5">
        <v>18406.68</v>
      </c>
      <c r="K531" s="5">
        <v>6863.68</v>
      </c>
      <c r="L531" t="s">
        <v>735</v>
      </c>
      <c r="M531" s="13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5">
        <v>693</v>
      </c>
      <c r="F532" s="5">
        <v>9702</v>
      </c>
      <c r="G532" s="5">
        <v>1234.29</v>
      </c>
      <c r="H532" s="5">
        <v>0</v>
      </c>
      <c r="I532" s="5">
        <v>0</v>
      </c>
      <c r="J532" s="5">
        <v>17280</v>
      </c>
      <c r="K532" s="5">
        <v>7578</v>
      </c>
      <c r="L532" t="s">
        <v>735</v>
      </c>
      <c r="M532" s="13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5">
        <v>289</v>
      </c>
      <c r="F533" s="5">
        <v>4046</v>
      </c>
      <c r="G533" s="5">
        <v>545.94000000000005</v>
      </c>
      <c r="H533" s="5">
        <v>51.87</v>
      </c>
      <c r="I533" s="5">
        <v>0</v>
      </c>
      <c r="J533" s="5">
        <v>7643.13</v>
      </c>
      <c r="K533" s="5">
        <v>3597.13</v>
      </c>
      <c r="L533" t="s">
        <v>735</v>
      </c>
      <c r="M533" s="13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5">
        <v>45.6</v>
      </c>
      <c r="F534" s="5">
        <v>592.79999999999995</v>
      </c>
      <c r="G534" s="5">
        <v>73.08</v>
      </c>
      <c r="H534" s="5">
        <v>0</v>
      </c>
      <c r="I534" s="5">
        <v>0</v>
      </c>
      <c r="J534" s="5">
        <v>950</v>
      </c>
      <c r="K534" s="5">
        <v>357.2</v>
      </c>
      <c r="L534" t="s">
        <v>735</v>
      </c>
      <c r="M534" s="13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5">
        <v>35</v>
      </c>
      <c r="F535" s="5">
        <v>350</v>
      </c>
      <c r="G535" s="5">
        <v>36</v>
      </c>
      <c r="H535" s="5">
        <v>0</v>
      </c>
      <c r="I535" s="5">
        <v>0</v>
      </c>
      <c r="J535" s="5">
        <v>360</v>
      </c>
      <c r="K535" s="5">
        <v>10</v>
      </c>
      <c r="L535" t="s">
        <v>735</v>
      </c>
      <c r="M535" s="13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5">
        <v>705</v>
      </c>
      <c r="F536" s="5">
        <v>6345</v>
      </c>
      <c r="G536" s="5">
        <v>1311.11</v>
      </c>
      <c r="H536" s="5">
        <v>0</v>
      </c>
      <c r="I536" s="5">
        <v>0</v>
      </c>
      <c r="J536" s="5">
        <v>11800</v>
      </c>
      <c r="K536" s="5">
        <v>5455</v>
      </c>
      <c r="L536" t="s">
        <v>735</v>
      </c>
      <c r="M536" s="13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5">
        <v>293.13</v>
      </c>
      <c r="F537" s="5">
        <v>2345.04</v>
      </c>
      <c r="G537" s="5">
        <v>421.25</v>
      </c>
      <c r="H537" s="5">
        <v>0</v>
      </c>
      <c r="I537" s="5">
        <v>0</v>
      </c>
      <c r="J537" s="5">
        <v>3370</v>
      </c>
      <c r="K537" s="5">
        <v>1024.96</v>
      </c>
      <c r="L537" t="s">
        <v>735</v>
      </c>
      <c r="M537" s="13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5">
        <v>0</v>
      </c>
      <c r="F538" s="5">
        <v>0</v>
      </c>
      <c r="G538" s="5">
        <v>154.29</v>
      </c>
      <c r="H538" s="5">
        <v>0</v>
      </c>
      <c r="I538" s="5">
        <v>0</v>
      </c>
      <c r="J538" s="5">
        <v>1080</v>
      </c>
      <c r="K538" s="5">
        <v>1080</v>
      </c>
      <c r="L538" t="s">
        <v>735</v>
      </c>
      <c r="M538" s="13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5">
        <v>30.49</v>
      </c>
      <c r="F539" s="5">
        <v>213.43</v>
      </c>
      <c r="G539" s="5">
        <v>44.99</v>
      </c>
      <c r="H539" s="5">
        <v>0.04</v>
      </c>
      <c r="I539" s="5">
        <v>0</v>
      </c>
      <c r="J539" s="5">
        <v>314.95999999999998</v>
      </c>
      <c r="K539" s="5">
        <v>101.53</v>
      </c>
      <c r="L539" t="s">
        <v>735</v>
      </c>
      <c r="M539" s="13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5">
        <v>33.56</v>
      </c>
      <c r="F540" s="5">
        <v>201.36</v>
      </c>
      <c r="G540" s="5">
        <v>67.48</v>
      </c>
      <c r="H540" s="5">
        <v>0.08</v>
      </c>
      <c r="I540" s="5">
        <v>0</v>
      </c>
      <c r="J540" s="5">
        <v>404.9</v>
      </c>
      <c r="K540" s="5">
        <v>203.54</v>
      </c>
      <c r="L540" t="s">
        <v>735</v>
      </c>
      <c r="M540" s="13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5">
        <v>491</v>
      </c>
      <c r="F541" s="5">
        <v>1473</v>
      </c>
      <c r="G541" s="5">
        <v>740</v>
      </c>
      <c r="H541" s="5">
        <v>0</v>
      </c>
      <c r="I541" s="5">
        <v>0</v>
      </c>
      <c r="J541" s="5">
        <v>2220</v>
      </c>
      <c r="K541" s="5">
        <v>747</v>
      </c>
      <c r="L541" t="s">
        <v>735</v>
      </c>
      <c r="M541" s="13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5">
        <v>0</v>
      </c>
      <c r="F542" s="5">
        <v>0</v>
      </c>
      <c r="G542" s="5">
        <v>30</v>
      </c>
      <c r="H542" s="5">
        <v>0</v>
      </c>
      <c r="I542" s="5">
        <v>0</v>
      </c>
      <c r="J542" s="5">
        <v>90</v>
      </c>
      <c r="K542" s="5">
        <v>90</v>
      </c>
      <c r="L542" t="s">
        <v>735</v>
      </c>
      <c r="M542" s="13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5">
        <v>20</v>
      </c>
      <c r="F543" s="5">
        <v>60</v>
      </c>
      <c r="G543" s="5">
        <v>35</v>
      </c>
      <c r="H543" s="5">
        <v>0</v>
      </c>
      <c r="I543" s="5">
        <v>0</v>
      </c>
      <c r="J543" s="5">
        <v>105</v>
      </c>
      <c r="K543" s="5">
        <v>45</v>
      </c>
      <c r="L543" t="s">
        <v>735</v>
      </c>
      <c r="M543" s="13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5">
        <v>0</v>
      </c>
      <c r="F544" s="5">
        <v>0</v>
      </c>
      <c r="G544" s="5">
        <v>150</v>
      </c>
      <c r="H544" s="5">
        <v>0</v>
      </c>
      <c r="I544" s="5">
        <v>0</v>
      </c>
      <c r="J544" s="5">
        <v>300</v>
      </c>
      <c r="K544" s="5">
        <v>300</v>
      </c>
      <c r="L544" t="s">
        <v>735</v>
      </c>
      <c r="M544" s="13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5">
        <v>50</v>
      </c>
      <c r="F545" s="5">
        <v>100</v>
      </c>
      <c r="G545" s="5">
        <v>0</v>
      </c>
      <c r="H545" s="5">
        <v>0</v>
      </c>
      <c r="I545" s="5">
        <v>0</v>
      </c>
      <c r="J545" s="5">
        <v>0</v>
      </c>
      <c r="K545" s="5">
        <v>-100</v>
      </c>
      <c r="L545" t="s">
        <v>735</v>
      </c>
      <c r="M545" s="13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5">
        <v>0</v>
      </c>
      <c r="F546" s="5">
        <v>0</v>
      </c>
      <c r="G546" s="5">
        <v>35</v>
      </c>
      <c r="H546" s="5">
        <v>0</v>
      </c>
      <c r="I546" s="5">
        <v>0</v>
      </c>
      <c r="J546" s="5">
        <v>35</v>
      </c>
      <c r="K546" s="5">
        <v>35</v>
      </c>
      <c r="L546" t="s">
        <v>735</v>
      </c>
      <c r="M546" s="13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5">
        <v>33.56</v>
      </c>
      <c r="F547" s="5">
        <v>33.56</v>
      </c>
      <c r="G547" s="5">
        <v>180</v>
      </c>
      <c r="H547" s="5">
        <v>0</v>
      </c>
      <c r="I547" s="5">
        <v>0</v>
      </c>
      <c r="J547" s="5">
        <v>180</v>
      </c>
      <c r="K547" s="5">
        <v>146.44</v>
      </c>
      <c r="L547" t="s">
        <v>735</v>
      </c>
      <c r="M547" s="13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5">
        <v>54.43</v>
      </c>
      <c r="F548" s="5">
        <v>54.43</v>
      </c>
      <c r="G548" s="5">
        <v>70</v>
      </c>
      <c r="H548" s="5">
        <v>0</v>
      </c>
      <c r="I548" s="5">
        <v>0</v>
      </c>
      <c r="J548" s="5">
        <v>70</v>
      </c>
      <c r="K548" s="5">
        <v>15.57</v>
      </c>
      <c r="L548" t="s">
        <v>735</v>
      </c>
      <c r="M548" s="13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5">
        <v>0</v>
      </c>
      <c r="F549" s="5">
        <v>0</v>
      </c>
      <c r="G549" s="5">
        <v>278.88</v>
      </c>
      <c r="H549" s="5">
        <v>1.1200000000000001</v>
      </c>
      <c r="I549" s="5">
        <v>0</v>
      </c>
      <c r="J549" s="5">
        <v>278.88</v>
      </c>
      <c r="K549" s="5">
        <v>278.88</v>
      </c>
      <c r="L549" t="s">
        <v>735</v>
      </c>
      <c r="M549" s="13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5">
        <v>2.5</v>
      </c>
      <c r="F550" s="5">
        <v>5375</v>
      </c>
      <c r="G550" s="5">
        <v>3</v>
      </c>
      <c r="H550" s="5">
        <v>0</v>
      </c>
      <c r="I550" s="5">
        <v>30.2</v>
      </c>
      <c r="J550" s="5">
        <v>6440.2</v>
      </c>
      <c r="K550" s="5">
        <v>1065.2</v>
      </c>
      <c r="L550" t="s">
        <v>739</v>
      </c>
      <c r="M550" s="13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5">
        <v>0.65</v>
      </c>
      <c r="F551" s="5">
        <v>276.25</v>
      </c>
      <c r="G551" s="5">
        <v>1.01</v>
      </c>
      <c r="H551" s="5">
        <v>0</v>
      </c>
      <c r="I551" s="5">
        <v>5.41</v>
      </c>
      <c r="J551" s="5">
        <v>430.41</v>
      </c>
      <c r="K551" s="5">
        <v>154.16</v>
      </c>
      <c r="L551" t="s">
        <v>739</v>
      </c>
      <c r="M551" s="13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5">
        <v>0.65</v>
      </c>
      <c r="F552" s="5">
        <v>227.5</v>
      </c>
      <c r="G552" s="5">
        <v>1.02</v>
      </c>
      <c r="H552" s="5">
        <v>0</v>
      </c>
      <c r="I552" s="5">
        <v>7.14</v>
      </c>
      <c r="J552" s="5">
        <v>357.14</v>
      </c>
      <c r="K552" s="5">
        <v>129.63999999999999</v>
      </c>
      <c r="L552" t="s">
        <v>739</v>
      </c>
      <c r="M552" s="13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5">
        <v>7.23</v>
      </c>
      <c r="F553" s="5">
        <v>2017.29</v>
      </c>
      <c r="G553" s="5">
        <v>21.93</v>
      </c>
      <c r="H553" s="5">
        <v>4.75</v>
      </c>
      <c r="I553" s="5">
        <v>0</v>
      </c>
      <c r="J553" s="5">
        <v>6117.25</v>
      </c>
      <c r="K553" s="5">
        <v>4099.96</v>
      </c>
      <c r="L553" t="s">
        <v>739</v>
      </c>
      <c r="M553" s="13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5">
        <v>3.05</v>
      </c>
      <c r="F554" s="5">
        <v>631.35</v>
      </c>
      <c r="G554" s="5">
        <v>3.95</v>
      </c>
      <c r="H554" s="5">
        <v>0.04</v>
      </c>
      <c r="I554" s="5">
        <v>0</v>
      </c>
      <c r="J554" s="5">
        <v>817.96</v>
      </c>
      <c r="K554" s="5">
        <v>186.61</v>
      </c>
      <c r="L554" t="s">
        <v>739</v>
      </c>
      <c r="M554" s="13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5">
        <v>439.31</v>
      </c>
      <c r="F555" s="5">
        <v>77757.509999999995</v>
      </c>
      <c r="G555" s="5">
        <v>632.63</v>
      </c>
      <c r="H555" s="5">
        <v>315.77</v>
      </c>
      <c r="I555" s="5">
        <v>215.98</v>
      </c>
      <c r="J555" s="5">
        <v>111975.2</v>
      </c>
      <c r="K555" s="5">
        <v>34217.69</v>
      </c>
      <c r="L555" t="s">
        <v>739</v>
      </c>
      <c r="M555" s="13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5">
        <v>380.51</v>
      </c>
      <c r="F556" s="5">
        <v>53270.8</v>
      </c>
      <c r="G556" s="5">
        <v>577.34</v>
      </c>
      <c r="H556" s="5">
        <v>131.37</v>
      </c>
      <c r="I556" s="5">
        <v>0</v>
      </c>
      <c r="J556" s="5">
        <v>80827.53</v>
      </c>
      <c r="K556" s="5">
        <v>27556.73</v>
      </c>
      <c r="L556" t="s">
        <v>739</v>
      </c>
      <c r="M556" s="13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5">
        <v>25</v>
      </c>
      <c r="F557" s="5">
        <v>3350</v>
      </c>
      <c r="G557" s="5">
        <v>29.26</v>
      </c>
      <c r="H557" s="5">
        <v>0</v>
      </c>
      <c r="I557" s="5">
        <v>11.26</v>
      </c>
      <c r="J557" s="5">
        <v>3921.26</v>
      </c>
      <c r="K557" s="5">
        <v>571.26</v>
      </c>
      <c r="L557" t="s">
        <v>739</v>
      </c>
      <c r="M557" s="13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5">
        <v>548.24</v>
      </c>
      <c r="F558" s="5">
        <v>49889.56</v>
      </c>
      <c r="G558" s="5">
        <v>785.74</v>
      </c>
      <c r="H558" s="5">
        <v>28.82</v>
      </c>
      <c r="I558" s="5">
        <v>275.18</v>
      </c>
      <c r="J558" s="5">
        <v>71502.350000000006</v>
      </c>
      <c r="K558" s="5">
        <v>21612.79</v>
      </c>
      <c r="L558" t="s">
        <v>739</v>
      </c>
      <c r="M558" s="13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5">
        <v>2</v>
      </c>
      <c r="F559" s="5">
        <v>180</v>
      </c>
      <c r="G559" s="5">
        <v>3</v>
      </c>
      <c r="H559" s="5">
        <v>0</v>
      </c>
      <c r="I559" s="5">
        <v>0</v>
      </c>
      <c r="J559" s="5">
        <v>270</v>
      </c>
      <c r="K559" s="5">
        <v>90</v>
      </c>
      <c r="L559" t="s">
        <v>739</v>
      </c>
      <c r="M559" s="13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5">
        <v>42</v>
      </c>
      <c r="F560" s="5">
        <v>2058</v>
      </c>
      <c r="G560" s="5">
        <v>59.54</v>
      </c>
      <c r="H560" s="5">
        <v>32.520000000000003</v>
      </c>
      <c r="I560" s="5">
        <v>230</v>
      </c>
      <c r="J560" s="5">
        <v>2917.48</v>
      </c>
      <c r="K560" s="5">
        <v>859.48</v>
      </c>
      <c r="L560" t="s">
        <v>739</v>
      </c>
      <c r="M560" s="13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5">
        <v>486.89</v>
      </c>
      <c r="F561" s="5">
        <v>23857.7</v>
      </c>
      <c r="G561" s="5">
        <v>780.38</v>
      </c>
      <c r="H561" s="5">
        <v>1.44</v>
      </c>
      <c r="I561" s="5">
        <v>0</v>
      </c>
      <c r="J561" s="5">
        <v>38238.559999999998</v>
      </c>
      <c r="K561" s="5">
        <v>14380.86</v>
      </c>
      <c r="L561" t="s">
        <v>739</v>
      </c>
      <c r="M561" s="13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5">
        <v>468.59</v>
      </c>
      <c r="F562" s="5">
        <v>22961.119999999999</v>
      </c>
      <c r="G562" s="5">
        <v>723.87</v>
      </c>
      <c r="H562" s="5">
        <v>65.400000000000006</v>
      </c>
      <c r="I562" s="5">
        <v>75.12</v>
      </c>
      <c r="J562" s="5">
        <v>35469.730000000003</v>
      </c>
      <c r="K562" s="5">
        <v>12508.61</v>
      </c>
      <c r="L562" t="s">
        <v>739</v>
      </c>
      <c r="M562" s="13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5">
        <v>672.99</v>
      </c>
      <c r="F563" s="5">
        <v>32976.370000000003</v>
      </c>
      <c r="G563" s="5">
        <v>956.09</v>
      </c>
      <c r="H563" s="5">
        <v>0.61</v>
      </c>
      <c r="I563" s="5">
        <v>48.89</v>
      </c>
      <c r="J563" s="5">
        <v>46848.28</v>
      </c>
      <c r="K563" s="5">
        <v>13871.91</v>
      </c>
      <c r="L563" t="s">
        <v>739</v>
      </c>
      <c r="M563" s="13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5">
        <v>654.82000000000005</v>
      </c>
      <c r="F564" s="5">
        <v>27502.6</v>
      </c>
      <c r="G564" s="5">
        <v>880.95</v>
      </c>
      <c r="H564" s="5">
        <v>0</v>
      </c>
      <c r="I564" s="5">
        <v>0</v>
      </c>
      <c r="J564" s="5">
        <v>37000</v>
      </c>
      <c r="K564" s="5">
        <v>9497.4</v>
      </c>
      <c r="L564" t="s">
        <v>739</v>
      </c>
      <c r="M564" s="13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5">
        <v>12.19</v>
      </c>
      <c r="F565" s="5">
        <v>487.6</v>
      </c>
      <c r="G565" s="5">
        <v>15.57</v>
      </c>
      <c r="H565" s="5">
        <v>0.26</v>
      </c>
      <c r="I565" s="5">
        <v>0</v>
      </c>
      <c r="J565" s="5">
        <v>622.76</v>
      </c>
      <c r="K565" s="5">
        <v>135.16</v>
      </c>
      <c r="L565" t="s">
        <v>739</v>
      </c>
      <c r="M565" s="13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5">
        <v>33.56</v>
      </c>
      <c r="F566" s="5">
        <v>1342.4</v>
      </c>
      <c r="G566" s="5">
        <v>66.25</v>
      </c>
      <c r="H566" s="5">
        <v>0</v>
      </c>
      <c r="I566" s="5">
        <v>100</v>
      </c>
      <c r="J566" s="5">
        <v>2650</v>
      </c>
      <c r="K566" s="5">
        <v>1307.5999999999999</v>
      </c>
      <c r="L566" t="s">
        <v>739</v>
      </c>
      <c r="M566" s="13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5">
        <v>46.68</v>
      </c>
      <c r="F567" s="5">
        <v>1587.02</v>
      </c>
      <c r="G567" s="5">
        <v>83.53</v>
      </c>
      <c r="H567" s="5">
        <v>0</v>
      </c>
      <c r="I567" s="5">
        <v>0</v>
      </c>
      <c r="J567" s="5">
        <v>2840</v>
      </c>
      <c r="K567" s="5">
        <v>1252.98</v>
      </c>
      <c r="L567" t="s">
        <v>739</v>
      </c>
      <c r="M567" s="13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5">
        <v>55.44</v>
      </c>
      <c r="F568" s="5">
        <v>1607.8</v>
      </c>
      <c r="G568" s="5">
        <v>115</v>
      </c>
      <c r="H568" s="5">
        <v>255</v>
      </c>
      <c r="I568" s="5">
        <v>40</v>
      </c>
      <c r="J568" s="5">
        <v>3335</v>
      </c>
      <c r="K568" s="5">
        <v>1727.2</v>
      </c>
      <c r="L568" t="s">
        <v>739</v>
      </c>
      <c r="M568" s="13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5">
        <v>90</v>
      </c>
      <c r="F569" s="5">
        <v>1800</v>
      </c>
      <c r="G569" s="5">
        <v>150</v>
      </c>
      <c r="H569" s="5">
        <v>0</v>
      </c>
      <c r="I569" s="5">
        <v>0</v>
      </c>
      <c r="J569" s="5">
        <v>3000</v>
      </c>
      <c r="K569" s="5">
        <v>1200</v>
      </c>
      <c r="L569" t="s">
        <v>739</v>
      </c>
      <c r="M569" s="13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5">
        <v>688.79</v>
      </c>
      <c r="F570" s="5">
        <v>10331.82</v>
      </c>
      <c r="G570" s="5">
        <v>1106.1600000000001</v>
      </c>
      <c r="H570" s="5">
        <v>7.65</v>
      </c>
      <c r="I570" s="5">
        <v>0</v>
      </c>
      <c r="J570" s="5">
        <v>16592.349999999999</v>
      </c>
      <c r="K570" s="5">
        <v>6260.53</v>
      </c>
      <c r="L570" t="s">
        <v>739</v>
      </c>
      <c r="M570" s="13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5">
        <v>0</v>
      </c>
      <c r="F571" s="5">
        <v>0</v>
      </c>
      <c r="G571" s="5">
        <v>5</v>
      </c>
      <c r="H571" s="5">
        <v>0</v>
      </c>
      <c r="I571" s="5">
        <v>0</v>
      </c>
      <c r="J571" s="5">
        <v>70</v>
      </c>
      <c r="K571" s="5">
        <v>70</v>
      </c>
      <c r="L571" t="s">
        <v>739</v>
      </c>
      <c r="M571" s="13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5">
        <v>704.53</v>
      </c>
      <c r="F572" s="5">
        <v>9158.85</v>
      </c>
      <c r="G572" s="5">
        <v>1203.8499999999999</v>
      </c>
      <c r="H572" s="5">
        <v>0</v>
      </c>
      <c r="I572" s="5">
        <v>0</v>
      </c>
      <c r="J572" s="5">
        <v>15650</v>
      </c>
      <c r="K572" s="5">
        <v>6491.15</v>
      </c>
      <c r="L572" t="s">
        <v>739</v>
      </c>
      <c r="M572" s="13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5">
        <v>291.8</v>
      </c>
      <c r="F573" s="5">
        <v>3501.54</v>
      </c>
      <c r="G573" s="5">
        <v>498.27</v>
      </c>
      <c r="H573" s="5">
        <v>22.6</v>
      </c>
      <c r="I573" s="5">
        <v>111.87</v>
      </c>
      <c r="J573" s="5">
        <v>5979.27</v>
      </c>
      <c r="K573" s="5">
        <v>2477.73</v>
      </c>
      <c r="L573" t="s">
        <v>739</v>
      </c>
      <c r="M573" s="13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5">
        <v>510.31</v>
      </c>
      <c r="F574" s="5">
        <v>6123.72</v>
      </c>
      <c r="G574" s="5">
        <v>750</v>
      </c>
      <c r="H574" s="5">
        <v>100</v>
      </c>
      <c r="I574" s="5">
        <v>0</v>
      </c>
      <c r="J574" s="5">
        <v>9000</v>
      </c>
      <c r="K574" s="5">
        <v>2876.28</v>
      </c>
      <c r="L574" t="s">
        <v>739</v>
      </c>
      <c r="M574" s="13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5">
        <v>45.6</v>
      </c>
      <c r="F575" s="5">
        <v>547.20000000000005</v>
      </c>
      <c r="G575" s="5">
        <v>67.900000000000006</v>
      </c>
      <c r="H575" s="5">
        <v>1.27</v>
      </c>
      <c r="I575" s="5">
        <v>6.11</v>
      </c>
      <c r="J575" s="5">
        <v>814.84</v>
      </c>
      <c r="K575" s="5">
        <v>267.64</v>
      </c>
      <c r="L575" t="s">
        <v>739</v>
      </c>
      <c r="M575" s="13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5">
        <v>293.13</v>
      </c>
      <c r="F576" s="5">
        <v>3224.43</v>
      </c>
      <c r="G576" s="5">
        <v>416.36</v>
      </c>
      <c r="H576" s="5">
        <v>50</v>
      </c>
      <c r="I576" s="5">
        <v>0</v>
      </c>
      <c r="J576" s="5">
        <v>4580</v>
      </c>
      <c r="K576" s="5">
        <v>1355.57</v>
      </c>
      <c r="L576" t="s">
        <v>739</v>
      </c>
      <c r="M576" s="13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5">
        <v>13.69</v>
      </c>
      <c r="F577" s="5">
        <v>150.59</v>
      </c>
      <c r="G577" s="5">
        <v>99.09</v>
      </c>
      <c r="H577" s="5">
        <v>0</v>
      </c>
      <c r="I577" s="5">
        <v>0</v>
      </c>
      <c r="J577" s="5">
        <v>1090</v>
      </c>
      <c r="K577" s="5">
        <v>939.41</v>
      </c>
      <c r="L577" t="s">
        <v>739</v>
      </c>
      <c r="M577" s="13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5">
        <v>3.26</v>
      </c>
      <c r="F578" s="5">
        <v>32.6</v>
      </c>
      <c r="G578" s="5">
        <v>5</v>
      </c>
      <c r="H578" s="5">
        <v>0</v>
      </c>
      <c r="I578" s="5">
        <v>0</v>
      </c>
      <c r="J578" s="5">
        <v>50</v>
      </c>
      <c r="K578" s="5">
        <v>17.399999999999999</v>
      </c>
      <c r="L578" t="s">
        <v>739</v>
      </c>
      <c r="M578" s="13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5">
        <v>945.57</v>
      </c>
      <c r="F579" s="5">
        <v>8510.1299999999992</v>
      </c>
      <c r="G579" s="5">
        <v>1355.72</v>
      </c>
      <c r="H579" s="5">
        <v>191.02</v>
      </c>
      <c r="I579" s="5">
        <v>172.51</v>
      </c>
      <c r="J579" s="5">
        <v>12201.5</v>
      </c>
      <c r="K579" s="5">
        <v>3691.37</v>
      </c>
      <c r="L579" t="s">
        <v>739</v>
      </c>
      <c r="M579" s="13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5">
        <v>481.53</v>
      </c>
      <c r="F580" s="5">
        <v>4333.8</v>
      </c>
      <c r="G580" s="5">
        <v>743.78</v>
      </c>
      <c r="H580" s="5">
        <v>30.95</v>
      </c>
      <c r="I580" s="5">
        <v>45</v>
      </c>
      <c r="J580" s="5">
        <v>6694.05</v>
      </c>
      <c r="K580" s="5">
        <v>2360.25</v>
      </c>
      <c r="L580" t="s">
        <v>739</v>
      </c>
      <c r="M580" s="13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5">
        <v>33.56</v>
      </c>
      <c r="F581" s="5">
        <v>234.92</v>
      </c>
      <c r="G581" s="5">
        <v>71.430000000000007</v>
      </c>
      <c r="H581" s="5">
        <v>18</v>
      </c>
      <c r="I581" s="5">
        <v>0</v>
      </c>
      <c r="J581" s="5">
        <v>500</v>
      </c>
      <c r="K581" s="5">
        <v>265.08</v>
      </c>
      <c r="L581" t="s">
        <v>739</v>
      </c>
      <c r="M581" s="13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5">
        <v>727.7</v>
      </c>
      <c r="F582" s="5">
        <v>5093.88</v>
      </c>
      <c r="G582" s="5">
        <v>1305.71</v>
      </c>
      <c r="H582" s="5">
        <v>350</v>
      </c>
      <c r="I582" s="5">
        <v>40</v>
      </c>
      <c r="J582" s="5">
        <v>9140</v>
      </c>
      <c r="K582" s="5">
        <v>4046.12</v>
      </c>
      <c r="L582" t="s">
        <v>739</v>
      </c>
      <c r="M582" s="13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5">
        <v>35</v>
      </c>
      <c r="F583" s="5">
        <v>245</v>
      </c>
      <c r="G583" s="5">
        <v>43.57</v>
      </c>
      <c r="H583" s="5">
        <v>40</v>
      </c>
      <c r="I583" s="5">
        <v>0</v>
      </c>
      <c r="J583" s="5">
        <v>305</v>
      </c>
      <c r="K583" s="5">
        <v>60</v>
      </c>
      <c r="L583" t="s">
        <v>739</v>
      </c>
      <c r="M583" s="13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5">
        <v>0</v>
      </c>
      <c r="F584" s="5">
        <v>0</v>
      </c>
      <c r="G584" s="5">
        <v>400</v>
      </c>
      <c r="H584" s="5">
        <v>0</v>
      </c>
      <c r="I584" s="5">
        <v>0</v>
      </c>
      <c r="J584" s="5">
        <v>2400</v>
      </c>
      <c r="K584" s="5">
        <v>2400</v>
      </c>
      <c r="L584" t="s">
        <v>739</v>
      </c>
      <c r="M584" s="13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5">
        <v>0</v>
      </c>
      <c r="F585" s="5">
        <v>0</v>
      </c>
      <c r="G585" s="5">
        <v>4.99</v>
      </c>
      <c r="H585" s="5">
        <v>0.04</v>
      </c>
      <c r="I585" s="5">
        <v>0</v>
      </c>
      <c r="J585" s="5">
        <v>29.96</v>
      </c>
      <c r="K585" s="5">
        <v>29.96</v>
      </c>
      <c r="L585" t="s">
        <v>739</v>
      </c>
      <c r="M585" s="13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5">
        <v>20</v>
      </c>
      <c r="F586" s="5">
        <v>100</v>
      </c>
      <c r="G586" s="5">
        <v>46</v>
      </c>
      <c r="H586" s="5">
        <v>20</v>
      </c>
      <c r="I586" s="5">
        <v>0</v>
      </c>
      <c r="J586" s="5">
        <v>230</v>
      </c>
      <c r="K586" s="5">
        <v>130</v>
      </c>
      <c r="L586" t="s">
        <v>739</v>
      </c>
      <c r="M586" s="13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5">
        <v>3.3</v>
      </c>
      <c r="F587" s="5">
        <v>13.2</v>
      </c>
      <c r="G587" s="5">
        <v>5</v>
      </c>
      <c r="H587" s="5">
        <v>0</v>
      </c>
      <c r="I587" s="5">
        <v>0</v>
      </c>
      <c r="J587" s="5">
        <v>20</v>
      </c>
      <c r="K587" s="5">
        <v>6.8</v>
      </c>
      <c r="L587" t="s">
        <v>739</v>
      </c>
      <c r="M587" s="13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5">
        <v>975.59</v>
      </c>
      <c r="F588" s="5">
        <v>2926.77</v>
      </c>
      <c r="G588" s="5">
        <v>1443.08</v>
      </c>
      <c r="H588" s="5">
        <v>0</v>
      </c>
      <c r="I588" s="5">
        <v>179.23</v>
      </c>
      <c r="J588" s="5">
        <v>4329.2299999999996</v>
      </c>
      <c r="K588" s="5">
        <v>1402.46</v>
      </c>
      <c r="L588" t="s">
        <v>739</v>
      </c>
      <c r="M588" s="13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5">
        <v>0</v>
      </c>
      <c r="F589" s="5">
        <v>0</v>
      </c>
      <c r="G589" s="5">
        <v>190</v>
      </c>
      <c r="H589" s="5">
        <v>0</v>
      </c>
      <c r="I589" s="5">
        <v>0</v>
      </c>
      <c r="J589" s="5">
        <v>380</v>
      </c>
      <c r="K589" s="5">
        <v>380</v>
      </c>
      <c r="L589" t="s">
        <v>739</v>
      </c>
      <c r="M589" s="13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5">
        <v>0</v>
      </c>
      <c r="F590" s="5">
        <v>0</v>
      </c>
      <c r="G590" s="5">
        <v>15</v>
      </c>
      <c r="H590" s="5">
        <v>0</v>
      </c>
      <c r="I590" s="5">
        <v>0</v>
      </c>
      <c r="J590" s="5">
        <v>30</v>
      </c>
      <c r="K590" s="5">
        <v>30</v>
      </c>
      <c r="L590" t="s">
        <v>739</v>
      </c>
      <c r="M590" s="13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5">
        <v>3</v>
      </c>
      <c r="F591" s="5">
        <v>3</v>
      </c>
      <c r="G591" s="5">
        <v>44.69</v>
      </c>
      <c r="H591" s="5">
        <v>0.31</v>
      </c>
      <c r="I591" s="5">
        <v>0</v>
      </c>
      <c r="J591" s="5">
        <v>44.69</v>
      </c>
      <c r="K591" s="5">
        <v>41.69</v>
      </c>
      <c r="L591" t="s">
        <v>739</v>
      </c>
      <c r="M591" s="13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5">
        <v>30.49</v>
      </c>
      <c r="F592" s="5">
        <v>30.49</v>
      </c>
      <c r="G592" s="5">
        <v>45</v>
      </c>
      <c r="H592" s="5">
        <v>0</v>
      </c>
      <c r="I592" s="5">
        <v>0</v>
      </c>
      <c r="J592" s="5">
        <v>45</v>
      </c>
      <c r="K592" s="5">
        <v>14.51</v>
      </c>
      <c r="L592" t="s">
        <v>739</v>
      </c>
      <c r="M592" s="13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5">
        <v>0</v>
      </c>
      <c r="F593" s="5">
        <v>0</v>
      </c>
      <c r="G593" s="5">
        <v>790</v>
      </c>
      <c r="H593" s="5">
        <v>0</v>
      </c>
      <c r="I593" s="5">
        <v>0</v>
      </c>
      <c r="J593" s="5">
        <v>790</v>
      </c>
      <c r="K593" s="5">
        <v>790</v>
      </c>
      <c r="L593" t="s">
        <v>739</v>
      </c>
      <c r="M593" s="13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5">
        <v>10</v>
      </c>
      <c r="F594" s="5">
        <v>10</v>
      </c>
      <c r="G594" s="5">
        <v>100</v>
      </c>
      <c r="H594" s="5">
        <v>0</v>
      </c>
      <c r="I594" s="5">
        <v>0</v>
      </c>
      <c r="J594" s="5">
        <v>100</v>
      </c>
      <c r="K594" s="5">
        <v>90</v>
      </c>
      <c r="L594" t="s">
        <v>739</v>
      </c>
      <c r="M594" s="13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5">
        <v>0</v>
      </c>
      <c r="F595" s="5">
        <v>0</v>
      </c>
      <c r="G595" s="5">
        <v>190</v>
      </c>
      <c r="H595" s="5">
        <v>0</v>
      </c>
      <c r="I595" s="5">
        <v>0</v>
      </c>
      <c r="J595" s="5">
        <v>190</v>
      </c>
      <c r="K595" s="5">
        <v>190</v>
      </c>
      <c r="L595" t="s">
        <v>739</v>
      </c>
      <c r="M595" s="13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5">
        <v>0</v>
      </c>
      <c r="F596" s="5">
        <v>0</v>
      </c>
      <c r="G596" s="5">
        <v>65</v>
      </c>
      <c r="H596" s="5">
        <v>0</v>
      </c>
      <c r="I596" s="5">
        <v>0</v>
      </c>
      <c r="J596" s="5">
        <v>65</v>
      </c>
      <c r="K596" s="5">
        <v>65</v>
      </c>
      <c r="L596" t="s">
        <v>739</v>
      </c>
      <c r="M596" s="13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5">
        <v>0</v>
      </c>
      <c r="F597" s="5">
        <v>0</v>
      </c>
      <c r="G597" s="5">
        <v>50</v>
      </c>
      <c r="H597" s="5">
        <v>0</v>
      </c>
      <c r="I597" s="5">
        <v>0</v>
      </c>
      <c r="J597" s="5">
        <v>50</v>
      </c>
      <c r="K597" s="5">
        <v>50</v>
      </c>
      <c r="L597" t="s">
        <v>739</v>
      </c>
      <c r="M597" s="13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5">
        <v>0</v>
      </c>
      <c r="F598" s="5">
        <v>0</v>
      </c>
      <c r="G598" s="5">
        <v>35</v>
      </c>
      <c r="H598" s="5">
        <v>0</v>
      </c>
      <c r="I598" s="5">
        <v>0</v>
      </c>
      <c r="J598" s="5">
        <v>35</v>
      </c>
      <c r="K598" s="5">
        <v>35</v>
      </c>
      <c r="L598" t="s">
        <v>739</v>
      </c>
      <c r="M598" s="13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5">
        <v>0</v>
      </c>
      <c r="F599" s="5">
        <v>0</v>
      </c>
      <c r="G599" s="5">
        <v>20</v>
      </c>
      <c r="H599" s="5">
        <v>0</v>
      </c>
      <c r="I599" s="5">
        <v>0</v>
      </c>
      <c r="J599" s="5">
        <v>20</v>
      </c>
      <c r="K599" s="5">
        <v>20</v>
      </c>
      <c r="L599" t="s">
        <v>739</v>
      </c>
      <c r="M599" s="13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1">
        <v>2.5</v>
      </c>
      <c r="F600" s="11">
        <v>7750</v>
      </c>
      <c r="G600" s="11">
        <v>3.06</v>
      </c>
      <c r="H600" s="5">
        <v>0</v>
      </c>
      <c r="I600" s="5">
        <v>7.26</v>
      </c>
      <c r="J600" s="11">
        <v>9487.26</v>
      </c>
      <c r="K600" s="11">
        <v>1737.26</v>
      </c>
      <c r="L600" t="s">
        <v>504</v>
      </c>
      <c r="M600" s="13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1">
        <v>7.51</v>
      </c>
      <c r="F601" s="11">
        <v>7562.57</v>
      </c>
      <c r="G601" s="11">
        <v>18.52</v>
      </c>
      <c r="H601" s="5">
        <v>48.56</v>
      </c>
      <c r="I601" s="5">
        <v>0</v>
      </c>
      <c r="J601" s="11">
        <v>18645.439999999999</v>
      </c>
      <c r="K601" s="11">
        <v>11082.87</v>
      </c>
      <c r="L601" t="s">
        <v>504</v>
      </c>
      <c r="M601" s="13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1">
        <v>0.93</v>
      </c>
      <c r="F602" s="11">
        <v>465</v>
      </c>
      <c r="G602" s="11">
        <v>1.2</v>
      </c>
      <c r="H602" s="5">
        <v>0</v>
      </c>
      <c r="I602" s="5">
        <v>0</v>
      </c>
      <c r="J602" s="11">
        <v>600</v>
      </c>
      <c r="K602" s="11">
        <v>135</v>
      </c>
      <c r="L602" t="s">
        <v>504</v>
      </c>
      <c r="M602" s="13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1">
        <v>0.93</v>
      </c>
      <c r="F603" s="11">
        <v>465</v>
      </c>
      <c r="G603" s="11">
        <v>1.2</v>
      </c>
      <c r="H603" s="5">
        <v>0</v>
      </c>
      <c r="I603" s="5">
        <v>0</v>
      </c>
      <c r="J603" s="11">
        <v>600</v>
      </c>
      <c r="K603" s="11">
        <v>135</v>
      </c>
      <c r="L603" t="s">
        <v>504</v>
      </c>
      <c r="M603" s="13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1">
        <v>48</v>
      </c>
      <c r="F604" s="11">
        <v>19728</v>
      </c>
      <c r="G604" s="11">
        <v>65.5</v>
      </c>
      <c r="H604" s="5">
        <v>0.01</v>
      </c>
      <c r="I604" s="5">
        <v>0</v>
      </c>
      <c r="J604" s="11">
        <v>26918.99</v>
      </c>
      <c r="K604" s="11">
        <v>7190.99</v>
      </c>
      <c r="L604" t="s">
        <v>504</v>
      </c>
      <c r="M604" s="13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1">
        <v>367.73</v>
      </c>
      <c r="F605" s="11">
        <v>118776.65</v>
      </c>
      <c r="G605" s="11">
        <v>585.76</v>
      </c>
      <c r="H605" s="5">
        <v>3133.67</v>
      </c>
      <c r="I605" s="5">
        <v>391.91</v>
      </c>
      <c r="J605" s="11">
        <v>189200.89</v>
      </c>
      <c r="K605" s="11">
        <v>70424.240000000005</v>
      </c>
      <c r="L605" t="s">
        <v>504</v>
      </c>
      <c r="M605" s="13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1">
        <v>3.05</v>
      </c>
      <c r="F606" s="11">
        <v>939.4</v>
      </c>
      <c r="G606" s="11">
        <v>3.94</v>
      </c>
      <c r="H606" s="5">
        <v>0</v>
      </c>
      <c r="I606" s="5">
        <v>0</v>
      </c>
      <c r="J606" s="11">
        <v>1212</v>
      </c>
      <c r="K606" s="11">
        <v>272.60000000000002</v>
      </c>
      <c r="L606" t="s">
        <v>504</v>
      </c>
      <c r="M606" s="13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1">
        <v>450.27</v>
      </c>
      <c r="F607" s="11">
        <v>135531.26999999999</v>
      </c>
      <c r="G607" s="11">
        <v>623.95000000000005</v>
      </c>
      <c r="H607" s="5">
        <v>1950.2</v>
      </c>
      <c r="I607" s="5">
        <v>939.88</v>
      </c>
      <c r="J607" s="11">
        <v>187808.43</v>
      </c>
      <c r="K607" s="11">
        <v>52277.16</v>
      </c>
      <c r="L607" t="s">
        <v>504</v>
      </c>
      <c r="M607" s="13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1">
        <v>0.96</v>
      </c>
      <c r="F608" s="11">
        <v>216</v>
      </c>
      <c r="G608" s="11">
        <v>0.66</v>
      </c>
      <c r="H608" s="5">
        <v>170.1</v>
      </c>
      <c r="I608" s="5">
        <v>0</v>
      </c>
      <c r="J608" s="11">
        <v>149.4</v>
      </c>
      <c r="K608" s="11">
        <v>-66.599999999999994</v>
      </c>
      <c r="L608" t="s">
        <v>504</v>
      </c>
      <c r="M608" s="13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1">
        <v>3.26</v>
      </c>
      <c r="F609" s="11">
        <v>407.5</v>
      </c>
      <c r="G609" s="11">
        <v>2.4</v>
      </c>
      <c r="H609" s="5">
        <v>514.4</v>
      </c>
      <c r="I609" s="5">
        <v>0</v>
      </c>
      <c r="J609" s="11">
        <v>300.60000000000002</v>
      </c>
      <c r="K609" s="11">
        <v>-106.9</v>
      </c>
      <c r="L609" t="s">
        <v>504</v>
      </c>
      <c r="M609" s="13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1">
        <v>472.79</v>
      </c>
      <c r="F610" s="11">
        <v>58625.96</v>
      </c>
      <c r="G610" s="11">
        <v>697.19</v>
      </c>
      <c r="H610" s="5">
        <v>1113.19</v>
      </c>
      <c r="I610" s="5">
        <v>319.35000000000002</v>
      </c>
      <c r="J610" s="11">
        <v>86451.17</v>
      </c>
      <c r="K610" s="11">
        <v>27825.21</v>
      </c>
      <c r="L610" t="s">
        <v>504</v>
      </c>
      <c r="M610" s="13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1">
        <v>25</v>
      </c>
      <c r="F611" s="11">
        <v>2525</v>
      </c>
      <c r="G611" s="11">
        <v>30.73</v>
      </c>
      <c r="H611" s="5">
        <v>0.04</v>
      </c>
      <c r="I611" s="5">
        <v>1.35</v>
      </c>
      <c r="J611" s="11">
        <v>3103.31</v>
      </c>
      <c r="K611" s="11">
        <v>578.30999999999995</v>
      </c>
      <c r="L611" t="s">
        <v>504</v>
      </c>
      <c r="M611" s="13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1">
        <v>56.28</v>
      </c>
      <c r="F612" s="11">
        <v>5121.4799999999996</v>
      </c>
      <c r="G612" s="11">
        <v>127.88</v>
      </c>
      <c r="H612" s="5">
        <v>53.17</v>
      </c>
      <c r="I612" s="5">
        <v>360.69</v>
      </c>
      <c r="J612" s="11">
        <v>11637.52</v>
      </c>
      <c r="K612" s="11">
        <v>6516.04</v>
      </c>
      <c r="L612" t="s">
        <v>504</v>
      </c>
      <c r="M612" s="13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1">
        <v>495.3</v>
      </c>
      <c r="F613" s="11">
        <v>37642.800000000003</v>
      </c>
      <c r="G613" s="11">
        <v>749.72</v>
      </c>
      <c r="H613" s="5">
        <v>1034.26</v>
      </c>
      <c r="I613" s="5">
        <v>42.87</v>
      </c>
      <c r="J613" s="11">
        <v>56978.61</v>
      </c>
      <c r="K613" s="11">
        <v>19335.810000000001</v>
      </c>
      <c r="L613" t="s">
        <v>504</v>
      </c>
      <c r="M613" s="13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1">
        <v>555.34</v>
      </c>
      <c r="F614" s="11">
        <v>37763.120000000003</v>
      </c>
      <c r="G614" s="11">
        <v>815.15</v>
      </c>
      <c r="H614" s="5">
        <v>585.94000000000005</v>
      </c>
      <c r="I614" s="5">
        <v>353.25</v>
      </c>
      <c r="J614" s="11">
        <v>55430.3</v>
      </c>
      <c r="K614" s="11">
        <v>17667.18</v>
      </c>
      <c r="L614" t="s">
        <v>504</v>
      </c>
      <c r="M614" s="13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1">
        <v>8.3699999999999992</v>
      </c>
      <c r="F615" s="11">
        <v>527.5</v>
      </c>
      <c r="G615" s="11">
        <v>18.690000000000001</v>
      </c>
      <c r="H615" s="5">
        <v>7.61</v>
      </c>
      <c r="I615" s="5">
        <v>0</v>
      </c>
      <c r="J615" s="11">
        <v>1177.3900000000001</v>
      </c>
      <c r="K615" s="11">
        <v>649.89</v>
      </c>
      <c r="L615" t="s">
        <v>504</v>
      </c>
      <c r="M615" s="13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1">
        <v>12.19</v>
      </c>
      <c r="F616" s="11">
        <v>743.59</v>
      </c>
      <c r="G616" s="11">
        <v>15.02</v>
      </c>
      <c r="H616" s="5">
        <v>0</v>
      </c>
      <c r="I616" s="5">
        <v>0</v>
      </c>
      <c r="J616" s="11">
        <v>916</v>
      </c>
      <c r="K616" s="11">
        <v>172.41</v>
      </c>
      <c r="L616" t="s">
        <v>504</v>
      </c>
      <c r="M616" s="13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1">
        <v>697.92</v>
      </c>
      <c r="F617" s="11">
        <v>41177.279999999999</v>
      </c>
      <c r="G617" s="11">
        <v>933.64</v>
      </c>
      <c r="H617" s="5">
        <v>290.38</v>
      </c>
      <c r="I617" s="5">
        <v>0</v>
      </c>
      <c r="J617" s="11">
        <v>55084.62</v>
      </c>
      <c r="K617" s="11">
        <v>13907.34</v>
      </c>
      <c r="L617" t="s">
        <v>504</v>
      </c>
      <c r="M617" s="13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1">
        <v>3.3</v>
      </c>
      <c r="F618" s="11">
        <v>184.8</v>
      </c>
      <c r="G618" s="11">
        <v>5.36</v>
      </c>
      <c r="H618" s="5">
        <v>0.08</v>
      </c>
      <c r="I618" s="5">
        <v>20</v>
      </c>
      <c r="J618" s="11">
        <v>299.92</v>
      </c>
      <c r="K618" s="11">
        <v>115.12</v>
      </c>
      <c r="L618" t="s">
        <v>504</v>
      </c>
      <c r="M618" s="13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1">
        <v>42</v>
      </c>
      <c r="F619" s="11">
        <v>2142</v>
      </c>
      <c r="G619" s="11">
        <v>57.51</v>
      </c>
      <c r="H619" s="5">
        <v>0</v>
      </c>
      <c r="I619" s="5">
        <v>133.06</v>
      </c>
      <c r="J619" s="11">
        <v>2933.06</v>
      </c>
      <c r="K619" s="11">
        <v>791.06</v>
      </c>
      <c r="L619" t="s">
        <v>504</v>
      </c>
      <c r="M619" s="13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1">
        <v>712.93</v>
      </c>
      <c r="F620" s="11">
        <v>26378.41</v>
      </c>
      <c r="G620" s="11">
        <v>1018.49</v>
      </c>
      <c r="H620" s="5">
        <v>365.81</v>
      </c>
      <c r="I620" s="5">
        <v>0</v>
      </c>
      <c r="J620" s="11">
        <v>37684.19</v>
      </c>
      <c r="K620" s="11">
        <v>11305.78</v>
      </c>
      <c r="L620" t="s">
        <v>504</v>
      </c>
      <c r="M620" s="13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1">
        <v>2</v>
      </c>
      <c r="F621" s="11">
        <v>72</v>
      </c>
      <c r="G621" s="11">
        <v>4.3099999999999996</v>
      </c>
      <c r="H621" s="5">
        <v>0</v>
      </c>
      <c r="I621" s="5">
        <v>0</v>
      </c>
      <c r="J621" s="11">
        <v>155</v>
      </c>
      <c r="K621" s="11">
        <v>83</v>
      </c>
      <c r="L621" t="s">
        <v>504</v>
      </c>
      <c r="M621" s="13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1">
        <v>45.03</v>
      </c>
      <c r="F622" s="11">
        <v>1621.08</v>
      </c>
      <c r="G622" s="11">
        <v>74.12</v>
      </c>
      <c r="H622" s="5">
        <v>31.54</v>
      </c>
      <c r="I622" s="5">
        <v>0</v>
      </c>
      <c r="J622" s="11">
        <v>2668.46</v>
      </c>
      <c r="K622" s="11">
        <v>1047.3800000000001</v>
      </c>
      <c r="L622" t="s">
        <v>504</v>
      </c>
      <c r="M622" s="13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1">
        <v>510.31</v>
      </c>
      <c r="F623" s="11">
        <v>17350.54</v>
      </c>
      <c r="G623" s="11">
        <v>750.18</v>
      </c>
      <c r="H623" s="5">
        <v>140</v>
      </c>
      <c r="I623" s="5">
        <v>11.24</v>
      </c>
      <c r="J623" s="11">
        <v>25506.240000000002</v>
      </c>
      <c r="K623" s="11">
        <v>8155.7</v>
      </c>
      <c r="L623" t="s">
        <v>504</v>
      </c>
      <c r="M623" s="13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1">
        <v>33</v>
      </c>
      <c r="F624" s="11">
        <v>1023</v>
      </c>
      <c r="G624" s="11">
        <v>153.35</v>
      </c>
      <c r="H624" s="5">
        <v>3.55</v>
      </c>
      <c r="I624" s="5">
        <v>187.26</v>
      </c>
      <c r="J624" s="11">
        <v>4753.71</v>
      </c>
      <c r="K624" s="11">
        <v>3730.71</v>
      </c>
      <c r="L624" t="s">
        <v>504</v>
      </c>
      <c r="M624" s="13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1">
        <v>300.18</v>
      </c>
      <c r="F625" s="11">
        <v>9005.4</v>
      </c>
      <c r="G625" s="11">
        <v>487.12</v>
      </c>
      <c r="H625" s="5">
        <v>137.80000000000001</v>
      </c>
      <c r="I625" s="5">
        <v>181.45</v>
      </c>
      <c r="J625" s="11">
        <v>14613.66</v>
      </c>
      <c r="K625" s="11">
        <v>5608.26</v>
      </c>
      <c r="L625" t="s">
        <v>504</v>
      </c>
      <c r="M625" s="13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1">
        <v>33.56</v>
      </c>
      <c r="F626" s="11">
        <v>973.24</v>
      </c>
      <c r="G626" s="11">
        <v>63.95</v>
      </c>
      <c r="H626" s="5">
        <v>0</v>
      </c>
      <c r="I626" s="5">
        <v>94.51</v>
      </c>
      <c r="J626" s="11">
        <v>1854.51</v>
      </c>
      <c r="K626" s="11">
        <v>881.27</v>
      </c>
      <c r="L626" t="s">
        <v>504</v>
      </c>
      <c r="M626" s="13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1">
        <v>1.67</v>
      </c>
      <c r="F627" s="11">
        <v>41.75</v>
      </c>
      <c r="G627" s="11">
        <v>3</v>
      </c>
      <c r="H627" s="5">
        <v>0</v>
      </c>
      <c r="I627" s="5">
        <v>0</v>
      </c>
      <c r="J627" s="11">
        <v>75</v>
      </c>
      <c r="K627" s="11">
        <v>33.25</v>
      </c>
      <c r="L627" t="s">
        <v>504</v>
      </c>
      <c r="M627" s="13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1">
        <v>487.8</v>
      </c>
      <c r="F628" s="11">
        <v>10243.799999999999</v>
      </c>
      <c r="G628" s="11">
        <v>888.29</v>
      </c>
      <c r="H628" s="5">
        <v>0</v>
      </c>
      <c r="I628" s="5">
        <v>1004.03</v>
      </c>
      <c r="J628" s="11">
        <v>18654.03</v>
      </c>
      <c r="K628" s="11">
        <v>8410.23</v>
      </c>
      <c r="L628" t="s">
        <v>504</v>
      </c>
      <c r="M628" s="13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1">
        <v>727.94</v>
      </c>
      <c r="F629" s="11">
        <v>10191.16</v>
      </c>
      <c r="G629" s="11">
        <v>1119.8800000000001</v>
      </c>
      <c r="H629" s="5">
        <v>0</v>
      </c>
      <c r="I629" s="5">
        <v>128.27000000000001</v>
      </c>
      <c r="J629" s="11">
        <v>15678.27</v>
      </c>
      <c r="K629" s="11">
        <v>5487.11</v>
      </c>
      <c r="L629" t="s">
        <v>504</v>
      </c>
      <c r="M629" s="13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1">
        <v>45.6</v>
      </c>
      <c r="F630" s="11">
        <v>592.79999999999995</v>
      </c>
      <c r="G630" s="11">
        <v>70</v>
      </c>
      <c r="H630" s="5">
        <v>0</v>
      </c>
      <c r="I630" s="5">
        <v>0</v>
      </c>
      <c r="J630" s="11">
        <v>910</v>
      </c>
      <c r="K630" s="11">
        <v>317.2</v>
      </c>
      <c r="L630" t="s">
        <v>504</v>
      </c>
      <c r="M630" s="13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1">
        <v>30.49</v>
      </c>
      <c r="F631" s="11">
        <v>365.88</v>
      </c>
      <c r="G631" s="11">
        <v>44.6</v>
      </c>
      <c r="H631" s="5">
        <v>0</v>
      </c>
      <c r="I631" s="5">
        <v>0</v>
      </c>
      <c r="J631" s="11">
        <v>535.25</v>
      </c>
      <c r="K631" s="11">
        <v>169.37</v>
      </c>
      <c r="L631" t="s">
        <v>504</v>
      </c>
      <c r="M631" s="13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1">
        <v>13.69</v>
      </c>
      <c r="F632" s="11">
        <v>164.28</v>
      </c>
      <c r="G632" s="11">
        <v>95</v>
      </c>
      <c r="H632" s="5">
        <v>0</v>
      </c>
      <c r="I632" s="5">
        <v>0</v>
      </c>
      <c r="J632" s="11">
        <v>1140</v>
      </c>
      <c r="K632" s="11">
        <v>975.72</v>
      </c>
      <c r="L632" t="s">
        <v>504</v>
      </c>
      <c r="M632" s="13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1">
        <v>2</v>
      </c>
      <c r="F633" s="11">
        <v>20</v>
      </c>
      <c r="G633" s="11">
        <v>4</v>
      </c>
      <c r="H633" s="5">
        <v>0</v>
      </c>
      <c r="I633" s="5">
        <v>0</v>
      </c>
      <c r="J633" s="11">
        <v>40</v>
      </c>
      <c r="K633" s="11">
        <v>20</v>
      </c>
      <c r="L633" t="s">
        <v>504</v>
      </c>
      <c r="M633" s="13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1">
        <v>742.95</v>
      </c>
      <c r="F634" s="11">
        <v>7429.5</v>
      </c>
      <c r="G634" s="11">
        <v>1200</v>
      </c>
      <c r="H634" s="5">
        <v>0</v>
      </c>
      <c r="I634" s="5">
        <v>0</v>
      </c>
      <c r="J634" s="11">
        <v>12000</v>
      </c>
      <c r="K634" s="11">
        <v>4570.5</v>
      </c>
      <c r="L634" t="s">
        <v>504</v>
      </c>
      <c r="M634" s="13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1">
        <v>0</v>
      </c>
      <c r="F635" s="11">
        <v>0</v>
      </c>
      <c r="G635" s="11">
        <v>425</v>
      </c>
      <c r="H635" s="5">
        <v>0</v>
      </c>
      <c r="I635" s="5">
        <v>0</v>
      </c>
      <c r="J635" s="11">
        <v>4250</v>
      </c>
      <c r="K635" s="11">
        <v>4250</v>
      </c>
      <c r="L635" t="s">
        <v>504</v>
      </c>
      <c r="M635" s="13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1">
        <v>0</v>
      </c>
      <c r="F636" s="11">
        <v>0</v>
      </c>
      <c r="G636" s="11">
        <v>5</v>
      </c>
      <c r="H636" s="5">
        <v>0</v>
      </c>
      <c r="I636" s="5">
        <v>0</v>
      </c>
      <c r="J636" s="11">
        <v>45</v>
      </c>
      <c r="K636" s="11">
        <v>45</v>
      </c>
      <c r="L636" t="s">
        <v>504</v>
      </c>
      <c r="M636" s="13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1">
        <v>293.13</v>
      </c>
      <c r="F637" s="11">
        <v>1758.78</v>
      </c>
      <c r="G637" s="11">
        <v>430</v>
      </c>
      <c r="H637" s="5">
        <v>0</v>
      </c>
      <c r="I637" s="5">
        <v>0</v>
      </c>
      <c r="J637" s="11">
        <v>2580</v>
      </c>
      <c r="K637" s="11">
        <v>821.22</v>
      </c>
      <c r="L637" t="s">
        <v>504</v>
      </c>
      <c r="M637" s="13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1">
        <v>945.57</v>
      </c>
      <c r="F638" s="11">
        <v>5673.42</v>
      </c>
      <c r="G638" s="11">
        <v>1375</v>
      </c>
      <c r="H638" s="5">
        <v>0</v>
      </c>
      <c r="I638" s="5">
        <v>0</v>
      </c>
      <c r="J638" s="11">
        <v>8250</v>
      </c>
      <c r="K638" s="11">
        <v>2576.58</v>
      </c>
      <c r="L638" t="s">
        <v>504</v>
      </c>
      <c r="M638" s="13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1">
        <v>90</v>
      </c>
      <c r="F639" s="11">
        <v>540</v>
      </c>
      <c r="G639" s="11">
        <v>192.46</v>
      </c>
      <c r="H639" s="5">
        <v>5.24</v>
      </c>
      <c r="I639" s="5">
        <v>0</v>
      </c>
      <c r="J639" s="11">
        <v>1154.76</v>
      </c>
      <c r="K639" s="11">
        <v>614.76</v>
      </c>
      <c r="L639" t="s">
        <v>504</v>
      </c>
      <c r="M639" s="13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1">
        <v>975.59</v>
      </c>
      <c r="F640" s="11">
        <v>4877.95</v>
      </c>
      <c r="G640" s="11">
        <v>1809.14</v>
      </c>
      <c r="H640" s="5">
        <v>0</v>
      </c>
      <c r="I640" s="5">
        <v>145.69</v>
      </c>
      <c r="J640" s="11">
        <v>9045.69</v>
      </c>
      <c r="K640" s="11">
        <v>4167.74</v>
      </c>
      <c r="L640" t="s">
        <v>504</v>
      </c>
      <c r="M640" s="13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1">
        <v>757.96</v>
      </c>
      <c r="F641" s="11">
        <v>3031.84</v>
      </c>
      <c r="G641" s="11">
        <v>1000</v>
      </c>
      <c r="H641" s="5">
        <v>0</v>
      </c>
      <c r="I641" s="5">
        <v>0</v>
      </c>
      <c r="J641" s="11">
        <v>4000</v>
      </c>
      <c r="K641" s="11">
        <v>968.16</v>
      </c>
      <c r="L641" t="s">
        <v>504</v>
      </c>
      <c r="M641" s="13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1">
        <v>0</v>
      </c>
      <c r="F642" s="11">
        <v>0</v>
      </c>
      <c r="G642" s="11">
        <v>45</v>
      </c>
      <c r="H642" s="5">
        <v>0</v>
      </c>
      <c r="I642" s="5">
        <v>0</v>
      </c>
      <c r="J642" s="11">
        <v>135</v>
      </c>
      <c r="K642" s="11">
        <v>135</v>
      </c>
      <c r="L642" t="s">
        <v>504</v>
      </c>
      <c r="M642" s="13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1">
        <v>33.56</v>
      </c>
      <c r="F643" s="11">
        <v>100.68</v>
      </c>
      <c r="G643" s="11">
        <v>53</v>
      </c>
      <c r="H643" s="5">
        <v>0</v>
      </c>
      <c r="I643" s="5">
        <v>0</v>
      </c>
      <c r="J643" s="11">
        <v>159</v>
      </c>
      <c r="K643" s="11">
        <v>58.32</v>
      </c>
      <c r="L643" t="s">
        <v>504</v>
      </c>
      <c r="M643" s="13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1">
        <v>0</v>
      </c>
      <c r="F644" s="11">
        <v>0</v>
      </c>
      <c r="G644" s="11">
        <v>199.98</v>
      </c>
      <c r="H644" s="5">
        <v>100.03</v>
      </c>
      <c r="I644" s="5">
        <v>0</v>
      </c>
      <c r="J644" s="11">
        <v>399.97</v>
      </c>
      <c r="K644" s="11">
        <v>399.97</v>
      </c>
      <c r="L644" t="s">
        <v>504</v>
      </c>
      <c r="M644" s="13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1">
        <v>20</v>
      </c>
      <c r="F645" s="11">
        <v>40</v>
      </c>
      <c r="G645" s="11">
        <v>40</v>
      </c>
      <c r="H645" s="5">
        <v>0</v>
      </c>
      <c r="I645" s="5">
        <v>0</v>
      </c>
      <c r="J645" s="11">
        <v>80</v>
      </c>
      <c r="K645" s="11">
        <v>40</v>
      </c>
      <c r="L645" t="s">
        <v>504</v>
      </c>
      <c r="M645" s="13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1">
        <v>0</v>
      </c>
      <c r="F646" s="11">
        <v>0</v>
      </c>
      <c r="G646" s="11">
        <v>45</v>
      </c>
      <c r="H646" s="5">
        <v>0</v>
      </c>
      <c r="I646" s="5">
        <v>0</v>
      </c>
      <c r="J646" s="11">
        <v>45</v>
      </c>
      <c r="K646" s="11">
        <v>45</v>
      </c>
      <c r="L646" t="s">
        <v>504</v>
      </c>
      <c r="M646" s="13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1">
        <v>3</v>
      </c>
      <c r="F647" s="11">
        <v>3</v>
      </c>
      <c r="G647" s="11">
        <v>45</v>
      </c>
      <c r="H647" s="5">
        <v>0</v>
      </c>
      <c r="I647" s="5">
        <v>0</v>
      </c>
      <c r="J647" s="11">
        <v>45</v>
      </c>
      <c r="K647" s="11">
        <v>42</v>
      </c>
      <c r="L647" t="s">
        <v>504</v>
      </c>
      <c r="M647" s="13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1">
        <v>10</v>
      </c>
      <c r="F648" s="11">
        <v>10</v>
      </c>
      <c r="G648" s="11">
        <v>37.020000000000003</v>
      </c>
      <c r="H648" s="5">
        <v>0</v>
      </c>
      <c r="I648" s="5">
        <v>2.02</v>
      </c>
      <c r="J648" s="11">
        <v>37.020000000000003</v>
      </c>
      <c r="K648" s="11">
        <v>27.02</v>
      </c>
      <c r="L648" t="s">
        <v>504</v>
      </c>
      <c r="M648" s="13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1">
        <v>0</v>
      </c>
      <c r="F649" s="11">
        <v>0</v>
      </c>
      <c r="G649" s="11">
        <v>150</v>
      </c>
      <c r="H649" s="5">
        <v>0</v>
      </c>
      <c r="I649" s="5">
        <v>0</v>
      </c>
      <c r="J649" s="11">
        <v>150</v>
      </c>
      <c r="K649" s="11">
        <v>150</v>
      </c>
      <c r="L649" t="s">
        <v>504</v>
      </c>
      <c r="M649" s="13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1">
        <v>15.34</v>
      </c>
      <c r="F650" s="11">
        <v>15.34</v>
      </c>
      <c r="G650" s="11">
        <v>20</v>
      </c>
      <c r="H650" s="5">
        <v>0</v>
      </c>
      <c r="I650" s="5">
        <v>0</v>
      </c>
      <c r="J650" s="11">
        <v>20</v>
      </c>
      <c r="K650" s="11">
        <v>4.66</v>
      </c>
      <c r="L650" t="s">
        <v>504</v>
      </c>
      <c r="M650" s="13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1">
        <v>0</v>
      </c>
      <c r="F651" s="11">
        <v>0</v>
      </c>
      <c r="G651" s="11">
        <v>45</v>
      </c>
      <c r="H651" s="5">
        <v>0</v>
      </c>
      <c r="I651" s="5">
        <v>0</v>
      </c>
      <c r="J651" s="11">
        <v>45</v>
      </c>
      <c r="K651" s="11">
        <v>45</v>
      </c>
      <c r="L651" t="s">
        <v>504</v>
      </c>
      <c r="M651" s="13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1">
        <v>5</v>
      </c>
      <c r="F652" s="11">
        <v>5</v>
      </c>
      <c r="G652" s="11">
        <v>8</v>
      </c>
      <c r="H652" s="5">
        <v>0</v>
      </c>
      <c r="I652" s="5">
        <v>0</v>
      </c>
      <c r="J652" s="11">
        <v>8</v>
      </c>
      <c r="K652" s="11">
        <v>3</v>
      </c>
      <c r="L652" t="s">
        <v>504</v>
      </c>
      <c r="M652" s="13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1">
        <v>10.58</v>
      </c>
      <c r="F653" s="11">
        <v>10.58</v>
      </c>
      <c r="G653" s="11">
        <v>22</v>
      </c>
      <c r="H653" s="5">
        <v>0</v>
      </c>
      <c r="I653" s="5">
        <v>0</v>
      </c>
      <c r="J653" s="11">
        <v>22</v>
      </c>
      <c r="K653" s="11">
        <v>11.42</v>
      </c>
      <c r="L653" t="s">
        <v>504</v>
      </c>
      <c r="M653" s="13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1">
        <v>0</v>
      </c>
      <c r="F654" s="11">
        <v>0</v>
      </c>
      <c r="G654" s="11">
        <v>350</v>
      </c>
      <c r="H654" s="5">
        <v>0</v>
      </c>
      <c r="I654" s="5">
        <v>0</v>
      </c>
      <c r="J654" s="11">
        <v>350</v>
      </c>
      <c r="K654" s="11">
        <v>350</v>
      </c>
      <c r="L654" t="s">
        <v>504</v>
      </c>
      <c r="M654" s="13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1">
        <v>65</v>
      </c>
      <c r="F655" s="11">
        <v>65</v>
      </c>
      <c r="G655" s="11">
        <v>95</v>
      </c>
      <c r="H655" s="5">
        <v>0</v>
      </c>
      <c r="I655" s="5">
        <v>0</v>
      </c>
      <c r="J655" s="11">
        <v>95</v>
      </c>
      <c r="K655" s="11">
        <v>30</v>
      </c>
      <c r="L655" t="s">
        <v>504</v>
      </c>
      <c r="M655" s="13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350"/>
  <sheetViews>
    <sheetView showGridLines="0" topLeftCell="A332" workbookViewId="0">
      <selection activeCell="E351" sqref="E351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9" t="s">
        <v>359</v>
      </c>
      <c r="B1" s="9" t="s">
        <v>2</v>
      </c>
      <c r="C1" s="9" t="s">
        <v>3</v>
      </c>
      <c r="D1" s="9" t="s">
        <v>10</v>
      </c>
      <c r="E1" s="9" t="s">
        <v>11</v>
      </c>
    </row>
    <row r="2" spans="1:5" x14ac:dyDescent="0.3">
      <c r="A2" s="9" t="s">
        <v>106</v>
      </c>
      <c r="B2" s="9" t="s">
        <v>360</v>
      </c>
      <c r="C2" s="9" t="s">
        <v>361</v>
      </c>
      <c r="D2" s="9" t="s">
        <v>362</v>
      </c>
      <c r="E2" s="9" t="str">
        <f>VLOOKUP(A2,[1]relatorio_clientes!$C:$Q,15,0)</f>
        <v>26 DE SETEMBRO</v>
      </c>
    </row>
    <row r="3" spans="1:5" x14ac:dyDescent="0.3">
      <c r="A3" s="9" t="s">
        <v>66</v>
      </c>
      <c r="B3" s="9" t="s">
        <v>363</v>
      </c>
      <c r="C3" s="9" t="s">
        <v>364</v>
      </c>
      <c r="D3" s="9" t="s">
        <v>362</v>
      </c>
      <c r="E3" s="9" t="str">
        <f>B3</f>
        <v>Águas Lindas de Goiás</v>
      </c>
    </row>
    <row r="4" spans="1:5" x14ac:dyDescent="0.3">
      <c r="A4" s="9" t="s">
        <v>19</v>
      </c>
      <c r="B4" s="9" t="s">
        <v>363</v>
      </c>
      <c r="C4" s="9" t="s">
        <v>364</v>
      </c>
      <c r="D4" s="9" t="s">
        <v>365</v>
      </c>
      <c r="E4" s="9" t="str">
        <f t="shared" ref="E4:E33" si="0">B4</f>
        <v>Águas Lindas de Goiás</v>
      </c>
    </row>
    <row r="5" spans="1:5" x14ac:dyDescent="0.3">
      <c r="A5" s="9" t="s">
        <v>30</v>
      </c>
      <c r="B5" s="9" t="s">
        <v>363</v>
      </c>
      <c r="C5" s="9" t="s">
        <v>364</v>
      </c>
      <c r="D5" s="9" t="s">
        <v>365</v>
      </c>
      <c r="E5" s="9" t="str">
        <f t="shared" si="0"/>
        <v>Águas Lindas de Goiás</v>
      </c>
    </row>
    <row r="6" spans="1:5" x14ac:dyDescent="0.3">
      <c r="A6" s="9" t="s">
        <v>366</v>
      </c>
      <c r="B6" s="9" t="s">
        <v>363</v>
      </c>
      <c r="C6" s="9" t="s">
        <v>364</v>
      </c>
      <c r="D6" s="9" t="s">
        <v>365</v>
      </c>
      <c r="E6" s="9" t="str">
        <f t="shared" si="0"/>
        <v>Águas Lindas de Goiás</v>
      </c>
    </row>
    <row r="7" spans="1:5" x14ac:dyDescent="0.3">
      <c r="A7" s="9" t="s">
        <v>367</v>
      </c>
      <c r="B7" s="9" t="s">
        <v>363</v>
      </c>
      <c r="C7" s="9" t="s">
        <v>364</v>
      </c>
      <c r="D7" s="9" t="s">
        <v>368</v>
      </c>
      <c r="E7" s="9" t="str">
        <f t="shared" si="0"/>
        <v>Águas Lindas de Goiás</v>
      </c>
    </row>
    <row r="8" spans="1:5" x14ac:dyDescent="0.3">
      <c r="A8" s="9" t="s">
        <v>81</v>
      </c>
      <c r="B8" s="9" t="s">
        <v>363</v>
      </c>
      <c r="C8" s="9" t="s">
        <v>364</v>
      </c>
      <c r="D8" s="9" t="s">
        <v>368</v>
      </c>
      <c r="E8" s="9" t="str">
        <f t="shared" si="0"/>
        <v>Águas Lindas de Goiás</v>
      </c>
    </row>
    <row r="9" spans="1:5" x14ac:dyDescent="0.3">
      <c r="A9" s="9" t="s">
        <v>369</v>
      </c>
      <c r="B9" s="9" t="s">
        <v>363</v>
      </c>
      <c r="C9" s="9" t="s">
        <v>364</v>
      </c>
      <c r="D9" s="9" t="s">
        <v>368</v>
      </c>
      <c r="E9" s="9" t="str">
        <f t="shared" si="0"/>
        <v>Águas Lindas de Goiás</v>
      </c>
    </row>
    <row r="10" spans="1:5" x14ac:dyDescent="0.3">
      <c r="A10" s="9" t="s">
        <v>109</v>
      </c>
      <c r="B10" s="9" t="s">
        <v>363</v>
      </c>
      <c r="C10" s="9" t="s">
        <v>364</v>
      </c>
      <c r="D10" s="9" t="s">
        <v>365</v>
      </c>
      <c r="E10" s="9" t="str">
        <f t="shared" si="0"/>
        <v>Águas Lindas de Goiás</v>
      </c>
    </row>
    <row r="11" spans="1:5" x14ac:dyDescent="0.3">
      <c r="A11" s="9" t="s">
        <v>331</v>
      </c>
      <c r="B11" s="9" t="s">
        <v>363</v>
      </c>
      <c r="C11" s="9" t="s">
        <v>364</v>
      </c>
      <c r="D11" s="9" t="s">
        <v>370</v>
      </c>
      <c r="E11" s="9" t="str">
        <f t="shared" si="0"/>
        <v>Águas Lindas de Goiás</v>
      </c>
    </row>
    <row r="12" spans="1:5" x14ac:dyDescent="0.3">
      <c r="A12" s="9" t="s">
        <v>131</v>
      </c>
      <c r="B12" s="9" t="s">
        <v>363</v>
      </c>
      <c r="C12" s="9" t="s">
        <v>364</v>
      </c>
      <c r="D12" s="9" t="s">
        <v>365</v>
      </c>
      <c r="E12" s="9" t="str">
        <f t="shared" si="0"/>
        <v>Águas Lindas de Goiás</v>
      </c>
    </row>
    <row r="13" spans="1:5" x14ac:dyDescent="0.3">
      <c r="A13" s="9" t="s">
        <v>17</v>
      </c>
      <c r="B13" s="9" t="s">
        <v>363</v>
      </c>
      <c r="C13" s="9" t="s">
        <v>364</v>
      </c>
      <c r="D13" s="9" t="s">
        <v>365</v>
      </c>
      <c r="E13" s="9" t="str">
        <f t="shared" si="0"/>
        <v>Águas Lindas de Goiás</v>
      </c>
    </row>
    <row r="14" spans="1:5" x14ac:dyDescent="0.3">
      <c r="A14" s="9" t="s">
        <v>104</v>
      </c>
      <c r="B14" s="9" t="s">
        <v>363</v>
      </c>
      <c r="C14" s="9" t="s">
        <v>364</v>
      </c>
      <c r="D14" s="9" t="s">
        <v>370</v>
      </c>
      <c r="E14" s="9" t="str">
        <f t="shared" si="0"/>
        <v>Águas Lindas de Goiás</v>
      </c>
    </row>
    <row r="15" spans="1:5" x14ac:dyDescent="0.3">
      <c r="A15" s="9" t="s">
        <v>125</v>
      </c>
      <c r="B15" s="9" t="s">
        <v>363</v>
      </c>
      <c r="C15" s="9" t="s">
        <v>364</v>
      </c>
      <c r="D15" s="9" t="s">
        <v>368</v>
      </c>
      <c r="E15" s="9" t="str">
        <f t="shared" si="0"/>
        <v>Águas Lindas de Goiás</v>
      </c>
    </row>
    <row r="16" spans="1:5" x14ac:dyDescent="0.3">
      <c r="A16" s="9" t="s">
        <v>132</v>
      </c>
      <c r="B16" s="9" t="s">
        <v>363</v>
      </c>
      <c r="C16" s="9" t="s">
        <v>364</v>
      </c>
      <c r="D16" s="9" t="s">
        <v>365</v>
      </c>
      <c r="E16" s="9" t="str">
        <f t="shared" si="0"/>
        <v>Águas Lindas de Goiás</v>
      </c>
    </row>
    <row r="17" spans="1:5" x14ac:dyDescent="0.3">
      <c r="A17" s="9" t="s">
        <v>144</v>
      </c>
      <c r="B17" s="9" t="s">
        <v>371</v>
      </c>
      <c r="C17" s="9" t="s">
        <v>364</v>
      </c>
      <c r="D17" s="9" t="s">
        <v>365</v>
      </c>
      <c r="E17" s="9" t="str">
        <f t="shared" si="0"/>
        <v>Alexânia</v>
      </c>
    </row>
    <row r="18" spans="1:5" x14ac:dyDescent="0.3">
      <c r="A18" s="9" t="s">
        <v>145</v>
      </c>
      <c r="B18" s="9" t="s">
        <v>372</v>
      </c>
      <c r="C18" s="9" t="s">
        <v>373</v>
      </c>
      <c r="D18" s="9" t="s">
        <v>374</v>
      </c>
      <c r="E18" s="9" t="str">
        <f t="shared" si="0"/>
        <v>Ananindeua</v>
      </c>
    </row>
    <row r="19" spans="1:5" x14ac:dyDescent="0.3">
      <c r="A19" s="9" t="s">
        <v>149</v>
      </c>
      <c r="B19" s="9" t="s">
        <v>375</v>
      </c>
      <c r="C19" s="9" t="s">
        <v>364</v>
      </c>
      <c r="D19" s="9" t="s">
        <v>362</v>
      </c>
      <c r="E19" s="9" t="str">
        <f t="shared" si="0"/>
        <v>Anápolis</v>
      </c>
    </row>
    <row r="20" spans="1:5" x14ac:dyDescent="0.3">
      <c r="A20" s="9" t="s">
        <v>150</v>
      </c>
      <c r="B20" s="9" t="s">
        <v>375</v>
      </c>
      <c r="C20" s="9" t="s">
        <v>364</v>
      </c>
      <c r="D20" s="9" t="s">
        <v>362</v>
      </c>
      <c r="E20" s="9" t="str">
        <f t="shared" si="0"/>
        <v>Anápolis</v>
      </c>
    </row>
    <row r="21" spans="1:5" x14ac:dyDescent="0.3">
      <c r="A21" s="9" t="s">
        <v>152</v>
      </c>
      <c r="B21" s="9" t="s">
        <v>376</v>
      </c>
      <c r="C21" s="9" t="s">
        <v>364</v>
      </c>
      <c r="D21" s="9" t="s">
        <v>377</v>
      </c>
      <c r="E21" s="9" t="str">
        <f t="shared" si="0"/>
        <v>Aparecida de Goiânia</v>
      </c>
    </row>
    <row r="22" spans="1:5" x14ac:dyDescent="0.3">
      <c r="A22" s="9" t="s">
        <v>154</v>
      </c>
      <c r="B22" s="9" t="s">
        <v>376</v>
      </c>
      <c r="C22" s="9" t="s">
        <v>364</v>
      </c>
      <c r="D22" s="9" t="s">
        <v>377</v>
      </c>
      <c r="E22" s="9" t="str">
        <f t="shared" si="0"/>
        <v>Aparecida de Goiânia</v>
      </c>
    </row>
    <row r="23" spans="1:5" x14ac:dyDescent="0.3">
      <c r="A23" s="9" t="s">
        <v>151</v>
      </c>
      <c r="B23" s="9" t="s">
        <v>376</v>
      </c>
      <c r="C23" s="9" t="s">
        <v>364</v>
      </c>
      <c r="D23" s="9" t="s">
        <v>362</v>
      </c>
      <c r="E23" s="9" t="str">
        <f t="shared" si="0"/>
        <v>Aparecida de Goiânia</v>
      </c>
    </row>
    <row r="24" spans="1:5" x14ac:dyDescent="0.3">
      <c r="A24" s="9" t="s">
        <v>378</v>
      </c>
      <c r="B24" s="9" t="s">
        <v>376</v>
      </c>
      <c r="C24" s="9" t="s">
        <v>364</v>
      </c>
      <c r="D24" s="9" t="s">
        <v>362</v>
      </c>
      <c r="E24" s="9" t="str">
        <f t="shared" si="0"/>
        <v>Aparecida de Goiânia</v>
      </c>
    </row>
    <row r="25" spans="1:5" x14ac:dyDescent="0.3">
      <c r="A25" s="9" t="s">
        <v>379</v>
      </c>
      <c r="B25" s="9" t="s">
        <v>376</v>
      </c>
      <c r="C25" s="9" t="s">
        <v>364</v>
      </c>
      <c r="D25" s="9" t="s">
        <v>370</v>
      </c>
      <c r="E25" s="9" t="str">
        <f t="shared" si="0"/>
        <v>Aparecida de Goiânia</v>
      </c>
    </row>
    <row r="26" spans="1:5" x14ac:dyDescent="0.3">
      <c r="A26" s="9" t="s">
        <v>157</v>
      </c>
      <c r="B26" s="9" t="s">
        <v>376</v>
      </c>
      <c r="C26" s="9" t="s">
        <v>364</v>
      </c>
      <c r="D26" s="9" t="s">
        <v>362</v>
      </c>
      <c r="E26" s="9" t="str">
        <f t="shared" si="0"/>
        <v>Aparecida de Goiânia</v>
      </c>
    </row>
    <row r="27" spans="1:5" x14ac:dyDescent="0.3">
      <c r="A27" s="9" t="s">
        <v>175</v>
      </c>
      <c r="B27" s="9" t="s">
        <v>380</v>
      </c>
      <c r="C27" s="9" t="s">
        <v>381</v>
      </c>
      <c r="D27" s="9" t="s">
        <v>362</v>
      </c>
      <c r="E27" s="9" t="str">
        <f t="shared" si="0"/>
        <v>Araguari</v>
      </c>
    </row>
    <row r="28" spans="1:5" x14ac:dyDescent="0.3">
      <c r="A28" s="9" t="s">
        <v>174</v>
      </c>
      <c r="B28" s="9" t="s">
        <v>380</v>
      </c>
      <c r="C28" s="9" t="s">
        <v>381</v>
      </c>
      <c r="D28" s="9" t="s">
        <v>362</v>
      </c>
      <c r="E28" s="9" t="str">
        <f t="shared" si="0"/>
        <v>Araguari</v>
      </c>
    </row>
    <row r="29" spans="1:5" x14ac:dyDescent="0.3">
      <c r="A29" s="9" t="s">
        <v>177</v>
      </c>
      <c r="B29" s="9" t="s">
        <v>382</v>
      </c>
      <c r="C29" s="9" t="s">
        <v>373</v>
      </c>
      <c r="D29" s="9" t="s">
        <v>362</v>
      </c>
      <c r="E29" s="9" t="str">
        <f t="shared" si="0"/>
        <v xml:space="preserve">Belém </v>
      </c>
    </row>
    <row r="30" spans="1:5" x14ac:dyDescent="0.3">
      <c r="A30" s="9" t="s">
        <v>178</v>
      </c>
      <c r="B30" s="9" t="s">
        <v>382</v>
      </c>
      <c r="C30" s="9" t="s">
        <v>373</v>
      </c>
      <c r="D30" s="9" t="s">
        <v>362</v>
      </c>
      <c r="E30" s="9" t="str">
        <f t="shared" si="0"/>
        <v xml:space="preserve">Belém </v>
      </c>
    </row>
    <row r="31" spans="1:5" x14ac:dyDescent="0.3">
      <c r="A31" s="9" t="s">
        <v>179</v>
      </c>
      <c r="B31" s="9" t="s">
        <v>383</v>
      </c>
      <c r="C31" s="9" t="s">
        <v>381</v>
      </c>
      <c r="D31" s="9" t="s">
        <v>370</v>
      </c>
      <c r="E31" s="9" t="str">
        <f t="shared" si="0"/>
        <v>Brasilândia de Minas</v>
      </c>
    </row>
    <row r="32" spans="1:5" x14ac:dyDescent="0.3">
      <c r="A32" s="9" t="s">
        <v>181</v>
      </c>
      <c r="B32" s="9" t="s">
        <v>383</v>
      </c>
      <c r="C32" s="9" t="s">
        <v>381</v>
      </c>
      <c r="D32" s="9" t="s">
        <v>365</v>
      </c>
      <c r="E32" s="9" t="str">
        <f t="shared" si="0"/>
        <v>Brasilândia de Minas</v>
      </c>
    </row>
    <row r="33" spans="1:5" x14ac:dyDescent="0.3">
      <c r="A33" s="9" t="s">
        <v>182</v>
      </c>
      <c r="B33" s="9" t="s">
        <v>383</v>
      </c>
      <c r="C33" s="9" t="s">
        <v>381</v>
      </c>
      <c r="D33" s="9" t="s">
        <v>374</v>
      </c>
      <c r="E33" s="9" t="str">
        <f t="shared" si="0"/>
        <v>Brasilândia de Minas</v>
      </c>
    </row>
    <row r="34" spans="1:5" x14ac:dyDescent="0.3">
      <c r="A34" s="9" t="s">
        <v>99</v>
      </c>
      <c r="B34" s="9" t="s">
        <v>360</v>
      </c>
      <c r="C34" s="9" t="s">
        <v>361</v>
      </c>
      <c r="D34" s="9" t="s">
        <v>362</v>
      </c>
      <c r="E34" s="9" t="str">
        <f>VLOOKUP(A34,[1]relatorio_clientes!$C:$Q,15,0)</f>
        <v>ARAPOANGA (PLANALTINA)</v>
      </c>
    </row>
    <row r="35" spans="1:5" x14ac:dyDescent="0.3">
      <c r="A35" s="9" t="s">
        <v>57</v>
      </c>
      <c r="B35" s="9" t="s">
        <v>360</v>
      </c>
      <c r="C35" s="9" t="s">
        <v>361</v>
      </c>
      <c r="D35" s="9" t="s">
        <v>365</v>
      </c>
      <c r="E35" s="9" t="str">
        <f>VLOOKUP(A35,[1]relatorio_clientes!$C:$Q,15,0)</f>
        <v>ARAPOANGA (PLANALTINA)</v>
      </c>
    </row>
    <row r="36" spans="1:5" x14ac:dyDescent="0.3">
      <c r="A36" s="9" t="s">
        <v>100</v>
      </c>
      <c r="B36" s="9" t="s">
        <v>363</v>
      </c>
      <c r="C36" s="9" t="s">
        <v>364</v>
      </c>
      <c r="D36" s="9" t="s">
        <v>370</v>
      </c>
      <c r="E36" s="9" t="str">
        <f>B36</f>
        <v>Águas Lindas de Goiás</v>
      </c>
    </row>
    <row r="37" spans="1:5" x14ac:dyDescent="0.3">
      <c r="A37" s="9" t="s">
        <v>255</v>
      </c>
      <c r="B37" s="9" t="s">
        <v>360</v>
      </c>
      <c r="C37" s="9" t="s">
        <v>361</v>
      </c>
      <c r="D37" s="9" t="s">
        <v>362</v>
      </c>
      <c r="E37" s="9" t="s">
        <v>384</v>
      </c>
    </row>
    <row r="38" spans="1:5" x14ac:dyDescent="0.3">
      <c r="A38" s="9" t="s">
        <v>385</v>
      </c>
      <c r="B38" s="9" t="s">
        <v>360</v>
      </c>
      <c r="C38" s="9" t="s">
        <v>361</v>
      </c>
      <c r="D38" s="9" t="s">
        <v>368</v>
      </c>
      <c r="E38" s="9" t="s">
        <v>384</v>
      </c>
    </row>
    <row r="39" spans="1:5" x14ac:dyDescent="0.3">
      <c r="A39" s="9" t="s">
        <v>123</v>
      </c>
      <c r="B39" s="9" t="s">
        <v>360</v>
      </c>
      <c r="C39" s="9" t="s">
        <v>361</v>
      </c>
      <c r="D39" s="9" t="s">
        <v>362</v>
      </c>
      <c r="E39" s="9" t="s">
        <v>386</v>
      </c>
    </row>
    <row r="40" spans="1:5" x14ac:dyDescent="0.3">
      <c r="A40" s="9" t="s">
        <v>205</v>
      </c>
      <c r="B40" s="9" t="s">
        <v>360</v>
      </c>
      <c r="C40" s="9" t="s">
        <v>361</v>
      </c>
      <c r="D40" s="9" t="s">
        <v>387</v>
      </c>
      <c r="E40" s="9" t="str">
        <f>VLOOKUP(A40,[1]relatorio_clientes!$C:$Q,15,0)</f>
        <v>AREAL (AGUAS CLARAS)</v>
      </c>
    </row>
    <row r="41" spans="1:5" x14ac:dyDescent="0.3">
      <c r="A41" s="9" t="s">
        <v>147</v>
      </c>
      <c r="B41" s="9" t="s">
        <v>360</v>
      </c>
      <c r="C41" s="9" t="s">
        <v>361</v>
      </c>
      <c r="D41" s="9" t="s">
        <v>368</v>
      </c>
      <c r="E41" s="9" t="str">
        <f>VLOOKUP(A41,[1]relatorio_clientes!$C:$Q,15,0)</f>
        <v>AREAL (AGUAS CLARAS)</v>
      </c>
    </row>
    <row r="42" spans="1:5" x14ac:dyDescent="0.3">
      <c r="A42" s="9" t="s">
        <v>139</v>
      </c>
      <c r="B42" s="9" t="s">
        <v>360</v>
      </c>
      <c r="C42" s="9" t="s">
        <v>361</v>
      </c>
      <c r="D42" s="9" t="s">
        <v>368</v>
      </c>
      <c r="E42" s="9" t="str">
        <f>VLOOKUP(A42,[1]relatorio_clientes!$C:$Q,15,0)</f>
        <v>AREAL (AGUAS CLARAS)</v>
      </c>
    </row>
    <row r="43" spans="1:5" x14ac:dyDescent="0.3">
      <c r="A43" s="9" t="s">
        <v>232</v>
      </c>
      <c r="B43" s="9" t="s">
        <v>360</v>
      </c>
      <c r="C43" s="9" t="s">
        <v>361</v>
      </c>
      <c r="D43" s="9" t="s">
        <v>388</v>
      </c>
      <c r="E43" s="9" t="str">
        <f>VLOOKUP(A43,[1]relatorio_clientes!$B:$Q,16,0)</f>
        <v>Areal (Águas Claras)</v>
      </c>
    </row>
    <row r="44" spans="1:5" x14ac:dyDescent="0.3">
      <c r="A44" s="9" t="s">
        <v>282</v>
      </c>
      <c r="B44" s="9" t="s">
        <v>360</v>
      </c>
      <c r="C44" s="9" t="s">
        <v>361</v>
      </c>
      <c r="D44" s="9" t="s">
        <v>389</v>
      </c>
      <c r="E44" s="9" t="str">
        <f>VLOOKUP(A44,[1]relatorio_clientes!$B:$Q,16,0)</f>
        <v>Areal (Águas Claras)</v>
      </c>
    </row>
    <row r="45" spans="1:5" x14ac:dyDescent="0.3">
      <c r="A45" s="9" t="s">
        <v>226</v>
      </c>
      <c r="B45" s="9" t="s">
        <v>360</v>
      </c>
      <c r="C45" s="9" t="s">
        <v>361</v>
      </c>
      <c r="D45" s="9" t="s">
        <v>368</v>
      </c>
      <c r="E45" s="9" t="str">
        <f>VLOOKUP(A45,[1]relatorio_clientes!$B:$Q,16,0)</f>
        <v>Areal (Águas Claras)</v>
      </c>
    </row>
    <row r="46" spans="1:5" x14ac:dyDescent="0.3">
      <c r="A46" s="9" t="s">
        <v>240</v>
      </c>
      <c r="B46" s="9" t="s">
        <v>360</v>
      </c>
      <c r="C46" s="9" t="s">
        <v>361</v>
      </c>
      <c r="D46" s="9" t="s">
        <v>368</v>
      </c>
      <c r="E46" s="9" t="str">
        <f>VLOOKUP(A46,[1]relatorio_clientes!$B:$Q,16,0)</f>
        <v>Asa Norte</v>
      </c>
    </row>
    <row r="47" spans="1:5" x14ac:dyDescent="0.3">
      <c r="A47" s="9" t="s">
        <v>390</v>
      </c>
      <c r="B47" s="9" t="s">
        <v>360</v>
      </c>
      <c r="C47" s="9" t="s">
        <v>361</v>
      </c>
      <c r="D47" s="9" t="s">
        <v>368</v>
      </c>
      <c r="E47" s="9" t="str">
        <f>VLOOKUP(A47,[1]relatorio_clientes!$C:$Q,15,0)</f>
        <v>ASA NORTE</v>
      </c>
    </row>
    <row r="48" spans="1:5" x14ac:dyDescent="0.3">
      <c r="A48" s="9" t="s">
        <v>114</v>
      </c>
      <c r="B48" s="9" t="s">
        <v>360</v>
      </c>
      <c r="C48" s="9" t="s">
        <v>361</v>
      </c>
      <c r="D48" s="9" t="s">
        <v>368</v>
      </c>
      <c r="E48" s="9" t="str">
        <f>VLOOKUP(A48,[1]relatorio_clientes!$C:$Q,15,0)</f>
        <v>ASA NORTE</v>
      </c>
    </row>
    <row r="49" spans="1:5" x14ac:dyDescent="0.3">
      <c r="A49" s="9" t="s">
        <v>172</v>
      </c>
      <c r="B49" s="9" t="s">
        <v>360</v>
      </c>
      <c r="C49" s="9" t="s">
        <v>361</v>
      </c>
      <c r="D49" s="9" t="s">
        <v>368</v>
      </c>
      <c r="E49" s="9" t="str">
        <f>VLOOKUP(A49,[1]relatorio_clientes!$C:$Q,15,0)</f>
        <v>ASA SUL</v>
      </c>
    </row>
    <row r="50" spans="1:5" x14ac:dyDescent="0.3">
      <c r="A50" s="9" t="s">
        <v>121</v>
      </c>
      <c r="B50" s="9" t="s">
        <v>360</v>
      </c>
      <c r="C50" s="9" t="s">
        <v>361</v>
      </c>
      <c r="D50" s="9" t="s">
        <v>368</v>
      </c>
      <c r="E50" s="9" t="str">
        <f>VLOOKUP(A50,[1]relatorio_clientes!$C:$Q,15,0)</f>
        <v>Asa Sul</v>
      </c>
    </row>
    <row r="51" spans="1:5" x14ac:dyDescent="0.3">
      <c r="A51" s="9" t="s">
        <v>391</v>
      </c>
      <c r="B51" s="9" t="s">
        <v>360</v>
      </c>
      <c r="C51" s="9" t="s">
        <v>361</v>
      </c>
      <c r="D51" s="9" t="s">
        <v>368</v>
      </c>
      <c r="E51" s="9" t="str">
        <f>VLOOKUP(A51,[1]relatorio_clientes!$C:$Q,15,0)</f>
        <v>ASA SUL</v>
      </c>
    </row>
    <row r="52" spans="1:5" x14ac:dyDescent="0.3">
      <c r="A52" s="9" t="s">
        <v>13</v>
      </c>
      <c r="B52" s="9" t="s">
        <v>360</v>
      </c>
      <c r="C52" s="9" t="s">
        <v>361</v>
      </c>
      <c r="D52" s="9" t="s">
        <v>362</v>
      </c>
      <c r="E52" s="9" t="str">
        <f>VLOOKUP(A52,[1]relatorio_clientes!$C:$Q,15,0)</f>
        <v>CANDANGOLANDIA</v>
      </c>
    </row>
    <row r="53" spans="1:5" x14ac:dyDescent="0.3">
      <c r="A53" s="9" t="s">
        <v>167</v>
      </c>
      <c r="B53" s="9" t="s">
        <v>360</v>
      </c>
      <c r="C53" s="9" t="s">
        <v>361</v>
      </c>
      <c r="D53" s="9" t="s">
        <v>365</v>
      </c>
      <c r="E53" s="9" t="str">
        <f>VLOOKUP(A53,[1]relatorio_clientes!$C:$Q,15,0)</f>
        <v>CEILANDIA</v>
      </c>
    </row>
    <row r="54" spans="1:5" x14ac:dyDescent="0.3">
      <c r="A54" s="9" t="s">
        <v>162</v>
      </c>
      <c r="B54" s="9" t="s">
        <v>360</v>
      </c>
      <c r="C54" s="9" t="s">
        <v>361</v>
      </c>
      <c r="D54" s="9" t="s">
        <v>368</v>
      </c>
      <c r="E54" s="9" t="str">
        <f>VLOOKUP(A54,[1]relatorio_clientes!$C:$Q,15,0)</f>
        <v>CEILANDIA</v>
      </c>
    </row>
    <row r="55" spans="1:5" x14ac:dyDescent="0.3">
      <c r="A55" s="9" t="s">
        <v>97</v>
      </c>
      <c r="B55" s="9" t="s">
        <v>360</v>
      </c>
      <c r="C55" s="9" t="s">
        <v>361</v>
      </c>
      <c r="D55" s="9" t="s">
        <v>365</v>
      </c>
      <c r="E55" s="9" t="str">
        <f>VLOOKUP(A55,[1]relatorio_clientes!$C:$Q,15,0)</f>
        <v>CEILANDIA NORTE</v>
      </c>
    </row>
    <row r="56" spans="1:5" x14ac:dyDescent="0.3">
      <c r="A56" s="9" t="s">
        <v>176</v>
      </c>
      <c r="B56" s="9" t="s">
        <v>360</v>
      </c>
      <c r="C56" s="9" t="s">
        <v>361</v>
      </c>
      <c r="D56" s="9" t="s">
        <v>374</v>
      </c>
      <c r="E56" s="9" t="str">
        <f>VLOOKUP(A56,[1]relatorio_clientes!$C:$Q,15,0)</f>
        <v>CEILANDIA NORTE</v>
      </c>
    </row>
    <row r="57" spans="1:5" x14ac:dyDescent="0.3">
      <c r="A57" s="9" t="s">
        <v>138</v>
      </c>
      <c r="B57" s="9" t="s">
        <v>360</v>
      </c>
      <c r="C57" s="9" t="s">
        <v>361</v>
      </c>
      <c r="D57" s="9" t="s">
        <v>374</v>
      </c>
      <c r="E57" s="9" t="str">
        <f>VLOOKUP(A57,[1]relatorio_clientes!$C:$Q,15,0)</f>
        <v>CEILANDIA NORTE (CEILANDIA)</v>
      </c>
    </row>
    <row r="58" spans="1:5" x14ac:dyDescent="0.3">
      <c r="A58" s="9" t="s">
        <v>96</v>
      </c>
      <c r="B58" s="9" t="s">
        <v>360</v>
      </c>
      <c r="C58" s="9" t="s">
        <v>361</v>
      </c>
      <c r="D58" s="9" t="s">
        <v>370</v>
      </c>
      <c r="E58" s="9" t="str">
        <f>VLOOKUP(A58,[1]relatorio_clientes!$C:$Q,15,0)</f>
        <v>CEILANDIA NORTE (CEILANDIA)</v>
      </c>
    </row>
    <row r="59" spans="1:5" x14ac:dyDescent="0.3">
      <c r="A59" s="9" t="s">
        <v>25</v>
      </c>
      <c r="B59" s="9" t="s">
        <v>360</v>
      </c>
      <c r="C59" s="9" t="s">
        <v>361</v>
      </c>
      <c r="D59" s="9" t="s">
        <v>362</v>
      </c>
      <c r="E59" s="9" t="str">
        <f>VLOOKUP(A59,[1]relatorio_clientes!$C:$Q,15,0)</f>
        <v>CEILANDIA NORTE (CEILANDIA)</v>
      </c>
    </row>
    <row r="60" spans="1:5" x14ac:dyDescent="0.3">
      <c r="A60" s="9" t="s">
        <v>130</v>
      </c>
      <c r="B60" s="9" t="s">
        <v>360</v>
      </c>
      <c r="C60" s="9" t="s">
        <v>361</v>
      </c>
      <c r="D60" s="9" t="s">
        <v>370</v>
      </c>
      <c r="E60" s="9" t="str">
        <f>VLOOKUP(A60,[1]relatorio_clientes!$C:$Q,15,0)</f>
        <v>CEILANDIA NORTE (CEILANDIA)</v>
      </c>
    </row>
    <row r="61" spans="1:5" x14ac:dyDescent="0.3">
      <c r="A61" s="9" t="s">
        <v>160</v>
      </c>
      <c r="B61" s="9" t="s">
        <v>360</v>
      </c>
      <c r="C61" s="9" t="s">
        <v>361</v>
      </c>
      <c r="D61" s="9" t="s">
        <v>368</v>
      </c>
      <c r="E61" s="9" t="str">
        <f>VLOOKUP(A61,[1]relatorio_clientes!$B:$Q,16,0)</f>
        <v>Ceilândia Norte (Ceilândia)</v>
      </c>
    </row>
    <row r="62" spans="1:5" x14ac:dyDescent="0.3">
      <c r="A62" s="9" t="s">
        <v>257</v>
      </c>
      <c r="B62" s="9" t="s">
        <v>360</v>
      </c>
      <c r="C62" s="9" t="s">
        <v>361</v>
      </c>
      <c r="D62" s="9" t="s">
        <v>365</v>
      </c>
      <c r="E62" s="9" t="str">
        <f>VLOOKUP(A62,[1]relatorio_clientes!$B:$Q,16,0)</f>
        <v>Ceilândia Norte (Ceilândia)</v>
      </c>
    </row>
    <row r="63" spans="1:5" x14ac:dyDescent="0.3">
      <c r="A63" s="9" t="s">
        <v>392</v>
      </c>
      <c r="B63" s="9" t="s">
        <v>360</v>
      </c>
      <c r="C63" s="9" t="s">
        <v>361</v>
      </c>
      <c r="D63" s="9" t="s">
        <v>365</v>
      </c>
      <c r="E63" s="9" t="str">
        <f>VLOOKUP(A63,[1]relatorio_clientes!$B:$Q,16,0)</f>
        <v>Ceilândia Norte (Ceilândia)</v>
      </c>
    </row>
    <row r="64" spans="1:5" x14ac:dyDescent="0.3">
      <c r="A64" s="9" t="s">
        <v>187</v>
      </c>
      <c r="B64" s="9" t="s">
        <v>360</v>
      </c>
      <c r="C64" s="9" t="s">
        <v>361</v>
      </c>
      <c r="D64" s="9" t="s">
        <v>365</v>
      </c>
      <c r="E64" s="9" t="str">
        <f>VLOOKUP(A64,[1]relatorio_clientes!$C:$Q,15,0)</f>
        <v>CEILANDIA SUL (CEILANDIA)</v>
      </c>
    </row>
    <row r="65" spans="1:5" x14ac:dyDescent="0.3">
      <c r="A65" s="9" t="s">
        <v>36</v>
      </c>
      <c r="B65" s="9" t="s">
        <v>360</v>
      </c>
      <c r="C65" s="9" t="s">
        <v>361</v>
      </c>
      <c r="D65" s="9" t="s">
        <v>365</v>
      </c>
      <c r="E65" s="9" t="str">
        <f>VLOOKUP(A65,[1]relatorio_clientes!$C:$Q,15,0)</f>
        <v>CEILANDIA SUL (CEILANDIA)</v>
      </c>
    </row>
    <row r="66" spans="1:5" x14ac:dyDescent="0.3">
      <c r="A66" s="9" t="s">
        <v>127</v>
      </c>
      <c r="B66" s="9" t="s">
        <v>360</v>
      </c>
      <c r="C66" s="9" t="s">
        <v>361</v>
      </c>
      <c r="D66" s="9" t="s">
        <v>362</v>
      </c>
      <c r="E66" s="9" t="str">
        <f>VLOOKUP(A66,[1]relatorio_clientes!$C:$Q,15,0)</f>
        <v>CEILANDIA SUL (CEILANDIA)</v>
      </c>
    </row>
    <row r="67" spans="1:5" x14ac:dyDescent="0.3">
      <c r="A67" s="9" t="s">
        <v>52</v>
      </c>
      <c r="B67" s="9" t="s">
        <v>360</v>
      </c>
      <c r="C67" s="9" t="s">
        <v>361</v>
      </c>
      <c r="D67" s="9" t="s">
        <v>365</v>
      </c>
      <c r="E67" s="9" t="str">
        <f>VLOOKUP(A67,[1]relatorio_clientes!$B:$Q,16,0)</f>
        <v>Ceilândia Sul (Ceilândia)</v>
      </c>
    </row>
    <row r="68" spans="1:5" x14ac:dyDescent="0.3">
      <c r="A68" s="9" t="s">
        <v>280</v>
      </c>
      <c r="B68" s="9" t="s">
        <v>360</v>
      </c>
      <c r="C68" s="9" t="s">
        <v>361</v>
      </c>
      <c r="D68" s="9" t="s">
        <v>368</v>
      </c>
      <c r="E68" s="9" t="str">
        <f>VLOOKUP(A68,[1]relatorio_clientes!$B:$Q,16,0)</f>
        <v>Ceilândia Sul (Ceilândia)</v>
      </c>
    </row>
    <row r="69" spans="1:5" x14ac:dyDescent="0.3">
      <c r="A69" s="9" t="s">
        <v>113</v>
      </c>
      <c r="B69" s="9" t="s">
        <v>360</v>
      </c>
      <c r="C69" s="9" t="s">
        <v>361</v>
      </c>
      <c r="D69" s="9" t="s">
        <v>362</v>
      </c>
      <c r="E69" s="9" t="str">
        <f>VLOOKUP(A69,[1]relatorio_clientes!$C:$Q,15,0)</f>
        <v>FAZENDA MESTRE D'ARMAS (ETAPA I - PLANALTINA)</v>
      </c>
    </row>
    <row r="70" spans="1:5" x14ac:dyDescent="0.3">
      <c r="A70" s="9" t="s">
        <v>393</v>
      </c>
      <c r="B70" s="9" t="s">
        <v>360</v>
      </c>
      <c r="C70" s="9" t="s">
        <v>361</v>
      </c>
      <c r="D70" s="9" t="s">
        <v>365</v>
      </c>
      <c r="E70" s="9" t="str">
        <f>VLOOKUP(A70,[1]relatorio_clientes!$C:$Q,15,0)</f>
        <v>FAZENDINHA (ITAPOA)</v>
      </c>
    </row>
    <row r="71" spans="1:5" x14ac:dyDescent="0.3">
      <c r="A71" s="9" t="s">
        <v>80</v>
      </c>
      <c r="B71" s="9" t="s">
        <v>360</v>
      </c>
      <c r="C71" s="9" t="s">
        <v>361</v>
      </c>
      <c r="D71" s="9" t="s">
        <v>370</v>
      </c>
      <c r="E71" s="9" t="str">
        <f>VLOOKUP(A71,[1]relatorio_clientes!$B:$Q,16,0)</f>
        <v>JOKEY</v>
      </c>
    </row>
    <row r="72" spans="1:5" x14ac:dyDescent="0.3">
      <c r="A72" s="9" t="s">
        <v>115</v>
      </c>
      <c r="B72" s="9" t="s">
        <v>360</v>
      </c>
      <c r="C72" s="9" t="s">
        <v>361</v>
      </c>
      <c r="D72" s="9" t="s">
        <v>389</v>
      </c>
      <c r="E72" s="9" t="s">
        <v>394</v>
      </c>
    </row>
    <row r="73" spans="1:5" x14ac:dyDescent="0.3">
      <c r="A73" s="9" t="s">
        <v>20</v>
      </c>
      <c r="B73" s="9" t="s">
        <v>360</v>
      </c>
      <c r="C73" s="9" t="s">
        <v>361</v>
      </c>
      <c r="D73" s="9" t="s">
        <v>388</v>
      </c>
      <c r="E73" s="9" t="s">
        <v>394</v>
      </c>
    </row>
    <row r="74" spans="1:5" x14ac:dyDescent="0.3">
      <c r="A74" s="9" t="s">
        <v>120</v>
      </c>
      <c r="B74" s="9" t="s">
        <v>360</v>
      </c>
      <c r="C74" s="9" t="s">
        <v>361</v>
      </c>
      <c r="D74" s="9" t="s">
        <v>370</v>
      </c>
      <c r="E74" s="9" t="s">
        <v>395</v>
      </c>
    </row>
    <row r="75" spans="1:5" x14ac:dyDescent="0.3">
      <c r="A75" s="9" t="s">
        <v>396</v>
      </c>
      <c r="B75" s="9" t="s">
        <v>360</v>
      </c>
      <c r="C75" s="9" t="s">
        <v>361</v>
      </c>
      <c r="D75" s="9" t="s">
        <v>368</v>
      </c>
      <c r="E75" s="9" t="s">
        <v>394</v>
      </c>
    </row>
    <row r="76" spans="1:5" x14ac:dyDescent="0.3">
      <c r="A76" s="9" t="s">
        <v>397</v>
      </c>
      <c r="B76" s="9" t="s">
        <v>360</v>
      </c>
      <c r="C76" s="9" t="s">
        <v>361</v>
      </c>
      <c r="D76" s="9" t="s">
        <v>368</v>
      </c>
      <c r="E76" s="9" t="s">
        <v>394</v>
      </c>
    </row>
    <row r="77" spans="1:5" x14ac:dyDescent="0.3">
      <c r="A77" s="9" t="s">
        <v>297</v>
      </c>
      <c r="B77" s="9" t="s">
        <v>360</v>
      </c>
      <c r="C77" s="9" t="s">
        <v>361</v>
      </c>
      <c r="D77" s="9" t="s">
        <v>365</v>
      </c>
      <c r="E77" s="9" t="s">
        <v>394</v>
      </c>
    </row>
    <row r="78" spans="1:5" x14ac:dyDescent="0.3">
      <c r="A78" s="9" t="s">
        <v>293</v>
      </c>
      <c r="B78" s="9" t="s">
        <v>360</v>
      </c>
      <c r="C78" s="9" t="s">
        <v>361</v>
      </c>
      <c r="D78" s="9" t="s">
        <v>365</v>
      </c>
      <c r="E78" s="9" t="s">
        <v>394</v>
      </c>
    </row>
    <row r="79" spans="1:5" x14ac:dyDescent="0.3">
      <c r="A79" s="9" t="s">
        <v>263</v>
      </c>
      <c r="B79" s="9" t="s">
        <v>360</v>
      </c>
      <c r="C79" s="9" t="s">
        <v>361</v>
      </c>
      <c r="D79" s="9" t="s">
        <v>368</v>
      </c>
      <c r="E79" s="9" t="s">
        <v>394</v>
      </c>
    </row>
    <row r="80" spans="1:5" x14ac:dyDescent="0.3">
      <c r="A80" s="9" t="s">
        <v>248</v>
      </c>
      <c r="B80" s="9" t="s">
        <v>360</v>
      </c>
      <c r="C80" s="9" t="s">
        <v>361</v>
      </c>
      <c r="D80" s="9" t="s">
        <v>368</v>
      </c>
      <c r="E80" s="9" t="s">
        <v>394</v>
      </c>
    </row>
    <row r="81" spans="1:5" x14ac:dyDescent="0.3">
      <c r="A81" s="9" t="s">
        <v>285</v>
      </c>
      <c r="B81" s="9" t="s">
        <v>360</v>
      </c>
      <c r="C81" s="9" t="s">
        <v>361</v>
      </c>
      <c r="D81" s="9" t="s">
        <v>368</v>
      </c>
      <c r="E81" s="9" t="s">
        <v>394</v>
      </c>
    </row>
    <row r="82" spans="1:5" x14ac:dyDescent="0.3">
      <c r="A82" s="9" t="s">
        <v>270</v>
      </c>
      <c r="B82" s="9" t="s">
        <v>360</v>
      </c>
      <c r="C82" s="9" t="s">
        <v>361</v>
      </c>
      <c r="D82" s="9" t="s">
        <v>368</v>
      </c>
      <c r="E82" s="9" t="s">
        <v>394</v>
      </c>
    </row>
    <row r="83" spans="1:5" x14ac:dyDescent="0.3">
      <c r="A83" s="9" t="s">
        <v>249</v>
      </c>
      <c r="B83" s="9" t="s">
        <v>360</v>
      </c>
      <c r="C83" s="9" t="s">
        <v>361</v>
      </c>
      <c r="D83" s="9" t="s">
        <v>368</v>
      </c>
      <c r="E83" s="9" t="s">
        <v>394</v>
      </c>
    </row>
    <row r="84" spans="1:5" x14ac:dyDescent="0.3">
      <c r="A84" s="9" t="s">
        <v>261</v>
      </c>
      <c r="B84" s="9" t="s">
        <v>360</v>
      </c>
      <c r="C84" s="9" t="s">
        <v>361</v>
      </c>
      <c r="D84" s="9" t="s">
        <v>368</v>
      </c>
      <c r="E84" s="9" t="s">
        <v>394</v>
      </c>
    </row>
    <row r="85" spans="1:5" x14ac:dyDescent="0.3">
      <c r="A85" s="9" t="s">
        <v>268</v>
      </c>
      <c r="B85" s="9" t="s">
        <v>360</v>
      </c>
      <c r="C85" s="9" t="s">
        <v>361</v>
      </c>
      <c r="D85" s="9" t="s">
        <v>368</v>
      </c>
      <c r="E85" s="9" t="s">
        <v>394</v>
      </c>
    </row>
    <row r="86" spans="1:5" x14ac:dyDescent="0.3">
      <c r="A86" s="9" t="s">
        <v>327</v>
      </c>
      <c r="B86" s="9" t="s">
        <v>360</v>
      </c>
      <c r="C86" s="9" t="s">
        <v>361</v>
      </c>
      <c r="D86" s="9" t="s">
        <v>365</v>
      </c>
      <c r="E86" s="9" t="s">
        <v>394</v>
      </c>
    </row>
    <row r="87" spans="1:5" x14ac:dyDescent="0.3">
      <c r="A87" s="9" t="s">
        <v>398</v>
      </c>
      <c r="B87" s="9" t="s">
        <v>360</v>
      </c>
      <c r="C87" s="9" t="s">
        <v>361</v>
      </c>
      <c r="D87" s="9" t="s">
        <v>368</v>
      </c>
      <c r="E87" s="9" t="s">
        <v>394</v>
      </c>
    </row>
    <row r="88" spans="1:5" x14ac:dyDescent="0.3">
      <c r="A88" s="9" t="s">
        <v>399</v>
      </c>
      <c r="B88" s="9" t="s">
        <v>360</v>
      </c>
      <c r="C88" s="9" t="s">
        <v>361</v>
      </c>
      <c r="D88" s="9" t="s">
        <v>368</v>
      </c>
      <c r="E88" s="9" t="s">
        <v>394</v>
      </c>
    </row>
    <row r="89" spans="1:5" x14ac:dyDescent="0.3">
      <c r="A89" s="9" t="s">
        <v>400</v>
      </c>
      <c r="B89" s="9" t="s">
        <v>360</v>
      </c>
      <c r="C89" s="9" t="s">
        <v>361</v>
      </c>
      <c r="D89" s="9" t="s">
        <v>368</v>
      </c>
      <c r="E89" s="9" t="s">
        <v>394</v>
      </c>
    </row>
    <row r="90" spans="1:5" x14ac:dyDescent="0.3">
      <c r="A90" s="9" t="s">
        <v>401</v>
      </c>
      <c r="B90" s="9" t="s">
        <v>360</v>
      </c>
      <c r="C90" s="9" t="s">
        <v>361</v>
      </c>
      <c r="D90" s="9" t="s">
        <v>368</v>
      </c>
      <c r="E90" s="9" t="s">
        <v>394</v>
      </c>
    </row>
    <row r="91" spans="1:5" x14ac:dyDescent="0.3">
      <c r="A91" s="9" t="s">
        <v>402</v>
      </c>
      <c r="B91" s="9" t="s">
        <v>360</v>
      </c>
      <c r="C91" s="9" t="s">
        <v>361</v>
      </c>
      <c r="D91" s="9" t="s">
        <v>368</v>
      </c>
      <c r="E91" s="9" t="s">
        <v>394</v>
      </c>
    </row>
    <row r="92" spans="1:5" x14ac:dyDescent="0.3">
      <c r="A92" s="9" t="s">
        <v>403</v>
      </c>
      <c r="B92" s="9" t="s">
        <v>360</v>
      </c>
      <c r="C92" s="9" t="s">
        <v>361</v>
      </c>
      <c r="D92" s="9" t="s">
        <v>368</v>
      </c>
      <c r="E92" s="9" t="s">
        <v>394</v>
      </c>
    </row>
    <row r="93" spans="1:5" x14ac:dyDescent="0.3">
      <c r="A93" s="9" t="s">
        <v>404</v>
      </c>
      <c r="B93" s="9" t="s">
        <v>360</v>
      </c>
      <c r="C93" s="9" t="s">
        <v>361</v>
      </c>
      <c r="D93" s="9" t="s">
        <v>368</v>
      </c>
      <c r="E93" s="9" t="s">
        <v>394</v>
      </c>
    </row>
    <row r="94" spans="1:5" x14ac:dyDescent="0.3">
      <c r="A94" s="9" t="s">
        <v>405</v>
      </c>
      <c r="B94" s="9" t="s">
        <v>360</v>
      </c>
      <c r="C94" s="9" t="s">
        <v>361</v>
      </c>
      <c r="D94" s="9" t="s">
        <v>368</v>
      </c>
      <c r="E94" s="9" t="s">
        <v>394</v>
      </c>
    </row>
    <row r="95" spans="1:5" x14ac:dyDescent="0.3">
      <c r="A95" s="9" t="s">
        <v>406</v>
      </c>
      <c r="B95" s="9" t="s">
        <v>360</v>
      </c>
      <c r="C95" s="9" t="s">
        <v>361</v>
      </c>
      <c r="D95" s="9" t="s">
        <v>368</v>
      </c>
      <c r="E95" s="9" t="s">
        <v>394</v>
      </c>
    </row>
    <row r="96" spans="1:5" x14ac:dyDescent="0.3">
      <c r="A96" s="9" t="s">
        <v>407</v>
      </c>
      <c r="B96" s="9" t="s">
        <v>360</v>
      </c>
      <c r="C96" s="9" t="s">
        <v>361</v>
      </c>
      <c r="D96" s="9" t="s">
        <v>368</v>
      </c>
      <c r="E96" s="9" t="s">
        <v>394</v>
      </c>
    </row>
    <row r="97" spans="1:5" x14ac:dyDescent="0.3">
      <c r="A97" s="9" t="s">
        <v>408</v>
      </c>
      <c r="B97" s="9" t="s">
        <v>360</v>
      </c>
      <c r="C97" s="9" t="s">
        <v>361</v>
      </c>
      <c r="D97" s="9" t="s">
        <v>368</v>
      </c>
      <c r="E97" s="9" t="s">
        <v>394</v>
      </c>
    </row>
    <row r="98" spans="1:5" x14ac:dyDescent="0.3">
      <c r="A98" s="9" t="s">
        <v>245</v>
      </c>
      <c r="B98" s="9" t="s">
        <v>360</v>
      </c>
      <c r="C98" s="9" t="s">
        <v>361</v>
      </c>
      <c r="D98" s="9" t="s">
        <v>368</v>
      </c>
      <c r="E98" s="9" t="s">
        <v>394</v>
      </c>
    </row>
    <row r="99" spans="1:5" x14ac:dyDescent="0.3">
      <c r="A99" s="9" t="s">
        <v>409</v>
      </c>
      <c r="B99" s="9" t="s">
        <v>360</v>
      </c>
      <c r="C99" s="9" t="s">
        <v>361</v>
      </c>
      <c r="D99" s="9" t="s">
        <v>368</v>
      </c>
      <c r="E99" s="9" t="s">
        <v>410</v>
      </c>
    </row>
    <row r="100" spans="1:5" x14ac:dyDescent="0.3">
      <c r="A100" s="9" t="s">
        <v>411</v>
      </c>
      <c r="B100" s="9" t="s">
        <v>360</v>
      </c>
      <c r="C100" s="9" t="s">
        <v>361</v>
      </c>
      <c r="D100" s="9" t="s">
        <v>368</v>
      </c>
      <c r="E100" s="9" t="s">
        <v>410</v>
      </c>
    </row>
    <row r="101" spans="1:5" x14ac:dyDescent="0.3">
      <c r="A101" s="9" t="s">
        <v>159</v>
      </c>
      <c r="B101" s="9" t="s">
        <v>360</v>
      </c>
      <c r="C101" s="9" t="s">
        <v>361</v>
      </c>
      <c r="D101" s="9" t="s">
        <v>368</v>
      </c>
      <c r="E101" s="9" t="s">
        <v>410</v>
      </c>
    </row>
    <row r="102" spans="1:5" x14ac:dyDescent="0.3">
      <c r="A102" s="9" t="s">
        <v>210</v>
      </c>
      <c r="B102" s="9" t="s">
        <v>360</v>
      </c>
      <c r="C102" s="9" t="s">
        <v>361</v>
      </c>
      <c r="D102" s="9" t="s">
        <v>368</v>
      </c>
      <c r="E102" s="9" t="s">
        <v>410</v>
      </c>
    </row>
    <row r="103" spans="1:5" x14ac:dyDescent="0.3">
      <c r="A103" s="9" t="s">
        <v>269</v>
      </c>
      <c r="B103" s="9" t="s">
        <v>360</v>
      </c>
      <c r="C103" s="9" t="s">
        <v>361</v>
      </c>
      <c r="D103" s="9" t="s">
        <v>389</v>
      </c>
      <c r="E103" s="9" t="s">
        <v>410</v>
      </c>
    </row>
    <row r="104" spans="1:5" x14ac:dyDescent="0.3">
      <c r="A104" s="9" t="s">
        <v>326</v>
      </c>
      <c r="B104" s="9" t="s">
        <v>360</v>
      </c>
      <c r="C104" s="9" t="s">
        <v>361</v>
      </c>
      <c r="D104" s="9" t="s">
        <v>389</v>
      </c>
      <c r="E104" s="9" t="s">
        <v>410</v>
      </c>
    </row>
    <row r="105" spans="1:5" x14ac:dyDescent="0.3">
      <c r="A105" s="9" t="s">
        <v>118</v>
      </c>
      <c r="B105" s="9" t="s">
        <v>360</v>
      </c>
      <c r="C105" s="9" t="s">
        <v>361</v>
      </c>
      <c r="D105" s="9" t="s">
        <v>374</v>
      </c>
      <c r="E105" s="9" t="str">
        <f>VLOOKUP(A105,[1]relatorio_clientes!$C:$Q,15,0)</f>
        <v>PARANOA</v>
      </c>
    </row>
    <row r="106" spans="1:5" x14ac:dyDescent="0.3">
      <c r="A106" s="9" t="s">
        <v>105</v>
      </c>
      <c r="B106" s="9" t="s">
        <v>360</v>
      </c>
      <c r="C106" s="9" t="s">
        <v>361</v>
      </c>
      <c r="D106" s="9" t="s">
        <v>362</v>
      </c>
      <c r="E106" s="9" t="str">
        <f>VLOOKUP(A106,[1]relatorio_clientes!$C:$Q,15,0)</f>
        <v>PLANALTINA</v>
      </c>
    </row>
    <row r="107" spans="1:5" x14ac:dyDescent="0.3">
      <c r="A107" s="9" t="s">
        <v>153</v>
      </c>
      <c r="B107" s="9" t="s">
        <v>360</v>
      </c>
      <c r="C107" s="9" t="s">
        <v>361</v>
      </c>
      <c r="D107" s="9" t="s">
        <v>365</v>
      </c>
      <c r="E107" s="9" t="str">
        <f>VLOOKUP(A107,[1]relatorio_clientes!$C:$Q,15,0)</f>
        <v>PLANALTINA</v>
      </c>
    </row>
    <row r="108" spans="1:5" x14ac:dyDescent="0.3">
      <c r="A108" s="9" t="s">
        <v>169</v>
      </c>
      <c r="B108" s="9" t="s">
        <v>412</v>
      </c>
      <c r="C108" s="9" t="s">
        <v>364</v>
      </c>
      <c r="D108" s="9" t="s">
        <v>365</v>
      </c>
      <c r="E108" s="9" t="str">
        <f>B108</f>
        <v>Planaltina</v>
      </c>
    </row>
    <row r="109" spans="1:5" x14ac:dyDescent="0.3">
      <c r="A109" s="9" t="s">
        <v>38</v>
      </c>
      <c r="B109" s="9" t="s">
        <v>360</v>
      </c>
      <c r="C109" s="9" t="s">
        <v>361</v>
      </c>
      <c r="D109" s="9" t="s">
        <v>370</v>
      </c>
      <c r="E109" s="9" t="str">
        <f>VLOOKUP(A109,[1]relatorio_clientes!$C:$Q,15,0)</f>
        <v>PONTE ALTA NORTE (GAMA)</v>
      </c>
    </row>
    <row r="110" spans="1:5" x14ac:dyDescent="0.3">
      <c r="A110" s="9" t="s">
        <v>284</v>
      </c>
      <c r="B110" s="9" t="s">
        <v>360</v>
      </c>
      <c r="C110" s="9" t="s">
        <v>361</v>
      </c>
      <c r="D110" s="9" t="s">
        <v>368</v>
      </c>
      <c r="E110" s="9" t="str">
        <f>VLOOKUP(A110,[1]relatorio_clientes!$C:$Q,15,0)</f>
        <v>PONTE ALTA NORTE (GAMA)</v>
      </c>
    </row>
    <row r="111" spans="1:5" x14ac:dyDescent="0.3">
      <c r="A111" s="9" t="s">
        <v>233</v>
      </c>
      <c r="B111" s="9" t="s">
        <v>360</v>
      </c>
      <c r="C111" s="9" t="s">
        <v>361</v>
      </c>
      <c r="D111" s="9" t="s">
        <v>368</v>
      </c>
      <c r="E111" s="9" t="str">
        <f>VLOOKUP(A111,[1]relatorio_clientes!$B:$Q,16,0)</f>
        <v>Recanto das Emas</v>
      </c>
    </row>
    <row r="112" spans="1:5" x14ac:dyDescent="0.3">
      <c r="A112" s="9" t="s">
        <v>264</v>
      </c>
      <c r="B112" s="9" t="s">
        <v>360</v>
      </c>
      <c r="C112" s="9" t="s">
        <v>361</v>
      </c>
      <c r="D112" s="9" t="s">
        <v>365</v>
      </c>
      <c r="E112" s="9" t="str">
        <f>VLOOKUP(A112,[1]relatorio_clientes!$B:$Q,16,0)</f>
        <v>Recanto das emas</v>
      </c>
    </row>
    <row r="113" spans="1:5" x14ac:dyDescent="0.3">
      <c r="A113" s="9" t="s">
        <v>279</v>
      </c>
      <c r="B113" s="9" t="s">
        <v>360</v>
      </c>
      <c r="C113" s="9" t="s">
        <v>361</v>
      </c>
      <c r="D113" s="9" t="s">
        <v>368</v>
      </c>
      <c r="E113" s="9" t="str">
        <f>VLOOKUP(A113,[1]relatorio_clientes!$B:$Q,16,0)</f>
        <v>RECANTO DAS EMAS</v>
      </c>
    </row>
    <row r="114" spans="1:5" x14ac:dyDescent="0.3">
      <c r="A114" s="9" t="s">
        <v>413</v>
      </c>
      <c r="B114" s="9" t="s">
        <v>360</v>
      </c>
      <c r="C114" s="9" t="s">
        <v>361</v>
      </c>
      <c r="D114" s="9" t="s">
        <v>368</v>
      </c>
      <c r="E114" s="9" t="str">
        <f>VLOOKUP(A114,[1]relatorio_clientes!$C:$Q,15,0)</f>
        <v>RECANTO DAS EMAS</v>
      </c>
    </row>
    <row r="115" spans="1:5" x14ac:dyDescent="0.3">
      <c r="A115" s="9" t="s">
        <v>133</v>
      </c>
      <c r="B115" s="9" t="s">
        <v>360</v>
      </c>
      <c r="C115" s="9" t="s">
        <v>361</v>
      </c>
      <c r="D115" s="9" t="s">
        <v>365</v>
      </c>
      <c r="E115" s="9" t="str">
        <f>VLOOKUP(A115,[1]relatorio_clientes!$C:$Q,15,0)</f>
        <v>RECANTO DAS EMAS</v>
      </c>
    </row>
    <row r="116" spans="1:5" x14ac:dyDescent="0.3">
      <c r="A116" s="9" t="s">
        <v>414</v>
      </c>
      <c r="B116" s="9" t="s">
        <v>360</v>
      </c>
      <c r="C116" s="9" t="s">
        <v>361</v>
      </c>
      <c r="D116" s="9" t="s">
        <v>368</v>
      </c>
      <c r="E116" s="9" t="str">
        <f>VLOOKUP(A116,[1]relatorio_clientes!$C:$Q,15,0)</f>
        <v>RECANTO DAS EMAS</v>
      </c>
    </row>
    <row r="117" spans="1:5" x14ac:dyDescent="0.3">
      <c r="A117" s="9" t="s">
        <v>140</v>
      </c>
      <c r="B117" s="9" t="s">
        <v>360</v>
      </c>
      <c r="C117" s="9" t="s">
        <v>361</v>
      </c>
      <c r="D117" s="9" t="s">
        <v>362</v>
      </c>
      <c r="E117" s="9" t="str">
        <f>VLOOKUP(A117,[1]relatorio_clientes!$C:$Q,15,0)</f>
        <v>RECANTO DAS EMAS</v>
      </c>
    </row>
    <row r="118" spans="1:5" x14ac:dyDescent="0.3">
      <c r="A118" s="9" t="s">
        <v>34</v>
      </c>
      <c r="B118" s="9" t="s">
        <v>360</v>
      </c>
      <c r="C118" s="9" t="s">
        <v>361</v>
      </c>
      <c r="D118" s="9" t="s">
        <v>365</v>
      </c>
      <c r="E118" s="9" t="str">
        <f>VLOOKUP(A118,[1]relatorio_clientes!$C:$Q,15,0)</f>
        <v>RECANTO DAS EMAS</v>
      </c>
    </row>
    <row r="119" spans="1:5" x14ac:dyDescent="0.3">
      <c r="A119" s="9" t="s">
        <v>27</v>
      </c>
      <c r="B119" s="9" t="s">
        <v>360</v>
      </c>
      <c r="C119" s="9" t="s">
        <v>361</v>
      </c>
      <c r="D119" s="9" t="s">
        <v>370</v>
      </c>
      <c r="E119" s="9" t="str">
        <f>VLOOKUP(A119,[1]relatorio_clientes!$C:$Q,15,0)</f>
        <v>RECANTO DAS EMAS</v>
      </c>
    </row>
    <row r="120" spans="1:5" x14ac:dyDescent="0.3">
      <c r="A120" s="9" t="s">
        <v>55</v>
      </c>
      <c r="B120" s="9" t="s">
        <v>360</v>
      </c>
      <c r="C120" s="9" t="s">
        <v>361</v>
      </c>
      <c r="D120" s="9" t="s">
        <v>370</v>
      </c>
      <c r="E120" s="9" t="str">
        <f>VLOOKUP(A120,[1]relatorio_clientes!$C:$Q,15,0)</f>
        <v>RECANTO DAS EMAS</v>
      </c>
    </row>
    <row r="121" spans="1:5" x14ac:dyDescent="0.3">
      <c r="A121" s="9" t="s">
        <v>88</v>
      </c>
      <c r="B121" s="9" t="s">
        <v>360</v>
      </c>
      <c r="C121" s="9" t="s">
        <v>361</v>
      </c>
      <c r="D121" s="9" t="s">
        <v>365</v>
      </c>
      <c r="E121" s="9" t="str">
        <f>VLOOKUP(A121,[1]relatorio_clientes!$C:$Q,15,0)</f>
        <v>RECANTO DAS EMAS</v>
      </c>
    </row>
    <row r="122" spans="1:5" x14ac:dyDescent="0.3">
      <c r="A122" s="9" t="s">
        <v>208</v>
      </c>
      <c r="B122" s="9" t="s">
        <v>360</v>
      </c>
      <c r="C122" s="9" t="s">
        <v>361</v>
      </c>
      <c r="D122" s="9" t="s">
        <v>368</v>
      </c>
      <c r="E122" s="9" t="str">
        <f>VLOOKUP(A122,[1]relatorio_clientes!$B:$Q,16,0)</f>
        <v>Riacho Fundo I</v>
      </c>
    </row>
    <row r="123" spans="1:5" x14ac:dyDescent="0.3">
      <c r="A123" s="9" t="s">
        <v>112</v>
      </c>
      <c r="B123" s="9" t="s">
        <v>360</v>
      </c>
      <c r="C123" s="9" t="s">
        <v>361</v>
      </c>
      <c r="D123" s="9" t="s">
        <v>365</v>
      </c>
      <c r="E123" s="9" t="str">
        <f>VLOOKUP(A123,[1]relatorio_clientes!$C:$Q,15,0)</f>
        <v>RIACHO FUNDO I</v>
      </c>
    </row>
    <row r="124" spans="1:5" x14ac:dyDescent="0.3">
      <c r="A124" s="9" t="s">
        <v>190</v>
      </c>
      <c r="B124" s="9" t="s">
        <v>360</v>
      </c>
      <c r="C124" s="9" t="s">
        <v>361</v>
      </c>
      <c r="D124" s="9" t="s">
        <v>362</v>
      </c>
      <c r="E124" s="9" t="str">
        <f>VLOOKUP(A124,[1]relatorio_clientes!$C:$Q,15,0)</f>
        <v>RIACHO FUNDO I</v>
      </c>
    </row>
    <row r="125" spans="1:5" x14ac:dyDescent="0.3">
      <c r="A125" s="9" t="s">
        <v>415</v>
      </c>
      <c r="B125" s="9" t="s">
        <v>360</v>
      </c>
      <c r="C125" s="9" t="s">
        <v>361</v>
      </c>
      <c r="D125" s="9" t="s">
        <v>368</v>
      </c>
      <c r="E125" s="9" t="str">
        <f>VLOOKUP(A125,[1]relatorio_clientes!$C:$Q,15,0)</f>
        <v>RIACHO FUNDO I</v>
      </c>
    </row>
    <row r="126" spans="1:5" x14ac:dyDescent="0.3">
      <c r="A126" s="9" t="s">
        <v>322</v>
      </c>
      <c r="B126" s="9" t="s">
        <v>360</v>
      </c>
      <c r="C126" s="9" t="s">
        <v>361</v>
      </c>
      <c r="D126" s="9" t="s">
        <v>365</v>
      </c>
      <c r="E126" s="9" t="str">
        <f>VLOOKUP(A126,[1]relatorio_clientes!$C:$Q,15,0)</f>
        <v>RIACHO FUNDO I</v>
      </c>
    </row>
    <row r="127" spans="1:5" x14ac:dyDescent="0.3">
      <c r="A127" s="9" t="s">
        <v>305</v>
      </c>
      <c r="B127" s="9" t="s">
        <v>360</v>
      </c>
      <c r="C127" s="9" t="s">
        <v>361</v>
      </c>
      <c r="D127" s="9" t="s">
        <v>365</v>
      </c>
      <c r="E127" s="9" t="str">
        <f>VLOOKUP(A127,[1]relatorio_clientes!$C:$Q,15,0)</f>
        <v>RIACHO FUNDO I</v>
      </c>
    </row>
    <row r="128" spans="1:5" x14ac:dyDescent="0.3">
      <c r="A128" s="9" t="s">
        <v>218</v>
      </c>
      <c r="B128" s="9" t="s">
        <v>360</v>
      </c>
      <c r="C128" s="9" t="s">
        <v>361</v>
      </c>
      <c r="D128" s="9" t="s">
        <v>368</v>
      </c>
      <c r="E128" s="9" t="str">
        <f>VLOOKUP(A128,[1]relatorio_clientes!$B:$Q,16,0)</f>
        <v>Riacho Fundo II</v>
      </c>
    </row>
    <row r="129" spans="1:5" x14ac:dyDescent="0.3">
      <c r="A129" s="9" t="s">
        <v>21</v>
      </c>
      <c r="B129" s="9" t="s">
        <v>360</v>
      </c>
      <c r="C129" s="9" t="s">
        <v>361</v>
      </c>
      <c r="D129" s="9" t="s">
        <v>362</v>
      </c>
      <c r="E129" s="9" t="s">
        <v>416</v>
      </c>
    </row>
    <row r="130" spans="1:5" x14ac:dyDescent="0.3">
      <c r="A130" s="9" t="s">
        <v>417</v>
      </c>
      <c r="B130" s="9" t="s">
        <v>360</v>
      </c>
      <c r="C130" s="9" t="s">
        <v>361</v>
      </c>
      <c r="D130" s="9" t="s">
        <v>365</v>
      </c>
      <c r="E130" s="9" t="str">
        <f>VLOOKUP(A130,[1]relatorio_clientes!$C:$Q,15,0)</f>
        <v>Riacho Fundo II</v>
      </c>
    </row>
    <row r="131" spans="1:5" x14ac:dyDescent="0.3">
      <c r="A131" s="9" t="s">
        <v>156</v>
      </c>
      <c r="B131" s="9" t="s">
        <v>360</v>
      </c>
      <c r="C131" s="9" t="s">
        <v>361</v>
      </c>
      <c r="D131" s="9" t="s">
        <v>365</v>
      </c>
      <c r="E131" s="9" t="str">
        <f>VLOOKUP(A131,[1]relatorio_clientes!$C:$Q,15,0)</f>
        <v>RIACHO FUNDO II</v>
      </c>
    </row>
    <row r="132" spans="1:5" x14ac:dyDescent="0.3">
      <c r="A132" s="9" t="s">
        <v>216</v>
      </c>
      <c r="B132" s="9" t="s">
        <v>360</v>
      </c>
      <c r="C132" s="9" t="s">
        <v>361</v>
      </c>
      <c r="D132" s="9" t="s">
        <v>362</v>
      </c>
      <c r="E132" s="9" t="str">
        <f>VLOOKUP(A132,[1]relatorio_clientes!$C:$Q,15,0)</f>
        <v>RIACHO FUNDO II</v>
      </c>
    </row>
    <row r="133" spans="1:5" x14ac:dyDescent="0.3">
      <c r="A133" s="9" t="s">
        <v>239</v>
      </c>
      <c r="B133" s="9" t="s">
        <v>360</v>
      </c>
      <c r="C133" s="9" t="s">
        <v>361</v>
      </c>
      <c r="D133" s="9" t="s">
        <v>362</v>
      </c>
      <c r="E133" s="9" t="str">
        <f>VLOOKUP(A133,[1]relatorio_clientes!$C:$Q,15,0)</f>
        <v>RIACHO FUNDO II</v>
      </c>
    </row>
    <row r="134" spans="1:5" x14ac:dyDescent="0.3">
      <c r="A134" s="9" t="s">
        <v>142</v>
      </c>
      <c r="B134" s="9" t="s">
        <v>360</v>
      </c>
      <c r="C134" s="9" t="s">
        <v>361</v>
      </c>
      <c r="D134" s="9" t="s">
        <v>374</v>
      </c>
      <c r="E134" s="9" t="str">
        <f>VLOOKUP(A134,[1]relatorio_clientes!$C:$Q,15,0)</f>
        <v>RIACHO FUNDO II</v>
      </c>
    </row>
    <row r="135" spans="1:5" x14ac:dyDescent="0.3">
      <c r="A135" s="9" t="s">
        <v>161</v>
      </c>
      <c r="B135" s="9" t="s">
        <v>360</v>
      </c>
      <c r="C135" s="9" t="s">
        <v>361</v>
      </c>
      <c r="D135" s="9" t="s">
        <v>362</v>
      </c>
      <c r="E135" s="9" t="str">
        <f>VLOOKUP(A135,[1]relatorio_clientes!$C:$Q,15,0)</f>
        <v>RIACHO FUNDO II</v>
      </c>
    </row>
    <row r="136" spans="1:5" x14ac:dyDescent="0.3">
      <c r="A136" s="9" t="s">
        <v>42</v>
      </c>
      <c r="B136" s="9" t="s">
        <v>360</v>
      </c>
      <c r="C136" s="9" t="s">
        <v>361</v>
      </c>
      <c r="D136" s="9" t="s">
        <v>370</v>
      </c>
      <c r="E136" s="9" t="str">
        <f>VLOOKUP(A136,[1]relatorio_clientes!$C:$Q,15,0)</f>
        <v>SAMAMBAIA</v>
      </c>
    </row>
    <row r="137" spans="1:5" x14ac:dyDescent="0.3">
      <c r="A137" s="9" t="s">
        <v>418</v>
      </c>
      <c r="B137" s="9" t="s">
        <v>360</v>
      </c>
      <c r="C137" s="9" t="s">
        <v>361</v>
      </c>
      <c r="D137" s="9" t="s">
        <v>368</v>
      </c>
      <c r="E137" s="9" t="str">
        <f>VLOOKUP(A137,[1]relatorio_clientes!$C:$Q,15,0)</f>
        <v>SAMAMBAIA NORTE</v>
      </c>
    </row>
    <row r="138" spans="1:5" x14ac:dyDescent="0.3">
      <c r="A138" s="9" t="s">
        <v>419</v>
      </c>
      <c r="B138" s="9" t="s">
        <v>360</v>
      </c>
      <c r="C138" s="9" t="s">
        <v>361</v>
      </c>
      <c r="D138" s="9" t="s">
        <v>368</v>
      </c>
      <c r="E138" s="9" t="str">
        <f>VLOOKUP(A138,[1]relatorio_clientes!$B:$Q,16,0)</f>
        <v>Samambaia Norte (Samambaia)</v>
      </c>
    </row>
    <row r="139" spans="1:5" x14ac:dyDescent="0.3">
      <c r="A139" s="9" t="s">
        <v>102</v>
      </c>
      <c r="B139" s="9" t="s">
        <v>360</v>
      </c>
      <c r="C139" s="9" t="s">
        <v>361</v>
      </c>
      <c r="D139" s="9" t="s">
        <v>365</v>
      </c>
      <c r="E139" s="9" t="str">
        <f>VLOOKUP(A139,[1]relatorio_clientes!$B:$Q,16,0)</f>
        <v>Samambaia Norte (Samambaia)</v>
      </c>
    </row>
    <row r="140" spans="1:5" x14ac:dyDescent="0.3">
      <c r="A140" s="9" t="s">
        <v>136</v>
      </c>
      <c r="B140" s="9" t="s">
        <v>360</v>
      </c>
      <c r="C140" s="9" t="s">
        <v>361</v>
      </c>
      <c r="D140" s="9" t="s">
        <v>368</v>
      </c>
      <c r="E140" s="9" t="str">
        <f>VLOOKUP(A140,[1]relatorio_clientes!$C:$Q,15,0)</f>
        <v>SAMAMBAIA NORTE (SAMAMBAIA)</v>
      </c>
    </row>
    <row r="141" spans="1:5" x14ac:dyDescent="0.3">
      <c r="A141" s="9" t="s">
        <v>85</v>
      </c>
      <c r="B141" s="9" t="s">
        <v>360</v>
      </c>
      <c r="C141" s="9" t="s">
        <v>361</v>
      </c>
      <c r="D141" s="9" t="s">
        <v>365</v>
      </c>
      <c r="E141" s="9" t="str">
        <f>VLOOKUP(A141,[1]relatorio_clientes!$C:$Q,15,0)</f>
        <v>SAMAMBAIA NORTE (SAMAMBAIA)</v>
      </c>
    </row>
    <row r="142" spans="1:5" x14ac:dyDescent="0.3">
      <c r="A142" s="9" t="s">
        <v>158</v>
      </c>
      <c r="B142" s="9" t="s">
        <v>360</v>
      </c>
      <c r="C142" s="9" t="s">
        <v>361</v>
      </c>
      <c r="D142" s="9" t="s">
        <v>368</v>
      </c>
      <c r="E142" s="9" t="str">
        <f>VLOOKUP(A142,[1]relatorio_clientes!$B:$Q,16,0)</f>
        <v>Samambaia Sul (Samambaia)</v>
      </c>
    </row>
    <row r="143" spans="1:5" x14ac:dyDescent="0.3">
      <c r="A143" s="9" t="s">
        <v>68</v>
      </c>
      <c r="B143" s="9" t="s">
        <v>360</v>
      </c>
      <c r="C143" s="9" t="s">
        <v>361</v>
      </c>
      <c r="D143" s="9" t="s">
        <v>362</v>
      </c>
      <c r="E143" s="9" t="str">
        <f>VLOOKUP(A143,[1]relatorio_clientes!$C:$Q,15,0)</f>
        <v>SAMAMBAIA SUL (SAMAMBAIA)</v>
      </c>
    </row>
    <row r="144" spans="1:5" x14ac:dyDescent="0.3">
      <c r="A144" s="9" t="s">
        <v>135</v>
      </c>
      <c r="B144" s="9" t="s">
        <v>360</v>
      </c>
      <c r="C144" s="9" t="s">
        <v>361</v>
      </c>
      <c r="D144" s="9" t="s">
        <v>368</v>
      </c>
      <c r="E144" s="9" t="str">
        <f>VLOOKUP(A144,[1]relatorio_clientes!$B:$Q,16,0)</f>
        <v>Santa Maria</v>
      </c>
    </row>
    <row r="145" spans="1:5" x14ac:dyDescent="0.3">
      <c r="A145" s="9" t="s">
        <v>98</v>
      </c>
      <c r="B145" s="9" t="s">
        <v>360</v>
      </c>
      <c r="C145" s="9" t="s">
        <v>361</v>
      </c>
      <c r="D145" s="9" t="s">
        <v>365</v>
      </c>
      <c r="E145" s="9" t="str">
        <f>VLOOKUP(A145,[1]relatorio_clientes!$C:$Q,15,0)</f>
        <v>SANTA MARIA</v>
      </c>
    </row>
    <row r="146" spans="1:5" x14ac:dyDescent="0.3">
      <c r="A146" s="9" t="s">
        <v>420</v>
      </c>
      <c r="B146" s="9" t="s">
        <v>360</v>
      </c>
      <c r="C146" s="9" t="s">
        <v>361</v>
      </c>
      <c r="D146" s="9" t="s">
        <v>368</v>
      </c>
      <c r="E146" s="9" t="str">
        <f>VLOOKUP(A146,[1]relatorio_clientes!$C:$Q,15,0)</f>
        <v>SANTA MARIA</v>
      </c>
    </row>
    <row r="147" spans="1:5" x14ac:dyDescent="0.3">
      <c r="A147" s="9" t="s">
        <v>259</v>
      </c>
      <c r="B147" s="9" t="s">
        <v>360</v>
      </c>
      <c r="C147" s="9" t="s">
        <v>361</v>
      </c>
      <c r="D147" s="9" t="s">
        <v>368</v>
      </c>
      <c r="E147" s="9" t="str">
        <f>VLOOKUP(A147,[1]relatorio_clientes!$C:$Q,15,0)</f>
        <v>SANTA MARIA</v>
      </c>
    </row>
    <row r="148" spans="1:5" x14ac:dyDescent="0.3">
      <c r="A148" s="9" t="s">
        <v>421</v>
      </c>
      <c r="B148" s="9" t="s">
        <v>360</v>
      </c>
      <c r="C148" s="9" t="s">
        <v>361</v>
      </c>
      <c r="D148" s="9" t="s">
        <v>368</v>
      </c>
      <c r="E148" s="9" t="str">
        <f>VLOOKUP(A148,[1]relatorio_clientes!$C:$Q,15,0)</f>
        <v>SAO SEBASTIAO</v>
      </c>
    </row>
    <row r="149" spans="1:5" x14ac:dyDescent="0.3">
      <c r="A149" s="9" t="s">
        <v>277</v>
      </c>
      <c r="B149" s="9" t="s">
        <v>360</v>
      </c>
      <c r="C149" s="9" t="s">
        <v>361</v>
      </c>
      <c r="D149" s="9" t="s">
        <v>374</v>
      </c>
      <c r="E149" s="9" t="s">
        <v>422</v>
      </c>
    </row>
    <row r="150" spans="1:5" x14ac:dyDescent="0.3">
      <c r="A150" s="9" t="s">
        <v>62</v>
      </c>
      <c r="B150" s="9" t="s">
        <v>360</v>
      </c>
      <c r="C150" s="9" t="s">
        <v>361</v>
      </c>
      <c r="D150" s="9" t="s">
        <v>368</v>
      </c>
      <c r="E150" s="9" t="str">
        <f>VLOOKUP(A150,[1]relatorio_clientes!$C:$Q,15,0)</f>
        <v>SETOR DE INDUSTRIA E ABASTECIMENTO</v>
      </c>
    </row>
    <row r="151" spans="1:5" x14ac:dyDescent="0.3">
      <c r="A151" s="9" t="s">
        <v>298</v>
      </c>
      <c r="B151" s="9" t="s">
        <v>360</v>
      </c>
      <c r="C151" s="9" t="s">
        <v>361</v>
      </c>
      <c r="D151" s="9" t="s">
        <v>365</v>
      </c>
      <c r="E151" s="9" t="str">
        <f>VLOOKUP(A151,[1]relatorio_clientes!$C:$Q,15,0)</f>
        <v>SETOR DE MANSOES DE SOBRADINHO</v>
      </c>
    </row>
    <row r="152" spans="1:5" x14ac:dyDescent="0.3">
      <c r="A152" s="9" t="s">
        <v>126</v>
      </c>
      <c r="B152" s="9" t="s">
        <v>360</v>
      </c>
      <c r="C152" s="9" t="s">
        <v>361</v>
      </c>
      <c r="D152" s="9" t="s">
        <v>368</v>
      </c>
      <c r="E152" s="9" t="str">
        <f>VLOOKUP(A152,[1]relatorio_clientes!$C:$Q,15,0)</f>
        <v>SETOR HABITACIONAL ARNIQUEIRA (AGUAS CLARAS)</v>
      </c>
    </row>
    <row r="153" spans="1:5" x14ac:dyDescent="0.3">
      <c r="A153" s="9" t="s">
        <v>117</v>
      </c>
      <c r="B153" s="9" t="s">
        <v>360</v>
      </c>
      <c r="C153" s="9" t="s">
        <v>361</v>
      </c>
      <c r="D153" s="9" t="s">
        <v>362</v>
      </c>
      <c r="E153" s="9" t="str">
        <f>VLOOKUP(A153,[1]relatorio_clientes!$C:$Q,15,0)</f>
        <v>SETOR HABITACIONAL ARNIQUEIRA (AGUAS CLARAS)</v>
      </c>
    </row>
    <row r="154" spans="1:5" x14ac:dyDescent="0.3">
      <c r="A154" s="9" t="s">
        <v>271</v>
      </c>
      <c r="B154" s="9" t="s">
        <v>360</v>
      </c>
      <c r="C154" s="9" t="s">
        <v>361</v>
      </c>
      <c r="D154" s="9" t="s">
        <v>368</v>
      </c>
      <c r="E154" s="9" t="str">
        <f>VLOOKUP(A154,[1]relatorio_clientes!$C:$Q,15,0)</f>
        <v>SETOR HABITACIONAL ARNIQUEIRA (AGUAS CLARAS)</v>
      </c>
    </row>
    <row r="155" spans="1:5" x14ac:dyDescent="0.3">
      <c r="A155" s="9" t="s">
        <v>230</v>
      </c>
      <c r="B155" s="9" t="s">
        <v>360</v>
      </c>
      <c r="C155" s="9" t="s">
        <v>361</v>
      </c>
      <c r="D155" s="9" t="s">
        <v>365</v>
      </c>
      <c r="E155" s="9" t="str">
        <f>VLOOKUP(A155,[1]relatorio_clientes!$C:$Q,15,0)</f>
        <v>SETOR HABITACIONAL SAMAMBAIA (VICENTE PIRES)</v>
      </c>
    </row>
    <row r="156" spans="1:5" x14ac:dyDescent="0.3">
      <c r="A156" s="9" t="s">
        <v>231</v>
      </c>
      <c r="B156" s="9" t="s">
        <v>360</v>
      </c>
      <c r="C156" s="9" t="s">
        <v>361</v>
      </c>
      <c r="D156" s="9" t="s">
        <v>368</v>
      </c>
      <c r="E156" s="9" t="str">
        <f>VLOOKUP(A156,[1]relatorio_clientes!$B:$Q,16,0)</f>
        <v>Setor Habitacional Vicente Pires</v>
      </c>
    </row>
    <row r="157" spans="1:5" x14ac:dyDescent="0.3">
      <c r="A157" s="9" t="s">
        <v>423</v>
      </c>
      <c r="B157" s="9" t="s">
        <v>360</v>
      </c>
      <c r="C157" s="9" t="s">
        <v>361</v>
      </c>
      <c r="D157" s="9" t="s">
        <v>368</v>
      </c>
      <c r="E157" s="9" t="str">
        <f>VLOOKUP(A157,[1]relatorio_clientes!$B:$Q,16,0)</f>
        <v>Setor Habitacional Vicente Pires</v>
      </c>
    </row>
    <row r="158" spans="1:5" x14ac:dyDescent="0.3">
      <c r="A158" s="9" t="s">
        <v>44</v>
      </c>
      <c r="B158" s="9" t="s">
        <v>360</v>
      </c>
      <c r="C158" s="9" t="s">
        <v>361</v>
      </c>
      <c r="D158" s="9" t="s">
        <v>370</v>
      </c>
      <c r="E158" s="9" t="str">
        <f>VLOOKUP(A158,[1]relatorio_clientes!$C:$Q,15,0)</f>
        <v>SETOR HABITACIONAL VICENTE PIRES</v>
      </c>
    </row>
    <row r="159" spans="1:5" x14ac:dyDescent="0.3">
      <c r="A159" s="9" t="s">
        <v>165</v>
      </c>
      <c r="B159" s="9" t="s">
        <v>360</v>
      </c>
      <c r="C159" s="9" t="s">
        <v>361</v>
      </c>
      <c r="D159" s="9" t="s">
        <v>370</v>
      </c>
      <c r="E159" s="9" t="str">
        <f>VLOOKUP(A159,[1]relatorio_clientes!$C:$Q,15,0)</f>
        <v>SETOR HABITACIONAL VICENTE PIRES</v>
      </c>
    </row>
    <row r="160" spans="1:5" x14ac:dyDescent="0.3">
      <c r="A160" s="9" t="s">
        <v>59</v>
      </c>
      <c r="B160" s="9" t="s">
        <v>360</v>
      </c>
      <c r="C160" s="9" t="s">
        <v>361</v>
      </c>
      <c r="D160" s="9" t="s">
        <v>362</v>
      </c>
      <c r="E160" s="9" t="str">
        <f>VLOOKUP(A160,[1]relatorio_clientes!$C:$Q,15,0)</f>
        <v>SETOR HABITACIONAL VICENTE PIRES</v>
      </c>
    </row>
    <row r="161" spans="1:5" x14ac:dyDescent="0.3">
      <c r="A161" s="9" t="s">
        <v>217</v>
      </c>
      <c r="B161" s="9" t="s">
        <v>360</v>
      </c>
      <c r="C161" s="9" t="s">
        <v>361</v>
      </c>
      <c r="D161" s="9" t="s">
        <v>370</v>
      </c>
      <c r="E161" s="9" t="str">
        <f>VLOOKUP(A161,[1]relatorio_clientes!$C:$Q,15,0)</f>
        <v>SETOR HABITACIONAL VICENTE PIRES</v>
      </c>
    </row>
    <row r="162" spans="1:5" x14ac:dyDescent="0.3">
      <c r="A162" s="9" t="s">
        <v>15</v>
      </c>
      <c r="B162" s="9" t="s">
        <v>360</v>
      </c>
      <c r="C162" s="9" t="s">
        <v>361</v>
      </c>
      <c r="D162" s="9" t="s">
        <v>365</v>
      </c>
      <c r="E162" s="9" t="str">
        <f>VLOOKUP(A162,[1]relatorio_clientes!$C:$Q,15,0)</f>
        <v>SETOR HABITACIONAL VICENTE PIRES</v>
      </c>
    </row>
    <row r="163" spans="1:5" x14ac:dyDescent="0.3">
      <c r="A163" s="9" t="s">
        <v>424</v>
      </c>
      <c r="B163" s="9" t="s">
        <v>360</v>
      </c>
      <c r="C163" s="9" t="s">
        <v>361</v>
      </c>
      <c r="D163" s="9" t="s">
        <v>368</v>
      </c>
      <c r="E163" s="9" t="str">
        <f>VLOOKUP(A163,[1]relatorio_clientes!$C:$Q,15,0)</f>
        <v>SETOR INDUSTRIAL (CEILANDIA)</v>
      </c>
    </row>
    <row r="164" spans="1:5" x14ac:dyDescent="0.3">
      <c r="A164" s="9" t="s">
        <v>224</v>
      </c>
      <c r="B164" s="9" t="s">
        <v>360</v>
      </c>
      <c r="C164" s="9" t="s">
        <v>361</v>
      </c>
      <c r="D164" s="9" t="s">
        <v>362</v>
      </c>
      <c r="E164" s="9" t="str">
        <f>VLOOKUP(A164,[1]relatorio_clientes!$C:$Q,15,0)</f>
        <v>SETOR INDUSTRIAL (CEILANDIA)</v>
      </c>
    </row>
    <row r="165" spans="1:5" x14ac:dyDescent="0.3">
      <c r="A165" s="9" t="s">
        <v>244</v>
      </c>
      <c r="B165" s="9" t="s">
        <v>360</v>
      </c>
      <c r="C165" s="9" t="s">
        <v>361</v>
      </c>
      <c r="D165" s="9" t="s">
        <v>389</v>
      </c>
      <c r="E165" s="9" t="str">
        <f>VLOOKUP(A165,[1]relatorio_clientes!$B:$Q,16,0)</f>
        <v>Setor Industrial (Taguatinga)</v>
      </c>
    </row>
    <row r="166" spans="1:5" x14ac:dyDescent="0.3">
      <c r="A166" s="9" t="s">
        <v>262</v>
      </c>
      <c r="B166" s="9" t="s">
        <v>360</v>
      </c>
      <c r="C166" s="9" t="s">
        <v>361</v>
      </c>
      <c r="D166" s="9" t="s">
        <v>365</v>
      </c>
      <c r="E166" s="9" t="str">
        <f>VLOOKUP(A166,[1]relatorio_clientes!$B:$Q,16,0)</f>
        <v>SETOR INDUSTRIAL (TAGUATINGA)</v>
      </c>
    </row>
    <row r="167" spans="1:5" x14ac:dyDescent="0.3">
      <c r="A167" s="9" t="s">
        <v>180</v>
      </c>
      <c r="B167" s="9" t="s">
        <v>360</v>
      </c>
      <c r="C167" s="9" t="s">
        <v>361</v>
      </c>
      <c r="D167" s="9" t="s">
        <v>362</v>
      </c>
      <c r="E167" s="9" t="str">
        <f>VLOOKUP(A167,[1]relatorio_clientes!$C:$Q,15,0)</f>
        <v>SETOR INDUSTRIAL (TAGUATINGA)</v>
      </c>
    </row>
    <row r="168" spans="1:5" x14ac:dyDescent="0.3">
      <c r="A168" s="9" t="s">
        <v>425</v>
      </c>
      <c r="B168" s="9" t="s">
        <v>360</v>
      </c>
      <c r="C168" s="9" t="s">
        <v>361</v>
      </c>
      <c r="D168" s="9" t="s">
        <v>362</v>
      </c>
      <c r="E168" s="9" t="str">
        <f>VLOOKUP(A168,[1]relatorio_clientes!$C:$Q,15,0)</f>
        <v>SETOR INDUSTRIAL (TAGUATINGA)</v>
      </c>
    </row>
    <row r="169" spans="1:5" x14ac:dyDescent="0.3">
      <c r="A169" s="9" t="s">
        <v>23</v>
      </c>
      <c r="B169" s="9" t="s">
        <v>360</v>
      </c>
      <c r="C169" s="9" t="s">
        <v>361</v>
      </c>
      <c r="D169" s="9" t="s">
        <v>370</v>
      </c>
      <c r="E169" s="9" t="str">
        <f>VLOOKUP(A169,[1]relatorio_clientes!$C:$Q,15,0)</f>
        <v>SETOR INDUSTRIAL (TAGUATINGA)</v>
      </c>
    </row>
    <row r="170" spans="1:5" x14ac:dyDescent="0.3">
      <c r="A170" s="9" t="s">
        <v>426</v>
      </c>
      <c r="B170" s="9" t="s">
        <v>360</v>
      </c>
      <c r="C170" s="9" t="s">
        <v>361</v>
      </c>
      <c r="D170" s="9" t="s">
        <v>368</v>
      </c>
      <c r="E170" s="9" t="str">
        <f>VLOOKUP(A170,[1]relatorio_clientes!$C:$Q,15,0)</f>
        <v>SETOR INDUSTRIAL (TAGUATINGA)</v>
      </c>
    </row>
    <row r="171" spans="1:5" x14ac:dyDescent="0.3">
      <c r="A171" s="9" t="s">
        <v>107</v>
      </c>
      <c r="B171" s="9" t="s">
        <v>412</v>
      </c>
      <c r="C171" s="9" t="s">
        <v>361</v>
      </c>
      <c r="D171" s="9" t="s">
        <v>362</v>
      </c>
      <c r="E171" s="9" t="str">
        <f>VLOOKUP(A171,[1]relatorio_clientes!$C:$Q,15,0)</f>
        <v>SETOR LESTE</v>
      </c>
    </row>
    <row r="172" spans="1:5" x14ac:dyDescent="0.3">
      <c r="A172" s="9" t="s">
        <v>427</v>
      </c>
      <c r="B172" s="9" t="s">
        <v>360</v>
      </c>
      <c r="C172" s="9" t="s">
        <v>361</v>
      </c>
      <c r="D172" s="9" t="s">
        <v>368</v>
      </c>
      <c r="E172" s="9" t="str">
        <f>VLOOKUP(A172,[1]relatorio_clientes!$C:$Q,15,0)</f>
        <v>SETOR LESTE (GAMA)</v>
      </c>
    </row>
    <row r="173" spans="1:5" x14ac:dyDescent="0.3">
      <c r="A173" s="9" t="s">
        <v>428</v>
      </c>
      <c r="B173" s="9" t="s">
        <v>360</v>
      </c>
      <c r="C173" s="9" t="s">
        <v>361</v>
      </c>
      <c r="D173" s="9" t="s">
        <v>368</v>
      </c>
      <c r="E173" s="9" t="str">
        <f>VLOOKUP(A173,[1]relatorio_clientes!$C:$Q,15,0)</f>
        <v>SETOR LESTE (GAMA)</v>
      </c>
    </row>
    <row r="174" spans="1:5" x14ac:dyDescent="0.3">
      <c r="A174" s="9" t="s">
        <v>207</v>
      </c>
      <c r="B174" s="9" t="s">
        <v>360</v>
      </c>
      <c r="C174" s="9" t="s">
        <v>361</v>
      </c>
      <c r="D174" s="9" t="s">
        <v>368</v>
      </c>
      <c r="E174" s="9" t="str">
        <f>VLOOKUP(A174,[1]relatorio_clientes!$C:$Q,15,0)</f>
        <v>SETOR NORTE (BRAZLANDIA)</v>
      </c>
    </row>
    <row r="175" spans="1:5" x14ac:dyDescent="0.3">
      <c r="A175" s="9" t="s">
        <v>429</v>
      </c>
      <c r="B175" s="9" t="s">
        <v>360</v>
      </c>
      <c r="C175" s="9" t="s">
        <v>361</v>
      </c>
      <c r="D175" s="9" t="s">
        <v>368</v>
      </c>
      <c r="E175" s="9" t="str">
        <f>VLOOKUP(A175,[1]relatorio_clientes!$B:$Q,16,0)</f>
        <v>Setor Placa da Mercedes (Núcleo Bandeirante)</v>
      </c>
    </row>
    <row r="176" spans="1:5" x14ac:dyDescent="0.3">
      <c r="A176" s="9" t="s">
        <v>76</v>
      </c>
      <c r="B176" s="9" t="s">
        <v>360</v>
      </c>
      <c r="C176" s="9" t="s">
        <v>361</v>
      </c>
      <c r="D176" s="9" t="s">
        <v>362</v>
      </c>
      <c r="E176" s="9" t="str">
        <f>VLOOKUP(A176,[1]relatorio_clientes!$C:$Q,15,0)</f>
        <v>Setor Placa da Mercedes (Núcleo Bandeirante)</v>
      </c>
    </row>
    <row r="177" spans="1:5" x14ac:dyDescent="0.3">
      <c r="A177" s="9" t="s">
        <v>92</v>
      </c>
      <c r="B177" s="9" t="s">
        <v>360</v>
      </c>
      <c r="C177" s="9" t="s">
        <v>361</v>
      </c>
      <c r="D177" s="9" t="s">
        <v>370</v>
      </c>
      <c r="E177" s="9" t="str">
        <f>VLOOKUP(A177,[1]relatorio_clientes!$B:$Q,16,0)</f>
        <v>SOBRADINHO</v>
      </c>
    </row>
    <row r="178" spans="1:5" x14ac:dyDescent="0.3">
      <c r="A178" s="9" t="s">
        <v>235</v>
      </c>
      <c r="B178" s="9" t="s">
        <v>360</v>
      </c>
      <c r="C178" s="9" t="s">
        <v>361</v>
      </c>
      <c r="D178" s="9" t="s">
        <v>368</v>
      </c>
      <c r="E178" s="9" t="s">
        <v>410</v>
      </c>
    </row>
    <row r="179" spans="1:5" x14ac:dyDescent="0.3">
      <c r="A179" s="9" t="s">
        <v>143</v>
      </c>
      <c r="B179" s="9" t="s">
        <v>360</v>
      </c>
      <c r="C179" s="9" t="s">
        <v>361</v>
      </c>
      <c r="D179" s="9" t="s">
        <v>368</v>
      </c>
      <c r="E179" s="9" t="s">
        <v>410</v>
      </c>
    </row>
    <row r="180" spans="1:5" x14ac:dyDescent="0.3">
      <c r="A180" s="9" t="s">
        <v>281</v>
      </c>
      <c r="B180" s="9" t="s">
        <v>360</v>
      </c>
      <c r="C180" s="9" t="s">
        <v>361</v>
      </c>
      <c r="D180" s="9" t="s">
        <v>389</v>
      </c>
      <c r="E180" s="9" t="s">
        <v>410</v>
      </c>
    </row>
    <row r="181" spans="1:5" x14ac:dyDescent="0.3">
      <c r="A181" s="9" t="s">
        <v>237</v>
      </c>
      <c r="B181" s="9" t="s">
        <v>360</v>
      </c>
      <c r="C181" s="9" t="s">
        <v>361</v>
      </c>
      <c r="D181" s="9" t="s">
        <v>368</v>
      </c>
      <c r="E181" s="9" t="s">
        <v>410</v>
      </c>
    </row>
    <row r="182" spans="1:5" x14ac:dyDescent="0.3">
      <c r="A182" s="9" t="s">
        <v>212</v>
      </c>
      <c r="B182" s="9" t="s">
        <v>360</v>
      </c>
      <c r="C182" s="9" t="s">
        <v>361</v>
      </c>
      <c r="D182" s="9" t="s">
        <v>368</v>
      </c>
      <c r="E182" s="9" t="s">
        <v>410</v>
      </c>
    </row>
    <row r="183" spans="1:5" x14ac:dyDescent="0.3">
      <c r="A183" s="9" t="s">
        <v>155</v>
      </c>
      <c r="B183" s="9" t="s">
        <v>360</v>
      </c>
      <c r="C183" s="9" t="s">
        <v>361</v>
      </c>
      <c r="D183" s="9" t="s">
        <v>368</v>
      </c>
      <c r="E183" s="9" t="s">
        <v>410</v>
      </c>
    </row>
    <row r="184" spans="1:5" x14ac:dyDescent="0.3">
      <c r="A184" s="9" t="s">
        <v>141</v>
      </c>
      <c r="B184" s="9" t="s">
        <v>360</v>
      </c>
      <c r="C184" s="9" t="s">
        <v>361</v>
      </c>
      <c r="D184" s="9" t="s">
        <v>362</v>
      </c>
      <c r="E184" s="9" t="str">
        <f>VLOOKUP(A184,[1]relatorio_clientes!$C:$Q,15,0)</f>
        <v>TAGUATINGA</v>
      </c>
    </row>
    <row r="185" spans="1:5" x14ac:dyDescent="0.3">
      <c r="A185" s="9" t="s">
        <v>49</v>
      </c>
      <c r="B185" s="9" t="s">
        <v>360</v>
      </c>
      <c r="C185" s="9" t="s">
        <v>361</v>
      </c>
      <c r="D185" s="9" t="s">
        <v>362</v>
      </c>
      <c r="E185" s="9" t="str">
        <f>VLOOKUP(A185,[1]relatorio_clientes!$C:$Q,15,0)</f>
        <v>TAGUATINGA</v>
      </c>
    </row>
    <row r="186" spans="1:5" x14ac:dyDescent="0.3">
      <c r="A186" s="9" t="s">
        <v>128</v>
      </c>
      <c r="B186" s="9" t="s">
        <v>360</v>
      </c>
      <c r="C186" s="9" t="s">
        <v>361</v>
      </c>
      <c r="D186" s="9" t="s">
        <v>365</v>
      </c>
      <c r="E186" s="9" t="s">
        <v>430</v>
      </c>
    </row>
    <row r="187" spans="1:5" x14ac:dyDescent="0.3">
      <c r="A187" s="9" t="s">
        <v>267</v>
      </c>
      <c r="B187" s="9" t="s">
        <v>360</v>
      </c>
      <c r="C187" s="9" t="s">
        <v>361</v>
      </c>
      <c r="D187" s="9" t="s">
        <v>368</v>
      </c>
      <c r="E187" s="9" t="str">
        <f>VLOOKUP(A187,[1]relatorio_clientes!$B:$Q,16,0)</f>
        <v>TAGUATINGA NORTE</v>
      </c>
    </row>
    <row r="188" spans="1:5" x14ac:dyDescent="0.3">
      <c r="A188" s="9" t="s">
        <v>183</v>
      </c>
      <c r="B188" s="9" t="s">
        <v>431</v>
      </c>
      <c r="C188" s="9" t="s">
        <v>364</v>
      </c>
      <c r="D188" s="9" t="s">
        <v>362</v>
      </c>
      <c r="E188" s="9" t="str">
        <f t="shared" ref="E188:E224" si="1">B188</f>
        <v>Caldas Novas</v>
      </c>
    </row>
    <row r="189" spans="1:5" x14ac:dyDescent="0.3">
      <c r="A189" s="9" t="s">
        <v>184</v>
      </c>
      <c r="B189" s="9" t="s">
        <v>432</v>
      </c>
      <c r="C189" s="9" t="s">
        <v>373</v>
      </c>
      <c r="D189" s="9" t="s">
        <v>362</v>
      </c>
      <c r="E189" s="9" t="str">
        <f t="shared" si="1"/>
        <v>Castanhal</v>
      </c>
    </row>
    <row r="190" spans="1:5" x14ac:dyDescent="0.3">
      <c r="A190" s="9" t="s">
        <v>186</v>
      </c>
      <c r="B190" s="9" t="s">
        <v>433</v>
      </c>
      <c r="C190" s="9" t="s">
        <v>434</v>
      </c>
      <c r="D190" s="9" t="s">
        <v>370</v>
      </c>
      <c r="E190" s="9" t="str">
        <f t="shared" si="1"/>
        <v>Eunápolis</v>
      </c>
    </row>
    <row r="191" spans="1:5" x14ac:dyDescent="0.3">
      <c r="A191" s="9" t="s">
        <v>189</v>
      </c>
      <c r="B191" s="9" t="s">
        <v>435</v>
      </c>
      <c r="C191" s="9" t="s">
        <v>364</v>
      </c>
      <c r="D191" s="9" t="s">
        <v>368</v>
      </c>
      <c r="E191" s="9" t="str">
        <f t="shared" si="1"/>
        <v>Formosa</v>
      </c>
    </row>
    <row r="192" spans="1:5" x14ac:dyDescent="0.3">
      <c r="A192" s="9" t="s">
        <v>188</v>
      </c>
      <c r="B192" s="9" t="s">
        <v>435</v>
      </c>
      <c r="C192" s="9" t="s">
        <v>364</v>
      </c>
      <c r="D192" s="9" t="s">
        <v>368</v>
      </c>
      <c r="E192" s="9" t="str">
        <f t="shared" si="1"/>
        <v>Formosa</v>
      </c>
    </row>
    <row r="193" spans="1:5" x14ac:dyDescent="0.3">
      <c r="A193" s="9" t="s">
        <v>191</v>
      </c>
      <c r="B193" s="9" t="s">
        <v>436</v>
      </c>
      <c r="C193" s="9" t="s">
        <v>437</v>
      </c>
      <c r="D193" s="9" t="s">
        <v>362</v>
      </c>
      <c r="E193" s="9" t="str">
        <f t="shared" si="1"/>
        <v>Fortaleza</v>
      </c>
    </row>
    <row r="194" spans="1:5" x14ac:dyDescent="0.3">
      <c r="A194" s="9" t="s">
        <v>211</v>
      </c>
      <c r="B194" s="9" t="s">
        <v>438</v>
      </c>
      <c r="C194" s="9" t="s">
        <v>364</v>
      </c>
      <c r="D194" s="9" t="s">
        <v>362</v>
      </c>
      <c r="E194" s="9" t="str">
        <f t="shared" si="1"/>
        <v>Goiânia</v>
      </c>
    </row>
    <row r="195" spans="1:5" x14ac:dyDescent="0.3">
      <c r="A195" s="9" t="s">
        <v>199</v>
      </c>
      <c r="B195" s="9" t="s">
        <v>438</v>
      </c>
      <c r="C195" s="9" t="s">
        <v>364</v>
      </c>
      <c r="D195" s="9" t="s">
        <v>362</v>
      </c>
      <c r="E195" s="9" t="str">
        <f t="shared" si="1"/>
        <v>Goiânia</v>
      </c>
    </row>
    <row r="196" spans="1:5" x14ac:dyDescent="0.3">
      <c r="A196" s="9" t="s">
        <v>195</v>
      </c>
      <c r="B196" s="9" t="s">
        <v>438</v>
      </c>
      <c r="C196" s="9" t="s">
        <v>364</v>
      </c>
      <c r="D196" s="9" t="s">
        <v>362</v>
      </c>
      <c r="E196" s="9" t="str">
        <f t="shared" si="1"/>
        <v>Goiânia</v>
      </c>
    </row>
    <row r="197" spans="1:5" x14ac:dyDescent="0.3">
      <c r="A197" s="9" t="s">
        <v>206</v>
      </c>
      <c r="B197" s="9" t="s">
        <v>438</v>
      </c>
      <c r="C197" s="9" t="s">
        <v>364</v>
      </c>
      <c r="D197" s="9" t="s">
        <v>362</v>
      </c>
      <c r="E197" s="9" t="str">
        <f t="shared" si="1"/>
        <v>Goiânia</v>
      </c>
    </row>
    <row r="198" spans="1:5" x14ac:dyDescent="0.3">
      <c r="A198" s="9" t="s">
        <v>221</v>
      </c>
      <c r="B198" s="9" t="s">
        <v>438</v>
      </c>
      <c r="C198" s="9" t="s">
        <v>364</v>
      </c>
      <c r="D198" s="9" t="s">
        <v>362</v>
      </c>
      <c r="E198" s="9" t="str">
        <f t="shared" si="1"/>
        <v>Goiânia</v>
      </c>
    </row>
    <row r="199" spans="1:5" x14ac:dyDescent="0.3">
      <c r="A199" s="9" t="s">
        <v>213</v>
      </c>
      <c r="B199" s="9" t="s">
        <v>438</v>
      </c>
      <c r="C199" s="9" t="s">
        <v>364</v>
      </c>
      <c r="D199" s="9" t="s">
        <v>362</v>
      </c>
      <c r="E199" s="9" t="str">
        <f t="shared" si="1"/>
        <v>Goiânia</v>
      </c>
    </row>
    <row r="200" spans="1:5" x14ac:dyDescent="0.3">
      <c r="A200" s="9" t="s">
        <v>227</v>
      </c>
      <c r="B200" s="9" t="s">
        <v>438</v>
      </c>
      <c r="C200" s="9" t="s">
        <v>364</v>
      </c>
      <c r="D200" s="9" t="s">
        <v>370</v>
      </c>
      <c r="E200" s="9" t="str">
        <f t="shared" si="1"/>
        <v>Goiânia</v>
      </c>
    </row>
    <row r="201" spans="1:5" x14ac:dyDescent="0.3">
      <c r="A201" s="9" t="s">
        <v>223</v>
      </c>
      <c r="B201" s="9" t="s">
        <v>438</v>
      </c>
      <c r="C201" s="9" t="s">
        <v>364</v>
      </c>
      <c r="D201" s="9" t="s">
        <v>362</v>
      </c>
      <c r="E201" s="9" t="str">
        <f t="shared" si="1"/>
        <v>Goiânia</v>
      </c>
    </row>
    <row r="202" spans="1:5" x14ac:dyDescent="0.3">
      <c r="A202" s="9" t="s">
        <v>197</v>
      </c>
      <c r="B202" s="9" t="s">
        <v>438</v>
      </c>
      <c r="C202" s="9" t="s">
        <v>364</v>
      </c>
      <c r="D202" s="9" t="s">
        <v>362</v>
      </c>
      <c r="E202" s="9" t="str">
        <f t="shared" si="1"/>
        <v>Goiânia</v>
      </c>
    </row>
    <row r="203" spans="1:5" x14ac:dyDescent="0.3">
      <c r="A203" s="9" t="s">
        <v>204</v>
      </c>
      <c r="B203" s="9" t="s">
        <v>438</v>
      </c>
      <c r="C203" s="9" t="s">
        <v>364</v>
      </c>
      <c r="D203" s="9" t="s">
        <v>362</v>
      </c>
      <c r="E203" s="9" t="str">
        <f t="shared" si="1"/>
        <v>Goiânia</v>
      </c>
    </row>
    <row r="204" spans="1:5" x14ac:dyDescent="0.3">
      <c r="A204" s="9" t="s">
        <v>439</v>
      </c>
      <c r="B204" s="9" t="s">
        <v>438</v>
      </c>
      <c r="C204" s="9" t="s">
        <v>364</v>
      </c>
      <c r="D204" s="9" t="s">
        <v>362</v>
      </c>
      <c r="E204" s="9" t="str">
        <f t="shared" si="1"/>
        <v>Goiânia</v>
      </c>
    </row>
    <row r="205" spans="1:5" x14ac:dyDescent="0.3">
      <c r="A205" s="9" t="s">
        <v>440</v>
      </c>
      <c r="B205" s="9" t="s">
        <v>438</v>
      </c>
      <c r="C205" s="9" t="s">
        <v>364</v>
      </c>
      <c r="D205" s="9" t="s">
        <v>370</v>
      </c>
      <c r="E205" s="9" t="str">
        <f t="shared" si="1"/>
        <v>Goiânia</v>
      </c>
    </row>
    <row r="206" spans="1:5" x14ac:dyDescent="0.3">
      <c r="A206" s="9" t="s">
        <v>222</v>
      </c>
      <c r="B206" s="9" t="s">
        <v>438</v>
      </c>
      <c r="C206" s="9" t="s">
        <v>364</v>
      </c>
      <c r="D206" s="9" t="s">
        <v>362</v>
      </c>
      <c r="E206" s="9" t="str">
        <f t="shared" si="1"/>
        <v>Goiânia</v>
      </c>
    </row>
    <row r="207" spans="1:5" x14ac:dyDescent="0.3">
      <c r="A207" s="9" t="s">
        <v>203</v>
      </c>
      <c r="B207" s="9" t="s">
        <v>438</v>
      </c>
      <c r="C207" s="9" t="s">
        <v>364</v>
      </c>
      <c r="D207" s="9" t="s">
        <v>362</v>
      </c>
      <c r="E207" s="9" t="str">
        <f t="shared" si="1"/>
        <v>Goiânia</v>
      </c>
    </row>
    <row r="208" spans="1:5" x14ac:dyDescent="0.3">
      <c r="A208" s="9" t="s">
        <v>441</v>
      </c>
      <c r="B208" s="9" t="s">
        <v>438</v>
      </c>
      <c r="C208" s="9" t="s">
        <v>364</v>
      </c>
      <c r="D208" s="9" t="s">
        <v>368</v>
      </c>
      <c r="E208" s="9" t="str">
        <f t="shared" si="1"/>
        <v>Goiânia</v>
      </c>
    </row>
    <row r="209" spans="1:5" x14ac:dyDescent="0.3">
      <c r="A209" s="9" t="s">
        <v>214</v>
      </c>
      <c r="B209" s="9" t="s">
        <v>438</v>
      </c>
      <c r="C209" s="9" t="s">
        <v>364</v>
      </c>
      <c r="D209" s="9" t="s">
        <v>362</v>
      </c>
      <c r="E209" s="9" t="str">
        <f t="shared" si="1"/>
        <v>Goiânia</v>
      </c>
    </row>
    <row r="210" spans="1:5" x14ac:dyDescent="0.3">
      <c r="A210" s="9" t="s">
        <v>225</v>
      </c>
      <c r="B210" s="9" t="s">
        <v>438</v>
      </c>
      <c r="C210" s="9" t="s">
        <v>364</v>
      </c>
      <c r="D210" s="9" t="s">
        <v>370</v>
      </c>
      <c r="E210" s="9" t="str">
        <f t="shared" si="1"/>
        <v>Goiânia</v>
      </c>
    </row>
    <row r="211" spans="1:5" x14ac:dyDescent="0.3">
      <c r="A211" s="9" t="s">
        <v>236</v>
      </c>
      <c r="B211" s="9" t="s">
        <v>438</v>
      </c>
      <c r="C211" s="9" t="s">
        <v>364</v>
      </c>
      <c r="D211" s="9" t="s">
        <v>362</v>
      </c>
      <c r="E211" s="9" t="str">
        <f t="shared" si="1"/>
        <v>Goiânia</v>
      </c>
    </row>
    <row r="212" spans="1:5" x14ac:dyDescent="0.3">
      <c r="A212" s="9" t="s">
        <v>219</v>
      </c>
      <c r="B212" s="9" t="s">
        <v>438</v>
      </c>
      <c r="C212" s="9" t="s">
        <v>364</v>
      </c>
      <c r="D212" s="9" t="s">
        <v>362</v>
      </c>
      <c r="E212" s="9" t="str">
        <f t="shared" si="1"/>
        <v>Goiânia</v>
      </c>
    </row>
    <row r="213" spans="1:5" x14ac:dyDescent="0.3">
      <c r="A213" s="9" t="s">
        <v>215</v>
      </c>
      <c r="B213" s="9" t="s">
        <v>438</v>
      </c>
      <c r="C213" s="9" t="s">
        <v>364</v>
      </c>
      <c r="D213" s="9" t="s">
        <v>362</v>
      </c>
      <c r="E213" s="9" t="str">
        <f t="shared" si="1"/>
        <v>Goiânia</v>
      </c>
    </row>
    <row r="214" spans="1:5" x14ac:dyDescent="0.3">
      <c r="A214" s="9" t="s">
        <v>220</v>
      </c>
      <c r="B214" s="9" t="s">
        <v>438</v>
      </c>
      <c r="C214" s="9" t="s">
        <v>364</v>
      </c>
      <c r="D214" s="9" t="s">
        <v>362</v>
      </c>
      <c r="E214" s="9" t="str">
        <f t="shared" si="1"/>
        <v>Goiânia</v>
      </c>
    </row>
    <row r="215" spans="1:5" x14ac:dyDescent="0.3">
      <c r="A215" s="9" t="s">
        <v>241</v>
      </c>
      <c r="B215" s="9" t="s">
        <v>442</v>
      </c>
      <c r="C215" s="9" t="s">
        <v>364</v>
      </c>
      <c r="D215" s="9" t="s">
        <v>362</v>
      </c>
      <c r="E215" s="9" t="str">
        <f t="shared" si="1"/>
        <v>Goianira</v>
      </c>
    </row>
    <row r="216" spans="1:5" x14ac:dyDescent="0.3">
      <c r="A216" s="9" t="s">
        <v>247</v>
      </c>
      <c r="B216" s="9" t="s">
        <v>442</v>
      </c>
      <c r="C216" s="9" t="s">
        <v>364</v>
      </c>
      <c r="D216" s="9" t="s">
        <v>370</v>
      </c>
      <c r="E216" s="9" t="str">
        <f t="shared" si="1"/>
        <v>Goianira</v>
      </c>
    </row>
    <row r="217" spans="1:5" x14ac:dyDescent="0.3">
      <c r="A217" s="9" t="s">
        <v>250</v>
      </c>
      <c r="B217" s="9" t="s">
        <v>443</v>
      </c>
      <c r="C217" s="9" t="s">
        <v>434</v>
      </c>
      <c r="D217" s="9" t="s">
        <v>368</v>
      </c>
      <c r="E217" s="9" t="str">
        <f t="shared" si="1"/>
        <v>Livramento de Nossa Senhora</v>
      </c>
    </row>
    <row r="218" spans="1:5" x14ac:dyDescent="0.3">
      <c r="A218" s="9" t="s">
        <v>253</v>
      </c>
      <c r="B218" s="9" t="s">
        <v>444</v>
      </c>
      <c r="C218" s="9" t="s">
        <v>364</v>
      </c>
      <c r="D218" s="9" t="s">
        <v>362</v>
      </c>
      <c r="E218" s="9" t="str">
        <f t="shared" si="1"/>
        <v>Luziânia</v>
      </c>
    </row>
    <row r="219" spans="1:5" x14ac:dyDescent="0.3">
      <c r="A219" s="9" t="s">
        <v>252</v>
      </c>
      <c r="B219" s="9" t="s">
        <v>444</v>
      </c>
      <c r="C219" s="9" t="s">
        <v>364</v>
      </c>
      <c r="D219" s="9" t="s">
        <v>365</v>
      </c>
      <c r="E219" s="9" t="str">
        <f t="shared" si="1"/>
        <v>Luziânia</v>
      </c>
    </row>
    <row r="220" spans="1:5" x14ac:dyDescent="0.3">
      <c r="A220" s="9" t="s">
        <v>254</v>
      </c>
      <c r="B220" s="9" t="s">
        <v>444</v>
      </c>
      <c r="C220" s="9" t="s">
        <v>364</v>
      </c>
      <c r="D220" s="9" t="s">
        <v>365</v>
      </c>
      <c r="E220" s="9" t="str">
        <f t="shared" si="1"/>
        <v>Luziânia</v>
      </c>
    </row>
    <row r="221" spans="1:5" x14ac:dyDescent="0.3">
      <c r="A221" s="9" t="s">
        <v>256</v>
      </c>
      <c r="B221" s="9" t="s">
        <v>444</v>
      </c>
      <c r="C221" s="9" t="s">
        <v>364</v>
      </c>
      <c r="D221" s="9" t="s">
        <v>365</v>
      </c>
      <c r="E221" s="9" t="str">
        <f t="shared" si="1"/>
        <v>Luziânia</v>
      </c>
    </row>
    <row r="222" spans="1:5" x14ac:dyDescent="0.3">
      <c r="A222" s="9" t="s">
        <v>330</v>
      </c>
      <c r="B222" s="9" t="s">
        <v>445</v>
      </c>
      <c r="C222" s="9" t="s">
        <v>446</v>
      </c>
      <c r="D222" s="9" t="s">
        <v>362</v>
      </c>
      <c r="E222" s="9" t="str">
        <f t="shared" si="1"/>
        <v>Magé</v>
      </c>
    </row>
    <row r="223" spans="1:5" x14ac:dyDescent="0.3">
      <c r="A223" s="9" t="s">
        <v>265</v>
      </c>
      <c r="B223" s="9" t="s">
        <v>447</v>
      </c>
      <c r="C223" s="9" t="s">
        <v>448</v>
      </c>
      <c r="D223" s="9" t="s">
        <v>362</v>
      </c>
      <c r="E223" s="9" t="str">
        <f t="shared" si="1"/>
        <v>Manaus</v>
      </c>
    </row>
    <row r="224" spans="1:5" x14ac:dyDescent="0.3">
      <c r="A224" s="9" t="s">
        <v>260</v>
      </c>
      <c r="B224" s="9" t="s">
        <v>444</v>
      </c>
      <c r="C224" s="9" t="s">
        <v>364</v>
      </c>
      <c r="D224" s="9" t="s">
        <v>365</v>
      </c>
      <c r="E224" s="9" t="str">
        <f t="shared" si="1"/>
        <v>Luziânia</v>
      </c>
    </row>
    <row r="225" spans="1:5" x14ac:dyDescent="0.3">
      <c r="A225" s="9" t="s">
        <v>238</v>
      </c>
      <c r="B225" s="9" t="s">
        <v>360</v>
      </c>
      <c r="C225" s="9" t="s">
        <v>361</v>
      </c>
      <c r="D225" s="9" t="s">
        <v>389</v>
      </c>
      <c r="E225" s="9" t="str">
        <f>VLOOKUP(A225,[1]relatorio_clientes!$B:$Q,16,0)</f>
        <v>Taguatinga Norte (Taguatinga)</v>
      </c>
    </row>
    <row r="226" spans="1:5" x14ac:dyDescent="0.3">
      <c r="A226" s="9" t="s">
        <v>70</v>
      </c>
      <c r="B226" s="9" t="s">
        <v>360</v>
      </c>
      <c r="C226" s="9" t="s">
        <v>361</v>
      </c>
      <c r="D226" s="9" t="s">
        <v>362</v>
      </c>
      <c r="E226" s="9" t="str">
        <f>VLOOKUP(A226,[1]relatorio_clientes!$C:$Q,15,0)</f>
        <v>TAGUATINGA NORTE (TAGUATINGA)</v>
      </c>
    </row>
    <row r="227" spans="1:5" x14ac:dyDescent="0.3">
      <c r="A227" s="9" t="s">
        <v>209</v>
      </c>
      <c r="B227" s="9" t="s">
        <v>360</v>
      </c>
      <c r="C227" s="9" t="s">
        <v>361</v>
      </c>
      <c r="D227" s="9" t="s">
        <v>374</v>
      </c>
      <c r="E227" s="9" t="str">
        <f>VLOOKUP(A227,[1]relatorio_clientes!$C:$Q,15,0)</f>
        <v>TAGUATINGA NORTE (TAGUATINGA)</v>
      </c>
    </row>
    <row r="228" spans="1:5" x14ac:dyDescent="0.3">
      <c r="A228" s="9" t="s">
        <v>449</v>
      </c>
      <c r="B228" s="9" t="s">
        <v>360</v>
      </c>
      <c r="C228" s="9" t="s">
        <v>361</v>
      </c>
      <c r="D228" s="9" t="s">
        <v>368</v>
      </c>
      <c r="E228" s="9" t="str">
        <f>VLOOKUP(A228,[1]relatorio_clientes!$C:$Q,15,0)</f>
        <v>TAGUATINGA NORTE (TAGUATINGA)</v>
      </c>
    </row>
    <row r="229" spans="1:5" x14ac:dyDescent="0.3">
      <c r="A229" s="9" t="s">
        <v>110</v>
      </c>
      <c r="B229" s="9" t="s">
        <v>360</v>
      </c>
      <c r="C229" s="9" t="s">
        <v>361</v>
      </c>
      <c r="D229" s="9" t="s">
        <v>365</v>
      </c>
      <c r="E229" s="9" t="str">
        <f>VLOOKUP(A229,[1]relatorio_clientes!$B:$Q,16,0)</f>
        <v>Taguatinga sul</v>
      </c>
    </row>
    <row r="230" spans="1:5" x14ac:dyDescent="0.3">
      <c r="A230" s="9" t="s">
        <v>228</v>
      </c>
      <c r="B230" s="9" t="s">
        <v>360</v>
      </c>
      <c r="C230" s="9" t="s">
        <v>361</v>
      </c>
      <c r="D230" s="9" t="s">
        <v>450</v>
      </c>
      <c r="E230" s="9" t="str">
        <f>VLOOKUP(A230,[1]relatorio_clientes!$B:$Q,16,0)</f>
        <v>Taguatinga Sul (Taguatinga)</v>
      </c>
    </row>
    <row r="231" spans="1:5" x14ac:dyDescent="0.3">
      <c r="A231" s="9" t="s">
        <v>228</v>
      </c>
      <c r="B231" s="9" t="s">
        <v>360</v>
      </c>
      <c r="C231" s="9" t="s">
        <v>361</v>
      </c>
      <c r="D231" s="9" t="s">
        <v>450</v>
      </c>
      <c r="E231" s="9" t="str">
        <f>VLOOKUP(A231,[1]relatorio_clientes!$B:$Q,16,0)</f>
        <v>Taguatinga Sul (Taguatinga)</v>
      </c>
    </row>
    <row r="232" spans="1:5" x14ac:dyDescent="0.3">
      <c r="A232" s="9" t="s">
        <v>137</v>
      </c>
      <c r="B232" s="9" t="s">
        <v>360</v>
      </c>
      <c r="C232" s="9" t="s">
        <v>361</v>
      </c>
      <c r="D232" s="9" t="s">
        <v>451</v>
      </c>
      <c r="E232" s="9" t="str">
        <f>VLOOKUP(A232,[1]relatorio_clientes!$B:$Q,16,0)</f>
        <v>Taguatinga Sul (Taguatinga)</v>
      </c>
    </row>
    <row r="233" spans="1:5" x14ac:dyDescent="0.3">
      <c r="A233" s="9" t="s">
        <v>452</v>
      </c>
      <c r="B233" s="9" t="s">
        <v>360</v>
      </c>
      <c r="C233" s="9" t="s">
        <v>361</v>
      </c>
      <c r="D233" s="9" t="s">
        <v>453</v>
      </c>
      <c r="E233" s="9" t="str">
        <f>VLOOKUP(A233,[1]relatorio_clientes!$B:$Q,16,0)</f>
        <v>Taguatinga Sul (Taguatinga)</v>
      </c>
    </row>
    <row r="234" spans="1:5" x14ac:dyDescent="0.3">
      <c r="A234" s="9" t="s">
        <v>243</v>
      </c>
      <c r="B234" s="9" t="s">
        <v>360</v>
      </c>
      <c r="C234" s="9" t="s">
        <v>361</v>
      </c>
      <c r="D234" s="9" t="s">
        <v>365</v>
      </c>
      <c r="E234" s="9" t="str">
        <f>VLOOKUP(A234,[1]relatorio_clientes!$B:$Q,16,0)</f>
        <v>Taguatinga Sul (Taguatinga)</v>
      </c>
    </row>
    <row r="235" spans="1:5" x14ac:dyDescent="0.3">
      <c r="A235" s="9" t="s">
        <v>454</v>
      </c>
      <c r="B235" s="9" t="s">
        <v>360</v>
      </c>
      <c r="C235" s="9" t="s">
        <v>361</v>
      </c>
      <c r="D235" s="9" t="s">
        <v>368</v>
      </c>
      <c r="E235" s="9" t="str">
        <f>VLOOKUP(A235,[1]relatorio_clientes!$C:$Q,15,0)</f>
        <v>TAGUATINGA SUL (TAGUATINGA)</v>
      </c>
    </row>
    <row r="236" spans="1:5" x14ac:dyDescent="0.3">
      <c r="A236" s="9" t="s">
        <v>266</v>
      </c>
      <c r="B236" s="9" t="s">
        <v>266</v>
      </c>
      <c r="C236" s="9" t="s">
        <v>266</v>
      </c>
      <c r="D236" s="9" t="s">
        <v>374</v>
      </c>
      <c r="E236" s="9" t="str">
        <f>B236</f>
        <v>MERCADO LIVRE</v>
      </c>
    </row>
    <row r="237" spans="1:5" x14ac:dyDescent="0.3">
      <c r="A237" s="9" t="s">
        <v>173</v>
      </c>
      <c r="B237" s="9" t="s">
        <v>360</v>
      </c>
      <c r="C237" s="9" t="s">
        <v>361</v>
      </c>
      <c r="D237" s="9" t="s">
        <v>368</v>
      </c>
      <c r="E237" s="9" t="str">
        <f>VLOOKUP(A237,[1]relatorio_clientes!$C:$Q,15,0)</f>
        <v>TAGUATINGA SUL (TAGUATINGA)</v>
      </c>
    </row>
    <row r="238" spans="1:5" x14ac:dyDescent="0.3">
      <c r="A238" s="9" t="s">
        <v>111</v>
      </c>
      <c r="B238" s="9" t="s">
        <v>360</v>
      </c>
      <c r="C238" s="9" t="s">
        <v>361</v>
      </c>
      <c r="D238" s="9" t="s">
        <v>370</v>
      </c>
      <c r="E238" s="9" t="str">
        <f>VLOOKUP(A238,[1]relatorio_clientes!$C:$Q,15,0)</f>
        <v>TAGUATINGA SUL (TAGUATINGA)</v>
      </c>
    </row>
    <row r="239" spans="1:5" x14ac:dyDescent="0.3">
      <c r="A239" s="9" t="s">
        <v>193</v>
      </c>
      <c r="B239" s="9" t="s">
        <v>438</v>
      </c>
      <c r="C239" s="9" t="s">
        <v>364</v>
      </c>
      <c r="D239" s="9" t="s">
        <v>368</v>
      </c>
      <c r="E239" s="9" t="str">
        <f t="shared" ref="E239:E240" si="2">B239</f>
        <v>Goiânia</v>
      </c>
    </row>
    <row r="240" spans="1:5" x14ac:dyDescent="0.3">
      <c r="A240" s="9" t="s">
        <v>242</v>
      </c>
      <c r="B240" s="9" t="s">
        <v>442</v>
      </c>
      <c r="C240" s="9" t="s">
        <v>364</v>
      </c>
      <c r="D240" s="9" t="s">
        <v>368</v>
      </c>
      <c r="E240" s="9" t="str">
        <f t="shared" si="2"/>
        <v>Goianira</v>
      </c>
    </row>
    <row r="241" spans="1:5" x14ac:dyDescent="0.3">
      <c r="A241" s="9" t="s">
        <v>101</v>
      </c>
      <c r="B241" s="9" t="s">
        <v>360</v>
      </c>
      <c r="C241" s="9" t="s">
        <v>361</v>
      </c>
      <c r="D241" s="9" t="s">
        <v>365</v>
      </c>
      <c r="E241" s="9" t="str">
        <f>VLOOKUP(A241,[1]relatorio_clientes!$C:$Q,15,0)</f>
        <v>TAGUATINGA SUL (TAGUATINGA)</v>
      </c>
    </row>
    <row r="242" spans="1:5" x14ac:dyDescent="0.3">
      <c r="A242" s="9" t="s">
        <v>146</v>
      </c>
      <c r="B242" s="9" t="s">
        <v>360</v>
      </c>
      <c r="C242" s="9" t="s">
        <v>361</v>
      </c>
      <c r="D242" s="9" t="s">
        <v>368</v>
      </c>
      <c r="E242" s="9" t="str">
        <f>VLOOKUP(A242,[1]relatorio_clientes!$B:$Q,16,0)</f>
        <v>Vale do Amanhecer (Planaltina)</v>
      </c>
    </row>
    <row r="243" spans="1:5" x14ac:dyDescent="0.3">
      <c r="A243" s="9" t="s">
        <v>116</v>
      </c>
      <c r="B243" s="9" t="s">
        <v>360</v>
      </c>
      <c r="C243" s="9" t="s">
        <v>361</v>
      </c>
      <c r="D243" s="9" t="s">
        <v>368</v>
      </c>
      <c r="E243" s="9" t="str">
        <f>VLOOKUP(A243,[1]relatorio_clientes!$C:$Q,15,0)</f>
        <v>VALE DO AMANHECER (PLANALTINA)</v>
      </c>
    </row>
    <row r="244" spans="1:5" x14ac:dyDescent="0.3">
      <c r="A244" s="9" t="s">
        <v>116</v>
      </c>
      <c r="B244" s="9" t="s">
        <v>360</v>
      </c>
      <c r="C244" s="9" t="s">
        <v>361</v>
      </c>
      <c r="D244" s="9" t="s">
        <v>368</v>
      </c>
      <c r="E244" s="9" t="str">
        <f>VLOOKUP(A244,[1]relatorio_clientes!$C:$Q,15,0)</f>
        <v>VALE DO AMANHECER (PLANALTINA)</v>
      </c>
    </row>
    <row r="245" spans="1:5" x14ac:dyDescent="0.3">
      <c r="A245" s="9" t="s">
        <v>455</v>
      </c>
      <c r="B245" s="9" t="s">
        <v>360</v>
      </c>
      <c r="C245" s="9" t="s">
        <v>361</v>
      </c>
      <c r="D245" s="9" t="s">
        <v>368</v>
      </c>
      <c r="E245" s="9" t="str">
        <f>VLOOKUP(A245,[1]relatorio_clientes!$B:$Q,16,0)</f>
        <v>vicente pires</v>
      </c>
    </row>
    <row r="246" spans="1:5" x14ac:dyDescent="0.3">
      <c r="A246" s="9" t="s">
        <v>164</v>
      </c>
      <c r="B246" s="9" t="s">
        <v>360</v>
      </c>
      <c r="C246" s="9" t="s">
        <v>361</v>
      </c>
      <c r="D246" s="9" t="s">
        <v>368</v>
      </c>
      <c r="E246" s="9" t="str">
        <f>VLOOKUP(A246,[1]relatorio_clientes!$B:$Q,16,0)</f>
        <v>VICENTE PIRES</v>
      </c>
    </row>
    <row r="247" spans="1:5" x14ac:dyDescent="0.3">
      <c r="A247" s="9" t="s">
        <v>78</v>
      </c>
      <c r="B247" s="9" t="s">
        <v>360</v>
      </c>
      <c r="C247" s="9" t="s">
        <v>361</v>
      </c>
      <c r="D247" s="9" t="s">
        <v>365</v>
      </c>
      <c r="E247" s="9" t="str">
        <f>VLOOKUP(A247,[1]relatorio_clientes!$C:$Q,15,0)</f>
        <v>Vila do Boa (São Sebastião)</v>
      </c>
    </row>
    <row r="248" spans="1:5" x14ac:dyDescent="0.3">
      <c r="A248" s="9" t="s">
        <v>108</v>
      </c>
      <c r="B248" s="9" t="s">
        <v>360</v>
      </c>
      <c r="C248" s="9" t="s">
        <v>361</v>
      </c>
      <c r="D248" s="9" t="s">
        <v>365</v>
      </c>
      <c r="E248" s="9" t="str">
        <f>VLOOKUP(A248,[1]relatorio_clientes!$B:$Q,16,0)</f>
        <v>Vila Planalto</v>
      </c>
    </row>
    <row r="249" spans="1:5" x14ac:dyDescent="0.3">
      <c r="A249" s="9" t="s">
        <v>456</v>
      </c>
      <c r="B249" s="9" t="s">
        <v>360</v>
      </c>
      <c r="C249" s="9" t="s">
        <v>361</v>
      </c>
      <c r="D249" s="9" t="s">
        <v>368</v>
      </c>
      <c r="E249" s="9" t="str">
        <f>VLOOKUP(A249,[1]relatorio_clientes!$C:$Q,15,0)</f>
        <v>ZONA INDUSTRIAL (GUARA)</v>
      </c>
    </row>
    <row r="250" spans="1:5" x14ac:dyDescent="0.3">
      <c r="A250" s="9" t="s">
        <v>457</v>
      </c>
      <c r="B250" s="9" t="s">
        <v>360</v>
      </c>
      <c r="C250" s="9" t="s">
        <v>361</v>
      </c>
      <c r="D250" s="9" t="s">
        <v>368</v>
      </c>
      <c r="E250" s="9" t="str">
        <f>VLOOKUP(A250,[1]relatorio_clientes!$C:$Q,15,0)</f>
        <v>ZONA INDUSTRIAL (GUARA)</v>
      </c>
    </row>
    <row r="251" spans="1:5" x14ac:dyDescent="0.3">
      <c r="A251" s="9" t="s">
        <v>458</v>
      </c>
      <c r="B251" s="9" t="s">
        <v>360</v>
      </c>
      <c r="C251" s="9" t="s">
        <v>361</v>
      </c>
      <c r="D251" s="9" t="s">
        <v>459</v>
      </c>
      <c r="E251" s="9" t="str">
        <f>VLOOKUP(A251,[1]relatorio_clientes!$C:$Q,15,0)</f>
        <v>ZONA INDUSTRIAL (GUARA)</v>
      </c>
    </row>
    <row r="252" spans="1:5" x14ac:dyDescent="0.3">
      <c r="A252" s="9" t="s">
        <v>185</v>
      </c>
      <c r="B252" s="9" t="s">
        <v>432</v>
      </c>
      <c r="C252" s="9" t="s">
        <v>373</v>
      </c>
      <c r="D252" s="9" t="s">
        <v>368</v>
      </c>
      <c r="E252" s="9" t="str">
        <f t="shared" ref="E252:E258" si="3">B252</f>
        <v>Castanhal</v>
      </c>
    </row>
    <row r="253" spans="1:5" x14ac:dyDescent="0.3">
      <c r="A253" s="9" t="s">
        <v>272</v>
      </c>
      <c r="B253" s="9" t="s">
        <v>460</v>
      </c>
      <c r="C253" s="9" t="s">
        <v>461</v>
      </c>
      <c r="D253" s="9" t="s">
        <v>368</v>
      </c>
      <c r="E253" s="9" t="str">
        <f t="shared" si="3"/>
        <v>Nova Santa Rosa</v>
      </c>
    </row>
    <row r="254" spans="1:5" x14ac:dyDescent="0.3">
      <c r="A254" s="9" t="s">
        <v>273</v>
      </c>
      <c r="B254" s="9" t="s">
        <v>462</v>
      </c>
      <c r="C254" s="9" t="s">
        <v>463</v>
      </c>
      <c r="D254" s="9" t="s">
        <v>362</v>
      </c>
      <c r="E254" s="9" t="str">
        <f t="shared" si="3"/>
        <v>Palmas</v>
      </c>
    </row>
    <row r="255" spans="1:5" x14ac:dyDescent="0.3">
      <c r="A255" s="9" t="s">
        <v>274</v>
      </c>
      <c r="B255" s="9" t="s">
        <v>462</v>
      </c>
      <c r="C255" s="9" t="s">
        <v>463</v>
      </c>
      <c r="D255" s="9" t="s">
        <v>362</v>
      </c>
      <c r="E255" s="9" t="str">
        <f t="shared" si="3"/>
        <v>Palmas</v>
      </c>
    </row>
    <row r="256" spans="1:5" x14ac:dyDescent="0.3">
      <c r="A256" s="9" t="s">
        <v>275</v>
      </c>
      <c r="B256" s="9" t="s">
        <v>464</v>
      </c>
      <c r="C256" s="9" t="s">
        <v>364</v>
      </c>
      <c r="D256" s="9" t="s">
        <v>362</v>
      </c>
      <c r="E256" s="9" t="str">
        <f t="shared" si="3"/>
        <v>Palmeiras de Goiás</v>
      </c>
    </row>
    <row r="257" spans="1:5" x14ac:dyDescent="0.3">
      <c r="A257" s="9" t="s">
        <v>276</v>
      </c>
      <c r="B257" s="9" t="s">
        <v>465</v>
      </c>
      <c r="C257" s="9" t="s">
        <v>373</v>
      </c>
      <c r="D257" s="9" t="s">
        <v>362</v>
      </c>
      <c r="E257" s="9" t="str">
        <f t="shared" si="3"/>
        <v>Parauapebas</v>
      </c>
    </row>
    <row r="258" spans="1:5" x14ac:dyDescent="0.3">
      <c r="A258" s="9" t="s">
        <v>276</v>
      </c>
      <c r="B258" s="9" t="s">
        <v>465</v>
      </c>
      <c r="C258" s="9" t="s">
        <v>373</v>
      </c>
      <c r="D258" s="9" t="s">
        <v>362</v>
      </c>
      <c r="E258" s="9" t="str">
        <f t="shared" si="3"/>
        <v>Parauapebas</v>
      </c>
    </row>
    <row r="259" spans="1:5" x14ac:dyDescent="0.3">
      <c r="A259" s="9" t="s">
        <v>129</v>
      </c>
      <c r="B259" s="9" t="s">
        <v>360</v>
      </c>
      <c r="C259" s="9" t="s">
        <v>361</v>
      </c>
      <c r="D259" s="9" t="s">
        <v>368</v>
      </c>
      <c r="E259" s="9" t="str">
        <f>VLOOKUP(A259,[1]relatorio_clientes!$C:$Q,15,0)</f>
        <v>ZONA INDUSTRIAL (GUARA)</v>
      </c>
    </row>
    <row r="260" spans="1:5" x14ac:dyDescent="0.3">
      <c r="A260" s="9" t="s">
        <v>234</v>
      </c>
      <c r="B260" s="9" t="s">
        <v>360</v>
      </c>
      <c r="C260" s="9" t="s">
        <v>361</v>
      </c>
      <c r="D260" s="9" t="s">
        <v>368</v>
      </c>
      <c r="E260" s="9" t="str">
        <f>VLOOKUP(A260,[1]relatorio_clientes!$B:$Q,16,0)</f>
        <v>Zona Industrial (Guará)</v>
      </c>
    </row>
    <row r="261" spans="1:5" x14ac:dyDescent="0.3">
      <c r="A261" s="9" t="s">
        <v>283</v>
      </c>
      <c r="B261" s="9" t="s">
        <v>412</v>
      </c>
      <c r="C261" s="9" t="s">
        <v>364</v>
      </c>
      <c r="D261" s="9" t="s">
        <v>368</v>
      </c>
      <c r="E261" s="9" t="str">
        <f t="shared" ref="E261:E264" si="4">B261</f>
        <v>Planaltina</v>
      </c>
    </row>
    <row r="262" spans="1:5" x14ac:dyDescent="0.3">
      <c r="A262" s="9" t="s">
        <v>286</v>
      </c>
      <c r="B262" s="9" t="s">
        <v>412</v>
      </c>
      <c r="C262" s="9" t="s">
        <v>364</v>
      </c>
      <c r="D262" s="9" t="s">
        <v>365</v>
      </c>
      <c r="E262" s="9" t="str">
        <f t="shared" si="4"/>
        <v>Planaltina</v>
      </c>
    </row>
    <row r="263" spans="1:5" x14ac:dyDescent="0.3">
      <c r="A263" s="9" t="s">
        <v>287</v>
      </c>
      <c r="B263" s="9" t="s">
        <v>412</v>
      </c>
      <c r="C263" s="9" t="s">
        <v>364</v>
      </c>
      <c r="D263" s="9" t="s">
        <v>365</v>
      </c>
      <c r="E263" s="9" t="str">
        <f t="shared" si="4"/>
        <v>Planaltina</v>
      </c>
    </row>
    <row r="264" spans="1:5" x14ac:dyDescent="0.3">
      <c r="A264" s="9" t="s">
        <v>288</v>
      </c>
      <c r="B264" s="9" t="s">
        <v>466</v>
      </c>
      <c r="C264" s="9" t="s">
        <v>373</v>
      </c>
      <c r="D264" s="9" t="s">
        <v>362</v>
      </c>
      <c r="E264" s="9" t="str">
        <f t="shared" si="4"/>
        <v>Redenção</v>
      </c>
    </row>
    <row r="265" spans="1:5" x14ac:dyDescent="0.3">
      <c r="A265" s="9" t="s">
        <v>229</v>
      </c>
      <c r="B265" s="9" t="s">
        <v>360</v>
      </c>
      <c r="C265" s="9" t="s">
        <v>361</v>
      </c>
      <c r="D265" s="9" t="s">
        <v>368</v>
      </c>
      <c r="E265" s="9" t="str">
        <f>VLOOKUP(A265,[1]relatorio_clientes!$B:$Q,16,0)</f>
        <v>Zona Industrial (Guará)</v>
      </c>
    </row>
    <row r="266" spans="1:5" x14ac:dyDescent="0.3">
      <c r="A266" s="9" t="s">
        <v>290</v>
      </c>
      <c r="B266" s="9" t="s">
        <v>467</v>
      </c>
      <c r="C266" s="9" t="s">
        <v>364</v>
      </c>
      <c r="D266" s="9" t="s">
        <v>362</v>
      </c>
      <c r="E266" s="9" t="str">
        <f t="shared" ref="E266:E322" si="5">B266</f>
        <v>Rio Verde</v>
      </c>
    </row>
    <row r="267" spans="1:5" x14ac:dyDescent="0.3">
      <c r="A267" s="9" t="s">
        <v>291</v>
      </c>
      <c r="B267" s="9" t="s">
        <v>467</v>
      </c>
      <c r="C267" s="9" t="s">
        <v>364</v>
      </c>
      <c r="D267" s="9" t="s">
        <v>362</v>
      </c>
      <c r="E267" s="9" t="str">
        <f t="shared" si="5"/>
        <v>Rio Verde</v>
      </c>
    </row>
    <row r="268" spans="1:5" x14ac:dyDescent="0.3">
      <c r="A268" s="9" t="s">
        <v>294</v>
      </c>
      <c r="B268" s="9" t="s">
        <v>467</v>
      </c>
      <c r="C268" s="9" t="s">
        <v>364</v>
      </c>
      <c r="D268" s="9" t="s">
        <v>365</v>
      </c>
      <c r="E268" s="9" t="str">
        <f t="shared" si="5"/>
        <v>Rio Verde</v>
      </c>
    </row>
    <row r="269" spans="1:5" x14ac:dyDescent="0.3">
      <c r="A269" s="9" t="s">
        <v>329</v>
      </c>
      <c r="B269" s="9" t="s">
        <v>468</v>
      </c>
      <c r="C269" s="9" t="s">
        <v>469</v>
      </c>
      <c r="D269" s="9" t="s">
        <v>362</v>
      </c>
      <c r="E269" s="9" t="str">
        <f t="shared" si="5"/>
        <v>Rondonópolis</v>
      </c>
    </row>
    <row r="270" spans="1:5" x14ac:dyDescent="0.3">
      <c r="A270" s="9" t="s">
        <v>295</v>
      </c>
      <c r="B270" s="9" t="s">
        <v>470</v>
      </c>
      <c r="C270" s="9" t="s">
        <v>373</v>
      </c>
      <c r="D270" s="9" t="s">
        <v>362</v>
      </c>
      <c r="E270" s="9" t="str">
        <f t="shared" si="5"/>
        <v>Santarém</v>
      </c>
    </row>
    <row r="271" spans="1:5" x14ac:dyDescent="0.3">
      <c r="A271" s="9" t="s">
        <v>296</v>
      </c>
      <c r="B271" s="9" t="s">
        <v>471</v>
      </c>
      <c r="C271" s="9" t="s">
        <v>364</v>
      </c>
      <c r="D271" s="9" t="s">
        <v>362</v>
      </c>
      <c r="E271" s="9" t="str">
        <f t="shared" si="5"/>
        <v>Santo Antônio Descoberto</v>
      </c>
    </row>
    <row r="272" spans="1:5" x14ac:dyDescent="0.3">
      <c r="A272" s="9" t="s">
        <v>299</v>
      </c>
      <c r="B272" s="9" t="s">
        <v>471</v>
      </c>
      <c r="C272" s="9" t="s">
        <v>364</v>
      </c>
      <c r="D272" s="9" t="s">
        <v>365</v>
      </c>
      <c r="E272" s="9" t="str">
        <f t="shared" si="5"/>
        <v>Santo Antônio Descoberto</v>
      </c>
    </row>
    <row r="273" spans="1:5" x14ac:dyDescent="0.3">
      <c r="A273" s="9" t="s">
        <v>472</v>
      </c>
      <c r="B273" s="9" t="s">
        <v>473</v>
      </c>
      <c r="C273" s="9" t="s">
        <v>474</v>
      </c>
      <c r="D273" s="9" t="s">
        <v>368</v>
      </c>
      <c r="E273" s="9" t="str">
        <f t="shared" si="5"/>
        <v>São Paulo</v>
      </c>
    </row>
    <row r="274" spans="1:5" x14ac:dyDescent="0.3">
      <c r="A274" s="9" t="s">
        <v>301</v>
      </c>
      <c r="B274" s="9" t="s">
        <v>473</v>
      </c>
      <c r="C274" s="9" t="s">
        <v>474</v>
      </c>
      <c r="D274" s="9" t="s">
        <v>368</v>
      </c>
      <c r="E274" s="9" t="str">
        <f t="shared" si="5"/>
        <v>São Paulo</v>
      </c>
    </row>
    <row r="275" spans="1:5" x14ac:dyDescent="0.3">
      <c r="A275" s="9" t="s">
        <v>303</v>
      </c>
      <c r="B275" s="9" t="s">
        <v>475</v>
      </c>
      <c r="C275" s="9" t="s">
        <v>364</v>
      </c>
      <c r="D275" s="9" t="s">
        <v>362</v>
      </c>
      <c r="E275" s="9" t="str">
        <f t="shared" si="5"/>
        <v>Trindade</v>
      </c>
    </row>
    <row r="276" spans="1:5" x14ac:dyDescent="0.3">
      <c r="A276" s="9" t="s">
        <v>356</v>
      </c>
      <c r="B276" s="9" t="s">
        <v>475</v>
      </c>
      <c r="C276" s="9" t="s">
        <v>364</v>
      </c>
      <c r="D276" s="9" t="s">
        <v>365</v>
      </c>
      <c r="E276" s="9" t="str">
        <f t="shared" si="5"/>
        <v>Trindade</v>
      </c>
    </row>
    <row r="277" spans="1:5" x14ac:dyDescent="0.3">
      <c r="A277" s="9" t="s">
        <v>307</v>
      </c>
      <c r="B277" s="9" t="s">
        <v>476</v>
      </c>
      <c r="C277" s="9" t="s">
        <v>381</v>
      </c>
      <c r="D277" s="9" t="s">
        <v>362</v>
      </c>
      <c r="E277" s="9" t="str">
        <f t="shared" si="5"/>
        <v>Uberaba</v>
      </c>
    </row>
    <row r="278" spans="1:5" x14ac:dyDescent="0.3">
      <c r="A278" s="9" t="s">
        <v>308</v>
      </c>
      <c r="B278" s="9" t="s">
        <v>476</v>
      </c>
      <c r="C278" s="9" t="s">
        <v>381</v>
      </c>
      <c r="D278" s="9" t="s">
        <v>362</v>
      </c>
      <c r="E278" s="9" t="str">
        <f t="shared" si="5"/>
        <v>Uberaba</v>
      </c>
    </row>
    <row r="279" spans="1:5" x14ac:dyDescent="0.3">
      <c r="A279" s="9" t="s">
        <v>309</v>
      </c>
      <c r="B279" s="9" t="s">
        <v>477</v>
      </c>
      <c r="C279" s="9" t="s">
        <v>381</v>
      </c>
      <c r="D279" s="9" t="s">
        <v>362</v>
      </c>
      <c r="E279" s="9" t="str">
        <f t="shared" si="5"/>
        <v>Uberlândia</v>
      </c>
    </row>
    <row r="280" spans="1:5" x14ac:dyDescent="0.3">
      <c r="A280" s="9" t="s">
        <v>478</v>
      </c>
      <c r="B280" s="9" t="s">
        <v>477</v>
      </c>
      <c r="C280" s="9" t="s">
        <v>381</v>
      </c>
      <c r="D280" s="9" t="s">
        <v>368</v>
      </c>
      <c r="E280" s="9" t="str">
        <f t="shared" si="5"/>
        <v>Uberlândia</v>
      </c>
    </row>
    <row r="281" spans="1:5" x14ac:dyDescent="0.3">
      <c r="A281" s="9" t="s">
        <v>311</v>
      </c>
      <c r="B281" s="9" t="s">
        <v>477</v>
      </c>
      <c r="C281" s="9" t="s">
        <v>381</v>
      </c>
      <c r="D281" s="9" t="s">
        <v>362</v>
      </c>
      <c r="E281" s="9" t="str">
        <f t="shared" si="5"/>
        <v>Uberlândia</v>
      </c>
    </row>
    <row r="282" spans="1:5" x14ac:dyDescent="0.3">
      <c r="A282" s="9" t="s">
        <v>479</v>
      </c>
      <c r="B282" s="9" t="s">
        <v>477</v>
      </c>
      <c r="C282" s="9" t="s">
        <v>381</v>
      </c>
      <c r="D282" s="9" t="s">
        <v>362</v>
      </c>
      <c r="E282" s="9" t="str">
        <f t="shared" si="5"/>
        <v>Uberlândia</v>
      </c>
    </row>
    <row r="283" spans="1:5" x14ac:dyDescent="0.3">
      <c r="A283" s="9" t="s">
        <v>310</v>
      </c>
      <c r="B283" s="9" t="s">
        <v>477</v>
      </c>
      <c r="C283" s="9" t="s">
        <v>381</v>
      </c>
      <c r="D283" s="9" t="s">
        <v>362</v>
      </c>
      <c r="E283" s="9" t="str">
        <f t="shared" si="5"/>
        <v>Uberlândia</v>
      </c>
    </row>
    <row r="284" spans="1:5" x14ac:dyDescent="0.3">
      <c r="A284" s="9" t="s">
        <v>312</v>
      </c>
      <c r="B284" s="9" t="s">
        <v>477</v>
      </c>
      <c r="C284" s="9" t="s">
        <v>381</v>
      </c>
      <c r="D284" s="9" t="s">
        <v>362</v>
      </c>
      <c r="E284" s="9" t="str">
        <f t="shared" si="5"/>
        <v>Uberlândia</v>
      </c>
    </row>
    <row r="285" spans="1:5" x14ac:dyDescent="0.3">
      <c r="A285" s="9" t="s">
        <v>313</v>
      </c>
      <c r="B285" s="9" t="s">
        <v>480</v>
      </c>
      <c r="C285" s="9" t="s">
        <v>381</v>
      </c>
      <c r="D285" s="9" t="s">
        <v>368</v>
      </c>
      <c r="E285" s="9" t="str">
        <f t="shared" si="5"/>
        <v>Unaí</v>
      </c>
    </row>
    <row r="286" spans="1:5" x14ac:dyDescent="0.3">
      <c r="A286" s="9" t="s">
        <v>316</v>
      </c>
      <c r="B286" s="9" t="s">
        <v>481</v>
      </c>
      <c r="C286" s="9" t="s">
        <v>364</v>
      </c>
      <c r="D286" s="9" t="s">
        <v>365</v>
      </c>
      <c r="E286" s="9" t="str">
        <f t="shared" si="5"/>
        <v>Valparaíso de Goiás</v>
      </c>
    </row>
    <row r="287" spans="1:5" x14ac:dyDescent="0.3">
      <c r="A287" s="9" t="s">
        <v>482</v>
      </c>
      <c r="B287" s="9" t="s">
        <v>481</v>
      </c>
      <c r="C287" s="9" t="s">
        <v>364</v>
      </c>
      <c r="D287" s="9" t="s">
        <v>368</v>
      </c>
      <c r="E287" s="9" t="str">
        <f t="shared" si="5"/>
        <v>Valparaíso de Goiás</v>
      </c>
    </row>
    <row r="288" spans="1:5" x14ac:dyDescent="0.3">
      <c r="A288" s="9" t="s">
        <v>319</v>
      </c>
      <c r="B288" s="9" t="s">
        <v>481</v>
      </c>
      <c r="C288" s="9" t="s">
        <v>364</v>
      </c>
      <c r="D288" s="9" t="s">
        <v>362</v>
      </c>
      <c r="E288" s="9" t="str">
        <f t="shared" si="5"/>
        <v>Valparaíso de Goiás</v>
      </c>
    </row>
    <row r="289" spans="1:5" x14ac:dyDescent="0.3">
      <c r="A289" s="9" t="s">
        <v>321</v>
      </c>
      <c r="B289" s="9" t="s">
        <v>481</v>
      </c>
      <c r="C289" s="9" t="s">
        <v>364</v>
      </c>
      <c r="D289" s="9" t="s">
        <v>362</v>
      </c>
      <c r="E289" s="9" t="str">
        <f t="shared" si="5"/>
        <v>Valparaíso de Goiás</v>
      </c>
    </row>
    <row r="290" spans="1:5" x14ac:dyDescent="0.3">
      <c r="A290" s="9" t="s">
        <v>483</v>
      </c>
      <c r="B290" s="9" t="s">
        <v>481</v>
      </c>
      <c r="C290" s="9" t="s">
        <v>364</v>
      </c>
      <c r="D290" s="9" t="s">
        <v>374</v>
      </c>
      <c r="E290" s="9" t="str">
        <f t="shared" si="5"/>
        <v>Valparaíso de Goiás</v>
      </c>
    </row>
    <row r="291" spans="1:5" x14ac:dyDescent="0.3">
      <c r="A291" s="9" t="s">
        <v>325</v>
      </c>
      <c r="B291" s="9" t="s">
        <v>481</v>
      </c>
      <c r="C291" s="9" t="s">
        <v>364</v>
      </c>
      <c r="D291" s="9" t="s">
        <v>365</v>
      </c>
      <c r="E291" s="9" t="str">
        <f t="shared" si="5"/>
        <v>Valparaíso de Goiás</v>
      </c>
    </row>
    <row r="292" spans="1:5" x14ac:dyDescent="0.3">
      <c r="A292" s="9" t="s">
        <v>484</v>
      </c>
      <c r="B292" s="9" t="s">
        <v>481</v>
      </c>
      <c r="C292" s="9" t="s">
        <v>364</v>
      </c>
      <c r="D292" s="9" t="s">
        <v>459</v>
      </c>
      <c r="E292" s="9" t="str">
        <f t="shared" si="5"/>
        <v>Valparaíso de Goiás</v>
      </c>
    </row>
    <row r="293" spans="1:5" x14ac:dyDescent="0.3">
      <c r="A293" s="9" t="s">
        <v>320</v>
      </c>
      <c r="B293" s="9" t="s">
        <v>481</v>
      </c>
      <c r="C293" s="9" t="s">
        <v>364</v>
      </c>
      <c r="D293" s="9" t="s">
        <v>365</v>
      </c>
      <c r="E293" s="9" t="str">
        <f t="shared" si="5"/>
        <v>Valparaíso de Goiás</v>
      </c>
    </row>
    <row r="294" spans="1:5" x14ac:dyDescent="0.3">
      <c r="A294" s="9" t="s">
        <v>324</v>
      </c>
      <c r="B294" s="9" t="s">
        <v>481</v>
      </c>
      <c r="C294" s="9" t="s">
        <v>364</v>
      </c>
      <c r="D294" s="9" t="s">
        <v>368</v>
      </c>
      <c r="E294" s="9" t="str">
        <f t="shared" si="5"/>
        <v>Valparaíso de Goiás</v>
      </c>
    </row>
    <row r="295" spans="1:5" x14ac:dyDescent="0.3">
      <c r="A295" s="9" t="s">
        <v>314</v>
      </c>
      <c r="B295" s="9" t="s">
        <v>485</v>
      </c>
      <c r="C295" s="9" t="s">
        <v>364</v>
      </c>
      <c r="D295" s="9" t="s">
        <v>365</v>
      </c>
      <c r="E295" s="9" t="str">
        <f t="shared" si="5"/>
        <v xml:space="preserve">Valparaíso </v>
      </c>
    </row>
    <row r="296" spans="1:5" x14ac:dyDescent="0.3">
      <c r="A296" s="9" t="s">
        <v>328</v>
      </c>
      <c r="B296" s="9" t="s">
        <v>481</v>
      </c>
      <c r="C296" s="9" t="s">
        <v>364</v>
      </c>
      <c r="D296" s="9" t="s">
        <v>368</v>
      </c>
      <c r="E296" s="9" t="str">
        <f t="shared" si="5"/>
        <v>Valparaíso de Goiás</v>
      </c>
    </row>
    <row r="297" spans="1:5" x14ac:dyDescent="0.3">
      <c r="A297" s="9" t="s">
        <v>332</v>
      </c>
      <c r="B297" s="9" t="s">
        <v>447</v>
      </c>
      <c r="C297" s="9" t="s">
        <v>373</v>
      </c>
      <c r="D297" s="9" t="s">
        <v>486</v>
      </c>
      <c r="E297" s="9" t="str">
        <f t="shared" si="5"/>
        <v>Manaus</v>
      </c>
    </row>
    <row r="298" spans="1:5" x14ac:dyDescent="0.3">
      <c r="A298" s="9" t="s">
        <v>333</v>
      </c>
      <c r="B298" s="9" t="s">
        <v>360</v>
      </c>
      <c r="C298" s="9" t="s">
        <v>361</v>
      </c>
      <c r="D298" s="9" t="s">
        <v>486</v>
      </c>
      <c r="E298" s="9" t="str">
        <f t="shared" si="5"/>
        <v>Brasília</v>
      </c>
    </row>
    <row r="299" spans="1:5" x14ac:dyDescent="0.3">
      <c r="A299" s="9" t="s">
        <v>334</v>
      </c>
      <c r="B299" s="9" t="s">
        <v>487</v>
      </c>
      <c r="C299" s="9" t="s">
        <v>434</v>
      </c>
      <c r="D299" s="9" t="s">
        <v>486</v>
      </c>
      <c r="E299" s="9" t="str">
        <f t="shared" si="5"/>
        <v>Salvador</v>
      </c>
    </row>
    <row r="300" spans="1:5" x14ac:dyDescent="0.3">
      <c r="A300" s="9" t="s">
        <v>335</v>
      </c>
      <c r="B300" s="9" t="s">
        <v>360</v>
      </c>
      <c r="C300" s="9" t="s">
        <v>361</v>
      </c>
      <c r="D300" s="9" t="s">
        <v>486</v>
      </c>
      <c r="E300" s="9" t="str">
        <f t="shared" si="5"/>
        <v>Brasília</v>
      </c>
    </row>
    <row r="301" spans="1:5" x14ac:dyDescent="0.3">
      <c r="A301" s="9" t="s">
        <v>336</v>
      </c>
      <c r="B301" s="9" t="s">
        <v>444</v>
      </c>
      <c r="C301" s="9" t="s">
        <v>364</v>
      </c>
      <c r="D301" s="9" t="s">
        <v>486</v>
      </c>
      <c r="E301" s="9" t="str">
        <f t="shared" si="5"/>
        <v>Luziânia</v>
      </c>
    </row>
    <row r="302" spans="1:5" x14ac:dyDescent="0.3">
      <c r="A302" s="9" t="s">
        <v>337</v>
      </c>
      <c r="B302" s="9" t="s">
        <v>488</v>
      </c>
      <c r="C302" s="9" t="s">
        <v>381</v>
      </c>
      <c r="D302" s="9" t="s">
        <v>486</v>
      </c>
      <c r="E302" s="9" t="str">
        <f t="shared" si="5"/>
        <v>Conselheiro Lafaiete</v>
      </c>
    </row>
    <row r="303" spans="1:5" x14ac:dyDescent="0.3">
      <c r="A303" s="9" t="s">
        <v>338</v>
      </c>
      <c r="B303" s="9" t="s">
        <v>360</v>
      </c>
      <c r="C303" s="9" t="s">
        <v>361</v>
      </c>
      <c r="D303" s="9" t="s">
        <v>486</v>
      </c>
      <c r="E303" s="9" t="str">
        <f t="shared" si="5"/>
        <v>Brasília</v>
      </c>
    </row>
    <row r="304" spans="1:5" x14ac:dyDescent="0.3">
      <c r="A304" s="9" t="s">
        <v>339</v>
      </c>
      <c r="B304" s="9" t="s">
        <v>360</v>
      </c>
      <c r="C304" s="9" t="s">
        <v>361</v>
      </c>
      <c r="D304" s="9" t="s">
        <v>486</v>
      </c>
      <c r="E304" s="9" t="str">
        <f t="shared" si="5"/>
        <v>Brasília</v>
      </c>
    </row>
    <row r="305" spans="1:5" x14ac:dyDescent="0.3">
      <c r="A305" s="9" t="s">
        <v>340</v>
      </c>
      <c r="B305" s="9" t="s">
        <v>360</v>
      </c>
      <c r="C305" s="9" t="s">
        <v>361</v>
      </c>
      <c r="D305" s="9" t="s">
        <v>486</v>
      </c>
      <c r="E305" s="9" t="str">
        <f t="shared" si="5"/>
        <v>Brasília</v>
      </c>
    </row>
    <row r="306" spans="1:5" x14ac:dyDescent="0.3">
      <c r="A306" s="9" t="s">
        <v>341</v>
      </c>
      <c r="B306" s="9" t="s">
        <v>360</v>
      </c>
      <c r="C306" s="9" t="s">
        <v>361</v>
      </c>
      <c r="D306" s="9" t="s">
        <v>486</v>
      </c>
      <c r="E306" s="9" t="str">
        <f t="shared" si="5"/>
        <v>Brasília</v>
      </c>
    </row>
    <row r="307" spans="1:5" x14ac:dyDescent="0.3">
      <c r="A307" s="9" t="s">
        <v>342</v>
      </c>
      <c r="B307" s="9" t="s">
        <v>471</v>
      </c>
      <c r="C307" s="9" t="s">
        <v>364</v>
      </c>
      <c r="D307" s="9" t="s">
        <v>486</v>
      </c>
      <c r="E307" s="9" t="str">
        <f t="shared" si="5"/>
        <v>Santo Antônio Descoberto</v>
      </c>
    </row>
    <row r="308" spans="1:5" x14ac:dyDescent="0.3">
      <c r="A308" s="9" t="s">
        <v>343</v>
      </c>
      <c r="B308" s="9" t="s">
        <v>360</v>
      </c>
      <c r="C308" s="9" t="s">
        <v>361</v>
      </c>
      <c r="D308" s="9" t="s">
        <v>486</v>
      </c>
      <c r="E308" s="9" t="str">
        <f t="shared" si="5"/>
        <v>Brasília</v>
      </c>
    </row>
    <row r="309" spans="1:5" x14ac:dyDescent="0.3">
      <c r="A309" s="9" t="s">
        <v>344</v>
      </c>
      <c r="B309" s="9" t="s">
        <v>360</v>
      </c>
      <c r="C309" s="9" t="s">
        <v>361</v>
      </c>
      <c r="D309" s="9" t="s">
        <v>486</v>
      </c>
      <c r="E309" s="9" t="str">
        <f t="shared" si="5"/>
        <v>Brasília</v>
      </c>
    </row>
    <row r="310" spans="1:5" x14ac:dyDescent="0.3">
      <c r="A310" s="9" t="s">
        <v>345</v>
      </c>
      <c r="B310" s="9" t="s">
        <v>360</v>
      </c>
      <c r="C310" s="9" t="s">
        <v>361</v>
      </c>
      <c r="D310" s="9" t="s">
        <v>486</v>
      </c>
      <c r="E310" s="9" t="str">
        <f t="shared" si="5"/>
        <v>Brasília</v>
      </c>
    </row>
    <row r="311" spans="1:5" x14ac:dyDescent="0.3">
      <c r="A311" s="9" t="s">
        <v>346</v>
      </c>
      <c r="B311" s="9" t="s">
        <v>360</v>
      </c>
      <c r="C311" s="9" t="s">
        <v>361</v>
      </c>
      <c r="D311" s="9" t="s">
        <v>486</v>
      </c>
      <c r="E311" s="9" t="str">
        <f t="shared" si="5"/>
        <v>Brasília</v>
      </c>
    </row>
    <row r="312" spans="1:5" x14ac:dyDescent="0.3">
      <c r="A312" s="9" t="s">
        <v>347</v>
      </c>
      <c r="B312" s="9" t="s">
        <v>360</v>
      </c>
      <c r="C312" s="9" t="s">
        <v>361</v>
      </c>
      <c r="D312" s="9" t="s">
        <v>486</v>
      </c>
      <c r="E312" s="9" t="str">
        <f t="shared" si="5"/>
        <v>Brasília</v>
      </c>
    </row>
    <row r="313" spans="1:5" x14ac:dyDescent="0.3">
      <c r="A313" s="9" t="s">
        <v>348</v>
      </c>
      <c r="B313" s="9" t="s">
        <v>360</v>
      </c>
      <c r="C313" s="9" t="s">
        <v>361</v>
      </c>
      <c r="D313" s="9" t="s">
        <v>486</v>
      </c>
      <c r="E313" s="9" t="str">
        <f t="shared" si="5"/>
        <v>Brasília</v>
      </c>
    </row>
    <row r="314" spans="1:5" x14ac:dyDescent="0.3">
      <c r="A314" s="9" t="s">
        <v>342</v>
      </c>
      <c r="B314" s="9" t="s">
        <v>471</v>
      </c>
      <c r="C314" s="9" t="s">
        <v>364</v>
      </c>
      <c r="D314" s="9" t="s">
        <v>486</v>
      </c>
      <c r="E314" s="9" t="str">
        <f t="shared" si="5"/>
        <v>Santo Antônio Descoberto</v>
      </c>
    </row>
    <row r="315" spans="1:5" x14ac:dyDescent="0.3">
      <c r="A315" s="9" t="s">
        <v>349</v>
      </c>
      <c r="B315" s="9" t="s">
        <v>360</v>
      </c>
      <c r="C315" s="9" t="s">
        <v>361</v>
      </c>
      <c r="D315" s="9" t="s">
        <v>486</v>
      </c>
      <c r="E315" s="9" t="str">
        <f t="shared" si="5"/>
        <v>Brasília</v>
      </c>
    </row>
    <row r="316" spans="1:5" x14ac:dyDescent="0.3">
      <c r="A316" s="9" t="s">
        <v>350</v>
      </c>
      <c r="B316" s="9" t="s">
        <v>363</v>
      </c>
      <c r="C316" s="9" t="s">
        <v>364</v>
      </c>
      <c r="D316" s="9" t="s">
        <v>486</v>
      </c>
      <c r="E316" s="9" t="str">
        <f t="shared" si="5"/>
        <v>Águas Lindas de Goiás</v>
      </c>
    </row>
    <row r="317" spans="1:5" x14ac:dyDescent="0.3">
      <c r="A317" s="9" t="s">
        <v>351</v>
      </c>
      <c r="B317" s="9" t="s">
        <v>360</v>
      </c>
      <c r="C317" s="9" t="s">
        <v>361</v>
      </c>
      <c r="D317" s="9" t="s">
        <v>486</v>
      </c>
      <c r="E317" s="9" t="str">
        <f t="shared" si="5"/>
        <v>Brasília</v>
      </c>
    </row>
    <row r="318" spans="1:5" x14ac:dyDescent="0.3">
      <c r="A318" s="9" t="s">
        <v>352</v>
      </c>
      <c r="B318" s="9" t="s">
        <v>489</v>
      </c>
      <c r="C318" s="9" t="s">
        <v>461</v>
      </c>
      <c r="D318" s="9" t="s">
        <v>486</v>
      </c>
      <c r="E318" s="9" t="str">
        <f t="shared" si="5"/>
        <v>Foz do Iguaçu</v>
      </c>
    </row>
    <row r="319" spans="1:5" x14ac:dyDescent="0.3">
      <c r="A319" s="9" t="s">
        <v>353</v>
      </c>
      <c r="B319" s="9" t="s">
        <v>360</v>
      </c>
      <c r="C319" s="9" t="s">
        <v>361</v>
      </c>
      <c r="D319" s="9" t="s">
        <v>486</v>
      </c>
      <c r="E319" s="9" t="str">
        <f t="shared" si="5"/>
        <v>Brasília</v>
      </c>
    </row>
    <row r="320" spans="1:5" x14ac:dyDescent="0.3">
      <c r="A320" s="9" t="s">
        <v>354</v>
      </c>
      <c r="B320" s="9" t="s">
        <v>438</v>
      </c>
      <c r="C320" s="9" t="s">
        <v>364</v>
      </c>
      <c r="D320" s="9" t="s">
        <v>486</v>
      </c>
      <c r="E320" s="9" t="str">
        <f t="shared" si="5"/>
        <v>Goiânia</v>
      </c>
    </row>
    <row r="321" spans="1:5" x14ac:dyDescent="0.3">
      <c r="A321" s="9" t="s">
        <v>355</v>
      </c>
      <c r="B321" s="9" t="s">
        <v>481</v>
      </c>
      <c r="C321" s="9" t="s">
        <v>364</v>
      </c>
      <c r="D321" s="9" t="s">
        <v>486</v>
      </c>
      <c r="E321" s="9" t="str">
        <f t="shared" si="5"/>
        <v>Valparaíso de Goiás</v>
      </c>
    </row>
    <row r="322" spans="1:5" x14ac:dyDescent="0.3">
      <c r="A322" s="9" t="s">
        <v>357</v>
      </c>
      <c r="B322" s="9" t="s">
        <v>360</v>
      </c>
      <c r="C322" s="9" t="s">
        <v>361</v>
      </c>
      <c r="D322" s="9" t="s">
        <v>486</v>
      </c>
      <c r="E322" s="9" t="str">
        <f t="shared" si="5"/>
        <v>Brasília</v>
      </c>
    </row>
    <row r="323" spans="1:5" x14ac:dyDescent="0.3">
      <c r="A323" s="9" t="s">
        <v>358</v>
      </c>
      <c r="B323" s="9" t="s">
        <v>360</v>
      </c>
      <c r="C323" s="9" t="s">
        <v>361</v>
      </c>
      <c r="D323" s="9" t="s">
        <v>368</v>
      </c>
      <c r="E323" s="9" t="s">
        <v>394</v>
      </c>
    </row>
    <row r="324" spans="1:5" x14ac:dyDescent="0.3">
      <c r="A324" s="14" t="s">
        <v>764</v>
      </c>
      <c r="B324" s="1" t="s">
        <v>360</v>
      </c>
      <c r="C324" s="1" t="s">
        <v>361</v>
      </c>
      <c r="D324" s="1" t="s">
        <v>368</v>
      </c>
      <c r="E324" s="1" t="str">
        <f>B324</f>
        <v>Brasília</v>
      </c>
    </row>
    <row r="325" spans="1:5" x14ac:dyDescent="0.3">
      <c r="A325" s="14" t="s">
        <v>765</v>
      </c>
      <c r="B325" s="1" t="s">
        <v>360</v>
      </c>
      <c r="C325" s="1" t="s">
        <v>361</v>
      </c>
      <c r="D325" s="1" t="s">
        <v>368</v>
      </c>
      <c r="E325" s="1" t="s">
        <v>766</v>
      </c>
    </row>
    <row r="326" spans="1:5" x14ac:dyDescent="0.3">
      <c r="A326" s="14" t="s">
        <v>767</v>
      </c>
      <c r="B326" s="1" t="s">
        <v>768</v>
      </c>
      <c r="C326" s="1" t="s">
        <v>364</v>
      </c>
      <c r="D326" s="9" t="s">
        <v>486</v>
      </c>
      <c r="E326" s="1" t="s">
        <v>768</v>
      </c>
    </row>
    <row r="327" spans="1:5" x14ac:dyDescent="0.3">
      <c r="A327" s="14" t="s">
        <v>769</v>
      </c>
      <c r="B327" s="1" t="s">
        <v>360</v>
      </c>
      <c r="C327" s="1" t="s">
        <v>361</v>
      </c>
      <c r="D327" s="9" t="s">
        <v>486</v>
      </c>
      <c r="E327" s="1" t="s">
        <v>770</v>
      </c>
    </row>
    <row r="328" spans="1:5" x14ac:dyDescent="0.3">
      <c r="A328" s="14" t="s">
        <v>771</v>
      </c>
      <c r="B328" s="1" t="s">
        <v>360</v>
      </c>
      <c r="C328" s="1" t="s">
        <v>361</v>
      </c>
      <c r="D328" s="9" t="s">
        <v>486</v>
      </c>
      <c r="E328" s="1" t="s">
        <v>772</v>
      </c>
    </row>
    <row r="329" spans="1:5" x14ac:dyDescent="0.3">
      <c r="A329" s="14" t="s">
        <v>773</v>
      </c>
      <c r="B329" s="1" t="s">
        <v>360</v>
      </c>
      <c r="C329" s="1" t="s">
        <v>361</v>
      </c>
      <c r="D329" s="9" t="s">
        <v>486</v>
      </c>
      <c r="E329" s="1" t="s">
        <v>774</v>
      </c>
    </row>
    <row r="330" spans="1:5" x14ac:dyDescent="0.3">
      <c r="A330" s="14" t="s">
        <v>775</v>
      </c>
      <c r="B330" s="1" t="s">
        <v>360</v>
      </c>
      <c r="C330" s="1" t="s">
        <v>361</v>
      </c>
      <c r="D330" s="9" t="s">
        <v>486</v>
      </c>
      <c r="E330" s="1" t="s">
        <v>360</v>
      </c>
    </row>
    <row r="331" spans="1:5" x14ac:dyDescent="0.3">
      <c r="A331" s="14" t="s">
        <v>776</v>
      </c>
      <c r="B331" s="1" t="s">
        <v>360</v>
      </c>
      <c r="C331" s="1" t="s">
        <v>361</v>
      </c>
      <c r="D331" s="9" t="s">
        <v>486</v>
      </c>
      <c r="E331" s="1" t="s">
        <v>777</v>
      </c>
    </row>
    <row r="332" spans="1:5" x14ac:dyDescent="0.3">
      <c r="A332" s="14" t="s">
        <v>778</v>
      </c>
      <c r="B332" s="1" t="s">
        <v>360</v>
      </c>
      <c r="C332" s="1" t="s">
        <v>361</v>
      </c>
      <c r="D332" s="9" t="s">
        <v>486</v>
      </c>
      <c r="E332" s="1" t="s">
        <v>779</v>
      </c>
    </row>
    <row r="333" spans="1:5" x14ac:dyDescent="0.3">
      <c r="A333" s="14" t="s">
        <v>780</v>
      </c>
      <c r="B333" s="1" t="s">
        <v>360</v>
      </c>
      <c r="C333" s="1" t="s">
        <v>361</v>
      </c>
      <c r="D333" s="9" t="s">
        <v>486</v>
      </c>
      <c r="E333" s="1" t="s">
        <v>779</v>
      </c>
    </row>
    <row r="334" spans="1:5" x14ac:dyDescent="0.3">
      <c r="A334" s="14" t="s">
        <v>781</v>
      </c>
      <c r="B334" s="1" t="s">
        <v>360</v>
      </c>
      <c r="C334" s="1" t="s">
        <v>361</v>
      </c>
      <c r="D334" s="9" t="s">
        <v>486</v>
      </c>
      <c r="E334" s="1" t="s">
        <v>782</v>
      </c>
    </row>
    <row r="335" spans="1:5" x14ac:dyDescent="0.3">
      <c r="A335" s="16" t="s">
        <v>1136</v>
      </c>
      <c r="B335" s="1" t="s">
        <v>360</v>
      </c>
      <c r="C335" s="1" t="s">
        <v>361</v>
      </c>
      <c r="D335" s="9" t="s">
        <v>486</v>
      </c>
      <c r="E335" s="1" t="s">
        <v>779</v>
      </c>
    </row>
    <row r="336" spans="1:5" x14ac:dyDescent="0.3">
      <c r="A336" s="16" t="s">
        <v>1137</v>
      </c>
      <c r="B336" s="1" t="s">
        <v>360</v>
      </c>
      <c r="C336" s="1" t="s">
        <v>361</v>
      </c>
      <c r="D336" s="9" t="s">
        <v>486</v>
      </c>
      <c r="E336" s="1" t="str">
        <f>B336</f>
        <v>Brasília</v>
      </c>
    </row>
    <row r="337" spans="1:5" x14ac:dyDescent="0.3">
      <c r="A337" s="16" t="s">
        <v>1138</v>
      </c>
      <c r="B337" s="1" t="s">
        <v>444</v>
      </c>
      <c r="C337" s="1" t="s">
        <v>364</v>
      </c>
      <c r="D337" s="9" t="s">
        <v>486</v>
      </c>
      <c r="E337" s="1" t="str">
        <f>B337</f>
        <v>Luziânia</v>
      </c>
    </row>
    <row r="338" spans="1:5" x14ac:dyDescent="0.3">
      <c r="A338" s="16" t="s">
        <v>1139</v>
      </c>
      <c r="B338" s="1" t="s">
        <v>360</v>
      </c>
      <c r="C338" s="1" t="s">
        <v>361</v>
      </c>
      <c r="D338" s="9" t="s">
        <v>486</v>
      </c>
      <c r="E338" s="1" t="s">
        <v>1152</v>
      </c>
    </row>
    <row r="339" spans="1:5" x14ac:dyDescent="0.3">
      <c r="A339" s="16" t="s">
        <v>1140</v>
      </c>
      <c r="B339" s="1" t="s">
        <v>360</v>
      </c>
      <c r="C339" s="1" t="s">
        <v>361</v>
      </c>
      <c r="D339" s="9" t="s">
        <v>486</v>
      </c>
      <c r="E339" s="1" t="s">
        <v>1153</v>
      </c>
    </row>
    <row r="340" spans="1:5" x14ac:dyDescent="0.3">
      <c r="A340" s="16" t="s">
        <v>1141</v>
      </c>
      <c r="B340" s="1" t="s">
        <v>376</v>
      </c>
      <c r="C340" s="1" t="s">
        <v>364</v>
      </c>
      <c r="D340" s="9" t="s">
        <v>486</v>
      </c>
      <c r="E340" s="1" t="str">
        <f>B340</f>
        <v>Aparecida de Goiânia</v>
      </c>
    </row>
    <row r="341" spans="1:5" x14ac:dyDescent="0.3">
      <c r="A341" s="16" t="s">
        <v>1142</v>
      </c>
      <c r="B341" s="1" t="s">
        <v>360</v>
      </c>
      <c r="C341" s="1" t="s">
        <v>361</v>
      </c>
      <c r="D341" s="9" t="s">
        <v>486</v>
      </c>
      <c r="E341" s="1" t="s">
        <v>1154</v>
      </c>
    </row>
    <row r="342" spans="1:5" x14ac:dyDescent="0.3">
      <c r="A342" s="16" t="s">
        <v>1143</v>
      </c>
      <c r="B342" s="1" t="s">
        <v>360</v>
      </c>
      <c r="C342" s="1" t="s">
        <v>361</v>
      </c>
      <c r="D342" s="9" t="s">
        <v>486</v>
      </c>
      <c r="E342" s="1" t="s">
        <v>779</v>
      </c>
    </row>
    <row r="343" spans="1:5" x14ac:dyDescent="0.3">
      <c r="A343" s="16" t="s">
        <v>1144</v>
      </c>
      <c r="B343" s="1" t="s">
        <v>360</v>
      </c>
      <c r="C343" s="1" t="s">
        <v>361</v>
      </c>
      <c r="D343" s="9" t="s">
        <v>486</v>
      </c>
      <c r="E343" s="1" t="s">
        <v>1155</v>
      </c>
    </row>
    <row r="344" spans="1:5" x14ac:dyDescent="0.3">
      <c r="A344" s="16" t="s">
        <v>1145</v>
      </c>
      <c r="B344" s="1" t="s">
        <v>1156</v>
      </c>
      <c r="C344" s="1" t="s">
        <v>461</v>
      </c>
      <c r="D344" s="9" t="s">
        <v>486</v>
      </c>
      <c r="E344" s="1" t="str">
        <f>B344</f>
        <v>Londrina</v>
      </c>
    </row>
    <row r="345" spans="1:5" x14ac:dyDescent="0.3">
      <c r="A345" s="16" t="s">
        <v>1146</v>
      </c>
      <c r="B345" s="1" t="s">
        <v>360</v>
      </c>
      <c r="C345" s="1" t="s">
        <v>361</v>
      </c>
      <c r="D345" s="9" t="s">
        <v>486</v>
      </c>
      <c r="E345" s="1" t="s">
        <v>1157</v>
      </c>
    </row>
    <row r="346" spans="1:5" x14ac:dyDescent="0.3">
      <c r="A346" s="16" t="s">
        <v>1147</v>
      </c>
      <c r="B346" s="1" t="s">
        <v>487</v>
      </c>
      <c r="C346" s="1" t="s">
        <v>434</v>
      </c>
      <c r="D346" s="9" t="s">
        <v>486</v>
      </c>
      <c r="E346" s="1" t="str">
        <f>B346</f>
        <v>Salvador</v>
      </c>
    </row>
    <row r="347" spans="1:5" x14ac:dyDescent="0.3">
      <c r="A347" s="16" t="s">
        <v>1148</v>
      </c>
      <c r="B347" s="1" t="s">
        <v>360</v>
      </c>
      <c r="C347" s="1" t="s">
        <v>361</v>
      </c>
      <c r="D347" s="9" t="s">
        <v>486</v>
      </c>
      <c r="E347" s="1" t="str">
        <f>B347</f>
        <v>Brasília</v>
      </c>
    </row>
    <row r="348" spans="1:5" x14ac:dyDescent="0.3">
      <c r="A348" s="16" t="s">
        <v>1149</v>
      </c>
      <c r="B348" s="1" t="s">
        <v>360</v>
      </c>
      <c r="C348" s="1" t="s">
        <v>361</v>
      </c>
      <c r="D348" s="9" t="s">
        <v>486</v>
      </c>
      <c r="E348" s="1" t="str">
        <f>B348</f>
        <v>Brasília</v>
      </c>
    </row>
    <row r="349" spans="1:5" x14ac:dyDescent="0.3">
      <c r="A349" s="16" t="s">
        <v>1150</v>
      </c>
      <c r="B349" s="1" t="s">
        <v>360</v>
      </c>
      <c r="C349" s="1" t="s">
        <v>361</v>
      </c>
      <c r="D349" s="9" t="s">
        <v>486</v>
      </c>
      <c r="E349" s="1" t="s">
        <v>410</v>
      </c>
    </row>
    <row r="350" spans="1:5" x14ac:dyDescent="0.3">
      <c r="A350" s="16" t="s">
        <v>1151</v>
      </c>
      <c r="B350" s="1" t="s">
        <v>360</v>
      </c>
      <c r="C350" s="1" t="s">
        <v>361</v>
      </c>
      <c r="D350" s="9" t="s">
        <v>486</v>
      </c>
      <c r="E350" s="1" t="s">
        <v>1158</v>
      </c>
    </row>
  </sheetData>
  <autoFilter ref="A1:E323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E7DC0-1C43-4933-802D-A56A4572A245}">
  <dimension ref="A1:A16"/>
  <sheetViews>
    <sheetView workbookViewId="0">
      <selection sqref="A1:A16"/>
    </sheetView>
  </sheetViews>
  <sheetFormatPr defaultRowHeight="14.4" x14ac:dyDescent="0.3"/>
  <cols>
    <col min="1" max="1" width="41.5546875" bestFit="1" customWidth="1"/>
  </cols>
  <sheetData>
    <row r="1" spans="1:1" x14ac:dyDescent="0.3">
      <c r="A1" s="16" t="s">
        <v>1136</v>
      </c>
    </row>
    <row r="2" spans="1:1" x14ac:dyDescent="0.3">
      <c r="A2" s="16" t="s">
        <v>1137</v>
      </c>
    </row>
    <row r="3" spans="1:1" x14ac:dyDescent="0.3">
      <c r="A3" s="16" t="s">
        <v>1138</v>
      </c>
    </row>
    <row r="4" spans="1:1" x14ac:dyDescent="0.3">
      <c r="A4" s="16" t="s">
        <v>1139</v>
      </c>
    </row>
    <row r="5" spans="1:1" x14ac:dyDescent="0.3">
      <c r="A5" s="16" t="s">
        <v>1140</v>
      </c>
    </row>
    <row r="6" spans="1:1" x14ac:dyDescent="0.3">
      <c r="A6" s="16" t="s">
        <v>1141</v>
      </c>
    </row>
    <row r="7" spans="1:1" x14ac:dyDescent="0.3">
      <c r="A7" s="16" t="s">
        <v>1142</v>
      </c>
    </row>
    <row r="8" spans="1:1" x14ac:dyDescent="0.3">
      <c r="A8" s="16" t="s">
        <v>1143</v>
      </c>
    </row>
    <row r="9" spans="1:1" x14ac:dyDescent="0.3">
      <c r="A9" s="16" t="s">
        <v>1144</v>
      </c>
    </row>
    <row r="10" spans="1:1" x14ac:dyDescent="0.3">
      <c r="A10" s="16" t="s">
        <v>1145</v>
      </c>
    </row>
    <row r="11" spans="1:1" x14ac:dyDescent="0.3">
      <c r="A11" s="16" t="s">
        <v>1146</v>
      </c>
    </row>
    <row r="12" spans="1:1" x14ac:dyDescent="0.3">
      <c r="A12" s="16" t="s">
        <v>1147</v>
      </c>
    </row>
    <row r="13" spans="1:1" x14ac:dyDescent="0.3">
      <c r="A13" s="16" t="s">
        <v>1148</v>
      </c>
    </row>
    <row r="14" spans="1:1" x14ac:dyDescent="0.3">
      <c r="A14" s="16" t="s">
        <v>1149</v>
      </c>
    </row>
    <row r="15" spans="1:1" x14ac:dyDescent="0.3">
      <c r="A15" s="16" t="s">
        <v>1150</v>
      </c>
    </row>
    <row r="16" spans="1:1" x14ac:dyDescent="0.3">
      <c r="A16" s="16" t="s">
        <v>1151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2026-02-05T11:55:54Z</dcterms:created>
  <dcterms:modified xsi:type="dcterms:W3CDTF">2026-03-05T14:49:55Z</dcterms:modified>
</cp:coreProperties>
</file>