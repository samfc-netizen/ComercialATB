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8_{AA37B853-29FC-47FB-AE3B-DE091934B72F}" xr6:coauthVersionLast="47" xr6:coauthVersionMax="47" xr10:uidLastSave="{00000000-0000-0000-0000-000000000000}"/>
  <bookViews>
    <workbookView xWindow="-108" yWindow="-108" windowWidth="23256" windowHeight="12456" xr2:uid="{3CD46184-75C3-4BED-AB4A-DB58B05CB053}"/>
  </bookViews>
  <sheets>
    <sheet name="RELATÓRIO DE VENDAS" sheetId="2" r:id="rId1"/>
    <sheet name="BASE DE PRODUTOS" sheetId="4" r:id="rId2"/>
    <sheet name="BASE DE CLIENTES" sheetId="3" r:id="rId3"/>
  </sheets>
  <externalReferences>
    <externalReference r:id="rId4"/>
  </externalReferences>
  <definedNames>
    <definedName name="_xlnm._FilterDatabase" localSheetId="2" hidden="1">'BASE DE CLIENTES'!$A$1:$E$323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46" i="2" l="1"/>
  <c r="C3647" i="2"/>
  <c r="C3648" i="2"/>
  <c r="C3649" i="2"/>
  <c r="C3650" i="2"/>
  <c r="C3651" i="2"/>
  <c r="C3652" i="2"/>
  <c r="C3653" i="2"/>
  <c r="E3653" i="2" s="1"/>
  <c r="C3654" i="2"/>
  <c r="E3654" i="2" s="1"/>
  <c r="C3655" i="2"/>
  <c r="E3655" i="2" s="1"/>
  <c r="C3656" i="2"/>
  <c r="E3656" i="2" s="1"/>
  <c r="C3657" i="2"/>
  <c r="E3657" i="2" s="1"/>
  <c r="C3658" i="2"/>
  <c r="C3659" i="2"/>
  <c r="C3660" i="2"/>
  <c r="C3661" i="2"/>
  <c r="C3662" i="2"/>
  <c r="C3663" i="2"/>
  <c r="C3664" i="2"/>
  <c r="C3665" i="2"/>
  <c r="C3666" i="2"/>
  <c r="E3666" i="2" s="1"/>
  <c r="C3667" i="2"/>
  <c r="E3667" i="2" s="1"/>
  <c r="C3668" i="2"/>
  <c r="E3668" i="2" s="1"/>
  <c r="C3669" i="2"/>
  <c r="E3669" i="2" s="1"/>
  <c r="C3670" i="2"/>
  <c r="C3671" i="2"/>
  <c r="C3672" i="2"/>
  <c r="C3673" i="2"/>
  <c r="C3674" i="2"/>
  <c r="C3675" i="2"/>
  <c r="C3676" i="2"/>
  <c r="C3677" i="2"/>
  <c r="E3677" i="2" s="1"/>
  <c r="C3678" i="2"/>
  <c r="E3678" i="2" s="1"/>
  <c r="C3679" i="2"/>
  <c r="E3679" i="2" s="1"/>
  <c r="C3680" i="2"/>
  <c r="E3680" i="2" s="1"/>
  <c r="C3681" i="2"/>
  <c r="E3681" i="2" s="1"/>
  <c r="C3682" i="2"/>
  <c r="C3683" i="2"/>
  <c r="C3684" i="2"/>
  <c r="C3685" i="2"/>
  <c r="C3686" i="2"/>
  <c r="C3687" i="2"/>
  <c r="C3688" i="2"/>
  <c r="C3689" i="2"/>
  <c r="C3690" i="2"/>
  <c r="C3691" i="2"/>
  <c r="E3691" i="2" s="1"/>
  <c r="C3692" i="2"/>
  <c r="E3692" i="2" s="1"/>
  <c r="C3693" i="2"/>
  <c r="E3693" i="2" s="1"/>
  <c r="C3694" i="2"/>
  <c r="C3695" i="2"/>
  <c r="C3696" i="2"/>
  <c r="C3697" i="2"/>
  <c r="C3698" i="2"/>
  <c r="C3699" i="2"/>
  <c r="C3700" i="2"/>
  <c r="C3701" i="2"/>
  <c r="E3701" i="2" s="1"/>
  <c r="C3702" i="2"/>
  <c r="E3702" i="2" s="1"/>
  <c r="C3703" i="2"/>
  <c r="E3703" i="2" s="1"/>
  <c r="C3704" i="2"/>
  <c r="E3704" i="2" s="1"/>
  <c r="C3705" i="2"/>
  <c r="E3705" i="2" s="1"/>
  <c r="C3706" i="2"/>
  <c r="C3707" i="2"/>
  <c r="C3708" i="2"/>
  <c r="C3709" i="2"/>
  <c r="C3710" i="2"/>
  <c r="C3711" i="2"/>
  <c r="C3712" i="2"/>
  <c r="C3713" i="2"/>
  <c r="C3714" i="2"/>
  <c r="E3714" i="2" s="1"/>
  <c r="C3715" i="2"/>
  <c r="E3715" i="2" s="1"/>
  <c r="C3716" i="2"/>
  <c r="E3716" i="2" s="1"/>
  <c r="C3717" i="2"/>
  <c r="E3717" i="2" s="1"/>
  <c r="C3718" i="2"/>
  <c r="C3719" i="2"/>
  <c r="C3720" i="2"/>
  <c r="C3721" i="2"/>
  <c r="C3722" i="2"/>
  <c r="C3723" i="2"/>
  <c r="C3724" i="2"/>
  <c r="C3725" i="2"/>
  <c r="C3726" i="2"/>
  <c r="C3727" i="2"/>
  <c r="E3727" i="2" s="1"/>
  <c r="C3728" i="2"/>
  <c r="E3728" i="2" s="1"/>
  <c r="C3729" i="2"/>
  <c r="E3729" i="2" s="1"/>
  <c r="C3730" i="2"/>
  <c r="C3731" i="2"/>
  <c r="C3732" i="2"/>
  <c r="C3733" i="2"/>
  <c r="C3734" i="2"/>
  <c r="C3735" i="2"/>
  <c r="C3736" i="2"/>
  <c r="C3737" i="2"/>
  <c r="C3738" i="2"/>
  <c r="E3738" i="2" s="1"/>
  <c r="C3739" i="2"/>
  <c r="E3739" i="2" s="1"/>
  <c r="C3740" i="2"/>
  <c r="E3740" i="2" s="1"/>
  <c r="C3741" i="2"/>
  <c r="E3741" i="2" s="1"/>
  <c r="C3742" i="2"/>
  <c r="C3743" i="2"/>
  <c r="C3744" i="2"/>
  <c r="C3745" i="2"/>
  <c r="C3746" i="2"/>
  <c r="C3747" i="2"/>
  <c r="C3748" i="2"/>
  <c r="C3749" i="2"/>
  <c r="C3750" i="2"/>
  <c r="E3750" i="2" s="1"/>
  <c r="C3751" i="2"/>
  <c r="E3751" i="2" s="1"/>
  <c r="C3752" i="2"/>
  <c r="E3752" i="2" s="1"/>
  <c r="C3753" i="2"/>
  <c r="E3753" i="2" s="1"/>
  <c r="C3754" i="2"/>
  <c r="C3755" i="2"/>
  <c r="C3756" i="2"/>
  <c r="C3757" i="2"/>
  <c r="C3758" i="2"/>
  <c r="C3759" i="2"/>
  <c r="C3760" i="2"/>
  <c r="C3761" i="2"/>
  <c r="E3761" i="2" s="1"/>
  <c r="C3762" i="2"/>
  <c r="E3762" i="2" s="1"/>
  <c r="C3763" i="2"/>
  <c r="E3763" i="2" s="1"/>
  <c r="C3764" i="2"/>
  <c r="E3764" i="2" s="1"/>
  <c r="C3765" i="2"/>
  <c r="E3765" i="2" s="1"/>
  <c r="C3766" i="2"/>
  <c r="C3767" i="2"/>
  <c r="C3768" i="2"/>
  <c r="C3769" i="2"/>
  <c r="C3770" i="2"/>
  <c r="C3771" i="2"/>
  <c r="C3772" i="2"/>
  <c r="C3773" i="2"/>
  <c r="C3774" i="2"/>
  <c r="C3775" i="2"/>
  <c r="E3775" i="2" s="1"/>
  <c r="C3776" i="2"/>
  <c r="E3776" i="2" s="1"/>
  <c r="C3777" i="2"/>
  <c r="E3777" i="2" s="1"/>
  <c r="C3778" i="2"/>
  <c r="C3779" i="2"/>
  <c r="C3780" i="2"/>
  <c r="C3781" i="2"/>
  <c r="C3782" i="2"/>
  <c r="C3783" i="2"/>
  <c r="C3784" i="2"/>
  <c r="C3785" i="2"/>
  <c r="E3785" i="2" s="1"/>
  <c r="C3786" i="2"/>
  <c r="E3786" i="2" s="1"/>
  <c r="C3787" i="2"/>
  <c r="E3787" i="2" s="1"/>
  <c r="C3788" i="2"/>
  <c r="E3788" i="2" s="1"/>
  <c r="C3789" i="2"/>
  <c r="E3789" i="2" s="1"/>
  <c r="C3790" i="2"/>
  <c r="C3791" i="2"/>
  <c r="C3792" i="2"/>
  <c r="C3793" i="2"/>
  <c r="C3794" i="2"/>
  <c r="C3795" i="2"/>
  <c r="C3796" i="2"/>
  <c r="C3797" i="2"/>
  <c r="C3798" i="2"/>
  <c r="E3798" i="2" s="1"/>
  <c r="C3799" i="2"/>
  <c r="E3799" i="2" s="1"/>
  <c r="C3800" i="2"/>
  <c r="E3800" i="2" s="1"/>
  <c r="C3801" i="2"/>
  <c r="E3801" i="2" s="1"/>
  <c r="C3802" i="2"/>
  <c r="C3803" i="2"/>
  <c r="C3804" i="2"/>
  <c r="C3805" i="2"/>
  <c r="C3806" i="2"/>
  <c r="C3807" i="2"/>
  <c r="C3808" i="2"/>
  <c r="C3809" i="2"/>
  <c r="C3810" i="2"/>
  <c r="E3810" i="2" s="1"/>
  <c r="C3811" i="2"/>
  <c r="E3811" i="2" s="1"/>
  <c r="C3812" i="2"/>
  <c r="E3812" i="2" s="1"/>
  <c r="C3813" i="2"/>
  <c r="E3813" i="2" s="1"/>
  <c r="C3814" i="2"/>
  <c r="C3815" i="2"/>
  <c r="C3816" i="2"/>
  <c r="C3817" i="2"/>
  <c r="C3818" i="2"/>
  <c r="C3819" i="2"/>
  <c r="C3820" i="2"/>
  <c r="C3821" i="2"/>
  <c r="C3822" i="2"/>
  <c r="E3822" i="2" s="1"/>
  <c r="C3823" i="2"/>
  <c r="E3823" i="2" s="1"/>
  <c r="C3824" i="2"/>
  <c r="E3824" i="2" s="1"/>
  <c r="C3825" i="2"/>
  <c r="E3825" i="2" s="1"/>
  <c r="C3826" i="2"/>
  <c r="C3827" i="2"/>
  <c r="C3828" i="2"/>
  <c r="C3829" i="2"/>
  <c r="C3830" i="2"/>
  <c r="C3831" i="2"/>
  <c r="C3832" i="2"/>
  <c r="C3833" i="2"/>
  <c r="C3834" i="2"/>
  <c r="C3835" i="2"/>
  <c r="E3835" i="2" s="1"/>
  <c r="C3836" i="2"/>
  <c r="E3836" i="2" s="1"/>
  <c r="C3837" i="2"/>
  <c r="E3837" i="2" s="1"/>
  <c r="C3838" i="2"/>
  <c r="C3839" i="2"/>
  <c r="C3840" i="2"/>
  <c r="C3841" i="2"/>
  <c r="C3842" i="2"/>
  <c r="C3843" i="2"/>
  <c r="C3844" i="2"/>
  <c r="C3845" i="2"/>
  <c r="E3845" i="2" s="1"/>
  <c r="C3846" i="2"/>
  <c r="E3846" i="2" s="1"/>
  <c r="C3847" i="2"/>
  <c r="E3847" i="2" s="1"/>
  <c r="C3848" i="2"/>
  <c r="E3848" i="2" s="1"/>
  <c r="C3849" i="2"/>
  <c r="E3849" i="2" s="1"/>
  <c r="C3850" i="2"/>
  <c r="C3851" i="2"/>
  <c r="C3852" i="2"/>
  <c r="C3853" i="2"/>
  <c r="C3854" i="2"/>
  <c r="C3855" i="2"/>
  <c r="C3856" i="2"/>
  <c r="C3857" i="2"/>
  <c r="C3858" i="2"/>
  <c r="E3858" i="2" s="1"/>
  <c r="C3859" i="2"/>
  <c r="E3859" i="2" s="1"/>
  <c r="C3860" i="2"/>
  <c r="E3860" i="2" s="1"/>
  <c r="C3861" i="2"/>
  <c r="E3861" i="2" s="1"/>
  <c r="C3862" i="2"/>
  <c r="C3863" i="2"/>
  <c r="C3864" i="2"/>
  <c r="C3865" i="2"/>
  <c r="C3866" i="2"/>
  <c r="C3867" i="2"/>
  <c r="C3868" i="2"/>
  <c r="C3869" i="2"/>
  <c r="E3869" i="2" s="1"/>
  <c r="C3870" i="2"/>
  <c r="E3870" i="2" s="1"/>
  <c r="C3871" i="2"/>
  <c r="E3871" i="2" s="1"/>
  <c r="C3872" i="2"/>
  <c r="E3872" i="2" s="1"/>
  <c r="C3873" i="2"/>
  <c r="E3873" i="2" s="1"/>
  <c r="C3874" i="2"/>
  <c r="C3875" i="2"/>
  <c r="C3876" i="2"/>
  <c r="C3877" i="2"/>
  <c r="C3878" i="2"/>
  <c r="C3879" i="2"/>
  <c r="C3880" i="2"/>
  <c r="C3881" i="2"/>
  <c r="C3882" i="2"/>
  <c r="C3883" i="2"/>
  <c r="E3883" i="2" s="1"/>
  <c r="C3884" i="2"/>
  <c r="E3884" i="2" s="1"/>
  <c r="C3885" i="2"/>
  <c r="E3885" i="2" s="1"/>
  <c r="C3886" i="2"/>
  <c r="C3887" i="2"/>
  <c r="C3888" i="2"/>
  <c r="C3889" i="2"/>
  <c r="C3890" i="2"/>
  <c r="C3891" i="2"/>
  <c r="C3892" i="2"/>
  <c r="C3893" i="2"/>
  <c r="E3893" i="2" s="1"/>
  <c r="C3894" i="2"/>
  <c r="E3894" i="2" s="1"/>
  <c r="C3895" i="2"/>
  <c r="E3895" i="2" s="1"/>
  <c r="C3896" i="2"/>
  <c r="E3896" i="2" s="1"/>
  <c r="C3897" i="2"/>
  <c r="E3897" i="2" s="1"/>
  <c r="C3898" i="2"/>
  <c r="C3899" i="2"/>
  <c r="C3900" i="2"/>
  <c r="C3901" i="2"/>
  <c r="C3902" i="2"/>
  <c r="C3903" i="2"/>
  <c r="C3904" i="2"/>
  <c r="C3905" i="2"/>
  <c r="C3906" i="2"/>
  <c r="E3906" i="2" s="1"/>
  <c r="C3907" i="2"/>
  <c r="E3907" i="2" s="1"/>
  <c r="C3908" i="2"/>
  <c r="E3908" i="2" s="1"/>
  <c r="C3909" i="2"/>
  <c r="E3909" i="2" s="1"/>
  <c r="C3910" i="2"/>
  <c r="C3911" i="2"/>
  <c r="C3912" i="2"/>
  <c r="C3913" i="2"/>
  <c r="C3914" i="2"/>
  <c r="C3915" i="2"/>
  <c r="C3916" i="2"/>
  <c r="C3917" i="2"/>
  <c r="C3918" i="2"/>
  <c r="C3919" i="2"/>
  <c r="E3919" i="2" s="1"/>
  <c r="C3920" i="2"/>
  <c r="E3920" i="2" s="1"/>
  <c r="C3921" i="2"/>
  <c r="E3921" i="2" s="1"/>
  <c r="C3922" i="2"/>
  <c r="C3923" i="2"/>
  <c r="C3924" i="2"/>
  <c r="C3925" i="2"/>
  <c r="C3926" i="2"/>
  <c r="C3927" i="2"/>
  <c r="C3928" i="2"/>
  <c r="C3929" i="2"/>
  <c r="C3930" i="2"/>
  <c r="E3930" i="2" s="1"/>
  <c r="C3931" i="2"/>
  <c r="E3931" i="2" s="1"/>
  <c r="C3932" i="2"/>
  <c r="E3932" i="2" s="1"/>
  <c r="C3933" i="2"/>
  <c r="E3933" i="2" s="1"/>
  <c r="C3934" i="2"/>
  <c r="C3935" i="2"/>
  <c r="C3936" i="2"/>
  <c r="C3937" i="2"/>
  <c r="C3938" i="2"/>
  <c r="C3939" i="2"/>
  <c r="C3940" i="2"/>
  <c r="C3941" i="2"/>
  <c r="C3942" i="2"/>
  <c r="E3942" i="2" s="1"/>
  <c r="C3943" i="2"/>
  <c r="E3943" i="2" s="1"/>
  <c r="C3944" i="2"/>
  <c r="E3944" i="2" s="1"/>
  <c r="C3945" i="2"/>
  <c r="E3945" i="2" s="1"/>
  <c r="C3946" i="2"/>
  <c r="C3947" i="2"/>
  <c r="C3948" i="2"/>
  <c r="C3949" i="2"/>
  <c r="C3950" i="2"/>
  <c r="C3951" i="2"/>
  <c r="C3952" i="2"/>
  <c r="C3953" i="2"/>
  <c r="E3953" i="2" s="1"/>
  <c r="C3954" i="2"/>
  <c r="E3954" i="2" s="1"/>
  <c r="C3955" i="2"/>
  <c r="E3955" i="2" s="1"/>
  <c r="C3956" i="2"/>
  <c r="E3956" i="2" s="1"/>
  <c r="C3957" i="2"/>
  <c r="E3957" i="2" s="1"/>
  <c r="C3958" i="2"/>
  <c r="C3959" i="2"/>
  <c r="C3960" i="2"/>
  <c r="C3961" i="2"/>
  <c r="C3962" i="2"/>
  <c r="C3963" i="2"/>
  <c r="C3964" i="2"/>
  <c r="C3965" i="2"/>
  <c r="C3966" i="2"/>
  <c r="C3967" i="2"/>
  <c r="E3967" i="2" s="1"/>
  <c r="C3968" i="2"/>
  <c r="E3968" i="2" s="1"/>
  <c r="C3969" i="2"/>
  <c r="E3969" i="2" s="1"/>
  <c r="C3970" i="2"/>
  <c r="C3971" i="2"/>
  <c r="C3972" i="2"/>
  <c r="C3973" i="2"/>
  <c r="C3974" i="2"/>
  <c r="C3975" i="2"/>
  <c r="C3976" i="2"/>
  <c r="C3977" i="2"/>
  <c r="E3977" i="2" s="1"/>
  <c r="C3978" i="2"/>
  <c r="E3978" i="2" s="1"/>
  <c r="C3979" i="2"/>
  <c r="E3979" i="2" s="1"/>
  <c r="C3980" i="2"/>
  <c r="E3980" i="2" s="1"/>
  <c r="C3981" i="2"/>
  <c r="E3981" i="2" s="1"/>
  <c r="C3982" i="2"/>
  <c r="C3983" i="2"/>
  <c r="C3984" i="2"/>
  <c r="C3985" i="2"/>
  <c r="C3986" i="2"/>
  <c r="C3987" i="2"/>
  <c r="C3988" i="2"/>
  <c r="C3989" i="2"/>
  <c r="C3990" i="2"/>
  <c r="E3990" i="2" s="1"/>
  <c r="C3991" i="2"/>
  <c r="E3991" i="2" s="1"/>
  <c r="C3992" i="2"/>
  <c r="E3992" i="2" s="1"/>
  <c r="C3993" i="2"/>
  <c r="E3993" i="2" s="1"/>
  <c r="C3994" i="2"/>
  <c r="C3995" i="2"/>
  <c r="C3996" i="2"/>
  <c r="C3997" i="2"/>
  <c r="C3998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E3658" i="2" s="1"/>
  <c r="D3659" i="2"/>
  <c r="E3659" i="2" s="1"/>
  <c r="D3660" i="2"/>
  <c r="D3661" i="2"/>
  <c r="D3662" i="2"/>
  <c r="E3662" i="2" s="1"/>
  <c r="D3663" i="2"/>
  <c r="D3664" i="2"/>
  <c r="D3665" i="2"/>
  <c r="D3666" i="2"/>
  <c r="D3667" i="2"/>
  <c r="D3668" i="2"/>
  <c r="D3669" i="2"/>
  <c r="D3670" i="2"/>
  <c r="E3670" i="2" s="1"/>
  <c r="D3671" i="2"/>
  <c r="E3671" i="2" s="1"/>
  <c r="D3672" i="2"/>
  <c r="D3673" i="2"/>
  <c r="D3674" i="2"/>
  <c r="D3675" i="2"/>
  <c r="D3676" i="2"/>
  <c r="D3677" i="2"/>
  <c r="D3678" i="2"/>
  <c r="D3679" i="2"/>
  <c r="D3680" i="2"/>
  <c r="D3681" i="2"/>
  <c r="D3682" i="2"/>
  <c r="E3682" i="2" s="1"/>
  <c r="D3683" i="2"/>
  <c r="E3683" i="2" s="1"/>
  <c r="D3684" i="2"/>
  <c r="D3685" i="2"/>
  <c r="D3686" i="2"/>
  <c r="D3687" i="2"/>
  <c r="D3688" i="2"/>
  <c r="D3689" i="2"/>
  <c r="D3690" i="2"/>
  <c r="D3691" i="2"/>
  <c r="D3692" i="2"/>
  <c r="D3693" i="2"/>
  <c r="D3694" i="2"/>
  <c r="E3694" i="2" s="1"/>
  <c r="D3695" i="2"/>
  <c r="E3695" i="2" s="1"/>
  <c r="D3696" i="2"/>
  <c r="D3697" i="2"/>
  <c r="D3698" i="2"/>
  <c r="D3699" i="2"/>
  <c r="D3700" i="2"/>
  <c r="D3701" i="2"/>
  <c r="D3702" i="2"/>
  <c r="D3703" i="2"/>
  <c r="D3704" i="2"/>
  <c r="D3705" i="2"/>
  <c r="D3706" i="2"/>
  <c r="E3706" i="2" s="1"/>
  <c r="D3707" i="2"/>
  <c r="E3707" i="2" s="1"/>
  <c r="D3708" i="2"/>
  <c r="D3709" i="2"/>
  <c r="D3710" i="2"/>
  <c r="E3710" i="2" s="1"/>
  <c r="D3711" i="2"/>
  <c r="D3712" i="2"/>
  <c r="D3713" i="2"/>
  <c r="D3714" i="2"/>
  <c r="D3715" i="2"/>
  <c r="D3716" i="2"/>
  <c r="D3717" i="2"/>
  <c r="D3718" i="2"/>
  <c r="E3718" i="2" s="1"/>
  <c r="D3719" i="2"/>
  <c r="E3719" i="2" s="1"/>
  <c r="D3720" i="2"/>
  <c r="D3721" i="2"/>
  <c r="D3722" i="2"/>
  <c r="D3723" i="2"/>
  <c r="D3724" i="2"/>
  <c r="D3725" i="2"/>
  <c r="D3726" i="2"/>
  <c r="D3727" i="2"/>
  <c r="D3728" i="2"/>
  <c r="D3729" i="2"/>
  <c r="D3730" i="2"/>
  <c r="E3730" i="2" s="1"/>
  <c r="D3731" i="2"/>
  <c r="E3731" i="2" s="1"/>
  <c r="D3732" i="2"/>
  <c r="D3733" i="2"/>
  <c r="D3734" i="2"/>
  <c r="D3735" i="2"/>
  <c r="D3736" i="2"/>
  <c r="D3737" i="2"/>
  <c r="D3738" i="2"/>
  <c r="D3739" i="2"/>
  <c r="D3740" i="2"/>
  <c r="D3741" i="2"/>
  <c r="D3742" i="2"/>
  <c r="E3742" i="2" s="1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E3754" i="2" s="1"/>
  <c r="D3755" i="2"/>
  <c r="E3755" i="2" s="1"/>
  <c r="D3756" i="2"/>
  <c r="D3757" i="2"/>
  <c r="D3758" i="2"/>
  <c r="D3759" i="2"/>
  <c r="D3760" i="2"/>
  <c r="D3761" i="2"/>
  <c r="D3762" i="2"/>
  <c r="D3763" i="2"/>
  <c r="D3764" i="2"/>
  <c r="D3765" i="2"/>
  <c r="D3766" i="2"/>
  <c r="E3766" i="2" s="1"/>
  <c r="D3767" i="2"/>
  <c r="E3767" i="2" s="1"/>
  <c r="D3768" i="2"/>
  <c r="D3769" i="2"/>
  <c r="D3770" i="2"/>
  <c r="E3770" i="2" s="1"/>
  <c r="D3771" i="2"/>
  <c r="D3772" i="2"/>
  <c r="D3773" i="2"/>
  <c r="D3774" i="2"/>
  <c r="D3775" i="2"/>
  <c r="D3776" i="2"/>
  <c r="D3777" i="2"/>
  <c r="D3778" i="2"/>
  <c r="E3778" i="2" s="1"/>
  <c r="D3779" i="2"/>
  <c r="E3779" i="2" s="1"/>
  <c r="D3780" i="2"/>
  <c r="D3781" i="2"/>
  <c r="D3782" i="2"/>
  <c r="D3783" i="2"/>
  <c r="D3784" i="2"/>
  <c r="D3785" i="2"/>
  <c r="D3786" i="2"/>
  <c r="D3787" i="2"/>
  <c r="D3788" i="2"/>
  <c r="D3789" i="2"/>
  <c r="D3790" i="2"/>
  <c r="E3790" i="2" s="1"/>
  <c r="D3791" i="2"/>
  <c r="E3791" i="2" s="1"/>
  <c r="D3792" i="2"/>
  <c r="D3793" i="2"/>
  <c r="D3794" i="2"/>
  <c r="D3795" i="2"/>
  <c r="D3796" i="2"/>
  <c r="D3797" i="2"/>
  <c r="D3798" i="2"/>
  <c r="D3799" i="2"/>
  <c r="D3800" i="2"/>
  <c r="D3801" i="2"/>
  <c r="D3802" i="2"/>
  <c r="E3802" i="2" s="1"/>
  <c r="D3803" i="2"/>
  <c r="E3803" i="2" s="1"/>
  <c r="D3804" i="2"/>
  <c r="D3805" i="2"/>
  <c r="D3806" i="2"/>
  <c r="D3807" i="2"/>
  <c r="D3808" i="2"/>
  <c r="D3809" i="2"/>
  <c r="D3810" i="2"/>
  <c r="D3811" i="2"/>
  <c r="D3812" i="2"/>
  <c r="D3813" i="2"/>
  <c r="D3814" i="2"/>
  <c r="E3814" i="2" s="1"/>
  <c r="D3815" i="2"/>
  <c r="E3815" i="2" s="1"/>
  <c r="D3816" i="2"/>
  <c r="D3817" i="2"/>
  <c r="D3818" i="2"/>
  <c r="E3818" i="2" s="1"/>
  <c r="D3819" i="2"/>
  <c r="D3820" i="2"/>
  <c r="E3820" i="2" s="1"/>
  <c r="D3821" i="2"/>
  <c r="D3822" i="2"/>
  <c r="D3823" i="2"/>
  <c r="D3824" i="2"/>
  <c r="D3825" i="2"/>
  <c r="D3826" i="2"/>
  <c r="E3826" i="2" s="1"/>
  <c r="D3827" i="2"/>
  <c r="E3827" i="2" s="1"/>
  <c r="D3828" i="2"/>
  <c r="D3829" i="2"/>
  <c r="D3830" i="2"/>
  <c r="D3831" i="2"/>
  <c r="D3832" i="2"/>
  <c r="D3833" i="2"/>
  <c r="D3834" i="2"/>
  <c r="D3835" i="2"/>
  <c r="D3836" i="2"/>
  <c r="D3837" i="2"/>
  <c r="D3838" i="2"/>
  <c r="E3838" i="2" s="1"/>
  <c r="D3839" i="2"/>
  <c r="E3839" i="2" s="1"/>
  <c r="D3840" i="2"/>
  <c r="D3841" i="2"/>
  <c r="D3842" i="2"/>
  <c r="D3843" i="2"/>
  <c r="D3844" i="2"/>
  <c r="D3845" i="2"/>
  <c r="D3846" i="2"/>
  <c r="D3847" i="2"/>
  <c r="D3848" i="2"/>
  <c r="D3849" i="2"/>
  <c r="D3850" i="2"/>
  <c r="E3850" i="2" s="1"/>
  <c r="D3851" i="2"/>
  <c r="E3851" i="2" s="1"/>
  <c r="D3852" i="2"/>
  <c r="D3853" i="2"/>
  <c r="D3854" i="2"/>
  <c r="E3854" i="2" s="1"/>
  <c r="D3855" i="2"/>
  <c r="D3856" i="2"/>
  <c r="D3857" i="2"/>
  <c r="D3858" i="2"/>
  <c r="D3859" i="2"/>
  <c r="D3860" i="2"/>
  <c r="D3861" i="2"/>
  <c r="D3862" i="2"/>
  <c r="E3862" i="2" s="1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E3874" i="2" s="1"/>
  <c r="D3875" i="2"/>
  <c r="E3875" i="2" s="1"/>
  <c r="D3876" i="2"/>
  <c r="D3877" i="2"/>
  <c r="D3878" i="2"/>
  <c r="D3879" i="2"/>
  <c r="D3880" i="2"/>
  <c r="D3881" i="2"/>
  <c r="D3882" i="2"/>
  <c r="D3883" i="2"/>
  <c r="D3884" i="2"/>
  <c r="D3885" i="2"/>
  <c r="D3886" i="2"/>
  <c r="E3886" i="2" s="1"/>
  <c r="D3887" i="2"/>
  <c r="E3887" i="2" s="1"/>
  <c r="D3888" i="2"/>
  <c r="D3889" i="2"/>
  <c r="D3890" i="2"/>
  <c r="D3891" i="2"/>
  <c r="D3892" i="2"/>
  <c r="D3893" i="2"/>
  <c r="D3894" i="2"/>
  <c r="D3895" i="2"/>
  <c r="D3896" i="2"/>
  <c r="D3897" i="2"/>
  <c r="D3898" i="2"/>
  <c r="E3898" i="2" s="1"/>
  <c r="D3899" i="2"/>
  <c r="E3899" i="2" s="1"/>
  <c r="D3900" i="2"/>
  <c r="D3901" i="2"/>
  <c r="D3902" i="2"/>
  <c r="E3902" i="2" s="1"/>
  <c r="D3903" i="2"/>
  <c r="D3904" i="2"/>
  <c r="D3905" i="2"/>
  <c r="D3906" i="2"/>
  <c r="D3907" i="2"/>
  <c r="D3908" i="2"/>
  <c r="D3909" i="2"/>
  <c r="D3910" i="2"/>
  <c r="E3910" i="2" s="1"/>
  <c r="D3911" i="2"/>
  <c r="E3911" i="2" s="1"/>
  <c r="D3912" i="2"/>
  <c r="D3913" i="2"/>
  <c r="D3914" i="2"/>
  <c r="D3915" i="2"/>
  <c r="D3916" i="2"/>
  <c r="D3917" i="2"/>
  <c r="D3918" i="2"/>
  <c r="D3919" i="2"/>
  <c r="D3920" i="2"/>
  <c r="D3921" i="2"/>
  <c r="D3922" i="2"/>
  <c r="E3922" i="2" s="1"/>
  <c r="D3923" i="2"/>
  <c r="E3923" i="2" s="1"/>
  <c r="D3924" i="2"/>
  <c r="D3925" i="2"/>
  <c r="D3926" i="2"/>
  <c r="D3927" i="2"/>
  <c r="D3928" i="2"/>
  <c r="D3929" i="2"/>
  <c r="D3930" i="2"/>
  <c r="D3931" i="2"/>
  <c r="D3932" i="2"/>
  <c r="D3933" i="2"/>
  <c r="D3934" i="2"/>
  <c r="E3934" i="2" s="1"/>
  <c r="D3935" i="2"/>
  <c r="E3935" i="2" s="1"/>
  <c r="D3936" i="2"/>
  <c r="D3937" i="2"/>
  <c r="D3938" i="2"/>
  <c r="D3939" i="2"/>
  <c r="D3940" i="2"/>
  <c r="D3941" i="2"/>
  <c r="D3942" i="2"/>
  <c r="D3943" i="2"/>
  <c r="D3944" i="2"/>
  <c r="D3945" i="2"/>
  <c r="D3946" i="2"/>
  <c r="E3946" i="2" s="1"/>
  <c r="D3947" i="2"/>
  <c r="E3947" i="2" s="1"/>
  <c r="D3948" i="2"/>
  <c r="D3949" i="2"/>
  <c r="D3950" i="2"/>
  <c r="D3951" i="2"/>
  <c r="D3952" i="2"/>
  <c r="D3953" i="2"/>
  <c r="D3954" i="2"/>
  <c r="D3955" i="2"/>
  <c r="D3956" i="2"/>
  <c r="D3957" i="2"/>
  <c r="D3958" i="2"/>
  <c r="E3958" i="2" s="1"/>
  <c r="D3959" i="2"/>
  <c r="E3959" i="2" s="1"/>
  <c r="D3960" i="2"/>
  <c r="D3961" i="2"/>
  <c r="D3962" i="2"/>
  <c r="E3962" i="2" s="1"/>
  <c r="D3963" i="2"/>
  <c r="D3964" i="2"/>
  <c r="D3965" i="2"/>
  <c r="D3966" i="2"/>
  <c r="D3967" i="2"/>
  <c r="D3968" i="2"/>
  <c r="D3969" i="2"/>
  <c r="D3970" i="2"/>
  <c r="E3970" i="2" s="1"/>
  <c r="D3971" i="2"/>
  <c r="E3971" i="2" s="1"/>
  <c r="D3972" i="2"/>
  <c r="D3973" i="2"/>
  <c r="D3974" i="2"/>
  <c r="D3975" i="2"/>
  <c r="D3976" i="2"/>
  <c r="D3977" i="2"/>
  <c r="D3978" i="2"/>
  <c r="D3979" i="2"/>
  <c r="D3980" i="2"/>
  <c r="D3981" i="2"/>
  <c r="D3982" i="2"/>
  <c r="E3982" i="2" s="1"/>
  <c r="D3983" i="2"/>
  <c r="E3983" i="2" s="1"/>
  <c r="D3984" i="2"/>
  <c r="D3985" i="2"/>
  <c r="D3986" i="2"/>
  <c r="D3987" i="2"/>
  <c r="D3988" i="2"/>
  <c r="D3989" i="2"/>
  <c r="D3990" i="2"/>
  <c r="D3991" i="2"/>
  <c r="D3992" i="2"/>
  <c r="D3993" i="2"/>
  <c r="D3994" i="2"/>
  <c r="E3994" i="2" s="1"/>
  <c r="D3995" i="2"/>
  <c r="E3995" i="2" s="1"/>
  <c r="D3996" i="2"/>
  <c r="D3997" i="2"/>
  <c r="D3998" i="2"/>
  <c r="E3646" i="2"/>
  <c r="E3647" i="2"/>
  <c r="E3665" i="2"/>
  <c r="E3689" i="2"/>
  <c r="E3690" i="2"/>
  <c r="E3713" i="2"/>
  <c r="E3725" i="2"/>
  <c r="E3726" i="2"/>
  <c r="E3737" i="2"/>
  <c r="E3743" i="2"/>
  <c r="E3749" i="2"/>
  <c r="E3773" i="2"/>
  <c r="E3774" i="2"/>
  <c r="E3797" i="2"/>
  <c r="E3809" i="2"/>
  <c r="E3821" i="2"/>
  <c r="E3833" i="2"/>
  <c r="E3834" i="2"/>
  <c r="E3857" i="2"/>
  <c r="E3863" i="2"/>
  <c r="E3881" i="2"/>
  <c r="E3882" i="2"/>
  <c r="E3905" i="2"/>
  <c r="E3917" i="2"/>
  <c r="E3918" i="2"/>
  <c r="E3929" i="2"/>
  <c r="E3941" i="2"/>
  <c r="E3965" i="2"/>
  <c r="E3966" i="2"/>
  <c r="E3989" i="2"/>
  <c r="I3646" i="2"/>
  <c r="I3647" i="2"/>
  <c r="I3648" i="2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I3655" i="2"/>
  <c r="I3656" i="2"/>
  <c r="I3657" i="2"/>
  <c r="I3658" i="2"/>
  <c r="I3659" i="2"/>
  <c r="J3659" i="2" s="1"/>
  <c r="I3660" i="2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I3667" i="2"/>
  <c r="I3668" i="2"/>
  <c r="I3669" i="2"/>
  <c r="J3669" i="2" s="1"/>
  <c r="I3670" i="2"/>
  <c r="I3671" i="2"/>
  <c r="J3671" i="2" s="1"/>
  <c r="I3672" i="2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I3679" i="2"/>
  <c r="I3680" i="2"/>
  <c r="I3681" i="2"/>
  <c r="I3682" i="2"/>
  <c r="I3683" i="2"/>
  <c r="I3684" i="2"/>
  <c r="I3685" i="2"/>
  <c r="I3686" i="2"/>
  <c r="J3686" i="2" s="1"/>
  <c r="I3687" i="2"/>
  <c r="J3687" i="2" s="1"/>
  <c r="I3688" i="2"/>
  <c r="J3688" i="2" s="1"/>
  <c r="I3689" i="2"/>
  <c r="J3689" i="2" s="1"/>
  <c r="I3690" i="2"/>
  <c r="I3691" i="2"/>
  <c r="I3692" i="2"/>
  <c r="I3693" i="2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I3703" i="2"/>
  <c r="I3704" i="2"/>
  <c r="I3705" i="2"/>
  <c r="I3706" i="2"/>
  <c r="I3707" i="2"/>
  <c r="J3707" i="2" s="1"/>
  <c r="I3708" i="2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I3715" i="2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I3727" i="2"/>
  <c r="I3728" i="2"/>
  <c r="I3729" i="2"/>
  <c r="I3730" i="2"/>
  <c r="I3731" i="2"/>
  <c r="I3732" i="2"/>
  <c r="I3733" i="2"/>
  <c r="I3734" i="2"/>
  <c r="J3734" i="2" s="1"/>
  <c r="I3735" i="2"/>
  <c r="J3735" i="2" s="1"/>
  <c r="I3736" i="2"/>
  <c r="J3736" i="2" s="1"/>
  <c r="I3737" i="2"/>
  <c r="J3737" i="2" s="1"/>
  <c r="I3738" i="2"/>
  <c r="I3739" i="2"/>
  <c r="I3740" i="2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I3751" i="2"/>
  <c r="I3752" i="2"/>
  <c r="I3753" i="2"/>
  <c r="I3754" i="2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I3763" i="2"/>
  <c r="I3764" i="2"/>
  <c r="I3765" i="2"/>
  <c r="I3766" i="2"/>
  <c r="I3767" i="2"/>
  <c r="I3768" i="2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I3775" i="2"/>
  <c r="I3776" i="2"/>
  <c r="I3777" i="2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I3787" i="2"/>
  <c r="I3788" i="2"/>
  <c r="I3789" i="2"/>
  <c r="I3790" i="2"/>
  <c r="I3791" i="2"/>
  <c r="I3792" i="2"/>
  <c r="I3793" i="2"/>
  <c r="I3794" i="2"/>
  <c r="J3794" i="2" s="1"/>
  <c r="I3795" i="2"/>
  <c r="J3795" i="2" s="1"/>
  <c r="I3796" i="2"/>
  <c r="J3796" i="2" s="1"/>
  <c r="I3797" i="2"/>
  <c r="J3797" i="2" s="1"/>
  <c r="I3798" i="2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I3811" i="2"/>
  <c r="I3812" i="2"/>
  <c r="I3813" i="2"/>
  <c r="J3813" i="2" s="1"/>
  <c r="I3814" i="2"/>
  <c r="I3815" i="2"/>
  <c r="J3815" i="2" s="1"/>
  <c r="I3816" i="2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I3823" i="2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I3835" i="2"/>
  <c r="I3836" i="2"/>
  <c r="I3837" i="2"/>
  <c r="I3838" i="2"/>
  <c r="I3839" i="2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I3847" i="2"/>
  <c r="I3848" i="2"/>
  <c r="I3849" i="2"/>
  <c r="I3850" i="2"/>
  <c r="I3851" i="2"/>
  <c r="J3851" i="2" s="1"/>
  <c r="I3852" i="2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I3859" i="2"/>
  <c r="I3860" i="2"/>
  <c r="I3861" i="2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I3871" i="2"/>
  <c r="I3872" i="2"/>
  <c r="I3873" i="2"/>
  <c r="I3874" i="2"/>
  <c r="I3875" i="2"/>
  <c r="I3876" i="2"/>
  <c r="I3877" i="2"/>
  <c r="I3878" i="2"/>
  <c r="J3878" i="2" s="1"/>
  <c r="I3879" i="2"/>
  <c r="J3879" i="2" s="1"/>
  <c r="I3880" i="2"/>
  <c r="J3880" i="2" s="1"/>
  <c r="I3881" i="2"/>
  <c r="J3881" i="2" s="1"/>
  <c r="I3882" i="2"/>
  <c r="I3883" i="2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I3895" i="2"/>
  <c r="I3896" i="2"/>
  <c r="I3897" i="2"/>
  <c r="I3898" i="2"/>
  <c r="I3899" i="2"/>
  <c r="J3899" i="2" s="1"/>
  <c r="I3900" i="2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I3919" i="2"/>
  <c r="I3920" i="2"/>
  <c r="I3921" i="2"/>
  <c r="I3922" i="2"/>
  <c r="I3923" i="2"/>
  <c r="J3923" i="2" s="1"/>
  <c r="I3924" i="2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I3931" i="2"/>
  <c r="I3932" i="2"/>
  <c r="I3933" i="2"/>
  <c r="I3934" i="2"/>
  <c r="I3935" i="2"/>
  <c r="I3936" i="2"/>
  <c r="I3937" i="2"/>
  <c r="I3938" i="2"/>
  <c r="J3938" i="2" s="1"/>
  <c r="I3939" i="2"/>
  <c r="J3939" i="2" s="1"/>
  <c r="I3940" i="2"/>
  <c r="J3940" i="2" s="1"/>
  <c r="I3941" i="2"/>
  <c r="J3941" i="2" s="1"/>
  <c r="I3942" i="2"/>
  <c r="I3943" i="2"/>
  <c r="I3944" i="2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I3955" i="2"/>
  <c r="I3956" i="2"/>
  <c r="I3957" i="2"/>
  <c r="J3957" i="2" s="1"/>
  <c r="I3958" i="2"/>
  <c r="I3959" i="2"/>
  <c r="J3959" i="2" s="1"/>
  <c r="I3960" i="2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I3967" i="2"/>
  <c r="I3968" i="2"/>
  <c r="I3969" i="2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I3979" i="2"/>
  <c r="I3980" i="2"/>
  <c r="I3981" i="2"/>
  <c r="I3982" i="2"/>
  <c r="I3983" i="2"/>
  <c r="I3984" i="2"/>
  <c r="I3985" i="2"/>
  <c r="I3986" i="2"/>
  <c r="J3986" i="2" s="1"/>
  <c r="I3987" i="2"/>
  <c r="J3987" i="2" s="1"/>
  <c r="I3988" i="2"/>
  <c r="J3988" i="2" s="1"/>
  <c r="I3989" i="2"/>
  <c r="J3989" i="2" s="1"/>
  <c r="I3990" i="2"/>
  <c r="I3991" i="2"/>
  <c r="I3992" i="2"/>
  <c r="I3993" i="2"/>
  <c r="I3994" i="2"/>
  <c r="I3995" i="2"/>
  <c r="J3995" i="2" s="1"/>
  <c r="I3996" i="2"/>
  <c r="J3996" i="2" s="1"/>
  <c r="I3997" i="2"/>
  <c r="J3997" i="2" s="1"/>
  <c r="I3998" i="2"/>
  <c r="J3998" i="2" s="1"/>
  <c r="J3646" i="2"/>
  <c r="J3647" i="2"/>
  <c r="J3648" i="2"/>
  <c r="J3654" i="2"/>
  <c r="J3655" i="2"/>
  <c r="J3656" i="2"/>
  <c r="J3657" i="2"/>
  <c r="J3658" i="2"/>
  <c r="J3660" i="2"/>
  <c r="J3666" i="2"/>
  <c r="J3667" i="2"/>
  <c r="J3668" i="2"/>
  <c r="J3670" i="2"/>
  <c r="J3672" i="2"/>
  <c r="J3678" i="2"/>
  <c r="J3679" i="2"/>
  <c r="J3680" i="2"/>
  <c r="J3681" i="2"/>
  <c r="J3682" i="2"/>
  <c r="J3683" i="2"/>
  <c r="J3684" i="2"/>
  <c r="J3685" i="2"/>
  <c r="J3690" i="2"/>
  <c r="J3691" i="2"/>
  <c r="J3692" i="2"/>
  <c r="J3693" i="2"/>
  <c r="J3702" i="2"/>
  <c r="J3703" i="2"/>
  <c r="J3704" i="2"/>
  <c r="J3705" i="2"/>
  <c r="J3706" i="2"/>
  <c r="J3708" i="2"/>
  <c r="J3714" i="2"/>
  <c r="J3715" i="2"/>
  <c r="J3726" i="2"/>
  <c r="J3727" i="2"/>
  <c r="J3728" i="2"/>
  <c r="J3729" i="2"/>
  <c r="J3730" i="2"/>
  <c r="J3731" i="2"/>
  <c r="J3732" i="2"/>
  <c r="J3733" i="2"/>
  <c r="J3738" i="2"/>
  <c r="J3739" i="2"/>
  <c r="J3740" i="2"/>
  <c r="J3750" i="2"/>
  <c r="J3751" i="2"/>
  <c r="J3752" i="2"/>
  <c r="J3753" i="2"/>
  <c r="J3754" i="2"/>
  <c r="J3762" i="2"/>
  <c r="J3763" i="2"/>
  <c r="J3764" i="2"/>
  <c r="J3765" i="2"/>
  <c r="J3766" i="2"/>
  <c r="J3767" i="2"/>
  <c r="J3768" i="2"/>
  <c r="J3774" i="2"/>
  <c r="J3775" i="2"/>
  <c r="J3776" i="2"/>
  <c r="J3777" i="2"/>
  <c r="J3786" i="2"/>
  <c r="J3787" i="2"/>
  <c r="J3788" i="2"/>
  <c r="J3789" i="2"/>
  <c r="J3790" i="2"/>
  <c r="J3791" i="2"/>
  <c r="J3792" i="2"/>
  <c r="J3793" i="2"/>
  <c r="J3798" i="2"/>
  <c r="J3810" i="2"/>
  <c r="J3811" i="2"/>
  <c r="J3812" i="2"/>
  <c r="J3814" i="2"/>
  <c r="J3816" i="2"/>
  <c r="J3822" i="2"/>
  <c r="J3823" i="2"/>
  <c r="J3834" i="2"/>
  <c r="J3835" i="2"/>
  <c r="J3836" i="2"/>
  <c r="J3837" i="2"/>
  <c r="J3838" i="2"/>
  <c r="J3839" i="2"/>
  <c r="J3846" i="2"/>
  <c r="J3847" i="2"/>
  <c r="J3848" i="2"/>
  <c r="J3849" i="2"/>
  <c r="J3850" i="2"/>
  <c r="J3852" i="2"/>
  <c r="J3858" i="2"/>
  <c r="J3859" i="2"/>
  <c r="J3860" i="2"/>
  <c r="J3861" i="2"/>
  <c r="J3870" i="2"/>
  <c r="J3871" i="2"/>
  <c r="J3872" i="2"/>
  <c r="J3873" i="2"/>
  <c r="J3874" i="2"/>
  <c r="J3875" i="2"/>
  <c r="J3876" i="2"/>
  <c r="J3877" i="2"/>
  <c r="J3882" i="2"/>
  <c r="J3883" i="2"/>
  <c r="J3894" i="2"/>
  <c r="J3895" i="2"/>
  <c r="J3896" i="2"/>
  <c r="J3897" i="2"/>
  <c r="J3898" i="2"/>
  <c r="J3900" i="2"/>
  <c r="J3906" i="2"/>
  <c r="J3918" i="2"/>
  <c r="J3919" i="2"/>
  <c r="J3920" i="2"/>
  <c r="J3921" i="2"/>
  <c r="J3922" i="2"/>
  <c r="J3924" i="2"/>
  <c r="J3930" i="2"/>
  <c r="J3931" i="2"/>
  <c r="J3932" i="2"/>
  <c r="J3933" i="2"/>
  <c r="J3934" i="2"/>
  <c r="J3935" i="2"/>
  <c r="J3936" i="2"/>
  <c r="J3937" i="2"/>
  <c r="J3942" i="2"/>
  <c r="J3943" i="2"/>
  <c r="J3944" i="2"/>
  <c r="J3954" i="2"/>
  <c r="J3955" i="2"/>
  <c r="J3956" i="2"/>
  <c r="J3958" i="2"/>
  <c r="J3960" i="2"/>
  <c r="J3966" i="2"/>
  <c r="J3967" i="2"/>
  <c r="J3968" i="2"/>
  <c r="J3969" i="2"/>
  <c r="J3978" i="2"/>
  <c r="J3979" i="2"/>
  <c r="J3980" i="2"/>
  <c r="J3981" i="2"/>
  <c r="J3982" i="2"/>
  <c r="J3983" i="2"/>
  <c r="J3984" i="2"/>
  <c r="J3985" i="2"/>
  <c r="J3990" i="2"/>
  <c r="J3991" i="2"/>
  <c r="J3992" i="2"/>
  <c r="J3993" i="2"/>
  <c r="J3994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J2" i="2"/>
  <c r="J3" i="2"/>
  <c r="J4" i="2"/>
  <c r="J5" i="2"/>
  <c r="J6" i="2"/>
  <c r="J25" i="2"/>
  <c r="J50" i="2"/>
  <c r="J52" i="2"/>
  <c r="J62" i="2"/>
  <c r="J73" i="2"/>
  <c r="J74" i="2"/>
  <c r="J88" i="2"/>
  <c r="J101" i="2"/>
  <c r="J109" i="2"/>
  <c r="J121" i="2"/>
  <c r="J122" i="2"/>
  <c r="J145" i="2"/>
  <c r="J147" i="2"/>
  <c r="J157" i="2"/>
  <c r="J169" i="2"/>
  <c r="J171" i="2"/>
  <c r="J173" i="2"/>
  <c r="J183" i="2"/>
  <c r="J193" i="2"/>
  <c r="J195" i="2"/>
  <c r="J196" i="2"/>
  <c r="J218" i="2"/>
  <c r="J229" i="2"/>
  <c r="J231" i="2"/>
  <c r="J232" i="2"/>
  <c r="J253" i="2"/>
  <c r="J260" i="2"/>
  <c r="J267" i="2"/>
  <c r="J279" i="2"/>
  <c r="J301" i="2"/>
  <c r="J326" i="2"/>
  <c r="J337" i="2"/>
  <c r="J338" i="2"/>
  <c r="J339" i="2"/>
  <c r="J350" i="2"/>
  <c r="J351" i="2"/>
  <c r="J362" i="2"/>
  <c r="J395" i="2"/>
  <c r="J398" i="2"/>
  <c r="J407" i="2"/>
  <c r="J411" i="2"/>
  <c r="J412" i="2"/>
  <c r="J422" i="2"/>
  <c r="J433" i="2"/>
  <c r="J434" i="2"/>
  <c r="J455" i="2"/>
  <c r="J470" i="2"/>
  <c r="J481" i="2"/>
  <c r="J483" i="2"/>
  <c r="J491" i="2"/>
  <c r="J493" i="2"/>
  <c r="J494" i="2"/>
  <c r="J495" i="2"/>
  <c r="J517" i="2"/>
  <c r="J520" i="2"/>
  <c r="J536" i="2"/>
  <c r="J542" i="2"/>
  <c r="J554" i="2"/>
  <c r="J555" i="2"/>
  <c r="J556" i="2"/>
  <c r="J578" i="2"/>
  <c r="J580" i="2"/>
  <c r="J589" i="2"/>
  <c r="J606" i="2"/>
  <c r="J613" i="2"/>
  <c r="J614" i="2"/>
  <c r="J638" i="2"/>
  <c r="J640" i="2"/>
  <c r="J649" i="2"/>
  <c r="J650" i="2"/>
  <c r="J661" i="2"/>
  <c r="J663" i="2"/>
  <c r="J687" i="2"/>
  <c r="J697" i="2"/>
  <c r="J698" i="2"/>
  <c r="J699" i="2"/>
  <c r="J710" i="2"/>
  <c r="J712" i="2"/>
  <c r="J721" i="2"/>
  <c r="J724" i="2"/>
  <c r="J747" i="2"/>
  <c r="J757" i="2"/>
  <c r="J758" i="2"/>
  <c r="J769" i="2"/>
  <c r="J770" i="2"/>
  <c r="J782" i="2"/>
  <c r="J794" i="2"/>
  <c r="J795" i="2"/>
  <c r="J800" i="2"/>
  <c r="J807" i="2"/>
  <c r="J819" i="2"/>
  <c r="J829" i="2"/>
  <c r="J830" i="2"/>
  <c r="J831" i="2"/>
  <c r="J853" i="2"/>
  <c r="J868" i="2"/>
  <c r="J882" i="2"/>
  <c r="J884" i="2"/>
  <c r="J902" i="2"/>
  <c r="J903" i="2"/>
  <c r="J913" i="2"/>
  <c r="J914" i="2"/>
  <c r="J915" i="2"/>
  <c r="J923" i="2"/>
  <c r="J926" i="2"/>
  <c r="J930" i="2"/>
  <c r="J937" i="2"/>
  <c r="J949" i="2"/>
  <c r="J952" i="2"/>
  <c r="J961" i="2"/>
  <c r="J972" i="2"/>
  <c r="J974" i="2"/>
  <c r="J976" i="2"/>
  <c r="J985" i="2"/>
  <c r="J1000" i="2"/>
  <c r="J1021" i="2"/>
  <c r="J1022" i="2"/>
  <c r="J1033" i="2"/>
  <c r="J1044" i="2"/>
  <c r="J1045" i="2"/>
  <c r="J1058" i="2"/>
  <c r="J1071" i="2"/>
  <c r="J1081" i="2"/>
  <c r="J1094" i="2"/>
  <c r="J1095" i="2"/>
  <c r="J1096" i="2"/>
  <c r="J1118" i="2"/>
  <c r="J1129" i="2"/>
  <c r="J1130" i="2"/>
  <c r="J1132" i="2"/>
  <c r="J1140" i="2"/>
  <c r="J1142" i="2"/>
  <c r="J1144" i="2"/>
  <c r="J1168" i="2"/>
  <c r="J1176" i="2"/>
  <c r="J1179" i="2"/>
  <c r="J1180" i="2"/>
  <c r="J1189" i="2"/>
  <c r="J1191" i="2"/>
  <c r="J1192" i="2"/>
  <c r="J1215" i="2"/>
  <c r="J1228" i="2"/>
  <c r="J1239" i="2"/>
  <c r="J1249" i="2"/>
  <c r="J1270" i="2"/>
  <c r="J1272" i="2"/>
  <c r="J1273" i="2"/>
  <c r="J1275" i="2"/>
  <c r="J1281" i="2"/>
  <c r="J1309" i="2"/>
  <c r="J1310" i="2"/>
  <c r="J1323" i="2"/>
  <c r="J1324" i="2"/>
  <c r="J1326" i="2"/>
  <c r="J1337" i="2"/>
  <c r="J1345" i="2"/>
  <c r="J1347" i="2"/>
  <c r="J1382" i="2"/>
  <c r="J1384" i="2"/>
  <c r="J1386" i="2"/>
  <c r="J1393" i="2"/>
  <c r="J1395" i="2"/>
  <c r="J1414" i="2"/>
  <c r="J1419" i="2"/>
  <c r="J1431" i="2"/>
  <c r="J1443" i="2"/>
  <c r="J1444" i="2"/>
  <c r="J1453" i="2"/>
  <c r="J1466" i="2"/>
  <c r="J1467" i="2"/>
  <c r="J1477" i="2"/>
  <c r="J1491" i="2"/>
  <c r="J1492" i="2"/>
  <c r="J1515" i="2"/>
  <c r="J1527" i="2"/>
  <c r="J1528" i="2"/>
  <c r="J1529" i="2"/>
  <c r="J1539" i="2"/>
  <c r="J1542" i="2"/>
  <c r="J1552" i="2"/>
  <c r="J1573" i="2"/>
  <c r="J1575" i="2"/>
  <c r="J1582" i="2"/>
  <c r="J1584" i="2"/>
  <c r="J1585" i="2"/>
  <c r="J1599" i="2"/>
  <c r="J1602" i="2"/>
  <c r="J1609" i="2"/>
  <c r="J1613" i="2"/>
  <c r="J1620" i="2"/>
  <c r="J1621" i="2"/>
  <c r="J1635" i="2"/>
  <c r="J1646" i="2"/>
  <c r="J1657" i="2"/>
  <c r="J1660" i="2"/>
  <c r="J1662" i="2"/>
  <c r="J1679" i="2"/>
  <c r="J1681" i="2"/>
  <c r="J1698" i="2"/>
  <c r="J1705" i="2"/>
  <c r="J1706" i="2"/>
  <c r="J1707" i="2"/>
  <c r="J1710" i="2"/>
  <c r="J1717" i="2"/>
  <c r="J1728" i="2"/>
  <c r="J1732" i="2"/>
  <c r="J1741" i="2"/>
  <c r="J1743" i="2"/>
  <c r="J1763" i="2"/>
  <c r="J1764" i="2"/>
  <c r="J1765" i="2"/>
  <c r="J1777" i="2"/>
  <c r="J1779" i="2"/>
  <c r="J1789" i="2"/>
  <c r="J1793" i="2"/>
  <c r="J1801" i="2"/>
  <c r="J1803" i="2"/>
  <c r="J1827" i="2"/>
  <c r="J1829" i="2"/>
  <c r="J1837" i="2"/>
  <c r="J1849" i="2"/>
  <c r="J1851" i="2"/>
  <c r="J1864" i="2"/>
  <c r="J1873" i="2"/>
  <c r="J1884" i="2"/>
  <c r="J1886" i="2"/>
  <c r="J1887" i="2"/>
  <c r="J1890" i="2"/>
  <c r="J1895" i="2"/>
  <c r="J1912" i="2"/>
  <c r="J1914" i="2"/>
  <c r="J1921" i="2"/>
  <c r="J1922" i="2"/>
  <c r="J1923" i="2"/>
  <c r="J1932" i="2"/>
  <c r="J1962" i="2"/>
  <c r="J1969" i="2"/>
  <c r="J1971" i="2"/>
  <c r="J1972" i="2"/>
  <c r="J1981" i="2"/>
  <c r="J1993" i="2"/>
  <c r="J2031" i="2"/>
  <c r="J2032" i="2"/>
  <c r="J2034" i="2"/>
  <c r="J2041" i="2"/>
  <c r="J2051" i="2"/>
  <c r="J2053" i="2"/>
  <c r="J2055" i="2"/>
  <c r="J2064" i="2"/>
  <c r="J2065" i="2"/>
  <c r="J2079" i="2"/>
  <c r="J2086" i="2"/>
  <c r="J2089" i="2"/>
  <c r="J2091" i="2"/>
  <c r="J2103" i="2"/>
  <c r="J2104" i="2"/>
  <c r="J2115" i="2"/>
  <c r="J2122" i="2"/>
  <c r="J2137" i="2"/>
  <c r="J2148" i="2"/>
  <c r="J2149" i="2"/>
  <c r="J2151" i="2"/>
  <c r="J2152" i="2"/>
  <c r="J2160" i="2"/>
  <c r="J2163" i="2"/>
  <c r="J2173" i="2"/>
  <c r="J2185" i="2"/>
  <c r="J2186" i="2"/>
  <c r="J2188" i="2"/>
  <c r="J2189" i="2"/>
  <c r="J2197" i="2"/>
  <c r="J2200" i="2"/>
  <c r="J2214" i="2"/>
  <c r="J2232" i="2"/>
  <c r="J2235" i="2"/>
  <c r="J2236" i="2"/>
  <c r="J2259" i="2"/>
  <c r="J2262" i="2"/>
  <c r="J2268" i="2"/>
  <c r="J2269" i="2"/>
  <c r="J2272" i="2"/>
  <c r="J2274" i="2"/>
  <c r="J2281" i="2"/>
  <c r="J2283" i="2"/>
  <c r="J2295" i="2"/>
  <c r="J2296" i="2"/>
  <c r="J2308" i="2"/>
  <c r="J2317" i="2"/>
  <c r="J2322" i="2"/>
  <c r="J2330" i="2"/>
  <c r="J2331" i="2"/>
  <c r="J2341" i="2"/>
  <c r="J2343" i="2"/>
  <c r="J2344" i="2"/>
  <c r="J2346" i="2"/>
  <c r="J2353" i="2"/>
  <c r="J2366" i="2"/>
  <c r="J2367" i="2"/>
  <c r="J2368" i="2"/>
  <c r="J2377" i="2"/>
  <c r="J2381" i="2"/>
  <c r="J2382" i="2"/>
  <c r="J2384" i="2"/>
  <c r="J2389" i="2"/>
  <c r="J2401" i="2"/>
  <c r="J2406" i="2"/>
  <c r="J2413" i="2"/>
  <c r="J2415" i="2"/>
  <c r="J2418" i="2"/>
  <c r="J2437" i="2"/>
  <c r="J2442" i="2"/>
  <c r="J2446" i="2"/>
  <c r="J2452" i="2"/>
  <c r="J2473" i="2"/>
  <c r="J2476" i="2"/>
  <c r="J2485" i="2"/>
  <c r="J2487" i="2"/>
  <c r="J2488" i="2"/>
  <c r="J2490" i="2"/>
  <c r="J2509" i="2"/>
  <c r="J2510" i="2"/>
  <c r="J2511" i="2"/>
  <c r="J2518" i="2"/>
  <c r="J2523" i="2"/>
  <c r="J2524" i="2"/>
  <c r="J2533" i="2"/>
  <c r="J2534" i="2"/>
  <c r="J2537" i="2"/>
  <c r="J2545" i="2"/>
  <c r="J2546" i="2"/>
  <c r="J2557" i="2"/>
  <c r="J2560" i="2"/>
  <c r="J2569" i="2"/>
  <c r="J2571" i="2"/>
  <c r="J2579" i="2"/>
  <c r="J2581" i="2"/>
  <c r="J2586" i="2"/>
  <c r="J2593" i="2"/>
  <c r="J2605" i="2"/>
  <c r="J2607" i="2"/>
  <c r="J2608" i="2"/>
  <c r="J2615" i="2"/>
  <c r="J2617" i="2"/>
  <c r="J2619" i="2"/>
  <c r="J2620" i="2"/>
  <c r="J2629" i="2"/>
  <c r="J2631" i="2"/>
  <c r="J2644" i="2"/>
  <c r="J2653" i="2"/>
  <c r="J2656" i="2"/>
  <c r="J2658" i="2"/>
  <c r="J2660" i="2"/>
  <c r="J2665" i="2"/>
  <c r="J2667" i="2"/>
  <c r="J2677" i="2"/>
  <c r="J2686" i="2"/>
  <c r="J2694" i="2"/>
  <c r="J2701" i="2"/>
  <c r="J2703" i="2"/>
  <c r="J2704" i="2"/>
  <c r="J2713" i="2"/>
  <c r="J2719" i="2"/>
  <c r="J2720" i="2"/>
  <c r="J2724" i="2"/>
  <c r="J2728" i="2"/>
  <c r="J2742" i="2"/>
  <c r="J2746" i="2"/>
  <c r="J2747" i="2"/>
  <c r="J2749" i="2"/>
  <c r="J2751" i="2"/>
  <c r="J2752" i="2"/>
  <c r="J2762" i="2"/>
  <c r="J2763" i="2"/>
  <c r="J2774" i="2"/>
  <c r="J2785" i="2"/>
  <c r="J2787" i="2"/>
  <c r="J2788" i="2"/>
  <c r="J2800" i="2"/>
  <c r="J2807" i="2"/>
  <c r="J2809" i="2"/>
  <c r="J2812" i="2"/>
  <c r="J2828" i="2"/>
  <c r="J2833" i="2"/>
  <c r="J2835" i="2"/>
  <c r="J2843" i="2"/>
  <c r="J2844" i="2"/>
  <c r="J2845" i="2"/>
  <c r="J2850" i="2"/>
  <c r="J2856" i="2"/>
  <c r="J2859" i="2"/>
  <c r="J2870" i="2"/>
  <c r="J2871" i="2"/>
  <c r="J2872" i="2"/>
  <c r="J2881" i="2"/>
  <c r="J2883" i="2"/>
  <c r="J2884" i="2"/>
  <c r="J2892" i="2"/>
  <c r="J2893" i="2"/>
  <c r="J2904" i="2"/>
  <c r="J2905" i="2"/>
  <c r="J2917" i="2"/>
  <c r="J2918" i="2"/>
  <c r="J2919" i="2"/>
  <c r="J2920" i="2"/>
  <c r="J2929" i="2"/>
  <c r="J2930" i="2"/>
  <c r="J2934" i="2"/>
  <c r="J2940" i="2"/>
  <c r="J2943" i="2"/>
  <c r="J2955" i="2"/>
  <c r="J2956" i="2"/>
  <c r="J2958" i="2"/>
  <c r="J2965" i="2"/>
  <c r="J2968" i="2"/>
  <c r="J2977" i="2"/>
  <c r="J2988" i="2"/>
  <c r="J2989" i="2"/>
  <c r="J2990" i="2"/>
  <c r="J3003" i="2"/>
  <c r="J3004" i="2"/>
  <c r="J3012" i="2"/>
  <c r="J3013" i="2"/>
  <c r="J3017" i="2"/>
  <c r="J3025" i="2"/>
  <c r="J3027" i="2"/>
  <c r="J3028" i="2"/>
  <c r="J3036" i="2"/>
  <c r="J3037" i="2"/>
  <c r="J3042" i="2"/>
  <c r="J3054" i="2"/>
  <c r="J3061" i="2"/>
  <c r="J3062" i="2"/>
  <c r="J3073" i="2"/>
  <c r="J3075" i="2"/>
  <c r="J3076" i="2"/>
  <c r="J3078" i="2"/>
  <c r="J3085" i="2"/>
  <c r="J3096" i="2"/>
  <c r="J3109" i="2"/>
  <c r="J3112" i="2"/>
  <c r="J3121" i="2"/>
  <c r="J3123" i="2"/>
  <c r="J3133" i="2"/>
  <c r="J3142" i="2"/>
  <c r="J3145" i="2"/>
  <c r="J3156" i="2"/>
  <c r="J3157" i="2"/>
  <c r="J3158" i="2"/>
  <c r="J3159" i="2"/>
  <c r="J3160" i="2"/>
  <c r="J3161" i="2"/>
  <c r="J3169" i="2"/>
  <c r="J3171" i="2"/>
  <c r="J3186" i="2"/>
  <c r="J3191" i="2"/>
  <c r="J3192" i="2"/>
  <c r="J3193" i="2"/>
  <c r="J3195" i="2"/>
  <c r="J3196" i="2"/>
  <c r="J3205" i="2"/>
  <c r="J3217" i="2"/>
  <c r="J3220" i="2"/>
  <c r="J3226" i="2"/>
  <c r="J3228" i="2"/>
  <c r="J3229" i="2"/>
  <c r="J3232" i="2"/>
  <c r="J3233" i="2"/>
  <c r="J3240" i="2"/>
  <c r="J3243" i="2"/>
  <c r="J3244" i="2"/>
  <c r="J3252" i="2"/>
  <c r="J3253" i="2"/>
  <c r="J3256" i="2"/>
  <c r="J3270" i="2"/>
  <c r="J3272" i="2"/>
  <c r="J3277" i="2"/>
  <c r="J3287" i="2"/>
  <c r="J3288" i="2"/>
  <c r="J3290" i="2"/>
  <c r="J3301" i="2"/>
  <c r="J3302" i="2"/>
  <c r="J3303" i="2"/>
  <c r="J3304" i="2"/>
  <c r="J3315" i="2"/>
  <c r="J3316" i="2"/>
  <c r="J3318" i="2"/>
  <c r="J3324" i="2"/>
  <c r="J3325" i="2"/>
  <c r="J3326" i="2"/>
  <c r="J3327" i="2"/>
  <c r="J3340" i="2"/>
  <c r="J3342" i="2"/>
  <c r="J3349" i="2"/>
  <c r="J3351" i="2"/>
  <c r="J3352" i="2"/>
  <c r="J3353" i="2"/>
  <c r="J3361" i="2"/>
  <c r="J3362" i="2"/>
  <c r="J3365" i="2"/>
  <c r="J3366" i="2"/>
  <c r="J3375" i="2"/>
  <c r="J3378" i="2"/>
  <c r="J3387" i="2"/>
  <c r="J3395" i="2"/>
  <c r="J3396" i="2"/>
  <c r="J3400" i="2"/>
  <c r="J3402" i="2"/>
  <c r="J3409" i="2"/>
  <c r="J3410" i="2"/>
  <c r="J3411" i="2"/>
  <c r="J3416" i="2"/>
  <c r="J3426" i="2"/>
  <c r="J3436" i="2"/>
  <c r="J3443" i="2"/>
  <c r="J3448" i="2"/>
  <c r="J3455" i="2"/>
  <c r="J3456" i="2"/>
  <c r="J3462" i="2"/>
  <c r="J3469" i="2"/>
  <c r="J3470" i="2"/>
  <c r="J3471" i="2"/>
  <c r="J3472" i="2"/>
  <c r="J3473" i="2"/>
  <c r="J3481" i="2"/>
  <c r="J3484" i="2"/>
  <c r="J3486" i="2"/>
  <c r="J3494" i="2"/>
  <c r="J3495" i="2"/>
  <c r="J3505" i="2"/>
  <c r="J3507" i="2"/>
  <c r="J3508" i="2"/>
  <c r="J3520" i="2"/>
  <c r="J3521" i="2"/>
  <c r="J3527" i="2"/>
  <c r="J3529" i="2"/>
  <c r="J3534" i="2"/>
  <c r="J3539" i="2"/>
  <c r="J3541" i="2"/>
  <c r="J3544" i="2"/>
  <c r="J3552" i="2"/>
  <c r="J3558" i="2"/>
  <c r="J3562" i="2"/>
  <c r="J3565" i="2"/>
  <c r="J3567" i="2"/>
  <c r="J3568" i="2"/>
  <c r="J3570" i="2"/>
  <c r="J3580" i="2"/>
  <c r="J3589" i="2"/>
  <c r="J3591" i="2"/>
  <c r="J3600" i="2"/>
  <c r="J3601" i="2"/>
  <c r="J3604" i="2"/>
  <c r="J3606" i="2"/>
  <c r="J3613" i="2"/>
  <c r="J3614" i="2"/>
  <c r="J3627" i="2"/>
  <c r="J3628" i="2"/>
  <c r="J3636" i="2"/>
  <c r="J3637" i="2"/>
  <c r="J3640" i="2"/>
  <c r="J3641" i="2"/>
  <c r="J3642" i="2"/>
  <c r="I2" i="2"/>
  <c r="I3" i="2"/>
  <c r="I4" i="2"/>
  <c r="I5" i="2"/>
  <c r="I6" i="2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I51" i="2"/>
  <c r="J51" i="2" s="1"/>
  <c r="I52" i="2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I74" i="2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I122" i="2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I146" i="2"/>
  <c r="J146" i="2" s="1"/>
  <c r="I147" i="2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I170" i="2"/>
  <c r="J170" i="2" s="1"/>
  <c r="I171" i="2"/>
  <c r="I172" i="2"/>
  <c r="J172" i="2" s="1"/>
  <c r="I173" i="2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I194" i="2"/>
  <c r="J194" i="2" s="1"/>
  <c r="I195" i="2"/>
  <c r="I196" i="2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I230" i="2"/>
  <c r="J230" i="2" s="1"/>
  <c r="I231" i="2"/>
  <c r="I232" i="2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I338" i="2"/>
  <c r="I339" i="2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I351" i="2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I396" i="2"/>
  <c r="J396" i="2" s="1"/>
  <c r="I397" i="2"/>
  <c r="J397" i="2" s="1"/>
  <c r="I398" i="2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I408" i="2"/>
  <c r="J408" i="2" s="1"/>
  <c r="I409" i="2"/>
  <c r="J409" i="2" s="1"/>
  <c r="I410" i="2"/>
  <c r="J410" i="2" s="1"/>
  <c r="I411" i="2"/>
  <c r="I412" i="2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I434" i="2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I482" i="2"/>
  <c r="J482" i="2" s="1"/>
  <c r="I483" i="2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I492" i="2"/>
  <c r="J492" i="2" s="1"/>
  <c r="I493" i="2"/>
  <c r="I494" i="2"/>
  <c r="I495" i="2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I518" i="2"/>
  <c r="J518" i="2" s="1"/>
  <c r="I519" i="2"/>
  <c r="J519" i="2" s="1"/>
  <c r="I520" i="2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I555" i="2"/>
  <c r="I556" i="2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I579" i="2"/>
  <c r="J579" i="2" s="1"/>
  <c r="I580" i="2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I614" i="2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I639" i="2"/>
  <c r="J639" i="2" s="1"/>
  <c r="I640" i="2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I650" i="2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I662" i="2"/>
  <c r="J662" i="2" s="1"/>
  <c r="I663" i="2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I698" i="2"/>
  <c r="I699" i="2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I711" i="2"/>
  <c r="J711" i="2" s="1"/>
  <c r="I712" i="2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I722" i="2"/>
  <c r="J722" i="2" s="1"/>
  <c r="I723" i="2"/>
  <c r="J723" i="2" s="1"/>
  <c r="I724" i="2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I758" i="2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I770" i="2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I795" i="2"/>
  <c r="I796" i="2"/>
  <c r="J796" i="2" s="1"/>
  <c r="I797" i="2"/>
  <c r="J797" i="2" s="1"/>
  <c r="I798" i="2"/>
  <c r="J798" i="2" s="1"/>
  <c r="I799" i="2"/>
  <c r="J799" i="2" s="1"/>
  <c r="I800" i="2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I830" i="2"/>
  <c r="I831" i="2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I883" i="2"/>
  <c r="J883" i="2" s="1"/>
  <c r="I884" i="2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I903" i="2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I914" i="2"/>
  <c r="I915" i="2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I924" i="2"/>
  <c r="J924" i="2" s="1"/>
  <c r="I925" i="2"/>
  <c r="J925" i="2" s="1"/>
  <c r="I926" i="2"/>
  <c r="I927" i="2"/>
  <c r="J927" i="2" s="1"/>
  <c r="I928" i="2"/>
  <c r="J928" i="2" s="1"/>
  <c r="I929" i="2"/>
  <c r="J929" i="2" s="1"/>
  <c r="I930" i="2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I950" i="2"/>
  <c r="J950" i="2" s="1"/>
  <c r="I951" i="2"/>
  <c r="J951" i="2" s="1"/>
  <c r="I952" i="2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I973" i="2"/>
  <c r="J973" i="2" s="1"/>
  <c r="I974" i="2"/>
  <c r="I975" i="2"/>
  <c r="J975" i="2" s="1"/>
  <c r="I976" i="2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I1022" i="2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I1045" i="2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I1095" i="2"/>
  <c r="I1096" i="2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I1130" i="2"/>
  <c r="I1131" i="2"/>
  <c r="J1131" i="2" s="1"/>
  <c r="I1132" i="2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I1141" i="2"/>
  <c r="J1141" i="2" s="1"/>
  <c r="I1142" i="2"/>
  <c r="I1143" i="2"/>
  <c r="J1143" i="2" s="1"/>
  <c r="I1144" i="2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I1177" i="2"/>
  <c r="J1177" i="2" s="1"/>
  <c r="I1178" i="2"/>
  <c r="J1178" i="2" s="1"/>
  <c r="I1179" i="2"/>
  <c r="I1180" i="2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I1190" i="2"/>
  <c r="J1190" i="2" s="1"/>
  <c r="I1191" i="2"/>
  <c r="I1192" i="2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I1271" i="2"/>
  <c r="J1271" i="2" s="1"/>
  <c r="I1272" i="2"/>
  <c r="I1273" i="2"/>
  <c r="I1274" i="2"/>
  <c r="J1274" i="2" s="1"/>
  <c r="I1275" i="2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I1310" i="2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I1324" i="2"/>
  <c r="I1325" i="2"/>
  <c r="J1325" i="2" s="1"/>
  <c r="I1326" i="2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I1346" i="2"/>
  <c r="J1346" i="2" s="1"/>
  <c r="I1347" i="2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I1383" i="2"/>
  <c r="J1383" i="2" s="1"/>
  <c r="I1384" i="2"/>
  <c r="I1385" i="2"/>
  <c r="J1385" i="2" s="1"/>
  <c r="I1386" i="2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I1394" i="2"/>
  <c r="J1394" i="2" s="1"/>
  <c r="I1395" i="2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I1415" i="2"/>
  <c r="J1415" i="2" s="1"/>
  <c r="I1416" i="2"/>
  <c r="J1416" i="2" s="1"/>
  <c r="I1417" i="2"/>
  <c r="J1417" i="2" s="1"/>
  <c r="I1418" i="2"/>
  <c r="J1418" i="2" s="1"/>
  <c r="I1419" i="2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I1444" i="2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I1467" i="2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I1492" i="2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I1528" i="2"/>
  <c r="I1529" i="2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I1540" i="2"/>
  <c r="J1540" i="2" s="1"/>
  <c r="I1541" i="2"/>
  <c r="J1541" i="2" s="1"/>
  <c r="I1542" i="2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I1574" i="2"/>
  <c r="J1574" i="2" s="1"/>
  <c r="I1575" i="2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I1583" i="2"/>
  <c r="J1583" i="2" s="1"/>
  <c r="I1584" i="2"/>
  <c r="I1585" i="2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I1600" i="2"/>
  <c r="J1600" i="2" s="1"/>
  <c r="I1601" i="2"/>
  <c r="J1601" i="2" s="1"/>
  <c r="I1602" i="2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I1610" i="2"/>
  <c r="J1610" i="2" s="1"/>
  <c r="I1611" i="2"/>
  <c r="J1611" i="2" s="1"/>
  <c r="I1612" i="2"/>
  <c r="J1612" i="2" s="1"/>
  <c r="I1613" i="2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I1621" i="2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I1658" i="2"/>
  <c r="J1658" i="2" s="1"/>
  <c r="I1659" i="2"/>
  <c r="J1659" i="2" s="1"/>
  <c r="I1660" i="2"/>
  <c r="I1661" i="2"/>
  <c r="J1661" i="2" s="1"/>
  <c r="I1662" i="2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I1680" i="2"/>
  <c r="J1680" i="2" s="1"/>
  <c r="I1681" i="2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I1706" i="2"/>
  <c r="I1707" i="2"/>
  <c r="I1708" i="2"/>
  <c r="J1708" i="2" s="1"/>
  <c r="I1709" i="2"/>
  <c r="J1709" i="2" s="1"/>
  <c r="I1710" i="2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I1729" i="2"/>
  <c r="J1729" i="2" s="1"/>
  <c r="I1730" i="2"/>
  <c r="J1730" i="2" s="1"/>
  <c r="I1731" i="2"/>
  <c r="J1731" i="2" s="1"/>
  <c r="I1732" i="2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I1742" i="2"/>
  <c r="J1742" i="2" s="1"/>
  <c r="I1743" i="2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I1764" i="2"/>
  <c r="I1765" i="2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I1778" i="2"/>
  <c r="J1778" i="2" s="1"/>
  <c r="I1779" i="2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I1790" i="2"/>
  <c r="J1790" i="2" s="1"/>
  <c r="I1791" i="2"/>
  <c r="J1791" i="2" s="1"/>
  <c r="I1792" i="2"/>
  <c r="J1792" i="2" s="1"/>
  <c r="I1793" i="2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I1802" i="2"/>
  <c r="J1802" i="2" s="1"/>
  <c r="I1803" i="2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I1828" i="2"/>
  <c r="J1828" i="2" s="1"/>
  <c r="I1829" i="2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I1850" i="2"/>
  <c r="J1850" i="2" s="1"/>
  <c r="I1851" i="2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I1885" i="2"/>
  <c r="J1885" i="2" s="1"/>
  <c r="I1886" i="2"/>
  <c r="I1887" i="2"/>
  <c r="I1888" i="2"/>
  <c r="J1888" i="2" s="1"/>
  <c r="I1889" i="2"/>
  <c r="J1889" i="2" s="1"/>
  <c r="I1890" i="2"/>
  <c r="I1891" i="2"/>
  <c r="J1891" i="2" s="1"/>
  <c r="I1892" i="2"/>
  <c r="J1892" i="2" s="1"/>
  <c r="I1893" i="2"/>
  <c r="J1893" i="2" s="1"/>
  <c r="I1894" i="2"/>
  <c r="J1894" i="2" s="1"/>
  <c r="I1895" i="2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I1913" i="2"/>
  <c r="J1913" i="2" s="1"/>
  <c r="I1914" i="2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I1922" i="2"/>
  <c r="I1923" i="2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I1970" i="2"/>
  <c r="J1970" i="2" s="1"/>
  <c r="I1971" i="2"/>
  <c r="I1972" i="2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I2032" i="2"/>
  <c r="I2033" i="2"/>
  <c r="J2033" i="2" s="1"/>
  <c r="I2034" i="2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I2052" i="2"/>
  <c r="J2052" i="2" s="1"/>
  <c r="I2053" i="2"/>
  <c r="I2054" i="2"/>
  <c r="J2054" i="2" s="1"/>
  <c r="I2055" i="2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I2065" i="2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I2087" i="2"/>
  <c r="J2087" i="2" s="1"/>
  <c r="I2088" i="2"/>
  <c r="J2088" i="2" s="1"/>
  <c r="I2089" i="2"/>
  <c r="I2090" i="2"/>
  <c r="J2090" i="2" s="1"/>
  <c r="I2091" i="2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I2104" i="2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I2149" i="2"/>
  <c r="I2150" i="2"/>
  <c r="J2150" i="2" s="1"/>
  <c r="I2151" i="2"/>
  <c r="I2152" i="2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I2161" i="2"/>
  <c r="J2161" i="2" s="1"/>
  <c r="I2162" i="2"/>
  <c r="J2162" i="2" s="1"/>
  <c r="I2163" i="2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I2186" i="2"/>
  <c r="I2187" i="2"/>
  <c r="J2187" i="2" s="1"/>
  <c r="I2188" i="2"/>
  <c r="I2189" i="2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I2198" i="2"/>
  <c r="J2198" i="2" s="1"/>
  <c r="I2199" i="2"/>
  <c r="J2199" i="2" s="1"/>
  <c r="I2200" i="2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I2233" i="2"/>
  <c r="J2233" i="2" s="1"/>
  <c r="I2234" i="2"/>
  <c r="J2234" i="2" s="1"/>
  <c r="I2235" i="2"/>
  <c r="I2236" i="2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I2260" i="2"/>
  <c r="J2260" i="2" s="1"/>
  <c r="I2261" i="2"/>
  <c r="J2261" i="2" s="1"/>
  <c r="I2262" i="2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I2269" i="2"/>
  <c r="I2270" i="2"/>
  <c r="J2270" i="2" s="1"/>
  <c r="I2271" i="2"/>
  <c r="J2271" i="2" s="1"/>
  <c r="I2272" i="2"/>
  <c r="I2273" i="2"/>
  <c r="J2273" i="2" s="1"/>
  <c r="I2274" i="2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I2282" i="2"/>
  <c r="J2282" i="2" s="1"/>
  <c r="I2283" i="2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I2296" i="2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I2318" i="2"/>
  <c r="J2318" i="2" s="1"/>
  <c r="I2319" i="2"/>
  <c r="J2319" i="2" s="1"/>
  <c r="I2320" i="2"/>
  <c r="J2320" i="2" s="1"/>
  <c r="I2321" i="2"/>
  <c r="J2321" i="2" s="1"/>
  <c r="I2322" i="2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I2331" i="2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I2342" i="2"/>
  <c r="J2342" i="2" s="1"/>
  <c r="I2343" i="2"/>
  <c r="I2344" i="2"/>
  <c r="I2345" i="2"/>
  <c r="J2345" i="2" s="1"/>
  <c r="I2346" i="2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I2367" i="2"/>
  <c r="I2368" i="2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I2378" i="2"/>
  <c r="J2378" i="2" s="1"/>
  <c r="I2379" i="2"/>
  <c r="J2379" i="2" s="1"/>
  <c r="I2380" i="2"/>
  <c r="J2380" i="2" s="1"/>
  <c r="I2381" i="2"/>
  <c r="I2382" i="2"/>
  <c r="I2383" i="2"/>
  <c r="J2383" i="2" s="1"/>
  <c r="I2384" i="2"/>
  <c r="I2385" i="2"/>
  <c r="J2385" i="2" s="1"/>
  <c r="I2386" i="2"/>
  <c r="J2386" i="2" s="1"/>
  <c r="I2387" i="2"/>
  <c r="J2387" i="2" s="1"/>
  <c r="I2388" i="2"/>
  <c r="J2388" i="2" s="1"/>
  <c r="I2389" i="2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I2402" i="2"/>
  <c r="J2402" i="2" s="1"/>
  <c r="I2403" i="2"/>
  <c r="J2403" i="2" s="1"/>
  <c r="I2404" i="2"/>
  <c r="J2404" i="2" s="1"/>
  <c r="I2405" i="2"/>
  <c r="J2405" i="2" s="1"/>
  <c r="I2406" i="2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I2414" i="2"/>
  <c r="J2414" i="2" s="1"/>
  <c r="I2415" i="2"/>
  <c r="I2416" i="2"/>
  <c r="J2416" i="2" s="1"/>
  <c r="I2417" i="2"/>
  <c r="J2417" i="2" s="1"/>
  <c r="I2418" i="2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I2438" i="2"/>
  <c r="J2438" i="2" s="1"/>
  <c r="I2439" i="2"/>
  <c r="J2439" i="2" s="1"/>
  <c r="I2440" i="2"/>
  <c r="J2440" i="2" s="1"/>
  <c r="I2441" i="2"/>
  <c r="J2441" i="2" s="1"/>
  <c r="I2442" i="2"/>
  <c r="I2443" i="2"/>
  <c r="J2443" i="2" s="1"/>
  <c r="I2444" i="2"/>
  <c r="J2444" i="2" s="1"/>
  <c r="I2445" i="2"/>
  <c r="J2445" i="2" s="1"/>
  <c r="I2446" i="2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I2474" i="2"/>
  <c r="J2474" i="2" s="1"/>
  <c r="I2475" i="2"/>
  <c r="J2475" i="2" s="1"/>
  <c r="I2476" i="2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I2486" i="2"/>
  <c r="J2486" i="2" s="1"/>
  <c r="I2487" i="2"/>
  <c r="I2488" i="2"/>
  <c r="I2489" i="2"/>
  <c r="J2489" i="2" s="1"/>
  <c r="I2490" i="2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I2510" i="2"/>
  <c r="I2511" i="2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I2519" i="2"/>
  <c r="J2519" i="2" s="1"/>
  <c r="I2520" i="2"/>
  <c r="J2520" i="2" s="1"/>
  <c r="I2521" i="2"/>
  <c r="J2521" i="2" s="1"/>
  <c r="I2522" i="2"/>
  <c r="J2522" i="2" s="1"/>
  <c r="I2523" i="2"/>
  <c r="I2524" i="2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I2534" i="2"/>
  <c r="I2535" i="2"/>
  <c r="J2535" i="2" s="1"/>
  <c r="I2536" i="2"/>
  <c r="J2536" i="2" s="1"/>
  <c r="I2537" i="2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I2546" i="2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I2558" i="2"/>
  <c r="J2558" i="2" s="1"/>
  <c r="I2559" i="2"/>
  <c r="J2559" i="2" s="1"/>
  <c r="I2560" i="2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I2570" i="2"/>
  <c r="J2570" i="2" s="1"/>
  <c r="I2571" i="2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I2580" i="2"/>
  <c r="J2580" i="2" s="1"/>
  <c r="I2581" i="2"/>
  <c r="I2582" i="2"/>
  <c r="J2582" i="2" s="1"/>
  <c r="I2583" i="2"/>
  <c r="J2583" i="2" s="1"/>
  <c r="I2584" i="2"/>
  <c r="J2584" i="2" s="1"/>
  <c r="I2585" i="2"/>
  <c r="J2585" i="2" s="1"/>
  <c r="I2586" i="2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I2606" i="2"/>
  <c r="J2606" i="2" s="1"/>
  <c r="I2607" i="2"/>
  <c r="I2608" i="2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I2616" i="2"/>
  <c r="J2616" i="2" s="1"/>
  <c r="I2617" i="2"/>
  <c r="I2618" i="2"/>
  <c r="J2618" i="2" s="1"/>
  <c r="I2619" i="2"/>
  <c r="I2620" i="2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I2630" i="2"/>
  <c r="J2630" i="2" s="1"/>
  <c r="I2631" i="2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I2654" i="2"/>
  <c r="J2654" i="2" s="1"/>
  <c r="I2655" i="2"/>
  <c r="J2655" i="2" s="1"/>
  <c r="I2656" i="2"/>
  <c r="I2657" i="2"/>
  <c r="J2657" i="2" s="1"/>
  <c r="I2658" i="2"/>
  <c r="I2659" i="2"/>
  <c r="J2659" i="2" s="1"/>
  <c r="I2660" i="2"/>
  <c r="I2661" i="2"/>
  <c r="J2661" i="2" s="1"/>
  <c r="I2662" i="2"/>
  <c r="J2662" i="2" s="1"/>
  <c r="I2663" i="2"/>
  <c r="J2663" i="2" s="1"/>
  <c r="I2664" i="2"/>
  <c r="J2664" i="2" s="1"/>
  <c r="I2665" i="2"/>
  <c r="I2666" i="2"/>
  <c r="J2666" i="2" s="1"/>
  <c r="I2667" i="2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I2702" i="2"/>
  <c r="J2702" i="2" s="1"/>
  <c r="I2703" i="2"/>
  <c r="I2704" i="2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I2720" i="2"/>
  <c r="I2721" i="2"/>
  <c r="J2721" i="2" s="1"/>
  <c r="I2722" i="2"/>
  <c r="J2722" i="2" s="1"/>
  <c r="I2723" i="2"/>
  <c r="J2723" i="2" s="1"/>
  <c r="I2724" i="2"/>
  <c r="I2725" i="2"/>
  <c r="J2725" i="2" s="1"/>
  <c r="I2726" i="2"/>
  <c r="J2726" i="2" s="1"/>
  <c r="I2727" i="2"/>
  <c r="J2727" i="2" s="1"/>
  <c r="I2728" i="2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I2743" i="2"/>
  <c r="J2743" i="2" s="1"/>
  <c r="I2744" i="2"/>
  <c r="J2744" i="2" s="1"/>
  <c r="I2745" i="2"/>
  <c r="J2745" i="2" s="1"/>
  <c r="I2746" i="2"/>
  <c r="I2747" i="2"/>
  <c r="I2748" i="2"/>
  <c r="J2748" i="2" s="1"/>
  <c r="I2749" i="2"/>
  <c r="I2750" i="2"/>
  <c r="J2750" i="2" s="1"/>
  <c r="I2751" i="2"/>
  <c r="I2752" i="2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I2763" i="2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I2786" i="2"/>
  <c r="J2786" i="2" s="1"/>
  <c r="I2787" i="2"/>
  <c r="I2788" i="2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I2808" i="2"/>
  <c r="J2808" i="2" s="1"/>
  <c r="I2809" i="2"/>
  <c r="I2810" i="2"/>
  <c r="J2810" i="2" s="1"/>
  <c r="I2811" i="2"/>
  <c r="J2811" i="2" s="1"/>
  <c r="I2812" i="2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I2829" i="2"/>
  <c r="J2829" i="2" s="1"/>
  <c r="I2830" i="2"/>
  <c r="J2830" i="2" s="1"/>
  <c r="I2831" i="2"/>
  <c r="J2831" i="2" s="1"/>
  <c r="I2832" i="2"/>
  <c r="J2832" i="2" s="1"/>
  <c r="I2833" i="2"/>
  <c r="I2834" i="2"/>
  <c r="J2834" i="2" s="1"/>
  <c r="I2835" i="2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I2844" i="2"/>
  <c r="I2845" i="2"/>
  <c r="I2846" i="2"/>
  <c r="J2846" i="2" s="1"/>
  <c r="I2847" i="2"/>
  <c r="J2847" i="2" s="1"/>
  <c r="I2848" i="2"/>
  <c r="J2848" i="2" s="1"/>
  <c r="I2849" i="2"/>
  <c r="J2849" i="2" s="1"/>
  <c r="I2850" i="2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I2857" i="2"/>
  <c r="J2857" i="2" s="1"/>
  <c r="I2858" i="2"/>
  <c r="J2858" i="2" s="1"/>
  <c r="I2859" i="2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I2871" i="2"/>
  <c r="I2872" i="2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I2882" i="2"/>
  <c r="J2882" i="2" s="1"/>
  <c r="I2883" i="2"/>
  <c r="I2884" i="2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I2893" i="2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I2905" i="2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I2918" i="2"/>
  <c r="I2919" i="2"/>
  <c r="I2920" i="2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I2930" i="2"/>
  <c r="I2931" i="2"/>
  <c r="J2931" i="2" s="1"/>
  <c r="I2932" i="2"/>
  <c r="J2932" i="2" s="1"/>
  <c r="I2933" i="2"/>
  <c r="J2933" i="2" s="1"/>
  <c r="I2934" i="2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I2941" i="2"/>
  <c r="J2941" i="2" s="1"/>
  <c r="I2942" i="2"/>
  <c r="J2942" i="2" s="1"/>
  <c r="I2943" i="2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I2956" i="2"/>
  <c r="I2957" i="2"/>
  <c r="J2957" i="2" s="1"/>
  <c r="I2958" i="2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I2966" i="2"/>
  <c r="J2966" i="2" s="1"/>
  <c r="I2967" i="2"/>
  <c r="J2967" i="2" s="1"/>
  <c r="I2968" i="2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I2989" i="2"/>
  <c r="I2990" i="2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I3004" i="2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I3013" i="2"/>
  <c r="I3014" i="2"/>
  <c r="J3014" i="2" s="1"/>
  <c r="I3015" i="2"/>
  <c r="J3015" i="2" s="1"/>
  <c r="I3016" i="2"/>
  <c r="J3016" i="2" s="1"/>
  <c r="I3017" i="2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I3026" i="2"/>
  <c r="J3026" i="2" s="1"/>
  <c r="I3027" i="2"/>
  <c r="I3028" i="2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I3037" i="2"/>
  <c r="I3038" i="2"/>
  <c r="J3038" i="2" s="1"/>
  <c r="I3039" i="2"/>
  <c r="J3039" i="2" s="1"/>
  <c r="I3040" i="2"/>
  <c r="J3040" i="2" s="1"/>
  <c r="I3041" i="2"/>
  <c r="J3041" i="2" s="1"/>
  <c r="I3042" i="2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I3062" i="2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I3074" i="2"/>
  <c r="J3074" i="2" s="1"/>
  <c r="I3075" i="2"/>
  <c r="I3076" i="2"/>
  <c r="I3077" i="2"/>
  <c r="J3077" i="2" s="1"/>
  <c r="I3078" i="2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I3110" i="2"/>
  <c r="J3110" i="2" s="1"/>
  <c r="I3111" i="2"/>
  <c r="J3111" i="2" s="1"/>
  <c r="I3112" i="2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I3122" i="2"/>
  <c r="J3122" i="2" s="1"/>
  <c r="I3123" i="2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I3143" i="2"/>
  <c r="J3143" i="2" s="1"/>
  <c r="I3144" i="2"/>
  <c r="J3144" i="2" s="1"/>
  <c r="I3145" i="2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I3157" i="2"/>
  <c r="I3158" i="2"/>
  <c r="I3159" i="2"/>
  <c r="I3160" i="2"/>
  <c r="I3161" i="2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I3170" i="2"/>
  <c r="J3170" i="2" s="1"/>
  <c r="I3171" i="2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I3187" i="2"/>
  <c r="J3187" i="2" s="1"/>
  <c r="I3188" i="2"/>
  <c r="J3188" i="2" s="1"/>
  <c r="I3189" i="2"/>
  <c r="J3189" i="2" s="1"/>
  <c r="I3190" i="2"/>
  <c r="J3190" i="2" s="1"/>
  <c r="I3191" i="2"/>
  <c r="I3192" i="2"/>
  <c r="I3193" i="2"/>
  <c r="I3194" i="2"/>
  <c r="J3194" i="2" s="1"/>
  <c r="I3195" i="2"/>
  <c r="I3196" i="2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I3218" i="2"/>
  <c r="J3218" i="2" s="1"/>
  <c r="I3219" i="2"/>
  <c r="J3219" i="2" s="1"/>
  <c r="I3220" i="2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I3227" i="2"/>
  <c r="J3227" i="2" s="1"/>
  <c r="I3228" i="2"/>
  <c r="I3229" i="2"/>
  <c r="I3230" i="2"/>
  <c r="J3230" i="2" s="1"/>
  <c r="I3231" i="2"/>
  <c r="J3231" i="2" s="1"/>
  <c r="I3232" i="2"/>
  <c r="I3233" i="2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I3241" i="2"/>
  <c r="J3241" i="2" s="1"/>
  <c r="I3242" i="2"/>
  <c r="J3242" i="2" s="1"/>
  <c r="I3243" i="2"/>
  <c r="I3244" i="2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I3253" i="2"/>
  <c r="I3254" i="2"/>
  <c r="J3254" i="2" s="1"/>
  <c r="I3255" i="2"/>
  <c r="J3255" i="2" s="1"/>
  <c r="I3256" i="2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I3271" i="2"/>
  <c r="J3271" i="2" s="1"/>
  <c r="I3272" i="2"/>
  <c r="I3273" i="2"/>
  <c r="J3273" i="2" s="1"/>
  <c r="I3274" i="2"/>
  <c r="J3274" i="2" s="1"/>
  <c r="I3275" i="2"/>
  <c r="J3275" i="2" s="1"/>
  <c r="I3276" i="2"/>
  <c r="J3276" i="2" s="1"/>
  <c r="I3277" i="2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I3288" i="2"/>
  <c r="I3289" i="2"/>
  <c r="J3289" i="2" s="1"/>
  <c r="I3290" i="2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I3302" i="2"/>
  <c r="I3303" i="2"/>
  <c r="I3304" i="2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I3316" i="2"/>
  <c r="I3317" i="2"/>
  <c r="J3317" i="2" s="1"/>
  <c r="I3318" i="2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I3325" i="2"/>
  <c r="I3326" i="2"/>
  <c r="I3327" i="2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I3341" i="2"/>
  <c r="J3341" i="2" s="1"/>
  <c r="I3342" i="2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I3350" i="2"/>
  <c r="J3350" i="2" s="1"/>
  <c r="I3351" i="2"/>
  <c r="I3352" i="2"/>
  <c r="I3353" i="2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I3362" i="2"/>
  <c r="I3363" i="2"/>
  <c r="J3363" i="2" s="1"/>
  <c r="I3364" i="2"/>
  <c r="J3364" i="2" s="1"/>
  <c r="I3365" i="2"/>
  <c r="I3366" i="2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I3376" i="2"/>
  <c r="J3376" i="2" s="1"/>
  <c r="I3377" i="2"/>
  <c r="J3377" i="2" s="1"/>
  <c r="I3378" i="2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I3396" i="2"/>
  <c r="I3397" i="2"/>
  <c r="J3397" i="2" s="1"/>
  <c r="I3398" i="2"/>
  <c r="J3398" i="2" s="1"/>
  <c r="I3399" i="2"/>
  <c r="J3399" i="2" s="1"/>
  <c r="I3400" i="2"/>
  <c r="I3401" i="2"/>
  <c r="J3401" i="2" s="1"/>
  <c r="I3402" i="2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I3410" i="2"/>
  <c r="I3411" i="2"/>
  <c r="I3412" i="2"/>
  <c r="J3412" i="2" s="1"/>
  <c r="I3413" i="2"/>
  <c r="J3413" i="2" s="1"/>
  <c r="I3414" i="2"/>
  <c r="J3414" i="2" s="1"/>
  <c r="I3415" i="2"/>
  <c r="J3415" i="2" s="1"/>
  <c r="I3416" i="2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I3444" i="2"/>
  <c r="J3444" i="2" s="1"/>
  <c r="I3445" i="2"/>
  <c r="J3445" i="2" s="1"/>
  <c r="I3446" i="2"/>
  <c r="J3446" i="2" s="1"/>
  <c r="I3447" i="2"/>
  <c r="J3447" i="2" s="1"/>
  <c r="I3448" i="2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I3456" i="2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I3470" i="2"/>
  <c r="I3471" i="2"/>
  <c r="I3472" i="2"/>
  <c r="I3473" i="2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I3482" i="2"/>
  <c r="J3482" i="2" s="1"/>
  <c r="I3483" i="2"/>
  <c r="J3483" i="2" s="1"/>
  <c r="I3484" i="2"/>
  <c r="I3485" i="2"/>
  <c r="J3485" i="2" s="1"/>
  <c r="I3486" i="2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I3495" i="2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I3506" i="2"/>
  <c r="J3506" i="2" s="1"/>
  <c r="I3507" i="2"/>
  <c r="I3508" i="2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I3521" i="2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I3528" i="2"/>
  <c r="J3528" i="2" s="1"/>
  <c r="I3529" i="2"/>
  <c r="I3530" i="2"/>
  <c r="J3530" i="2" s="1"/>
  <c r="I3531" i="2"/>
  <c r="J3531" i="2" s="1"/>
  <c r="I3532" i="2"/>
  <c r="J3532" i="2" s="1"/>
  <c r="I3533" i="2"/>
  <c r="J3533" i="2" s="1"/>
  <c r="I3534" i="2"/>
  <c r="I3535" i="2"/>
  <c r="J3535" i="2" s="1"/>
  <c r="I3536" i="2"/>
  <c r="J3536" i="2" s="1"/>
  <c r="I3537" i="2"/>
  <c r="J3537" i="2" s="1"/>
  <c r="I3538" i="2"/>
  <c r="J3538" i="2" s="1"/>
  <c r="I3539" i="2"/>
  <c r="I3540" i="2"/>
  <c r="J3540" i="2" s="1"/>
  <c r="I3541" i="2"/>
  <c r="I3542" i="2"/>
  <c r="J3542" i="2" s="1"/>
  <c r="I3543" i="2"/>
  <c r="J3543" i="2" s="1"/>
  <c r="I3544" i="2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I3559" i="2"/>
  <c r="J3559" i="2" s="1"/>
  <c r="I3560" i="2"/>
  <c r="J3560" i="2" s="1"/>
  <c r="I3561" i="2"/>
  <c r="J3561" i="2" s="1"/>
  <c r="I3562" i="2"/>
  <c r="I3563" i="2"/>
  <c r="J3563" i="2" s="1"/>
  <c r="I3564" i="2"/>
  <c r="J3564" i="2" s="1"/>
  <c r="I3565" i="2"/>
  <c r="I3566" i="2"/>
  <c r="J3566" i="2" s="1"/>
  <c r="I3567" i="2"/>
  <c r="I3568" i="2"/>
  <c r="I3569" i="2"/>
  <c r="J3569" i="2" s="1"/>
  <c r="I3570" i="2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I3590" i="2"/>
  <c r="J3590" i="2" s="1"/>
  <c r="I3591" i="2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I3601" i="2"/>
  <c r="I3602" i="2"/>
  <c r="J3602" i="2" s="1"/>
  <c r="I3603" i="2"/>
  <c r="J3603" i="2" s="1"/>
  <c r="I3604" i="2"/>
  <c r="I3605" i="2"/>
  <c r="J3605" i="2" s="1"/>
  <c r="I3606" i="2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I3614" i="2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I3628" i="2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I3637" i="2"/>
  <c r="I3638" i="2"/>
  <c r="J3638" i="2" s="1"/>
  <c r="I3639" i="2"/>
  <c r="J3639" i="2" s="1"/>
  <c r="I3640" i="2"/>
  <c r="I3641" i="2"/>
  <c r="I3642" i="2"/>
  <c r="I3643" i="2"/>
  <c r="J3643" i="2" s="1"/>
  <c r="I3644" i="2"/>
  <c r="J3644" i="2" s="1"/>
  <c r="I3645" i="2"/>
  <c r="J3645" i="2" s="1"/>
  <c r="E133" i="2"/>
  <c r="E183" i="2"/>
  <c r="E410" i="2"/>
  <c r="E590" i="2"/>
  <c r="E627" i="2"/>
  <c r="E758" i="2"/>
  <c r="E830" i="2"/>
  <c r="E855" i="2"/>
  <c r="E867" i="2"/>
  <c r="E879" i="2"/>
  <c r="E890" i="2"/>
  <c r="E1034" i="2"/>
  <c r="E1059" i="2"/>
  <c r="E1145" i="2"/>
  <c r="E1147" i="2"/>
  <c r="E1178" i="2"/>
  <c r="E1180" i="2"/>
  <c r="E1322" i="2"/>
  <c r="E1346" i="2"/>
  <c r="E1369" i="2"/>
  <c r="E1381" i="2"/>
  <c r="E1406" i="2"/>
  <c r="E1613" i="2"/>
  <c r="E1659" i="2"/>
  <c r="E1711" i="2"/>
  <c r="E1874" i="2"/>
  <c r="E1887" i="2"/>
  <c r="E1899" i="2"/>
  <c r="E1900" i="2"/>
  <c r="E1925" i="2"/>
  <c r="E2054" i="2"/>
  <c r="E2132" i="2"/>
  <c r="E2175" i="2"/>
  <c r="E2177" i="2"/>
  <c r="E2355" i="2"/>
  <c r="E2378" i="2"/>
  <c r="E2608" i="2"/>
  <c r="E2619" i="2"/>
  <c r="E2629" i="2"/>
  <c r="E2762" i="2"/>
  <c r="E2775" i="2"/>
  <c r="E2786" i="2"/>
  <c r="E2810" i="2"/>
  <c r="E3005" i="2"/>
  <c r="E3025" i="2"/>
  <c r="E3086" i="2"/>
  <c r="E3145" i="2"/>
  <c r="E3149" i="2"/>
  <c r="E3170" i="2"/>
  <c r="E3313" i="2"/>
  <c r="E3361" i="2"/>
  <c r="E3386" i="2"/>
  <c r="E3519" i="2"/>
  <c r="E3529" i="2"/>
  <c r="E353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E123" i="2" s="1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E148" i="2" s="1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E208" i="2" s="1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E280" i="2" s="1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E316" i="2" s="1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E435" i="2" s="1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E484" i="2" s="1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E580" i="2" s="1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E795" i="2" s="1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E844" i="2" s="1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E1108" i="2" s="1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E1204" i="2" s="1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E1312" i="2" s="1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E1396" i="2" s="1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E1441" i="2" s="1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E1525" i="2" s="1"/>
  <c r="D1526" i="2"/>
  <c r="D1527" i="2"/>
  <c r="D1528" i="2"/>
  <c r="E1528" i="2" s="1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E1540" i="2" s="1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E1564" i="2" s="1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E1609" i="2" s="1"/>
  <c r="D1610" i="2"/>
  <c r="D1611" i="2"/>
  <c r="E1611" i="2" s="1"/>
  <c r="D1612" i="2"/>
  <c r="E1612" i="2" s="1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E1648" i="2" s="1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E1672" i="2" s="1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E1693" i="2" s="1"/>
  <c r="D1694" i="2"/>
  <c r="D1695" i="2"/>
  <c r="D1696" i="2"/>
  <c r="E1696" i="2" s="1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E1753" i="2" s="1"/>
  <c r="D1754" i="2"/>
  <c r="D1755" i="2"/>
  <c r="D1756" i="2"/>
  <c r="E1756" i="2" s="1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E1780" i="2" s="1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E1816" i="2" s="1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E1837" i="2" s="1"/>
  <c r="D1838" i="2"/>
  <c r="D1839" i="2"/>
  <c r="D1840" i="2"/>
  <c r="E1840" i="2" s="1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E1864" i="2" s="1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E1909" i="2" s="1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E1924" i="2" s="1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E2039" i="2" s="1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E2056" i="2" s="1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E2080" i="2" s="1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E2104" i="2" s="1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E2125" i="2" s="1"/>
  <c r="D2126" i="2"/>
  <c r="D2127" i="2"/>
  <c r="D2128" i="2"/>
  <c r="E2128" i="2" s="1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E2149" i="2" s="1"/>
  <c r="D2150" i="2"/>
  <c r="D2151" i="2"/>
  <c r="D2152" i="2"/>
  <c r="E2152" i="2" s="1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E2176" i="2" s="1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E2284" i="2" s="1"/>
  <c r="D2285" i="2"/>
  <c r="D2286" i="2"/>
  <c r="D2287" i="2"/>
  <c r="D2288" i="2"/>
  <c r="D2289" i="2"/>
  <c r="D2290" i="2"/>
  <c r="D2291" i="2"/>
  <c r="D2292" i="2"/>
  <c r="D2293" i="2"/>
  <c r="E2293" i="2" s="1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E2333" i="2" s="1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E2357" i="2" s="1"/>
  <c r="D2358" i="2"/>
  <c r="D2359" i="2"/>
  <c r="D2360" i="2"/>
  <c r="D2361" i="2"/>
  <c r="D2362" i="2"/>
  <c r="D2363" i="2"/>
  <c r="D2364" i="2"/>
  <c r="D2365" i="2"/>
  <c r="E2365" i="2" s="1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E2413" i="2" s="1"/>
  <c r="D2414" i="2"/>
  <c r="D2415" i="2"/>
  <c r="D2416" i="2"/>
  <c r="E2416" i="2" s="1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E2461" i="2" s="1"/>
  <c r="D2462" i="2"/>
  <c r="D2463" i="2"/>
  <c r="D2464" i="2"/>
  <c r="E2464" i="2" s="1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E2485" i="2" s="1"/>
  <c r="D2486" i="2"/>
  <c r="D2487" i="2"/>
  <c r="D2488" i="2"/>
  <c r="E2488" i="2" s="1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E2509" i="2" s="1"/>
  <c r="D2510" i="2"/>
  <c r="D2511" i="2"/>
  <c r="E2511" i="2" s="1"/>
  <c r="D2512" i="2"/>
  <c r="E2512" i="2" s="1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E2536" i="2" s="1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E2560" i="2" s="1"/>
  <c r="D2561" i="2"/>
  <c r="D2562" i="2"/>
  <c r="D2563" i="2"/>
  <c r="D2564" i="2"/>
  <c r="D2565" i="2"/>
  <c r="D2566" i="2"/>
  <c r="D2567" i="2"/>
  <c r="D2568" i="2"/>
  <c r="D2569" i="2"/>
  <c r="E2569" i="2" s="1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E2617" i="2" s="1"/>
  <c r="D2618" i="2"/>
  <c r="D2619" i="2"/>
  <c r="D2620" i="2"/>
  <c r="E2620" i="2" s="1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E2665" i="2" s="1"/>
  <c r="D2666" i="2"/>
  <c r="D2667" i="2"/>
  <c r="D2668" i="2"/>
  <c r="E2668" i="2" s="1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E2713" i="2" s="1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E2737" i="2" s="1"/>
  <c r="D2738" i="2"/>
  <c r="D2739" i="2"/>
  <c r="D2740" i="2"/>
  <c r="E2740" i="2" s="1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E2785" i="2" s="1"/>
  <c r="D2786" i="2"/>
  <c r="D2787" i="2"/>
  <c r="D2788" i="2"/>
  <c r="E2788" i="2" s="1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E2836" i="2" s="1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E2869" i="2" s="1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E2896" i="2" s="1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E2920" i="2" s="1"/>
  <c r="D2921" i="2"/>
  <c r="E2921" i="2" s="1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E2953" i="2" s="1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E2980" i="2" s="1"/>
  <c r="D2981" i="2"/>
  <c r="E2981" i="2" s="1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E3040" i="2" s="1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E3123" i="2" s="1"/>
  <c r="D3124" i="2"/>
  <c r="E3124" i="2" s="1"/>
  <c r="D3125" i="2"/>
  <c r="E3125" i="2" s="1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E3157" i="2" s="1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E3181" i="2" s="1"/>
  <c r="D3182" i="2"/>
  <c r="D3183" i="2"/>
  <c r="D3184" i="2"/>
  <c r="E3184" i="2" s="1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E3205" i="2" s="1"/>
  <c r="D3206" i="2"/>
  <c r="D3207" i="2"/>
  <c r="D3208" i="2"/>
  <c r="E3208" i="2" s="1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E3229" i="2" s="1"/>
  <c r="D3230" i="2"/>
  <c r="D3231" i="2"/>
  <c r="D3232" i="2"/>
  <c r="E3232" i="2" s="1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E3268" i="2" s="1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E3289" i="2" s="1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E3341" i="2" s="1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E3373" i="2" s="1"/>
  <c r="D3374" i="2"/>
  <c r="D3375" i="2"/>
  <c r="D3376" i="2"/>
  <c r="E3376" i="2" s="1"/>
  <c r="D3377" i="2"/>
  <c r="E3377" i="2" s="1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E3400" i="2" s="1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E3471" i="2" s="1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E3484" i="2" s="1"/>
  <c r="D3485" i="2"/>
  <c r="E3485" i="2" s="1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E3544" i="2" s="1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E3577" i="2" s="1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E3604" i="2" s="1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E3625" i="2" s="1"/>
  <c r="D3626" i="2"/>
  <c r="D3627" i="2"/>
  <c r="E3627" i="2" s="1"/>
  <c r="D3628" i="2"/>
  <c r="E3628" i="2" s="1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C2" i="2"/>
  <c r="E2" i="2" s="1"/>
  <c r="C3" i="2"/>
  <c r="C4" i="2"/>
  <c r="C5" i="2"/>
  <c r="E5" i="2" s="1"/>
  <c r="C6" i="2"/>
  <c r="C7" i="2"/>
  <c r="E7" i="2" s="1"/>
  <c r="C8" i="2"/>
  <c r="C9" i="2"/>
  <c r="C10" i="2"/>
  <c r="E10" i="2" s="1"/>
  <c r="C11" i="2"/>
  <c r="C12" i="2"/>
  <c r="E12" i="2" s="1"/>
  <c r="C13" i="2"/>
  <c r="E13" i="2" s="1"/>
  <c r="C14" i="2"/>
  <c r="E14" i="2" s="1"/>
  <c r="C15" i="2"/>
  <c r="C16" i="2"/>
  <c r="C17" i="2"/>
  <c r="E17" i="2" s="1"/>
  <c r="C18" i="2"/>
  <c r="C19" i="2"/>
  <c r="C20" i="2"/>
  <c r="C21" i="2"/>
  <c r="C22" i="2"/>
  <c r="E22" i="2" s="1"/>
  <c r="C23" i="2"/>
  <c r="C24" i="2"/>
  <c r="E24" i="2" s="1"/>
  <c r="C25" i="2"/>
  <c r="E25" i="2" s="1"/>
  <c r="C26" i="2"/>
  <c r="E26" i="2" s="1"/>
  <c r="C27" i="2"/>
  <c r="C28" i="2"/>
  <c r="C29" i="2"/>
  <c r="E29" i="2" s="1"/>
  <c r="C30" i="2"/>
  <c r="C31" i="2"/>
  <c r="C32" i="2"/>
  <c r="C33" i="2"/>
  <c r="C34" i="2"/>
  <c r="E34" i="2" s="1"/>
  <c r="C35" i="2"/>
  <c r="C36" i="2"/>
  <c r="E36" i="2" s="1"/>
  <c r="C37" i="2"/>
  <c r="E37" i="2" s="1"/>
  <c r="C38" i="2"/>
  <c r="E38" i="2" s="1"/>
  <c r="C39" i="2"/>
  <c r="C40" i="2"/>
  <c r="C41" i="2"/>
  <c r="E41" i="2" s="1"/>
  <c r="C42" i="2"/>
  <c r="C43" i="2"/>
  <c r="C44" i="2"/>
  <c r="C45" i="2"/>
  <c r="E45" i="2" s="1"/>
  <c r="C46" i="2"/>
  <c r="E46" i="2" s="1"/>
  <c r="C47" i="2"/>
  <c r="C48" i="2"/>
  <c r="C49" i="2"/>
  <c r="E49" i="2" s="1"/>
  <c r="C50" i="2"/>
  <c r="E50" i="2" s="1"/>
  <c r="C51" i="2"/>
  <c r="C52" i="2"/>
  <c r="C53" i="2"/>
  <c r="E53" i="2" s="1"/>
  <c r="C54" i="2"/>
  <c r="C55" i="2"/>
  <c r="C56" i="2"/>
  <c r="C57" i="2"/>
  <c r="C58" i="2"/>
  <c r="E58" i="2" s="1"/>
  <c r="C59" i="2"/>
  <c r="C60" i="2"/>
  <c r="C61" i="2"/>
  <c r="E61" i="2" s="1"/>
  <c r="C62" i="2"/>
  <c r="E62" i="2" s="1"/>
  <c r="C63" i="2"/>
  <c r="C64" i="2"/>
  <c r="C65" i="2"/>
  <c r="E65" i="2" s="1"/>
  <c r="C66" i="2"/>
  <c r="C67" i="2"/>
  <c r="C68" i="2"/>
  <c r="C69" i="2"/>
  <c r="C70" i="2"/>
  <c r="E70" i="2" s="1"/>
  <c r="C71" i="2"/>
  <c r="C72" i="2"/>
  <c r="E72" i="2" s="1"/>
  <c r="C73" i="2"/>
  <c r="E73" i="2" s="1"/>
  <c r="C74" i="2"/>
  <c r="E74" i="2" s="1"/>
  <c r="C75" i="2"/>
  <c r="C76" i="2"/>
  <c r="C77" i="2"/>
  <c r="E77" i="2" s="1"/>
  <c r="C78" i="2"/>
  <c r="C79" i="2"/>
  <c r="C80" i="2"/>
  <c r="C81" i="2"/>
  <c r="E81" i="2" s="1"/>
  <c r="C82" i="2"/>
  <c r="E82" i="2" s="1"/>
  <c r="C83" i="2"/>
  <c r="C84" i="2"/>
  <c r="C85" i="2"/>
  <c r="E85" i="2" s="1"/>
  <c r="C86" i="2"/>
  <c r="E86" i="2" s="1"/>
  <c r="C87" i="2"/>
  <c r="C88" i="2"/>
  <c r="C89" i="2"/>
  <c r="E89" i="2" s="1"/>
  <c r="C90" i="2"/>
  <c r="C91" i="2"/>
  <c r="C92" i="2"/>
  <c r="C93" i="2"/>
  <c r="E93" i="2" s="1"/>
  <c r="C94" i="2"/>
  <c r="E94" i="2" s="1"/>
  <c r="C95" i="2"/>
  <c r="C96" i="2"/>
  <c r="C97" i="2"/>
  <c r="E97" i="2" s="1"/>
  <c r="C98" i="2"/>
  <c r="E98" i="2" s="1"/>
  <c r="C99" i="2"/>
  <c r="C100" i="2"/>
  <c r="C101" i="2"/>
  <c r="E101" i="2" s="1"/>
  <c r="C102" i="2"/>
  <c r="C103" i="2"/>
  <c r="C104" i="2"/>
  <c r="C105" i="2"/>
  <c r="E105" i="2" s="1"/>
  <c r="C106" i="2"/>
  <c r="E106" i="2" s="1"/>
  <c r="C107" i="2"/>
  <c r="C108" i="2"/>
  <c r="E108" i="2" s="1"/>
  <c r="C109" i="2"/>
  <c r="E109" i="2" s="1"/>
  <c r="C110" i="2"/>
  <c r="E110" i="2" s="1"/>
  <c r="C111" i="2"/>
  <c r="C112" i="2"/>
  <c r="C113" i="2"/>
  <c r="E113" i="2" s="1"/>
  <c r="C114" i="2"/>
  <c r="C115" i="2"/>
  <c r="C116" i="2"/>
  <c r="C117" i="2"/>
  <c r="C118" i="2"/>
  <c r="E118" i="2" s="1"/>
  <c r="C119" i="2"/>
  <c r="C120" i="2"/>
  <c r="C121" i="2"/>
  <c r="E121" i="2" s="1"/>
  <c r="C122" i="2"/>
  <c r="E122" i="2" s="1"/>
  <c r="C123" i="2"/>
  <c r="C124" i="2"/>
  <c r="C125" i="2"/>
  <c r="E125" i="2" s="1"/>
  <c r="C126" i="2"/>
  <c r="C127" i="2"/>
  <c r="C128" i="2"/>
  <c r="C129" i="2"/>
  <c r="E129" i="2" s="1"/>
  <c r="C130" i="2"/>
  <c r="E130" i="2" s="1"/>
  <c r="C131" i="2"/>
  <c r="C132" i="2"/>
  <c r="C133" i="2"/>
  <c r="C134" i="2"/>
  <c r="E134" i="2" s="1"/>
  <c r="C135" i="2"/>
  <c r="C136" i="2"/>
  <c r="C137" i="2"/>
  <c r="E137" i="2" s="1"/>
  <c r="C138" i="2"/>
  <c r="C139" i="2"/>
  <c r="C140" i="2"/>
  <c r="C141" i="2"/>
  <c r="C142" i="2"/>
  <c r="E142" i="2" s="1"/>
  <c r="C143" i="2"/>
  <c r="C144" i="2"/>
  <c r="E144" i="2" s="1"/>
  <c r="C145" i="2"/>
  <c r="E145" i="2" s="1"/>
  <c r="C146" i="2"/>
  <c r="E146" i="2" s="1"/>
  <c r="C147" i="2"/>
  <c r="C148" i="2"/>
  <c r="C149" i="2"/>
  <c r="E149" i="2" s="1"/>
  <c r="C150" i="2"/>
  <c r="C151" i="2"/>
  <c r="C152" i="2"/>
  <c r="C153" i="2"/>
  <c r="C154" i="2"/>
  <c r="E154" i="2" s="1"/>
  <c r="C155" i="2"/>
  <c r="C156" i="2"/>
  <c r="E156" i="2" s="1"/>
  <c r="C157" i="2"/>
  <c r="E157" i="2" s="1"/>
  <c r="C158" i="2"/>
  <c r="E158" i="2" s="1"/>
  <c r="C159" i="2"/>
  <c r="C160" i="2"/>
  <c r="C161" i="2"/>
  <c r="E161" i="2" s="1"/>
  <c r="C162" i="2"/>
  <c r="C163" i="2"/>
  <c r="C164" i="2"/>
  <c r="C165" i="2"/>
  <c r="C166" i="2"/>
  <c r="E166" i="2" s="1"/>
  <c r="C167" i="2"/>
  <c r="C168" i="2"/>
  <c r="E168" i="2" s="1"/>
  <c r="C169" i="2"/>
  <c r="E169" i="2" s="1"/>
  <c r="C170" i="2"/>
  <c r="E170" i="2" s="1"/>
  <c r="C171" i="2"/>
  <c r="C172" i="2"/>
  <c r="C173" i="2"/>
  <c r="E173" i="2" s="1"/>
  <c r="C174" i="2"/>
  <c r="C175" i="2"/>
  <c r="C176" i="2"/>
  <c r="C177" i="2"/>
  <c r="C178" i="2"/>
  <c r="E178" i="2" s="1"/>
  <c r="C179" i="2"/>
  <c r="C180" i="2"/>
  <c r="E180" i="2" s="1"/>
  <c r="C181" i="2"/>
  <c r="E181" i="2" s="1"/>
  <c r="C182" i="2"/>
  <c r="E182" i="2" s="1"/>
  <c r="C183" i="2"/>
  <c r="C184" i="2"/>
  <c r="C185" i="2"/>
  <c r="E185" i="2" s="1"/>
  <c r="C186" i="2"/>
  <c r="C187" i="2"/>
  <c r="C188" i="2"/>
  <c r="C189" i="2"/>
  <c r="E189" i="2" s="1"/>
  <c r="C190" i="2"/>
  <c r="E190" i="2" s="1"/>
  <c r="C191" i="2"/>
  <c r="C192" i="2"/>
  <c r="E192" i="2" s="1"/>
  <c r="C193" i="2"/>
  <c r="E193" i="2" s="1"/>
  <c r="C194" i="2"/>
  <c r="E194" i="2" s="1"/>
  <c r="C195" i="2"/>
  <c r="C196" i="2"/>
  <c r="C197" i="2"/>
  <c r="E197" i="2" s="1"/>
  <c r="C198" i="2"/>
  <c r="C199" i="2"/>
  <c r="C200" i="2"/>
  <c r="C201" i="2"/>
  <c r="C202" i="2"/>
  <c r="E202" i="2" s="1"/>
  <c r="C203" i="2"/>
  <c r="C204" i="2"/>
  <c r="E204" i="2" s="1"/>
  <c r="C205" i="2"/>
  <c r="E205" i="2" s="1"/>
  <c r="C206" i="2"/>
  <c r="E206" i="2" s="1"/>
  <c r="C207" i="2"/>
  <c r="C208" i="2"/>
  <c r="C209" i="2"/>
  <c r="E209" i="2" s="1"/>
  <c r="C210" i="2"/>
  <c r="C211" i="2"/>
  <c r="C212" i="2"/>
  <c r="C213" i="2"/>
  <c r="E213" i="2" s="1"/>
  <c r="C214" i="2"/>
  <c r="E214" i="2" s="1"/>
  <c r="C215" i="2"/>
  <c r="C216" i="2"/>
  <c r="E216" i="2" s="1"/>
  <c r="C217" i="2"/>
  <c r="E217" i="2" s="1"/>
  <c r="C218" i="2"/>
  <c r="E218" i="2" s="1"/>
  <c r="C219" i="2"/>
  <c r="C220" i="2"/>
  <c r="C221" i="2"/>
  <c r="E221" i="2" s="1"/>
  <c r="C222" i="2"/>
  <c r="C223" i="2"/>
  <c r="C224" i="2"/>
  <c r="C225" i="2"/>
  <c r="C226" i="2"/>
  <c r="E226" i="2" s="1"/>
  <c r="C227" i="2"/>
  <c r="C228" i="2"/>
  <c r="E228" i="2" s="1"/>
  <c r="C229" i="2"/>
  <c r="E229" i="2" s="1"/>
  <c r="C230" i="2"/>
  <c r="E230" i="2" s="1"/>
  <c r="C231" i="2"/>
  <c r="C232" i="2"/>
  <c r="C233" i="2"/>
  <c r="E233" i="2" s="1"/>
  <c r="C234" i="2"/>
  <c r="C235" i="2"/>
  <c r="C236" i="2"/>
  <c r="C237" i="2"/>
  <c r="C238" i="2"/>
  <c r="E238" i="2" s="1"/>
  <c r="C239" i="2"/>
  <c r="C240" i="2"/>
  <c r="E240" i="2" s="1"/>
  <c r="C241" i="2"/>
  <c r="E241" i="2" s="1"/>
  <c r="C242" i="2"/>
  <c r="E242" i="2" s="1"/>
  <c r="C243" i="2"/>
  <c r="C244" i="2"/>
  <c r="C245" i="2"/>
  <c r="E245" i="2" s="1"/>
  <c r="C246" i="2"/>
  <c r="C247" i="2"/>
  <c r="C248" i="2"/>
  <c r="C249" i="2"/>
  <c r="E249" i="2" s="1"/>
  <c r="C250" i="2"/>
  <c r="E250" i="2" s="1"/>
  <c r="C251" i="2"/>
  <c r="C252" i="2"/>
  <c r="E252" i="2" s="1"/>
  <c r="C253" i="2"/>
  <c r="E253" i="2" s="1"/>
  <c r="C254" i="2"/>
  <c r="E254" i="2" s="1"/>
  <c r="C255" i="2"/>
  <c r="C256" i="2"/>
  <c r="C257" i="2"/>
  <c r="E257" i="2" s="1"/>
  <c r="C258" i="2"/>
  <c r="C259" i="2"/>
  <c r="C260" i="2"/>
  <c r="C261" i="2"/>
  <c r="C262" i="2"/>
  <c r="E262" i="2" s="1"/>
  <c r="C263" i="2"/>
  <c r="C264" i="2"/>
  <c r="E264" i="2" s="1"/>
  <c r="C265" i="2"/>
  <c r="E265" i="2" s="1"/>
  <c r="C266" i="2"/>
  <c r="E266" i="2" s="1"/>
  <c r="C267" i="2"/>
  <c r="C268" i="2"/>
  <c r="C269" i="2"/>
  <c r="E269" i="2" s="1"/>
  <c r="C270" i="2"/>
  <c r="C271" i="2"/>
  <c r="C272" i="2"/>
  <c r="C273" i="2"/>
  <c r="C274" i="2"/>
  <c r="E274" i="2" s="1"/>
  <c r="C275" i="2"/>
  <c r="C276" i="2"/>
  <c r="E276" i="2" s="1"/>
  <c r="C277" i="2"/>
  <c r="E277" i="2" s="1"/>
  <c r="C278" i="2"/>
  <c r="E278" i="2" s="1"/>
  <c r="C279" i="2"/>
  <c r="C280" i="2"/>
  <c r="C281" i="2"/>
  <c r="E281" i="2" s="1"/>
  <c r="C282" i="2"/>
  <c r="C283" i="2"/>
  <c r="C284" i="2"/>
  <c r="C285" i="2"/>
  <c r="E285" i="2" s="1"/>
  <c r="C286" i="2"/>
  <c r="E286" i="2" s="1"/>
  <c r="C287" i="2"/>
  <c r="C288" i="2"/>
  <c r="E288" i="2" s="1"/>
  <c r="C289" i="2"/>
  <c r="E289" i="2" s="1"/>
  <c r="C290" i="2"/>
  <c r="E290" i="2" s="1"/>
  <c r="C291" i="2"/>
  <c r="C292" i="2"/>
  <c r="C293" i="2"/>
  <c r="E293" i="2" s="1"/>
  <c r="C294" i="2"/>
  <c r="C295" i="2"/>
  <c r="C296" i="2"/>
  <c r="C297" i="2"/>
  <c r="C298" i="2"/>
  <c r="E298" i="2" s="1"/>
  <c r="C299" i="2"/>
  <c r="C300" i="2"/>
  <c r="E300" i="2" s="1"/>
  <c r="C301" i="2"/>
  <c r="E301" i="2" s="1"/>
  <c r="C302" i="2"/>
  <c r="E302" i="2" s="1"/>
  <c r="C303" i="2"/>
  <c r="C304" i="2"/>
  <c r="C305" i="2"/>
  <c r="E305" i="2" s="1"/>
  <c r="C306" i="2"/>
  <c r="C307" i="2"/>
  <c r="C308" i="2"/>
  <c r="C309" i="2"/>
  <c r="C310" i="2"/>
  <c r="E310" i="2" s="1"/>
  <c r="C311" i="2"/>
  <c r="C312" i="2"/>
  <c r="E312" i="2" s="1"/>
  <c r="C313" i="2"/>
  <c r="E313" i="2" s="1"/>
  <c r="C314" i="2"/>
  <c r="E314" i="2" s="1"/>
  <c r="C315" i="2"/>
  <c r="C316" i="2"/>
  <c r="C317" i="2"/>
  <c r="E317" i="2" s="1"/>
  <c r="C318" i="2"/>
  <c r="C319" i="2"/>
  <c r="C320" i="2"/>
  <c r="C321" i="2"/>
  <c r="E321" i="2" s="1"/>
  <c r="C322" i="2"/>
  <c r="E322" i="2" s="1"/>
  <c r="C323" i="2"/>
  <c r="C324" i="2"/>
  <c r="E324" i="2" s="1"/>
  <c r="C325" i="2"/>
  <c r="E325" i="2" s="1"/>
  <c r="C326" i="2"/>
  <c r="E326" i="2" s="1"/>
  <c r="C327" i="2"/>
  <c r="C328" i="2"/>
  <c r="C329" i="2"/>
  <c r="E329" i="2" s="1"/>
  <c r="C330" i="2"/>
  <c r="C331" i="2"/>
  <c r="C332" i="2"/>
  <c r="C333" i="2"/>
  <c r="C334" i="2"/>
  <c r="E334" i="2" s="1"/>
  <c r="C335" i="2"/>
  <c r="C336" i="2"/>
  <c r="E336" i="2" s="1"/>
  <c r="C337" i="2"/>
  <c r="E337" i="2" s="1"/>
  <c r="C338" i="2"/>
  <c r="E338" i="2" s="1"/>
  <c r="C339" i="2"/>
  <c r="C340" i="2"/>
  <c r="C341" i="2"/>
  <c r="E341" i="2" s="1"/>
  <c r="C342" i="2"/>
  <c r="C343" i="2"/>
  <c r="C344" i="2"/>
  <c r="C345" i="2"/>
  <c r="E345" i="2" s="1"/>
  <c r="C346" i="2"/>
  <c r="E346" i="2" s="1"/>
  <c r="C347" i="2"/>
  <c r="C348" i="2"/>
  <c r="E348" i="2" s="1"/>
  <c r="C349" i="2"/>
  <c r="E349" i="2" s="1"/>
  <c r="C350" i="2"/>
  <c r="E350" i="2" s="1"/>
  <c r="C351" i="2"/>
  <c r="C352" i="2"/>
  <c r="C353" i="2"/>
  <c r="E353" i="2" s="1"/>
  <c r="C354" i="2"/>
  <c r="C355" i="2"/>
  <c r="C356" i="2"/>
  <c r="C357" i="2"/>
  <c r="E357" i="2" s="1"/>
  <c r="C358" i="2"/>
  <c r="E358" i="2" s="1"/>
  <c r="C359" i="2"/>
  <c r="C360" i="2"/>
  <c r="E360" i="2" s="1"/>
  <c r="C361" i="2"/>
  <c r="E361" i="2" s="1"/>
  <c r="C362" i="2"/>
  <c r="E362" i="2" s="1"/>
  <c r="C363" i="2"/>
  <c r="C364" i="2"/>
  <c r="C365" i="2"/>
  <c r="E365" i="2" s="1"/>
  <c r="C366" i="2"/>
  <c r="C367" i="2"/>
  <c r="C368" i="2"/>
  <c r="C369" i="2"/>
  <c r="C370" i="2"/>
  <c r="E370" i="2" s="1"/>
  <c r="C371" i="2"/>
  <c r="C372" i="2"/>
  <c r="E372" i="2" s="1"/>
  <c r="C373" i="2"/>
  <c r="E373" i="2" s="1"/>
  <c r="C374" i="2"/>
  <c r="E374" i="2" s="1"/>
  <c r="C375" i="2"/>
  <c r="C376" i="2"/>
  <c r="C377" i="2"/>
  <c r="E377" i="2" s="1"/>
  <c r="C378" i="2"/>
  <c r="C379" i="2"/>
  <c r="C380" i="2"/>
  <c r="C381" i="2"/>
  <c r="E381" i="2" s="1"/>
  <c r="C382" i="2"/>
  <c r="E382" i="2" s="1"/>
  <c r="C383" i="2"/>
  <c r="E383" i="2" s="1"/>
  <c r="C384" i="2"/>
  <c r="E384" i="2" s="1"/>
  <c r="C385" i="2"/>
  <c r="E385" i="2" s="1"/>
  <c r="C386" i="2"/>
  <c r="E386" i="2" s="1"/>
  <c r="C387" i="2"/>
  <c r="C388" i="2"/>
  <c r="C389" i="2"/>
  <c r="E389" i="2" s="1"/>
  <c r="C390" i="2"/>
  <c r="C391" i="2"/>
  <c r="E391" i="2" s="1"/>
  <c r="C392" i="2"/>
  <c r="C393" i="2"/>
  <c r="E393" i="2" s="1"/>
  <c r="C394" i="2"/>
  <c r="E394" i="2" s="1"/>
  <c r="C395" i="2"/>
  <c r="E395" i="2" s="1"/>
  <c r="C396" i="2"/>
  <c r="E396" i="2" s="1"/>
  <c r="C397" i="2"/>
  <c r="E397" i="2" s="1"/>
  <c r="C398" i="2"/>
  <c r="E398" i="2" s="1"/>
  <c r="C399" i="2"/>
  <c r="C400" i="2"/>
  <c r="C401" i="2"/>
  <c r="E401" i="2" s="1"/>
  <c r="C402" i="2"/>
  <c r="C403" i="2"/>
  <c r="C404" i="2"/>
  <c r="C405" i="2"/>
  <c r="C406" i="2"/>
  <c r="E406" i="2" s="1"/>
  <c r="C407" i="2"/>
  <c r="E407" i="2" s="1"/>
  <c r="C408" i="2"/>
  <c r="E408" i="2" s="1"/>
  <c r="C409" i="2"/>
  <c r="E409" i="2" s="1"/>
  <c r="C410" i="2"/>
  <c r="C411" i="2"/>
  <c r="C412" i="2"/>
  <c r="C413" i="2"/>
  <c r="E413" i="2" s="1"/>
  <c r="C414" i="2"/>
  <c r="C415" i="2"/>
  <c r="C416" i="2"/>
  <c r="C417" i="2"/>
  <c r="E417" i="2" s="1"/>
  <c r="C418" i="2"/>
  <c r="E418" i="2" s="1"/>
  <c r="C419" i="2"/>
  <c r="E419" i="2" s="1"/>
  <c r="C420" i="2"/>
  <c r="E420" i="2" s="1"/>
  <c r="C421" i="2"/>
  <c r="E421" i="2" s="1"/>
  <c r="C422" i="2"/>
  <c r="E422" i="2" s="1"/>
  <c r="C423" i="2"/>
  <c r="C424" i="2"/>
  <c r="C425" i="2"/>
  <c r="E425" i="2" s="1"/>
  <c r="C426" i="2"/>
  <c r="C427" i="2"/>
  <c r="C428" i="2"/>
  <c r="C429" i="2"/>
  <c r="C430" i="2"/>
  <c r="E430" i="2" s="1"/>
  <c r="C431" i="2"/>
  <c r="E431" i="2" s="1"/>
  <c r="C432" i="2"/>
  <c r="E432" i="2" s="1"/>
  <c r="C433" i="2"/>
  <c r="E433" i="2" s="1"/>
  <c r="C434" i="2"/>
  <c r="E434" i="2" s="1"/>
  <c r="C435" i="2"/>
  <c r="C436" i="2"/>
  <c r="C437" i="2"/>
  <c r="E437" i="2" s="1"/>
  <c r="C438" i="2"/>
  <c r="C439" i="2"/>
  <c r="C440" i="2"/>
  <c r="C441" i="2"/>
  <c r="C442" i="2"/>
  <c r="E442" i="2" s="1"/>
  <c r="C443" i="2"/>
  <c r="E443" i="2" s="1"/>
  <c r="C444" i="2"/>
  <c r="E444" i="2" s="1"/>
  <c r="C445" i="2"/>
  <c r="E445" i="2" s="1"/>
  <c r="C446" i="2"/>
  <c r="E446" i="2" s="1"/>
  <c r="C447" i="2"/>
  <c r="C448" i="2"/>
  <c r="C449" i="2"/>
  <c r="E449" i="2" s="1"/>
  <c r="C450" i="2"/>
  <c r="C451" i="2"/>
  <c r="C452" i="2"/>
  <c r="C453" i="2"/>
  <c r="C454" i="2"/>
  <c r="E454" i="2" s="1"/>
  <c r="C455" i="2"/>
  <c r="E455" i="2" s="1"/>
  <c r="C456" i="2"/>
  <c r="E456" i="2" s="1"/>
  <c r="C457" i="2"/>
  <c r="E457" i="2" s="1"/>
  <c r="C458" i="2"/>
  <c r="E458" i="2" s="1"/>
  <c r="C459" i="2"/>
  <c r="C460" i="2"/>
  <c r="C461" i="2"/>
  <c r="E461" i="2" s="1"/>
  <c r="C462" i="2"/>
  <c r="C463" i="2"/>
  <c r="C464" i="2"/>
  <c r="C465" i="2"/>
  <c r="C466" i="2"/>
  <c r="E466" i="2" s="1"/>
  <c r="C467" i="2"/>
  <c r="E467" i="2" s="1"/>
  <c r="C468" i="2"/>
  <c r="E468" i="2" s="1"/>
  <c r="C469" i="2"/>
  <c r="E469" i="2" s="1"/>
  <c r="C470" i="2"/>
  <c r="E470" i="2" s="1"/>
  <c r="C471" i="2"/>
  <c r="C472" i="2"/>
  <c r="C473" i="2"/>
  <c r="E473" i="2" s="1"/>
  <c r="C474" i="2"/>
  <c r="C475" i="2"/>
  <c r="C476" i="2"/>
  <c r="C477" i="2"/>
  <c r="C478" i="2"/>
  <c r="E478" i="2" s="1"/>
  <c r="C479" i="2"/>
  <c r="E479" i="2" s="1"/>
  <c r="C480" i="2"/>
  <c r="E480" i="2" s="1"/>
  <c r="C481" i="2"/>
  <c r="E481" i="2" s="1"/>
  <c r="C482" i="2"/>
  <c r="E482" i="2" s="1"/>
  <c r="C483" i="2"/>
  <c r="C484" i="2"/>
  <c r="C485" i="2"/>
  <c r="E485" i="2" s="1"/>
  <c r="C486" i="2"/>
  <c r="C487" i="2"/>
  <c r="C488" i="2"/>
  <c r="C489" i="2"/>
  <c r="E489" i="2" s="1"/>
  <c r="C490" i="2"/>
  <c r="E490" i="2" s="1"/>
  <c r="C491" i="2"/>
  <c r="E491" i="2" s="1"/>
  <c r="C492" i="2"/>
  <c r="E492" i="2" s="1"/>
  <c r="C493" i="2"/>
  <c r="E493" i="2" s="1"/>
  <c r="C494" i="2"/>
  <c r="E494" i="2" s="1"/>
  <c r="C495" i="2"/>
  <c r="C496" i="2"/>
  <c r="C497" i="2"/>
  <c r="E497" i="2" s="1"/>
  <c r="C498" i="2"/>
  <c r="C499" i="2"/>
  <c r="C500" i="2"/>
  <c r="C501" i="2"/>
  <c r="C502" i="2"/>
  <c r="E502" i="2" s="1"/>
  <c r="C503" i="2"/>
  <c r="E503" i="2" s="1"/>
  <c r="C504" i="2"/>
  <c r="E504" i="2" s="1"/>
  <c r="C505" i="2"/>
  <c r="C506" i="2"/>
  <c r="E506" i="2" s="1"/>
  <c r="C507" i="2"/>
  <c r="C508" i="2"/>
  <c r="C509" i="2"/>
  <c r="E509" i="2" s="1"/>
  <c r="C510" i="2"/>
  <c r="C511" i="2"/>
  <c r="C512" i="2"/>
  <c r="C513" i="2"/>
  <c r="E513" i="2" s="1"/>
  <c r="C514" i="2"/>
  <c r="E514" i="2" s="1"/>
  <c r="C515" i="2"/>
  <c r="E515" i="2" s="1"/>
  <c r="C516" i="2"/>
  <c r="E516" i="2" s="1"/>
  <c r="C517" i="2"/>
  <c r="C518" i="2"/>
  <c r="E518" i="2" s="1"/>
  <c r="C519" i="2"/>
  <c r="C520" i="2"/>
  <c r="C521" i="2"/>
  <c r="E521" i="2" s="1"/>
  <c r="C522" i="2"/>
  <c r="C523" i="2"/>
  <c r="C524" i="2"/>
  <c r="C525" i="2"/>
  <c r="C526" i="2"/>
  <c r="E526" i="2" s="1"/>
  <c r="C527" i="2"/>
  <c r="E527" i="2" s="1"/>
  <c r="C528" i="2"/>
  <c r="E528" i="2" s="1"/>
  <c r="C529" i="2"/>
  <c r="E529" i="2" s="1"/>
  <c r="C530" i="2"/>
  <c r="E530" i="2" s="1"/>
  <c r="C531" i="2"/>
  <c r="C532" i="2"/>
  <c r="C533" i="2"/>
  <c r="E533" i="2" s="1"/>
  <c r="C534" i="2"/>
  <c r="C535" i="2"/>
  <c r="C536" i="2"/>
  <c r="C537" i="2"/>
  <c r="C538" i="2"/>
  <c r="E538" i="2" s="1"/>
  <c r="C539" i="2"/>
  <c r="E539" i="2" s="1"/>
  <c r="C540" i="2"/>
  <c r="E540" i="2" s="1"/>
  <c r="C541" i="2"/>
  <c r="C542" i="2"/>
  <c r="E542" i="2" s="1"/>
  <c r="C543" i="2"/>
  <c r="C544" i="2"/>
  <c r="C545" i="2"/>
  <c r="E545" i="2" s="1"/>
  <c r="C546" i="2"/>
  <c r="C547" i="2"/>
  <c r="C548" i="2"/>
  <c r="C549" i="2"/>
  <c r="E549" i="2" s="1"/>
  <c r="C550" i="2"/>
  <c r="E550" i="2" s="1"/>
  <c r="C551" i="2"/>
  <c r="E551" i="2" s="1"/>
  <c r="C552" i="2"/>
  <c r="E552" i="2" s="1"/>
  <c r="C553" i="2"/>
  <c r="E553" i="2" s="1"/>
  <c r="C554" i="2"/>
  <c r="E554" i="2" s="1"/>
  <c r="C555" i="2"/>
  <c r="C556" i="2"/>
  <c r="C557" i="2"/>
  <c r="E557" i="2" s="1"/>
  <c r="C558" i="2"/>
  <c r="C559" i="2"/>
  <c r="C560" i="2"/>
  <c r="C561" i="2"/>
  <c r="E561" i="2" s="1"/>
  <c r="C562" i="2"/>
  <c r="E562" i="2" s="1"/>
  <c r="C563" i="2"/>
  <c r="E563" i="2" s="1"/>
  <c r="C564" i="2"/>
  <c r="E564" i="2" s="1"/>
  <c r="C565" i="2"/>
  <c r="E565" i="2" s="1"/>
  <c r="C566" i="2"/>
  <c r="E566" i="2" s="1"/>
  <c r="C567" i="2"/>
  <c r="C568" i="2"/>
  <c r="C569" i="2"/>
  <c r="E569" i="2" s="1"/>
  <c r="C570" i="2"/>
  <c r="C571" i="2"/>
  <c r="C572" i="2"/>
  <c r="C573" i="2"/>
  <c r="C574" i="2"/>
  <c r="E574" i="2" s="1"/>
  <c r="C575" i="2"/>
  <c r="E575" i="2" s="1"/>
  <c r="C576" i="2"/>
  <c r="E576" i="2" s="1"/>
  <c r="C577" i="2"/>
  <c r="C578" i="2"/>
  <c r="E578" i="2" s="1"/>
  <c r="C579" i="2"/>
  <c r="C580" i="2"/>
  <c r="C581" i="2"/>
  <c r="E581" i="2" s="1"/>
  <c r="C582" i="2"/>
  <c r="C583" i="2"/>
  <c r="C584" i="2"/>
  <c r="C585" i="2"/>
  <c r="C586" i="2"/>
  <c r="E586" i="2" s="1"/>
  <c r="C587" i="2"/>
  <c r="E587" i="2" s="1"/>
  <c r="C588" i="2"/>
  <c r="E588" i="2" s="1"/>
  <c r="C589" i="2"/>
  <c r="E589" i="2" s="1"/>
  <c r="C590" i="2"/>
  <c r="C591" i="2"/>
  <c r="C592" i="2"/>
  <c r="C593" i="2"/>
  <c r="E593" i="2" s="1"/>
  <c r="C594" i="2"/>
  <c r="C595" i="2"/>
  <c r="C596" i="2"/>
  <c r="C597" i="2"/>
  <c r="C598" i="2"/>
  <c r="E598" i="2" s="1"/>
  <c r="C599" i="2"/>
  <c r="E599" i="2" s="1"/>
  <c r="C600" i="2"/>
  <c r="E600" i="2" s="1"/>
  <c r="C601" i="2"/>
  <c r="C602" i="2"/>
  <c r="E602" i="2" s="1"/>
  <c r="C603" i="2"/>
  <c r="C604" i="2"/>
  <c r="C605" i="2"/>
  <c r="E605" i="2" s="1"/>
  <c r="C606" i="2"/>
  <c r="C607" i="2"/>
  <c r="C608" i="2"/>
  <c r="C609" i="2"/>
  <c r="E609" i="2" s="1"/>
  <c r="C610" i="2"/>
  <c r="E610" i="2" s="1"/>
  <c r="C611" i="2"/>
  <c r="E611" i="2" s="1"/>
  <c r="C612" i="2"/>
  <c r="E612" i="2" s="1"/>
  <c r="C613" i="2"/>
  <c r="C614" i="2"/>
  <c r="E614" i="2" s="1"/>
  <c r="C615" i="2"/>
  <c r="C616" i="2"/>
  <c r="C617" i="2"/>
  <c r="E617" i="2" s="1"/>
  <c r="C618" i="2"/>
  <c r="C619" i="2"/>
  <c r="C620" i="2"/>
  <c r="C621" i="2"/>
  <c r="E621" i="2" s="1"/>
  <c r="C622" i="2"/>
  <c r="E622" i="2" s="1"/>
  <c r="C623" i="2"/>
  <c r="E623" i="2" s="1"/>
  <c r="C624" i="2"/>
  <c r="E624" i="2" s="1"/>
  <c r="C625" i="2"/>
  <c r="E625" i="2" s="1"/>
  <c r="C626" i="2"/>
  <c r="E626" i="2" s="1"/>
  <c r="C627" i="2"/>
  <c r="C628" i="2"/>
  <c r="E628" i="2" s="1"/>
  <c r="C629" i="2"/>
  <c r="E629" i="2" s="1"/>
  <c r="C630" i="2"/>
  <c r="C631" i="2"/>
  <c r="C632" i="2"/>
  <c r="C633" i="2"/>
  <c r="C634" i="2"/>
  <c r="E634" i="2" s="1"/>
  <c r="C635" i="2"/>
  <c r="E635" i="2" s="1"/>
  <c r="C636" i="2"/>
  <c r="E636" i="2" s="1"/>
  <c r="C637" i="2"/>
  <c r="C638" i="2"/>
  <c r="E638" i="2" s="1"/>
  <c r="C639" i="2"/>
  <c r="E639" i="2" s="1"/>
  <c r="C640" i="2"/>
  <c r="C641" i="2"/>
  <c r="E641" i="2" s="1"/>
  <c r="C642" i="2"/>
  <c r="C643" i="2"/>
  <c r="C644" i="2"/>
  <c r="C645" i="2"/>
  <c r="E645" i="2" s="1"/>
  <c r="C646" i="2"/>
  <c r="E646" i="2" s="1"/>
  <c r="C647" i="2"/>
  <c r="E647" i="2" s="1"/>
  <c r="C648" i="2"/>
  <c r="E648" i="2" s="1"/>
  <c r="C649" i="2"/>
  <c r="C650" i="2"/>
  <c r="E650" i="2" s="1"/>
  <c r="C651" i="2"/>
  <c r="C652" i="2"/>
  <c r="C653" i="2"/>
  <c r="E653" i="2" s="1"/>
  <c r="C654" i="2"/>
  <c r="C655" i="2"/>
  <c r="C656" i="2"/>
  <c r="C657" i="2"/>
  <c r="E657" i="2" s="1"/>
  <c r="C658" i="2"/>
  <c r="E658" i="2" s="1"/>
  <c r="C659" i="2"/>
  <c r="E659" i="2" s="1"/>
  <c r="C660" i="2"/>
  <c r="E660" i="2" s="1"/>
  <c r="C661" i="2"/>
  <c r="E661" i="2" s="1"/>
  <c r="C662" i="2"/>
  <c r="E662" i="2" s="1"/>
  <c r="C663" i="2"/>
  <c r="C664" i="2"/>
  <c r="C665" i="2"/>
  <c r="E665" i="2" s="1"/>
  <c r="C666" i="2"/>
  <c r="C667" i="2"/>
  <c r="C668" i="2"/>
  <c r="C669" i="2"/>
  <c r="E669" i="2" s="1"/>
  <c r="C670" i="2"/>
  <c r="E670" i="2" s="1"/>
  <c r="C671" i="2"/>
  <c r="E671" i="2" s="1"/>
  <c r="C672" i="2"/>
  <c r="E672" i="2" s="1"/>
  <c r="C673" i="2"/>
  <c r="C674" i="2"/>
  <c r="E674" i="2" s="1"/>
  <c r="C675" i="2"/>
  <c r="C676" i="2"/>
  <c r="C677" i="2"/>
  <c r="E677" i="2" s="1"/>
  <c r="C678" i="2"/>
  <c r="C679" i="2"/>
  <c r="C680" i="2"/>
  <c r="C681" i="2"/>
  <c r="C682" i="2"/>
  <c r="E682" i="2" s="1"/>
  <c r="C683" i="2"/>
  <c r="E683" i="2" s="1"/>
  <c r="C684" i="2"/>
  <c r="E684" i="2" s="1"/>
  <c r="C685" i="2"/>
  <c r="E685" i="2" s="1"/>
  <c r="C686" i="2"/>
  <c r="E686" i="2" s="1"/>
  <c r="C687" i="2"/>
  <c r="C688" i="2"/>
  <c r="C689" i="2"/>
  <c r="E689" i="2" s="1"/>
  <c r="C690" i="2"/>
  <c r="C691" i="2"/>
  <c r="C692" i="2"/>
  <c r="C693" i="2"/>
  <c r="C694" i="2"/>
  <c r="E694" i="2" s="1"/>
  <c r="C695" i="2"/>
  <c r="E695" i="2" s="1"/>
  <c r="C696" i="2"/>
  <c r="E696" i="2" s="1"/>
  <c r="C697" i="2"/>
  <c r="C698" i="2"/>
  <c r="E698" i="2" s="1"/>
  <c r="C699" i="2"/>
  <c r="C700" i="2"/>
  <c r="C701" i="2"/>
  <c r="E701" i="2" s="1"/>
  <c r="C702" i="2"/>
  <c r="C703" i="2"/>
  <c r="C704" i="2"/>
  <c r="C705" i="2"/>
  <c r="E705" i="2" s="1"/>
  <c r="C706" i="2"/>
  <c r="E706" i="2" s="1"/>
  <c r="C707" i="2"/>
  <c r="E707" i="2" s="1"/>
  <c r="C708" i="2"/>
  <c r="E708" i="2" s="1"/>
  <c r="C709" i="2"/>
  <c r="C710" i="2"/>
  <c r="E710" i="2" s="1"/>
  <c r="C711" i="2"/>
  <c r="C712" i="2"/>
  <c r="C713" i="2"/>
  <c r="E713" i="2" s="1"/>
  <c r="C714" i="2"/>
  <c r="C715" i="2"/>
  <c r="C716" i="2"/>
  <c r="C717" i="2"/>
  <c r="E717" i="2" s="1"/>
  <c r="C718" i="2"/>
  <c r="E718" i="2" s="1"/>
  <c r="C719" i="2"/>
  <c r="E719" i="2" s="1"/>
  <c r="C720" i="2"/>
  <c r="E720" i="2" s="1"/>
  <c r="C721" i="2"/>
  <c r="C722" i="2"/>
  <c r="E722" i="2" s="1"/>
  <c r="C723" i="2"/>
  <c r="C724" i="2"/>
  <c r="C725" i="2"/>
  <c r="E725" i="2" s="1"/>
  <c r="C726" i="2"/>
  <c r="C727" i="2"/>
  <c r="C728" i="2"/>
  <c r="C729" i="2"/>
  <c r="C730" i="2"/>
  <c r="E730" i="2" s="1"/>
  <c r="C731" i="2"/>
  <c r="E731" i="2" s="1"/>
  <c r="C732" i="2"/>
  <c r="E732" i="2" s="1"/>
  <c r="C733" i="2"/>
  <c r="E733" i="2" s="1"/>
  <c r="C734" i="2"/>
  <c r="E734" i="2" s="1"/>
  <c r="C735" i="2"/>
  <c r="C736" i="2"/>
  <c r="C737" i="2"/>
  <c r="E737" i="2" s="1"/>
  <c r="C738" i="2"/>
  <c r="C739" i="2"/>
  <c r="C740" i="2"/>
  <c r="C741" i="2"/>
  <c r="C742" i="2"/>
  <c r="E742" i="2" s="1"/>
  <c r="C743" i="2"/>
  <c r="E743" i="2" s="1"/>
  <c r="C744" i="2"/>
  <c r="E744" i="2" s="1"/>
  <c r="C745" i="2"/>
  <c r="C746" i="2"/>
  <c r="E746" i="2" s="1"/>
  <c r="C747" i="2"/>
  <c r="C748" i="2"/>
  <c r="C749" i="2"/>
  <c r="E749" i="2" s="1"/>
  <c r="C750" i="2"/>
  <c r="C751" i="2"/>
  <c r="C752" i="2"/>
  <c r="C753" i="2"/>
  <c r="E753" i="2" s="1"/>
  <c r="C754" i="2"/>
  <c r="E754" i="2" s="1"/>
  <c r="C755" i="2"/>
  <c r="E755" i="2" s="1"/>
  <c r="C756" i="2"/>
  <c r="E756" i="2" s="1"/>
  <c r="C757" i="2"/>
  <c r="E757" i="2" s="1"/>
  <c r="C758" i="2"/>
  <c r="C759" i="2"/>
  <c r="C760" i="2"/>
  <c r="C761" i="2"/>
  <c r="E761" i="2" s="1"/>
  <c r="C762" i="2"/>
  <c r="C763" i="2"/>
  <c r="C764" i="2"/>
  <c r="C765" i="2"/>
  <c r="C766" i="2"/>
  <c r="E766" i="2" s="1"/>
  <c r="C767" i="2"/>
  <c r="E767" i="2" s="1"/>
  <c r="C768" i="2"/>
  <c r="E768" i="2" s="1"/>
  <c r="C769" i="2"/>
  <c r="C770" i="2"/>
  <c r="E770" i="2" s="1"/>
  <c r="C771" i="2"/>
  <c r="C772" i="2"/>
  <c r="C773" i="2"/>
  <c r="E773" i="2" s="1"/>
  <c r="C774" i="2"/>
  <c r="C775" i="2"/>
  <c r="C776" i="2"/>
  <c r="C777" i="2"/>
  <c r="E777" i="2" s="1"/>
  <c r="C778" i="2"/>
  <c r="E778" i="2" s="1"/>
  <c r="C779" i="2"/>
  <c r="E779" i="2" s="1"/>
  <c r="C780" i="2"/>
  <c r="E780" i="2" s="1"/>
  <c r="C781" i="2"/>
  <c r="C782" i="2"/>
  <c r="E782" i="2" s="1"/>
  <c r="C783" i="2"/>
  <c r="C784" i="2"/>
  <c r="C785" i="2"/>
  <c r="E785" i="2" s="1"/>
  <c r="C786" i="2"/>
  <c r="C787" i="2"/>
  <c r="C788" i="2"/>
  <c r="C789" i="2"/>
  <c r="E789" i="2" s="1"/>
  <c r="C790" i="2"/>
  <c r="E790" i="2" s="1"/>
  <c r="C791" i="2"/>
  <c r="E791" i="2" s="1"/>
  <c r="C792" i="2"/>
  <c r="E792" i="2" s="1"/>
  <c r="C793" i="2"/>
  <c r="C794" i="2"/>
  <c r="E794" i="2" s="1"/>
  <c r="C795" i="2"/>
  <c r="C796" i="2"/>
  <c r="C797" i="2"/>
  <c r="E797" i="2" s="1"/>
  <c r="C798" i="2"/>
  <c r="C799" i="2"/>
  <c r="C800" i="2"/>
  <c r="C801" i="2"/>
  <c r="C802" i="2"/>
  <c r="E802" i="2" s="1"/>
  <c r="C803" i="2"/>
  <c r="E803" i="2" s="1"/>
  <c r="C804" i="2"/>
  <c r="E804" i="2" s="1"/>
  <c r="C805" i="2"/>
  <c r="C806" i="2"/>
  <c r="E806" i="2" s="1"/>
  <c r="C807" i="2"/>
  <c r="C808" i="2"/>
  <c r="C809" i="2"/>
  <c r="E809" i="2" s="1"/>
  <c r="C810" i="2"/>
  <c r="C811" i="2"/>
  <c r="C812" i="2"/>
  <c r="C813" i="2"/>
  <c r="E813" i="2" s="1"/>
  <c r="C814" i="2"/>
  <c r="E814" i="2" s="1"/>
  <c r="C815" i="2"/>
  <c r="E815" i="2" s="1"/>
  <c r="C816" i="2"/>
  <c r="E816" i="2" s="1"/>
  <c r="C817" i="2"/>
  <c r="C818" i="2"/>
  <c r="E818" i="2" s="1"/>
  <c r="C819" i="2"/>
  <c r="C820" i="2"/>
  <c r="C821" i="2"/>
  <c r="E821" i="2" s="1"/>
  <c r="C822" i="2"/>
  <c r="C823" i="2"/>
  <c r="C824" i="2"/>
  <c r="C825" i="2"/>
  <c r="E825" i="2" s="1"/>
  <c r="C826" i="2"/>
  <c r="E826" i="2" s="1"/>
  <c r="C827" i="2"/>
  <c r="E827" i="2" s="1"/>
  <c r="C828" i="2"/>
  <c r="E828" i="2" s="1"/>
  <c r="C829" i="2"/>
  <c r="E829" i="2" s="1"/>
  <c r="C830" i="2"/>
  <c r="C831" i="2"/>
  <c r="C832" i="2"/>
  <c r="C833" i="2"/>
  <c r="E833" i="2" s="1"/>
  <c r="C834" i="2"/>
  <c r="C835" i="2"/>
  <c r="C836" i="2"/>
  <c r="C837" i="2"/>
  <c r="C838" i="2"/>
  <c r="E838" i="2" s="1"/>
  <c r="C839" i="2"/>
  <c r="E839" i="2" s="1"/>
  <c r="C840" i="2"/>
  <c r="E840" i="2" s="1"/>
  <c r="C841" i="2"/>
  <c r="C842" i="2"/>
  <c r="E842" i="2" s="1"/>
  <c r="C843" i="2"/>
  <c r="C844" i="2"/>
  <c r="C845" i="2"/>
  <c r="E845" i="2" s="1"/>
  <c r="C846" i="2"/>
  <c r="C847" i="2"/>
  <c r="C848" i="2"/>
  <c r="C849" i="2"/>
  <c r="E849" i="2" s="1"/>
  <c r="C850" i="2"/>
  <c r="E850" i="2" s="1"/>
  <c r="C851" i="2"/>
  <c r="E851" i="2" s="1"/>
  <c r="C852" i="2"/>
  <c r="E852" i="2" s="1"/>
  <c r="C853" i="2"/>
  <c r="C854" i="2"/>
  <c r="E854" i="2" s="1"/>
  <c r="C855" i="2"/>
  <c r="C856" i="2"/>
  <c r="C857" i="2"/>
  <c r="E857" i="2" s="1"/>
  <c r="C858" i="2"/>
  <c r="C859" i="2"/>
  <c r="C860" i="2"/>
  <c r="C861" i="2"/>
  <c r="C862" i="2"/>
  <c r="E862" i="2" s="1"/>
  <c r="C863" i="2"/>
  <c r="E863" i="2" s="1"/>
  <c r="C864" i="2"/>
  <c r="E864" i="2" s="1"/>
  <c r="C865" i="2"/>
  <c r="E865" i="2" s="1"/>
  <c r="C866" i="2"/>
  <c r="E866" i="2" s="1"/>
  <c r="C867" i="2"/>
  <c r="C868" i="2"/>
  <c r="C869" i="2"/>
  <c r="E869" i="2" s="1"/>
  <c r="C870" i="2"/>
  <c r="C871" i="2"/>
  <c r="C872" i="2"/>
  <c r="C873" i="2"/>
  <c r="C874" i="2"/>
  <c r="E874" i="2" s="1"/>
  <c r="C875" i="2"/>
  <c r="E875" i="2" s="1"/>
  <c r="C876" i="2"/>
  <c r="E876" i="2" s="1"/>
  <c r="C877" i="2"/>
  <c r="C878" i="2"/>
  <c r="E878" i="2" s="1"/>
  <c r="C879" i="2"/>
  <c r="C880" i="2"/>
  <c r="C881" i="2"/>
  <c r="E881" i="2" s="1"/>
  <c r="C882" i="2"/>
  <c r="C883" i="2"/>
  <c r="C884" i="2"/>
  <c r="C885" i="2"/>
  <c r="C886" i="2"/>
  <c r="E886" i="2" s="1"/>
  <c r="C887" i="2"/>
  <c r="E887" i="2" s="1"/>
  <c r="C888" i="2"/>
  <c r="E888" i="2" s="1"/>
  <c r="C889" i="2"/>
  <c r="E889" i="2" s="1"/>
  <c r="C890" i="2"/>
  <c r="C891" i="2"/>
  <c r="C892" i="2"/>
  <c r="C893" i="2"/>
  <c r="E893" i="2" s="1"/>
  <c r="C894" i="2"/>
  <c r="C895" i="2"/>
  <c r="C896" i="2"/>
  <c r="C897" i="2"/>
  <c r="E897" i="2" s="1"/>
  <c r="C898" i="2"/>
  <c r="E898" i="2" s="1"/>
  <c r="C899" i="2"/>
  <c r="E899" i="2" s="1"/>
  <c r="C900" i="2"/>
  <c r="E900" i="2" s="1"/>
  <c r="C901" i="2"/>
  <c r="C902" i="2"/>
  <c r="E902" i="2" s="1"/>
  <c r="C903" i="2"/>
  <c r="C904" i="2"/>
  <c r="C905" i="2"/>
  <c r="E905" i="2" s="1"/>
  <c r="C906" i="2"/>
  <c r="C907" i="2"/>
  <c r="C908" i="2"/>
  <c r="C909" i="2"/>
  <c r="E909" i="2" s="1"/>
  <c r="C910" i="2"/>
  <c r="E910" i="2" s="1"/>
  <c r="C911" i="2"/>
  <c r="E911" i="2" s="1"/>
  <c r="C912" i="2"/>
  <c r="E912" i="2" s="1"/>
  <c r="C913" i="2"/>
  <c r="E913" i="2" s="1"/>
  <c r="C914" i="2"/>
  <c r="E914" i="2" s="1"/>
  <c r="C915" i="2"/>
  <c r="C916" i="2"/>
  <c r="C917" i="2"/>
  <c r="E917" i="2" s="1"/>
  <c r="C918" i="2"/>
  <c r="C919" i="2"/>
  <c r="C920" i="2"/>
  <c r="C921" i="2"/>
  <c r="E921" i="2" s="1"/>
  <c r="C922" i="2"/>
  <c r="E922" i="2" s="1"/>
  <c r="C923" i="2"/>
  <c r="E923" i="2" s="1"/>
  <c r="C924" i="2"/>
  <c r="E924" i="2" s="1"/>
  <c r="C925" i="2"/>
  <c r="C926" i="2"/>
  <c r="E926" i="2" s="1"/>
  <c r="C927" i="2"/>
  <c r="C928" i="2"/>
  <c r="E928" i="2" s="1"/>
  <c r="C929" i="2"/>
  <c r="E929" i="2" s="1"/>
  <c r="C930" i="2"/>
  <c r="C931" i="2"/>
  <c r="C932" i="2"/>
  <c r="C933" i="2"/>
  <c r="C934" i="2"/>
  <c r="E934" i="2" s="1"/>
  <c r="C935" i="2"/>
  <c r="E935" i="2" s="1"/>
  <c r="C936" i="2"/>
  <c r="E936" i="2" s="1"/>
  <c r="C937" i="2"/>
  <c r="C938" i="2"/>
  <c r="E938" i="2" s="1"/>
  <c r="C939" i="2"/>
  <c r="C940" i="2"/>
  <c r="C941" i="2"/>
  <c r="E941" i="2" s="1"/>
  <c r="C942" i="2"/>
  <c r="C943" i="2"/>
  <c r="C944" i="2"/>
  <c r="C945" i="2"/>
  <c r="E945" i="2" s="1"/>
  <c r="C946" i="2"/>
  <c r="E946" i="2" s="1"/>
  <c r="C947" i="2"/>
  <c r="E947" i="2" s="1"/>
  <c r="C948" i="2"/>
  <c r="E948" i="2" s="1"/>
  <c r="C949" i="2"/>
  <c r="E949" i="2" s="1"/>
  <c r="C950" i="2"/>
  <c r="E950" i="2" s="1"/>
  <c r="C951" i="2"/>
  <c r="C952" i="2"/>
  <c r="C953" i="2"/>
  <c r="E953" i="2" s="1"/>
  <c r="C954" i="2"/>
  <c r="C955" i="2"/>
  <c r="C956" i="2"/>
  <c r="C957" i="2"/>
  <c r="C958" i="2"/>
  <c r="E958" i="2" s="1"/>
  <c r="C959" i="2"/>
  <c r="E959" i="2" s="1"/>
  <c r="C960" i="2"/>
  <c r="E960" i="2" s="1"/>
  <c r="C961" i="2"/>
  <c r="E961" i="2" s="1"/>
  <c r="C962" i="2"/>
  <c r="E962" i="2" s="1"/>
  <c r="C963" i="2"/>
  <c r="C964" i="2"/>
  <c r="C965" i="2"/>
  <c r="E965" i="2" s="1"/>
  <c r="C966" i="2"/>
  <c r="C967" i="2"/>
  <c r="C968" i="2"/>
  <c r="C969" i="2"/>
  <c r="E969" i="2" s="1"/>
  <c r="C970" i="2"/>
  <c r="E970" i="2" s="1"/>
  <c r="C971" i="2"/>
  <c r="E971" i="2" s="1"/>
  <c r="C972" i="2"/>
  <c r="E972" i="2" s="1"/>
  <c r="C973" i="2"/>
  <c r="C974" i="2"/>
  <c r="E974" i="2" s="1"/>
  <c r="C975" i="2"/>
  <c r="C976" i="2"/>
  <c r="C977" i="2"/>
  <c r="E977" i="2" s="1"/>
  <c r="C978" i="2"/>
  <c r="C979" i="2"/>
  <c r="C980" i="2"/>
  <c r="C981" i="2"/>
  <c r="C982" i="2"/>
  <c r="E982" i="2" s="1"/>
  <c r="C983" i="2"/>
  <c r="E983" i="2" s="1"/>
  <c r="C984" i="2"/>
  <c r="E984" i="2" s="1"/>
  <c r="C985" i="2"/>
  <c r="E985" i="2" s="1"/>
  <c r="C986" i="2"/>
  <c r="E986" i="2" s="1"/>
  <c r="C987" i="2"/>
  <c r="C988" i="2"/>
  <c r="C989" i="2"/>
  <c r="E989" i="2" s="1"/>
  <c r="C990" i="2"/>
  <c r="C991" i="2"/>
  <c r="C992" i="2"/>
  <c r="C993" i="2"/>
  <c r="E993" i="2" s="1"/>
  <c r="C994" i="2"/>
  <c r="E994" i="2" s="1"/>
  <c r="C995" i="2"/>
  <c r="E995" i="2" s="1"/>
  <c r="C996" i="2"/>
  <c r="E996" i="2" s="1"/>
  <c r="C997" i="2"/>
  <c r="E997" i="2" s="1"/>
  <c r="C998" i="2"/>
  <c r="E998" i="2" s="1"/>
  <c r="C999" i="2"/>
  <c r="C1000" i="2"/>
  <c r="C1001" i="2"/>
  <c r="E1001" i="2" s="1"/>
  <c r="C1002" i="2"/>
  <c r="C1003" i="2"/>
  <c r="C1004" i="2"/>
  <c r="C1005" i="2"/>
  <c r="C1006" i="2"/>
  <c r="E1006" i="2" s="1"/>
  <c r="C1007" i="2"/>
  <c r="E1007" i="2" s="1"/>
  <c r="C1008" i="2"/>
  <c r="E1008" i="2" s="1"/>
  <c r="C1009" i="2"/>
  <c r="C1010" i="2"/>
  <c r="E1010" i="2" s="1"/>
  <c r="C1011" i="2"/>
  <c r="C1012" i="2"/>
  <c r="C1013" i="2"/>
  <c r="E1013" i="2" s="1"/>
  <c r="C1014" i="2"/>
  <c r="C1015" i="2"/>
  <c r="C1016" i="2"/>
  <c r="C1017" i="2"/>
  <c r="C1018" i="2"/>
  <c r="E1018" i="2" s="1"/>
  <c r="C1019" i="2"/>
  <c r="E1019" i="2" s="1"/>
  <c r="C1020" i="2"/>
  <c r="E1020" i="2" s="1"/>
  <c r="C1021" i="2"/>
  <c r="C1022" i="2"/>
  <c r="E1022" i="2" s="1"/>
  <c r="C1023" i="2"/>
  <c r="C1024" i="2"/>
  <c r="C1025" i="2"/>
  <c r="E1025" i="2" s="1"/>
  <c r="C1026" i="2"/>
  <c r="C1027" i="2"/>
  <c r="C1028" i="2"/>
  <c r="C1029" i="2"/>
  <c r="C1030" i="2"/>
  <c r="E1030" i="2" s="1"/>
  <c r="C1031" i="2"/>
  <c r="E1031" i="2" s="1"/>
  <c r="C1032" i="2"/>
  <c r="E1032" i="2" s="1"/>
  <c r="C1033" i="2"/>
  <c r="C1034" i="2"/>
  <c r="C1035" i="2"/>
  <c r="C1036" i="2"/>
  <c r="C1037" i="2"/>
  <c r="E1037" i="2" s="1"/>
  <c r="C1038" i="2"/>
  <c r="C1039" i="2"/>
  <c r="C1040" i="2"/>
  <c r="C1041" i="2"/>
  <c r="C1042" i="2"/>
  <c r="E1042" i="2" s="1"/>
  <c r="C1043" i="2"/>
  <c r="E1043" i="2" s="1"/>
  <c r="C1044" i="2"/>
  <c r="E1044" i="2" s="1"/>
  <c r="C1045" i="2"/>
  <c r="C1046" i="2"/>
  <c r="E1046" i="2" s="1"/>
  <c r="C1047" i="2"/>
  <c r="C1048" i="2"/>
  <c r="C1049" i="2"/>
  <c r="E1049" i="2" s="1"/>
  <c r="C1050" i="2"/>
  <c r="C1051" i="2"/>
  <c r="C1052" i="2"/>
  <c r="C1053" i="2"/>
  <c r="C1054" i="2"/>
  <c r="E1054" i="2" s="1"/>
  <c r="C1055" i="2"/>
  <c r="E1055" i="2" s="1"/>
  <c r="C1056" i="2"/>
  <c r="E1056" i="2" s="1"/>
  <c r="C1057" i="2"/>
  <c r="C1058" i="2"/>
  <c r="E1058" i="2" s="1"/>
  <c r="C1059" i="2"/>
  <c r="C1060" i="2"/>
  <c r="C1061" i="2"/>
  <c r="E1061" i="2" s="1"/>
  <c r="C1062" i="2"/>
  <c r="C1063" i="2"/>
  <c r="C1064" i="2"/>
  <c r="C1065" i="2"/>
  <c r="C1066" i="2"/>
  <c r="E1066" i="2" s="1"/>
  <c r="C1067" i="2"/>
  <c r="E1067" i="2" s="1"/>
  <c r="C1068" i="2"/>
  <c r="E1068" i="2" s="1"/>
  <c r="C1069" i="2"/>
  <c r="C1070" i="2"/>
  <c r="E1070" i="2" s="1"/>
  <c r="C1071" i="2"/>
  <c r="C1072" i="2"/>
  <c r="C1073" i="2"/>
  <c r="E1073" i="2" s="1"/>
  <c r="C1074" i="2"/>
  <c r="C1075" i="2"/>
  <c r="C1076" i="2"/>
  <c r="C1077" i="2"/>
  <c r="C1078" i="2"/>
  <c r="E1078" i="2" s="1"/>
  <c r="C1079" i="2"/>
  <c r="E1079" i="2" s="1"/>
  <c r="C1080" i="2"/>
  <c r="E1080" i="2" s="1"/>
  <c r="C1081" i="2"/>
  <c r="C1082" i="2"/>
  <c r="E1082" i="2" s="1"/>
  <c r="C1083" i="2"/>
  <c r="C1084" i="2"/>
  <c r="C1085" i="2"/>
  <c r="E1085" i="2" s="1"/>
  <c r="C1086" i="2"/>
  <c r="C1087" i="2"/>
  <c r="C1088" i="2"/>
  <c r="C1089" i="2"/>
  <c r="C1090" i="2"/>
  <c r="E1090" i="2" s="1"/>
  <c r="C1091" i="2"/>
  <c r="E1091" i="2" s="1"/>
  <c r="C1092" i="2"/>
  <c r="E1092" i="2" s="1"/>
  <c r="C1093" i="2"/>
  <c r="C1094" i="2"/>
  <c r="E1094" i="2" s="1"/>
  <c r="C1095" i="2"/>
  <c r="C1096" i="2"/>
  <c r="C1097" i="2"/>
  <c r="E1097" i="2" s="1"/>
  <c r="C1098" i="2"/>
  <c r="C1099" i="2"/>
  <c r="C1100" i="2"/>
  <c r="C1101" i="2"/>
  <c r="C1102" i="2"/>
  <c r="E1102" i="2" s="1"/>
  <c r="C1103" i="2"/>
  <c r="E1103" i="2" s="1"/>
  <c r="C1104" i="2"/>
  <c r="E1104" i="2" s="1"/>
  <c r="C1105" i="2"/>
  <c r="E1105" i="2" s="1"/>
  <c r="C1106" i="2"/>
  <c r="E1106" i="2" s="1"/>
  <c r="C1107" i="2"/>
  <c r="C1108" i="2"/>
  <c r="C1109" i="2"/>
  <c r="E1109" i="2" s="1"/>
  <c r="C1110" i="2"/>
  <c r="C1111" i="2"/>
  <c r="C1112" i="2"/>
  <c r="C1113" i="2"/>
  <c r="C1114" i="2"/>
  <c r="E1114" i="2" s="1"/>
  <c r="C1115" i="2"/>
  <c r="E1115" i="2" s="1"/>
  <c r="C1116" i="2"/>
  <c r="E1116" i="2" s="1"/>
  <c r="C1117" i="2"/>
  <c r="C1118" i="2"/>
  <c r="E1118" i="2" s="1"/>
  <c r="C1119" i="2"/>
  <c r="C1120" i="2"/>
  <c r="C1121" i="2"/>
  <c r="E1121" i="2" s="1"/>
  <c r="C1122" i="2"/>
  <c r="C1123" i="2"/>
  <c r="E1123" i="2" s="1"/>
  <c r="C1124" i="2"/>
  <c r="C1125" i="2"/>
  <c r="C1126" i="2"/>
  <c r="E1126" i="2" s="1"/>
  <c r="C1127" i="2"/>
  <c r="E1127" i="2" s="1"/>
  <c r="C1128" i="2"/>
  <c r="E1128" i="2" s="1"/>
  <c r="C1129" i="2"/>
  <c r="C1130" i="2"/>
  <c r="E1130" i="2" s="1"/>
  <c r="C1131" i="2"/>
  <c r="C1132" i="2"/>
  <c r="C1133" i="2"/>
  <c r="E1133" i="2" s="1"/>
  <c r="C1134" i="2"/>
  <c r="C1135" i="2"/>
  <c r="C1136" i="2"/>
  <c r="C1137" i="2"/>
  <c r="C1138" i="2"/>
  <c r="E1138" i="2" s="1"/>
  <c r="C1139" i="2"/>
  <c r="E1139" i="2" s="1"/>
  <c r="C1140" i="2"/>
  <c r="E1140" i="2" s="1"/>
  <c r="C1141" i="2"/>
  <c r="E1141" i="2" s="1"/>
  <c r="C1142" i="2"/>
  <c r="E1142" i="2" s="1"/>
  <c r="C1143" i="2"/>
  <c r="C1144" i="2"/>
  <c r="C1145" i="2"/>
  <c r="C1146" i="2"/>
  <c r="C1147" i="2"/>
  <c r="C1148" i="2"/>
  <c r="C1149" i="2"/>
  <c r="C1150" i="2"/>
  <c r="E1150" i="2" s="1"/>
  <c r="C1151" i="2"/>
  <c r="E1151" i="2" s="1"/>
  <c r="C1152" i="2"/>
  <c r="E1152" i="2" s="1"/>
  <c r="C1153" i="2"/>
  <c r="C1154" i="2"/>
  <c r="E1154" i="2" s="1"/>
  <c r="C1155" i="2"/>
  <c r="C1156" i="2"/>
  <c r="C1157" i="2"/>
  <c r="E1157" i="2" s="1"/>
  <c r="C1158" i="2"/>
  <c r="C1159" i="2"/>
  <c r="C1160" i="2"/>
  <c r="C1161" i="2"/>
  <c r="C1162" i="2"/>
  <c r="E1162" i="2" s="1"/>
  <c r="C1163" i="2"/>
  <c r="E1163" i="2" s="1"/>
  <c r="C1164" i="2"/>
  <c r="E1164" i="2" s="1"/>
  <c r="C1165" i="2"/>
  <c r="C1166" i="2"/>
  <c r="E1166" i="2" s="1"/>
  <c r="C1167" i="2"/>
  <c r="C1168" i="2"/>
  <c r="C1169" i="2"/>
  <c r="E1169" i="2" s="1"/>
  <c r="C1170" i="2"/>
  <c r="C1171" i="2"/>
  <c r="C1172" i="2"/>
  <c r="C1173" i="2"/>
  <c r="C1174" i="2"/>
  <c r="E1174" i="2" s="1"/>
  <c r="C1175" i="2"/>
  <c r="E1175" i="2" s="1"/>
  <c r="C1176" i="2"/>
  <c r="E1176" i="2" s="1"/>
  <c r="C1177" i="2"/>
  <c r="E1177" i="2" s="1"/>
  <c r="C1178" i="2"/>
  <c r="C1179" i="2"/>
  <c r="C1180" i="2"/>
  <c r="C1181" i="2"/>
  <c r="E1181" i="2" s="1"/>
  <c r="C1182" i="2"/>
  <c r="C1183" i="2"/>
  <c r="C1184" i="2"/>
  <c r="C1185" i="2"/>
  <c r="C1186" i="2"/>
  <c r="E1186" i="2" s="1"/>
  <c r="C1187" i="2"/>
  <c r="E1187" i="2" s="1"/>
  <c r="C1188" i="2"/>
  <c r="E1188" i="2" s="1"/>
  <c r="C1189" i="2"/>
  <c r="C1190" i="2"/>
  <c r="E1190" i="2" s="1"/>
  <c r="C1191" i="2"/>
  <c r="C1192" i="2"/>
  <c r="C1193" i="2"/>
  <c r="E1193" i="2" s="1"/>
  <c r="C1194" i="2"/>
  <c r="C1195" i="2"/>
  <c r="C1196" i="2"/>
  <c r="C1197" i="2"/>
  <c r="C1198" i="2"/>
  <c r="E1198" i="2" s="1"/>
  <c r="C1199" i="2"/>
  <c r="E1199" i="2" s="1"/>
  <c r="C1200" i="2"/>
  <c r="E1200" i="2" s="1"/>
  <c r="C1201" i="2"/>
  <c r="C1202" i="2"/>
  <c r="E1202" i="2" s="1"/>
  <c r="C1203" i="2"/>
  <c r="C1204" i="2"/>
  <c r="C1205" i="2"/>
  <c r="E1205" i="2" s="1"/>
  <c r="C1206" i="2"/>
  <c r="C1207" i="2"/>
  <c r="C1208" i="2"/>
  <c r="E1208" i="2" s="1"/>
  <c r="C1209" i="2"/>
  <c r="C1210" i="2"/>
  <c r="E1210" i="2" s="1"/>
  <c r="C1211" i="2"/>
  <c r="E1211" i="2" s="1"/>
  <c r="C1212" i="2"/>
  <c r="E1212" i="2" s="1"/>
  <c r="C1213" i="2"/>
  <c r="E1213" i="2" s="1"/>
  <c r="C1214" i="2"/>
  <c r="E1214" i="2" s="1"/>
  <c r="C1215" i="2"/>
  <c r="C1216" i="2"/>
  <c r="C1217" i="2"/>
  <c r="E1217" i="2" s="1"/>
  <c r="C1218" i="2"/>
  <c r="C1219" i="2"/>
  <c r="C1220" i="2"/>
  <c r="C1221" i="2"/>
  <c r="C1222" i="2"/>
  <c r="E1222" i="2" s="1"/>
  <c r="C1223" i="2"/>
  <c r="E1223" i="2" s="1"/>
  <c r="C1224" i="2"/>
  <c r="E1224" i="2" s="1"/>
  <c r="C1225" i="2"/>
  <c r="C1226" i="2"/>
  <c r="E1226" i="2" s="1"/>
  <c r="C1227" i="2"/>
  <c r="C1228" i="2"/>
  <c r="C1229" i="2"/>
  <c r="E1229" i="2" s="1"/>
  <c r="C1230" i="2"/>
  <c r="C1231" i="2"/>
  <c r="C1232" i="2"/>
  <c r="C1233" i="2"/>
  <c r="C1234" i="2"/>
  <c r="E1234" i="2" s="1"/>
  <c r="C1235" i="2"/>
  <c r="E1235" i="2" s="1"/>
  <c r="C1236" i="2"/>
  <c r="E1236" i="2" s="1"/>
  <c r="C1237" i="2"/>
  <c r="C1238" i="2"/>
  <c r="E1238" i="2" s="1"/>
  <c r="C1239" i="2"/>
  <c r="C1240" i="2"/>
  <c r="C1241" i="2"/>
  <c r="E1241" i="2" s="1"/>
  <c r="C1242" i="2"/>
  <c r="C1243" i="2"/>
  <c r="C1244" i="2"/>
  <c r="C1245" i="2"/>
  <c r="C1246" i="2"/>
  <c r="E1246" i="2" s="1"/>
  <c r="C1247" i="2"/>
  <c r="E1247" i="2" s="1"/>
  <c r="C1248" i="2"/>
  <c r="E1248" i="2" s="1"/>
  <c r="C1249" i="2"/>
  <c r="C1250" i="2"/>
  <c r="E1250" i="2" s="1"/>
  <c r="C1251" i="2"/>
  <c r="C1252" i="2"/>
  <c r="C1253" i="2"/>
  <c r="E1253" i="2" s="1"/>
  <c r="C1254" i="2"/>
  <c r="C1255" i="2"/>
  <c r="C1256" i="2"/>
  <c r="C1257" i="2"/>
  <c r="C1258" i="2"/>
  <c r="E1258" i="2" s="1"/>
  <c r="C1259" i="2"/>
  <c r="C1260" i="2"/>
  <c r="E1260" i="2" s="1"/>
  <c r="C1261" i="2"/>
  <c r="E1261" i="2" s="1"/>
  <c r="C1262" i="2"/>
  <c r="E1262" i="2" s="1"/>
  <c r="C1263" i="2"/>
  <c r="C1264" i="2"/>
  <c r="C1265" i="2"/>
  <c r="E1265" i="2" s="1"/>
  <c r="C1266" i="2"/>
  <c r="C1267" i="2"/>
  <c r="C1268" i="2"/>
  <c r="C1269" i="2"/>
  <c r="C1270" i="2"/>
  <c r="E1270" i="2" s="1"/>
  <c r="C1271" i="2"/>
  <c r="C1272" i="2"/>
  <c r="E1272" i="2" s="1"/>
  <c r="C1273" i="2"/>
  <c r="C1274" i="2"/>
  <c r="E1274" i="2" s="1"/>
  <c r="C1275" i="2"/>
  <c r="C1276" i="2"/>
  <c r="C1277" i="2"/>
  <c r="E1277" i="2" s="1"/>
  <c r="C1278" i="2"/>
  <c r="C1279" i="2"/>
  <c r="C1280" i="2"/>
  <c r="C1281" i="2"/>
  <c r="C1282" i="2"/>
  <c r="E1282" i="2" s="1"/>
  <c r="C1283" i="2"/>
  <c r="C1284" i="2"/>
  <c r="E1284" i="2" s="1"/>
  <c r="C1285" i="2"/>
  <c r="C1286" i="2"/>
  <c r="E1286" i="2" s="1"/>
  <c r="C1287" i="2"/>
  <c r="C1288" i="2"/>
  <c r="C1289" i="2"/>
  <c r="E1289" i="2" s="1"/>
  <c r="C1290" i="2"/>
  <c r="C1291" i="2"/>
  <c r="C1292" i="2"/>
  <c r="E1292" i="2" s="1"/>
  <c r="C1293" i="2"/>
  <c r="C1294" i="2"/>
  <c r="E1294" i="2" s="1"/>
  <c r="C1295" i="2"/>
  <c r="C1296" i="2"/>
  <c r="E1296" i="2" s="1"/>
  <c r="C1297" i="2"/>
  <c r="C1298" i="2"/>
  <c r="E1298" i="2" s="1"/>
  <c r="C1299" i="2"/>
  <c r="C1300" i="2"/>
  <c r="C1301" i="2"/>
  <c r="E1301" i="2" s="1"/>
  <c r="C1302" i="2"/>
  <c r="C1303" i="2"/>
  <c r="C1304" i="2"/>
  <c r="C1305" i="2"/>
  <c r="C1306" i="2"/>
  <c r="E1306" i="2" s="1"/>
  <c r="C1307" i="2"/>
  <c r="C1308" i="2"/>
  <c r="E1308" i="2" s="1"/>
  <c r="C1309" i="2"/>
  <c r="C1310" i="2"/>
  <c r="E1310" i="2" s="1"/>
  <c r="C1311" i="2"/>
  <c r="C1312" i="2"/>
  <c r="C1313" i="2"/>
  <c r="E1313" i="2" s="1"/>
  <c r="C1314" i="2"/>
  <c r="C1315" i="2"/>
  <c r="C1316" i="2"/>
  <c r="C1317" i="2"/>
  <c r="C1318" i="2"/>
  <c r="E1318" i="2" s="1"/>
  <c r="C1319" i="2"/>
  <c r="C1320" i="2"/>
  <c r="E1320" i="2" s="1"/>
  <c r="C1321" i="2"/>
  <c r="C1322" i="2"/>
  <c r="C1323" i="2"/>
  <c r="C1324" i="2"/>
  <c r="C1325" i="2"/>
  <c r="E1325" i="2" s="1"/>
  <c r="C1326" i="2"/>
  <c r="C1327" i="2"/>
  <c r="C1328" i="2"/>
  <c r="C1329" i="2"/>
  <c r="C1330" i="2"/>
  <c r="E1330" i="2" s="1"/>
  <c r="C1331" i="2"/>
  <c r="C1332" i="2"/>
  <c r="E1332" i="2" s="1"/>
  <c r="C1333" i="2"/>
  <c r="C1334" i="2"/>
  <c r="E1334" i="2" s="1"/>
  <c r="C1335" i="2"/>
  <c r="C1336" i="2"/>
  <c r="C1337" i="2"/>
  <c r="E1337" i="2" s="1"/>
  <c r="C1338" i="2"/>
  <c r="C1339" i="2"/>
  <c r="C1340" i="2"/>
  <c r="C1341" i="2"/>
  <c r="C1342" i="2"/>
  <c r="E1342" i="2" s="1"/>
  <c r="C1343" i="2"/>
  <c r="C1344" i="2"/>
  <c r="E1344" i="2" s="1"/>
  <c r="C1345" i="2"/>
  <c r="C1346" i="2"/>
  <c r="C1347" i="2"/>
  <c r="C1348" i="2"/>
  <c r="C1349" i="2"/>
  <c r="E1349" i="2" s="1"/>
  <c r="C1350" i="2"/>
  <c r="C1351" i="2"/>
  <c r="C1352" i="2"/>
  <c r="C1353" i="2"/>
  <c r="C1354" i="2"/>
  <c r="E1354" i="2" s="1"/>
  <c r="C1355" i="2"/>
  <c r="C1356" i="2"/>
  <c r="E1356" i="2" s="1"/>
  <c r="C1357" i="2"/>
  <c r="C1358" i="2"/>
  <c r="E1358" i="2" s="1"/>
  <c r="C1359" i="2"/>
  <c r="C1360" i="2"/>
  <c r="C1361" i="2"/>
  <c r="E1361" i="2" s="1"/>
  <c r="C1362" i="2"/>
  <c r="C1363" i="2"/>
  <c r="C1364" i="2"/>
  <c r="C1365" i="2"/>
  <c r="C1366" i="2"/>
  <c r="E1366" i="2" s="1"/>
  <c r="C1367" i="2"/>
  <c r="C1368" i="2"/>
  <c r="E1368" i="2" s="1"/>
  <c r="C1369" i="2"/>
  <c r="C1370" i="2"/>
  <c r="E1370" i="2" s="1"/>
  <c r="C1371" i="2"/>
  <c r="C1372" i="2"/>
  <c r="C1373" i="2"/>
  <c r="E1373" i="2" s="1"/>
  <c r="C1374" i="2"/>
  <c r="C1375" i="2"/>
  <c r="C1376" i="2"/>
  <c r="C1377" i="2"/>
  <c r="C1378" i="2"/>
  <c r="E1378" i="2" s="1"/>
  <c r="C1379" i="2"/>
  <c r="C1380" i="2"/>
  <c r="E1380" i="2" s="1"/>
  <c r="C1381" i="2"/>
  <c r="C1382" i="2"/>
  <c r="E1382" i="2" s="1"/>
  <c r="C1383" i="2"/>
  <c r="C1384" i="2"/>
  <c r="C1385" i="2"/>
  <c r="E1385" i="2" s="1"/>
  <c r="C1386" i="2"/>
  <c r="C1387" i="2"/>
  <c r="C1388" i="2"/>
  <c r="C1389" i="2"/>
  <c r="C1390" i="2"/>
  <c r="E1390" i="2" s="1"/>
  <c r="C1391" i="2"/>
  <c r="C1392" i="2"/>
  <c r="E1392" i="2" s="1"/>
  <c r="C1393" i="2"/>
  <c r="C1394" i="2"/>
  <c r="E1394" i="2" s="1"/>
  <c r="C1395" i="2"/>
  <c r="C1396" i="2"/>
  <c r="C1397" i="2"/>
  <c r="E1397" i="2" s="1"/>
  <c r="C1398" i="2"/>
  <c r="C1399" i="2"/>
  <c r="C1400" i="2"/>
  <c r="C1401" i="2"/>
  <c r="C1402" i="2"/>
  <c r="E1402" i="2" s="1"/>
  <c r="C1403" i="2"/>
  <c r="C1404" i="2"/>
  <c r="E1404" i="2" s="1"/>
  <c r="C1405" i="2"/>
  <c r="C1406" i="2"/>
  <c r="C1407" i="2"/>
  <c r="C1408" i="2"/>
  <c r="C1409" i="2"/>
  <c r="E1409" i="2" s="1"/>
  <c r="C1410" i="2"/>
  <c r="C1411" i="2"/>
  <c r="C1412" i="2"/>
  <c r="C1413" i="2"/>
  <c r="C1414" i="2"/>
  <c r="E1414" i="2" s="1"/>
  <c r="C1415" i="2"/>
  <c r="C1416" i="2"/>
  <c r="E1416" i="2" s="1"/>
  <c r="C1417" i="2"/>
  <c r="C1418" i="2"/>
  <c r="E1418" i="2" s="1"/>
  <c r="C1419" i="2"/>
  <c r="C1420" i="2"/>
  <c r="C1421" i="2"/>
  <c r="E1421" i="2" s="1"/>
  <c r="C1422" i="2"/>
  <c r="C1423" i="2"/>
  <c r="C1424" i="2"/>
  <c r="C1425" i="2"/>
  <c r="C1426" i="2"/>
  <c r="E1426" i="2" s="1"/>
  <c r="C1427" i="2"/>
  <c r="C1428" i="2"/>
  <c r="E1428" i="2" s="1"/>
  <c r="C1429" i="2"/>
  <c r="C1430" i="2"/>
  <c r="E1430" i="2" s="1"/>
  <c r="C1431" i="2"/>
  <c r="C1432" i="2"/>
  <c r="C1433" i="2"/>
  <c r="E1433" i="2" s="1"/>
  <c r="C1434" i="2"/>
  <c r="C1435" i="2"/>
  <c r="C1436" i="2"/>
  <c r="C1437" i="2"/>
  <c r="C1438" i="2"/>
  <c r="E1438" i="2" s="1"/>
  <c r="C1439" i="2"/>
  <c r="C1440" i="2"/>
  <c r="E1440" i="2" s="1"/>
  <c r="C1441" i="2"/>
  <c r="C1442" i="2"/>
  <c r="E1442" i="2" s="1"/>
  <c r="C1443" i="2"/>
  <c r="C1444" i="2"/>
  <c r="C1445" i="2"/>
  <c r="E1445" i="2" s="1"/>
  <c r="C1446" i="2"/>
  <c r="C1447" i="2"/>
  <c r="C1448" i="2"/>
  <c r="C1449" i="2"/>
  <c r="C1450" i="2"/>
  <c r="E1450" i="2" s="1"/>
  <c r="C1451" i="2"/>
  <c r="C1452" i="2"/>
  <c r="E1452" i="2" s="1"/>
  <c r="C1453" i="2"/>
  <c r="C1454" i="2"/>
  <c r="E1454" i="2" s="1"/>
  <c r="C1455" i="2"/>
  <c r="C1456" i="2"/>
  <c r="C1457" i="2"/>
  <c r="E1457" i="2" s="1"/>
  <c r="C1458" i="2"/>
  <c r="C1459" i="2"/>
  <c r="C1460" i="2"/>
  <c r="C1461" i="2"/>
  <c r="C1462" i="2"/>
  <c r="E1462" i="2" s="1"/>
  <c r="C1463" i="2"/>
  <c r="C1464" i="2"/>
  <c r="E1464" i="2" s="1"/>
  <c r="C1465" i="2"/>
  <c r="C1466" i="2"/>
  <c r="E1466" i="2" s="1"/>
  <c r="C1467" i="2"/>
  <c r="C1468" i="2"/>
  <c r="C1469" i="2"/>
  <c r="E1469" i="2" s="1"/>
  <c r="C1470" i="2"/>
  <c r="C1471" i="2"/>
  <c r="C1472" i="2"/>
  <c r="C1473" i="2"/>
  <c r="C1474" i="2"/>
  <c r="E1474" i="2" s="1"/>
  <c r="C1475" i="2"/>
  <c r="C1476" i="2"/>
  <c r="E1476" i="2" s="1"/>
  <c r="C1477" i="2"/>
  <c r="C1478" i="2"/>
  <c r="E1478" i="2" s="1"/>
  <c r="C1479" i="2"/>
  <c r="C1480" i="2"/>
  <c r="C1481" i="2"/>
  <c r="E1481" i="2" s="1"/>
  <c r="C1482" i="2"/>
  <c r="C1483" i="2"/>
  <c r="C1484" i="2"/>
  <c r="C1485" i="2"/>
  <c r="C1486" i="2"/>
  <c r="E1486" i="2" s="1"/>
  <c r="C1487" i="2"/>
  <c r="C1488" i="2"/>
  <c r="E1488" i="2" s="1"/>
  <c r="C1489" i="2"/>
  <c r="C1490" i="2"/>
  <c r="E1490" i="2" s="1"/>
  <c r="C1491" i="2"/>
  <c r="C1492" i="2"/>
  <c r="C1493" i="2"/>
  <c r="E1493" i="2" s="1"/>
  <c r="C1494" i="2"/>
  <c r="C1495" i="2"/>
  <c r="C1496" i="2"/>
  <c r="C1497" i="2"/>
  <c r="C1498" i="2"/>
  <c r="E1498" i="2" s="1"/>
  <c r="C1499" i="2"/>
  <c r="C1500" i="2"/>
  <c r="E1500" i="2" s="1"/>
  <c r="C1501" i="2"/>
  <c r="C1502" i="2"/>
  <c r="E1502" i="2" s="1"/>
  <c r="C1503" i="2"/>
  <c r="C1504" i="2"/>
  <c r="C1505" i="2"/>
  <c r="E1505" i="2" s="1"/>
  <c r="C1506" i="2"/>
  <c r="C1507" i="2"/>
  <c r="C1508" i="2"/>
  <c r="C1509" i="2"/>
  <c r="C1510" i="2"/>
  <c r="E1510" i="2" s="1"/>
  <c r="C1511" i="2"/>
  <c r="C1512" i="2"/>
  <c r="E1512" i="2" s="1"/>
  <c r="C1513" i="2"/>
  <c r="C1514" i="2"/>
  <c r="E1514" i="2" s="1"/>
  <c r="C1515" i="2"/>
  <c r="C1516" i="2"/>
  <c r="C1517" i="2"/>
  <c r="E1517" i="2" s="1"/>
  <c r="C1518" i="2"/>
  <c r="C1519" i="2"/>
  <c r="C1520" i="2"/>
  <c r="C1521" i="2"/>
  <c r="C1522" i="2"/>
  <c r="E1522" i="2" s="1"/>
  <c r="C1523" i="2"/>
  <c r="C1524" i="2"/>
  <c r="E1524" i="2" s="1"/>
  <c r="C1525" i="2"/>
  <c r="C1526" i="2"/>
  <c r="E1526" i="2" s="1"/>
  <c r="C1527" i="2"/>
  <c r="E1527" i="2" s="1"/>
  <c r="C1528" i="2"/>
  <c r="C1529" i="2"/>
  <c r="E1529" i="2" s="1"/>
  <c r="C1530" i="2"/>
  <c r="C1531" i="2"/>
  <c r="C1532" i="2"/>
  <c r="C1533" i="2"/>
  <c r="C1534" i="2"/>
  <c r="E1534" i="2" s="1"/>
  <c r="C1535" i="2"/>
  <c r="C1536" i="2"/>
  <c r="E1536" i="2" s="1"/>
  <c r="C1537" i="2"/>
  <c r="E1537" i="2" s="1"/>
  <c r="C1538" i="2"/>
  <c r="E1538" i="2" s="1"/>
  <c r="C1539" i="2"/>
  <c r="C1540" i="2"/>
  <c r="C1541" i="2"/>
  <c r="E1541" i="2" s="1"/>
  <c r="C1542" i="2"/>
  <c r="C1543" i="2"/>
  <c r="C1544" i="2"/>
  <c r="C1545" i="2"/>
  <c r="C1546" i="2"/>
  <c r="E1546" i="2" s="1"/>
  <c r="C1547" i="2"/>
  <c r="C1548" i="2"/>
  <c r="E1548" i="2" s="1"/>
  <c r="C1549" i="2"/>
  <c r="C1550" i="2"/>
  <c r="E1550" i="2" s="1"/>
  <c r="C1551" i="2"/>
  <c r="C1552" i="2"/>
  <c r="C1553" i="2"/>
  <c r="E1553" i="2" s="1"/>
  <c r="C1554" i="2"/>
  <c r="C1555" i="2"/>
  <c r="C1556" i="2"/>
  <c r="C1557" i="2"/>
  <c r="C1558" i="2"/>
  <c r="E1558" i="2" s="1"/>
  <c r="C1559" i="2"/>
  <c r="C1560" i="2"/>
  <c r="E1560" i="2" s="1"/>
  <c r="C1561" i="2"/>
  <c r="C1562" i="2"/>
  <c r="E1562" i="2" s="1"/>
  <c r="C1563" i="2"/>
  <c r="C1564" i="2"/>
  <c r="C1565" i="2"/>
  <c r="E1565" i="2" s="1"/>
  <c r="C1566" i="2"/>
  <c r="C1567" i="2"/>
  <c r="C1568" i="2"/>
  <c r="C1569" i="2"/>
  <c r="C1570" i="2"/>
  <c r="E1570" i="2" s="1"/>
  <c r="C1571" i="2"/>
  <c r="C1572" i="2"/>
  <c r="E1572" i="2" s="1"/>
  <c r="C1573" i="2"/>
  <c r="C1574" i="2"/>
  <c r="E1574" i="2" s="1"/>
  <c r="C1575" i="2"/>
  <c r="C1576" i="2"/>
  <c r="C1577" i="2"/>
  <c r="E1577" i="2" s="1"/>
  <c r="C1578" i="2"/>
  <c r="C1579" i="2"/>
  <c r="C1580" i="2"/>
  <c r="C1581" i="2"/>
  <c r="C1582" i="2"/>
  <c r="E1582" i="2" s="1"/>
  <c r="C1583" i="2"/>
  <c r="C1584" i="2"/>
  <c r="E1584" i="2" s="1"/>
  <c r="C1585" i="2"/>
  <c r="C1586" i="2"/>
  <c r="E1586" i="2" s="1"/>
  <c r="C1587" i="2"/>
  <c r="C1588" i="2"/>
  <c r="C1589" i="2"/>
  <c r="E1589" i="2" s="1"/>
  <c r="C1590" i="2"/>
  <c r="C1591" i="2"/>
  <c r="C1592" i="2"/>
  <c r="C1593" i="2"/>
  <c r="C1594" i="2"/>
  <c r="E1594" i="2" s="1"/>
  <c r="C1595" i="2"/>
  <c r="C1596" i="2"/>
  <c r="E1596" i="2" s="1"/>
  <c r="C1597" i="2"/>
  <c r="C1598" i="2"/>
  <c r="E1598" i="2" s="1"/>
  <c r="C1599" i="2"/>
  <c r="C1600" i="2"/>
  <c r="C1601" i="2"/>
  <c r="E1601" i="2" s="1"/>
  <c r="C1602" i="2"/>
  <c r="C1603" i="2"/>
  <c r="C1604" i="2"/>
  <c r="C1605" i="2"/>
  <c r="C1606" i="2"/>
  <c r="E1606" i="2" s="1"/>
  <c r="C1607" i="2"/>
  <c r="C1608" i="2"/>
  <c r="E1608" i="2" s="1"/>
  <c r="C1609" i="2"/>
  <c r="C1610" i="2"/>
  <c r="E1610" i="2" s="1"/>
  <c r="C1611" i="2"/>
  <c r="C1612" i="2"/>
  <c r="C1613" i="2"/>
  <c r="C1614" i="2"/>
  <c r="C1615" i="2"/>
  <c r="C1616" i="2"/>
  <c r="C1617" i="2"/>
  <c r="C1618" i="2"/>
  <c r="E1618" i="2" s="1"/>
  <c r="C1619" i="2"/>
  <c r="C1620" i="2"/>
  <c r="E1620" i="2" s="1"/>
  <c r="C1621" i="2"/>
  <c r="C1622" i="2"/>
  <c r="E1622" i="2" s="1"/>
  <c r="C1623" i="2"/>
  <c r="C1624" i="2"/>
  <c r="C1625" i="2"/>
  <c r="E1625" i="2" s="1"/>
  <c r="C1626" i="2"/>
  <c r="C1627" i="2"/>
  <c r="C1628" i="2"/>
  <c r="C1629" i="2"/>
  <c r="C1630" i="2"/>
  <c r="E1630" i="2" s="1"/>
  <c r="C1631" i="2"/>
  <c r="C1632" i="2"/>
  <c r="E1632" i="2" s="1"/>
  <c r="C1633" i="2"/>
  <c r="C1634" i="2"/>
  <c r="E1634" i="2" s="1"/>
  <c r="C1635" i="2"/>
  <c r="C1636" i="2"/>
  <c r="C1637" i="2"/>
  <c r="E1637" i="2" s="1"/>
  <c r="C1638" i="2"/>
  <c r="C1639" i="2"/>
  <c r="C1640" i="2"/>
  <c r="C1641" i="2"/>
  <c r="C1642" i="2"/>
  <c r="E1642" i="2" s="1"/>
  <c r="C1643" i="2"/>
  <c r="C1644" i="2"/>
  <c r="E1644" i="2" s="1"/>
  <c r="C1645" i="2"/>
  <c r="C1646" i="2"/>
  <c r="E1646" i="2" s="1"/>
  <c r="C1647" i="2"/>
  <c r="C1648" i="2"/>
  <c r="C1649" i="2"/>
  <c r="E1649" i="2" s="1"/>
  <c r="C1650" i="2"/>
  <c r="C1651" i="2"/>
  <c r="C1652" i="2"/>
  <c r="C1653" i="2"/>
  <c r="C1654" i="2"/>
  <c r="E1654" i="2" s="1"/>
  <c r="C1655" i="2"/>
  <c r="C1656" i="2"/>
  <c r="E1656" i="2" s="1"/>
  <c r="C1657" i="2"/>
  <c r="C1658" i="2"/>
  <c r="E1658" i="2" s="1"/>
  <c r="C1659" i="2"/>
  <c r="C1660" i="2"/>
  <c r="C1661" i="2"/>
  <c r="E1661" i="2" s="1"/>
  <c r="C1662" i="2"/>
  <c r="C1663" i="2"/>
  <c r="C1664" i="2"/>
  <c r="C1665" i="2"/>
  <c r="C1666" i="2"/>
  <c r="E1666" i="2" s="1"/>
  <c r="C1667" i="2"/>
  <c r="C1668" i="2"/>
  <c r="E1668" i="2" s="1"/>
  <c r="C1669" i="2"/>
  <c r="C1670" i="2"/>
  <c r="E1670" i="2" s="1"/>
  <c r="C1671" i="2"/>
  <c r="C1672" i="2"/>
  <c r="C1673" i="2"/>
  <c r="E1673" i="2" s="1"/>
  <c r="C1674" i="2"/>
  <c r="C1675" i="2"/>
  <c r="C1676" i="2"/>
  <c r="C1677" i="2"/>
  <c r="C1678" i="2"/>
  <c r="E1678" i="2" s="1"/>
  <c r="C1679" i="2"/>
  <c r="C1680" i="2"/>
  <c r="E1680" i="2" s="1"/>
  <c r="C1681" i="2"/>
  <c r="C1682" i="2"/>
  <c r="E1682" i="2" s="1"/>
  <c r="C1683" i="2"/>
  <c r="C1684" i="2"/>
  <c r="C1685" i="2"/>
  <c r="E1685" i="2" s="1"/>
  <c r="C1686" i="2"/>
  <c r="C1687" i="2"/>
  <c r="C1688" i="2"/>
  <c r="C1689" i="2"/>
  <c r="C1690" i="2"/>
  <c r="E1690" i="2" s="1"/>
  <c r="C1691" i="2"/>
  <c r="C1692" i="2"/>
  <c r="E1692" i="2" s="1"/>
  <c r="C1693" i="2"/>
  <c r="C1694" i="2"/>
  <c r="E1694" i="2" s="1"/>
  <c r="C1695" i="2"/>
  <c r="C1696" i="2"/>
  <c r="C1697" i="2"/>
  <c r="E1697" i="2" s="1"/>
  <c r="C1698" i="2"/>
  <c r="C1699" i="2"/>
  <c r="C1700" i="2"/>
  <c r="C1701" i="2"/>
  <c r="C1702" i="2"/>
  <c r="E1702" i="2" s="1"/>
  <c r="C1703" i="2"/>
  <c r="C1704" i="2"/>
  <c r="E1704" i="2" s="1"/>
  <c r="C1705" i="2"/>
  <c r="C1706" i="2"/>
  <c r="E1706" i="2" s="1"/>
  <c r="C1707" i="2"/>
  <c r="C1708" i="2"/>
  <c r="C1709" i="2"/>
  <c r="E1709" i="2" s="1"/>
  <c r="C1710" i="2"/>
  <c r="C1711" i="2"/>
  <c r="C1712" i="2"/>
  <c r="C1713" i="2"/>
  <c r="C1714" i="2"/>
  <c r="E1714" i="2" s="1"/>
  <c r="C1715" i="2"/>
  <c r="C1716" i="2"/>
  <c r="E1716" i="2" s="1"/>
  <c r="C1717" i="2"/>
  <c r="C1718" i="2"/>
  <c r="E1718" i="2" s="1"/>
  <c r="C1719" i="2"/>
  <c r="C1720" i="2"/>
  <c r="C1721" i="2"/>
  <c r="E1721" i="2" s="1"/>
  <c r="C1722" i="2"/>
  <c r="C1723" i="2"/>
  <c r="C1724" i="2"/>
  <c r="C1725" i="2"/>
  <c r="C1726" i="2"/>
  <c r="E1726" i="2" s="1"/>
  <c r="C1727" i="2"/>
  <c r="C1728" i="2"/>
  <c r="E1728" i="2" s="1"/>
  <c r="C1729" i="2"/>
  <c r="C1730" i="2"/>
  <c r="E1730" i="2" s="1"/>
  <c r="C1731" i="2"/>
  <c r="C1732" i="2"/>
  <c r="C1733" i="2"/>
  <c r="E1733" i="2" s="1"/>
  <c r="C1734" i="2"/>
  <c r="C1735" i="2"/>
  <c r="C1736" i="2"/>
  <c r="E1736" i="2" s="1"/>
  <c r="C1737" i="2"/>
  <c r="C1738" i="2"/>
  <c r="E1738" i="2" s="1"/>
  <c r="C1739" i="2"/>
  <c r="C1740" i="2"/>
  <c r="E1740" i="2" s="1"/>
  <c r="C1741" i="2"/>
  <c r="C1742" i="2"/>
  <c r="E1742" i="2" s="1"/>
  <c r="C1743" i="2"/>
  <c r="E1743" i="2" s="1"/>
  <c r="C1744" i="2"/>
  <c r="C1745" i="2"/>
  <c r="E1745" i="2" s="1"/>
  <c r="C1746" i="2"/>
  <c r="C1747" i="2"/>
  <c r="C1748" i="2"/>
  <c r="C1749" i="2"/>
  <c r="C1750" i="2"/>
  <c r="E1750" i="2" s="1"/>
  <c r="C1751" i="2"/>
  <c r="C1752" i="2"/>
  <c r="E1752" i="2" s="1"/>
  <c r="C1753" i="2"/>
  <c r="C1754" i="2"/>
  <c r="E1754" i="2" s="1"/>
  <c r="C1755" i="2"/>
  <c r="C1756" i="2"/>
  <c r="C1757" i="2"/>
  <c r="E1757" i="2" s="1"/>
  <c r="C1758" i="2"/>
  <c r="C1759" i="2"/>
  <c r="C1760" i="2"/>
  <c r="C1761" i="2"/>
  <c r="C1762" i="2"/>
  <c r="E1762" i="2" s="1"/>
  <c r="C1763" i="2"/>
  <c r="C1764" i="2"/>
  <c r="E1764" i="2" s="1"/>
  <c r="C1765" i="2"/>
  <c r="C1766" i="2"/>
  <c r="E1766" i="2" s="1"/>
  <c r="C1767" i="2"/>
  <c r="C1768" i="2"/>
  <c r="C1769" i="2"/>
  <c r="E1769" i="2" s="1"/>
  <c r="C1770" i="2"/>
  <c r="C1771" i="2"/>
  <c r="C1772" i="2"/>
  <c r="C1773" i="2"/>
  <c r="C1774" i="2"/>
  <c r="E1774" i="2" s="1"/>
  <c r="C1775" i="2"/>
  <c r="C1776" i="2"/>
  <c r="E1776" i="2" s="1"/>
  <c r="C1777" i="2"/>
  <c r="C1778" i="2"/>
  <c r="E1778" i="2" s="1"/>
  <c r="C1779" i="2"/>
  <c r="C1780" i="2"/>
  <c r="C1781" i="2"/>
  <c r="E1781" i="2" s="1"/>
  <c r="C1782" i="2"/>
  <c r="C1783" i="2"/>
  <c r="C1784" i="2"/>
  <c r="C1785" i="2"/>
  <c r="C1786" i="2"/>
  <c r="E1786" i="2" s="1"/>
  <c r="C1787" i="2"/>
  <c r="C1788" i="2"/>
  <c r="E1788" i="2" s="1"/>
  <c r="C1789" i="2"/>
  <c r="C1790" i="2"/>
  <c r="E1790" i="2" s="1"/>
  <c r="C1791" i="2"/>
  <c r="C1792" i="2"/>
  <c r="C1793" i="2"/>
  <c r="E1793" i="2" s="1"/>
  <c r="C1794" i="2"/>
  <c r="C1795" i="2"/>
  <c r="E1795" i="2" s="1"/>
  <c r="C1796" i="2"/>
  <c r="C1797" i="2"/>
  <c r="C1798" i="2"/>
  <c r="E1798" i="2" s="1"/>
  <c r="C1799" i="2"/>
  <c r="C1800" i="2"/>
  <c r="E1800" i="2" s="1"/>
  <c r="C1801" i="2"/>
  <c r="C1802" i="2"/>
  <c r="E1802" i="2" s="1"/>
  <c r="C1803" i="2"/>
  <c r="C1804" i="2"/>
  <c r="C1805" i="2"/>
  <c r="E1805" i="2" s="1"/>
  <c r="C1806" i="2"/>
  <c r="C1807" i="2"/>
  <c r="C1808" i="2"/>
  <c r="C1809" i="2"/>
  <c r="C1810" i="2"/>
  <c r="E1810" i="2" s="1"/>
  <c r="C1811" i="2"/>
  <c r="C1812" i="2"/>
  <c r="E1812" i="2" s="1"/>
  <c r="C1813" i="2"/>
  <c r="C1814" i="2"/>
  <c r="E1814" i="2" s="1"/>
  <c r="C1815" i="2"/>
  <c r="C1816" i="2"/>
  <c r="C1817" i="2"/>
  <c r="E1817" i="2" s="1"/>
  <c r="C1818" i="2"/>
  <c r="C1819" i="2"/>
  <c r="C1820" i="2"/>
  <c r="C1821" i="2"/>
  <c r="C1822" i="2"/>
  <c r="E1822" i="2" s="1"/>
  <c r="C1823" i="2"/>
  <c r="C1824" i="2"/>
  <c r="E1824" i="2" s="1"/>
  <c r="C1825" i="2"/>
  <c r="C1826" i="2"/>
  <c r="E1826" i="2" s="1"/>
  <c r="C1827" i="2"/>
  <c r="C1828" i="2"/>
  <c r="C1829" i="2"/>
  <c r="E1829" i="2" s="1"/>
  <c r="C1830" i="2"/>
  <c r="C1831" i="2"/>
  <c r="C1832" i="2"/>
  <c r="C1833" i="2"/>
  <c r="C1834" i="2"/>
  <c r="E1834" i="2" s="1"/>
  <c r="C1835" i="2"/>
  <c r="C1836" i="2"/>
  <c r="E1836" i="2" s="1"/>
  <c r="C1837" i="2"/>
  <c r="C1838" i="2"/>
  <c r="E1838" i="2" s="1"/>
  <c r="C1839" i="2"/>
  <c r="C1840" i="2"/>
  <c r="C1841" i="2"/>
  <c r="E1841" i="2" s="1"/>
  <c r="C1842" i="2"/>
  <c r="C1843" i="2"/>
  <c r="C1844" i="2"/>
  <c r="C1845" i="2"/>
  <c r="E1845" i="2" s="1"/>
  <c r="C1846" i="2"/>
  <c r="E1846" i="2" s="1"/>
  <c r="C1847" i="2"/>
  <c r="C1848" i="2"/>
  <c r="E1848" i="2" s="1"/>
  <c r="C1849" i="2"/>
  <c r="C1850" i="2"/>
  <c r="E1850" i="2" s="1"/>
  <c r="C1851" i="2"/>
  <c r="C1852" i="2"/>
  <c r="C1853" i="2"/>
  <c r="E1853" i="2" s="1"/>
  <c r="C1854" i="2"/>
  <c r="C1855" i="2"/>
  <c r="E1855" i="2" s="1"/>
  <c r="C1856" i="2"/>
  <c r="C1857" i="2"/>
  <c r="E1857" i="2" s="1"/>
  <c r="C1858" i="2"/>
  <c r="E1858" i="2" s="1"/>
  <c r="C1859" i="2"/>
  <c r="C1860" i="2"/>
  <c r="E1860" i="2" s="1"/>
  <c r="C1861" i="2"/>
  <c r="C1862" i="2"/>
  <c r="E1862" i="2" s="1"/>
  <c r="C1863" i="2"/>
  <c r="C1864" i="2"/>
  <c r="C1865" i="2"/>
  <c r="E1865" i="2" s="1"/>
  <c r="C1866" i="2"/>
  <c r="C1867" i="2"/>
  <c r="C1868" i="2"/>
  <c r="C1869" i="2"/>
  <c r="E1869" i="2" s="1"/>
  <c r="C1870" i="2"/>
  <c r="E1870" i="2" s="1"/>
  <c r="C1871" i="2"/>
  <c r="C1872" i="2"/>
  <c r="E1872" i="2" s="1"/>
  <c r="C1873" i="2"/>
  <c r="C1874" i="2"/>
  <c r="C1875" i="2"/>
  <c r="C1876" i="2"/>
  <c r="C1877" i="2"/>
  <c r="E1877" i="2" s="1"/>
  <c r="C1878" i="2"/>
  <c r="C1879" i="2"/>
  <c r="C1880" i="2"/>
  <c r="C1881" i="2"/>
  <c r="E1881" i="2" s="1"/>
  <c r="C1882" i="2"/>
  <c r="E1882" i="2" s="1"/>
  <c r="C1883" i="2"/>
  <c r="C1884" i="2"/>
  <c r="E1884" i="2" s="1"/>
  <c r="C1885" i="2"/>
  <c r="C1886" i="2"/>
  <c r="E1886" i="2" s="1"/>
  <c r="C1887" i="2"/>
  <c r="C1888" i="2"/>
  <c r="C1889" i="2"/>
  <c r="E1889" i="2" s="1"/>
  <c r="C1890" i="2"/>
  <c r="C1891" i="2"/>
  <c r="C1892" i="2"/>
  <c r="C1893" i="2"/>
  <c r="E1893" i="2" s="1"/>
  <c r="C1894" i="2"/>
  <c r="E1894" i="2" s="1"/>
  <c r="C1895" i="2"/>
  <c r="C1896" i="2"/>
  <c r="E1896" i="2" s="1"/>
  <c r="C1897" i="2"/>
  <c r="C1898" i="2"/>
  <c r="E1898" i="2" s="1"/>
  <c r="C1899" i="2"/>
  <c r="C1900" i="2"/>
  <c r="C1901" i="2"/>
  <c r="E1901" i="2" s="1"/>
  <c r="C1902" i="2"/>
  <c r="C1903" i="2"/>
  <c r="E1903" i="2" s="1"/>
  <c r="C1904" i="2"/>
  <c r="C1905" i="2"/>
  <c r="E1905" i="2" s="1"/>
  <c r="C1906" i="2"/>
  <c r="E1906" i="2" s="1"/>
  <c r="C1907" i="2"/>
  <c r="C1908" i="2"/>
  <c r="E1908" i="2" s="1"/>
  <c r="C1909" i="2"/>
  <c r="C1910" i="2"/>
  <c r="E1910" i="2" s="1"/>
  <c r="C1911" i="2"/>
  <c r="C1912" i="2"/>
  <c r="C1913" i="2"/>
  <c r="E1913" i="2" s="1"/>
  <c r="C1914" i="2"/>
  <c r="C1915" i="2"/>
  <c r="C1916" i="2"/>
  <c r="C1917" i="2"/>
  <c r="E1917" i="2" s="1"/>
  <c r="C1918" i="2"/>
  <c r="E1918" i="2" s="1"/>
  <c r="C1919" i="2"/>
  <c r="C1920" i="2"/>
  <c r="E1920" i="2" s="1"/>
  <c r="C1921" i="2"/>
  <c r="C1922" i="2"/>
  <c r="E1922" i="2" s="1"/>
  <c r="C1923" i="2"/>
  <c r="C1924" i="2"/>
  <c r="C1925" i="2"/>
  <c r="C1926" i="2"/>
  <c r="C1927" i="2"/>
  <c r="C1928" i="2"/>
  <c r="C1929" i="2"/>
  <c r="E1929" i="2" s="1"/>
  <c r="C1930" i="2"/>
  <c r="E1930" i="2" s="1"/>
  <c r="C1931" i="2"/>
  <c r="C1932" i="2"/>
  <c r="E1932" i="2" s="1"/>
  <c r="C1933" i="2"/>
  <c r="C1934" i="2"/>
  <c r="E1934" i="2" s="1"/>
  <c r="C1935" i="2"/>
  <c r="C1936" i="2"/>
  <c r="C1937" i="2"/>
  <c r="E1937" i="2" s="1"/>
  <c r="C1938" i="2"/>
  <c r="C1939" i="2"/>
  <c r="E1939" i="2" s="1"/>
  <c r="C1940" i="2"/>
  <c r="C1941" i="2"/>
  <c r="E1941" i="2" s="1"/>
  <c r="C1942" i="2"/>
  <c r="E1942" i="2" s="1"/>
  <c r="C1943" i="2"/>
  <c r="C1944" i="2"/>
  <c r="E1944" i="2" s="1"/>
  <c r="C1945" i="2"/>
  <c r="C1946" i="2"/>
  <c r="E1946" i="2" s="1"/>
  <c r="C1947" i="2"/>
  <c r="C1948" i="2"/>
  <c r="C1949" i="2"/>
  <c r="E1949" i="2" s="1"/>
  <c r="C1950" i="2"/>
  <c r="C1951" i="2"/>
  <c r="C1952" i="2"/>
  <c r="C1953" i="2"/>
  <c r="E1953" i="2" s="1"/>
  <c r="C1954" i="2"/>
  <c r="E1954" i="2" s="1"/>
  <c r="C1955" i="2"/>
  <c r="C1956" i="2"/>
  <c r="E1956" i="2" s="1"/>
  <c r="C1957" i="2"/>
  <c r="C1958" i="2"/>
  <c r="E1958" i="2" s="1"/>
  <c r="C1959" i="2"/>
  <c r="C1960" i="2"/>
  <c r="C1961" i="2"/>
  <c r="E1961" i="2" s="1"/>
  <c r="C1962" i="2"/>
  <c r="C1963" i="2"/>
  <c r="C1964" i="2"/>
  <c r="C1965" i="2"/>
  <c r="E1965" i="2" s="1"/>
  <c r="C1966" i="2"/>
  <c r="E1966" i="2" s="1"/>
  <c r="C1967" i="2"/>
  <c r="C1968" i="2"/>
  <c r="E1968" i="2" s="1"/>
  <c r="C1969" i="2"/>
  <c r="C1970" i="2"/>
  <c r="E1970" i="2" s="1"/>
  <c r="C1971" i="2"/>
  <c r="C1972" i="2"/>
  <c r="C1973" i="2"/>
  <c r="E1973" i="2" s="1"/>
  <c r="C1974" i="2"/>
  <c r="C1975" i="2"/>
  <c r="C1976" i="2"/>
  <c r="C1977" i="2"/>
  <c r="E1977" i="2" s="1"/>
  <c r="C1978" i="2"/>
  <c r="E1978" i="2" s="1"/>
  <c r="C1979" i="2"/>
  <c r="C1980" i="2"/>
  <c r="E1980" i="2" s="1"/>
  <c r="C1981" i="2"/>
  <c r="C1982" i="2"/>
  <c r="E1982" i="2" s="1"/>
  <c r="C1983" i="2"/>
  <c r="C1984" i="2"/>
  <c r="E1984" i="2" s="1"/>
  <c r="C1985" i="2"/>
  <c r="C1986" i="2"/>
  <c r="C1987" i="2"/>
  <c r="E1987" i="2" s="1"/>
  <c r="C1988" i="2"/>
  <c r="C1989" i="2"/>
  <c r="E1989" i="2" s="1"/>
  <c r="C1990" i="2"/>
  <c r="E1990" i="2" s="1"/>
  <c r="C1991" i="2"/>
  <c r="C1992" i="2"/>
  <c r="E1992" i="2" s="1"/>
  <c r="C1993" i="2"/>
  <c r="C1994" i="2"/>
  <c r="E1994" i="2" s="1"/>
  <c r="C1995" i="2"/>
  <c r="C1996" i="2"/>
  <c r="C1997" i="2"/>
  <c r="C1998" i="2"/>
  <c r="C1999" i="2"/>
  <c r="E1999" i="2" s="1"/>
  <c r="C2000" i="2"/>
  <c r="C2001" i="2"/>
  <c r="E2001" i="2" s="1"/>
  <c r="C2002" i="2"/>
  <c r="E2002" i="2" s="1"/>
  <c r="C2003" i="2"/>
  <c r="C2004" i="2"/>
  <c r="E2004" i="2" s="1"/>
  <c r="C2005" i="2"/>
  <c r="E2005" i="2" s="1"/>
  <c r="C2006" i="2"/>
  <c r="E2006" i="2" s="1"/>
  <c r="C2007" i="2"/>
  <c r="C2008" i="2"/>
  <c r="C2009" i="2"/>
  <c r="C2010" i="2"/>
  <c r="C2011" i="2"/>
  <c r="C2012" i="2"/>
  <c r="C2013" i="2"/>
  <c r="E2013" i="2" s="1"/>
  <c r="C2014" i="2"/>
  <c r="E2014" i="2" s="1"/>
  <c r="C2015" i="2"/>
  <c r="C2016" i="2"/>
  <c r="E2016" i="2" s="1"/>
  <c r="C2017" i="2"/>
  <c r="C2018" i="2"/>
  <c r="E2018" i="2" s="1"/>
  <c r="C2019" i="2"/>
  <c r="E2019" i="2" s="1"/>
  <c r="C2020" i="2"/>
  <c r="C2021" i="2"/>
  <c r="C2022" i="2"/>
  <c r="C2023" i="2"/>
  <c r="E2023" i="2" s="1"/>
  <c r="C2024" i="2"/>
  <c r="C2025" i="2"/>
  <c r="E2025" i="2" s="1"/>
  <c r="C2026" i="2"/>
  <c r="E2026" i="2" s="1"/>
  <c r="C2027" i="2"/>
  <c r="C2028" i="2"/>
  <c r="E2028" i="2" s="1"/>
  <c r="C2029" i="2"/>
  <c r="C2030" i="2"/>
  <c r="E2030" i="2" s="1"/>
  <c r="C2031" i="2"/>
  <c r="C2032" i="2"/>
  <c r="C2033" i="2"/>
  <c r="E2033" i="2" s="1"/>
  <c r="C2034" i="2"/>
  <c r="C2035" i="2"/>
  <c r="C2036" i="2"/>
  <c r="C2037" i="2"/>
  <c r="E2037" i="2" s="1"/>
  <c r="C2038" i="2"/>
  <c r="E2038" i="2" s="1"/>
  <c r="C2039" i="2"/>
  <c r="C2040" i="2"/>
  <c r="E2040" i="2" s="1"/>
  <c r="C2041" i="2"/>
  <c r="C2042" i="2"/>
  <c r="E2042" i="2" s="1"/>
  <c r="C2043" i="2"/>
  <c r="C2044" i="2"/>
  <c r="C2045" i="2"/>
  <c r="C2046" i="2"/>
  <c r="C2047" i="2"/>
  <c r="C2048" i="2"/>
  <c r="C2049" i="2"/>
  <c r="E2049" i="2" s="1"/>
  <c r="C2050" i="2"/>
  <c r="E2050" i="2" s="1"/>
  <c r="C2051" i="2"/>
  <c r="C2052" i="2"/>
  <c r="E2052" i="2" s="1"/>
  <c r="C2053" i="2"/>
  <c r="C2054" i="2"/>
  <c r="C2055" i="2"/>
  <c r="C2056" i="2"/>
  <c r="C2057" i="2"/>
  <c r="C2058" i="2"/>
  <c r="C2059" i="2"/>
  <c r="C2060" i="2"/>
  <c r="C2061" i="2"/>
  <c r="E2061" i="2" s="1"/>
  <c r="C2062" i="2"/>
  <c r="E2062" i="2" s="1"/>
  <c r="C2063" i="2"/>
  <c r="C2064" i="2"/>
  <c r="E2064" i="2" s="1"/>
  <c r="C2065" i="2"/>
  <c r="C2066" i="2"/>
  <c r="E2066" i="2" s="1"/>
  <c r="C2067" i="2"/>
  <c r="C2068" i="2"/>
  <c r="C2069" i="2"/>
  <c r="C2070" i="2"/>
  <c r="C2071" i="2"/>
  <c r="E2071" i="2" s="1"/>
  <c r="C2072" i="2"/>
  <c r="C2073" i="2"/>
  <c r="E2073" i="2" s="1"/>
  <c r="C2074" i="2"/>
  <c r="E2074" i="2" s="1"/>
  <c r="C2075" i="2"/>
  <c r="C2076" i="2"/>
  <c r="E2076" i="2" s="1"/>
  <c r="C2077" i="2"/>
  <c r="C2078" i="2"/>
  <c r="E2078" i="2" s="1"/>
  <c r="C2079" i="2"/>
  <c r="C2080" i="2"/>
  <c r="C2081" i="2"/>
  <c r="C2082" i="2"/>
  <c r="C2083" i="2"/>
  <c r="C2084" i="2"/>
  <c r="C2085" i="2"/>
  <c r="E2085" i="2" s="1"/>
  <c r="C2086" i="2"/>
  <c r="E2086" i="2" s="1"/>
  <c r="C2087" i="2"/>
  <c r="C2088" i="2"/>
  <c r="E2088" i="2" s="1"/>
  <c r="C2089" i="2"/>
  <c r="C2090" i="2"/>
  <c r="E2090" i="2" s="1"/>
  <c r="C2091" i="2"/>
  <c r="C2092" i="2"/>
  <c r="C2093" i="2"/>
  <c r="C2094" i="2"/>
  <c r="C2095" i="2"/>
  <c r="E2095" i="2" s="1"/>
  <c r="C2096" i="2"/>
  <c r="C2097" i="2"/>
  <c r="E2097" i="2" s="1"/>
  <c r="C2098" i="2"/>
  <c r="E2098" i="2" s="1"/>
  <c r="C2099" i="2"/>
  <c r="C2100" i="2"/>
  <c r="E2100" i="2" s="1"/>
  <c r="C2101" i="2"/>
  <c r="C2102" i="2"/>
  <c r="E2102" i="2" s="1"/>
  <c r="C2103" i="2"/>
  <c r="C2104" i="2"/>
  <c r="C2105" i="2"/>
  <c r="C2106" i="2"/>
  <c r="C2107" i="2"/>
  <c r="C2108" i="2"/>
  <c r="C2109" i="2"/>
  <c r="E2109" i="2" s="1"/>
  <c r="C2110" i="2"/>
  <c r="E2110" i="2" s="1"/>
  <c r="C2111" i="2"/>
  <c r="C2112" i="2"/>
  <c r="E2112" i="2" s="1"/>
  <c r="C2113" i="2"/>
  <c r="C2114" i="2"/>
  <c r="E2114" i="2" s="1"/>
  <c r="C2115" i="2"/>
  <c r="C2116" i="2"/>
  <c r="C2117" i="2"/>
  <c r="C2118" i="2"/>
  <c r="C2119" i="2"/>
  <c r="E2119" i="2" s="1"/>
  <c r="C2120" i="2"/>
  <c r="C2121" i="2"/>
  <c r="E2121" i="2" s="1"/>
  <c r="C2122" i="2"/>
  <c r="E2122" i="2" s="1"/>
  <c r="C2123" i="2"/>
  <c r="C2124" i="2"/>
  <c r="E2124" i="2" s="1"/>
  <c r="C2125" i="2"/>
  <c r="C2126" i="2"/>
  <c r="E2126" i="2" s="1"/>
  <c r="C2127" i="2"/>
  <c r="C2128" i="2"/>
  <c r="C2129" i="2"/>
  <c r="C2130" i="2"/>
  <c r="C2131" i="2"/>
  <c r="C2132" i="2"/>
  <c r="C2133" i="2"/>
  <c r="E2133" i="2" s="1"/>
  <c r="C2134" i="2"/>
  <c r="E2134" i="2" s="1"/>
  <c r="C2135" i="2"/>
  <c r="C2136" i="2"/>
  <c r="E2136" i="2" s="1"/>
  <c r="C2137" i="2"/>
  <c r="C2138" i="2"/>
  <c r="E2138" i="2" s="1"/>
  <c r="C2139" i="2"/>
  <c r="C2140" i="2"/>
  <c r="C2141" i="2"/>
  <c r="C2142" i="2"/>
  <c r="C2143" i="2"/>
  <c r="C2144" i="2"/>
  <c r="C2145" i="2"/>
  <c r="E2145" i="2" s="1"/>
  <c r="C2146" i="2"/>
  <c r="E2146" i="2" s="1"/>
  <c r="C2147" i="2"/>
  <c r="C2148" i="2"/>
  <c r="E2148" i="2" s="1"/>
  <c r="C2149" i="2"/>
  <c r="C2150" i="2"/>
  <c r="E2150" i="2" s="1"/>
  <c r="C2151" i="2"/>
  <c r="C2152" i="2"/>
  <c r="C2153" i="2"/>
  <c r="C2154" i="2"/>
  <c r="C2155" i="2"/>
  <c r="E2155" i="2" s="1"/>
  <c r="C2156" i="2"/>
  <c r="C2157" i="2"/>
  <c r="E2157" i="2" s="1"/>
  <c r="C2158" i="2"/>
  <c r="E2158" i="2" s="1"/>
  <c r="C2159" i="2"/>
  <c r="C2160" i="2"/>
  <c r="E2160" i="2" s="1"/>
  <c r="C2161" i="2"/>
  <c r="C2162" i="2"/>
  <c r="E2162" i="2" s="1"/>
  <c r="C2163" i="2"/>
  <c r="C2164" i="2"/>
  <c r="C2165" i="2"/>
  <c r="C2166" i="2"/>
  <c r="C2167" i="2"/>
  <c r="C2168" i="2"/>
  <c r="C2169" i="2"/>
  <c r="E2169" i="2" s="1"/>
  <c r="C2170" i="2"/>
  <c r="E2170" i="2" s="1"/>
  <c r="C2171" i="2"/>
  <c r="C2172" i="2"/>
  <c r="E2172" i="2" s="1"/>
  <c r="C2173" i="2"/>
  <c r="C2174" i="2"/>
  <c r="E2174" i="2" s="1"/>
  <c r="C2175" i="2"/>
  <c r="C2176" i="2"/>
  <c r="C2177" i="2"/>
  <c r="C2178" i="2"/>
  <c r="C2179" i="2"/>
  <c r="C2180" i="2"/>
  <c r="C2181" i="2"/>
  <c r="E2181" i="2" s="1"/>
  <c r="C2182" i="2"/>
  <c r="E2182" i="2" s="1"/>
  <c r="C2183" i="2"/>
  <c r="C2184" i="2"/>
  <c r="E2184" i="2" s="1"/>
  <c r="C2185" i="2"/>
  <c r="E2185" i="2" s="1"/>
  <c r="C2186" i="2"/>
  <c r="E2186" i="2" s="1"/>
  <c r="C2187" i="2"/>
  <c r="C2188" i="2"/>
  <c r="C2189" i="2"/>
  <c r="E2189" i="2" s="1"/>
  <c r="C2190" i="2"/>
  <c r="C2191" i="2"/>
  <c r="E2191" i="2" s="1"/>
  <c r="C2192" i="2"/>
  <c r="C2193" i="2"/>
  <c r="E2193" i="2" s="1"/>
  <c r="C2194" i="2"/>
  <c r="E2194" i="2" s="1"/>
  <c r="C2195" i="2"/>
  <c r="C2196" i="2"/>
  <c r="E2196" i="2" s="1"/>
  <c r="C2197" i="2"/>
  <c r="C2198" i="2"/>
  <c r="E2198" i="2" s="1"/>
  <c r="C2199" i="2"/>
  <c r="C2200" i="2"/>
  <c r="C2201" i="2"/>
  <c r="C2202" i="2"/>
  <c r="C2203" i="2"/>
  <c r="C2204" i="2"/>
  <c r="C2205" i="2"/>
  <c r="E2205" i="2" s="1"/>
  <c r="C2206" i="2"/>
  <c r="E2206" i="2" s="1"/>
  <c r="C2207" i="2"/>
  <c r="C2208" i="2"/>
  <c r="E2208" i="2" s="1"/>
  <c r="C2209" i="2"/>
  <c r="C2210" i="2"/>
  <c r="E2210" i="2" s="1"/>
  <c r="C2211" i="2"/>
  <c r="C2212" i="2"/>
  <c r="E2212" i="2" s="1"/>
  <c r="C2213" i="2"/>
  <c r="E2213" i="2" s="1"/>
  <c r="C2214" i="2"/>
  <c r="C2215" i="2"/>
  <c r="E2215" i="2" s="1"/>
  <c r="C2216" i="2"/>
  <c r="C2217" i="2"/>
  <c r="E2217" i="2" s="1"/>
  <c r="C2218" i="2"/>
  <c r="E2218" i="2" s="1"/>
  <c r="C2219" i="2"/>
  <c r="C2220" i="2"/>
  <c r="E2220" i="2" s="1"/>
  <c r="C2221" i="2"/>
  <c r="C2222" i="2"/>
  <c r="E2222" i="2" s="1"/>
  <c r="C2223" i="2"/>
  <c r="C2224" i="2"/>
  <c r="C2225" i="2"/>
  <c r="C2226" i="2"/>
  <c r="C2227" i="2"/>
  <c r="E2227" i="2" s="1"/>
  <c r="C2228" i="2"/>
  <c r="C2229" i="2"/>
  <c r="E2229" i="2" s="1"/>
  <c r="C2230" i="2"/>
  <c r="E2230" i="2" s="1"/>
  <c r="C2231" i="2"/>
  <c r="C2232" i="2"/>
  <c r="E2232" i="2" s="1"/>
  <c r="C2233" i="2"/>
  <c r="C2234" i="2"/>
  <c r="E2234" i="2" s="1"/>
  <c r="C2235" i="2"/>
  <c r="C2236" i="2"/>
  <c r="C2237" i="2"/>
  <c r="C2238" i="2"/>
  <c r="C2239" i="2"/>
  <c r="C2240" i="2"/>
  <c r="C2241" i="2"/>
  <c r="E2241" i="2" s="1"/>
  <c r="C2242" i="2"/>
  <c r="E2242" i="2" s="1"/>
  <c r="C2243" i="2"/>
  <c r="C2244" i="2"/>
  <c r="E2244" i="2" s="1"/>
  <c r="C2245" i="2"/>
  <c r="C2246" i="2"/>
  <c r="E2246" i="2" s="1"/>
  <c r="C2247" i="2"/>
  <c r="C2248" i="2"/>
  <c r="C2249" i="2"/>
  <c r="C2250" i="2"/>
  <c r="C2251" i="2"/>
  <c r="C2252" i="2"/>
  <c r="C2253" i="2"/>
  <c r="E2253" i="2" s="1"/>
  <c r="C2254" i="2"/>
  <c r="E2254" i="2" s="1"/>
  <c r="C2255" i="2"/>
  <c r="C2256" i="2"/>
  <c r="E2256" i="2" s="1"/>
  <c r="C2257" i="2"/>
  <c r="C2258" i="2"/>
  <c r="E2258" i="2" s="1"/>
  <c r="C2259" i="2"/>
  <c r="C2260" i="2"/>
  <c r="C2261" i="2"/>
  <c r="C2262" i="2"/>
  <c r="C2263" i="2"/>
  <c r="C2264" i="2"/>
  <c r="C2265" i="2"/>
  <c r="E2265" i="2" s="1"/>
  <c r="C2266" i="2"/>
  <c r="E2266" i="2" s="1"/>
  <c r="C2267" i="2"/>
  <c r="C2268" i="2"/>
  <c r="E2268" i="2" s="1"/>
  <c r="C2269" i="2"/>
  <c r="C2270" i="2"/>
  <c r="E2270" i="2" s="1"/>
  <c r="C2271" i="2"/>
  <c r="C2272" i="2"/>
  <c r="C2273" i="2"/>
  <c r="C2274" i="2"/>
  <c r="C2275" i="2"/>
  <c r="C2276" i="2"/>
  <c r="C2277" i="2"/>
  <c r="E2277" i="2" s="1"/>
  <c r="C2278" i="2"/>
  <c r="E2278" i="2" s="1"/>
  <c r="C2279" i="2"/>
  <c r="C2280" i="2"/>
  <c r="E2280" i="2" s="1"/>
  <c r="C2281" i="2"/>
  <c r="C2282" i="2"/>
  <c r="E2282" i="2" s="1"/>
  <c r="C2283" i="2"/>
  <c r="C2284" i="2"/>
  <c r="C2285" i="2"/>
  <c r="C2286" i="2"/>
  <c r="C2287" i="2"/>
  <c r="E2287" i="2" s="1"/>
  <c r="C2288" i="2"/>
  <c r="C2289" i="2"/>
  <c r="E2289" i="2" s="1"/>
  <c r="C2290" i="2"/>
  <c r="E2290" i="2" s="1"/>
  <c r="C2291" i="2"/>
  <c r="C2292" i="2"/>
  <c r="E2292" i="2" s="1"/>
  <c r="C2293" i="2"/>
  <c r="C2294" i="2"/>
  <c r="E2294" i="2" s="1"/>
  <c r="C2295" i="2"/>
  <c r="C2296" i="2"/>
  <c r="C2297" i="2"/>
  <c r="C2298" i="2"/>
  <c r="C2299" i="2"/>
  <c r="C2300" i="2"/>
  <c r="C2301" i="2"/>
  <c r="E2301" i="2" s="1"/>
  <c r="C2302" i="2"/>
  <c r="E2302" i="2" s="1"/>
  <c r="C2303" i="2"/>
  <c r="C2304" i="2"/>
  <c r="E2304" i="2" s="1"/>
  <c r="C2305" i="2"/>
  <c r="C2306" i="2"/>
  <c r="E2306" i="2" s="1"/>
  <c r="C2307" i="2"/>
  <c r="C2308" i="2"/>
  <c r="C2309" i="2"/>
  <c r="C2310" i="2"/>
  <c r="C2311" i="2"/>
  <c r="C2312" i="2"/>
  <c r="C2313" i="2"/>
  <c r="E2313" i="2" s="1"/>
  <c r="C2314" i="2"/>
  <c r="E2314" i="2" s="1"/>
  <c r="C2315" i="2"/>
  <c r="C2316" i="2"/>
  <c r="E2316" i="2" s="1"/>
  <c r="C2317" i="2"/>
  <c r="C2318" i="2"/>
  <c r="E2318" i="2" s="1"/>
  <c r="C2319" i="2"/>
  <c r="C2320" i="2"/>
  <c r="C2321" i="2"/>
  <c r="C2322" i="2"/>
  <c r="C2323" i="2"/>
  <c r="C2324" i="2"/>
  <c r="C2325" i="2"/>
  <c r="E2325" i="2" s="1"/>
  <c r="C2326" i="2"/>
  <c r="E2326" i="2" s="1"/>
  <c r="C2327" i="2"/>
  <c r="C2328" i="2"/>
  <c r="E2328" i="2" s="1"/>
  <c r="C2329" i="2"/>
  <c r="C2330" i="2"/>
  <c r="E2330" i="2" s="1"/>
  <c r="C2331" i="2"/>
  <c r="C2332" i="2"/>
  <c r="C2333" i="2"/>
  <c r="C2334" i="2"/>
  <c r="C2335" i="2"/>
  <c r="C2336" i="2"/>
  <c r="C2337" i="2"/>
  <c r="E2337" i="2" s="1"/>
  <c r="C2338" i="2"/>
  <c r="E2338" i="2" s="1"/>
  <c r="C2339" i="2"/>
  <c r="C2340" i="2"/>
  <c r="E2340" i="2" s="1"/>
  <c r="C2341" i="2"/>
  <c r="C2342" i="2"/>
  <c r="E2342" i="2" s="1"/>
  <c r="C2343" i="2"/>
  <c r="C2344" i="2"/>
  <c r="C2345" i="2"/>
  <c r="C2346" i="2"/>
  <c r="C2347" i="2"/>
  <c r="C2348" i="2"/>
  <c r="C2349" i="2"/>
  <c r="E2349" i="2" s="1"/>
  <c r="C2350" i="2"/>
  <c r="E2350" i="2" s="1"/>
  <c r="C2351" i="2"/>
  <c r="C2352" i="2"/>
  <c r="E2352" i="2" s="1"/>
  <c r="C2353" i="2"/>
  <c r="C2354" i="2"/>
  <c r="E2354" i="2" s="1"/>
  <c r="C2355" i="2"/>
  <c r="C2356" i="2"/>
  <c r="C2357" i="2"/>
  <c r="C2358" i="2"/>
  <c r="C2359" i="2"/>
  <c r="C2360" i="2"/>
  <c r="C2361" i="2"/>
  <c r="E2361" i="2" s="1"/>
  <c r="C2362" i="2"/>
  <c r="E2362" i="2" s="1"/>
  <c r="C2363" i="2"/>
  <c r="C2364" i="2"/>
  <c r="E2364" i="2" s="1"/>
  <c r="C2365" i="2"/>
  <c r="C2366" i="2"/>
  <c r="E2366" i="2" s="1"/>
  <c r="C2367" i="2"/>
  <c r="C2368" i="2"/>
  <c r="C2369" i="2"/>
  <c r="C2370" i="2"/>
  <c r="C2371" i="2"/>
  <c r="C2372" i="2"/>
  <c r="C2373" i="2"/>
  <c r="E2373" i="2" s="1"/>
  <c r="C2374" i="2"/>
  <c r="E2374" i="2" s="1"/>
  <c r="C2375" i="2"/>
  <c r="C2376" i="2"/>
  <c r="E2376" i="2" s="1"/>
  <c r="C2377" i="2"/>
  <c r="C2378" i="2"/>
  <c r="C2379" i="2"/>
  <c r="C2380" i="2"/>
  <c r="C2381" i="2"/>
  <c r="C2382" i="2"/>
  <c r="C2383" i="2"/>
  <c r="C2384" i="2"/>
  <c r="C2385" i="2"/>
  <c r="E2385" i="2" s="1"/>
  <c r="C2386" i="2"/>
  <c r="E2386" i="2" s="1"/>
  <c r="C2387" i="2"/>
  <c r="C2388" i="2"/>
  <c r="E2388" i="2" s="1"/>
  <c r="C2389" i="2"/>
  <c r="C2390" i="2"/>
  <c r="E2390" i="2" s="1"/>
  <c r="C2391" i="2"/>
  <c r="C2392" i="2"/>
  <c r="C2393" i="2"/>
  <c r="C2394" i="2"/>
  <c r="C2395" i="2"/>
  <c r="E2395" i="2" s="1"/>
  <c r="C2396" i="2"/>
  <c r="C2397" i="2"/>
  <c r="E2397" i="2" s="1"/>
  <c r="C2398" i="2"/>
  <c r="E2398" i="2" s="1"/>
  <c r="C2399" i="2"/>
  <c r="C2400" i="2"/>
  <c r="E2400" i="2" s="1"/>
  <c r="C2401" i="2"/>
  <c r="C2402" i="2"/>
  <c r="E2402" i="2" s="1"/>
  <c r="C2403" i="2"/>
  <c r="C2404" i="2"/>
  <c r="C2405" i="2"/>
  <c r="C2406" i="2"/>
  <c r="C2407" i="2"/>
  <c r="C2408" i="2"/>
  <c r="C2409" i="2"/>
  <c r="E2409" i="2" s="1"/>
  <c r="C2410" i="2"/>
  <c r="E2410" i="2" s="1"/>
  <c r="C2411" i="2"/>
  <c r="C2412" i="2"/>
  <c r="E2412" i="2" s="1"/>
  <c r="C2413" i="2"/>
  <c r="C2414" i="2"/>
  <c r="E2414" i="2" s="1"/>
  <c r="C2415" i="2"/>
  <c r="C2416" i="2"/>
  <c r="C2417" i="2"/>
  <c r="C2418" i="2"/>
  <c r="C2419" i="2"/>
  <c r="C2420" i="2"/>
  <c r="C2421" i="2"/>
  <c r="E2421" i="2" s="1"/>
  <c r="C2422" i="2"/>
  <c r="E2422" i="2" s="1"/>
  <c r="C2423" i="2"/>
  <c r="C2424" i="2"/>
  <c r="E2424" i="2" s="1"/>
  <c r="C2425" i="2"/>
  <c r="E2425" i="2" s="1"/>
  <c r="C2426" i="2"/>
  <c r="E2426" i="2" s="1"/>
  <c r="C2427" i="2"/>
  <c r="C2428" i="2"/>
  <c r="C2429" i="2"/>
  <c r="E2429" i="2" s="1"/>
  <c r="C2430" i="2"/>
  <c r="C2431" i="2"/>
  <c r="E2431" i="2" s="1"/>
  <c r="C2432" i="2"/>
  <c r="C2433" i="2"/>
  <c r="E2433" i="2" s="1"/>
  <c r="C2434" i="2"/>
  <c r="E2434" i="2" s="1"/>
  <c r="C2435" i="2"/>
  <c r="C2436" i="2"/>
  <c r="E2436" i="2" s="1"/>
  <c r="C2437" i="2"/>
  <c r="C2438" i="2"/>
  <c r="E2438" i="2" s="1"/>
  <c r="C2439" i="2"/>
  <c r="C2440" i="2"/>
  <c r="C2441" i="2"/>
  <c r="C2442" i="2"/>
  <c r="C2443" i="2"/>
  <c r="C2444" i="2"/>
  <c r="C2445" i="2"/>
  <c r="E2445" i="2" s="1"/>
  <c r="C2446" i="2"/>
  <c r="E2446" i="2" s="1"/>
  <c r="C2447" i="2"/>
  <c r="C2448" i="2"/>
  <c r="E2448" i="2" s="1"/>
  <c r="C2449" i="2"/>
  <c r="C2450" i="2"/>
  <c r="E2450" i="2" s="1"/>
  <c r="C2451" i="2"/>
  <c r="C2452" i="2"/>
  <c r="C2453" i="2"/>
  <c r="C2454" i="2"/>
  <c r="C2455" i="2"/>
  <c r="C2456" i="2"/>
  <c r="C2457" i="2"/>
  <c r="E2457" i="2" s="1"/>
  <c r="C2458" i="2"/>
  <c r="E2458" i="2" s="1"/>
  <c r="C2459" i="2"/>
  <c r="C2460" i="2"/>
  <c r="E2460" i="2" s="1"/>
  <c r="C2461" i="2"/>
  <c r="C2462" i="2"/>
  <c r="E2462" i="2" s="1"/>
  <c r="C2463" i="2"/>
  <c r="C2464" i="2"/>
  <c r="C2465" i="2"/>
  <c r="C2466" i="2"/>
  <c r="C2467" i="2"/>
  <c r="C2468" i="2"/>
  <c r="C2469" i="2"/>
  <c r="E2469" i="2" s="1"/>
  <c r="C2470" i="2"/>
  <c r="E2470" i="2" s="1"/>
  <c r="C2471" i="2"/>
  <c r="C2472" i="2"/>
  <c r="E2472" i="2" s="1"/>
  <c r="C2473" i="2"/>
  <c r="C2474" i="2"/>
  <c r="E2474" i="2" s="1"/>
  <c r="C2475" i="2"/>
  <c r="E2475" i="2" s="1"/>
  <c r="C2476" i="2"/>
  <c r="C2477" i="2"/>
  <c r="C2478" i="2"/>
  <c r="C2479" i="2"/>
  <c r="C2480" i="2"/>
  <c r="C2481" i="2"/>
  <c r="E2481" i="2" s="1"/>
  <c r="C2482" i="2"/>
  <c r="E2482" i="2" s="1"/>
  <c r="C2483" i="2"/>
  <c r="C2484" i="2"/>
  <c r="E2484" i="2" s="1"/>
  <c r="C2485" i="2"/>
  <c r="C2486" i="2"/>
  <c r="E2486" i="2" s="1"/>
  <c r="C2487" i="2"/>
  <c r="C2488" i="2"/>
  <c r="C2489" i="2"/>
  <c r="C2490" i="2"/>
  <c r="C2491" i="2"/>
  <c r="C2492" i="2"/>
  <c r="C2493" i="2"/>
  <c r="E2493" i="2" s="1"/>
  <c r="C2494" i="2"/>
  <c r="E2494" i="2" s="1"/>
  <c r="C2495" i="2"/>
  <c r="C2496" i="2"/>
  <c r="E2496" i="2" s="1"/>
  <c r="C2497" i="2"/>
  <c r="E2497" i="2" s="1"/>
  <c r="C2498" i="2"/>
  <c r="E2498" i="2" s="1"/>
  <c r="C2499" i="2"/>
  <c r="C2500" i="2"/>
  <c r="C2501" i="2"/>
  <c r="C2502" i="2"/>
  <c r="C2503" i="2"/>
  <c r="C2504" i="2"/>
  <c r="C2505" i="2"/>
  <c r="E2505" i="2" s="1"/>
  <c r="C2506" i="2"/>
  <c r="E2506" i="2" s="1"/>
  <c r="C2507" i="2"/>
  <c r="C2508" i="2"/>
  <c r="E2508" i="2" s="1"/>
  <c r="C2509" i="2"/>
  <c r="C2510" i="2"/>
  <c r="E2510" i="2" s="1"/>
  <c r="C2511" i="2"/>
  <c r="C2512" i="2"/>
  <c r="C2513" i="2"/>
  <c r="C2514" i="2"/>
  <c r="C2515" i="2"/>
  <c r="E2515" i="2" s="1"/>
  <c r="C2516" i="2"/>
  <c r="E2516" i="2" s="1"/>
  <c r="C2517" i="2"/>
  <c r="E2517" i="2" s="1"/>
  <c r="C2518" i="2"/>
  <c r="E2518" i="2" s="1"/>
  <c r="C2519" i="2"/>
  <c r="C2520" i="2"/>
  <c r="E2520" i="2" s="1"/>
  <c r="C2521" i="2"/>
  <c r="C2522" i="2"/>
  <c r="E2522" i="2" s="1"/>
  <c r="C2523" i="2"/>
  <c r="C2524" i="2"/>
  <c r="C2525" i="2"/>
  <c r="C2526" i="2"/>
  <c r="C2527" i="2"/>
  <c r="C2528" i="2"/>
  <c r="C2529" i="2"/>
  <c r="E2529" i="2" s="1"/>
  <c r="C2530" i="2"/>
  <c r="E2530" i="2" s="1"/>
  <c r="C2531" i="2"/>
  <c r="C2532" i="2"/>
  <c r="E2532" i="2" s="1"/>
  <c r="C2533" i="2"/>
  <c r="C2534" i="2"/>
  <c r="E2534" i="2" s="1"/>
  <c r="C2535" i="2"/>
  <c r="C2536" i="2"/>
  <c r="C2537" i="2"/>
  <c r="C2538" i="2"/>
  <c r="C2539" i="2"/>
  <c r="C2540" i="2"/>
  <c r="C2541" i="2"/>
  <c r="E2541" i="2" s="1"/>
  <c r="C2542" i="2"/>
  <c r="E2542" i="2" s="1"/>
  <c r="C2543" i="2"/>
  <c r="C2544" i="2"/>
  <c r="E2544" i="2" s="1"/>
  <c r="C2545" i="2"/>
  <c r="C2546" i="2"/>
  <c r="E2546" i="2" s="1"/>
  <c r="C2547" i="2"/>
  <c r="C2548" i="2"/>
  <c r="C2549" i="2"/>
  <c r="C2550" i="2"/>
  <c r="C2551" i="2"/>
  <c r="C2552" i="2"/>
  <c r="C2553" i="2"/>
  <c r="E2553" i="2" s="1"/>
  <c r="C2554" i="2"/>
  <c r="E2554" i="2" s="1"/>
  <c r="C2555" i="2"/>
  <c r="C2556" i="2"/>
  <c r="E2556" i="2" s="1"/>
  <c r="C2557" i="2"/>
  <c r="C2558" i="2"/>
  <c r="E2558" i="2" s="1"/>
  <c r="C2559" i="2"/>
  <c r="C2560" i="2"/>
  <c r="C2561" i="2"/>
  <c r="C2562" i="2"/>
  <c r="C2563" i="2"/>
  <c r="C2564" i="2"/>
  <c r="C2565" i="2"/>
  <c r="E2565" i="2" s="1"/>
  <c r="C2566" i="2"/>
  <c r="E2566" i="2" s="1"/>
  <c r="C2567" i="2"/>
  <c r="C2568" i="2"/>
  <c r="E2568" i="2" s="1"/>
  <c r="C2569" i="2"/>
  <c r="C2570" i="2"/>
  <c r="E2570" i="2" s="1"/>
  <c r="C2571" i="2"/>
  <c r="C2572" i="2"/>
  <c r="C2573" i="2"/>
  <c r="C2574" i="2"/>
  <c r="C2575" i="2"/>
  <c r="C2576" i="2"/>
  <c r="C2577" i="2"/>
  <c r="E2577" i="2" s="1"/>
  <c r="C2578" i="2"/>
  <c r="E2578" i="2" s="1"/>
  <c r="C2579" i="2"/>
  <c r="C2580" i="2"/>
  <c r="E2580" i="2" s="1"/>
  <c r="C2581" i="2"/>
  <c r="C2582" i="2"/>
  <c r="E2582" i="2" s="1"/>
  <c r="C2583" i="2"/>
  <c r="C2584" i="2"/>
  <c r="C2585" i="2"/>
  <c r="C2586" i="2"/>
  <c r="C2587" i="2"/>
  <c r="C2588" i="2"/>
  <c r="C2589" i="2"/>
  <c r="E2589" i="2" s="1"/>
  <c r="C2590" i="2"/>
  <c r="E2590" i="2" s="1"/>
  <c r="C2591" i="2"/>
  <c r="C2592" i="2"/>
  <c r="E2592" i="2" s="1"/>
  <c r="C2593" i="2"/>
  <c r="C2594" i="2"/>
  <c r="E2594" i="2" s="1"/>
  <c r="C2595" i="2"/>
  <c r="C2596" i="2"/>
  <c r="C2597" i="2"/>
  <c r="C2598" i="2"/>
  <c r="C2599" i="2"/>
  <c r="C2600" i="2"/>
  <c r="C2601" i="2"/>
  <c r="E2601" i="2" s="1"/>
  <c r="C2602" i="2"/>
  <c r="E2602" i="2" s="1"/>
  <c r="C2603" i="2"/>
  <c r="C2604" i="2"/>
  <c r="E2604" i="2" s="1"/>
  <c r="C2605" i="2"/>
  <c r="C2606" i="2"/>
  <c r="E2606" i="2" s="1"/>
  <c r="C2607" i="2"/>
  <c r="C2608" i="2"/>
  <c r="C2609" i="2"/>
  <c r="C2610" i="2"/>
  <c r="C2611" i="2"/>
  <c r="C2612" i="2"/>
  <c r="C2613" i="2"/>
  <c r="E2613" i="2" s="1"/>
  <c r="C2614" i="2"/>
  <c r="E2614" i="2" s="1"/>
  <c r="C2615" i="2"/>
  <c r="C2616" i="2"/>
  <c r="E2616" i="2" s="1"/>
  <c r="C2617" i="2"/>
  <c r="C2618" i="2"/>
  <c r="E2618" i="2" s="1"/>
  <c r="C2619" i="2"/>
  <c r="C2620" i="2"/>
  <c r="C2621" i="2"/>
  <c r="C2622" i="2"/>
  <c r="C2623" i="2"/>
  <c r="C2624" i="2"/>
  <c r="C2625" i="2"/>
  <c r="E2625" i="2" s="1"/>
  <c r="C2626" i="2"/>
  <c r="E2626" i="2" s="1"/>
  <c r="C2627" i="2"/>
  <c r="C2628" i="2"/>
  <c r="E2628" i="2" s="1"/>
  <c r="C2629" i="2"/>
  <c r="C2630" i="2"/>
  <c r="E2630" i="2" s="1"/>
  <c r="C2631" i="2"/>
  <c r="C2632" i="2"/>
  <c r="C2633" i="2"/>
  <c r="C2634" i="2"/>
  <c r="C2635" i="2"/>
  <c r="C2636" i="2"/>
  <c r="C2637" i="2"/>
  <c r="E2637" i="2" s="1"/>
  <c r="C2638" i="2"/>
  <c r="E2638" i="2" s="1"/>
  <c r="C2639" i="2"/>
  <c r="C2640" i="2"/>
  <c r="E2640" i="2" s="1"/>
  <c r="C2641" i="2"/>
  <c r="C2642" i="2"/>
  <c r="E2642" i="2" s="1"/>
  <c r="C2643" i="2"/>
  <c r="C2644" i="2"/>
  <c r="C2645" i="2"/>
  <c r="C2646" i="2"/>
  <c r="C2647" i="2"/>
  <c r="C2648" i="2"/>
  <c r="C2649" i="2"/>
  <c r="E2649" i="2" s="1"/>
  <c r="C2650" i="2"/>
  <c r="E2650" i="2" s="1"/>
  <c r="C2651" i="2"/>
  <c r="C2652" i="2"/>
  <c r="E2652" i="2" s="1"/>
  <c r="C2653" i="2"/>
  <c r="E2653" i="2" s="1"/>
  <c r="C2654" i="2"/>
  <c r="E2654" i="2" s="1"/>
  <c r="C2655" i="2"/>
  <c r="C2656" i="2"/>
  <c r="E2656" i="2" s="1"/>
  <c r="C2657" i="2"/>
  <c r="C2658" i="2"/>
  <c r="C2659" i="2"/>
  <c r="C2660" i="2"/>
  <c r="C2661" i="2"/>
  <c r="E2661" i="2" s="1"/>
  <c r="C2662" i="2"/>
  <c r="E2662" i="2" s="1"/>
  <c r="C2663" i="2"/>
  <c r="C2664" i="2"/>
  <c r="E2664" i="2" s="1"/>
  <c r="C2665" i="2"/>
  <c r="C2666" i="2"/>
  <c r="E2666" i="2" s="1"/>
  <c r="C2667" i="2"/>
  <c r="E2667" i="2" s="1"/>
  <c r="C2668" i="2"/>
  <c r="C2669" i="2"/>
  <c r="C2670" i="2"/>
  <c r="C2671" i="2"/>
  <c r="C2672" i="2"/>
  <c r="C2673" i="2"/>
  <c r="E2673" i="2" s="1"/>
  <c r="C2674" i="2"/>
  <c r="E2674" i="2" s="1"/>
  <c r="C2675" i="2"/>
  <c r="C2676" i="2"/>
  <c r="E2676" i="2" s="1"/>
  <c r="C2677" i="2"/>
  <c r="C2678" i="2"/>
  <c r="E2678" i="2" s="1"/>
  <c r="C2679" i="2"/>
  <c r="C2680" i="2"/>
  <c r="C2681" i="2"/>
  <c r="C2682" i="2"/>
  <c r="C2683" i="2"/>
  <c r="C2684" i="2"/>
  <c r="C2685" i="2"/>
  <c r="E2685" i="2" s="1"/>
  <c r="C2686" i="2"/>
  <c r="E2686" i="2" s="1"/>
  <c r="C2687" i="2"/>
  <c r="C2688" i="2"/>
  <c r="E2688" i="2" s="1"/>
  <c r="C2689" i="2"/>
  <c r="C2690" i="2"/>
  <c r="E2690" i="2" s="1"/>
  <c r="C2691" i="2"/>
  <c r="C2692" i="2"/>
  <c r="C2693" i="2"/>
  <c r="C2694" i="2"/>
  <c r="C2695" i="2"/>
  <c r="C2696" i="2"/>
  <c r="C2697" i="2"/>
  <c r="E2697" i="2" s="1"/>
  <c r="C2698" i="2"/>
  <c r="E2698" i="2" s="1"/>
  <c r="C2699" i="2"/>
  <c r="C2700" i="2"/>
  <c r="E2700" i="2" s="1"/>
  <c r="C2701" i="2"/>
  <c r="C2702" i="2"/>
  <c r="E2702" i="2" s="1"/>
  <c r="C2703" i="2"/>
  <c r="C2704" i="2"/>
  <c r="C2705" i="2"/>
  <c r="C2706" i="2"/>
  <c r="C2707" i="2"/>
  <c r="C2708" i="2"/>
  <c r="E2708" i="2" s="1"/>
  <c r="C2709" i="2"/>
  <c r="E2709" i="2" s="1"/>
  <c r="C2710" i="2"/>
  <c r="E2710" i="2" s="1"/>
  <c r="C2711" i="2"/>
  <c r="C2712" i="2"/>
  <c r="E2712" i="2" s="1"/>
  <c r="C2713" i="2"/>
  <c r="C2714" i="2"/>
  <c r="E2714" i="2" s="1"/>
  <c r="C2715" i="2"/>
  <c r="C2716" i="2"/>
  <c r="C2717" i="2"/>
  <c r="E2717" i="2" s="1"/>
  <c r="C2718" i="2"/>
  <c r="C2719" i="2"/>
  <c r="C2720" i="2"/>
  <c r="E2720" i="2" s="1"/>
  <c r="C2721" i="2"/>
  <c r="E2721" i="2" s="1"/>
  <c r="C2722" i="2"/>
  <c r="E2722" i="2" s="1"/>
  <c r="C2723" i="2"/>
  <c r="C2724" i="2"/>
  <c r="E2724" i="2" s="1"/>
  <c r="C2725" i="2"/>
  <c r="C2726" i="2"/>
  <c r="E2726" i="2" s="1"/>
  <c r="C2727" i="2"/>
  <c r="C2728" i="2"/>
  <c r="C2729" i="2"/>
  <c r="C2730" i="2"/>
  <c r="C2731" i="2"/>
  <c r="C2732" i="2"/>
  <c r="C2733" i="2"/>
  <c r="E2733" i="2" s="1"/>
  <c r="C2734" i="2"/>
  <c r="E2734" i="2" s="1"/>
  <c r="C2735" i="2"/>
  <c r="C2736" i="2"/>
  <c r="E2736" i="2" s="1"/>
  <c r="C2737" i="2"/>
  <c r="C2738" i="2"/>
  <c r="E2738" i="2" s="1"/>
  <c r="C2739" i="2"/>
  <c r="C2740" i="2"/>
  <c r="C2741" i="2"/>
  <c r="C2742" i="2"/>
  <c r="C2743" i="2"/>
  <c r="C2744" i="2"/>
  <c r="C2745" i="2"/>
  <c r="E2745" i="2" s="1"/>
  <c r="C2746" i="2"/>
  <c r="E2746" i="2" s="1"/>
  <c r="C2747" i="2"/>
  <c r="C2748" i="2"/>
  <c r="E2748" i="2" s="1"/>
  <c r="C2749" i="2"/>
  <c r="C2750" i="2"/>
  <c r="E2750" i="2" s="1"/>
  <c r="C2751" i="2"/>
  <c r="C2752" i="2"/>
  <c r="C2753" i="2"/>
  <c r="C2754" i="2"/>
  <c r="C2755" i="2"/>
  <c r="C2756" i="2"/>
  <c r="C2757" i="2"/>
  <c r="E2757" i="2" s="1"/>
  <c r="C2758" i="2"/>
  <c r="E2758" i="2" s="1"/>
  <c r="C2759" i="2"/>
  <c r="C2760" i="2"/>
  <c r="E2760" i="2" s="1"/>
  <c r="C2761" i="2"/>
  <c r="C2762" i="2"/>
  <c r="C2763" i="2"/>
  <c r="C2764" i="2"/>
  <c r="C2765" i="2"/>
  <c r="C2766" i="2"/>
  <c r="C2767" i="2"/>
  <c r="C2768" i="2"/>
  <c r="C2769" i="2"/>
  <c r="E2769" i="2" s="1"/>
  <c r="C2770" i="2"/>
  <c r="E2770" i="2" s="1"/>
  <c r="C2771" i="2"/>
  <c r="C2772" i="2"/>
  <c r="E2772" i="2" s="1"/>
  <c r="C2773" i="2"/>
  <c r="C2774" i="2"/>
  <c r="E2774" i="2" s="1"/>
  <c r="C2775" i="2"/>
  <c r="C2776" i="2"/>
  <c r="C2777" i="2"/>
  <c r="C2778" i="2"/>
  <c r="C2779" i="2"/>
  <c r="C2780" i="2"/>
  <c r="E2780" i="2" s="1"/>
  <c r="C2781" i="2"/>
  <c r="E2781" i="2" s="1"/>
  <c r="C2782" i="2"/>
  <c r="E2782" i="2" s="1"/>
  <c r="C2783" i="2"/>
  <c r="C2784" i="2"/>
  <c r="E2784" i="2" s="1"/>
  <c r="C2785" i="2"/>
  <c r="C2786" i="2"/>
  <c r="C2787" i="2"/>
  <c r="C2788" i="2"/>
  <c r="C2789" i="2"/>
  <c r="C2790" i="2"/>
  <c r="C2791" i="2"/>
  <c r="E2791" i="2" s="1"/>
  <c r="C2792" i="2"/>
  <c r="E2792" i="2" s="1"/>
  <c r="C2793" i="2"/>
  <c r="E2793" i="2" s="1"/>
  <c r="C2794" i="2"/>
  <c r="E2794" i="2" s="1"/>
  <c r="C2795" i="2"/>
  <c r="C2796" i="2"/>
  <c r="E2796" i="2" s="1"/>
  <c r="C2797" i="2"/>
  <c r="C2798" i="2"/>
  <c r="E2798" i="2" s="1"/>
  <c r="C2799" i="2"/>
  <c r="C2800" i="2"/>
  <c r="C2801" i="2"/>
  <c r="C2802" i="2"/>
  <c r="C2803" i="2"/>
  <c r="C2804" i="2"/>
  <c r="E2804" i="2" s="1"/>
  <c r="C2805" i="2"/>
  <c r="E2805" i="2" s="1"/>
  <c r="C2806" i="2"/>
  <c r="E2806" i="2" s="1"/>
  <c r="C2807" i="2"/>
  <c r="C2808" i="2"/>
  <c r="E2808" i="2" s="1"/>
  <c r="C2809" i="2"/>
  <c r="C2810" i="2"/>
  <c r="C2811" i="2"/>
  <c r="C2812" i="2"/>
  <c r="C2813" i="2"/>
  <c r="C2814" i="2"/>
  <c r="C2815" i="2"/>
  <c r="C2816" i="2"/>
  <c r="E2816" i="2" s="1"/>
  <c r="C2817" i="2"/>
  <c r="E2817" i="2" s="1"/>
  <c r="C2818" i="2"/>
  <c r="E2818" i="2" s="1"/>
  <c r="C2819" i="2"/>
  <c r="C2820" i="2"/>
  <c r="E2820" i="2" s="1"/>
  <c r="C2821" i="2"/>
  <c r="C2822" i="2"/>
  <c r="E2822" i="2" s="1"/>
  <c r="C2823" i="2"/>
  <c r="C2824" i="2"/>
  <c r="C2825" i="2"/>
  <c r="C2826" i="2"/>
  <c r="C2827" i="2"/>
  <c r="C2828" i="2"/>
  <c r="E2828" i="2" s="1"/>
  <c r="C2829" i="2"/>
  <c r="E2829" i="2" s="1"/>
  <c r="C2830" i="2"/>
  <c r="E2830" i="2" s="1"/>
  <c r="C2831" i="2"/>
  <c r="C2832" i="2"/>
  <c r="E2832" i="2" s="1"/>
  <c r="C2833" i="2"/>
  <c r="C2834" i="2"/>
  <c r="E2834" i="2" s="1"/>
  <c r="C2835" i="2"/>
  <c r="C2836" i="2"/>
  <c r="C2837" i="2"/>
  <c r="C2838" i="2"/>
  <c r="C2839" i="2"/>
  <c r="C2840" i="2"/>
  <c r="E2840" i="2" s="1"/>
  <c r="C2841" i="2"/>
  <c r="E2841" i="2" s="1"/>
  <c r="C2842" i="2"/>
  <c r="E2842" i="2" s="1"/>
  <c r="C2843" i="2"/>
  <c r="C2844" i="2"/>
  <c r="E2844" i="2" s="1"/>
  <c r="C2845" i="2"/>
  <c r="C2846" i="2"/>
  <c r="E2846" i="2" s="1"/>
  <c r="C2847" i="2"/>
  <c r="C2848" i="2"/>
  <c r="C2849" i="2"/>
  <c r="C2850" i="2"/>
  <c r="C2851" i="2"/>
  <c r="C2852" i="2"/>
  <c r="E2852" i="2" s="1"/>
  <c r="C2853" i="2"/>
  <c r="E2853" i="2" s="1"/>
  <c r="C2854" i="2"/>
  <c r="E2854" i="2" s="1"/>
  <c r="C2855" i="2"/>
  <c r="C2856" i="2"/>
  <c r="E2856" i="2" s="1"/>
  <c r="C2857" i="2"/>
  <c r="E2857" i="2" s="1"/>
  <c r="C2858" i="2"/>
  <c r="E2858" i="2" s="1"/>
  <c r="C2859" i="2"/>
  <c r="C2860" i="2"/>
  <c r="C2861" i="2"/>
  <c r="C2862" i="2"/>
  <c r="C2863" i="2"/>
  <c r="C2864" i="2"/>
  <c r="E2864" i="2" s="1"/>
  <c r="C2865" i="2"/>
  <c r="E2865" i="2" s="1"/>
  <c r="C2866" i="2"/>
  <c r="E2866" i="2" s="1"/>
  <c r="C2867" i="2"/>
  <c r="C2868" i="2"/>
  <c r="E2868" i="2" s="1"/>
  <c r="C2869" i="2"/>
  <c r="C2870" i="2"/>
  <c r="E2870" i="2" s="1"/>
  <c r="C2871" i="2"/>
  <c r="C2872" i="2"/>
  <c r="C2873" i="2"/>
  <c r="C2874" i="2"/>
  <c r="C2875" i="2"/>
  <c r="C2876" i="2"/>
  <c r="E2876" i="2" s="1"/>
  <c r="C2877" i="2"/>
  <c r="E2877" i="2" s="1"/>
  <c r="C2878" i="2"/>
  <c r="E2878" i="2" s="1"/>
  <c r="C2879" i="2"/>
  <c r="C2880" i="2"/>
  <c r="E2880" i="2" s="1"/>
  <c r="C2881" i="2"/>
  <c r="C2882" i="2"/>
  <c r="E2882" i="2" s="1"/>
  <c r="C2883" i="2"/>
  <c r="C2884" i="2"/>
  <c r="C2885" i="2"/>
  <c r="C2886" i="2"/>
  <c r="C2887" i="2"/>
  <c r="C2888" i="2"/>
  <c r="E2888" i="2" s="1"/>
  <c r="C2889" i="2"/>
  <c r="E2889" i="2" s="1"/>
  <c r="C2890" i="2"/>
  <c r="E2890" i="2" s="1"/>
  <c r="C2891" i="2"/>
  <c r="C2892" i="2"/>
  <c r="E2892" i="2" s="1"/>
  <c r="C2893" i="2"/>
  <c r="C2894" i="2"/>
  <c r="E2894" i="2" s="1"/>
  <c r="C2895" i="2"/>
  <c r="C2896" i="2"/>
  <c r="C2897" i="2"/>
  <c r="E2897" i="2" s="1"/>
  <c r="C2898" i="2"/>
  <c r="C2899" i="2"/>
  <c r="C2900" i="2"/>
  <c r="E2900" i="2" s="1"/>
  <c r="C2901" i="2"/>
  <c r="E2901" i="2" s="1"/>
  <c r="C2902" i="2"/>
  <c r="E2902" i="2" s="1"/>
  <c r="C2903" i="2"/>
  <c r="C2904" i="2"/>
  <c r="E2904" i="2" s="1"/>
  <c r="C2905" i="2"/>
  <c r="C2906" i="2"/>
  <c r="E2906" i="2" s="1"/>
  <c r="C2907" i="2"/>
  <c r="C2908" i="2"/>
  <c r="C2909" i="2"/>
  <c r="C2910" i="2"/>
  <c r="C2911" i="2"/>
  <c r="C2912" i="2"/>
  <c r="E2912" i="2" s="1"/>
  <c r="C2913" i="2"/>
  <c r="E2913" i="2" s="1"/>
  <c r="C2914" i="2"/>
  <c r="E2914" i="2" s="1"/>
  <c r="C2915" i="2"/>
  <c r="C2916" i="2"/>
  <c r="E2916" i="2" s="1"/>
  <c r="C2917" i="2"/>
  <c r="C2918" i="2"/>
  <c r="E2918" i="2" s="1"/>
  <c r="C2919" i="2"/>
  <c r="C2920" i="2"/>
  <c r="C2921" i="2"/>
  <c r="C2922" i="2"/>
  <c r="C2923" i="2"/>
  <c r="C2924" i="2"/>
  <c r="E2924" i="2" s="1"/>
  <c r="C2925" i="2"/>
  <c r="E2925" i="2" s="1"/>
  <c r="C2926" i="2"/>
  <c r="E2926" i="2" s="1"/>
  <c r="C2927" i="2"/>
  <c r="C2928" i="2"/>
  <c r="E2928" i="2" s="1"/>
  <c r="C2929" i="2"/>
  <c r="C2930" i="2"/>
  <c r="E2930" i="2" s="1"/>
  <c r="C2931" i="2"/>
  <c r="C2932" i="2"/>
  <c r="C2933" i="2"/>
  <c r="C2934" i="2"/>
  <c r="C2935" i="2"/>
  <c r="C2936" i="2"/>
  <c r="E2936" i="2" s="1"/>
  <c r="C2937" i="2"/>
  <c r="E2937" i="2" s="1"/>
  <c r="C2938" i="2"/>
  <c r="E2938" i="2" s="1"/>
  <c r="C2939" i="2"/>
  <c r="C2940" i="2"/>
  <c r="E2940" i="2" s="1"/>
  <c r="C2941" i="2"/>
  <c r="C2942" i="2"/>
  <c r="E2942" i="2" s="1"/>
  <c r="C2943" i="2"/>
  <c r="C2944" i="2"/>
  <c r="C2945" i="2"/>
  <c r="C2946" i="2"/>
  <c r="C2947" i="2"/>
  <c r="C2948" i="2"/>
  <c r="E2948" i="2" s="1"/>
  <c r="C2949" i="2"/>
  <c r="E2949" i="2" s="1"/>
  <c r="C2950" i="2"/>
  <c r="E2950" i="2" s="1"/>
  <c r="C2951" i="2"/>
  <c r="E2951" i="2" s="1"/>
  <c r="C2952" i="2"/>
  <c r="E2952" i="2" s="1"/>
  <c r="C2953" i="2"/>
  <c r="C2954" i="2"/>
  <c r="E2954" i="2" s="1"/>
  <c r="C2955" i="2"/>
  <c r="C2956" i="2"/>
  <c r="C2957" i="2"/>
  <c r="C2958" i="2"/>
  <c r="C2959" i="2"/>
  <c r="C2960" i="2"/>
  <c r="E2960" i="2" s="1"/>
  <c r="C2961" i="2"/>
  <c r="E2961" i="2" s="1"/>
  <c r="C2962" i="2"/>
  <c r="E2962" i="2" s="1"/>
  <c r="C2963" i="2"/>
  <c r="E2963" i="2" s="1"/>
  <c r="C2964" i="2"/>
  <c r="E2964" i="2" s="1"/>
  <c r="C2965" i="2"/>
  <c r="C2966" i="2"/>
  <c r="E2966" i="2" s="1"/>
  <c r="C2967" i="2"/>
  <c r="C2968" i="2"/>
  <c r="C2969" i="2"/>
  <c r="C2970" i="2"/>
  <c r="C2971" i="2"/>
  <c r="C2972" i="2"/>
  <c r="E2972" i="2" s="1"/>
  <c r="C2973" i="2"/>
  <c r="E2973" i="2" s="1"/>
  <c r="C2974" i="2"/>
  <c r="E2974" i="2" s="1"/>
  <c r="C2975" i="2"/>
  <c r="E2975" i="2" s="1"/>
  <c r="C2976" i="2"/>
  <c r="E2976" i="2" s="1"/>
  <c r="C2977" i="2"/>
  <c r="C2978" i="2"/>
  <c r="E2978" i="2" s="1"/>
  <c r="C2979" i="2"/>
  <c r="C2980" i="2"/>
  <c r="C2981" i="2"/>
  <c r="C2982" i="2"/>
  <c r="C2983" i="2"/>
  <c r="C2984" i="2"/>
  <c r="E2984" i="2" s="1"/>
  <c r="C2985" i="2"/>
  <c r="E2985" i="2" s="1"/>
  <c r="C2986" i="2"/>
  <c r="E2986" i="2" s="1"/>
  <c r="C2987" i="2"/>
  <c r="E2987" i="2" s="1"/>
  <c r="C2988" i="2"/>
  <c r="E2988" i="2" s="1"/>
  <c r="C2989" i="2"/>
  <c r="C2990" i="2"/>
  <c r="E2990" i="2" s="1"/>
  <c r="C2991" i="2"/>
  <c r="C2992" i="2"/>
  <c r="C2993" i="2"/>
  <c r="C2994" i="2"/>
  <c r="C2995" i="2"/>
  <c r="C2996" i="2"/>
  <c r="E2996" i="2" s="1"/>
  <c r="C2997" i="2"/>
  <c r="E2997" i="2" s="1"/>
  <c r="C2998" i="2"/>
  <c r="E2998" i="2" s="1"/>
  <c r="C2999" i="2"/>
  <c r="E2999" i="2" s="1"/>
  <c r="C3000" i="2"/>
  <c r="E3000" i="2" s="1"/>
  <c r="C3001" i="2"/>
  <c r="C3002" i="2"/>
  <c r="E3002" i="2" s="1"/>
  <c r="C3003" i="2"/>
  <c r="C3004" i="2"/>
  <c r="C3005" i="2"/>
  <c r="C3006" i="2"/>
  <c r="C3007" i="2"/>
  <c r="C3008" i="2"/>
  <c r="E3008" i="2" s="1"/>
  <c r="C3009" i="2"/>
  <c r="E3009" i="2" s="1"/>
  <c r="C3010" i="2"/>
  <c r="E3010" i="2" s="1"/>
  <c r="C3011" i="2"/>
  <c r="E3011" i="2" s="1"/>
  <c r="C3012" i="2"/>
  <c r="E3012" i="2" s="1"/>
  <c r="C3013" i="2"/>
  <c r="C3014" i="2"/>
  <c r="E3014" i="2" s="1"/>
  <c r="C3015" i="2"/>
  <c r="C3016" i="2"/>
  <c r="C3017" i="2"/>
  <c r="C3018" i="2"/>
  <c r="C3019" i="2"/>
  <c r="C3020" i="2"/>
  <c r="E3020" i="2" s="1"/>
  <c r="C3021" i="2"/>
  <c r="E3021" i="2" s="1"/>
  <c r="C3022" i="2"/>
  <c r="E3022" i="2" s="1"/>
  <c r="C3023" i="2"/>
  <c r="E3023" i="2" s="1"/>
  <c r="C3024" i="2"/>
  <c r="E3024" i="2" s="1"/>
  <c r="C3025" i="2"/>
  <c r="C3026" i="2"/>
  <c r="E3026" i="2" s="1"/>
  <c r="C3027" i="2"/>
  <c r="E3027" i="2" s="1"/>
  <c r="C3028" i="2"/>
  <c r="C3029" i="2"/>
  <c r="C3030" i="2"/>
  <c r="C3031" i="2"/>
  <c r="C3032" i="2"/>
  <c r="E3032" i="2" s="1"/>
  <c r="C3033" i="2"/>
  <c r="E3033" i="2" s="1"/>
  <c r="C3034" i="2"/>
  <c r="E3034" i="2" s="1"/>
  <c r="C3035" i="2"/>
  <c r="E3035" i="2" s="1"/>
  <c r="C3036" i="2"/>
  <c r="E3036" i="2" s="1"/>
  <c r="C3037" i="2"/>
  <c r="C3038" i="2"/>
  <c r="E3038" i="2" s="1"/>
  <c r="C3039" i="2"/>
  <c r="C3040" i="2"/>
  <c r="C3041" i="2"/>
  <c r="E3041" i="2" s="1"/>
  <c r="C3042" i="2"/>
  <c r="C3043" i="2"/>
  <c r="C3044" i="2"/>
  <c r="E3044" i="2" s="1"/>
  <c r="C3045" i="2"/>
  <c r="E3045" i="2" s="1"/>
  <c r="C3046" i="2"/>
  <c r="E3046" i="2" s="1"/>
  <c r="C3047" i="2"/>
  <c r="E3047" i="2" s="1"/>
  <c r="C3048" i="2"/>
  <c r="E3048" i="2" s="1"/>
  <c r="C3049" i="2"/>
  <c r="C3050" i="2"/>
  <c r="E3050" i="2" s="1"/>
  <c r="C3051" i="2"/>
  <c r="C3052" i="2"/>
  <c r="C3053" i="2"/>
  <c r="C3054" i="2"/>
  <c r="C3055" i="2"/>
  <c r="C3056" i="2"/>
  <c r="E3056" i="2" s="1"/>
  <c r="C3057" i="2"/>
  <c r="E3057" i="2" s="1"/>
  <c r="C3058" i="2"/>
  <c r="E3058" i="2" s="1"/>
  <c r="C3059" i="2"/>
  <c r="E3059" i="2" s="1"/>
  <c r="C3060" i="2"/>
  <c r="E3060" i="2" s="1"/>
  <c r="C3061" i="2"/>
  <c r="C3062" i="2"/>
  <c r="E3062" i="2" s="1"/>
  <c r="C3063" i="2"/>
  <c r="C3064" i="2"/>
  <c r="C3065" i="2"/>
  <c r="C3066" i="2"/>
  <c r="C3067" i="2"/>
  <c r="C3068" i="2"/>
  <c r="E3068" i="2" s="1"/>
  <c r="C3069" i="2"/>
  <c r="E3069" i="2" s="1"/>
  <c r="C3070" i="2"/>
  <c r="E3070" i="2" s="1"/>
  <c r="C3071" i="2"/>
  <c r="E3071" i="2" s="1"/>
  <c r="C3072" i="2"/>
  <c r="E3072" i="2" s="1"/>
  <c r="C3073" i="2"/>
  <c r="C3074" i="2"/>
  <c r="E3074" i="2" s="1"/>
  <c r="C3075" i="2"/>
  <c r="C3076" i="2"/>
  <c r="C3077" i="2"/>
  <c r="C3078" i="2"/>
  <c r="C3079" i="2"/>
  <c r="C3080" i="2"/>
  <c r="E3080" i="2" s="1"/>
  <c r="C3081" i="2"/>
  <c r="E3081" i="2" s="1"/>
  <c r="C3082" i="2"/>
  <c r="E3082" i="2" s="1"/>
  <c r="C3083" i="2"/>
  <c r="E3083" i="2" s="1"/>
  <c r="C3084" i="2"/>
  <c r="E3084" i="2" s="1"/>
  <c r="C3085" i="2"/>
  <c r="C3086" i="2"/>
  <c r="C3087" i="2"/>
  <c r="C3088" i="2"/>
  <c r="E3088" i="2" s="1"/>
  <c r="C3089" i="2"/>
  <c r="C3090" i="2"/>
  <c r="C3091" i="2"/>
  <c r="C3092" i="2"/>
  <c r="E3092" i="2" s="1"/>
  <c r="C3093" i="2"/>
  <c r="E3093" i="2" s="1"/>
  <c r="C3094" i="2"/>
  <c r="E3094" i="2" s="1"/>
  <c r="C3095" i="2"/>
  <c r="E3095" i="2" s="1"/>
  <c r="C3096" i="2"/>
  <c r="E3096" i="2" s="1"/>
  <c r="C3097" i="2"/>
  <c r="C3098" i="2"/>
  <c r="E3098" i="2" s="1"/>
  <c r="C3099" i="2"/>
  <c r="C3100" i="2"/>
  <c r="C3101" i="2"/>
  <c r="C3102" i="2"/>
  <c r="C3103" i="2"/>
  <c r="C3104" i="2"/>
  <c r="E3104" i="2" s="1"/>
  <c r="C3105" i="2"/>
  <c r="E3105" i="2" s="1"/>
  <c r="C3106" i="2"/>
  <c r="E3106" i="2" s="1"/>
  <c r="C3107" i="2"/>
  <c r="E3107" i="2" s="1"/>
  <c r="C3108" i="2"/>
  <c r="E3108" i="2" s="1"/>
  <c r="C3109" i="2"/>
  <c r="C3110" i="2"/>
  <c r="E3110" i="2" s="1"/>
  <c r="C3111" i="2"/>
  <c r="C3112" i="2"/>
  <c r="C3113" i="2"/>
  <c r="C3114" i="2"/>
  <c r="C3115" i="2"/>
  <c r="C3116" i="2"/>
  <c r="E3116" i="2" s="1"/>
  <c r="C3117" i="2"/>
  <c r="E3117" i="2" s="1"/>
  <c r="C3118" i="2"/>
  <c r="E3118" i="2" s="1"/>
  <c r="C3119" i="2"/>
  <c r="E3119" i="2" s="1"/>
  <c r="C3120" i="2"/>
  <c r="E3120" i="2" s="1"/>
  <c r="C3121" i="2"/>
  <c r="C3122" i="2"/>
  <c r="E3122" i="2" s="1"/>
  <c r="C3123" i="2"/>
  <c r="C3124" i="2"/>
  <c r="C3125" i="2"/>
  <c r="C3126" i="2"/>
  <c r="C3127" i="2"/>
  <c r="C3128" i="2"/>
  <c r="E3128" i="2" s="1"/>
  <c r="C3129" i="2"/>
  <c r="E3129" i="2" s="1"/>
  <c r="C3130" i="2"/>
  <c r="E3130" i="2" s="1"/>
  <c r="C3131" i="2"/>
  <c r="E3131" i="2" s="1"/>
  <c r="C3132" i="2"/>
  <c r="E3132" i="2" s="1"/>
  <c r="C3133" i="2"/>
  <c r="C3134" i="2"/>
  <c r="E3134" i="2" s="1"/>
  <c r="C3135" i="2"/>
  <c r="C3136" i="2"/>
  <c r="C3137" i="2"/>
  <c r="C3138" i="2"/>
  <c r="C3139" i="2"/>
  <c r="C3140" i="2"/>
  <c r="E3140" i="2" s="1"/>
  <c r="C3141" i="2"/>
  <c r="E3141" i="2" s="1"/>
  <c r="C3142" i="2"/>
  <c r="E3142" i="2" s="1"/>
  <c r="C3143" i="2"/>
  <c r="E3143" i="2" s="1"/>
  <c r="C3144" i="2"/>
  <c r="E3144" i="2" s="1"/>
  <c r="C3145" i="2"/>
  <c r="C3146" i="2"/>
  <c r="E3146" i="2" s="1"/>
  <c r="C3147" i="2"/>
  <c r="C3148" i="2"/>
  <c r="C3149" i="2"/>
  <c r="C3150" i="2"/>
  <c r="C3151" i="2"/>
  <c r="C3152" i="2"/>
  <c r="E3152" i="2" s="1"/>
  <c r="C3153" i="2"/>
  <c r="E3153" i="2" s="1"/>
  <c r="C3154" i="2"/>
  <c r="E3154" i="2" s="1"/>
  <c r="C3155" i="2"/>
  <c r="E3155" i="2" s="1"/>
  <c r="C3156" i="2"/>
  <c r="E3156" i="2" s="1"/>
  <c r="C3157" i="2"/>
  <c r="C3158" i="2"/>
  <c r="E3158" i="2" s="1"/>
  <c r="C3159" i="2"/>
  <c r="C3160" i="2"/>
  <c r="C3161" i="2"/>
  <c r="C3162" i="2"/>
  <c r="C3163" i="2"/>
  <c r="C3164" i="2"/>
  <c r="E3164" i="2" s="1"/>
  <c r="C3165" i="2"/>
  <c r="E3165" i="2" s="1"/>
  <c r="C3166" i="2"/>
  <c r="E3166" i="2" s="1"/>
  <c r="C3167" i="2"/>
  <c r="E3167" i="2" s="1"/>
  <c r="C3168" i="2"/>
  <c r="E3168" i="2" s="1"/>
  <c r="C3169" i="2"/>
  <c r="C3170" i="2"/>
  <c r="C3171" i="2"/>
  <c r="C3172" i="2"/>
  <c r="C3173" i="2"/>
  <c r="C3174" i="2"/>
  <c r="C3175" i="2"/>
  <c r="C3176" i="2"/>
  <c r="E3176" i="2" s="1"/>
  <c r="C3177" i="2"/>
  <c r="E3177" i="2" s="1"/>
  <c r="C3178" i="2"/>
  <c r="E3178" i="2" s="1"/>
  <c r="C3179" i="2"/>
  <c r="E3179" i="2" s="1"/>
  <c r="C3180" i="2"/>
  <c r="E3180" i="2" s="1"/>
  <c r="C3181" i="2"/>
  <c r="C3182" i="2"/>
  <c r="E3182" i="2" s="1"/>
  <c r="C3183" i="2"/>
  <c r="C3184" i="2"/>
  <c r="C3185" i="2"/>
  <c r="C3186" i="2"/>
  <c r="C3187" i="2"/>
  <c r="C3188" i="2"/>
  <c r="E3188" i="2" s="1"/>
  <c r="C3189" i="2"/>
  <c r="E3189" i="2" s="1"/>
  <c r="C3190" i="2"/>
  <c r="E3190" i="2" s="1"/>
  <c r="C3191" i="2"/>
  <c r="E3191" i="2" s="1"/>
  <c r="C3192" i="2"/>
  <c r="E3192" i="2" s="1"/>
  <c r="C3193" i="2"/>
  <c r="C3194" i="2"/>
  <c r="C3195" i="2"/>
  <c r="C3196" i="2"/>
  <c r="E3196" i="2" s="1"/>
  <c r="C3197" i="2"/>
  <c r="C3198" i="2"/>
  <c r="C3199" i="2"/>
  <c r="C3200" i="2"/>
  <c r="E3200" i="2" s="1"/>
  <c r="C3201" i="2"/>
  <c r="E3201" i="2" s="1"/>
  <c r="C3202" i="2"/>
  <c r="E3202" i="2" s="1"/>
  <c r="C3203" i="2"/>
  <c r="E3203" i="2" s="1"/>
  <c r="C3204" i="2"/>
  <c r="E3204" i="2" s="1"/>
  <c r="C3205" i="2"/>
  <c r="C3206" i="2"/>
  <c r="C3207" i="2"/>
  <c r="C3208" i="2"/>
  <c r="C3209" i="2"/>
  <c r="C3210" i="2"/>
  <c r="C3211" i="2"/>
  <c r="C3212" i="2"/>
  <c r="E3212" i="2" s="1"/>
  <c r="C3213" i="2"/>
  <c r="E3213" i="2" s="1"/>
  <c r="C3214" i="2"/>
  <c r="E3214" i="2" s="1"/>
  <c r="C3215" i="2"/>
  <c r="E3215" i="2" s="1"/>
  <c r="C3216" i="2"/>
  <c r="E3216" i="2" s="1"/>
  <c r="C3217" i="2"/>
  <c r="C3218" i="2"/>
  <c r="E3218" i="2" s="1"/>
  <c r="C3219" i="2"/>
  <c r="C3220" i="2"/>
  <c r="C3221" i="2"/>
  <c r="C3222" i="2"/>
  <c r="C3223" i="2"/>
  <c r="C3224" i="2"/>
  <c r="E3224" i="2" s="1"/>
  <c r="C3225" i="2"/>
  <c r="E3225" i="2" s="1"/>
  <c r="C3226" i="2"/>
  <c r="E3226" i="2" s="1"/>
  <c r="C3227" i="2"/>
  <c r="E3227" i="2" s="1"/>
  <c r="C3228" i="2"/>
  <c r="E3228" i="2" s="1"/>
  <c r="C3229" i="2"/>
  <c r="C3230" i="2"/>
  <c r="C3231" i="2"/>
  <c r="E3231" i="2" s="1"/>
  <c r="C3232" i="2"/>
  <c r="C3233" i="2"/>
  <c r="E3233" i="2" s="1"/>
  <c r="C3234" i="2"/>
  <c r="C3235" i="2"/>
  <c r="C3236" i="2"/>
  <c r="E3236" i="2" s="1"/>
  <c r="C3237" i="2"/>
  <c r="E3237" i="2" s="1"/>
  <c r="C3238" i="2"/>
  <c r="E3238" i="2" s="1"/>
  <c r="C3239" i="2"/>
  <c r="E3239" i="2" s="1"/>
  <c r="C3240" i="2"/>
  <c r="E3240" i="2" s="1"/>
  <c r="C3241" i="2"/>
  <c r="C3242" i="2"/>
  <c r="C3243" i="2"/>
  <c r="C3244" i="2"/>
  <c r="C3245" i="2"/>
  <c r="C3246" i="2"/>
  <c r="C3247" i="2"/>
  <c r="C3248" i="2"/>
  <c r="E3248" i="2" s="1"/>
  <c r="C3249" i="2"/>
  <c r="E3249" i="2" s="1"/>
  <c r="C3250" i="2"/>
  <c r="E3250" i="2" s="1"/>
  <c r="C3251" i="2"/>
  <c r="E3251" i="2" s="1"/>
  <c r="C3252" i="2"/>
  <c r="E3252" i="2" s="1"/>
  <c r="C3253" i="2"/>
  <c r="C3254" i="2"/>
  <c r="C3255" i="2"/>
  <c r="C3256" i="2"/>
  <c r="C3257" i="2"/>
  <c r="C3258" i="2"/>
  <c r="C3259" i="2"/>
  <c r="C3260" i="2"/>
  <c r="E3260" i="2" s="1"/>
  <c r="C3261" i="2"/>
  <c r="E3261" i="2" s="1"/>
  <c r="C3262" i="2"/>
  <c r="E3262" i="2" s="1"/>
  <c r="C3263" i="2"/>
  <c r="E3263" i="2" s="1"/>
  <c r="C3264" i="2"/>
  <c r="E3264" i="2" s="1"/>
  <c r="C3265" i="2"/>
  <c r="C3266" i="2"/>
  <c r="C3267" i="2"/>
  <c r="C3268" i="2"/>
  <c r="C3269" i="2"/>
  <c r="C3270" i="2"/>
  <c r="C3271" i="2"/>
  <c r="C3272" i="2"/>
  <c r="E3272" i="2" s="1"/>
  <c r="C3273" i="2"/>
  <c r="E3273" i="2" s="1"/>
  <c r="C3274" i="2"/>
  <c r="E3274" i="2" s="1"/>
  <c r="C3275" i="2"/>
  <c r="E3275" i="2" s="1"/>
  <c r="C3276" i="2"/>
  <c r="E3276" i="2" s="1"/>
  <c r="C3277" i="2"/>
  <c r="C3278" i="2"/>
  <c r="C3279" i="2"/>
  <c r="C3280" i="2"/>
  <c r="E3280" i="2" s="1"/>
  <c r="C3281" i="2"/>
  <c r="C3282" i="2"/>
  <c r="C3283" i="2"/>
  <c r="C3284" i="2"/>
  <c r="E3284" i="2" s="1"/>
  <c r="C3285" i="2"/>
  <c r="E3285" i="2" s="1"/>
  <c r="C3286" i="2"/>
  <c r="E3286" i="2" s="1"/>
  <c r="C3287" i="2"/>
  <c r="E3287" i="2" s="1"/>
  <c r="C3288" i="2"/>
  <c r="E3288" i="2" s="1"/>
  <c r="C3289" i="2"/>
  <c r="C3290" i="2"/>
  <c r="C3291" i="2"/>
  <c r="C3292" i="2"/>
  <c r="C3293" i="2"/>
  <c r="C3294" i="2"/>
  <c r="C3295" i="2"/>
  <c r="C3296" i="2"/>
  <c r="E3296" i="2" s="1"/>
  <c r="C3297" i="2"/>
  <c r="E3297" i="2" s="1"/>
  <c r="C3298" i="2"/>
  <c r="E3298" i="2" s="1"/>
  <c r="C3299" i="2"/>
  <c r="E3299" i="2" s="1"/>
  <c r="C3300" i="2"/>
  <c r="E3300" i="2" s="1"/>
  <c r="C3301" i="2"/>
  <c r="C3302" i="2"/>
  <c r="E3302" i="2" s="1"/>
  <c r="C3303" i="2"/>
  <c r="C3304" i="2"/>
  <c r="C3305" i="2"/>
  <c r="C3306" i="2"/>
  <c r="C3307" i="2"/>
  <c r="C3308" i="2"/>
  <c r="E3308" i="2" s="1"/>
  <c r="C3309" i="2"/>
  <c r="E3309" i="2" s="1"/>
  <c r="C3310" i="2"/>
  <c r="E3310" i="2" s="1"/>
  <c r="C3311" i="2"/>
  <c r="E3311" i="2" s="1"/>
  <c r="C3312" i="2"/>
  <c r="E3312" i="2" s="1"/>
  <c r="C3313" i="2"/>
  <c r="C3314" i="2"/>
  <c r="E3314" i="2" s="1"/>
  <c r="C3315" i="2"/>
  <c r="C3316" i="2"/>
  <c r="C3317" i="2"/>
  <c r="C3318" i="2"/>
  <c r="C3319" i="2"/>
  <c r="C3320" i="2"/>
  <c r="E3320" i="2" s="1"/>
  <c r="C3321" i="2"/>
  <c r="E3321" i="2" s="1"/>
  <c r="C3322" i="2"/>
  <c r="E3322" i="2" s="1"/>
  <c r="C3323" i="2"/>
  <c r="E3323" i="2" s="1"/>
  <c r="C3324" i="2"/>
  <c r="E3324" i="2" s="1"/>
  <c r="C3325" i="2"/>
  <c r="C3326" i="2"/>
  <c r="E3326" i="2" s="1"/>
  <c r="C3327" i="2"/>
  <c r="C3328" i="2"/>
  <c r="C3329" i="2"/>
  <c r="C3330" i="2"/>
  <c r="C3331" i="2"/>
  <c r="C3332" i="2"/>
  <c r="E3332" i="2" s="1"/>
  <c r="C3333" i="2"/>
  <c r="E3333" i="2" s="1"/>
  <c r="C3334" i="2"/>
  <c r="E3334" i="2" s="1"/>
  <c r="C3335" i="2"/>
  <c r="E3335" i="2" s="1"/>
  <c r="C3336" i="2"/>
  <c r="E3336" i="2" s="1"/>
  <c r="C3337" i="2"/>
  <c r="C3338" i="2"/>
  <c r="E3338" i="2" s="1"/>
  <c r="C3339" i="2"/>
  <c r="C3340" i="2"/>
  <c r="C3341" i="2"/>
  <c r="C3342" i="2"/>
  <c r="C3343" i="2"/>
  <c r="C3344" i="2"/>
  <c r="E3344" i="2" s="1"/>
  <c r="C3345" i="2"/>
  <c r="E3345" i="2" s="1"/>
  <c r="C3346" i="2"/>
  <c r="E3346" i="2" s="1"/>
  <c r="C3347" i="2"/>
  <c r="E3347" i="2" s="1"/>
  <c r="C3348" i="2"/>
  <c r="E3348" i="2" s="1"/>
  <c r="C3349" i="2"/>
  <c r="C3350" i="2"/>
  <c r="E3350" i="2" s="1"/>
  <c r="C3351" i="2"/>
  <c r="C3352" i="2"/>
  <c r="C3353" i="2"/>
  <c r="C3354" i="2"/>
  <c r="C3355" i="2"/>
  <c r="C3356" i="2"/>
  <c r="E3356" i="2" s="1"/>
  <c r="C3357" i="2"/>
  <c r="E3357" i="2" s="1"/>
  <c r="C3358" i="2"/>
  <c r="E3358" i="2" s="1"/>
  <c r="C3359" i="2"/>
  <c r="E3359" i="2" s="1"/>
  <c r="C3360" i="2"/>
  <c r="E3360" i="2" s="1"/>
  <c r="C3361" i="2"/>
  <c r="C3362" i="2"/>
  <c r="E3362" i="2" s="1"/>
  <c r="C3363" i="2"/>
  <c r="C3364" i="2"/>
  <c r="C3365" i="2"/>
  <c r="C3366" i="2"/>
  <c r="C3367" i="2"/>
  <c r="C3368" i="2"/>
  <c r="E3368" i="2" s="1"/>
  <c r="C3369" i="2"/>
  <c r="E3369" i="2" s="1"/>
  <c r="C3370" i="2"/>
  <c r="E3370" i="2" s="1"/>
  <c r="C3371" i="2"/>
  <c r="E3371" i="2" s="1"/>
  <c r="C3372" i="2"/>
  <c r="E3372" i="2" s="1"/>
  <c r="C3373" i="2"/>
  <c r="C3374" i="2"/>
  <c r="C3375" i="2"/>
  <c r="C3376" i="2"/>
  <c r="C3377" i="2"/>
  <c r="C3378" i="2"/>
  <c r="C3379" i="2"/>
  <c r="C3380" i="2"/>
  <c r="E3380" i="2" s="1"/>
  <c r="C3381" i="2"/>
  <c r="E3381" i="2" s="1"/>
  <c r="C3382" i="2"/>
  <c r="E3382" i="2" s="1"/>
  <c r="C3383" i="2"/>
  <c r="E3383" i="2" s="1"/>
  <c r="C3384" i="2"/>
  <c r="E3384" i="2" s="1"/>
  <c r="C3385" i="2"/>
  <c r="C3386" i="2"/>
  <c r="C3387" i="2"/>
  <c r="C3388" i="2"/>
  <c r="C3389" i="2"/>
  <c r="C3390" i="2"/>
  <c r="C3391" i="2"/>
  <c r="C3392" i="2"/>
  <c r="E3392" i="2" s="1"/>
  <c r="C3393" i="2"/>
  <c r="E3393" i="2" s="1"/>
  <c r="C3394" i="2"/>
  <c r="E3394" i="2" s="1"/>
  <c r="C3395" i="2"/>
  <c r="E3395" i="2" s="1"/>
  <c r="C3396" i="2"/>
  <c r="E3396" i="2" s="1"/>
  <c r="C3397" i="2"/>
  <c r="C3398" i="2"/>
  <c r="C3399" i="2"/>
  <c r="C3400" i="2"/>
  <c r="C3401" i="2"/>
  <c r="E3401" i="2" s="1"/>
  <c r="C3402" i="2"/>
  <c r="C3403" i="2"/>
  <c r="C3404" i="2"/>
  <c r="E3404" i="2" s="1"/>
  <c r="C3405" i="2"/>
  <c r="E3405" i="2" s="1"/>
  <c r="C3406" i="2"/>
  <c r="E3406" i="2" s="1"/>
  <c r="C3407" i="2"/>
  <c r="E3407" i="2" s="1"/>
  <c r="C3408" i="2"/>
  <c r="E3408" i="2" s="1"/>
  <c r="C3409" i="2"/>
  <c r="C3410" i="2"/>
  <c r="C3411" i="2"/>
  <c r="C3412" i="2"/>
  <c r="C3413" i="2"/>
  <c r="C3414" i="2"/>
  <c r="C3415" i="2"/>
  <c r="C3416" i="2"/>
  <c r="E3416" i="2" s="1"/>
  <c r="C3417" i="2"/>
  <c r="E3417" i="2" s="1"/>
  <c r="C3418" i="2"/>
  <c r="E3418" i="2" s="1"/>
  <c r="C3419" i="2"/>
  <c r="E3419" i="2" s="1"/>
  <c r="C3420" i="2"/>
  <c r="E3420" i="2" s="1"/>
  <c r="C3421" i="2"/>
  <c r="C3422" i="2"/>
  <c r="C3423" i="2"/>
  <c r="C3424" i="2"/>
  <c r="C3425" i="2"/>
  <c r="E3425" i="2" s="1"/>
  <c r="C3426" i="2"/>
  <c r="C3427" i="2"/>
  <c r="C3428" i="2"/>
  <c r="E3428" i="2" s="1"/>
  <c r="C3429" i="2"/>
  <c r="E3429" i="2" s="1"/>
  <c r="C3430" i="2"/>
  <c r="E3430" i="2" s="1"/>
  <c r="C3431" i="2"/>
  <c r="E3431" i="2" s="1"/>
  <c r="C3432" i="2"/>
  <c r="E3432" i="2" s="1"/>
  <c r="C3433" i="2"/>
  <c r="C3434" i="2"/>
  <c r="E3434" i="2" s="1"/>
  <c r="C3435" i="2"/>
  <c r="C3436" i="2"/>
  <c r="C3437" i="2"/>
  <c r="C3438" i="2"/>
  <c r="C3439" i="2"/>
  <c r="C3440" i="2"/>
  <c r="E3440" i="2" s="1"/>
  <c r="C3441" i="2"/>
  <c r="E3441" i="2" s="1"/>
  <c r="C3442" i="2"/>
  <c r="E3442" i="2" s="1"/>
  <c r="C3443" i="2"/>
  <c r="E3443" i="2" s="1"/>
  <c r="C3444" i="2"/>
  <c r="E3444" i="2" s="1"/>
  <c r="C3445" i="2"/>
  <c r="C3446" i="2"/>
  <c r="E3446" i="2" s="1"/>
  <c r="C3447" i="2"/>
  <c r="C3448" i="2"/>
  <c r="C3449" i="2"/>
  <c r="C3450" i="2"/>
  <c r="C3451" i="2"/>
  <c r="C3452" i="2"/>
  <c r="E3452" i="2" s="1"/>
  <c r="C3453" i="2"/>
  <c r="E3453" i="2" s="1"/>
  <c r="C3454" i="2"/>
  <c r="E3454" i="2" s="1"/>
  <c r="C3455" i="2"/>
  <c r="E3455" i="2" s="1"/>
  <c r="C3456" i="2"/>
  <c r="E3456" i="2" s="1"/>
  <c r="C3457" i="2"/>
  <c r="C3458" i="2"/>
  <c r="C3459" i="2"/>
  <c r="C3460" i="2"/>
  <c r="C3461" i="2"/>
  <c r="C3462" i="2"/>
  <c r="C3463" i="2"/>
  <c r="C3464" i="2"/>
  <c r="E3464" i="2" s="1"/>
  <c r="C3465" i="2"/>
  <c r="E3465" i="2" s="1"/>
  <c r="C3466" i="2"/>
  <c r="E3466" i="2" s="1"/>
  <c r="C3467" i="2"/>
  <c r="E3467" i="2" s="1"/>
  <c r="C3468" i="2"/>
  <c r="E3468" i="2" s="1"/>
  <c r="C3469" i="2"/>
  <c r="C3470" i="2"/>
  <c r="E3470" i="2" s="1"/>
  <c r="C3471" i="2"/>
  <c r="C3472" i="2"/>
  <c r="C3473" i="2"/>
  <c r="C3474" i="2"/>
  <c r="C3475" i="2"/>
  <c r="C3476" i="2"/>
  <c r="E3476" i="2" s="1"/>
  <c r="C3477" i="2"/>
  <c r="E3477" i="2" s="1"/>
  <c r="C3478" i="2"/>
  <c r="E3478" i="2" s="1"/>
  <c r="C3479" i="2"/>
  <c r="E3479" i="2" s="1"/>
  <c r="C3480" i="2"/>
  <c r="E3480" i="2" s="1"/>
  <c r="C3481" i="2"/>
  <c r="C3482" i="2"/>
  <c r="E3482" i="2" s="1"/>
  <c r="C3483" i="2"/>
  <c r="C3484" i="2"/>
  <c r="C3485" i="2"/>
  <c r="C3486" i="2"/>
  <c r="C3487" i="2"/>
  <c r="C3488" i="2"/>
  <c r="E3488" i="2" s="1"/>
  <c r="C3489" i="2"/>
  <c r="E3489" i="2" s="1"/>
  <c r="C3490" i="2"/>
  <c r="E3490" i="2" s="1"/>
  <c r="C3491" i="2"/>
  <c r="E3491" i="2" s="1"/>
  <c r="C3492" i="2"/>
  <c r="E3492" i="2" s="1"/>
  <c r="C3493" i="2"/>
  <c r="C3494" i="2"/>
  <c r="E3494" i="2" s="1"/>
  <c r="C3495" i="2"/>
  <c r="C3496" i="2"/>
  <c r="C3497" i="2"/>
  <c r="C3498" i="2"/>
  <c r="C3499" i="2"/>
  <c r="C3500" i="2"/>
  <c r="E3500" i="2" s="1"/>
  <c r="C3501" i="2"/>
  <c r="E3501" i="2" s="1"/>
  <c r="C3502" i="2"/>
  <c r="E3502" i="2" s="1"/>
  <c r="C3503" i="2"/>
  <c r="E3503" i="2" s="1"/>
  <c r="C3504" i="2"/>
  <c r="E3504" i="2" s="1"/>
  <c r="C3505" i="2"/>
  <c r="C3506" i="2"/>
  <c r="C3507" i="2"/>
  <c r="C3508" i="2"/>
  <c r="C3509" i="2"/>
  <c r="C3510" i="2"/>
  <c r="C3511" i="2"/>
  <c r="C3512" i="2"/>
  <c r="E3512" i="2" s="1"/>
  <c r="C3513" i="2"/>
  <c r="E3513" i="2" s="1"/>
  <c r="C3514" i="2"/>
  <c r="E3514" i="2" s="1"/>
  <c r="C3515" i="2"/>
  <c r="E3515" i="2" s="1"/>
  <c r="C3516" i="2"/>
  <c r="E3516" i="2" s="1"/>
  <c r="C3517" i="2"/>
  <c r="C3518" i="2"/>
  <c r="E3518" i="2" s="1"/>
  <c r="C3519" i="2"/>
  <c r="C3520" i="2"/>
  <c r="C3521" i="2"/>
  <c r="C3522" i="2"/>
  <c r="C3523" i="2"/>
  <c r="C3524" i="2"/>
  <c r="E3524" i="2" s="1"/>
  <c r="C3525" i="2"/>
  <c r="E3525" i="2" s="1"/>
  <c r="C3526" i="2"/>
  <c r="E3526" i="2" s="1"/>
  <c r="C3527" i="2"/>
  <c r="E3527" i="2" s="1"/>
  <c r="C3528" i="2"/>
  <c r="E3528" i="2" s="1"/>
  <c r="C3529" i="2"/>
  <c r="C3530" i="2"/>
  <c r="E3530" i="2" s="1"/>
  <c r="C3531" i="2"/>
  <c r="C3532" i="2"/>
  <c r="C3533" i="2"/>
  <c r="C3534" i="2"/>
  <c r="C3535" i="2"/>
  <c r="C3536" i="2"/>
  <c r="E3536" i="2" s="1"/>
  <c r="C3537" i="2"/>
  <c r="E3537" i="2" s="1"/>
  <c r="C3538" i="2"/>
  <c r="E3538" i="2" s="1"/>
  <c r="C3539" i="2"/>
  <c r="E3539" i="2" s="1"/>
  <c r="C3540" i="2"/>
  <c r="E3540" i="2" s="1"/>
  <c r="C3541" i="2"/>
  <c r="C3542" i="2"/>
  <c r="E3542" i="2" s="1"/>
  <c r="C3543" i="2"/>
  <c r="C3544" i="2"/>
  <c r="C3545" i="2"/>
  <c r="C3546" i="2"/>
  <c r="C3547" i="2"/>
  <c r="E3547" i="2" s="1"/>
  <c r="C3548" i="2"/>
  <c r="E3548" i="2" s="1"/>
  <c r="C3549" i="2"/>
  <c r="E3549" i="2" s="1"/>
  <c r="C3550" i="2"/>
  <c r="E3550" i="2" s="1"/>
  <c r="C3551" i="2"/>
  <c r="E3551" i="2" s="1"/>
  <c r="C3552" i="2"/>
  <c r="E3552" i="2" s="1"/>
  <c r="C3553" i="2"/>
  <c r="C3554" i="2"/>
  <c r="C3555" i="2"/>
  <c r="C3556" i="2"/>
  <c r="C3557" i="2"/>
  <c r="C3558" i="2"/>
  <c r="C3559" i="2"/>
  <c r="C3560" i="2"/>
  <c r="E3560" i="2" s="1"/>
  <c r="C3561" i="2"/>
  <c r="E3561" i="2" s="1"/>
  <c r="C3562" i="2"/>
  <c r="E3562" i="2" s="1"/>
  <c r="C3563" i="2"/>
  <c r="E3563" i="2" s="1"/>
  <c r="C3564" i="2"/>
  <c r="E3564" i="2" s="1"/>
  <c r="C3565" i="2"/>
  <c r="C3566" i="2"/>
  <c r="C3567" i="2"/>
  <c r="C3568" i="2"/>
  <c r="C3569" i="2"/>
  <c r="C3570" i="2"/>
  <c r="C3571" i="2"/>
  <c r="C3572" i="2"/>
  <c r="E3572" i="2" s="1"/>
  <c r="C3573" i="2"/>
  <c r="E3573" i="2" s="1"/>
  <c r="C3574" i="2"/>
  <c r="E3574" i="2" s="1"/>
  <c r="C3575" i="2"/>
  <c r="E3575" i="2" s="1"/>
  <c r="C3576" i="2"/>
  <c r="E3576" i="2" s="1"/>
  <c r="C3577" i="2"/>
  <c r="C3578" i="2"/>
  <c r="E3578" i="2" s="1"/>
  <c r="C3579" i="2"/>
  <c r="C3580" i="2"/>
  <c r="C3581" i="2"/>
  <c r="C3582" i="2"/>
  <c r="C3583" i="2"/>
  <c r="C3584" i="2"/>
  <c r="E3584" i="2" s="1"/>
  <c r="C3585" i="2"/>
  <c r="E3585" i="2" s="1"/>
  <c r="C3586" i="2"/>
  <c r="E3586" i="2" s="1"/>
  <c r="C3587" i="2"/>
  <c r="E3587" i="2" s="1"/>
  <c r="C3588" i="2"/>
  <c r="E3588" i="2" s="1"/>
  <c r="C3589" i="2"/>
  <c r="C3590" i="2"/>
  <c r="E3590" i="2" s="1"/>
  <c r="C3591" i="2"/>
  <c r="E3591" i="2" s="1"/>
  <c r="C3592" i="2"/>
  <c r="C3593" i="2"/>
  <c r="C3594" i="2"/>
  <c r="C3595" i="2"/>
  <c r="C3596" i="2"/>
  <c r="E3596" i="2" s="1"/>
  <c r="C3597" i="2"/>
  <c r="E3597" i="2" s="1"/>
  <c r="C3598" i="2"/>
  <c r="E3598" i="2" s="1"/>
  <c r="C3599" i="2"/>
  <c r="E3599" i="2" s="1"/>
  <c r="C3600" i="2"/>
  <c r="E3600" i="2" s="1"/>
  <c r="C3601" i="2"/>
  <c r="C3602" i="2"/>
  <c r="C3603" i="2"/>
  <c r="C3604" i="2"/>
  <c r="C3605" i="2"/>
  <c r="C3606" i="2"/>
  <c r="C3607" i="2"/>
  <c r="C3608" i="2"/>
  <c r="E3608" i="2" s="1"/>
  <c r="C3609" i="2"/>
  <c r="E3609" i="2" s="1"/>
  <c r="C3610" i="2"/>
  <c r="E3610" i="2" s="1"/>
  <c r="C3611" i="2"/>
  <c r="E3611" i="2" s="1"/>
  <c r="C3612" i="2"/>
  <c r="E3612" i="2" s="1"/>
  <c r="C3613" i="2"/>
  <c r="E3613" i="2" s="1"/>
  <c r="C3614" i="2"/>
  <c r="C3615" i="2"/>
  <c r="C3616" i="2"/>
  <c r="C3617" i="2"/>
  <c r="C3618" i="2"/>
  <c r="C3619" i="2"/>
  <c r="C3620" i="2"/>
  <c r="E3620" i="2" s="1"/>
  <c r="C3621" i="2"/>
  <c r="E3621" i="2" s="1"/>
  <c r="C3622" i="2"/>
  <c r="E3622" i="2" s="1"/>
  <c r="C3623" i="2"/>
  <c r="E3623" i="2" s="1"/>
  <c r="C3624" i="2"/>
  <c r="E3624" i="2" s="1"/>
  <c r="C3625" i="2"/>
  <c r="C3626" i="2"/>
  <c r="C3627" i="2"/>
  <c r="C3628" i="2"/>
  <c r="C3629" i="2"/>
  <c r="C3630" i="2"/>
  <c r="C3631" i="2"/>
  <c r="C3632" i="2"/>
  <c r="E3632" i="2" s="1"/>
  <c r="C3633" i="2"/>
  <c r="E3633" i="2" s="1"/>
  <c r="C3634" i="2"/>
  <c r="E3634" i="2" s="1"/>
  <c r="C3635" i="2"/>
  <c r="E3635" i="2" s="1"/>
  <c r="C3636" i="2"/>
  <c r="E3636" i="2" s="1"/>
  <c r="C3637" i="2"/>
  <c r="C3638" i="2"/>
  <c r="E3638" i="2" s="1"/>
  <c r="C3639" i="2"/>
  <c r="C3640" i="2"/>
  <c r="C3641" i="2"/>
  <c r="C3642" i="2"/>
  <c r="C3643" i="2"/>
  <c r="C3644" i="2"/>
  <c r="E3644" i="2" s="1"/>
  <c r="C3645" i="2"/>
  <c r="E3645" i="2" s="1"/>
  <c r="E2732" i="2" l="1"/>
  <c r="E2624" i="2"/>
  <c r="E2528" i="2"/>
  <c r="E2468" i="2"/>
  <c r="E2384" i="2"/>
  <c r="E2288" i="2"/>
  <c r="E2192" i="2"/>
  <c r="E2168" i="2"/>
  <c r="E2084" i="2"/>
  <c r="E2000" i="2"/>
  <c r="E1952" i="2"/>
  <c r="E1868" i="2"/>
  <c r="E1808" i="2"/>
  <c r="E1712" i="2"/>
  <c r="E1652" i="2"/>
  <c r="E1604" i="2"/>
  <c r="E1520" i="2"/>
  <c r="E1472" i="2"/>
  <c r="E1412" i="2"/>
  <c r="E1364" i="2"/>
  <c r="E1304" i="2"/>
  <c r="E1256" i="2"/>
  <c r="E1196" i="2"/>
  <c r="E1100" i="2"/>
  <c r="E1004" i="2"/>
  <c r="E944" i="2"/>
  <c r="E872" i="2"/>
  <c r="E800" i="2"/>
  <c r="E728" i="2"/>
  <c r="E644" i="2"/>
  <c r="E560" i="2"/>
  <c r="E500" i="2"/>
  <c r="E320" i="2"/>
  <c r="E188" i="2"/>
  <c r="E80" i="2"/>
  <c r="E8" i="2"/>
  <c r="E3626" i="2"/>
  <c r="E3398" i="2"/>
  <c r="E3374" i="2"/>
  <c r="E3290" i="2"/>
  <c r="E3230" i="2"/>
  <c r="E2744" i="2"/>
  <c r="E2648" i="2"/>
  <c r="E2576" i="2"/>
  <c r="E2552" i="2"/>
  <c r="E2480" i="2"/>
  <c r="E2444" i="2"/>
  <c r="E2348" i="2"/>
  <c r="E2312" i="2"/>
  <c r="E2240" i="2"/>
  <c r="E2180" i="2"/>
  <c r="E2072" i="2"/>
  <c r="E1976" i="2"/>
  <c r="E1880" i="2"/>
  <c r="E1820" i="2"/>
  <c r="E1772" i="2"/>
  <c r="E1676" i="2"/>
  <c r="E1568" i="2"/>
  <c r="E1484" i="2"/>
  <c r="E1400" i="2"/>
  <c r="E1316" i="2"/>
  <c r="E1220" i="2"/>
  <c r="E1184" i="2"/>
  <c r="E1136" i="2"/>
  <c r="E1028" i="2"/>
  <c r="E956" i="2"/>
  <c r="E848" i="2"/>
  <c r="E788" i="2"/>
  <c r="E752" i="2"/>
  <c r="E692" i="2"/>
  <c r="E668" i="2"/>
  <c r="E620" i="2"/>
  <c r="E536" i="2"/>
  <c r="E452" i="2"/>
  <c r="E392" i="2"/>
  <c r="E308" i="2"/>
  <c r="E224" i="2"/>
  <c r="E176" i="2"/>
  <c r="E92" i="2"/>
  <c r="E3629" i="2"/>
  <c r="E3533" i="2"/>
  <c r="E3449" i="2"/>
  <c r="E3269" i="2"/>
  <c r="E3209" i="2"/>
  <c r="E3017" i="2"/>
  <c r="E2933" i="2"/>
  <c r="E2885" i="2"/>
  <c r="E2861" i="2"/>
  <c r="E2801" i="2"/>
  <c r="E2729" i="2"/>
  <c r="E2681" i="2"/>
  <c r="E2597" i="2"/>
  <c r="E2573" i="2"/>
  <c r="E2513" i="2"/>
  <c r="E2489" i="2"/>
  <c r="E2345" i="2"/>
  <c r="E2285" i="2"/>
  <c r="E2225" i="2"/>
  <c r="E2105" i="2"/>
  <c r="E2045" i="2"/>
  <c r="E1985" i="2"/>
  <c r="E3532" i="2"/>
  <c r="E3352" i="2"/>
  <c r="E2848" i="2"/>
  <c r="E2800" i="2"/>
  <c r="E2596" i="2"/>
  <c r="E2368" i="2"/>
  <c r="E2272" i="2"/>
  <c r="E2116" i="2"/>
  <c r="E1768" i="2"/>
  <c r="E1576" i="2"/>
  <c r="E1492" i="2"/>
  <c r="E1468" i="2"/>
  <c r="E1420" i="2"/>
  <c r="E1384" i="2"/>
  <c r="E1348" i="2"/>
  <c r="E1276" i="2"/>
  <c r="E1192" i="2"/>
  <c r="E1168" i="2"/>
  <c r="E1120" i="2"/>
  <c r="E1060" i="2"/>
  <c r="E1012" i="2"/>
  <c r="E940" i="2"/>
  <c r="E892" i="2"/>
  <c r="E856" i="2"/>
  <c r="E736" i="2"/>
  <c r="E664" i="2"/>
  <c r="E640" i="2"/>
  <c r="E604" i="2"/>
  <c r="E472" i="2"/>
  <c r="E436" i="2"/>
  <c r="E364" i="2"/>
  <c r="E340" i="2"/>
  <c r="E328" i="2"/>
  <c r="E268" i="2"/>
  <c r="E232" i="2"/>
  <c r="E196" i="2"/>
  <c r="E160" i="2"/>
  <c r="E124" i="2"/>
  <c r="E64" i="2"/>
  <c r="E2684" i="2"/>
  <c r="E2612" i="2"/>
  <c r="E2540" i="2"/>
  <c r="E2420" i="2"/>
  <c r="E2336" i="2"/>
  <c r="E2276" i="2"/>
  <c r="E2216" i="2"/>
  <c r="E2096" i="2"/>
  <c r="E2036" i="2"/>
  <c r="E1988" i="2"/>
  <c r="E1928" i="2"/>
  <c r="E1832" i="2"/>
  <c r="E1760" i="2"/>
  <c r="E1700" i="2"/>
  <c r="E1628" i="2"/>
  <c r="E1544" i="2"/>
  <c r="E1496" i="2"/>
  <c r="E1448" i="2"/>
  <c r="E1352" i="2"/>
  <c r="E1268" i="2"/>
  <c r="E1172" i="2"/>
  <c r="E1124" i="2"/>
  <c r="E1052" i="2"/>
  <c r="E968" i="2"/>
  <c r="E884" i="2"/>
  <c r="E824" i="2"/>
  <c r="E764" i="2"/>
  <c r="E716" i="2"/>
  <c r="E572" i="2"/>
  <c r="E524" i="2"/>
  <c r="E476" i="2"/>
  <c r="E440" i="2"/>
  <c r="E380" i="2"/>
  <c r="E296" i="2"/>
  <c r="E260" i="2"/>
  <c r="E236" i="2"/>
  <c r="E128" i="2"/>
  <c r="E116" i="2"/>
  <c r="E32" i="2"/>
  <c r="E3641" i="2"/>
  <c r="E3605" i="2"/>
  <c r="E3569" i="2"/>
  <c r="E3509" i="2"/>
  <c r="E3389" i="2"/>
  <c r="E3317" i="2"/>
  <c r="E3257" i="2"/>
  <c r="E3137" i="2"/>
  <c r="E3053" i="2"/>
  <c r="E2945" i="2"/>
  <c r="E2837" i="2"/>
  <c r="E2777" i="2"/>
  <c r="E2693" i="2"/>
  <c r="E2633" i="2"/>
  <c r="E2525" i="2"/>
  <c r="E2453" i="2"/>
  <c r="E2369" i="2"/>
  <c r="E2273" i="2"/>
  <c r="E2117" i="2"/>
  <c r="E2057" i="2"/>
  <c r="E3256" i="2"/>
  <c r="E2968" i="2"/>
  <c r="E2932" i="2"/>
  <c r="E2704" i="2"/>
  <c r="E2632" i="2"/>
  <c r="E2392" i="2"/>
  <c r="E1960" i="2"/>
  <c r="E1432" i="2"/>
  <c r="E1036" i="2"/>
  <c r="E3639" i="2"/>
  <c r="E3579" i="2"/>
  <c r="E3495" i="2"/>
  <c r="E3459" i="2"/>
  <c r="E3435" i="2"/>
  <c r="E3411" i="2"/>
  <c r="E3339" i="2"/>
  <c r="E3291" i="2"/>
  <c r="E3255" i="2"/>
  <c r="E3171" i="2"/>
  <c r="E3087" i="2"/>
  <c r="E3015" i="2"/>
  <c r="E2967" i="2"/>
  <c r="E2931" i="2"/>
  <c r="E2895" i="2"/>
  <c r="E2787" i="2"/>
  <c r="E2727" i="2"/>
  <c r="E2691" i="2"/>
  <c r="E2643" i="2"/>
  <c r="E2571" i="2"/>
  <c r="E2523" i="2"/>
  <c r="E2451" i="2"/>
  <c r="E2415" i="2"/>
  <c r="E2391" i="2"/>
  <c r="E2331" i="2"/>
  <c r="E2295" i="2"/>
  <c r="E2235" i="2"/>
  <c r="E2187" i="2"/>
  <c r="E2163" i="2"/>
  <c r="E2115" i="2"/>
  <c r="E2103" i="2"/>
  <c r="E2067" i="2"/>
  <c r="E1983" i="2"/>
  <c r="E1947" i="2"/>
  <c r="E1839" i="2"/>
  <c r="E1767" i="2"/>
  <c r="E1719" i="2"/>
  <c r="E1671" i="2"/>
  <c r="E1647" i="2"/>
  <c r="E1635" i="2"/>
  <c r="E1623" i="2"/>
  <c r="E1599" i="2"/>
  <c r="E1587" i="2"/>
  <c r="E1575" i="2"/>
  <c r="E1563" i="2"/>
  <c r="E1551" i="2"/>
  <c r="E1515" i="2"/>
  <c r="E1503" i="2"/>
  <c r="E1491" i="2"/>
  <c r="E1479" i="2"/>
  <c r="E1467" i="2"/>
  <c r="E1455" i="2"/>
  <c r="E1443" i="2"/>
  <c r="E1431" i="2"/>
  <c r="E1419" i="2"/>
  <c r="E1407" i="2"/>
  <c r="E1395" i="2"/>
  <c r="E1383" i="2"/>
  <c r="E1371" i="2"/>
  <c r="E1359" i="2"/>
  <c r="E1347" i="2"/>
  <c r="E1335" i="2"/>
  <c r="E1323" i="2"/>
  <c r="E1311" i="2"/>
  <c r="E1299" i="2"/>
  <c r="E1287" i="2"/>
  <c r="E1275" i="2"/>
  <c r="E1263" i="2"/>
  <c r="E1251" i="2"/>
  <c r="E1239" i="2"/>
  <c r="E1227" i="2"/>
  <c r="E1215" i="2"/>
  <c r="E1203" i="2"/>
  <c r="E1191" i="2"/>
  <c r="E1179" i="2"/>
  <c r="E1167" i="2"/>
  <c r="E1155" i="2"/>
  <c r="E1143" i="2"/>
  <c r="E1131" i="2"/>
  <c r="E1119" i="2"/>
  <c r="E1107" i="2"/>
  <c r="E1095" i="2"/>
  <c r="E1083" i="2"/>
  <c r="E1071" i="2"/>
  <c r="E1047" i="2"/>
  <c r="E1035" i="2"/>
  <c r="E1023" i="2"/>
  <c r="E1011" i="2"/>
  <c r="E999" i="2"/>
  <c r="E987" i="2"/>
  <c r="E975" i="2"/>
  <c r="E963" i="2"/>
  <c r="E951" i="2"/>
  <c r="E939" i="2"/>
  <c r="E927" i="2"/>
  <c r="E915" i="2"/>
  <c r="E903" i="2"/>
  <c r="E891" i="2"/>
  <c r="E843" i="2"/>
  <c r="E831" i="2"/>
  <c r="E819" i="2"/>
  <c r="E807" i="2"/>
  <c r="E783" i="2"/>
  <c r="E771" i="2"/>
  <c r="E759" i="2"/>
  <c r="E747" i="2"/>
  <c r="E735" i="2"/>
  <c r="E723" i="2"/>
  <c r="E711" i="2"/>
  <c r="E699" i="2"/>
  <c r="E687" i="2"/>
  <c r="E675" i="2"/>
  <c r="E663" i="2"/>
  <c r="E651" i="2"/>
  <c r="E615" i="2"/>
  <c r="E603" i="2"/>
  <c r="E591" i="2"/>
  <c r="E579" i="2"/>
  <c r="E567" i="2"/>
  <c r="E555" i="2"/>
  <c r="E543" i="2"/>
  <c r="E531" i="2"/>
  <c r="E519" i="2"/>
  <c r="E507" i="2"/>
  <c r="E495" i="2"/>
  <c r="E483" i="2"/>
  <c r="E471" i="2"/>
  <c r="E459" i="2"/>
  <c r="E447" i="2"/>
  <c r="E423" i="2"/>
  <c r="E411" i="2"/>
  <c r="E399" i="2"/>
  <c r="E387" i="2"/>
  <c r="E375" i="2"/>
  <c r="E363" i="2"/>
  <c r="E351" i="2"/>
  <c r="E339" i="2"/>
  <c r="E327" i="2"/>
  <c r="E315" i="2"/>
  <c r="E303" i="2"/>
  <c r="E291" i="2"/>
  <c r="E279" i="2"/>
  <c r="E267" i="2"/>
  <c r="E255" i="2"/>
  <c r="E243" i="2"/>
  <c r="E231" i="2"/>
  <c r="E219" i="2"/>
  <c r="E207" i="2"/>
  <c r="E195" i="2"/>
  <c r="E171" i="2"/>
  <c r="E159" i="2"/>
  <c r="E147" i="2"/>
  <c r="E135" i="2"/>
  <c r="E111" i="2"/>
  <c r="E99" i="2"/>
  <c r="E87" i="2"/>
  <c r="E75" i="2"/>
  <c r="E63" i="2"/>
  <c r="E51" i="2"/>
  <c r="E39" i="2"/>
  <c r="E27" i="2"/>
  <c r="E15" i="2"/>
  <c r="E3" i="2"/>
  <c r="E2600" i="2"/>
  <c r="E2504" i="2"/>
  <c r="E2396" i="2"/>
  <c r="E2360" i="2"/>
  <c r="E2264" i="2"/>
  <c r="E2228" i="2"/>
  <c r="E2156" i="2"/>
  <c r="E2120" i="2"/>
  <c r="E2024" i="2"/>
  <c r="E1916" i="2"/>
  <c r="E1844" i="2"/>
  <c r="E1664" i="2"/>
  <c r="E1592" i="2"/>
  <c r="E1532" i="2"/>
  <c r="E1436" i="2"/>
  <c r="E1328" i="2"/>
  <c r="E1232" i="2"/>
  <c r="E1160" i="2"/>
  <c r="E1076" i="2"/>
  <c r="E1040" i="2"/>
  <c r="E980" i="2"/>
  <c r="E920" i="2"/>
  <c r="E812" i="2"/>
  <c r="E704" i="2"/>
  <c r="E608" i="2"/>
  <c r="E488" i="2"/>
  <c r="E416" i="2"/>
  <c r="E356" i="2"/>
  <c r="E344" i="2"/>
  <c r="E272" i="2"/>
  <c r="E152" i="2"/>
  <c r="E68" i="2"/>
  <c r="E20" i="2"/>
  <c r="E3581" i="2"/>
  <c r="E3545" i="2"/>
  <c r="E3497" i="2"/>
  <c r="E3473" i="2"/>
  <c r="E3365" i="2"/>
  <c r="E3329" i="2"/>
  <c r="E3221" i="2"/>
  <c r="E3185" i="2"/>
  <c r="E3101" i="2"/>
  <c r="E3077" i="2"/>
  <c r="E3029" i="2"/>
  <c r="E2909" i="2"/>
  <c r="E2825" i="2"/>
  <c r="E2753" i="2"/>
  <c r="E2657" i="2"/>
  <c r="E2621" i="2"/>
  <c r="E2549" i="2"/>
  <c r="E2477" i="2"/>
  <c r="E2405" i="2"/>
  <c r="E2321" i="2"/>
  <c r="E2249" i="2"/>
  <c r="E2141" i="2"/>
  <c r="E2081" i="2"/>
  <c r="E2021" i="2"/>
  <c r="E3616" i="2"/>
  <c r="E3172" i="2"/>
  <c r="E3076" i="2"/>
  <c r="E2992" i="2"/>
  <c r="E2824" i="2"/>
  <c r="E2752" i="2"/>
  <c r="E2344" i="2"/>
  <c r="E2248" i="2"/>
  <c r="E2008" i="2"/>
  <c r="E1708" i="2"/>
  <c r="E1552" i="2"/>
  <c r="E3603" i="2"/>
  <c r="E3543" i="2"/>
  <c r="E3447" i="2"/>
  <c r="E3375" i="2"/>
  <c r="E3267" i="2"/>
  <c r="E3183" i="2"/>
  <c r="E3135" i="2"/>
  <c r="E3075" i="2"/>
  <c r="E3051" i="2"/>
  <c r="E3003" i="2"/>
  <c r="E2943" i="2"/>
  <c r="E2907" i="2"/>
  <c r="E2883" i="2"/>
  <c r="E2835" i="2"/>
  <c r="E2799" i="2"/>
  <c r="E2751" i="2"/>
  <c r="E2679" i="2"/>
  <c r="E2631" i="2"/>
  <c r="E2595" i="2"/>
  <c r="E2535" i="2"/>
  <c r="E2439" i="2"/>
  <c r="E2367" i="2"/>
  <c r="E2307" i="2"/>
  <c r="E1695" i="2"/>
  <c r="E2768" i="2"/>
  <c r="E2756" i="2"/>
  <c r="E2696" i="2"/>
  <c r="E2672" i="2"/>
  <c r="E2660" i="2"/>
  <c r="E2636" i="2"/>
  <c r="E2588" i="2"/>
  <c r="E2564" i="2"/>
  <c r="E2492" i="2"/>
  <c r="E2456" i="2"/>
  <c r="E2432" i="2"/>
  <c r="E2408" i="2"/>
  <c r="E2372" i="2"/>
  <c r="E2324" i="2"/>
  <c r="E2300" i="2"/>
  <c r="E2252" i="2"/>
  <c r="E2204" i="2"/>
  <c r="E2144" i="2"/>
  <c r="E2108" i="2"/>
  <c r="E2060" i="2"/>
  <c r="E2048" i="2"/>
  <c r="E2012" i="2"/>
  <c r="E1964" i="2"/>
  <c r="E1940" i="2"/>
  <c r="E1904" i="2"/>
  <c r="E1892" i="2"/>
  <c r="E1856" i="2"/>
  <c r="E1796" i="2"/>
  <c r="E1784" i="2"/>
  <c r="E1748" i="2"/>
  <c r="E1724" i="2"/>
  <c r="E1688" i="2"/>
  <c r="E1640" i="2"/>
  <c r="E1616" i="2"/>
  <c r="E1580" i="2"/>
  <c r="E1556" i="2"/>
  <c r="E1508" i="2"/>
  <c r="E1460" i="2"/>
  <c r="E1424" i="2"/>
  <c r="E1388" i="2"/>
  <c r="E1376" i="2"/>
  <c r="E1340" i="2"/>
  <c r="E1280" i="2"/>
  <c r="E1244" i="2"/>
  <c r="E1148" i="2"/>
  <c r="E1112" i="2"/>
  <c r="E1088" i="2"/>
  <c r="E1064" i="2"/>
  <c r="E1016" i="2"/>
  <c r="E992" i="2"/>
  <c r="E932" i="2"/>
  <c r="E908" i="2"/>
  <c r="E896" i="2"/>
  <c r="E860" i="2"/>
  <c r="E836" i="2"/>
  <c r="E776" i="2"/>
  <c r="E740" i="2"/>
  <c r="E680" i="2"/>
  <c r="E656" i="2"/>
  <c r="E632" i="2"/>
  <c r="E596" i="2"/>
  <c r="E584" i="2"/>
  <c r="E548" i="2"/>
  <c r="E512" i="2"/>
  <c r="E464" i="2"/>
  <c r="E428" i="2"/>
  <c r="E404" i="2"/>
  <c r="E368" i="2"/>
  <c r="E332" i="2"/>
  <c r="E284" i="2"/>
  <c r="E248" i="2"/>
  <c r="E212" i="2"/>
  <c r="E200" i="2"/>
  <c r="E164" i="2"/>
  <c r="E140" i="2"/>
  <c r="E104" i="2"/>
  <c r="E56" i="2"/>
  <c r="E44" i="2"/>
  <c r="E3617" i="2"/>
  <c r="E3593" i="2"/>
  <c r="E3557" i="2"/>
  <c r="E3521" i="2"/>
  <c r="E3461" i="2"/>
  <c r="E3437" i="2"/>
  <c r="E3413" i="2"/>
  <c r="E3353" i="2"/>
  <c r="E3305" i="2"/>
  <c r="E3293" i="2"/>
  <c r="E3281" i="2"/>
  <c r="E3245" i="2"/>
  <c r="E3197" i="2"/>
  <c r="E3173" i="2"/>
  <c r="E3161" i="2"/>
  <c r="E3113" i="2"/>
  <c r="E3089" i="2"/>
  <c r="E3065" i="2"/>
  <c r="E2993" i="2"/>
  <c r="E2969" i="2"/>
  <c r="E2957" i="2"/>
  <c r="E2873" i="2"/>
  <c r="E2849" i="2"/>
  <c r="E2813" i="2"/>
  <c r="E2789" i="2"/>
  <c r="E2765" i="2"/>
  <c r="E2741" i="2"/>
  <c r="E2705" i="2"/>
  <c r="E2669" i="2"/>
  <c r="E2645" i="2"/>
  <c r="E2609" i="2"/>
  <c r="E2585" i="2"/>
  <c r="E2561" i="2"/>
  <c r="E2537" i="2"/>
  <c r="E2501" i="2"/>
  <c r="E2465" i="2"/>
  <c r="E2441" i="2"/>
  <c r="E2417" i="2"/>
  <c r="E2393" i="2"/>
  <c r="E2381" i="2"/>
  <c r="E2309" i="2"/>
  <c r="E2297" i="2"/>
  <c r="E2261" i="2"/>
  <c r="E2237" i="2"/>
  <c r="E2201" i="2"/>
  <c r="E2165" i="2"/>
  <c r="E2153" i="2"/>
  <c r="E2129" i="2"/>
  <c r="E2093" i="2"/>
  <c r="E2069" i="2"/>
  <c r="E2009" i="2"/>
  <c r="E1997" i="2"/>
  <c r="E3640" i="2"/>
  <c r="E3496" i="2"/>
  <c r="E3424" i="2"/>
  <c r="E3388" i="2"/>
  <c r="E3340" i="2"/>
  <c r="E3328" i="2"/>
  <c r="E3244" i="2"/>
  <c r="E3220" i="2"/>
  <c r="E3136" i="2"/>
  <c r="E3028" i="2"/>
  <c r="E2944" i="2"/>
  <c r="E2884" i="2"/>
  <c r="E2680" i="2"/>
  <c r="E2548" i="2"/>
  <c r="E2500" i="2"/>
  <c r="E2476" i="2"/>
  <c r="E2380" i="2"/>
  <c r="E2320" i="2"/>
  <c r="E2260" i="2"/>
  <c r="E2224" i="2"/>
  <c r="E2188" i="2"/>
  <c r="E2140" i="2"/>
  <c r="E2068" i="2"/>
  <c r="E2044" i="2"/>
  <c r="E1996" i="2"/>
  <c r="E1936" i="2"/>
  <c r="E1852" i="2"/>
  <c r="E1720" i="2"/>
  <c r="E1684" i="2"/>
  <c r="E1636" i="2"/>
  <c r="E1624" i="2"/>
  <c r="E1504" i="2"/>
  <c r="E1456" i="2"/>
  <c r="E1408" i="2"/>
  <c r="E1360" i="2"/>
  <c r="E1336" i="2"/>
  <c r="E1324" i="2"/>
  <c r="E1264" i="2"/>
  <c r="E1252" i="2"/>
  <c r="E1240" i="2"/>
  <c r="E1216" i="2"/>
  <c r="E1000" i="2"/>
  <c r="E3615" i="2"/>
  <c r="E3567" i="2"/>
  <c r="E3555" i="2"/>
  <c r="E3507" i="2"/>
  <c r="E3483" i="2"/>
  <c r="E3423" i="2"/>
  <c r="E3399" i="2"/>
  <c r="E3387" i="2"/>
  <c r="E3363" i="2"/>
  <c r="E3351" i="2"/>
  <c r="E3327" i="2"/>
  <c r="E3315" i="2"/>
  <c r="E3303" i="2"/>
  <c r="E3279" i="2"/>
  <c r="E3243" i="2"/>
  <c r="E3219" i="2"/>
  <c r="E3207" i="2"/>
  <c r="E3195" i="2"/>
  <c r="E3159" i="2"/>
  <c r="E3147" i="2"/>
  <c r="E3111" i="2"/>
  <c r="E3099" i="2"/>
  <c r="E3063" i="2"/>
  <c r="E3039" i="2"/>
  <c r="E2991" i="2"/>
  <c r="E2979" i="2"/>
  <c r="E2955" i="2"/>
  <c r="E2919" i="2"/>
  <c r="E2871" i="2"/>
  <c r="E2859" i="2"/>
  <c r="E2847" i="2"/>
  <c r="E2823" i="2"/>
  <c r="E2811" i="2"/>
  <c r="E2763" i="2"/>
  <c r="E2739" i="2"/>
  <c r="E2715" i="2"/>
  <c r="E2703" i="2"/>
  <c r="E2655" i="2"/>
  <c r="E2607" i="2"/>
  <c r="E2583" i="2"/>
  <c r="E2559" i="2"/>
  <c r="E2547" i="2"/>
  <c r="E2499" i="2"/>
  <c r="E2487" i="2"/>
  <c r="E2463" i="2"/>
  <c r="E2427" i="2"/>
  <c r="E2403" i="2"/>
  <c r="E2379" i="2"/>
  <c r="E2343" i="2"/>
  <c r="E2319" i="2"/>
  <c r="E2283" i="2"/>
  <c r="E2271" i="2"/>
  <c r="E2259" i="2"/>
  <c r="E2247" i="2"/>
  <c r="E2223" i="2"/>
  <c r="E2211" i="2"/>
  <c r="E2199" i="2"/>
  <c r="E2151" i="2"/>
  <c r="E2139" i="2"/>
  <c r="E2127" i="2"/>
  <c r="E2091" i="2"/>
  <c r="E2079" i="2"/>
  <c r="E2055" i="2"/>
  <c r="E2043" i="2"/>
  <c r="E2031" i="2"/>
  <c r="E2007" i="2"/>
  <c r="E1995" i="2"/>
  <c r="E1971" i="2"/>
  <c r="E1959" i="2"/>
  <c r="E1935" i="2"/>
  <c r="E1923" i="2"/>
  <c r="E1911" i="2"/>
  <c r="E1875" i="2"/>
  <c r="E1863" i="2"/>
  <c r="E1851" i="2"/>
  <c r="E1827" i="2"/>
  <c r="E1815" i="2"/>
  <c r="E1803" i="2"/>
  <c r="E1791" i="2"/>
  <c r="E1779" i="2"/>
  <c r="E1755" i="2"/>
  <c r="E1731" i="2"/>
  <c r="E1707" i="2"/>
  <c r="E1683" i="2"/>
  <c r="E1539" i="2"/>
  <c r="E3637" i="2"/>
  <c r="E3601" i="2"/>
  <c r="E3589" i="2"/>
  <c r="E3565" i="2"/>
  <c r="E3517" i="2"/>
  <c r="E3481" i="2"/>
  <c r="E3469" i="2"/>
  <c r="E3433" i="2"/>
  <c r="E3421" i="2"/>
  <c r="E3385" i="2"/>
  <c r="E3337" i="2"/>
  <c r="E3325" i="2"/>
  <c r="E3277" i="2"/>
  <c r="E3241" i="2"/>
  <c r="E3217" i="2"/>
  <c r="E3193" i="2"/>
  <c r="E3169" i="2"/>
  <c r="E3133" i="2"/>
  <c r="E3073" i="2"/>
  <c r="E3061" i="2"/>
  <c r="E3013" i="2"/>
  <c r="E2929" i="2"/>
  <c r="E2917" i="2"/>
  <c r="E2905" i="2"/>
  <c r="E2881" i="2"/>
  <c r="E2809" i="2"/>
  <c r="E2773" i="2"/>
  <c r="E2581" i="2"/>
  <c r="E2449" i="2"/>
  <c r="E2437" i="2"/>
  <c r="E2377" i="2"/>
  <c r="E2329" i="2"/>
  <c r="E2317" i="2"/>
  <c r="E2305" i="2"/>
  <c r="E2269" i="2"/>
  <c r="E2245" i="2"/>
  <c r="E2233" i="2"/>
  <c r="E2197" i="2"/>
  <c r="E2173" i="2"/>
  <c r="E2161" i="2"/>
  <c r="E2113" i="2"/>
  <c r="E2077" i="2"/>
  <c r="E2041" i="2"/>
  <c r="E2029" i="2"/>
  <c r="E1969" i="2"/>
  <c r="E1885" i="2"/>
  <c r="E1801" i="2"/>
  <c r="E1765" i="2"/>
  <c r="E1717" i="2"/>
  <c r="E1681" i="2"/>
  <c r="E1657" i="2"/>
  <c r="E1597" i="2"/>
  <c r="E1573" i="2"/>
  <c r="E1453" i="2"/>
  <c r="E1405" i="2"/>
  <c r="E1321" i="2"/>
  <c r="E1297" i="2"/>
  <c r="E1285" i="2"/>
  <c r="E1005" i="2"/>
  <c r="E837" i="2"/>
  <c r="E465" i="2"/>
  <c r="E405" i="2"/>
  <c r="E201" i="2"/>
  <c r="E2939" i="2"/>
  <c r="E2927" i="2"/>
  <c r="E2915" i="2"/>
  <c r="E2903" i="2"/>
  <c r="E2891" i="2"/>
  <c r="E2879" i="2"/>
  <c r="E2867" i="2"/>
  <c r="E2855" i="2"/>
  <c r="E2843" i="2"/>
  <c r="E2831" i="2"/>
  <c r="E2819" i="2"/>
  <c r="E2807" i="2"/>
  <c r="E2795" i="2"/>
  <c r="E2783" i="2"/>
  <c r="E2771" i="2"/>
  <c r="E2759" i="2"/>
  <c r="E2747" i="2"/>
  <c r="E2735" i="2"/>
  <c r="E2723" i="2"/>
  <c r="E2711" i="2"/>
  <c r="E2699" i="2"/>
  <c r="E2687" i="2"/>
  <c r="E2675" i="2"/>
  <c r="E2663" i="2"/>
  <c r="E2651" i="2"/>
  <c r="E2639" i="2"/>
  <c r="E2627" i="2"/>
  <c r="E2615" i="2"/>
  <c r="E2603" i="2"/>
  <c r="E2591" i="2"/>
  <c r="E2579" i="2"/>
  <c r="E2567" i="2"/>
  <c r="E2555" i="2"/>
  <c r="E2543" i="2"/>
  <c r="E2531" i="2"/>
  <c r="E2519" i="2"/>
  <c r="E2507" i="2"/>
  <c r="E2495" i="2"/>
  <c r="E2483" i="2"/>
  <c r="E2471" i="2"/>
  <c r="E2459" i="2"/>
  <c r="E2447" i="2"/>
  <c r="E2435" i="2"/>
  <c r="E2423" i="2"/>
  <c r="E2411" i="2"/>
  <c r="E2399" i="2"/>
  <c r="E2387" i="2"/>
  <c r="E2375" i="2"/>
  <c r="E2363" i="2"/>
  <c r="E2351" i="2"/>
  <c r="E2339" i="2"/>
  <c r="E2327" i="2"/>
  <c r="E2315" i="2"/>
  <c r="E2303" i="2"/>
  <c r="E2291" i="2"/>
  <c r="E2279" i="2"/>
  <c r="E2267" i="2"/>
  <c r="E2255" i="2"/>
  <c r="E2243" i="2"/>
  <c r="E2231" i="2"/>
  <c r="E2219" i="2"/>
  <c r="E2207" i="2"/>
  <c r="E2195" i="2"/>
  <c r="E2183" i="2"/>
  <c r="E2171" i="2"/>
  <c r="E2159" i="2"/>
  <c r="E2147" i="2"/>
  <c r="E2135" i="2"/>
  <c r="E2123" i="2"/>
  <c r="E2111" i="2"/>
  <c r="E2099" i="2"/>
  <c r="E2087" i="2"/>
  <c r="E2075" i="2"/>
  <c r="E2063" i="2"/>
  <c r="E2051" i="2"/>
  <c r="E2027" i="2"/>
  <c r="E2015" i="2"/>
  <c r="E2003" i="2"/>
  <c r="E1991" i="2"/>
  <c r="E1979" i="2"/>
  <c r="E1967" i="2"/>
  <c r="E1955" i="2"/>
  <c r="E1943" i="2"/>
  <c r="E1931" i="2"/>
  <c r="E1919" i="2"/>
  <c r="E1907" i="2"/>
  <c r="E1895" i="2"/>
  <c r="E1883" i="2"/>
  <c r="E1871" i="2"/>
  <c r="E1859" i="2"/>
  <c r="E1847" i="2"/>
  <c r="E1835" i="2"/>
  <c r="E1823" i="2"/>
  <c r="E1811" i="2"/>
  <c r="E1799" i="2"/>
  <c r="E1787" i="2"/>
  <c r="E1775" i="2"/>
  <c r="E1763" i="2"/>
  <c r="E1751" i="2"/>
  <c r="E1739" i="2"/>
  <c r="E1727" i="2"/>
  <c r="E1715" i="2"/>
  <c r="E1703" i="2"/>
  <c r="E1691" i="2"/>
  <c r="E1679" i="2"/>
  <c r="E1667" i="2"/>
  <c r="E1655" i="2"/>
  <c r="E1643" i="2"/>
  <c r="E1631" i="2"/>
  <c r="E1619" i="2"/>
  <c r="E1607" i="2"/>
  <c r="E1595" i="2"/>
  <c r="E1583" i="2"/>
  <c r="E1571" i="2"/>
  <c r="E1559" i="2"/>
  <c r="E1547" i="2"/>
  <c r="E1535" i="2"/>
  <c r="E1523" i="2"/>
  <c r="E1511" i="2"/>
  <c r="E1499" i="2"/>
  <c r="E1487" i="2"/>
  <c r="E1475" i="2"/>
  <c r="E1463" i="2"/>
  <c r="E1451" i="2"/>
  <c r="E1439" i="2"/>
  <c r="E1427" i="2"/>
  <c r="E1415" i="2"/>
  <c r="E1403" i="2"/>
  <c r="E1391" i="2"/>
  <c r="E1379" i="2"/>
  <c r="E1367" i="2"/>
  <c r="E1355" i="2"/>
  <c r="E1343" i="2"/>
  <c r="E1331" i="2"/>
  <c r="E1319" i="2"/>
  <c r="E1307" i="2"/>
  <c r="E1295" i="2"/>
  <c r="E1283" i="2"/>
  <c r="E1271" i="2"/>
  <c r="E1259" i="2"/>
  <c r="E3594" i="2"/>
  <c r="E3570" i="2"/>
  <c r="E3546" i="2"/>
  <c r="E3510" i="2"/>
  <c r="E3486" i="2"/>
  <c r="E3402" i="2"/>
  <c r="E3294" i="2"/>
  <c r="E3258" i="2"/>
  <c r="E3234" i="2"/>
  <c r="E3210" i="2"/>
  <c r="E3150" i="2"/>
  <c r="E3126" i="2"/>
  <c r="E3090" i="2"/>
  <c r="E3066" i="2"/>
  <c r="E2982" i="2"/>
  <c r="E2874" i="2"/>
  <c r="E2838" i="2"/>
  <c r="E2814" i="2"/>
  <c r="E2790" i="2"/>
  <c r="E2766" i="2"/>
  <c r="E2586" i="2"/>
  <c r="E2562" i="2"/>
  <c r="E2514" i="2"/>
  <c r="E2490" i="2"/>
  <c r="E2406" i="2"/>
  <c r="E2358" i="2"/>
  <c r="E2310" i="2"/>
  <c r="E2286" i="2"/>
  <c r="E2262" i="2"/>
  <c r="E2130" i="2"/>
  <c r="E2082" i="2"/>
  <c r="E2058" i="2"/>
  <c r="E2010" i="2"/>
  <c r="E1986" i="2"/>
  <c r="E1950" i="2"/>
  <c r="E1926" i="2"/>
  <c r="E1902" i="2"/>
  <c r="E1878" i="2"/>
  <c r="E1866" i="2"/>
  <c r="E1842" i="2"/>
  <c r="E1794" i="2"/>
  <c r="E1782" i="2"/>
  <c r="E1758" i="2"/>
  <c r="E1734" i="2"/>
  <c r="E1710" i="2"/>
  <c r="E1698" i="2"/>
  <c r="E1650" i="2"/>
  <c r="E1626" i="2"/>
  <c r="E1614" i="2"/>
  <c r="E1566" i="2"/>
  <c r="E1542" i="2"/>
  <c r="E1482" i="2"/>
  <c r="E1398" i="2"/>
  <c r="E1374" i="2"/>
  <c r="E1146" i="2"/>
  <c r="E1122" i="2"/>
  <c r="E1110" i="2"/>
  <c r="E1086" i="2"/>
  <c r="E930" i="2"/>
  <c r="E786" i="2"/>
  <c r="E762" i="2"/>
  <c r="E426" i="2"/>
  <c r="E354" i="2"/>
  <c r="E282" i="2"/>
  <c r="E186" i="2"/>
  <c r="E42" i="2"/>
  <c r="E3987" i="2"/>
  <c r="E3975" i="2"/>
  <c r="E3963" i="2"/>
  <c r="E3951" i="2"/>
  <c r="E3939" i="2"/>
  <c r="E3927" i="2"/>
  <c r="E3915" i="2"/>
  <c r="E3903" i="2"/>
  <c r="E3891" i="2"/>
  <c r="E3879" i="2"/>
  <c r="E3867" i="2"/>
  <c r="E3855" i="2"/>
  <c r="E3843" i="2"/>
  <c r="E3831" i="2"/>
  <c r="E3819" i="2"/>
  <c r="E3807" i="2"/>
  <c r="E3795" i="2"/>
  <c r="E3783" i="2"/>
  <c r="E3771" i="2"/>
  <c r="E3759" i="2"/>
  <c r="E3747" i="2"/>
  <c r="E3735" i="2"/>
  <c r="E3723" i="2"/>
  <c r="E3711" i="2"/>
  <c r="E3699" i="2"/>
  <c r="E3687" i="2"/>
  <c r="E3675" i="2"/>
  <c r="E3663" i="2"/>
  <c r="E3651" i="2"/>
  <c r="E371" i="2"/>
  <c r="E359" i="2"/>
  <c r="E347" i="2"/>
  <c r="E335" i="2"/>
  <c r="E323" i="2"/>
  <c r="E311" i="2"/>
  <c r="E299" i="2"/>
  <c r="E287" i="2"/>
  <c r="E275" i="2"/>
  <c r="E263" i="2"/>
  <c r="E251" i="2"/>
  <c r="E239" i="2"/>
  <c r="E227" i="2"/>
  <c r="E215" i="2"/>
  <c r="E203" i="2"/>
  <c r="E191" i="2"/>
  <c r="E179" i="2"/>
  <c r="E167" i="2"/>
  <c r="E155" i="2"/>
  <c r="E143" i="2"/>
  <c r="E131" i="2"/>
  <c r="E119" i="2"/>
  <c r="E107" i="2"/>
  <c r="E95" i="2"/>
  <c r="E83" i="2"/>
  <c r="E71" i="2"/>
  <c r="E59" i="2"/>
  <c r="E47" i="2"/>
  <c r="E35" i="2"/>
  <c r="E23" i="2"/>
  <c r="E11" i="2"/>
  <c r="E3403" i="2"/>
  <c r="E3319" i="2"/>
  <c r="E3295" i="2"/>
  <c r="E3259" i="2"/>
  <c r="E3235" i="2"/>
  <c r="E3211" i="2"/>
  <c r="E3151" i="2"/>
  <c r="E3007" i="2"/>
  <c r="E2983" i="2"/>
  <c r="E2875" i="2"/>
  <c r="E2839" i="2"/>
  <c r="E2587" i="2"/>
  <c r="E2563" i="2"/>
  <c r="E2539" i="2"/>
  <c r="E2491" i="2"/>
  <c r="E2407" i="2"/>
  <c r="E2359" i="2"/>
  <c r="E2311" i="2"/>
  <c r="E2263" i="2"/>
  <c r="E2131" i="2"/>
  <c r="E2059" i="2"/>
  <c r="E1951" i="2"/>
  <c r="E1867" i="2"/>
  <c r="E1783" i="2"/>
  <c r="E1759" i="2"/>
  <c r="E1735" i="2"/>
  <c r="E1699" i="2"/>
  <c r="E1639" i="2"/>
  <c r="E1627" i="2"/>
  <c r="E1591" i="2"/>
  <c r="E1555" i="2"/>
  <c r="E1543" i="2"/>
  <c r="E1507" i="2"/>
  <c r="E1483" i="2"/>
  <c r="E1471" i="2"/>
  <c r="E1423" i="2"/>
  <c r="E1399" i="2"/>
  <c r="E1363" i="2"/>
  <c r="E1327" i="2"/>
  <c r="E1303" i="2"/>
  <c r="E1279" i="2"/>
  <c r="E1195" i="2"/>
  <c r="E1159" i="2"/>
  <c r="E1087" i="2"/>
  <c r="E1075" i="2"/>
  <c r="E1039" i="2"/>
  <c r="E1015" i="2"/>
  <c r="E967" i="2"/>
  <c r="E943" i="2"/>
  <c r="E931" i="2"/>
  <c r="E919" i="2"/>
  <c r="E907" i="2"/>
  <c r="E883" i="2"/>
  <c r="E835" i="2"/>
  <c r="E811" i="2"/>
  <c r="E799" i="2"/>
  <c r="E763" i="2"/>
  <c r="E751" i="2"/>
  <c r="E739" i="2"/>
  <c r="E679" i="2"/>
  <c r="E655" i="2"/>
  <c r="E643" i="2"/>
  <c r="E607" i="2"/>
  <c r="E583" i="2"/>
  <c r="E535" i="2"/>
  <c r="E511" i="2"/>
  <c r="E487" i="2"/>
  <c r="E475" i="2"/>
  <c r="E439" i="2"/>
  <c r="E403" i="2"/>
  <c r="E379" i="2"/>
  <c r="E307" i="2"/>
  <c r="E235" i="2"/>
  <c r="E223" i="2"/>
  <c r="E187" i="2"/>
  <c r="E175" i="2"/>
  <c r="E151" i="2"/>
  <c r="E79" i="2"/>
  <c r="E67" i="2"/>
  <c r="E43" i="2"/>
  <c r="E19" i="2"/>
  <c r="E1225" i="2"/>
  <c r="E3988" i="2"/>
  <c r="E3976" i="2"/>
  <c r="E3964" i="2"/>
  <c r="E3952" i="2"/>
  <c r="E3940" i="2"/>
  <c r="E3928" i="2"/>
  <c r="E3916" i="2"/>
  <c r="E3904" i="2"/>
  <c r="E3892" i="2"/>
  <c r="E3880" i="2"/>
  <c r="E3868" i="2"/>
  <c r="E3856" i="2"/>
  <c r="E3844" i="2"/>
  <c r="E3832" i="2"/>
  <c r="E3808" i="2"/>
  <c r="E3796" i="2"/>
  <c r="E3784" i="2"/>
  <c r="E3772" i="2"/>
  <c r="E3760" i="2"/>
  <c r="E3748" i="2"/>
  <c r="E3736" i="2"/>
  <c r="E3724" i="2"/>
  <c r="E3712" i="2"/>
  <c r="E3700" i="2"/>
  <c r="E3688" i="2"/>
  <c r="E3676" i="2"/>
  <c r="E3664" i="2"/>
  <c r="E3652" i="2"/>
  <c r="E3998" i="2"/>
  <c r="E3950" i="2"/>
  <c r="E3914" i="2"/>
  <c r="E3866" i="2"/>
  <c r="E3806" i="2"/>
  <c r="E3758" i="2"/>
  <c r="E3722" i="2"/>
  <c r="E3674" i="2"/>
  <c r="E3986" i="2"/>
  <c r="E3974" i="2"/>
  <c r="E3938" i="2"/>
  <c r="E3926" i="2"/>
  <c r="E3890" i="2"/>
  <c r="E3878" i="2"/>
  <c r="E3842" i="2"/>
  <c r="E3830" i="2"/>
  <c r="E3794" i="2"/>
  <c r="E3782" i="2"/>
  <c r="E3746" i="2"/>
  <c r="E3734" i="2"/>
  <c r="E3698" i="2"/>
  <c r="E3686" i="2"/>
  <c r="E3650" i="2"/>
  <c r="E709" i="2"/>
  <c r="E541" i="2"/>
  <c r="E3997" i="2"/>
  <c r="E3985" i="2"/>
  <c r="E3973" i="2"/>
  <c r="E3961" i="2"/>
  <c r="E3949" i="2"/>
  <c r="E3937" i="2"/>
  <c r="E3925" i="2"/>
  <c r="E3913" i="2"/>
  <c r="E3901" i="2"/>
  <c r="E3889" i="2"/>
  <c r="E3877" i="2"/>
  <c r="E3865" i="2"/>
  <c r="E3853" i="2"/>
  <c r="E3841" i="2"/>
  <c r="E3829" i="2"/>
  <c r="E3817" i="2"/>
  <c r="E3805" i="2"/>
  <c r="E3793" i="2"/>
  <c r="E3781" i="2"/>
  <c r="E3769" i="2"/>
  <c r="E3757" i="2"/>
  <c r="E3745" i="2"/>
  <c r="E3733" i="2"/>
  <c r="E3721" i="2"/>
  <c r="E3709" i="2"/>
  <c r="E3697" i="2"/>
  <c r="E3685" i="2"/>
  <c r="E3673" i="2"/>
  <c r="E3661" i="2"/>
  <c r="E3649" i="2"/>
  <c r="E3996" i="2"/>
  <c r="E3984" i="2"/>
  <c r="E3972" i="2"/>
  <c r="E3960" i="2"/>
  <c r="E3948" i="2"/>
  <c r="E3936" i="2"/>
  <c r="E3924" i="2"/>
  <c r="E3912" i="2"/>
  <c r="E3900" i="2"/>
  <c r="E3888" i="2"/>
  <c r="E3876" i="2"/>
  <c r="E3864" i="2"/>
  <c r="E3852" i="2"/>
  <c r="E3840" i="2"/>
  <c r="E3828" i="2"/>
  <c r="E3816" i="2"/>
  <c r="E3804" i="2"/>
  <c r="E3792" i="2"/>
  <c r="E3780" i="2"/>
  <c r="E3768" i="2"/>
  <c r="E3756" i="2"/>
  <c r="E3744" i="2"/>
  <c r="E3732" i="2"/>
  <c r="E3720" i="2"/>
  <c r="E3708" i="2"/>
  <c r="E3696" i="2"/>
  <c r="E3684" i="2"/>
  <c r="E3672" i="2"/>
  <c r="E3660" i="2"/>
  <c r="E3648" i="2"/>
  <c r="E3643" i="2"/>
  <c r="E3607" i="2"/>
  <c r="E3595" i="2"/>
  <c r="E3559" i="2"/>
  <c r="E3511" i="2"/>
  <c r="E3499" i="2"/>
  <c r="E3463" i="2"/>
  <c r="E3451" i="2"/>
  <c r="E3439" i="2"/>
  <c r="E3415" i="2"/>
  <c r="E3391" i="2"/>
  <c r="E3367" i="2"/>
  <c r="E3355" i="2"/>
  <c r="E3307" i="2"/>
  <c r="E3283" i="2"/>
  <c r="E3271" i="2"/>
  <c r="E3247" i="2"/>
  <c r="E3223" i="2"/>
  <c r="E3139" i="2"/>
  <c r="E3103" i="2"/>
  <c r="E3091" i="2"/>
  <c r="E3031" i="2"/>
  <c r="E2995" i="2"/>
  <c r="E2959" i="2"/>
  <c r="E2947" i="2"/>
  <c r="E2935" i="2"/>
  <c r="E2887" i="2"/>
  <c r="E2863" i="2"/>
  <c r="E2851" i="2"/>
  <c r="E2803" i="2"/>
  <c r="E2731" i="2"/>
  <c r="E2719" i="2"/>
  <c r="E2707" i="2"/>
  <c r="E2683" i="2"/>
  <c r="E2671" i="2"/>
  <c r="E2659" i="2"/>
  <c r="E2647" i="2"/>
  <c r="E2635" i="2"/>
  <c r="E2599" i="2"/>
  <c r="E2551" i="2"/>
  <c r="E2527" i="2"/>
  <c r="E2455" i="2"/>
  <c r="E2443" i="2"/>
  <c r="E3642" i="2"/>
  <c r="E3582" i="2"/>
  <c r="E3558" i="2"/>
  <c r="E3534" i="2"/>
  <c r="E3522" i="2"/>
  <c r="E3498" i="2"/>
  <c r="E3450" i="2"/>
  <c r="E3438" i="2"/>
  <c r="E3390" i="2"/>
  <c r="E3354" i="2"/>
  <c r="E3342" i="2"/>
  <c r="E3306" i="2"/>
  <c r="E3282" i="2"/>
  <c r="E3246" i="2"/>
  <c r="E3198" i="2"/>
  <c r="E3162" i="2"/>
  <c r="E3138" i="2"/>
  <c r="E3114" i="2"/>
  <c r="E3102" i="2"/>
  <c r="E3078" i="2"/>
  <c r="E3054" i="2"/>
  <c r="E2994" i="2"/>
  <c r="E2946" i="2"/>
  <c r="E2934" i="2"/>
  <c r="E2850" i="2"/>
  <c r="E2826" i="2"/>
  <c r="E2802" i="2"/>
  <c r="E2778" i="2"/>
  <c r="E2706" i="2"/>
  <c r="E2694" i="2"/>
  <c r="E2682" i="2"/>
  <c r="E2646" i="2"/>
  <c r="E2634" i="2"/>
  <c r="E2574" i="2"/>
  <c r="E2550" i="2"/>
  <c r="E2526" i="2"/>
  <c r="E2478" i="2"/>
  <c r="E2442" i="2"/>
  <c r="E2430" i="2"/>
  <c r="E2394" i="2"/>
  <c r="E2370" i="2"/>
  <c r="E2346" i="2"/>
  <c r="E2298" i="2"/>
  <c r="E2274" i="2"/>
  <c r="E2226" i="2"/>
  <c r="E2214" i="2"/>
  <c r="E2202" i="2"/>
  <c r="E2190" i="2"/>
  <c r="E2166" i="2"/>
  <c r="E2154" i="2"/>
  <c r="E2142" i="2"/>
  <c r="E2118" i="2"/>
  <c r="E2094" i="2"/>
  <c r="E2046" i="2"/>
  <c r="E2022" i="2"/>
  <c r="E1974" i="2"/>
  <c r="E1938" i="2"/>
  <c r="E1914" i="2"/>
  <c r="E1854" i="2"/>
  <c r="E1830" i="2"/>
  <c r="E1770" i="2"/>
  <c r="E1722" i="2"/>
  <c r="E1638" i="2"/>
  <c r="E1590" i="2"/>
  <c r="E1554" i="2"/>
  <c r="E1506" i="2"/>
  <c r="E1470" i="2"/>
  <c r="E1446" i="2"/>
  <c r="E1422" i="2"/>
  <c r="E1410" i="2"/>
  <c r="E1362" i="2"/>
  <c r="E1338" i="2"/>
  <c r="E1326" i="2"/>
  <c r="E1302" i="2"/>
  <c r="E1278" i="2"/>
  <c r="E1254" i="2"/>
  <c r="E1230" i="2"/>
  <c r="E1218" i="2"/>
  <c r="E1194" i="2"/>
  <c r="E1158" i="2"/>
  <c r="E1134" i="2"/>
  <c r="E1050" i="2"/>
  <c r="E1038" i="2"/>
  <c r="E942" i="2"/>
  <c r="E906" i="2"/>
  <c r="E882" i="2"/>
  <c r="E810" i="2"/>
  <c r="E774" i="2"/>
  <c r="E738" i="2"/>
  <c r="E714" i="2"/>
  <c r="E642" i="2"/>
  <c r="E630" i="2"/>
  <c r="E606" i="2"/>
  <c r="E582" i="2"/>
  <c r="E534" i="2"/>
  <c r="E498" i="2"/>
  <c r="E450" i="2"/>
  <c r="E438" i="2"/>
  <c r="E378" i="2"/>
  <c r="E342" i="2"/>
  <c r="E306" i="2"/>
  <c r="E234" i="2"/>
  <c r="E174" i="2"/>
  <c r="E90" i="2"/>
  <c r="E66" i="2"/>
  <c r="E30" i="2"/>
  <c r="E18" i="2"/>
  <c r="E3631" i="2"/>
  <c r="E3571" i="2"/>
  <c r="E3475" i="2"/>
  <c r="E3331" i="2"/>
  <c r="E3199" i="2"/>
  <c r="E3175" i="2"/>
  <c r="E3163" i="2"/>
  <c r="E3079" i="2"/>
  <c r="E3043" i="2"/>
  <c r="E3019" i="2"/>
  <c r="E2971" i="2"/>
  <c r="E2923" i="2"/>
  <c r="E2755" i="2"/>
  <c r="E2743" i="2"/>
  <c r="E2611" i="2"/>
  <c r="E2575" i="2"/>
  <c r="E2479" i="2"/>
  <c r="E2419" i="2"/>
  <c r="E2275" i="2"/>
  <c r="E2239" i="2"/>
  <c r="E2167" i="2"/>
  <c r="E2107" i="2"/>
  <c r="E2047" i="2"/>
  <c r="E2011" i="2"/>
  <c r="E1975" i="2"/>
  <c r="E1915" i="2"/>
  <c r="E1831" i="2"/>
  <c r="E1579" i="2"/>
  <c r="E1435" i="2"/>
  <c r="E1231" i="2"/>
  <c r="E1051" i="2"/>
  <c r="E871" i="2"/>
  <c r="E547" i="2"/>
  <c r="E451" i="2"/>
  <c r="E295" i="2"/>
  <c r="E115" i="2"/>
  <c r="E31" i="2"/>
  <c r="E3606" i="2"/>
  <c r="E3474" i="2"/>
  <c r="E3366" i="2"/>
  <c r="E3330" i="2"/>
  <c r="E3270" i="2"/>
  <c r="E3186" i="2"/>
  <c r="E3018" i="2"/>
  <c r="E3006" i="2"/>
  <c r="E2970" i="2"/>
  <c r="E2958" i="2"/>
  <c r="E2898" i="2"/>
  <c r="E2862" i="2"/>
  <c r="E2658" i="2"/>
  <c r="E2382" i="2"/>
  <c r="E2106" i="2"/>
  <c r="E1818" i="2"/>
  <c r="E1746" i="2"/>
  <c r="E1662" i="2"/>
  <c r="E1602" i="2"/>
  <c r="E1386" i="2"/>
  <c r="E1350" i="2"/>
  <c r="E1242" i="2"/>
  <c r="E1002" i="2"/>
  <c r="E966" i="2"/>
  <c r="E918" i="2"/>
  <c r="E834" i="2"/>
  <c r="E822" i="2"/>
  <c r="E726" i="2"/>
  <c r="E702" i="2"/>
  <c r="E678" i="2"/>
  <c r="E654" i="2"/>
  <c r="E558" i="2"/>
  <c r="E474" i="2"/>
  <c r="E390" i="2"/>
  <c r="E258" i="2"/>
  <c r="E210" i="2"/>
  <c r="E138" i="2"/>
  <c r="E102" i="2"/>
  <c r="E54" i="2"/>
  <c r="E3592" i="2"/>
  <c r="E3556" i="2"/>
  <c r="E3448" i="2"/>
  <c r="E3316" i="2"/>
  <c r="E3160" i="2"/>
  <c r="E3148" i="2"/>
  <c r="E3052" i="2"/>
  <c r="E3016" i="2"/>
  <c r="E2860" i="2"/>
  <c r="E2812" i="2"/>
  <c r="E2764" i="2"/>
  <c r="E2728" i="2"/>
  <c r="E2716" i="2"/>
  <c r="E2692" i="2"/>
  <c r="E2644" i="2"/>
  <c r="E2572" i="2"/>
  <c r="E2524" i="2"/>
  <c r="E2452" i="2"/>
  <c r="E2440" i="2"/>
  <c r="E2428" i="2"/>
  <c r="E2404" i="2"/>
  <c r="E2356" i="2"/>
  <c r="E2332" i="2"/>
  <c r="E2308" i="2"/>
  <c r="E2296" i="2"/>
  <c r="E2236" i="2"/>
  <c r="E2200" i="2"/>
  <c r="E2164" i="2"/>
  <c r="E2092" i="2"/>
  <c r="E2032" i="2"/>
  <c r="E2020" i="2"/>
  <c r="E1972" i="2"/>
  <c r="E1948" i="2"/>
  <c r="E1912" i="2"/>
  <c r="E1888" i="2"/>
  <c r="E1876" i="2"/>
  <c r="E1828" i="2"/>
  <c r="E1804" i="2"/>
  <c r="E1792" i="2"/>
  <c r="E1744" i="2"/>
  <c r="E1732" i="2"/>
  <c r="E1660" i="2"/>
  <c r="E1600" i="2"/>
  <c r="E1588" i="2"/>
  <c r="E1516" i="2"/>
  <c r="E1480" i="2"/>
  <c r="E1444" i="2"/>
  <c r="E1372" i="2"/>
  <c r="E1300" i="2"/>
  <c r="E1288" i="2"/>
  <c r="E1228" i="2"/>
  <c r="E1156" i="2"/>
  <c r="E1144" i="2"/>
  <c r="E1132" i="2"/>
  <c r="E1096" i="2"/>
  <c r="E1084" i="2"/>
  <c r="E1072" i="2"/>
  <c r="E1048" i="2"/>
  <c r="E1024" i="2"/>
  <c r="E988" i="2"/>
  <c r="E976" i="2"/>
  <c r="E964" i="2"/>
  <c r="E952" i="2"/>
  <c r="E916" i="2"/>
  <c r="E904" i="2"/>
  <c r="E880" i="2"/>
  <c r="E868" i="2"/>
  <c r="E832" i="2"/>
  <c r="E820" i="2"/>
  <c r="E808" i="2"/>
  <c r="E796" i="2"/>
  <c r="E784" i="2"/>
  <c r="E772" i="2"/>
  <c r="E760" i="2"/>
  <c r="E748" i="2"/>
  <c r="E724" i="2"/>
  <c r="E712" i="2"/>
  <c r="E700" i="2"/>
  <c r="E688" i="2"/>
  <c r="E676" i="2"/>
  <c r="E652" i="2"/>
  <c r="E616" i="2"/>
  <c r="E592" i="2"/>
  <c r="E568" i="2"/>
  <c r="E556" i="2"/>
  <c r="E544" i="2"/>
  <c r="E532" i="2"/>
  <c r="E520" i="2"/>
  <c r="E508" i="2"/>
  <c r="E496" i="2"/>
  <c r="E460" i="2"/>
  <c r="E448" i="2"/>
  <c r="E424" i="2"/>
  <c r="E412" i="2"/>
  <c r="E400" i="2"/>
  <c r="E388" i="2"/>
  <c r="E376" i="2"/>
  <c r="E352" i="2"/>
  <c r="E304" i="2"/>
  <c r="E292" i="2"/>
  <c r="E256" i="2"/>
  <c r="E244" i="2"/>
  <c r="E220" i="2"/>
  <c r="E184" i="2"/>
  <c r="E172" i="2"/>
  <c r="E136" i="2"/>
  <c r="E112" i="2"/>
  <c r="E100" i="2"/>
  <c r="E88" i="2"/>
  <c r="E76" i="2"/>
  <c r="E52" i="2"/>
  <c r="E40" i="2"/>
  <c r="E28" i="2"/>
  <c r="E16" i="2"/>
  <c r="E4" i="2"/>
  <c r="E3583" i="2"/>
  <c r="E3427" i="2"/>
  <c r="E3343" i="2"/>
  <c r="E3127" i="2"/>
  <c r="E2911" i="2"/>
  <c r="E2779" i="2"/>
  <c r="E2383" i="2"/>
  <c r="E2299" i="2"/>
  <c r="E2203" i="2"/>
  <c r="E1111" i="2"/>
  <c r="E3618" i="2"/>
  <c r="E3414" i="2"/>
  <c r="E3378" i="2"/>
  <c r="E3042" i="2"/>
  <c r="E2910" i="2"/>
  <c r="E2742" i="2"/>
  <c r="E2622" i="2"/>
  <c r="E2418" i="2"/>
  <c r="E2334" i="2"/>
  <c r="E2250" i="2"/>
  <c r="E2070" i="2"/>
  <c r="E1518" i="2"/>
  <c r="E1458" i="2"/>
  <c r="E1266" i="2"/>
  <c r="E1098" i="2"/>
  <c r="E978" i="2"/>
  <c r="E870" i="2"/>
  <c r="E546" i="2"/>
  <c r="E462" i="2"/>
  <c r="E402" i="2"/>
  <c r="E294" i="2"/>
  <c r="E162" i="2"/>
  <c r="E126" i="2"/>
  <c r="E78" i="2"/>
  <c r="E3614" i="2"/>
  <c r="E3554" i="2"/>
  <c r="E3242" i="2"/>
  <c r="E3194" i="2"/>
  <c r="E3619" i="2"/>
  <c r="E3535" i="2"/>
  <c r="E3523" i="2"/>
  <c r="E3487" i="2"/>
  <c r="E3187" i="2"/>
  <c r="E3115" i="2"/>
  <c r="E3067" i="2"/>
  <c r="E2899" i="2"/>
  <c r="E2827" i="2"/>
  <c r="E2815" i="2"/>
  <c r="E2767" i="2"/>
  <c r="E2695" i="2"/>
  <c r="E2623" i="2"/>
  <c r="E2503" i="2"/>
  <c r="E2467" i="2"/>
  <c r="E2371" i="2"/>
  <c r="E2347" i="2"/>
  <c r="E2335" i="2"/>
  <c r="E2251" i="2"/>
  <c r="E2179" i="2"/>
  <c r="E2143" i="2"/>
  <c r="E2083" i="2"/>
  <c r="E2035" i="2"/>
  <c r="E1927" i="2"/>
  <c r="E1891" i="2"/>
  <c r="E1843" i="2"/>
  <c r="E1663" i="2"/>
  <c r="E1519" i="2"/>
  <c r="E1351" i="2"/>
  <c r="E1267" i="2"/>
  <c r="E1207" i="2"/>
  <c r="E979" i="2"/>
  <c r="E499" i="2"/>
  <c r="E343" i="2"/>
  <c r="E247" i="2"/>
  <c r="E91" i="2"/>
  <c r="E3630" i="2"/>
  <c r="E3462" i="2"/>
  <c r="E3318" i="2"/>
  <c r="E3222" i="2"/>
  <c r="E3174" i="2"/>
  <c r="E3030" i="2"/>
  <c r="E2922" i="2"/>
  <c r="E2886" i="2"/>
  <c r="E2754" i="2"/>
  <c r="E2718" i="2"/>
  <c r="E2670" i="2"/>
  <c r="E2598" i="2"/>
  <c r="E2502" i="2"/>
  <c r="E2466" i="2"/>
  <c r="E2322" i="2"/>
  <c r="E2178" i="2"/>
  <c r="E2034" i="2"/>
  <c r="E1998" i="2"/>
  <c r="E1962" i="2"/>
  <c r="E1890" i="2"/>
  <c r="E1806" i="2"/>
  <c r="E1686" i="2"/>
  <c r="E1578" i="2"/>
  <c r="E1530" i="2"/>
  <c r="E1494" i="2"/>
  <c r="E1434" i="2"/>
  <c r="E1314" i="2"/>
  <c r="E1290" i="2"/>
  <c r="E1206" i="2"/>
  <c r="E1170" i="2"/>
  <c r="E1062" i="2"/>
  <c r="E1026" i="2"/>
  <c r="E1014" i="2"/>
  <c r="E954" i="2"/>
  <c r="E894" i="2"/>
  <c r="E846" i="2"/>
  <c r="E666" i="2"/>
  <c r="E618" i="2"/>
  <c r="E594" i="2"/>
  <c r="E570" i="2"/>
  <c r="E510" i="2"/>
  <c r="E486" i="2"/>
  <c r="E330" i="2"/>
  <c r="E318" i="2"/>
  <c r="E246" i="2"/>
  <c r="E222" i="2"/>
  <c r="E150" i="2"/>
  <c r="E114" i="2"/>
  <c r="E6" i="2"/>
  <c r="E3580" i="2"/>
  <c r="E3568" i="2"/>
  <c r="E3520" i="2"/>
  <c r="E3508" i="2"/>
  <c r="E3472" i="2"/>
  <c r="E3460" i="2"/>
  <c r="E3436" i="2"/>
  <c r="E3412" i="2"/>
  <c r="E3364" i="2"/>
  <c r="E3304" i="2"/>
  <c r="E3292" i="2"/>
  <c r="E3112" i="2"/>
  <c r="E3100" i="2"/>
  <c r="E3064" i="2"/>
  <c r="E3004" i="2"/>
  <c r="E2956" i="2"/>
  <c r="E2908" i="2"/>
  <c r="E2872" i="2"/>
  <c r="E2776" i="2"/>
  <c r="E2584" i="2"/>
  <c r="E3602" i="2"/>
  <c r="E3566" i="2"/>
  <c r="E3506" i="2"/>
  <c r="E3458" i="2"/>
  <c r="E3422" i="2"/>
  <c r="E3410" i="2"/>
  <c r="E3278" i="2"/>
  <c r="E3266" i="2"/>
  <c r="E3254" i="2"/>
  <c r="E3206" i="2"/>
  <c r="E3553" i="2"/>
  <c r="E3541" i="2"/>
  <c r="E3505" i="2"/>
  <c r="E3493" i="2"/>
  <c r="E3457" i="2"/>
  <c r="E3445" i="2"/>
  <c r="E3409" i="2"/>
  <c r="E3397" i="2"/>
  <c r="E3349" i="2"/>
  <c r="E3301" i="2"/>
  <c r="E3265" i="2"/>
  <c r="E3253" i="2"/>
  <c r="E3121" i="2"/>
  <c r="E3109" i="2"/>
  <c r="E3097" i="2"/>
  <c r="E3085" i="2"/>
  <c r="E3049" i="2"/>
  <c r="E3037" i="2"/>
  <c r="E3001" i="2"/>
  <c r="E2989" i="2"/>
  <c r="E2977" i="2"/>
  <c r="E2965" i="2"/>
  <c r="E2941" i="2"/>
  <c r="E2893" i="2"/>
  <c r="E2845" i="2"/>
  <c r="E2833" i="2"/>
  <c r="E2821" i="2"/>
  <c r="E2797" i="2"/>
  <c r="E2761" i="2"/>
  <c r="E2749" i="2"/>
  <c r="E2725" i="2"/>
  <c r="E2701" i="2"/>
  <c r="E2689" i="2"/>
  <c r="E2677" i="2"/>
  <c r="E2641" i="2"/>
  <c r="E2605" i="2"/>
  <c r="E2593" i="2"/>
  <c r="E2557" i="2"/>
  <c r="E2545" i="2"/>
  <c r="E2533" i="2"/>
  <c r="E2521" i="2"/>
  <c r="E2473" i="2"/>
  <c r="E2401" i="2"/>
  <c r="E2389" i="2"/>
  <c r="E2353" i="2"/>
  <c r="E2341" i="2"/>
  <c r="E2281" i="2"/>
  <c r="E2257" i="2"/>
  <c r="E2221" i="2"/>
  <c r="E2209" i="2"/>
  <c r="E2137" i="2"/>
  <c r="E2101" i="2"/>
  <c r="E2089" i="2"/>
  <c r="E2065" i="2"/>
  <c r="E2053" i="2"/>
  <c r="E2017" i="2"/>
  <c r="E1993" i="2"/>
  <c r="E1981" i="2"/>
  <c r="E1957" i="2"/>
  <c r="E1945" i="2"/>
  <c r="E1933" i="2"/>
  <c r="E1921" i="2"/>
  <c r="E1897" i="2"/>
  <c r="E1873" i="2"/>
  <c r="E1861" i="2"/>
  <c r="E1849" i="2"/>
  <c r="E1825" i="2"/>
  <c r="E1813" i="2"/>
  <c r="E1789" i="2"/>
  <c r="E1777" i="2"/>
  <c r="E1741" i="2"/>
  <c r="E1729" i="2"/>
  <c r="E1705" i="2"/>
  <c r="E1669" i="2"/>
  <c r="E1645" i="2"/>
  <c r="E1633" i="2"/>
  <c r="E1621" i="2"/>
  <c r="E1585" i="2"/>
  <c r="E1561" i="2"/>
  <c r="E1549" i="2"/>
  <c r="E1513" i="2"/>
  <c r="E1501" i="2"/>
  <c r="E1489" i="2"/>
  <c r="E1477" i="2"/>
  <c r="E1465" i="2"/>
  <c r="E1429" i="2"/>
  <c r="E1417" i="2"/>
  <c r="E1393" i="2"/>
  <c r="E1357" i="2"/>
  <c r="E1345" i="2"/>
  <c r="E1333" i="2"/>
  <c r="E1309" i="2"/>
  <c r="E1273" i="2"/>
  <c r="E1249" i="2"/>
  <c r="E1237" i="2"/>
  <c r="E1201" i="2"/>
  <c r="E1189" i="2"/>
  <c r="E1165" i="2"/>
  <c r="E1153" i="2"/>
  <c r="E1129" i="2"/>
  <c r="E1117" i="2"/>
  <c r="E1093" i="2"/>
  <c r="E1081" i="2"/>
  <c r="E1069" i="2"/>
  <c r="E1057" i="2"/>
  <c r="E1045" i="2"/>
  <c r="E1033" i="2"/>
  <c r="E1021" i="2"/>
  <c r="E1009" i="2"/>
  <c r="E973" i="2"/>
  <c r="E937" i="2"/>
  <c r="E925" i="2"/>
  <c r="E901" i="2"/>
  <c r="E877" i="2"/>
  <c r="E853" i="2"/>
  <c r="E841" i="2"/>
  <c r="E817" i="2"/>
  <c r="E805" i="2"/>
  <c r="E793" i="2"/>
  <c r="E781" i="2"/>
  <c r="E769" i="2"/>
  <c r="E745" i="2"/>
  <c r="E721" i="2"/>
  <c r="E697" i="2"/>
  <c r="E673" i="2"/>
  <c r="E649" i="2"/>
  <c r="E637" i="2"/>
  <c r="E613" i="2"/>
  <c r="E601" i="2"/>
  <c r="E577" i="2"/>
  <c r="E517" i="2"/>
  <c r="E505" i="2"/>
  <c r="E3379" i="2"/>
  <c r="E3055" i="2"/>
  <c r="E2323" i="2"/>
  <c r="E1963" i="2"/>
  <c r="E1879" i="2"/>
  <c r="E3426" i="2"/>
  <c r="E2730" i="2"/>
  <c r="E2610" i="2"/>
  <c r="E2538" i="2"/>
  <c r="E2454" i="2"/>
  <c r="E2238" i="2"/>
  <c r="E1674" i="2"/>
  <c r="E1182" i="2"/>
  <c r="E1074" i="2"/>
  <c r="E990" i="2"/>
  <c r="E858" i="2"/>
  <c r="E798" i="2"/>
  <c r="E750" i="2"/>
  <c r="E690" i="2"/>
  <c r="E522" i="2"/>
  <c r="E414" i="2"/>
  <c r="E366" i="2"/>
  <c r="E270" i="2"/>
  <c r="E198" i="2"/>
  <c r="E132" i="2"/>
  <c r="E120" i="2"/>
  <c r="E96" i="2"/>
  <c r="E84" i="2"/>
  <c r="E60" i="2"/>
  <c r="E48" i="2"/>
  <c r="E1833" i="2"/>
  <c r="E1821" i="2"/>
  <c r="E1809" i="2"/>
  <c r="E1797" i="2"/>
  <c r="E1785" i="2"/>
  <c r="E1773" i="2"/>
  <c r="E1761" i="2"/>
  <c r="E1749" i="2"/>
  <c r="E1737" i="2"/>
  <c r="E1725" i="2"/>
  <c r="E1713" i="2"/>
  <c r="E1701" i="2"/>
  <c r="E1689" i="2"/>
  <c r="E1677" i="2"/>
  <c r="E1665" i="2"/>
  <c r="E1653" i="2"/>
  <c r="E1641" i="2"/>
  <c r="E1629" i="2"/>
  <c r="E1617" i="2"/>
  <c r="E1605" i="2"/>
  <c r="E1593" i="2"/>
  <c r="E1581" i="2"/>
  <c r="E1569" i="2"/>
  <c r="E1557" i="2"/>
  <c r="E1545" i="2"/>
  <c r="E1533" i="2"/>
  <c r="E1521" i="2"/>
  <c r="E1509" i="2"/>
  <c r="E1497" i="2"/>
  <c r="E1485" i="2"/>
  <c r="E1473" i="2"/>
  <c r="E1461" i="2"/>
  <c r="E1449" i="2"/>
  <c r="E1437" i="2"/>
  <c r="E1425" i="2"/>
  <c r="E1413" i="2"/>
  <c r="E1401" i="2"/>
  <c r="E1389" i="2"/>
  <c r="E1377" i="2"/>
  <c r="E1365" i="2"/>
  <c r="E1353" i="2"/>
  <c r="E1341" i="2"/>
  <c r="E1329" i="2"/>
  <c r="E1317" i="2"/>
  <c r="E1305" i="2"/>
  <c r="E1293" i="2"/>
  <c r="E1281" i="2"/>
  <c r="E1269" i="2"/>
  <c r="E1257" i="2"/>
  <c r="E1245" i="2"/>
  <c r="E1233" i="2"/>
  <c r="E1221" i="2"/>
  <c r="E1209" i="2"/>
  <c r="E1197" i="2"/>
  <c r="E1185" i="2"/>
  <c r="E1173" i="2"/>
  <c r="E1161" i="2"/>
  <c r="E1149" i="2"/>
  <c r="E1137" i="2"/>
  <c r="E1125" i="2"/>
  <c r="E1113" i="2"/>
  <c r="E1101" i="2"/>
  <c r="E1089" i="2"/>
  <c r="E1077" i="2"/>
  <c r="E1065" i="2"/>
  <c r="E1053" i="2"/>
  <c r="E1041" i="2"/>
  <c r="E1029" i="2"/>
  <c r="E1017" i="2"/>
  <c r="E981" i="2"/>
  <c r="E957" i="2"/>
  <c r="E933" i="2"/>
  <c r="E885" i="2"/>
  <c r="E873" i="2"/>
  <c r="E861" i="2"/>
  <c r="E801" i="2"/>
  <c r="E765" i="2"/>
  <c r="E741" i="2"/>
  <c r="E729" i="2"/>
  <c r="E693" i="2"/>
  <c r="E681" i="2"/>
  <c r="E633" i="2"/>
  <c r="E597" i="2"/>
  <c r="E585" i="2"/>
  <c r="E573" i="2"/>
  <c r="E537" i="2"/>
  <c r="E525" i="2"/>
  <c r="E501" i="2"/>
  <c r="E477" i="2"/>
  <c r="E453" i="2"/>
  <c r="E441" i="2"/>
  <c r="E429" i="2"/>
  <c r="E369" i="2"/>
  <c r="E333" i="2"/>
  <c r="E309" i="2"/>
  <c r="E297" i="2"/>
  <c r="E273" i="2"/>
  <c r="E261" i="2"/>
  <c r="E237" i="2"/>
  <c r="E225" i="2"/>
  <c r="E177" i="2"/>
  <c r="E165" i="2"/>
  <c r="E153" i="2"/>
  <c r="E141" i="2"/>
  <c r="E117" i="2"/>
  <c r="E69" i="2"/>
  <c r="E57" i="2"/>
  <c r="E33" i="2"/>
  <c r="E21" i="2"/>
  <c r="E9" i="2"/>
  <c r="E1819" i="2"/>
  <c r="E1807" i="2"/>
  <c r="E1771" i="2"/>
  <c r="E1747" i="2"/>
  <c r="E1723" i="2"/>
  <c r="E1687" i="2"/>
  <c r="E1675" i="2"/>
  <c r="E1651" i="2"/>
  <c r="E1615" i="2"/>
  <c r="E1603" i="2"/>
  <c r="E1567" i="2"/>
  <c r="E1531" i="2"/>
  <c r="E1495" i="2"/>
  <c r="E1459" i="2"/>
  <c r="E1447" i="2"/>
  <c r="E1411" i="2"/>
  <c r="E1387" i="2"/>
  <c r="E1375" i="2"/>
  <c r="E1339" i="2"/>
  <c r="E1315" i="2"/>
  <c r="E1291" i="2"/>
  <c r="E1255" i="2"/>
  <c r="E1243" i="2"/>
  <c r="E1219" i="2"/>
  <c r="E1183" i="2"/>
  <c r="E1171" i="2"/>
  <c r="E1135" i="2"/>
  <c r="E1099" i="2"/>
  <c r="E1063" i="2"/>
  <c r="E1027" i="2"/>
  <c r="E1003" i="2"/>
  <c r="E991" i="2"/>
  <c r="E955" i="2"/>
  <c r="E895" i="2"/>
  <c r="E859" i="2"/>
  <c r="E847" i="2"/>
  <c r="E823" i="2"/>
  <c r="E787" i="2"/>
  <c r="E775" i="2"/>
  <c r="E727" i="2"/>
  <c r="E715" i="2"/>
  <c r="E703" i="2"/>
  <c r="E691" i="2"/>
  <c r="E667" i="2"/>
  <c r="E631" i="2"/>
  <c r="E619" i="2"/>
  <c r="E595" i="2"/>
  <c r="E571" i="2"/>
  <c r="E559" i="2"/>
  <c r="E523" i="2"/>
  <c r="E463" i="2"/>
  <c r="E427" i="2"/>
  <c r="E415" i="2"/>
  <c r="E367" i="2"/>
  <c r="E355" i="2"/>
  <c r="E331" i="2"/>
  <c r="E319" i="2"/>
  <c r="E283" i="2"/>
  <c r="E271" i="2"/>
  <c r="E259" i="2"/>
  <c r="E211" i="2"/>
  <c r="E199" i="2"/>
  <c r="E163" i="2"/>
  <c r="E139" i="2"/>
  <c r="E127" i="2"/>
  <c r="E103" i="2"/>
  <c r="E55" i="2"/>
  <c r="E324" i="3" l="1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5" i="3"/>
  <c r="E184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<sst xmlns="http://schemas.openxmlformats.org/spreadsheetml/2006/main" count="8468" uniqueCount="1136">
  <si>
    <t>Cód.</t>
  </si>
  <si>
    <t>Cliente</t>
  </si>
  <si>
    <t>CIDADE</t>
  </si>
  <si>
    <t>UF</t>
  </si>
  <si>
    <t>LOCALIZAÇÃO</t>
  </si>
  <si>
    <t>DATA2</t>
  </si>
  <si>
    <t>Valor custo</t>
  </si>
  <si>
    <t>Valor total</t>
  </si>
  <si>
    <t>MARGEM BRUTA</t>
  </si>
  <si>
    <t>%MARGEM BRUTA</t>
  </si>
  <si>
    <t>CLASSIFICAÇÃO</t>
  </si>
  <si>
    <t>BAIRRO</t>
  </si>
  <si>
    <t>3708</t>
  </si>
  <si>
    <t>E L FRAGNAN SERRALHERIA E SERVICOS EIRELI</t>
  </si>
  <si>
    <t>3707</t>
  </si>
  <si>
    <t>25.157.978 FERNANDA CRISTINA SOUZA DA SILVA</t>
  </si>
  <si>
    <t>3675</t>
  </si>
  <si>
    <t>RONALDO ADRIANO DA SILVA SOLSA</t>
  </si>
  <si>
    <t>3661</t>
  </si>
  <si>
    <t>MARIO APARECIDO PEREIRA DE BRITO</t>
  </si>
  <si>
    <t>CHAVEIRO MARCOS ÁGUAS CLARAS</t>
  </si>
  <si>
    <t>DILMAR PEREIRA DE SOUZA</t>
  </si>
  <si>
    <t>3702</t>
  </si>
  <si>
    <t>ACOFER METALURGICA E COMERCIO LTDA</t>
  </si>
  <si>
    <t>3701</t>
  </si>
  <si>
    <t>CENTRAL PORTAS DE ACO AUTOMATICAS LTDA</t>
  </si>
  <si>
    <t>3700</t>
  </si>
  <si>
    <t>34.505.918 JOSE ANTONIO DUTRA DA SILVA</t>
  </si>
  <si>
    <t>3699</t>
  </si>
  <si>
    <t>3657</t>
  </si>
  <si>
    <t>Gefferson de Amorim</t>
  </si>
  <si>
    <t>3644</t>
  </si>
  <si>
    <t>3631</t>
  </si>
  <si>
    <t>3693</t>
  </si>
  <si>
    <t>19.488.372 EZEQUIEL DE FREITAS CARNEIRO</t>
  </si>
  <si>
    <t>3692</t>
  </si>
  <si>
    <t>WILSON JOSE RODRIGUES JUNIOR 69748209172</t>
  </si>
  <si>
    <t>3691</t>
  </si>
  <si>
    <t>EDIVALDO FERNANDES DA SILVA 00098636138</t>
  </si>
  <si>
    <t>3690</t>
  </si>
  <si>
    <t>3688</t>
  </si>
  <si>
    <t>3686</t>
  </si>
  <si>
    <t>JM PORTAS AUTOMATICAS LTDA</t>
  </si>
  <si>
    <t>3685</t>
  </si>
  <si>
    <t>JAIME FRANCISCO SOARES 27103323100</t>
  </si>
  <si>
    <t>3684</t>
  </si>
  <si>
    <t>3683</t>
  </si>
  <si>
    <t>3682</t>
  </si>
  <si>
    <t>3680</t>
  </si>
  <si>
    <t>METALURGICA VARELA LTDA</t>
  </si>
  <si>
    <t>3679</t>
  </si>
  <si>
    <t>3678</t>
  </si>
  <si>
    <t>FABIO BERNARDO DE ABREU</t>
  </si>
  <si>
    <t>3677</t>
  </si>
  <si>
    <t>3676</t>
  </si>
  <si>
    <t>FRANCISCO VALDINAR PEREIRA DA SILVA 02490980327</t>
  </si>
  <si>
    <t>3674</t>
  </si>
  <si>
    <t>RAIMUNDO NONATO DA CUNHA 89072898168</t>
  </si>
  <si>
    <t>3673</t>
  </si>
  <si>
    <t>PORTAS DE ACO TROPICAL LTDA</t>
  </si>
  <si>
    <t>3672</t>
  </si>
  <si>
    <t>3671</t>
  </si>
  <si>
    <t>AC COELHO MATERIAIS PARA CONSTRUCAO LTDA</t>
  </si>
  <si>
    <t>3666</t>
  </si>
  <si>
    <t>3663</t>
  </si>
  <si>
    <t>3662</t>
  </si>
  <si>
    <t>M PORTAS AUTOMATICAS EIRELI</t>
  </si>
  <si>
    <t>3659</t>
  </si>
  <si>
    <t>TOTAL FORCE PORTAS DE ACO LTDA</t>
  </si>
  <si>
    <t>3654</t>
  </si>
  <si>
    <t>44.601.860 LUIS HENRIQUE SOUZA DA SILVA</t>
  </si>
  <si>
    <t>3653</t>
  </si>
  <si>
    <t>3652</t>
  </si>
  <si>
    <t>3651</t>
  </si>
  <si>
    <t>3649</t>
  </si>
  <si>
    <t>3648</t>
  </si>
  <si>
    <t>PORTAS AUTOMATICAS ARTE MANIA LTDA</t>
  </si>
  <si>
    <t>3647</t>
  </si>
  <si>
    <t>JC portas</t>
  </si>
  <si>
    <t>3646</t>
  </si>
  <si>
    <t>Jaime DF portas</t>
  </si>
  <si>
    <t>EMERSON BARBOSA MUNIZ</t>
  </si>
  <si>
    <t>3643</t>
  </si>
  <si>
    <t>3642</t>
  </si>
  <si>
    <t>3641</t>
  </si>
  <si>
    <t>32.444.757 JOSE EUSEBIO RIBEIRO DE LIMA SILVA</t>
  </si>
  <si>
    <t>3640</t>
  </si>
  <si>
    <t>3636</t>
  </si>
  <si>
    <t>ROBSON VIEIRA KNUPP 00129041122</t>
  </si>
  <si>
    <t>3634</t>
  </si>
  <si>
    <t>3632</t>
  </si>
  <si>
    <t>3630</t>
  </si>
  <si>
    <t>ATUAL PORTAS AUTOMATICAS FERRAGENS E ACESSORIOS LTDA</t>
  </si>
  <si>
    <t>3628</t>
  </si>
  <si>
    <t>3624</t>
  </si>
  <si>
    <t>3622</t>
  </si>
  <si>
    <t>MRA - DISTRIBUIDORA DE PRODUTOS ELETRONICOS LTDA</t>
  </si>
  <si>
    <t>MARCELO DOS SANTOS 58472908100</t>
  </si>
  <si>
    <t>NILO CELIO LIMA RIBEIRO 66545960130</t>
  </si>
  <si>
    <t>SERRALHERIA MORACHIK LTDA</t>
  </si>
  <si>
    <t>ANTONIO DO SANTOS RIBEIRO</t>
  </si>
  <si>
    <t>SARYNY SILVA BARAGCHUNA</t>
  </si>
  <si>
    <t>CELSO DA CRUZ PEREIRA</t>
  </si>
  <si>
    <t>3703</t>
  </si>
  <si>
    <t>53.840.528 TELMA REIS DE AMORIM MOUSINHO</t>
  </si>
  <si>
    <t>MONTEIRO FERRO E ACO LTDA</t>
  </si>
  <si>
    <t>WERLES JOSE DA SILVA</t>
  </si>
  <si>
    <t>CLEBISON RODRIGUES DA SILVA 01238392113</t>
  </si>
  <si>
    <t>MARILTO DE OLIVEIRA BISPO</t>
  </si>
  <si>
    <t>Orlando Dias Ribeiro</t>
  </si>
  <si>
    <t>Lucas Dias Carneiros</t>
  </si>
  <si>
    <t>KANNEL PORTAS AUTOMATICAS COMERCIO E SERVICOS LTDA</t>
  </si>
  <si>
    <t>CLEVERSON PEREIRA COSTA 04013201119</t>
  </si>
  <si>
    <t>TAGUAPORTAS - PORTAS DE ACO AUTOMATICA LTDA</t>
  </si>
  <si>
    <t>PASTELARIA VICOSA LTDA</t>
  </si>
  <si>
    <t>Carlos Alberto da Silva</t>
  </si>
  <si>
    <t>58.730.074 JUNIOR CESAR LIMA DE JESUS</t>
  </si>
  <si>
    <t>AMERICAN SOLUCAO PORTAS LTDA</t>
  </si>
  <si>
    <t>LUCIANO SOUZA DA SILVA 09714565693</t>
  </si>
  <si>
    <t>3704</t>
  </si>
  <si>
    <t>Alberto Junio Romão Gonçalves</t>
  </si>
  <si>
    <t>MELO CONSTUCOES E INTALACOES EIRELI-EPP</t>
  </si>
  <si>
    <t>3665</t>
  </si>
  <si>
    <t>LANTERNART LANTERNAGEM E PINTURA LTDA</t>
  </si>
  <si>
    <t>3623</t>
  </si>
  <si>
    <t>ISO COMERCIO E REPRESENTACOES LTDA</t>
  </si>
  <si>
    <t>DONA DE CASA S/A</t>
  </si>
  <si>
    <t>CONFIANCIA SERRALHARIA LTDA</t>
  </si>
  <si>
    <t>Francisco Iran Reinaldo</t>
  </si>
  <si>
    <t>W M COMERCIO DE FRUTAS E VERDURAS E HORTIFRUTIGRANJEIROS LTDA</t>
  </si>
  <si>
    <t>LINEAR PORTAS LTDA</t>
  </si>
  <si>
    <t>SERRALHERIA E METALUGICA DO GALEGO LTDA</t>
  </si>
  <si>
    <t>58.307.071 ZACARIAS FERREIRA DA CONCEICAO</t>
  </si>
  <si>
    <t>SERRALHERIA VILMAR LTDA</t>
  </si>
  <si>
    <t>3639</t>
  </si>
  <si>
    <t>WS TRANSPORTADORA</t>
  </si>
  <si>
    <t>61.350.661 MARCOS ANDRE DE OLIVEIRA</t>
  </si>
  <si>
    <t>Lucas Soares Rodrigues</t>
  </si>
  <si>
    <t>G2 EQUIPAMENTOS &amp; SEGURANCA ELETRONICA LTDA</t>
  </si>
  <si>
    <t>DG VOLTS ENGENHARIA E OBRAS LTDA</t>
  </si>
  <si>
    <t>SERRALHERIA COMANDO PRESTACAO DE SERVICOS LTDA</t>
  </si>
  <si>
    <t>LIDER PORTAS PORTOES E COMERCIO EIRELI</t>
  </si>
  <si>
    <t>AUGUSTO CESAR OLIVEIRA DA SILVA 00732062101</t>
  </si>
  <si>
    <t>Kelly Patricia Elias Marques</t>
  </si>
  <si>
    <t>DANIEL PEREIRA SILVA 90299906191</t>
  </si>
  <si>
    <t>JONATAS MEDEIROS DE OLIVEIRA</t>
  </si>
  <si>
    <t>JUNIOR CESAR LIMA DE JESUS</t>
  </si>
  <si>
    <t>EQUIP SOUND CAR LTDA</t>
  </si>
  <si>
    <t>3650</t>
  </si>
  <si>
    <t>W. G. SERRALHERIA E FERRAGENS LTDA</t>
  </si>
  <si>
    <t>MAXLEI ALVES DE LIMA</t>
  </si>
  <si>
    <t>DEUZELINO DIONIZIO RIBEIRO 92548890163</t>
  </si>
  <si>
    <t>HENRIQUE SOUZA GOMES DE MORAES 36488443852</t>
  </si>
  <si>
    <t>P C DA COSTA SERRALHERIA</t>
  </si>
  <si>
    <t>Henrique Souza Gomes de Moraes</t>
  </si>
  <si>
    <t>Júlia de Menezes Lameira Pereira</t>
  </si>
  <si>
    <t>J R CASTRO DA SILVA MANUTENCAO</t>
  </si>
  <si>
    <t>BRASIL PORTAS AUTOMATICAS LTDA</t>
  </si>
  <si>
    <t>Guevara Alves da Silva</t>
  </si>
  <si>
    <t>ELIZIO DONIZETE LOPES DUARTE</t>
  </si>
  <si>
    <t>Julio Gonçalves da Silva</t>
  </si>
  <si>
    <t>BOM JESUS PORTAS AUTOMATICAS LTDA</t>
  </si>
  <si>
    <t>OTICA E RELOJOARIA VAZ LTDA</t>
  </si>
  <si>
    <t>3681</t>
  </si>
  <si>
    <t>JAQUISON TRINDADE DA SILVA</t>
  </si>
  <si>
    <t>DF PORTAS AUTOMATICAS DE ENROLAR LTDA</t>
  </si>
  <si>
    <t>3706</t>
  </si>
  <si>
    <t>SERRALHERIA MAYA LTDA</t>
  </si>
  <si>
    <t>3629</t>
  </si>
  <si>
    <t>FABIO MOREIRA DE FREITAS</t>
  </si>
  <si>
    <t>3697</t>
  </si>
  <si>
    <t>3694</t>
  </si>
  <si>
    <t>DG ENGENHARIA E CONSTRUCOES LTDA</t>
  </si>
  <si>
    <t>DROGARIA ALAMEDA LTDA</t>
  </si>
  <si>
    <t>LIMA PORTAS AUTOMATICAS LTDA</t>
  </si>
  <si>
    <t>LUIZ CLAUDIO DE LIMA 08357939660</t>
  </si>
  <si>
    <t>RANGEL SILVA 02665458152</t>
  </si>
  <si>
    <t>Y G DE QUADROS NICOLAK</t>
  </si>
  <si>
    <t>LCJ INDUSTRIA E COMERCIO DE PORTAS AUTOMATICAS LIMITADA</t>
  </si>
  <si>
    <t>CLEUTON GOMES DA SILVA LTDA</t>
  </si>
  <si>
    <t>AMERICA ESTRUTURA METALICA LTDA</t>
  </si>
  <si>
    <t>CLEUTON GOMES DA SILVA</t>
  </si>
  <si>
    <t>COMUNICAR SOCIEDADE COMERCIAL LTDA</t>
  </si>
  <si>
    <t>CALDAS PORTAS LTDA</t>
  </si>
  <si>
    <t>OLIVEIRA PORTAS DE ENROLAR AUTOMATICAS LTDA</t>
  </si>
  <si>
    <t>OLIVEIRA PORTAS DE ENROLAR AUTOMÁTICAS LTDA</t>
  </si>
  <si>
    <t>MARCOS CARLOS CONCEICAO DE JESUS</t>
  </si>
  <si>
    <t>P. LAROSE INSTALACOES</t>
  </si>
  <si>
    <t>LUCAS FERNANDO CARDOSO 11696324670</t>
  </si>
  <si>
    <t>MS SEGURANCA ELETRONICA FSA LTDA</t>
  </si>
  <si>
    <t>NEEMIAS VIEGAS COSTA 22073159168</t>
  </si>
  <si>
    <t>CONFTEC TECNOLOGIA DE ELETRONICOS LTDA</t>
  </si>
  <si>
    <t>3705</t>
  </si>
  <si>
    <t>SO PORTAS E PORTOES LTDA</t>
  </si>
  <si>
    <t>3695</t>
  </si>
  <si>
    <t>FH BARROS PORTAS DE ACO FAMA E ENGENHARIA</t>
  </si>
  <si>
    <t>3687</t>
  </si>
  <si>
    <t>METALURGICA OLIVEIRA EIRELI</t>
  </si>
  <si>
    <t>3668</t>
  </si>
  <si>
    <t>PORTAS DE ACO GOIAS LTDA</t>
  </si>
  <si>
    <t>3656</t>
  </si>
  <si>
    <t>3645</t>
  </si>
  <si>
    <t>3637</t>
  </si>
  <si>
    <t>FLEX PORTAS AUTOMATICAS LTDA</t>
  </si>
  <si>
    <t>PORTAS DE ACO TROPICAL EIRELI</t>
  </si>
  <si>
    <t>MV COMERCIO,IMPORTACAO &amp; EXPORTACAO DE PRODUTOS ELETRONICOS LTDA</t>
  </si>
  <si>
    <t>CENTRO OESTE PORTAS AUTOMATICAS - EIRELI</t>
  </si>
  <si>
    <t>IGREJA EVANGELICA COMUNIDADE SUPERABUNDANTE</t>
  </si>
  <si>
    <t>Joyce Pimentel Barbosa Souza</t>
  </si>
  <si>
    <t>THIAGO MOREIRA CHAVES 84584386153</t>
  </si>
  <si>
    <t>Gustavo Gomes Cardoso</t>
  </si>
  <si>
    <t>PORTAS DE ACO DINAMINCA LTDA</t>
  </si>
  <si>
    <t>Tiago Figueira Ramos</t>
  </si>
  <si>
    <t>26.157.192 FABIO JUNIO RIBEIRO</t>
  </si>
  <si>
    <t>PORTAS E FERRAGENS SOUZA LTDA</t>
  </si>
  <si>
    <t>KIT PORTAS DE ACO AUTOMATICAS LTDA</t>
  </si>
  <si>
    <t>60.882.922 MARCOS REINAN LOPES</t>
  </si>
  <si>
    <t>SERRALHERIA E METALURGICA DO NASCIMENTO LTDA</t>
  </si>
  <si>
    <t>RICARDO BARBOSA LEAL</t>
  </si>
  <si>
    <t>L. C. DISTRIBUIDORA DE ACO CENTRO OESTE LTDA</t>
  </si>
  <si>
    <t>TRISTAO PORTAS E PORTOES LTDA</t>
  </si>
  <si>
    <t>PORTAS DE ACO ALVORADA LTDA</t>
  </si>
  <si>
    <t>J A P PORTAS DE ACO LTDA</t>
  </si>
  <si>
    <t>SABRINA CARMES GONCALVES</t>
  </si>
  <si>
    <t>MUNDIAL E INDUSTRIA DE ACO LTDA</t>
  </si>
  <si>
    <t>19.202.038 APARECIDA CELIA ALVES MENDES</t>
  </si>
  <si>
    <t>ANDRADE E OLIVEIRA REPRESENTACOES</t>
  </si>
  <si>
    <t>ALFA PORTAS DE ACO LTDA</t>
  </si>
  <si>
    <t>CAIO CESAR DAMASIO MELO GONÇALVES</t>
  </si>
  <si>
    <t>Jonas Gomes Nascimento Fiho</t>
  </si>
  <si>
    <t>JOSINEI DE JESUS MATOS COSTA LEITE 06389319169</t>
  </si>
  <si>
    <t>Anderson Teixeira Santana</t>
  </si>
  <si>
    <t>Agnaldo Evangelista Santos</t>
  </si>
  <si>
    <t>IARLA  ANGÉLICA DO CARMO</t>
  </si>
  <si>
    <t>Amaury Chetrit</t>
  </si>
  <si>
    <t>LETÍCIA SOUZA</t>
  </si>
  <si>
    <t>P. H. C. DE CASTRO LTDA</t>
  </si>
  <si>
    <t>Jonathan Machado</t>
  </si>
  <si>
    <t>Cláudio Márcio Germino</t>
  </si>
  <si>
    <t>PANIFICADORA E MERCEARIA ASSIS LTDA</t>
  </si>
  <si>
    <t>GUSTAVO DOS SANTOS SILVA</t>
  </si>
  <si>
    <t>R P DE MOURA COMERCIO E SERVICOS</t>
  </si>
  <si>
    <t>SPS PORTAS DE ACO LTDA</t>
  </si>
  <si>
    <t>Douglas Marinho Costa</t>
  </si>
  <si>
    <t>Bruno Anderson de Lima Cardoso Brito</t>
  </si>
  <si>
    <t>ACOFER PRODUTOS METALURGICOS LTDA</t>
  </si>
  <si>
    <t>3638</t>
  </si>
  <si>
    <t>60.525.883 EVANDRO CARDOSO DA SILVA</t>
  </si>
  <si>
    <t>André Machado de Lima</t>
  </si>
  <si>
    <t>Douglas Souza</t>
  </si>
  <si>
    <t>NAIARA AZEVEDO</t>
  </si>
  <si>
    <t>3655</t>
  </si>
  <si>
    <t>RYAM LUCAS BRAGA BISPO 07869511170</t>
  </si>
  <si>
    <t>LIGHT PORTAS AUTOMATICAS LTDA</t>
  </si>
  <si>
    <t>49.075.684 SAMUEL MOTA LOURENCO</t>
  </si>
  <si>
    <t>IMPERIO PORTAS DE ACO LTDA</t>
  </si>
  <si>
    <t>MARLENE APARECIDA DOS PASSOS NASCIMENTO 35864010197</t>
  </si>
  <si>
    <t>serralheria e barbosa</t>
  </si>
  <si>
    <t>3664</t>
  </si>
  <si>
    <t>JSC INOX LTDA</t>
  </si>
  <si>
    <t>MC SERRALHERIA E SEGURANÇA ELÉTRICA LTDA</t>
  </si>
  <si>
    <t>MARCIO JOSE CRESCENCIO DA SILVA</t>
  </si>
  <si>
    <t>54.038.254 FRANCISCO DOS SANTOS</t>
  </si>
  <si>
    <t>reunidas portas</t>
  </si>
  <si>
    <t>Isaías Azevedo Silva</t>
  </si>
  <si>
    <t>TECNORTE PORTAS AUTOMATICAS LTDA</t>
  </si>
  <si>
    <t>MERCADO LIVRE</t>
  </si>
  <si>
    <t>Franscisco luiz severiano</t>
  </si>
  <si>
    <t>Anderson Luiz Soares</t>
  </si>
  <si>
    <t>Clemildo Gouveia Paião</t>
  </si>
  <si>
    <t>Gesiel Da purificação Santos</t>
  </si>
  <si>
    <t>OFICINA ATUAL PNEUS LTDA</t>
  </si>
  <si>
    <t>OPCAOTELECOM TELECOMUNICACOES S/A</t>
  </si>
  <si>
    <t>PORTAS DE ACO FORTALEZA LTDA</t>
  </si>
  <si>
    <t>E MIRANDA DE SOUSA LTDA</t>
  </si>
  <si>
    <t>LINEACO SERRALHERIA LTDA</t>
  </si>
  <si>
    <t>FLEX PORTAS AUTOMATICAS E PINTURA ELETROSTATICA LTDA</t>
  </si>
  <si>
    <t>Tozetti</t>
  </si>
  <si>
    <t>3627</t>
  </si>
  <si>
    <t>Marrone Gustavo Martins de Sousa</t>
  </si>
  <si>
    <t>CAULITO XAVIER CUSTODIO</t>
  </si>
  <si>
    <t>Rodrigo Magalhães Alves</t>
  </si>
  <si>
    <t>Santo grau</t>
  </si>
  <si>
    <t>NATIVATECH LTDA</t>
  </si>
  <si>
    <t>CONEXAO COMERCIAL ATACADISTA DE MATERIAIS DE CONSTRUCAO LTDA</t>
  </si>
  <si>
    <t>Romildo Francisco Dos Santos Silva</t>
  </si>
  <si>
    <t>IVANILDE MENDES FRANCA SERRALHERIA</t>
  </si>
  <si>
    <t>SERRALHERIA REI DO FERRO LTDA</t>
  </si>
  <si>
    <t>JOAO PORTAS AUTOMATICAS LTDA</t>
  </si>
  <si>
    <t>3660</t>
  </si>
  <si>
    <t>FLAVIANE MILHOMENS LEITE</t>
  </si>
  <si>
    <t>MEGAPORT PORTAS DE ACO E VIDRO AUTOMATICAS LTDA</t>
  </si>
  <si>
    <t>3633</t>
  </si>
  <si>
    <t>Gean Claudio Gomes dos Santos</t>
  </si>
  <si>
    <t>21.273.824 ROSINEIDE BARBOSA SANTOS MESQUITA</t>
  </si>
  <si>
    <t>M.J. DE BARROS MORAIS COMERCIO DE PORTOES ELETRONICOS LTDA</t>
  </si>
  <si>
    <t>ARTE FERRO SERRALHERIA LTDA</t>
  </si>
  <si>
    <t>leandro serralheiro</t>
  </si>
  <si>
    <t>58.240.163 NELSON NUNES TAVARES</t>
  </si>
  <si>
    <t>Silas Santos Melonio</t>
  </si>
  <si>
    <t>3626</t>
  </si>
  <si>
    <t>POSTEC PARTICIPACOES E SERVICOS POSTAIS LTDA</t>
  </si>
  <si>
    <t>3696</t>
  </si>
  <si>
    <t>PORTAS DE ACO CAMPOS LTDA</t>
  </si>
  <si>
    <t>3621</t>
  </si>
  <si>
    <t>60.775.634 WERNEI VIEGAS DA SILVA</t>
  </si>
  <si>
    <t>3669</t>
  </si>
  <si>
    <t>PAULO NASCIMENTO</t>
  </si>
  <si>
    <t>BARBOSA &amp; MATIAS PORTAS DE ACO LTDA</t>
  </si>
  <si>
    <t>ANCORA PORTAS DE ACO LTDA</t>
  </si>
  <si>
    <t>DURAES PORTAS DE ACO LTDA</t>
  </si>
  <si>
    <t>A UNIDAS PORTAS DE ACO LTDA</t>
  </si>
  <si>
    <t>A ALIANCA COMERCIO E SERVICOS LTDA</t>
  </si>
  <si>
    <t>MULTIPLACAS COMUNICACAO VISUAL LTDA</t>
  </si>
  <si>
    <t>METALURGICA VITORIA LTDA</t>
  </si>
  <si>
    <t>3698</t>
  </si>
  <si>
    <t>ELSON FERNANDES DA SILVA</t>
  </si>
  <si>
    <t>3670</t>
  </si>
  <si>
    <t>3667</t>
  </si>
  <si>
    <t>Fusão print</t>
  </si>
  <si>
    <t>JOAO CARLOS MATOS LOBATO</t>
  </si>
  <si>
    <t>S7 VENDAS INSTALACOES E SERVICOS LTDA</t>
  </si>
  <si>
    <t>40.026.962 SAMUEL DE MATOS MELO</t>
  </si>
  <si>
    <t>WAGNER LUIS DA SILVA BISPO</t>
  </si>
  <si>
    <t>ADIEL MOTA JUNIOR</t>
  </si>
  <si>
    <t>JORGE LUIS PEREIRA SOUZA JUNIOR 04378166135</t>
  </si>
  <si>
    <t>Augusto Fabiano Carvalho Codeceira</t>
  </si>
  <si>
    <t>Eloah portas</t>
  </si>
  <si>
    <t>HD COMERCIO DE OCULOS E ACESSORIOS LTDA</t>
  </si>
  <si>
    <t>PORTAS DE ACO ALFA LTDA</t>
  </si>
  <si>
    <t>C S SILVA PORTAS AUTOMATICAS</t>
  </si>
  <si>
    <t>FERNANDES E MELO CONSTRUCOES LTDA</t>
  </si>
  <si>
    <t>AMAZON PORTAS AUTOMATICAS LTDA</t>
  </si>
  <si>
    <t>ANTENOR JACKSON ALCANTARA DE OLIVEIRA SOUZA CONSTRUCAO</t>
  </si>
  <si>
    <t>55.801.264 FABRICIO MARLON BELEM DOS SANTOS</t>
  </si>
  <si>
    <t>MACALE TRANSPORTE E COMERCIO LTDA</t>
  </si>
  <si>
    <t>CARVALHO &amp; SILVA SERRALHERIA LTDA</t>
  </si>
  <si>
    <t>NOVEM FELIX DE AZEVEDO 00119166640</t>
  </si>
  <si>
    <t>Maria do Carmo da Silva</t>
  </si>
  <si>
    <t>JOAO PAULO GUIOTTI</t>
  </si>
  <si>
    <t>JC SERVICOS DE CONSTRUCOES E REFROMAS LTDA</t>
  </si>
  <si>
    <t>GENIVALDO CARVALHO LIMA 36125466353</t>
  </si>
  <si>
    <t>OPEN PLUS SERRALHERIA LTDA</t>
  </si>
  <si>
    <t>Wanderson Pereira de Lima</t>
  </si>
  <si>
    <t>Alessandro Divino de Abreu</t>
  </si>
  <si>
    <t>36.948.109 WAGNER BARREIRA DE ARAUJO</t>
  </si>
  <si>
    <t>UNIMED NACIONAL - COOPERATIVA CENTRAL</t>
  </si>
  <si>
    <t>18.190.776 NELSON CARVALHO EVANGELISTA FILHO</t>
  </si>
  <si>
    <t>50.531.234 LUCAS DE SOUZA SOARES</t>
  </si>
  <si>
    <t>ELITE TECH SUPRIMENTOS LTDA</t>
  </si>
  <si>
    <t>62.037.618 ANTONIO RAYONE OLIVEIRA SILVA</t>
  </si>
  <si>
    <t>N3 solouções.</t>
  </si>
  <si>
    <t>36.929.423 CLEYTON SOUZA DOS SANTOS</t>
  </si>
  <si>
    <t>JONATHAN RIBEIRO DA CRUZ</t>
  </si>
  <si>
    <t>SUPER PORTAS DE ACO LTDA</t>
  </si>
  <si>
    <t>FP SERRALHERIA LTDA</t>
  </si>
  <si>
    <t>Elson Campo Belo</t>
  </si>
  <si>
    <t>IGREJA DE CRISTO MINISTERIO APOSTOLICO NOVA TERRA BRASILIA</t>
  </si>
  <si>
    <t>JAIME TRINDADE DA SILVA</t>
  </si>
  <si>
    <t>CLIENTE</t>
  </si>
  <si>
    <t>Brasília</t>
  </si>
  <si>
    <t>DF</t>
  </si>
  <si>
    <t>EMPRESA COM MAQUINA</t>
  </si>
  <si>
    <t>Águas Lindas de Goiás</t>
  </si>
  <si>
    <t>GO</t>
  </si>
  <si>
    <t>SERRALHEIRO</t>
  </si>
  <si>
    <t>JANILSON DE SOLSA SILVA</t>
  </si>
  <si>
    <t>REBRASFARMA DROGARIAS LTDA</t>
  </si>
  <si>
    <t>SEM CLASSIFICAÇÃO</t>
  </si>
  <si>
    <t>LOTERICA AGUAS LINDAS LTDA</t>
  </si>
  <si>
    <t>EMPRESA SEM MAQUINA</t>
  </si>
  <si>
    <t>Alexânia</t>
  </si>
  <si>
    <t>Ananindeua</t>
  </si>
  <si>
    <t>PA</t>
  </si>
  <si>
    <t>OUTROS RAMOS</t>
  </si>
  <si>
    <t>Anápolis</t>
  </si>
  <si>
    <t>Aparecida de Goiânia</t>
  </si>
  <si>
    <t>TECNICO</t>
  </si>
  <si>
    <t>11.978.623 MARCELO AMARAL DE MELO</t>
  </si>
  <si>
    <t>RAFFAEL FAVARETTO EIRELI</t>
  </si>
  <si>
    <t>Araguari</t>
  </si>
  <si>
    <t>MG</t>
  </si>
  <si>
    <t xml:space="preserve">Belém </t>
  </si>
  <si>
    <t>Brasilândia de Minas</t>
  </si>
  <si>
    <t>ADE ÁGUAS CLARAS</t>
  </si>
  <si>
    <t>MHS EMPREENDIMENTOS - CONSTRUTORA E INCORPORADORA LTDA</t>
  </si>
  <si>
    <t>ADE CEILÂNDIA</t>
  </si>
  <si>
    <t>PRODUTOS ELETRONICOS</t>
  </si>
  <si>
    <t>CHAVEIRO</t>
  </si>
  <si>
    <t>CLIENTE FECHADURA</t>
  </si>
  <si>
    <t>AURORA BOREAL LUZ COMERCIO E IMPORTACAO LTDA</t>
  </si>
  <si>
    <t>JK COMERCIO DE FERRAGENS LTDA</t>
  </si>
  <si>
    <t>ROMÃO VITORINO DA SILVA</t>
  </si>
  <si>
    <t>CARLOS ALBERTO FLORENTINO MOTA 82180040172</t>
  </si>
  <si>
    <t>NA</t>
  </si>
  <si>
    <t>SAMAMBAIA</t>
  </si>
  <si>
    <t>Ana Claudia de Medeiros</t>
  </si>
  <si>
    <t>Jaime Francisco Godinho</t>
  </si>
  <si>
    <t>Danilo Lima Marques</t>
  </si>
  <si>
    <t>Fernando Marques Queiroz</t>
  </si>
  <si>
    <t>Franscisco serralheiro</t>
  </si>
  <si>
    <t>Henrique da Silva Pereira</t>
  </si>
  <si>
    <t>João Carlos Matos Lobato</t>
  </si>
  <si>
    <t>Josimar Ribeiro Nolasco neto</t>
  </si>
  <si>
    <t>Karla Vanessa Braga</t>
  </si>
  <si>
    <t>Luís Henrique</t>
  </si>
  <si>
    <t>Marcio Luiz Alvez de almeida</t>
  </si>
  <si>
    <t>Fábio</t>
  </si>
  <si>
    <t>JM VENDA DE PORTAS AUTOMATICAS LTDA</t>
  </si>
  <si>
    <t>M &amp; M IMPORT/EXPORT LTDA</t>
  </si>
  <si>
    <t>ÁGUAS CLARAS</t>
  </si>
  <si>
    <t>AC LUZ ELETRICA LTDA</t>
  </si>
  <si>
    <t>Planaltina</t>
  </si>
  <si>
    <t>TF COMERCIO DE SOBREMESAS LTDA</t>
  </si>
  <si>
    <t>JULIO CESAR CIRILO DOS SANTOS 69973881168</t>
  </si>
  <si>
    <t>I. L. P. RIBEIRO FERRAGENS E FERRAMENTAS</t>
  </si>
  <si>
    <t>RIACHO FUNDO II</t>
  </si>
  <si>
    <t>JJ</t>
  </si>
  <si>
    <t>TH MACHADO CONSTRUCOES LTDA</t>
  </si>
  <si>
    <t>wagner luis da silva bispo</t>
  </si>
  <si>
    <t>C S COMERCIO VAREJISTA DE FERRAGENS E FERRAMENTAS LTDA</t>
  </si>
  <si>
    <t>ATACADAO ALTOGIRO LTDA</t>
  </si>
  <si>
    <t>SETOR DE INDUSTRIA E ABASTECIMENTO</t>
  </si>
  <si>
    <t>Jorge Paulo de Rezende</t>
  </si>
  <si>
    <t>MVR ENGENHARIA LTDA</t>
  </si>
  <si>
    <t>HC COMERCIO DE PERFILADOS E ACO LTDA.</t>
  </si>
  <si>
    <t>SHOPPING ENXOVAIS E UTILIDADES TUDO PARA SEU LAR S.A</t>
  </si>
  <si>
    <t>ELETRICA PADRAO LTDA</t>
  </si>
  <si>
    <t>K. A. ELETRICA E FERRAGENS LTDA</t>
  </si>
  <si>
    <t>Francimar Raposo de Melo</t>
  </si>
  <si>
    <t>TAGUATINGA NORTE</t>
  </si>
  <si>
    <t>Caldas Novas</t>
  </si>
  <si>
    <t>Castanhal</t>
  </si>
  <si>
    <t>Eunápolis</t>
  </si>
  <si>
    <t>BA</t>
  </si>
  <si>
    <t>Formosa</t>
  </si>
  <si>
    <t>Fortaleza</t>
  </si>
  <si>
    <t>CE</t>
  </si>
  <si>
    <t>Goiânia</t>
  </si>
  <si>
    <t>NOVA META SERRALHERIA EIRELI</t>
  </si>
  <si>
    <t>DOUGLAS GONCALVES DE ARAUJO 04884083180</t>
  </si>
  <si>
    <t>COOPERATIVA DE CREDITO DE LIVRE ADMISSAO DA GRANDE GOIANIA LTDA</t>
  </si>
  <si>
    <t>Goianira</t>
  </si>
  <si>
    <t>Livramento de Nossa Senhora</t>
  </si>
  <si>
    <t>Luziânia</t>
  </si>
  <si>
    <t>Magé</t>
  </si>
  <si>
    <t>RJ</t>
  </si>
  <si>
    <t>Manaus</t>
  </si>
  <si>
    <t>AM</t>
  </si>
  <si>
    <t>ALS COMERCIO E SERVICOS LTDA</t>
  </si>
  <si>
    <t>FUNCIONÁRIO</t>
  </si>
  <si>
    <t>SÓCIO</t>
  </si>
  <si>
    <t>Corsino Rodrigues</t>
  </si>
  <si>
    <t>INVESTIDOR</t>
  </si>
  <si>
    <t>LOCAR ENGENHARIA LTDA</t>
  </si>
  <si>
    <t>Werles José da Silva</t>
  </si>
  <si>
    <t>ITATIAIA ATACADISTA LTDA</t>
  </si>
  <si>
    <t>LED SIA COMERCIO DE PRODUTOS ELETRICOS LTDA</t>
  </si>
  <si>
    <t>DF LED COMERCIO DE ARTIGOS DE ILUMINACAO LTDA</t>
  </si>
  <si>
    <t xml:space="preserve">PERFIL DE LED </t>
  </si>
  <si>
    <t>Nova Santa Rosa</t>
  </si>
  <si>
    <t>PR</t>
  </si>
  <si>
    <t>Palmas</t>
  </si>
  <si>
    <t>TO</t>
  </si>
  <si>
    <t>Palmeiras de Goiás</t>
  </si>
  <si>
    <t>Parauapebas</t>
  </si>
  <si>
    <t>Redenção</t>
  </si>
  <si>
    <t>Rio Verde</t>
  </si>
  <si>
    <t>Rondonópolis</t>
  </si>
  <si>
    <t>MS</t>
  </si>
  <si>
    <t>Santarém</t>
  </si>
  <si>
    <t>Santo Antônio Descoberto</t>
  </si>
  <si>
    <t>LIMACOM PRODUTOS ELETRONICOS LTDA</t>
  </si>
  <si>
    <t>São Paulo</t>
  </si>
  <si>
    <t>SP</t>
  </si>
  <si>
    <t>Trindade</t>
  </si>
  <si>
    <t>Uberaba</t>
  </si>
  <si>
    <t>Uberlândia</t>
  </si>
  <si>
    <t>27.005.136 JONATA EURIPEDES BRAGA PARANHOS</t>
  </si>
  <si>
    <t>50.653.026 DANILO APARECIDO VIEIRA RIBEIRO</t>
  </si>
  <si>
    <t>Unaí</t>
  </si>
  <si>
    <t>Valparaíso de Goiás</t>
  </si>
  <si>
    <t>Miller led</t>
  </si>
  <si>
    <t>VINICIUS CAIO MARQUES SANCHEZ S7</t>
  </si>
  <si>
    <t>VALPARAISO LED COMERCIO DE ARTIGOS DE ILUMINACAO LTDA</t>
  </si>
  <si>
    <t xml:space="preserve">Valparaíso </t>
  </si>
  <si>
    <t>CLIENTE NOVO S/ IDENT.</t>
  </si>
  <si>
    <t>Salvador</t>
  </si>
  <si>
    <t>Conselheiro Lafaiete</t>
  </si>
  <si>
    <t>Foz do Iguaçu</t>
  </si>
  <si>
    <t>Cód. interno</t>
  </si>
  <si>
    <t>Cód. de barra</t>
  </si>
  <si>
    <t>Produto</t>
  </si>
  <si>
    <t>Quantidade</t>
  </si>
  <si>
    <t>Custo médio</t>
  </si>
  <si>
    <t>Custo total</t>
  </si>
  <si>
    <t>Valor médio</t>
  </si>
  <si>
    <t>Desconto</t>
  </si>
  <si>
    <t>Frete</t>
  </si>
  <si>
    <t>Lucro</t>
  </si>
  <si>
    <t>MÊS</t>
  </si>
  <si>
    <t>2014587755343</t>
  </si>
  <si>
    <t>------</t>
  </si>
  <si>
    <t>BOBINA DE AÇO GALVANIZADA GI 0,70 X 136MM</t>
  </si>
  <si>
    <t>JANEIRO</t>
  </si>
  <si>
    <t>2098389351200</t>
  </si>
  <si>
    <t>PERFIL AUTOLUBRIFICANTE PVC</t>
  </si>
  <si>
    <t>2033349347800</t>
  </si>
  <si>
    <t>TRAVA LAMINA PRETO DIREITO</t>
  </si>
  <si>
    <t>2006477461908</t>
  </si>
  <si>
    <t>TRAVA LAMINA ESQUERDO</t>
  </si>
  <si>
    <t>2096304900205</t>
  </si>
  <si>
    <t>KIT AC 200</t>
  </si>
  <si>
    <t>2050591800303</t>
  </si>
  <si>
    <t>KIT AC 300</t>
  </si>
  <si>
    <t>2083454607368</t>
  </si>
  <si>
    <t>CONTROLE ANALOGICO</t>
  </si>
  <si>
    <t>2084280862006</t>
  </si>
  <si>
    <t>DISCO CORTE CORTG 7 POLEGADAS</t>
  </si>
  <si>
    <t>2033856541104</t>
  </si>
  <si>
    <t>DISCO CORTE CORTAG 4 POLEGADAS</t>
  </si>
  <si>
    <t>2027684638006</t>
  </si>
  <si>
    <t>KIT AC 400</t>
  </si>
  <si>
    <t>2089305209842</t>
  </si>
  <si>
    <t>ELETRODO 2,5 MM 350 MM 5KG</t>
  </si>
  <si>
    <t>2097826360003</t>
  </si>
  <si>
    <t>KIT AC 200 AUTOTREK</t>
  </si>
  <si>
    <t>2076121379200</t>
  </si>
  <si>
    <t>CENTRAL WI-FI EVO</t>
  </si>
  <si>
    <t>2030307779765</t>
  </si>
  <si>
    <t>KIT AC 600</t>
  </si>
  <si>
    <t>2090294438601</t>
  </si>
  <si>
    <t>TINTA SPRAY ALUMINIO TEK BOND</t>
  </si>
  <si>
    <t>2087984870902</t>
  </si>
  <si>
    <t>SPRAY ALTA TEMPER MUNDIAL PRIME</t>
  </si>
  <si>
    <t>2099421167704</t>
  </si>
  <si>
    <t>KIT AC 500</t>
  </si>
  <si>
    <t>2027443193807</t>
  </si>
  <si>
    <t>BORRACHA SOLEIRA 10M</t>
  </si>
  <si>
    <t>2044183519209</t>
  </si>
  <si>
    <t>KIT DC 300</t>
  </si>
  <si>
    <t>2062126397301</t>
  </si>
  <si>
    <t>KIT DC 200</t>
  </si>
  <si>
    <t>2095843178601</t>
  </si>
  <si>
    <t>disco de desbaste flap g6</t>
  </si>
  <si>
    <t>2011687861806</t>
  </si>
  <si>
    <t>CENTRAL C/ 2 CONTROLES</t>
  </si>
  <si>
    <t>2059781243807</t>
  </si>
  <si>
    <t>Ponteira para solerira</t>
  </si>
  <si>
    <t>2069533441603</t>
  </si>
  <si>
    <t>TRAVA LATERAL</t>
  </si>
  <si>
    <t>2078201946401</t>
  </si>
  <si>
    <t>BATERIA P/ NOBREAK</t>
  </si>
  <si>
    <t>2096943597606</t>
  </si>
  <si>
    <t>KIT DC 400</t>
  </si>
  <si>
    <t>2027518749502</t>
  </si>
  <si>
    <t>KIT AC 800</t>
  </si>
  <si>
    <t>2031690482409</t>
  </si>
  <si>
    <t>NOBREAK</t>
  </si>
  <si>
    <t>2063219905601</t>
  </si>
  <si>
    <t>VASELINA RISIM</t>
  </si>
  <si>
    <t>2057106794201</t>
  </si>
  <si>
    <t>OCULOS JAGUAR CINZA</t>
  </si>
  <si>
    <t>2046814702400</t>
  </si>
  <si>
    <t>KIT RÁPIDO</t>
  </si>
  <si>
    <t>2078360600305</t>
  </si>
  <si>
    <t>Testeira 1.1</t>
  </si>
  <si>
    <t>2061274842800</t>
  </si>
  <si>
    <t>Testeira 1.2</t>
  </si>
  <si>
    <t>2085103989603</t>
  </si>
  <si>
    <t>PILHA AA C/4</t>
  </si>
  <si>
    <t>2069499048502</t>
  </si>
  <si>
    <t>KIT AC 350 AUTOFLUXO</t>
  </si>
  <si>
    <t>2052210761002</t>
  </si>
  <si>
    <t>AC 500 AVULSO</t>
  </si>
  <si>
    <t>2064917665606</t>
  </si>
  <si>
    <t>BOTOEIRA</t>
  </si>
  <si>
    <t>2002681149809</t>
  </si>
  <si>
    <t>TRENA 8 M STARRETT</t>
  </si>
  <si>
    <t>Testeira 1.3</t>
  </si>
  <si>
    <t>BOTOEIRA PARA NOBREAK</t>
  </si>
  <si>
    <t>testeira 1.4</t>
  </si>
  <si>
    <t>2096131061605</t>
  </si>
  <si>
    <t>AC 200 AVULSO</t>
  </si>
  <si>
    <t>motor conserto</t>
  </si>
  <si>
    <t>2044554326702</t>
  </si>
  <si>
    <t>KIT AC 1000</t>
  </si>
  <si>
    <t>2066696915002</t>
  </si>
  <si>
    <t>KIT DC 500</t>
  </si>
  <si>
    <t>motor ac 300</t>
  </si>
  <si>
    <t>MOTOR AC 500</t>
  </si>
  <si>
    <t>2043041871503</t>
  </si>
  <si>
    <t>SENSOR ANTI ESMAGAMENTO</t>
  </si>
  <si>
    <t>TESTEIRA 42 CM</t>
  </si>
  <si>
    <t>FEVEREIRO</t>
  </si>
  <si>
    <t>2024641019847</t>
  </si>
  <si>
    <t>parabolt pba 3/3x8 1/2</t>
  </si>
  <si>
    <t>2015375961205</t>
  </si>
  <si>
    <t>testeira 1.2 (4,5')</t>
  </si>
  <si>
    <t>2083787521003</t>
  </si>
  <si>
    <t>AC 1000</t>
  </si>
  <si>
    <t>AC 200</t>
  </si>
  <si>
    <t>2058818664646</t>
  </si>
  <si>
    <t>TRENA ACO 10M 33´ DTS1 25MM STARRET</t>
  </si>
  <si>
    <t>CAMISA E BONE DE BRINDE</t>
  </si>
  <si>
    <t>2046702902967</t>
  </si>
  <si>
    <t>peça avulsa</t>
  </si>
  <si>
    <t>2011438819803</t>
  </si>
  <si>
    <t>Dc 400</t>
  </si>
  <si>
    <t>Testeira 1.2 5'</t>
  </si>
  <si>
    <t>2043989907500</t>
  </si>
  <si>
    <t>AC 400</t>
  </si>
  <si>
    <t>MOTOR DC 300 MAIS NOBREAK</t>
  </si>
  <si>
    <t>manutenção</t>
  </si>
  <si>
    <t>2041764090201</t>
  </si>
  <si>
    <t>SENSOR INFRAVERMELHO</t>
  </si>
  <si>
    <t>2010280515703</t>
  </si>
  <si>
    <t>AC 300</t>
  </si>
  <si>
    <t>MARÇO</t>
  </si>
  <si>
    <t>FECHADURA LATERAL PRETA</t>
  </si>
  <si>
    <t>2045232459408</t>
  </si>
  <si>
    <t>FECHADURA LATERAL CINZA</t>
  </si>
  <si>
    <t>2042554331849</t>
  </si>
  <si>
    <t>KIT DC 600</t>
  </si>
  <si>
    <t>2009964417365</t>
  </si>
  <si>
    <t>controle copiador</t>
  </si>
  <si>
    <t>MOTORES PARA CONCERTO</t>
  </si>
  <si>
    <t>2054384037105</t>
  </si>
  <si>
    <t>TRENA ACO 10M FAMASTIL</t>
  </si>
  <si>
    <t>2069607890641</t>
  </si>
  <si>
    <t>ESTILETE</t>
  </si>
  <si>
    <t>PE MOTOR</t>
  </si>
  <si>
    <t>AC 500</t>
  </si>
  <si>
    <t>CAIXA INOX</t>
  </si>
  <si>
    <t>2090260161106</t>
  </si>
  <si>
    <t>LAMINA ESTILETE</t>
  </si>
  <si>
    <t>ABRIL</t>
  </si>
  <si>
    <t>CENTRAL AVULSA</t>
  </si>
  <si>
    <t>2098964685805</t>
  </si>
  <si>
    <t>ELETRODO 3,2 MM 350 MM KG</t>
  </si>
  <si>
    <t>CAIXA INOX BOTOEIRA</t>
  </si>
  <si>
    <t>MOTOR AC 200</t>
  </si>
  <si>
    <t>CENTRAL MOBI GATE</t>
  </si>
  <si>
    <t>MOTOR AC 600</t>
  </si>
  <si>
    <t>2093775624203</t>
  </si>
  <si>
    <t>TESTEIRA 1.3</t>
  </si>
  <si>
    <t>TESTEIRA</t>
  </si>
  <si>
    <t>CENTRAL COM 6 CONTROLES</t>
  </si>
  <si>
    <t>MAIO</t>
  </si>
  <si>
    <t>saco de corrente</t>
  </si>
  <si>
    <t>testeira 1.1</t>
  </si>
  <si>
    <t>MOTOR AC 600 AVULSO</t>
  </si>
  <si>
    <t>testeira 1.2</t>
  </si>
  <si>
    <t>MOTOR AC 300 USADO</t>
  </si>
  <si>
    <t>JUNHO</t>
  </si>
  <si>
    <t>PONTEIRA PARA SOLEIRA</t>
  </si>
  <si>
    <t>2050259612163</t>
  </si>
  <si>
    <t>CONTATO WI-FI MOTOR DE GARAGEM</t>
  </si>
  <si>
    <t>BOLACHA 4 POLEGADAS</t>
  </si>
  <si>
    <t>BOLACHA 4,1</t>
  </si>
  <si>
    <t>bolacha 4 polegadas</t>
  </si>
  <si>
    <t>FERROLHO COMPRADO NA IMPERIO</t>
  </si>
  <si>
    <t>2024486565608</t>
  </si>
  <si>
    <t>FECHADURA SMART LOCK WI-FI EVO</t>
  </si>
  <si>
    <t>testira 1.2</t>
  </si>
  <si>
    <t>Kit motor usado</t>
  </si>
  <si>
    <t>MOTOR DC  CONCERTO</t>
  </si>
  <si>
    <t>TESTEIRA 36 CM</t>
  </si>
  <si>
    <t>JULHO</t>
  </si>
  <si>
    <t>capacitor</t>
  </si>
  <si>
    <t>MOTOR USADO</t>
  </si>
  <si>
    <t>central avulsa</t>
  </si>
  <si>
    <t>RETIFICADOR</t>
  </si>
  <si>
    <t>BOBINA DE COBRE</t>
  </si>
  <si>
    <t>2087951820848</t>
  </si>
  <si>
    <t>NOBREAK PARA MOTOR AC</t>
  </si>
  <si>
    <t>kit usado</t>
  </si>
  <si>
    <t>MAGIC TAG</t>
  </si>
  <si>
    <t>CAIXA PARA BOTOEIRA</t>
  </si>
  <si>
    <t>FIM DE CURSO</t>
  </si>
  <si>
    <t>TAMPA PARA TESTEIRA</t>
  </si>
  <si>
    <t>molde para porta</t>
  </si>
  <si>
    <t>testeira 42 cm</t>
  </si>
  <si>
    <t>central</t>
  </si>
  <si>
    <t>AGOSTO</t>
  </si>
  <si>
    <t>2076319229003</t>
  </si>
  <si>
    <t>pilha para controle</t>
  </si>
  <si>
    <t>CENTRAL AUTOTREK</t>
  </si>
  <si>
    <t>CAPACITOR</t>
  </si>
  <si>
    <t>2072572118009</t>
  </si>
  <si>
    <t>2015561796000</t>
  </si>
  <si>
    <t>RETIFICADOR DE COBRE</t>
  </si>
  <si>
    <t>BOLCHA 4,1</t>
  </si>
  <si>
    <t>2094174175402</t>
  </si>
  <si>
    <t>PINO DA BOLACHA</t>
  </si>
  <si>
    <t>CAIXA PRA BOTOEIRA</t>
  </si>
  <si>
    <t>CREMALHEIRA</t>
  </si>
  <si>
    <t>2017013035804</t>
  </si>
  <si>
    <t>Fechadura Elétrica Agl Mini 12v</t>
  </si>
  <si>
    <t>testeira de 1000</t>
  </si>
  <si>
    <t>motor concertado</t>
  </si>
  <si>
    <t>MOTOR DESLIZANTE DELTAMOVE</t>
  </si>
  <si>
    <t>MOTOR DC 500</t>
  </si>
  <si>
    <t>Botoeira nobreak</t>
  </si>
  <si>
    <t>MOTOR DC  500 CONCERTADO</t>
  </si>
  <si>
    <t>MOTOR 400 FLEX DELTA MOVE</t>
  </si>
  <si>
    <t>TESTEIRA 1.2</t>
  </si>
  <si>
    <t>PILHA PARA CONTROLE</t>
  </si>
  <si>
    <t>kit motor usado</t>
  </si>
  <si>
    <t>SETEMBRO</t>
  </si>
  <si>
    <t>SACO DA CORRENTE</t>
  </si>
  <si>
    <t>CAIXA INOX P/ BOTOEIRA</t>
  </si>
  <si>
    <t>caixa de botoeira</t>
  </si>
  <si>
    <t>Chapeu</t>
  </si>
  <si>
    <t>motor de concerto</t>
  </si>
  <si>
    <t>motor usado</t>
  </si>
  <si>
    <t>2090241815400</t>
  </si>
  <si>
    <t>KIT AC 1500</t>
  </si>
  <si>
    <t>BOTOEIRA DC</t>
  </si>
  <si>
    <t>KT MOTOR USADO</t>
  </si>
  <si>
    <t>instalação</t>
  </si>
  <si>
    <t>MOTOR DC 600</t>
  </si>
  <si>
    <t>modulo wifi</t>
  </si>
  <si>
    <t>pino da testeira</t>
  </si>
  <si>
    <t>MOTOR CONCERTADO</t>
  </si>
  <si>
    <t xml:space="preserve">OUTUBRO </t>
  </si>
  <si>
    <t>2074180388805</t>
  </si>
  <si>
    <t>KIT PUXADOR MEDIO (PP)</t>
  </si>
  <si>
    <t>Bolacha da testeira</t>
  </si>
  <si>
    <t>Anel da testeira</t>
  </si>
  <si>
    <t>Anel proteção da corrente</t>
  </si>
  <si>
    <t>anel para testeira</t>
  </si>
  <si>
    <t>KIT MOTOR USADO</t>
  </si>
  <si>
    <t>2070034147703</t>
  </si>
  <si>
    <t>TESTEIRA 1.4</t>
  </si>
  <si>
    <t>NOVEMBRO</t>
  </si>
  <si>
    <t>2031169500207</t>
  </si>
  <si>
    <t>central 4 controles</t>
  </si>
  <si>
    <t>pino para eixo</t>
  </si>
  <si>
    <t>DEZEMBRO</t>
  </si>
  <si>
    <t>fita</t>
  </si>
  <si>
    <t>FITA</t>
  </si>
  <si>
    <t>2056992179208</t>
  </si>
  <si>
    <t>Rolos Filme Stretch Com Cabo Aplicado 10cm X 100m</t>
  </si>
  <si>
    <t>bolacha</t>
  </si>
  <si>
    <t>MOTO 800kg usado</t>
  </si>
  <si>
    <t>INSTALAÇÃO FECHADURA</t>
  </si>
  <si>
    <t>TRAVA KING</t>
  </si>
  <si>
    <t>corrente</t>
  </si>
  <si>
    <t>pino</t>
  </si>
  <si>
    <t>ANO</t>
  </si>
  <si>
    <t>CONTROLE COPY EVO</t>
  </si>
  <si>
    <t>PILHA 27 A</t>
  </si>
  <si>
    <t>2079722077605</t>
  </si>
  <si>
    <t>DISCO DE CORTE STARRET 4,5</t>
  </si>
  <si>
    <t>2099219589404</t>
  </si>
  <si>
    <t>fio para sensor infra vermelho</t>
  </si>
  <si>
    <t>anti queda</t>
  </si>
  <si>
    <t>disco de corte</t>
  </si>
  <si>
    <t>sensor de porta e janela</t>
  </si>
  <si>
    <t>2021878109105</t>
  </si>
  <si>
    <t>TRENA ACO 5M 16' KTS34 19MM BLISTER</t>
  </si>
  <si>
    <t>2047258296302</t>
  </si>
  <si>
    <t>SENSOR PORTA E JANELA WIFI</t>
  </si>
  <si>
    <t>UNICA ATACADISTA DE TINTAS E COMPLEMENTOS LTDA</t>
  </si>
  <si>
    <t>N3 MANUTENCOES LTDA</t>
  </si>
  <si>
    <t>SOBRADINHO</t>
  </si>
  <si>
    <t>LUCIANO ANTONIO FERREIRA</t>
  </si>
  <si>
    <t>Catalão</t>
  </si>
  <si>
    <t>DF GG DISTRIBUIDORA DE PORTAO ELETRONICO EQUIPAMENTOS SEGURANCA E ELETRONICOS LTDA</t>
  </si>
  <si>
    <t>Taguatinga Sul (Taguatinga)</t>
  </si>
  <si>
    <t>SUSPEN-AR BSB SERVICOS DE SUSPENSAO LTDA</t>
  </si>
  <si>
    <t>Guará</t>
  </si>
  <si>
    <t>WESLEY DE JESUS FONSECA 02415877190</t>
  </si>
  <si>
    <t>Itapoã</t>
  </si>
  <si>
    <t>CARLOS HENRIQUE ALBERNAIS</t>
  </si>
  <si>
    <t>TOP 10 UTILIDADES DOMESTICAS HOME CENTER LTDA</t>
  </si>
  <si>
    <t>Estrutural</t>
  </si>
  <si>
    <t>DANIEL DE SOUZA FIGUEIREDO 01790847125</t>
  </si>
  <si>
    <t>Ceilândia</t>
  </si>
  <si>
    <t>BRUNO SOUZA DE SANTANA</t>
  </si>
  <si>
    <t>CRISTIANO DE ARAUJO VIEIRA 92835848134</t>
  </si>
  <si>
    <t>Samambaia</t>
  </si>
  <si>
    <t>7514</t>
  </si>
  <si>
    <t>7513</t>
  </si>
  <si>
    <t>7512</t>
  </si>
  <si>
    <t>7511</t>
  </si>
  <si>
    <t>7510</t>
  </si>
  <si>
    <t>7509</t>
  </si>
  <si>
    <t>7508</t>
  </si>
  <si>
    <t>7506</t>
  </si>
  <si>
    <t>7505</t>
  </si>
  <si>
    <t>7504</t>
  </si>
  <si>
    <t>7503</t>
  </si>
  <si>
    <t>7502</t>
  </si>
  <si>
    <t>7501</t>
  </si>
  <si>
    <t>7500</t>
  </si>
  <si>
    <t>7499</t>
  </si>
  <si>
    <t>7498</t>
  </si>
  <si>
    <t>7497</t>
  </si>
  <si>
    <t>7496</t>
  </si>
  <si>
    <t>7495</t>
  </si>
  <si>
    <t>7494</t>
  </si>
  <si>
    <t>434</t>
  </si>
  <si>
    <t>7493</t>
  </si>
  <si>
    <t>433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</si>
  <si>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</si>
  <si>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</si>
  <si>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</si>
  <si>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</si>
  <si>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</si>
  <si>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</si>
  <si>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</si>
  <si>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</si>
  <si>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</si>
  <si>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</si>
  <si>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</si>
  <si>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</si>
  <si>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</si>
  <si>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</si>
  <si>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</si>
  <si>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</si>
  <si>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</si>
  <si>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</si>
  <si>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</si>
  <si>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</si>
  <si>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7471</t>
  </si>
  <si>
    <t>7469</t>
  </si>
  <si>
    <t>7468</t>
  </si>
  <si>
    <t>7466</t>
  </si>
  <si>
    <t>7465</t>
  </si>
  <si>
    <t>7464</t>
  </si>
  <si>
    <t>7463</t>
  </si>
  <si>
    <t>7462</t>
  </si>
  <si>
    <t>432</t>
  </si>
  <si>
    <t>431</t>
  </si>
  <si>
    <t>430</t>
  </si>
  <si>
    <t>7461</t>
  </si>
  <si>
    <t>7460</t>
  </si>
  <si>
    <t>7459</t>
  </si>
  <si>
    <t>7458</t>
  </si>
  <si>
    <t>7457</t>
  </si>
  <si>
    <t>7456</t>
  </si>
  <si>
    <t>7455</t>
  </si>
  <si>
    <t>7454</t>
  </si>
  <si>
    <t>7453</t>
  </si>
  <si>
    <t>7452</t>
  </si>
  <si>
    <t>7451</t>
  </si>
  <si>
    <t>7450</t>
  </si>
  <si>
    <t>7449</t>
  </si>
  <si>
    <t>7448</t>
  </si>
  <si>
    <t>7447</t>
  </si>
  <si>
    <t>7446</t>
  </si>
  <si>
    <t>7445</t>
  </si>
  <si>
    <t>7444</t>
  </si>
  <si>
    <t>428</t>
  </si>
  <si>
    <t>7443</t>
  </si>
  <si>
    <t>7442</t>
  </si>
  <si>
    <t>7441</t>
  </si>
  <si>
    <t>7440</t>
  </si>
  <si>
    <t>7439</t>
  </si>
  <si>
    <t>7438</t>
  </si>
  <si>
    <t>7437</t>
  </si>
  <si>
    <t>7436</t>
  </si>
  <si>
    <t>7435</t>
  </si>
  <si>
    <t>7434</t>
  </si>
  <si>
    <t>7433</t>
  </si>
  <si>
    <t>7432</t>
  </si>
  <si>
    <t>7431</t>
  </si>
  <si>
    <t>7430</t>
  </si>
  <si>
    <t>7429</t>
  </si>
  <si>
    <t>7428</t>
  </si>
  <si>
    <t>7427</t>
  </si>
  <si>
    <t>7426</t>
  </si>
  <si>
    <t>7425</t>
  </si>
  <si>
    <t>7424</t>
  </si>
  <si>
    <t>7423</t>
  </si>
  <si>
    <t>7422</t>
  </si>
  <si>
    <t>7421</t>
  </si>
  <si>
    <t>7420</t>
  </si>
  <si>
    <t>7419</t>
  </si>
  <si>
    <t>7418</t>
  </si>
  <si>
    <t>7417</t>
  </si>
  <si>
    <t>7416</t>
  </si>
  <si>
    <t>7415</t>
  </si>
  <si>
    <t>427</t>
  </si>
  <si>
    <t>7414</t>
  </si>
  <si>
    <t>7413</t>
  </si>
  <si>
    <t>7412</t>
  </si>
  <si>
    <t>7411</t>
  </si>
  <si>
    <t>7410</t>
  </si>
  <si>
    <t>7409</t>
  </si>
  <si>
    <t>7408</t>
  </si>
  <si>
    <t>7407</t>
  </si>
  <si>
    <t>7406</t>
  </si>
  <si>
    <t>426</t>
  </si>
  <si>
    <t>7405</t>
  </si>
  <si>
    <t>7404</t>
  </si>
  <si>
    <t>7403</t>
  </si>
  <si>
    <t>7402</t>
  </si>
  <si>
    <t>425</t>
  </si>
  <si>
    <t>424</t>
  </si>
  <si>
    <t>423</t>
  </si>
  <si>
    <t>422</t>
  </si>
  <si>
    <t>7401</t>
  </si>
  <si>
    <t>7400</t>
  </si>
  <si>
    <t>7399</t>
  </si>
  <si>
    <t>7398</t>
  </si>
  <si>
    <t>421</t>
  </si>
  <si>
    <t>7397</t>
  </si>
  <si>
    <t>7396</t>
  </si>
  <si>
    <t>7395</t>
  </si>
  <si>
    <t>7394</t>
  </si>
  <si>
    <t>7393</t>
  </si>
  <si>
    <t>7392</t>
  </si>
  <si>
    <t>7391</t>
  </si>
  <si>
    <t>7390</t>
  </si>
  <si>
    <t>7389</t>
  </si>
  <si>
    <t>7388</t>
  </si>
  <si>
    <t>7387</t>
  </si>
  <si>
    <t>7386</t>
  </si>
  <si>
    <t>7385</t>
  </si>
  <si>
    <t>7384</t>
  </si>
  <si>
    <t>7383</t>
  </si>
  <si>
    <t>7382</t>
  </si>
  <si>
    <t>7381</t>
  </si>
  <si>
    <t>7380</t>
  </si>
  <si>
    <t>7379</t>
  </si>
  <si>
    <t>7378</t>
  </si>
  <si>
    <t>7377</t>
  </si>
  <si>
    <t>7375</t>
  </si>
  <si>
    <t>7374</t>
  </si>
  <si>
    <t>7373</t>
  </si>
  <si>
    <t>7372</t>
  </si>
  <si>
    <t>7371</t>
  </si>
  <si>
    <t>420</t>
  </si>
  <si>
    <t>7370</t>
  </si>
  <si>
    <t>7369</t>
  </si>
  <si>
    <t>419</t>
  </si>
  <si>
    <t>7368</t>
  </si>
  <si>
    <t>7367</t>
  </si>
  <si>
    <t>7366</t>
  </si>
  <si>
    <t>7365</t>
  </si>
  <si>
    <t>7364</t>
  </si>
  <si>
    <t>418</t>
  </si>
  <si>
    <t>7363</t>
  </si>
  <si>
    <t>7362</t>
  </si>
  <si>
    <t>417</t>
  </si>
  <si>
    <t>7361</t>
  </si>
  <si>
    <t>7360</t>
  </si>
  <si>
    <t>7359</t>
  </si>
  <si>
    <t>7358</t>
  </si>
  <si>
    <t>7357</t>
  </si>
  <si>
    <t>7356</t>
  </si>
  <si>
    <t>7355</t>
  </si>
  <si>
    <t>7354</t>
  </si>
  <si>
    <t>7353</t>
  </si>
  <si>
    <t>7352</t>
  </si>
  <si>
    <t>7351</t>
  </si>
  <si>
    <t>416</t>
  </si>
  <si>
    <t>7350</t>
  </si>
  <si>
    <t>7349</t>
  </si>
  <si>
    <t>7348</t>
  </si>
  <si>
    <t>7347</t>
  </si>
  <si>
    <t>7346</t>
  </si>
  <si>
    <t>7345</t>
  </si>
  <si>
    <t>7344</t>
  </si>
  <si>
    <t>7343</t>
  </si>
  <si>
    <t>7342</t>
  </si>
  <si>
    <t>7341</t>
  </si>
  <si>
    <t>415</t>
  </si>
  <si>
    <t>414</t>
  </si>
  <si>
    <t>413</t>
  </si>
  <si>
    <t>7340</t>
  </si>
  <si>
    <t>7339</t>
  </si>
  <si>
    <t>7338</t>
  </si>
  <si>
    <t>7337</t>
  </si>
  <si>
    <t>7336</t>
  </si>
  <si>
    <t>7335</t>
  </si>
  <si>
    <t>7334</t>
  </si>
  <si>
    <t>7333</t>
  </si>
  <si>
    <t>7332</t>
  </si>
  <si>
    <t>7331</t>
  </si>
  <si>
    <t>7330</t>
  </si>
  <si>
    <t>7328</t>
  </si>
  <si>
    <t>7327</t>
  </si>
  <si>
    <t>7326</t>
  </si>
  <si>
    <t>7325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</si>
  <si>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</si>
  <si>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</si>
  <si>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</si>
  <si>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</si>
  <si>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</si>
  <si>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</si>
  <si>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</si>
  <si>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</si>
  <si>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</si>
  <si>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7315</t>
  </si>
  <si>
    <t>7313</t>
  </si>
  <si>
    <t>412</t>
  </si>
  <si>
    <t>7312</t>
  </si>
  <si>
    <t>7311</t>
  </si>
  <si>
    <t>411</t>
  </si>
  <si>
    <t>7310</t>
  </si>
  <si>
    <t>410</t>
  </si>
  <si>
    <t>7309</t>
  </si>
  <si>
    <t>7308</t>
  </si>
  <si>
    <t>7307</t>
  </si>
  <si>
    <t>7306</t>
  </si>
  <si>
    <t>7305</t>
  </si>
  <si>
    <t>7304</t>
  </si>
  <si>
    <t>7303</t>
  </si>
  <si>
    <t>7302</t>
  </si>
  <si>
    <t>7301</t>
  </si>
  <si>
    <t>7300</t>
  </si>
  <si>
    <t>7299</t>
  </si>
  <si>
    <t>7298</t>
  </si>
  <si>
    <t>7297</t>
  </si>
  <si>
    <t>7296</t>
  </si>
  <si>
    <t>7295</t>
  </si>
  <si>
    <t>7294</t>
  </si>
  <si>
    <t>7293</t>
  </si>
  <si>
    <t>7292</t>
  </si>
  <si>
    <t>409</t>
  </si>
  <si>
    <t>7290</t>
  </si>
  <si>
    <t>7289</t>
  </si>
  <si>
    <t>7288</t>
  </si>
  <si>
    <t>7287</t>
  </si>
  <si>
    <t>408</t>
  </si>
  <si>
    <t>7286</t>
  </si>
  <si>
    <t>7285</t>
  </si>
  <si>
    <t>7284</t>
  </si>
  <si>
    <t>7283</t>
  </si>
  <si>
    <t>7282</t>
  </si>
  <si>
    <t>7281</t>
  </si>
  <si>
    <t>7280</t>
  </si>
  <si>
    <t>7279</t>
  </si>
  <si>
    <t>407</t>
  </si>
  <si>
    <t>406</t>
  </si>
  <si>
    <t>7278</t>
  </si>
  <si>
    <t>7277</t>
  </si>
  <si>
    <t>405</t>
  </si>
  <si>
    <t>7275</t>
  </si>
  <si>
    <t>7274</t>
  </si>
  <si>
    <t>7273</t>
  </si>
  <si>
    <t>7272</t>
  </si>
  <si>
    <t>404</t>
  </si>
  <si>
    <t>7271</t>
  </si>
  <si>
    <t>7270</t>
  </si>
  <si>
    <t>7269</t>
  </si>
  <si>
    <t>7268</t>
  </si>
  <si>
    <t>7267</t>
  </si>
  <si>
    <t>403</t>
  </si>
  <si>
    <t>402</t>
  </si>
  <si>
    <t>7266</t>
  </si>
  <si>
    <t>7265</t>
  </si>
  <si>
    <t>7264</t>
  </si>
  <si>
    <t>7263</t>
  </si>
  <si>
    <t>7262</t>
  </si>
  <si>
    <t>7261</t>
  </si>
  <si>
    <t>7260</t>
  </si>
  <si>
    <t>7259</t>
  </si>
  <si>
    <t>7258</t>
  </si>
  <si>
    <t>7257</t>
  </si>
  <si>
    <t>401</t>
  </si>
  <si>
    <t>400</t>
  </si>
  <si>
    <t>7256</t>
  </si>
  <si>
    <t>7255</t>
  </si>
  <si>
    <t>399</t>
  </si>
  <si>
    <t>7254</t>
  </si>
  <si>
    <t>7253</t>
  </si>
  <si>
    <t>7252</t>
  </si>
  <si>
    <t>398</t>
  </si>
  <si>
    <t>7251</t>
  </si>
  <si>
    <t>7250</t>
  </si>
  <si>
    <t>7249</t>
  </si>
  <si>
    <t>7248</t>
  </si>
  <si>
    <t>7247</t>
  </si>
  <si>
    <t>7246</t>
  </si>
  <si>
    <t>7245</t>
  </si>
  <si>
    <t>7244</t>
  </si>
  <si>
    <t>7243</t>
  </si>
  <si>
    <t>7242</t>
  </si>
  <si>
    <t>7241</t>
  </si>
  <si>
    <t>7240</t>
  </si>
  <si>
    <t>397</t>
  </si>
  <si>
    <t>396</t>
  </si>
  <si>
    <t>395</t>
  </si>
  <si>
    <t>394</t>
  </si>
  <si>
    <t>393</t>
  </si>
  <si>
    <t>7239</t>
  </si>
  <si>
    <t>7238</t>
  </si>
  <si>
    <t>7237</t>
  </si>
  <si>
    <t>7236</t>
  </si>
  <si>
    <t>7235</t>
  </si>
  <si>
    <t>7234</t>
  </si>
  <si>
    <t>7233</t>
  </si>
  <si>
    <t>392</t>
  </si>
  <si>
    <t>7232</t>
  </si>
  <si>
    <t>7231</t>
  </si>
  <si>
    <t>7230</t>
  </si>
  <si>
    <t>7229</t>
  </si>
  <si>
    <t>7228</t>
  </si>
  <si>
    <t>7227</t>
  </si>
  <si>
    <t>7226</t>
  </si>
  <si>
    <t>7225</t>
  </si>
  <si>
    <t>7224</t>
  </si>
  <si>
    <t>7223</t>
  </si>
  <si>
    <t>7222</t>
  </si>
  <si>
    <t>7221</t>
  </si>
  <si>
    <t>7219</t>
  </si>
  <si>
    <t>391</t>
  </si>
  <si>
    <t>7218</t>
  </si>
  <si>
    <t>7217</t>
  </si>
  <si>
    <t>7216</t>
  </si>
  <si>
    <t>7215</t>
  </si>
  <si>
    <t>390</t>
  </si>
  <si>
    <t>389</t>
  </si>
  <si>
    <t>7214</t>
  </si>
  <si>
    <t>7213</t>
  </si>
  <si>
    <t>7212</t>
  </si>
  <si>
    <t>7211</t>
  </si>
  <si>
    <t>7210</t>
  </si>
  <si>
    <t>388</t>
  </si>
  <si>
    <t>7209</t>
  </si>
  <si>
    <t>7208</t>
  </si>
  <si>
    <t>7207</t>
  </si>
  <si>
    <t>7206</t>
  </si>
  <si>
    <t>7205</t>
  </si>
  <si>
    <t>7204</t>
  </si>
  <si>
    <t>7203</t>
  </si>
  <si>
    <t>387</t>
  </si>
  <si>
    <t>386</t>
  </si>
  <si>
    <t>385</t>
  </si>
  <si>
    <t>7202</t>
  </si>
  <si>
    <t>7201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</si>
</sst>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14" fontId="1" fillId="0" borderId="0" xfId="1" applyNumberFormat="1"/>
    <xf numFmtId="9" fontId="0" fillId="0" borderId="0" xfId="2" applyFont="1"/>
    <xf numFmtId="0" fontId="1" fillId="2" borderId="0" xfId="1" applyFill="1"/>
    <xf numFmtId="44" fontId="0" fillId="0" borderId="0" xfId="3" applyFont="1"/>
    <xf numFmtId="44" fontId="1" fillId="2" borderId="0" xfId="1" applyNumberFormat="1" applyFill="1"/>
    <xf numFmtId="9" fontId="0" fillId="2" borderId="0" xfId="2" applyFont="1" applyFill="1"/>
    <xf numFmtId="44" fontId="1" fillId="0" borderId="0" xfId="1" applyNumberFormat="1"/>
    <xf numFmtId="0" fontId="1" fillId="0" borderId="1" xfId="1" applyBorder="1"/>
    <xf numFmtId="4" fontId="0" fillId="0" borderId="0" xfId="0" applyNumberFormat="1"/>
    <xf numFmtId="44" fontId="1" fillId="0" borderId="0" xfId="3" applyFont="1"/>
    <xf numFmtId="1" fontId="0" fillId="0" borderId="0" xfId="0" applyNumberFormat="1" applyAlignment="1">
      <alignment horizontal="center"/>
    </xf>
    <xf numFmtId="1" fontId="0" fillId="0" borderId="0" xfId="3" applyNumberFormat="1" applyFont="1" applyAlignment="1">
      <alignment horizontal="center"/>
    </xf>
    <xf numFmtId="0" fontId="0" fillId="0" borderId="2" xfId="0" applyBorder="1"/>
    <xf numFmtId="14" fontId="0" fillId="0" borderId="0" xfId="0" applyNumberFormat="1"/>
    <xf numFmtId="0" fontId="1" fillId="0" borderId="0" xfId="1" applyNumberFormat="1"/>
    <xf numFmtId="0" fontId="1" fillId="0" borderId="0" xfId="1" applyFont="1"/>
    <xf numFmtId="9" fontId="0" fillId="0" borderId="0" xfId="2" applyNumberFormat="1" applyFont="1"/>
  </cellXfs>
  <cellStyles count="4">
    <cellStyle name="Moeda 2" xfId="3" xr:uid="{815A68AE-A645-4AD8-A26C-6335A6D05C1E}"/>
    <cellStyle name="Normal" xfId="0" builtinId="0"/>
    <cellStyle name="Normal 2" xfId="1" xr:uid="{809B0F32-E5E0-4020-B2E7-922663E179A7}"/>
    <cellStyle name="Porcentagem 2" xfId="2" xr:uid="{5F541A5A-21AB-470D-8C6D-D9BA6177D3BD}"/>
  </cellStyles>
  <dxfs count="2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uel/Downloads/relatorio_clientes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orio_clientes"/>
    </sheetNames>
    <sheetDataSet>
      <sheetData sheetId="0">
        <row r="1">
          <cell r="B1" t="str">
            <v>Relatório de clientes
                    Gerado em 29/10/2025 às 07:13:12</v>
          </cell>
        </row>
        <row r="2">
          <cell r="B2" t="str">
            <v>Nome/Nome fantasia</v>
          </cell>
          <cell r="C2" t="str">
            <v>Razão social/Nome social</v>
          </cell>
          <cell r="D2" t="str">
            <v>CNPJ</v>
          </cell>
          <cell r="E2" t="str">
            <v>I.E.</v>
          </cell>
          <cell r="F2" t="str">
            <v>I.M.</v>
          </cell>
          <cell r="G2" t="str">
            <v>CPF</v>
          </cell>
          <cell r="H2" t="str">
            <v>RG</v>
          </cell>
          <cell r="I2" t="str">
            <v>Nascimento</v>
          </cell>
          <cell r="J2" t="str">
            <v>Situação</v>
          </cell>
          <cell r="K2" t="str">
            <v>Telefone</v>
          </cell>
          <cell r="L2" t="str">
            <v>Celular</v>
          </cell>
          <cell r="M2" t="str">
            <v>FAX</v>
          </cell>
          <cell r="N2" t="str">
            <v>E-mail</v>
          </cell>
          <cell r="O2" t="str">
            <v>CEP</v>
          </cell>
          <cell r="P2" t="str">
            <v>Endereço</v>
          </cell>
          <cell r="Q2" t="str">
            <v>Bairro</v>
          </cell>
        </row>
        <row r="3">
          <cell r="B3" t="str">
            <v>3 S PORTAS E SERVICOS</v>
          </cell>
          <cell r="C3" t="str">
            <v>Y G DE QUADROS NICOLAK</v>
          </cell>
          <cell r="D3" t="str">
            <v>14.411.488/0001-54</v>
          </cell>
          <cell r="E3" t="str">
            <v>15.350.497-8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>Ativo</v>
          </cell>
          <cell r="K3" t="str">
            <v>(91) 8183-8643 / (91) 9607-6113</v>
          </cell>
          <cell r="L3" t="str">
            <v/>
          </cell>
          <cell r="M3" t="str">
            <v/>
          </cell>
          <cell r="N3" t="str">
            <v>3sportaserepresentacoes@gmail.com</v>
          </cell>
          <cell r="O3" t="str">
            <v>66613-350</v>
          </cell>
          <cell r="P3" t="str">
            <v>ALAMEDA ELCIONE BARBALHO                                , 14</v>
          </cell>
          <cell r="Q3" t="str">
            <v>SOUZA</v>
          </cell>
        </row>
        <row r="4">
          <cell r="B4" t="str">
            <v>54.038.254 FRANCISCO DOS SANTOS</v>
          </cell>
          <cell r="C4" t="str">
            <v>54.038.254 FRANCISCO DOS SANTOS</v>
          </cell>
          <cell r="D4" t="str">
            <v>54.038.254/0001-28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>Ativo</v>
          </cell>
          <cell r="K4" t="str">
            <v>(61) 8278-5428</v>
          </cell>
          <cell r="L4" t="str">
            <v/>
          </cell>
          <cell r="M4" t="str">
            <v/>
          </cell>
          <cell r="N4" t="str">
            <v>fs805622@gmail.com</v>
          </cell>
          <cell r="O4" t="str">
            <v>72135-090</v>
          </cell>
          <cell r="P4" t="str">
            <v>QUADRA QI 9                                , L19</v>
          </cell>
          <cell r="Q4" t="str">
            <v>SETOR INDUSTRIAL (TAGUATINGA)</v>
          </cell>
        </row>
        <row r="5">
          <cell r="B5" t="str">
            <v>55.219.701 DANIELA SIRQUEIRA DOS SANTOS</v>
          </cell>
          <cell r="C5" t="str">
            <v>55.219.701 DANIELA SIRQUEIRA DOS SANTOS</v>
          </cell>
          <cell r="D5" t="str">
            <v>55.219.701/0001-08</v>
          </cell>
          <cell r="E5" t="str">
            <v>0830229600185</v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Inativo</v>
          </cell>
          <cell r="K5" t="str">
            <v>(61)9465-8122</v>
          </cell>
          <cell r="L5" t="str">
            <v/>
          </cell>
          <cell r="M5" t="str">
            <v/>
          </cell>
          <cell r="N5" t="str">
            <v>sirqueiradaniela24@gmail.com</v>
          </cell>
          <cell r="O5" t="str">
            <v>72339-077</v>
          </cell>
          <cell r="P5" t="str">
            <v>QUADRA QR 1033 CONJUNTO 7                                , SN</v>
          </cell>
          <cell r="Q5" t="str">
            <v>SAMAMBAIA NORTE (SAMAMBAIA)</v>
          </cell>
        </row>
        <row r="6">
          <cell r="B6" t="str">
            <v>57.834.122 JOSE ROBERTO GUERREIRO PEREIRA</v>
          </cell>
          <cell r="C6" t="str">
            <v>57.834.122 JOSE ROBERTO GUERREIRO PEREIRA</v>
          </cell>
          <cell r="D6" t="str">
            <v>57.834.122/0001-09</v>
          </cell>
          <cell r="E6" t="str">
            <v>05.474.749-0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Inativo</v>
          </cell>
          <cell r="K6" t="str">
            <v>(92)9148-0111</v>
          </cell>
          <cell r="L6" t="str">
            <v/>
          </cell>
          <cell r="M6" t="str">
            <v/>
          </cell>
          <cell r="N6" t="str">
            <v>robertoguerreiropereira@gmail.com</v>
          </cell>
          <cell r="O6" t="str">
            <v>69099-029</v>
          </cell>
          <cell r="P6" t="str">
            <v>Rua Ibicaré                                , 100</v>
          </cell>
          <cell r="Q6" t="str">
            <v>Novo Aleixo</v>
          </cell>
        </row>
        <row r="7">
          <cell r="B7" t="str">
            <v>58.307.071 ZACARIAS FERREIRA DA CONCEICAO</v>
          </cell>
          <cell r="C7" t="str">
            <v>58.307.071 ZACARIAS FERREIRA DA CONCEICAO</v>
          </cell>
          <cell r="D7" t="str">
            <v>58.307.071/0001-11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Ativo</v>
          </cell>
          <cell r="K7" t="str">
            <v>(61)9563-0537</v>
          </cell>
          <cell r="L7" t="str">
            <v/>
          </cell>
          <cell r="M7" t="str">
            <v/>
          </cell>
          <cell r="N7" t="str">
            <v>viniciusferre333@gmail.com</v>
          </cell>
          <cell r="O7" t="str">
            <v>72910-052</v>
          </cell>
          <cell r="P7" t="str">
            <v>QUADRA 45 CONJUNTO B                                , 36</v>
          </cell>
          <cell r="Q7" t="str">
            <v>PARQUE DA BARRAGEM SETOR 08</v>
          </cell>
        </row>
        <row r="8">
          <cell r="B8" t="str">
            <v>A CENTER PORTAS E PORTOES AUTOMATICOS</v>
          </cell>
          <cell r="C8" t="str">
            <v>DURAES PORTAS DE ACO LTDA</v>
          </cell>
          <cell r="D8" t="str">
            <v>17.260.260/0001-07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Ativo</v>
          </cell>
          <cell r="K8" t="str">
            <v>(34) 3223-7700 / (34) 9965-8470</v>
          </cell>
          <cell r="L8" t="str">
            <v/>
          </cell>
          <cell r="M8" t="str">
            <v/>
          </cell>
          <cell r="N8" t="str">
            <v>centerportas16@gmail.com</v>
          </cell>
          <cell r="O8" t="str">
            <v>38412-417</v>
          </cell>
          <cell r="P8" t="str">
            <v>AVENIDA ALDO BORGES LEAO                                , 1995</v>
          </cell>
          <cell r="Q8" t="str">
            <v>CANAA</v>
          </cell>
        </row>
        <row r="9">
          <cell r="B9" t="str">
            <v>A UNIDAS PORTAS DE ACO AUTOMATICAS</v>
          </cell>
          <cell r="C9" t="str">
            <v>BARBOSA &amp; MATIAS PORTAS DE ACO LTDA</v>
          </cell>
          <cell r="D9" t="str">
            <v>41.456.967/0001-60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Ativo</v>
          </cell>
          <cell r="K9" t="str">
            <v>(34) 9199-3010</v>
          </cell>
          <cell r="L9" t="str">
            <v/>
          </cell>
          <cell r="M9" t="str">
            <v/>
          </cell>
          <cell r="N9" t="str">
            <v>denilsonmatiassilva66@gmail.com</v>
          </cell>
          <cell r="O9" t="str">
            <v>38040-000</v>
          </cell>
          <cell r="P9" t="str">
            <v>AV TONICO DOS SANTOS                                , 137</v>
          </cell>
          <cell r="Q9" t="str">
            <v>JARDIM INDUBERABA</v>
          </cell>
        </row>
        <row r="10">
          <cell r="B10" t="str">
            <v>AC COELHO</v>
          </cell>
          <cell r="C10" t="str">
            <v>AC COELHO MATERIAIS PARA CONSTRUCAO LTDA</v>
          </cell>
          <cell r="D10" t="str">
            <v>37.083.474/0001-54</v>
          </cell>
          <cell r="E10" t="str">
            <v>0730942600157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Inativo</v>
          </cell>
          <cell r="K10" t="str">
            <v>(61) 3403-3403/ (61) 3403-3443</v>
          </cell>
          <cell r="L10" t="str">
            <v/>
          </cell>
          <cell r="M10" t="str">
            <v/>
          </cell>
          <cell r="N10" t="str">
            <v>controladoria@accoelho.com.br</v>
          </cell>
          <cell r="O10" t="str">
            <v>71200-030</v>
          </cell>
          <cell r="P10" t="str">
            <v>TR SIA TRECHO 3, LOTES 1010/1060/1070/1080/1090/1100/1110/11                                , SN</v>
          </cell>
          <cell r="Q10" t="str">
            <v>SETOR DE INDUSTRIA E ABASTECIMENTO</v>
          </cell>
        </row>
        <row r="11">
          <cell r="B11" t="str">
            <v>AC PRODUTOS METALURGICOS</v>
          </cell>
          <cell r="C11" t="str">
            <v>AC PRODUTOS METALURGICOS LTDA</v>
          </cell>
          <cell r="D11" t="str">
            <v>13.373.823/0001-04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Inativo</v>
          </cell>
          <cell r="K11" t="str">
            <v>(61) 3613-3910 / (61) 9943-2275</v>
          </cell>
          <cell r="L11" t="str">
            <v/>
          </cell>
          <cell r="M11" t="str">
            <v/>
          </cell>
          <cell r="N11" t="str">
            <v/>
          </cell>
          <cell r="O11" t="str">
            <v>72910-001</v>
          </cell>
          <cell r="P11" t="str">
            <v>QUADRA 21 LOTE                                , 01</v>
          </cell>
          <cell r="Q11" t="str">
            <v>JARDIM DA BARRAGEM I</v>
          </cell>
        </row>
        <row r="12">
          <cell r="B12" t="str">
            <v>ACO PARA</v>
          </cell>
          <cell r="C12" t="str">
            <v>ACO PARA INDUSTRIAL LTDA</v>
          </cell>
          <cell r="D12" t="str">
            <v>14.719.161/0001-44</v>
          </cell>
          <cell r="E12" t="str">
            <v>15.356.232-3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>Inativo</v>
          </cell>
          <cell r="K12" t="str">
            <v>(91)3201-2500</v>
          </cell>
          <cell r="L12" t="str">
            <v/>
          </cell>
          <cell r="M12" t="str">
            <v/>
          </cell>
          <cell r="N12" t="str">
            <v>atendimento@acopara.ind.br</v>
          </cell>
          <cell r="O12" t="str">
            <v>67020-000</v>
          </cell>
          <cell r="P12" t="str">
            <v>ROD ROD BR 316, KM 06</v>
          </cell>
          <cell r="Q12" t="str">
            <v>AGUAS LINDAS</v>
          </cell>
        </row>
        <row r="13">
          <cell r="B13" t="str">
            <v>ACOFER FERRAGISTA E METALURGICA</v>
          </cell>
          <cell r="C13" t="str">
            <v>ERICK URCINO DUTRA</v>
          </cell>
          <cell r="D13" t="str">
            <v>27.537.863/0001-59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Inativo</v>
          </cell>
          <cell r="K13" t="str">
            <v>(62)3331-1245</v>
          </cell>
          <cell r="L13" t="str">
            <v/>
          </cell>
          <cell r="M13" t="str">
            <v/>
          </cell>
          <cell r="N13" t="str">
            <v/>
          </cell>
          <cell r="O13" t="str">
            <v>72980-000</v>
          </cell>
          <cell r="P13" t="str">
            <v>AVENIDA BENJAMIN CONSTANT                                , S/N</v>
          </cell>
          <cell r="Q13" t="str">
            <v>CENTRO</v>
          </cell>
        </row>
        <row r="14">
          <cell r="B14" t="str">
            <v>ACOFER METALURGICA E COMERCIO</v>
          </cell>
          <cell r="C14" t="str">
            <v>ACOFER METALURGICA E COMERCIO LTDA</v>
          </cell>
          <cell r="D14" t="str">
            <v>47.929.920/0001-52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>Ativo</v>
          </cell>
          <cell r="K14" t="str">
            <v>(61) 9566-7061 / (0000) 0000-0000</v>
          </cell>
          <cell r="L14" t="str">
            <v/>
          </cell>
          <cell r="M14" t="str">
            <v/>
          </cell>
          <cell r="N14" t="str">
            <v>acofer001@hotmail.com</v>
          </cell>
          <cell r="O14" t="str">
            <v>72135-140</v>
          </cell>
          <cell r="P14" t="str">
            <v>SETOR QI 14 LOTE                                , 51/53</v>
          </cell>
          <cell r="Q14" t="str">
            <v>SETOR INDUSTRIAL (TAGUATINGA)</v>
          </cell>
        </row>
        <row r="15">
          <cell r="B15" t="str">
            <v>Adeilson Lima da Silva</v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>020.013.244-05</v>
          </cell>
          <cell r="H15" t="str">
            <v/>
          </cell>
          <cell r="I15" t="str">
            <v/>
          </cell>
          <cell r="J15" t="str">
            <v>Inativo</v>
          </cell>
          <cell r="K15" t="str">
            <v/>
          </cell>
          <cell r="L15" t="str">
            <v>(61)99397-6568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B16" t="str">
            <v>ADIEL MOTA JUNIOR</v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>022.930.261-08</v>
          </cell>
          <cell r="H16" t="str">
            <v/>
          </cell>
          <cell r="I16" t="str">
            <v/>
          </cell>
          <cell r="J16" t="str">
            <v>Inativo</v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>72871-155</v>
          </cell>
          <cell r="P16" t="str">
            <v>Avenida 2 QUADRA 93 LOTE 01                                , 2</v>
          </cell>
          <cell r="Q16" t="str">
            <v>Jardim Céu Azul</v>
          </cell>
        </row>
        <row r="17">
          <cell r="B17" t="str">
            <v>Agnaldo Evangelista Santos</v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>027.604.735-46</v>
          </cell>
          <cell r="H17" t="str">
            <v/>
          </cell>
          <cell r="I17" t="str">
            <v/>
          </cell>
          <cell r="J17" t="str">
            <v>Inativo</v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>71950-000</v>
          </cell>
          <cell r="P17" t="str">
            <v>Quadra QS 1                                , 01</v>
          </cell>
          <cell r="Q17" t="str">
            <v>Areal (Águas Claras)</v>
          </cell>
        </row>
        <row r="18">
          <cell r="B18" t="str">
            <v>Agnaldo Evangelista Santos</v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>027.604.735-46</v>
          </cell>
          <cell r="H18" t="str">
            <v/>
          </cell>
          <cell r="I18" t="str">
            <v/>
          </cell>
          <cell r="J18" t="str">
            <v>Ativo</v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B19" t="str">
            <v>AHC MULTIMARCAS</v>
          </cell>
          <cell r="C19" t="str">
            <v>HENRIQUE SOUZA GOMES DE MORAES 36488443852</v>
          </cell>
          <cell r="D19" t="str">
            <v>45.886.458/0001-28</v>
          </cell>
          <cell r="E19" t="str">
            <v>10.913.564-4</v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Ativo</v>
          </cell>
          <cell r="K19" t="str">
            <v>(62) 4103-5223</v>
          </cell>
          <cell r="L19" t="str">
            <v/>
          </cell>
          <cell r="M19" t="str">
            <v/>
          </cell>
          <cell r="N19" t="str">
            <v>ahcmultimarcas@gmail.com</v>
          </cell>
          <cell r="O19" t="str">
            <v>74933-130</v>
          </cell>
          <cell r="P19" t="str">
            <v>R MONTE CARMELO                                , S/N</v>
          </cell>
          <cell r="Q19" t="str">
            <v>CARDOSO</v>
          </cell>
        </row>
        <row r="20">
          <cell r="B20" t="str">
            <v>Alberto Junio Romão Gonçalves</v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>096.718.906-36</v>
          </cell>
          <cell r="H20" t="str">
            <v>16354260</v>
          </cell>
          <cell r="I20" t="str">
            <v>1989-06-30</v>
          </cell>
          <cell r="J20" t="str">
            <v>Ativo</v>
          </cell>
          <cell r="K20" t="str">
            <v/>
          </cell>
          <cell r="L20" t="str">
            <v>6199243779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B21" t="str">
            <v>Alexandre alerta portas</v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>557.119.013-20</v>
          </cell>
          <cell r="H21" t="str">
            <v/>
          </cell>
          <cell r="I21" t="str">
            <v/>
          </cell>
          <cell r="J21" t="str">
            <v>Ativo</v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B22" t="str">
            <v>ALFA PORTAS DE ACO</v>
          </cell>
          <cell r="C22" t="str">
            <v>ALFA PORTAS DE ACO LTDA</v>
          </cell>
          <cell r="D22" t="str">
            <v>47.304.693/0001-70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>Ativo</v>
          </cell>
          <cell r="K22" t="str">
            <v>(62) 3932-9877 / (0000) 0000-0000</v>
          </cell>
          <cell r="L22" t="str">
            <v/>
          </cell>
          <cell r="M22" t="str">
            <v/>
          </cell>
          <cell r="N22" t="str">
            <v>alfaportasdeacogoiania@gmail.com</v>
          </cell>
          <cell r="O22" t="str">
            <v>74583-060</v>
          </cell>
          <cell r="P22" t="str">
            <v>AVENIDA HERMINIO PERNE FILHO                                , 375</v>
          </cell>
          <cell r="Q22" t="str">
            <v>VI MARIA DILCE</v>
          </cell>
        </row>
        <row r="23">
          <cell r="B23" t="str">
            <v>Alfa Service</v>
          </cell>
          <cell r="C23" t="str">
            <v>NILO CELIO LIMA RIBEIRO 66545960130</v>
          </cell>
          <cell r="D23" t="str">
            <v>17.505.929/0001-75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Ativo</v>
          </cell>
          <cell r="K23" t="str">
            <v>(61) 4101-4265</v>
          </cell>
          <cell r="L23" t="str">
            <v/>
          </cell>
          <cell r="M23" t="str">
            <v/>
          </cell>
          <cell r="N23" t="str">
            <v/>
          </cell>
          <cell r="O23" t="str">
            <v>72510-510</v>
          </cell>
          <cell r="P23" t="str">
            <v>QUADRA QR 310 CONJUNTO J                                , 09</v>
          </cell>
          <cell r="Q23" t="str">
            <v>SANTA MARIA</v>
          </cell>
        </row>
        <row r="24">
          <cell r="B24" t="str">
            <v>ALIANCA PORTAS AUTOMATICAS</v>
          </cell>
          <cell r="C24" t="str">
            <v>A ALIANCA COMERCIO E SERVICOS LTDA</v>
          </cell>
          <cell r="D24" t="str">
            <v>50.658.233/0001-54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>Ativo</v>
          </cell>
          <cell r="K24" t="str">
            <v>(34) 9726-8989</v>
          </cell>
          <cell r="L24" t="str">
            <v/>
          </cell>
          <cell r="M24" t="str">
            <v/>
          </cell>
          <cell r="N24" t="str">
            <v>aliancaportasudi@gmail.com</v>
          </cell>
          <cell r="O24" t="str">
            <v>38412-330</v>
          </cell>
          <cell r="P24" t="str">
            <v>ALAMEDA JARDIM HOLANDA                                , 503</v>
          </cell>
          <cell r="Q24" t="str">
            <v>JARDIM HOLANDA</v>
          </cell>
        </row>
        <row r="25">
          <cell r="B25" t="str">
            <v>ALS COMERCIO</v>
          </cell>
          <cell r="C25" t="str">
            <v>ALS COMERCIO E SERVICOS LTDA</v>
          </cell>
          <cell r="D25" t="str">
            <v>27.468.200/0001-20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>Inativo</v>
          </cell>
          <cell r="K25" t="str">
            <v>(61)3354-6085</v>
          </cell>
          <cell r="L25" t="str">
            <v/>
          </cell>
          <cell r="M25" t="str">
            <v/>
          </cell>
          <cell r="N25" t="str">
            <v>alvarenga.lic@gmail.com</v>
          </cell>
          <cell r="O25" t="str">
            <v>72130-525</v>
          </cell>
          <cell r="P25" t="str">
            <v>QUADRA CNH 2 LOTE 05 SALA 102                                , S/N</v>
          </cell>
          <cell r="Q25" t="str">
            <v>TAGUATINGA NORTE (TAGUATINGA)</v>
          </cell>
        </row>
        <row r="26">
          <cell r="B26" t="str">
            <v>ALVES ESTRUTURAS METALICAS</v>
          </cell>
          <cell r="C26" t="str">
            <v>NATANAEL DIVINO ALVES</v>
          </cell>
          <cell r="D26" t="str">
            <v>12.346.787/0001-27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>Inativo</v>
          </cell>
          <cell r="K26" t="str">
            <v>(61)9858-0899</v>
          </cell>
          <cell r="L26" t="str">
            <v/>
          </cell>
          <cell r="M26" t="str">
            <v/>
          </cell>
          <cell r="N26" t="str">
            <v>aguiascontabilidade2022@gmail.com</v>
          </cell>
          <cell r="O26" t="str">
            <v>72855-710</v>
          </cell>
          <cell r="P26" t="str">
            <v>RUA 09                                , S/N</v>
          </cell>
          <cell r="Q26" t="str">
            <v>CIDADE INDUSTRIAL FRACAROLI</v>
          </cell>
        </row>
        <row r="27">
          <cell r="B27" t="str">
            <v>Amaury Chetrit</v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>237.953.788-77</v>
          </cell>
          <cell r="H27" t="str">
            <v/>
          </cell>
          <cell r="I27" t="str">
            <v/>
          </cell>
          <cell r="J27" t="str">
            <v>Inativo</v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>71215-100</v>
          </cell>
          <cell r="P27" t="str">
            <v>Setor SGCV</v>
          </cell>
          <cell r="Q27" t="str">
            <v>Zona Industrial (Guará)</v>
          </cell>
        </row>
        <row r="28">
          <cell r="B28" t="str">
            <v>AMERICA ESTRUTURA METALICA</v>
          </cell>
          <cell r="C28" t="str">
            <v>AMERICA ESTRUTURA METALICA LTDA</v>
          </cell>
          <cell r="D28" t="str">
            <v>31.906.659/0001-35</v>
          </cell>
          <cell r="E28" t="str">
            <v>07.885.227/001-85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>Ativo</v>
          </cell>
          <cell r="K28" t="str">
            <v>(61) 3965-9684</v>
          </cell>
          <cell r="L28" t="str">
            <v/>
          </cell>
          <cell r="M28" t="str">
            <v/>
          </cell>
          <cell r="N28" t="str">
            <v>marcosoliveirapires21@gmail.com</v>
          </cell>
          <cell r="O28" t="str">
            <v>72135-070</v>
          </cell>
          <cell r="P28" t="str">
            <v>QUADRA QI 7                                , S/N</v>
          </cell>
          <cell r="Q28" t="str">
            <v>SETOR INDUSTRIAL (TAGUATINGA)</v>
          </cell>
        </row>
        <row r="29">
          <cell r="B29" t="str">
            <v>AMERICAN SOLUCAO</v>
          </cell>
          <cell r="C29" t="str">
            <v>AMERICAN SOLUCAO PORTAS LTDA</v>
          </cell>
          <cell r="D29" t="str">
            <v>45.710.664/0001-82</v>
          </cell>
          <cell r="E29" t="str">
            <v>0813441000102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>Ativo</v>
          </cell>
          <cell r="K29" t="str">
            <v>(61) 9873-6636</v>
          </cell>
          <cell r="L29" t="str">
            <v/>
          </cell>
          <cell r="M29" t="str">
            <v/>
          </cell>
          <cell r="N29" t="str">
            <v>martchela.santos@gmail.com</v>
          </cell>
          <cell r="O29" t="str">
            <v>71994-510</v>
          </cell>
          <cell r="P29" t="str">
            <v>R SHA CONJUNTO 4 CHACARA 88                                , 13</v>
          </cell>
          <cell r="Q29" t="str">
            <v>SETOR HABITACIONAL ARNIQUEIRA (AGUAS CLARAS)</v>
          </cell>
        </row>
        <row r="30">
          <cell r="B30" t="str">
            <v>Ana Claudia de Medeiros</v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>599.236.281-91</v>
          </cell>
          <cell r="H30" t="str">
            <v/>
          </cell>
          <cell r="I30" t="str">
            <v/>
          </cell>
          <cell r="J30" t="str">
            <v>Inativo</v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</row>
        <row r="31">
          <cell r="B31" t="str">
            <v>ANCORA PORTAS</v>
          </cell>
          <cell r="C31" t="str">
            <v>L. C. DISTRIBUIDORA DE ACO CENTRO OESTE LTDA</v>
          </cell>
          <cell r="D31" t="str">
            <v>40.020.308/0001-13</v>
          </cell>
          <cell r="E31" t="str">
            <v>10.817.331-3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>Ativo</v>
          </cell>
          <cell r="K31" t="str">
            <v>(62) 98462-0710</v>
          </cell>
          <cell r="L31" t="str">
            <v/>
          </cell>
          <cell r="M31" t="str">
            <v/>
          </cell>
          <cell r="N31" t="str">
            <v>lc.ancoradistribuidora@gmail.com</v>
          </cell>
          <cell r="O31" t="str">
            <v>74573-414</v>
          </cell>
          <cell r="P31" t="str">
            <v>RUA RM1                                , 351</v>
          </cell>
          <cell r="Q31" t="str">
            <v>RES GUAREMA</v>
          </cell>
        </row>
        <row r="32">
          <cell r="B32" t="str">
            <v>ANCORA PORTAS AUTOMATICAS</v>
          </cell>
          <cell r="C32" t="str">
            <v>50.653.026 DANILO APARECIDO VIEIRA RIBEIRO</v>
          </cell>
          <cell r="D32" t="str">
            <v>50.653.026/0001-07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>Ativo</v>
          </cell>
          <cell r="K32" t="str">
            <v>(34) 9727-2627</v>
          </cell>
          <cell r="L32" t="str">
            <v/>
          </cell>
          <cell r="M32" t="str">
            <v/>
          </cell>
          <cell r="N32" t="str">
            <v>ancoraportasdeaco@gmail.com</v>
          </cell>
          <cell r="O32" t="str">
            <v>38414-561</v>
          </cell>
          <cell r="P32" t="str">
            <v>R MUNIQUE                                , 100</v>
          </cell>
          <cell r="Q32" t="str">
            <v>JARDIM EUROPA</v>
          </cell>
        </row>
        <row r="33">
          <cell r="B33" t="str">
            <v>ANCORA PORTAS DE ACO</v>
          </cell>
          <cell r="C33" t="str">
            <v>ANCORA PORTAS DE ACO LTDA</v>
          </cell>
          <cell r="D33" t="str">
            <v>10.432.192/0001-69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>Ativo</v>
          </cell>
          <cell r="K33" t="str">
            <v>(34) 9727-2627 / (34) 3235-6040</v>
          </cell>
          <cell r="L33" t="str">
            <v/>
          </cell>
          <cell r="M33" t="str">
            <v/>
          </cell>
          <cell r="N33" t="str">
            <v>comprasancoraportasdeaco@gmail.com</v>
          </cell>
          <cell r="O33" t="str">
            <v>38412344</v>
          </cell>
          <cell r="P33" t="str">
            <v>RUA DO FEIRANTE                                , 141</v>
          </cell>
          <cell r="Q33" t="str">
            <v>PLANALTO</v>
          </cell>
        </row>
        <row r="34">
          <cell r="B34" t="str">
            <v>Anderson Luiz Soares</v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>620.576.001-06</v>
          </cell>
          <cell r="H34" t="str">
            <v/>
          </cell>
          <cell r="I34" t="str">
            <v/>
          </cell>
          <cell r="J34" t="str">
            <v>Inativo</v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</row>
        <row r="35">
          <cell r="B35" t="str">
            <v>Anderson Teixeira Santana</v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>512.127.301-00</v>
          </cell>
          <cell r="H35" t="str">
            <v/>
          </cell>
          <cell r="I35" t="str">
            <v/>
          </cell>
          <cell r="J35" t="str">
            <v>Inativo</v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>72006-615</v>
          </cell>
          <cell r="P35" t="str">
            <v>Rua Rua 6 Chácara 277                                , sn</v>
          </cell>
          <cell r="Q35" t="str">
            <v>Setor Habitacional Vicente Pires</v>
          </cell>
        </row>
        <row r="36">
          <cell r="B36" t="str">
            <v>ANDRADE E OLIVEIRA REPRESENTACOES</v>
          </cell>
          <cell r="C36" t="str">
            <v/>
          </cell>
          <cell r="D36" t="str">
            <v>23.103.979/0001-29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>Inativo</v>
          </cell>
          <cell r="K36" t="str">
            <v/>
          </cell>
          <cell r="L36" t="str">
            <v>(61)8619-3619</v>
          </cell>
          <cell r="M36" t="str">
            <v/>
          </cell>
          <cell r="N36" t="str">
            <v>IMPERIOPETDF@GMAIL.COM</v>
          </cell>
          <cell r="O36" t="str">
            <v>71964-000</v>
          </cell>
          <cell r="P36" t="str">
            <v>Quadra QS 5 Rua 312                                , 1,2 e 3</v>
          </cell>
          <cell r="Q36" t="str">
            <v>Areal (Águas Claras)</v>
          </cell>
        </row>
        <row r="37">
          <cell r="B37" t="str">
            <v>André Machado de Lima</v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>019.929.581-65</v>
          </cell>
          <cell r="H37" t="str">
            <v/>
          </cell>
          <cell r="I37" t="str">
            <v/>
          </cell>
          <cell r="J37" t="str">
            <v>Inativo</v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</row>
        <row r="38">
          <cell r="B38" t="str">
            <v>ANDREA LOULY CAIXE EL HAJE</v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>316.507.241-87</v>
          </cell>
          <cell r="H38" t="str">
            <v>1487711</v>
          </cell>
          <cell r="I38" t="str">
            <v>1964-09-03</v>
          </cell>
          <cell r="J38" t="str">
            <v>Inativo</v>
          </cell>
          <cell r="K38" t="str">
            <v/>
          </cell>
          <cell r="L38" t="str">
            <v>(61)99107-8914</v>
          </cell>
          <cell r="M38" t="str">
            <v/>
          </cell>
          <cell r="N38" t="str">
            <v/>
          </cell>
          <cell r="O38" t="str">
            <v>71615-320</v>
          </cell>
          <cell r="P38" t="str">
            <v>SHIS QI 7 Conjunto 12</v>
          </cell>
          <cell r="Q38" t="str">
            <v>Setor de Habitações Individuais Sul</v>
          </cell>
        </row>
        <row r="39">
          <cell r="B39" t="str">
            <v>ANTONIO DO SANTOS RIBEIRO</v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>914.196.383-00</v>
          </cell>
          <cell r="H39" t="str">
            <v/>
          </cell>
          <cell r="I39" t="str">
            <v/>
          </cell>
          <cell r="J39" t="str">
            <v>Ativo</v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>72922-533</v>
          </cell>
          <cell r="P39" t="str">
            <v>JADIM AMERIACA 04 QUADRA 21 LOTE 42 AGUAS LINDAS GO</v>
          </cell>
          <cell r="Q39" t="str">
            <v/>
          </cell>
        </row>
        <row r="40">
          <cell r="B40" t="str">
            <v>Antonio Livieri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>555.482.378-53</v>
          </cell>
          <cell r="H40" t="str">
            <v/>
          </cell>
          <cell r="I40" t="str">
            <v/>
          </cell>
          <cell r="J40" t="str">
            <v>Inativo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>13150-650</v>
          </cell>
          <cell r="P40" t="str">
            <v>Rua Luiz Manoel de Queiroz                                , 11</v>
          </cell>
          <cell r="Q40" t="str">
            <v>Vila Nova</v>
          </cell>
        </row>
        <row r="41">
          <cell r="B41" t="str">
            <v>ARD CONSTRUTORA</v>
          </cell>
          <cell r="C41" t="str">
            <v>ARD CONSTRUTORA ASSESSORIA RESIDENCIAL DO DISTRITO FEDERAL LTDA</v>
          </cell>
          <cell r="D41" t="str">
            <v>41.965.024/0001-62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>Inativo</v>
          </cell>
          <cell r="K41" t="str">
            <v>(61) 3247-0310 / (61) 9808-9477</v>
          </cell>
          <cell r="L41" t="str">
            <v/>
          </cell>
          <cell r="M41" t="str">
            <v/>
          </cell>
          <cell r="N41" t="str">
            <v>administrativo@ardconstrutora.com.br</v>
          </cell>
          <cell r="O41" t="str">
            <v>70770-620</v>
          </cell>
          <cell r="P41" t="str">
            <v>QUADRA SHCGN CR 716 BLOCO B                                , ENT 28</v>
          </cell>
          <cell r="Q41" t="str">
            <v>ASA NORTE</v>
          </cell>
        </row>
        <row r="42">
          <cell r="B42" t="str">
            <v>ARMAZEM DO QUEIJO</v>
          </cell>
          <cell r="C42" t="str">
            <v>ARMAZEM DO QUEIJO COMERCIO DE LATICINIOS LTDA</v>
          </cell>
          <cell r="D42" t="str">
            <v>33.554.984/0001-01</v>
          </cell>
          <cell r="E42" t="str">
            <v>07.914.400/001-04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>Inativo</v>
          </cell>
          <cell r="K42" t="str">
            <v>(61) 9131-2516 / (61) 3575-4625</v>
          </cell>
          <cell r="L42" t="str">
            <v/>
          </cell>
          <cell r="M42" t="str">
            <v/>
          </cell>
          <cell r="N42" t="str">
            <v>armazemdoqueijodf@gmail.com</v>
          </cell>
          <cell r="O42" t="str">
            <v>72625-000</v>
          </cell>
          <cell r="P42" t="str">
            <v>AREA ADE 400                                , S/N</v>
          </cell>
          <cell r="Q42" t="str">
            <v>RECANTO DAS EMAS</v>
          </cell>
        </row>
        <row r="43">
          <cell r="B43" t="str">
            <v>ARTE FERRO SERRALHERIA</v>
          </cell>
          <cell r="C43" t="str">
            <v>ARTE FERRO SERRALHERIA LTDA</v>
          </cell>
          <cell r="D43" t="str">
            <v>01.656.529/0001-20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>Ativo</v>
          </cell>
          <cell r="K43" t="str">
            <v>(61) 8570-0586</v>
          </cell>
          <cell r="L43" t="str">
            <v/>
          </cell>
          <cell r="M43" t="str">
            <v/>
          </cell>
          <cell r="N43" t="str">
            <v/>
          </cell>
          <cell r="O43" t="str">
            <v>72900-366</v>
          </cell>
          <cell r="P43" t="str">
            <v>QUADRA QUADRA 40                                , SN</v>
          </cell>
          <cell r="Q43" t="str">
            <v>CENTRO</v>
          </cell>
        </row>
        <row r="44">
          <cell r="B44" t="str">
            <v>arte mania</v>
          </cell>
          <cell r="C44" t="str">
            <v>PORTAS AUTOMATICAS ARTE MANIA LTDA</v>
          </cell>
          <cell r="D44" t="str">
            <v>03.268.016/0001-78</v>
          </cell>
          <cell r="E44" t="str">
            <v>0765625200151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>Ativo</v>
          </cell>
          <cell r="K44" t="str">
            <v>(61) 3022-9700</v>
          </cell>
          <cell r="L44" t="str">
            <v/>
          </cell>
          <cell r="M44" t="str">
            <v/>
          </cell>
          <cell r="N44" t="str">
            <v>amportasaut@outlook.com</v>
          </cell>
          <cell r="O44" t="str">
            <v>71732-020</v>
          </cell>
          <cell r="P44" t="str">
            <v>SPLM Conjunto 2                                , lote 03 loja 01</v>
          </cell>
          <cell r="Q44" t="str">
            <v>Setor Placa da Mercedes (Núcleo Bandeirante)</v>
          </cell>
        </row>
        <row r="45">
          <cell r="B45" t="str">
            <v>ATACADAO ALTOGIRO</v>
          </cell>
          <cell r="C45" t="str">
            <v>ATACADAO ALTOGIRO LTDA</v>
          </cell>
          <cell r="D45" t="str">
            <v>17.047.560/0001-02</v>
          </cell>
          <cell r="E45" t="str">
            <v>0762529200150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>Inativo</v>
          </cell>
          <cell r="K45" t="str">
            <v>(61) 3222-6484 / (38) 9974-5514</v>
          </cell>
          <cell r="L45" t="str">
            <v/>
          </cell>
          <cell r="M45" t="str">
            <v/>
          </cell>
          <cell r="N45" t="str">
            <v/>
          </cell>
          <cell r="O45" t="str">
            <v>71698-028</v>
          </cell>
          <cell r="P45" t="str">
            <v>CONJUNTO CONJUNTO 10 LOTE                                , 23</v>
          </cell>
          <cell r="Q45" t="str">
            <v>SAO SEBASTIAO</v>
          </cell>
        </row>
        <row r="46">
          <cell r="B46" t="str">
            <v>ATACADAO MOVELEIRO</v>
          </cell>
          <cell r="C46" t="str">
            <v>JMNV ATACADAO MOVELEIRO LTDA</v>
          </cell>
          <cell r="D46" t="str">
            <v>55.532.606/0001-60</v>
          </cell>
          <cell r="E46" t="str">
            <v>0830790900125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>Inativo</v>
          </cell>
          <cell r="K46" t="str">
            <v>(61) 9976-5572 / (0000) 0000-0000</v>
          </cell>
          <cell r="L46" t="str">
            <v/>
          </cell>
          <cell r="M46" t="str">
            <v/>
          </cell>
          <cell r="N46" t="str">
            <v>joedson31santos@gmail.com</v>
          </cell>
          <cell r="O46" t="str">
            <v>72225-011</v>
          </cell>
          <cell r="P46" t="str">
            <v>QUADRA QNN 1 CONJUNTO A                                , SN</v>
          </cell>
          <cell r="Q46" t="str">
            <v>CEILANDIA NORTE (CEILANDIA)</v>
          </cell>
        </row>
        <row r="47">
          <cell r="B47" t="str">
            <v>ATUAL PORTAS AUTOMATICAS FERRAGENS E ACESSORIOS LTDA</v>
          </cell>
          <cell r="C47" t="str">
            <v>ATUAL PORTAS AUTOMATICAS FERRAGENS E ACESSORIOS LTDA</v>
          </cell>
          <cell r="D47" t="str">
            <v>55.191.760/0001-15</v>
          </cell>
          <cell r="E47" t="str">
            <v>0830182900110</v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>Ativo</v>
          </cell>
          <cell r="K47" t="str">
            <v>(61) 3453-4494 / (0000) 0000-0000</v>
          </cell>
          <cell r="L47" t="str">
            <v/>
          </cell>
          <cell r="M47" t="str">
            <v/>
          </cell>
          <cell r="N47" t="str">
            <v>atualportasautomaticas@gmail.com</v>
          </cell>
          <cell r="O47" t="str">
            <v>73020-408</v>
          </cell>
          <cell r="P47" t="str">
            <v>SETOR SETOR DE EXPANSAO ECONOMICA Q 8 LT 5                                , S/N</v>
          </cell>
          <cell r="Q47" t="str">
            <v>SOBRADINHO</v>
          </cell>
        </row>
        <row r="48">
          <cell r="B48" t="str">
            <v>AUGUSTO CESAR OLIVEIRA DA SILVA 0073206210</v>
          </cell>
          <cell r="C48" t="str">
            <v>AUGUSTO CESAR OLIVEIRA DA SILVA 00732062101</v>
          </cell>
          <cell r="D48" t="str">
            <v>31.483.014/0001-37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>Ativo</v>
          </cell>
          <cell r="K48" t="str">
            <v/>
          </cell>
          <cell r="L48" t="str">
            <v>61985876948</v>
          </cell>
          <cell r="M48" t="str">
            <v/>
          </cell>
          <cell r="N48" t="str">
            <v>augustooliveirasilva049@gmail.com</v>
          </cell>
          <cell r="O48" t="str">
            <v>71881-617</v>
          </cell>
          <cell r="P48" t="str">
            <v>Q QN 12D CONJUNTO 9                                , 2</v>
          </cell>
          <cell r="Q48" t="str">
            <v>RIACHO FUNDO II</v>
          </cell>
        </row>
        <row r="49">
          <cell r="B49" t="str">
            <v>Augusto Fabiano Carvalho Codeceira</v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>576.537.635-53</v>
          </cell>
          <cell r="H49" t="str">
            <v/>
          </cell>
          <cell r="I49" t="str">
            <v/>
          </cell>
          <cell r="J49" t="str">
            <v>Ativo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>71920-010</v>
          </cell>
          <cell r="P49" t="str">
            <v>Alameda dos Eucaliptos Quadra 107                                , ap 606</v>
          </cell>
          <cell r="Q49" t="str">
            <v>Norte (Águas Claras)</v>
          </cell>
        </row>
        <row r="50">
          <cell r="B50" t="str">
            <v>AURORA BOREAL LUZ DF</v>
          </cell>
          <cell r="C50" t="str">
            <v>AURORA BOREAL LUZ COMERCIO E IMPORTACAO LTDA</v>
          </cell>
          <cell r="D50" t="str">
            <v>27.794.753/0004-15</v>
          </cell>
          <cell r="E50" t="str">
            <v>0814902400267</v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>Inativo</v>
          </cell>
          <cell r="K50" t="str">
            <v>(38)3676-5175</v>
          </cell>
          <cell r="L50" t="str">
            <v/>
          </cell>
          <cell r="M50" t="str">
            <v/>
          </cell>
          <cell r="N50" t="str">
            <v>contato@auroraborealluz.com.br</v>
          </cell>
          <cell r="O50" t="str">
            <v>70730-555</v>
          </cell>
          <cell r="P50" t="str">
            <v>QUADRA SHCGN CLR 705 BLOCO E                                , 705</v>
          </cell>
          <cell r="Q50" t="str">
            <v>ASA NORTE</v>
          </cell>
        </row>
        <row r="51">
          <cell r="B51" t="str">
            <v>Aurora Ronaldo</v>
          </cell>
          <cell r="C51" t="str">
            <v>AURORA BOREAL LUZ COMERCIO E IMPORTACAO LTDA</v>
          </cell>
          <cell r="D51" t="str">
            <v>27.794.753/0005-04</v>
          </cell>
          <cell r="E51" t="str">
            <v>0814902400267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>Inativo</v>
          </cell>
          <cell r="K51" t="str">
            <v>(38)3676-5175</v>
          </cell>
          <cell r="L51" t="str">
            <v/>
          </cell>
          <cell r="M51" t="str">
            <v/>
          </cell>
          <cell r="N51" t="str">
            <v>motascontabilidade@gmail.com</v>
          </cell>
          <cell r="O51" t="str">
            <v>38616-096</v>
          </cell>
          <cell r="P51" t="str">
            <v>AVENIDA SAO JOAO                                , 793</v>
          </cell>
          <cell r="Q51" t="str">
            <v>CAPIM BRANCO II</v>
          </cell>
        </row>
        <row r="52">
          <cell r="B52" t="str">
            <v>AUTO POSTO V-MAX</v>
          </cell>
          <cell r="C52" t="str">
            <v>V-MAX COMERCIO DE COMBUSTIVEIS LTDA</v>
          </cell>
          <cell r="D52" t="str">
            <v>12.375.339/0001-51</v>
          </cell>
          <cell r="E52" t="str">
            <v>089.640.328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>Inativo</v>
          </cell>
          <cell r="K52" t="str">
            <v>(73)3288-4714</v>
          </cell>
          <cell r="L52" t="str">
            <v/>
          </cell>
          <cell r="M52" t="str">
            <v/>
          </cell>
          <cell r="N52" t="str">
            <v>fiscal@contabilidadefernandesba.com.br</v>
          </cell>
          <cell r="O52" t="str">
            <v>45810-000</v>
          </cell>
          <cell r="P52" t="str">
            <v>AVENIDA DOS TRABALHADORES                                , S/N</v>
          </cell>
          <cell r="Q52" t="str">
            <v>OLHOS D AGUA - SEDE</v>
          </cell>
        </row>
        <row r="53">
          <cell r="B53" t="str">
            <v>BASEFOR COMERCIO E SERVICOS</v>
          </cell>
          <cell r="C53" t="str">
            <v>BASE FORTE SERVICOS E COMERCIO VAREJISTA DE PRODUTOS DE CONSTRUCAO CIVIL LTDA</v>
          </cell>
          <cell r="D53" t="str">
            <v>40.522.307/0001-77</v>
          </cell>
          <cell r="E53" t="str">
            <v>0802970000100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>Ativo</v>
          </cell>
          <cell r="K53" t="str">
            <v>(61) 3382-7559 / (61) 9855-7755</v>
          </cell>
          <cell r="L53" t="str">
            <v/>
          </cell>
          <cell r="M53" t="str">
            <v/>
          </cell>
          <cell r="N53" t="str">
            <v>sacescudo2@gmail.com</v>
          </cell>
          <cell r="O53" t="str">
            <v>72237-380</v>
          </cell>
          <cell r="P53" t="str">
            <v>AREA ADE QUADRA 3 CONJUNTO H                                , 21</v>
          </cell>
          <cell r="Q53" t="str">
            <v>AREA DE DESENVOLVIMENTO ECONOMICO (CEILANDIA)</v>
          </cell>
        </row>
        <row r="54">
          <cell r="B54" t="str">
            <v>BLANDA LETICIA CARACIOLO EMERICK</v>
          </cell>
          <cell r="C54" t="str">
            <v>61.157.006 BLANDA LETICIA CARACIOLO EMERICK</v>
          </cell>
          <cell r="D54" t="str">
            <v>61.157.006/0001-61</v>
          </cell>
          <cell r="E54" t="str">
            <v>0840075600102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>Inativo</v>
          </cell>
          <cell r="K54" t="str">
            <v>(61)9259-3807</v>
          </cell>
          <cell r="L54" t="str">
            <v/>
          </cell>
          <cell r="M54" t="str">
            <v/>
          </cell>
          <cell r="N54" t="str">
            <v>diegocaraciolo182@gmail.com</v>
          </cell>
          <cell r="O54" t="str">
            <v>71090-725</v>
          </cell>
          <cell r="P54" t="str">
            <v>COLONIA AGRICOLA AGUAS CLARAS CHACARA 62                                , SN</v>
          </cell>
          <cell r="Q54" t="str">
            <v>GUARA I</v>
          </cell>
        </row>
        <row r="55">
          <cell r="B55" t="str">
            <v>BOM JESUS PORTAS AUTOMATICAS</v>
          </cell>
          <cell r="C55" t="str">
            <v>BOM JESUS PORTAS AUTOMATICAS LTDA</v>
          </cell>
          <cell r="D55" t="str">
            <v>40.009.166/0001-93</v>
          </cell>
          <cell r="E55" t="str">
            <v>0802021500107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>Ativo</v>
          </cell>
          <cell r="K55" t="str">
            <v>(61) 9587-9767</v>
          </cell>
          <cell r="L55" t="str">
            <v/>
          </cell>
          <cell r="M55" t="str">
            <v/>
          </cell>
          <cell r="N55" t="str">
            <v>bomjesusportasautomaticas@gmail.com</v>
          </cell>
          <cell r="O55" t="str">
            <v>71881-630</v>
          </cell>
          <cell r="P55" t="str">
            <v>QUADRA QN 12B CONJUNTO 1 LOTE                                , 05</v>
          </cell>
          <cell r="Q55" t="str">
            <v>RIACHO FUNDO II</v>
          </cell>
        </row>
        <row r="56">
          <cell r="B56" t="str">
            <v>BRASIL PORTAS AUTOMATICAS</v>
          </cell>
          <cell r="C56" t="str">
            <v>DEUZELINO DIONIZIO RIBEIRO 92548890163</v>
          </cell>
          <cell r="D56" t="str">
            <v>38.296.295/0001-68</v>
          </cell>
          <cell r="E56" t="str">
            <v>10.940.208-1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>Ativo</v>
          </cell>
          <cell r="K56" t="str">
            <v>(62)9010-3113</v>
          </cell>
          <cell r="L56" t="str">
            <v/>
          </cell>
          <cell r="M56" t="str">
            <v/>
          </cell>
          <cell r="N56" t="str">
            <v>deuzelinodionizio1979@gmail.com</v>
          </cell>
          <cell r="O56" t="str">
            <v>74964-498</v>
          </cell>
          <cell r="P56" t="str">
            <v>R JI 29                                , SN</v>
          </cell>
          <cell r="Q56" t="str">
            <v>JARDIM IPE</v>
          </cell>
        </row>
        <row r="57">
          <cell r="B57" t="str">
            <v>BRASIL PORTAS AUTOMATICAS</v>
          </cell>
          <cell r="C57" t="str">
            <v>BRASIL PORTAS AUTOMATICAS LTDA</v>
          </cell>
          <cell r="D57" t="str">
            <v>38.296.295/0001-68</v>
          </cell>
          <cell r="E57" t="str">
            <v>10.940.208-1</v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>Ativo</v>
          </cell>
          <cell r="K57" t="str">
            <v>(62) 9010-3113</v>
          </cell>
          <cell r="L57" t="str">
            <v/>
          </cell>
          <cell r="M57" t="str">
            <v/>
          </cell>
          <cell r="N57" t="str">
            <v>deuzelinodionizio1979@gmail.com</v>
          </cell>
          <cell r="O57" t="str">
            <v>74964-498</v>
          </cell>
          <cell r="P57" t="str">
            <v>RUA JI 29                                , SN</v>
          </cell>
          <cell r="Q57" t="str">
            <v>JARDIM IPE</v>
          </cell>
        </row>
        <row r="58">
          <cell r="B58" t="str">
            <v>BRASILIA COMERCIO ATACADISTA</v>
          </cell>
          <cell r="C58" t="str">
            <v>BRASILIA COMERCIO ATACADISTA LTDA</v>
          </cell>
          <cell r="D58" t="str">
            <v>42.262.486/0001-86</v>
          </cell>
          <cell r="E58" t="str">
            <v>0806118300172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>Inativo</v>
          </cell>
          <cell r="K58" t="str">
            <v>(61)8123-6804</v>
          </cell>
          <cell r="L58" t="str">
            <v/>
          </cell>
          <cell r="M58" t="str">
            <v/>
          </cell>
          <cell r="N58" t="str">
            <v>contato@brasilialed.com</v>
          </cell>
          <cell r="O58" t="str">
            <v>71989-000</v>
          </cell>
          <cell r="P58" t="str">
            <v>A ADE CONJUNTO 19 LOTE                                , 21/22</v>
          </cell>
          <cell r="Q58" t="str">
            <v>AREA DE DESENVOLVIMENTO ECONOMICO (AGUAS CLAR</v>
          </cell>
        </row>
        <row r="59">
          <cell r="B59" t="str">
            <v>Bruno Anderson de Lima Cardoso Brito</v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>715.044.351-68</v>
          </cell>
          <cell r="H59" t="str">
            <v/>
          </cell>
          <cell r="I59" t="str">
            <v/>
          </cell>
          <cell r="J59" t="str">
            <v>Ativo</v>
          </cell>
          <cell r="K59" t="str">
            <v/>
          </cell>
          <cell r="L59" t="str">
            <v/>
          </cell>
          <cell r="M59" t="str">
            <v/>
          </cell>
          <cell r="N59" t="str">
            <v>brunoalcb@gmail.com</v>
          </cell>
          <cell r="O59" t="str">
            <v>72135-030</v>
          </cell>
          <cell r="P59" t="str">
            <v>Quadra QI 3</v>
          </cell>
          <cell r="Q59" t="str">
            <v>Setor Industrial (Taguatinga)</v>
          </cell>
        </row>
        <row r="60">
          <cell r="B60" t="str">
            <v>CAIO CESAR DAMASIO MELO GONÇALVES</v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>057.202.721-43</v>
          </cell>
          <cell r="H60" t="str">
            <v/>
          </cell>
          <cell r="I60" t="str">
            <v/>
          </cell>
          <cell r="J60" t="str">
            <v>Ativo</v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>72016-150</v>
          </cell>
          <cell r="P60" t="str">
            <v>Quadra QSC 15</v>
          </cell>
          <cell r="Q60" t="str">
            <v>Taguatinga Sul (Taguatinga)</v>
          </cell>
        </row>
        <row r="61">
          <cell r="B61" t="str">
            <v>CALDAS PORTAS</v>
          </cell>
          <cell r="C61" t="str">
            <v>CALDAS PORTAS LTDA</v>
          </cell>
          <cell r="D61" t="str">
            <v>58.471.711/0001-24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>Ativo</v>
          </cell>
          <cell r="K61" t="str">
            <v>(64) 3454-4188 / (0000) 0000-0000</v>
          </cell>
          <cell r="L61" t="str">
            <v/>
          </cell>
          <cell r="M61" t="str">
            <v/>
          </cell>
          <cell r="N61" t="str">
            <v>wmsuporteempresarial@gmail.com</v>
          </cell>
          <cell r="O61" t="str">
            <v>75687-640</v>
          </cell>
          <cell r="P61" t="str">
            <v>AVENIDA ARAXÁ                                , SN</v>
          </cell>
          <cell r="Q61" t="str">
            <v>JARDIM ESMERALDA</v>
          </cell>
        </row>
        <row r="62">
          <cell r="B62" t="str">
            <v>Camila Millaflor</v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>030.455.273-96</v>
          </cell>
          <cell r="H62" t="str">
            <v/>
          </cell>
          <cell r="I62" t="str">
            <v/>
          </cell>
          <cell r="J62" t="str">
            <v>Inativo</v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>60351-335</v>
          </cell>
          <cell r="P62" t="str">
            <v>Avenida Independência                                , 1520</v>
          </cell>
          <cell r="Q62" t="str">
            <v>Olavo Oliveira</v>
          </cell>
        </row>
        <row r="63">
          <cell r="B63" t="str">
            <v>Campelo serralheiro</v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>526.813.941-04</v>
          </cell>
          <cell r="H63" t="str">
            <v/>
          </cell>
          <cell r="I63" t="str">
            <v/>
          </cell>
          <cell r="J63" t="str">
            <v>Ativo</v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</row>
        <row r="64">
          <cell r="B64" t="str">
            <v>CAPITAL PORTAS</v>
          </cell>
          <cell r="C64" t="str">
            <v>JAIME FRANCISCO SOARES 27103323100</v>
          </cell>
          <cell r="D64" t="str">
            <v>46.211.826/0001-09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>Ativo</v>
          </cell>
          <cell r="K64" t="str">
            <v>(61) 3256-2060</v>
          </cell>
          <cell r="L64" t="str">
            <v/>
          </cell>
          <cell r="M64" t="str">
            <v/>
          </cell>
          <cell r="N64" t="str">
            <v>jaimerprepresentacoes@gmail.com</v>
          </cell>
          <cell r="O64" t="str">
            <v>72005-505</v>
          </cell>
          <cell r="P64" t="str">
            <v>RUA RUA 3C CHACARA 26                                , 58</v>
          </cell>
          <cell r="Q64" t="str">
            <v>SETOR HABITACIONAL VICENTE PIRES</v>
          </cell>
        </row>
        <row r="65">
          <cell r="B65" t="str">
            <v>Carlos Alberto da Silva</v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>287.156.401-91</v>
          </cell>
          <cell r="H65" t="str">
            <v/>
          </cell>
          <cell r="I65" t="str">
            <v/>
          </cell>
          <cell r="J65" t="str">
            <v>Ativo</v>
          </cell>
          <cell r="K65" t="str">
            <v/>
          </cell>
          <cell r="L65" t="str">
            <v/>
          </cell>
          <cell r="M65" t="str">
            <v/>
          </cell>
          <cell r="N65" t="str">
            <v>carlos@rocarepresentacao.com.br</v>
          </cell>
          <cell r="O65" t="str">
            <v>71220-120</v>
          </cell>
          <cell r="P65" t="str">
            <v/>
          </cell>
          <cell r="Q65" t="str">
            <v/>
          </cell>
        </row>
        <row r="66">
          <cell r="B66" t="str">
            <v>Carlos Daniel Queiroz Cardoso</v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>053.835.845-95</v>
          </cell>
          <cell r="H66" t="str">
            <v/>
          </cell>
          <cell r="I66" t="str">
            <v/>
          </cell>
          <cell r="J66" t="str">
            <v>Inativo</v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>46570-005</v>
          </cell>
          <cell r="P66" t="str">
            <v>Rua Deputado João de Figueredo                                , 550</v>
          </cell>
          <cell r="Q66" t="str">
            <v>Centro</v>
          </cell>
        </row>
        <row r="67">
          <cell r="B67" t="str">
            <v>CARVALHO &amp; SILVA SERRALHERIA LTDA</v>
          </cell>
          <cell r="C67" t="str">
            <v>CARVALHO &amp; SILVA SERRALHERIA LTDA</v>
          </cell>
          <cell r="D67" t="str">
            <v>26.750.902/0001-39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>Ativo</v>
          </cell>
          <cell r="K67" t="str">
            <v>(61) 3621-1445</v>
          </cell>
          <cell r="L67" t="str">
            <v/>
          </cell>
          <cell r="M67" t="str">
            <v/>
          </cell>
          <cell r="N67" t="str">
            <v>atendimento@taticontabilidade.com</v>
          </cell>
          <cell r="O67" t="str">
            <v>72850-120</v>
          </cell>
          <cell r="P67" t="str">
            <v>AVENIDA DOUTOR ISRAEL PINHEIRO SILVA                                , SN</v>
          </cell>
          <cell r="Q67" t="str">
            <v>JARDIM DO INGA</v>
          </cell>
        </row>
        <row r="68">
          <cell r="B68" t="str">
            <v>CASA ELETROFERRAGEM JK</v>
          </cell>
          <cell r="C68" t="str">
            <v>JK COMERCIO DE FERRAGENS LTDA</v>
          </cell>
          <cell r="D68" t="str">
            <v>08.777.873/0001-17</v>
          </cell>
          <cell r="E68" t="str">
            <v/>
          </cell>
          <cell r="F68" t="str">
            <v>0748667900160</v>
          </cell>
          <cell r="G68" t="str">
            <v/>
          </cell>
          <cell r="H68" t="str">
            <v/>
          </cell>
          <cell r="I68" t="str">
            <v/>
          </cell>
          <cell r="J68" t="str">
            <v>Inativo</v>
          </cell>
          <cell r="K68" t="str">
            <v>(61)3345-8629</v>
          </cell>
          <cell r="L68" t="str">
            <v/>
          </cell>
          <cell r="M68" t="str">
            <v/>
          </cell>
          <cell r="N68" t="str">
            <v>eletroferragem@gmail.com</v>
          </cell>
          <cell r="O68" t="str">
            <v>70361-520</v>
          </cell>
          <cell r="P68" t="str">
            <v>QUADRA SHC/SUL CR QUADRA 511 BLOCO C LOJA 57                                , S/N</v>
          </cell>
          <cell r="Q68" t="str">
            <v>ASA SUL</v>
          </cell>
        </row>
        <row r="69">
          <cell r="B69" t="str">
            <v>CAULITO XAVIER CUSTODIO</v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>443.732.791-87</v>
          </cell>
          <cell r="H69" t="str">
            <v/>
          </cell>
          <cell r="I69" t="str">
            <v/>
          </cell>
          <cell r="J69" t="str">
            <v>Inativo</v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>72220-212</v>
          </cell>
          <cell r="P69" t="str">
            <v>Quadra QNN 20 Conjunto L</v>
          </cell>
          <cell r="Q69" t="str">
            <v>Ceilândia Sul (Ceilândia)</v>
          </cell>
        </row>
        <row r="70">
          <cell r="B70" t="str">
            <v>CB ENGENHARIA E CONSTRUCOES</v>
          </cell>
          <cell r="C70" t="str">
            <v>CB ENGENHARIA E CONSTRUCOES LTDA</v>
          </cell>
          <cell r="D70" t="str">
            <v>05.553.057/0001-31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>Inativo</v>
          </cell>
          <cell r="K70" t="str">
            <v>(71)8792-0006</v>
          </cell>
          <cell r="L70" t="str">
            <v/>
          </cell>
          <cell r="M70" t="str">
            <v/>
          </cell>
          <cell r="N70" t="str">
            <v>cbbacelar@cbengconstrucoes.com.br</v>
          </cell>
          <cell r="O70" t="str">
            <v>41820-790</v>
          </cell>
          <cell r="P70" t="str">
            <v>AL SALVADOR                                , 1057</v>
          </cell>
          <cell r="Q70" t="str">
            <v>CAMINHO DAS ARVORES</v>
          </cell>
        </row>
        <row r="71">
          <cell r="B71" t="str">
            <v>CEFAS PORTAS AUTOMATICAS</v>
          </cell>
          <cell r="C71" t="str">
            <v>CEFAS PORTAS LTDA</v>
          </cell>
          <cell r="D71" t="str">
            <v>46.494.022/0001-56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>Ativo</v>
          </cell>
          <cell r="K71" t="str">
            <v>(55) 9170-0170</v>
          </cell>
          <cell r="L71" t="str">
            <v/>
          </cell>
          <cell r="M71" t="str">
            <v/>
          </cell>
          <cell r="N71" t="str">
            <v>cefasportas@gmail.com</v>
          </cell>
          <cell r="O71" t="str">
            <v>97030-118</v>
          </cell>
          <cell r="P71" t="str">
            <v>RUA RADIO GUARATHAN                                , 1999</v>
          </cell>
          <cell r="Q71" t="str">
            <v>BOI MORTO</v>
          </cell>
        </row>
        <row r="72">
          <cell r="B72" t="str">
            <v>CELSO DA CRUZ PEREIRA</v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>675.510.765-49</v>
          </cell>
          <cell r="H72" t="str">
            <v/>
          </cell>
          <cell r="I72" t="str">
            <v/>
          </cell>
          <cell r="J72" t="str">
            <v>Ativo</v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>72339-136</v>
          </cell>
          <cell r="P72" t="str">
            <v>Quadra QN 827 Conjunto 1                                , 01</v>
          </cell>
          <cell r="Q72" t="str">
            <v>Samambaia Norte (Samambaia)</v>
          </cell>
        </row>
        <row r="73">
          <cell r="B73" t="str">
            <v>CENTRAL FERRAMENTAS</v>
          </cell>
          <cell r="C73" t="str">
            <v>C S COMERCIO VAREJISTA DE FERRAGENS E FERRAMENTAS LTDA</v>
          </cell>
          <cell r="D73" t="str">
            <v>29.707.634/0001-60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>Inativo</v>
          </cell>
          <cell r="K73" t="str">
            <v>(61)8555-6207</v>
          </cell>
          <cell r="L73" t="str">
            <v/>
          </cell>
          <cell r="M73" t="str">
            <v/>
          </cell>
          <cell r="N73" t="str">
            <v>contatocentralferragens@gmail.com</v>
          </cell>
          <cell r="O73" t="str">
            <v>72546-220</v>
          </cell>
          <cell r="P73" t="str">
            <v>Q CL 216                                , SN</v>
          </cell>
          <cell r="Q73" t="str">
            <v>SANTA MARIA</v>
          </cell>
        </row>
        <row r="74">
          <cell r="B74" t="str">
            <v>CENTRAL PORTAS DE</v>
          </cell>
          <cell r="C74" t="str">
            <v>CENTRAL PORTAS DE ACO AUTOMATICAS LTDA</v>
          </cell>
          <cell r="D74" t="str">
            <v>28.428.220/0001-30</v>
          </cell>
          <cell r="E74" t="str">
            <v>0782395200139</v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>Ativo</v>
          </cell>
          <cell r="K74" t="str">
            <v>(61)8646-0922</v>
          </cell>
          <cell r="L74" t="str">
            <v>(61)98646-0922</v>
          </cell>
          <cell r="M74" t="str">
            <v/>
          </cell>
          <cell r="N74" t="str">
            <v>vendascentralportas@gmail.com</v>
          </cell>
          <cell r="O74" t="str">
            <v>72225-082</v>
          </cell>
          <cell r="P74" t="str">
            <v>QUADRA QNN 7 CONJUNTO L                                , 46</v>
          </cell>
          <cell r="Q74" t="str">
            <v>CEILANDIA NORTE (CEILANDIA)</v>
          </cell>
        </row>
        <row r="75">
          <cell r="B75" t="str">
            <v>CENTRO OESTE PORTAS AUTOMATICAS</v>
          </cell>
          <cell r="C75" t="str">
            <v>CENTRO OESTE PORTAS AUTOMATICAS - EIRELI</v>
          </cell>
          <cell r="D75" t="str">
            <v>33.036.386/0001-40</v>
          </cell>
          <cell r="E75" t="str">
            <v>107550261</v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>Ativo</v>
          </cell>
          <cell r="K75" t="str">
            <v>(62) 3224-1146</v>
          </cell>
          <cell r="L75" t="str">
            <v/>
          </cell>
          <cell r="M75" t="str">
            <v/>
          </cell>
          <cell r="N75" t="str">
            <v>bbccont@hotmail.com</v>
          </cell>
          <cell r="O75" t="str">
            <v>74573-414</v>
          </cell>
          <cell r="P75" t="str">
            <v>R RM 1                                , 363</v>
          </cell>
          <cell r="Q75" t="str">
            <v>RESIDENCIAL GUAREMA</v>
          </cell>
        </row>
        <row r="76">
          <cell r="B76" t="str">
            <v>CHARRUA COMERCIAL</v>
          </cell>
          <cell r="C76" t="str">
            <v>CHARRUA COMERCIAL AGRICOLA LTDA</v>
          </cell>
          <cell r="D76" t="str">
            <v>37.031.044/0003-50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>Inativo</v>
          </cell>
          <cell r="K76" t="str">
            <v>(34)3821-4484</v>
          </cell>
          <cell r="L76" t="str">
            <v/>
          </cell>
          <cell r="M76" t="str">
            <v/>
          </cell>
          <cell r="N76" t="str">
            <v>contato@nacionalcontroladoria.com.br</v>
          </cell>
          <cell r="O76" t="str">
            <v>72830-010</v>
          </cell>
          <cell r="P76" t="str">
            <v>AVENIDA ALFREDO NASSER                                , SN</v>
          </cell>
          <cell r="Q76" t="str">
            <v>PARQUE ESTRELA DALVA VII</v>
          </cell>
        </row>
        <row r="77">
          <cell r="B77" t="str">
            <v>CHAVEIRO MARCOS ÁGUAS CLARAS</v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>008.755.431-38</v>
          </cell>
          <cell r="H77" t="str">
            <v/>
          </cell>
          <cell r="I77" t="str">
            <v/>
          </cell>
          <cell r="J77" t="str">
            <v>Ativo</v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>79680-000</v>
          </cell>
          <cell r="P77" t="str">
            <v>, 01</v>
          </cell>
          <cell r="Q77" t="str">
            <v/>
          </cell>
        </row>
        <row r="78">
          <cell r="B78" t="str">
            <v>CHILLI BEANS</v>
          </cell>
          <cell r="C78" t="str">
            <v>HD COMERCIO DE OCULOS E ACESSORIOS LTDA</v>
          </cell>
          <cell r="D78" t="str">
            <v>43.441.300/0001-19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>Inativo</v>
          </cell>
          <cell r="K78" t="str">
            <v>(61)3034-3882</v>
          </cell>
          <cell r="L78" t="str">
            <v/>
          </cell>
          <cell r="M78" t="str">
            <v/>
          </cell>
          <cell r="N78" t="str">
            <v>financeiro.chillies@gmail.com</v>
          </cell>
          <cell r="O78" t="str">
            <v>72876-301</v>
          </cell>
          <cell r="P78" t="str">
            <v>QUADRA QUADRA 1 GLEBA F BR 040 KM 12                                , SN</v>
          </cell>
          <cell r="Q78" t="str">
            <v>PARQUE ESPLANADA III</v>
          </cell>
        </row>
        <row r="79">
          <cell r="B79" t="str">
            <v>Chiquinho Recanto das Emas</v>
          </cell>
          <cell r="C79" t="str">
            <v>TF COMERCIO DE SOBREMESAS LTDA</v>
          </cell>
          <cell r="D79" t="str">
            <v>48.347.731/0001-34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>Inativo</v>
          </cell>
          <cell r="K79" t="str">
            <v>(61) 3458-1205/ (0000) 0000-0000</v>
          </cell>
          <cell r="L79" t="str">
            <v/>
          </cell>
          <cell r="M79" t="str">
            <v/>
          </cell>
          <cell r="N79" t="str">
            <v>ambbcontabilidade1411@gmail.com</v>
          </cell>
          <cell r="O79" t="str">
            <v>72600-300</v>
          </cell>
          <cell r="P79" t="str">
            <v>AV RECANTO DAS EMAS QUADRA 103 LOTES                                , 2/3/4</v>
          </cell>
          <cell r="Q79" t="str">
            <v>RECANTO DAS EMAS</v>
          </cell>
        </row>
        <row r="80">
          <cell r="B80" t="str">
            <v>Cláudio Márcio Germino</v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>238.515.541-91</v>
          </cell>
          <cell r="H80" t="str">
            <v/>
          </cell>
          <cell r="I80" t="str">
            <v/>
          </cell>
          <cell r="J80" t="str">
            <v>Ativo</v>
          </cell>
          <cell r="K80" t="str">
            <v/>
          </cell>
          <cell r="L80" t="str">
            <v/>
          </cell>
          <cell r="M80" t="str">
            <v/>
          </cell>
          <cell r="N80" t="str">
            <v>claudiomarciogermino@gmail.com</v>
          </cell>
          <cell r="O80" t="str">
            <v>72130-040</v>
          </cell>
          <cell r="P80" t="str">
            <v>Quadra QNG 4</v>
          </cell>
          <cell r="Q80" t="str">
            <v>Taguatinga Norte (Taguatinga)</v>
          </cell>
        </row>
        <row r="81">
          <cell r="B81" t="str">
            <v>Clemildo Gouveia Paião</v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>718.946.671-15</v>
          </cell>
          <cell r="H81" t="str">
            <v/>
          </cell>
          <cell r="I81" t="str">
            <v/>
          </cell>
          <cell r="J81" t="str">
            <v>Ativo</v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>71920-010</v>
          </cell>
          <cell r="P81" t="str">
            <v>Alameda dos Eucaliptos Quadra 107                                , 107</v>
          </cell>
          <cell r="Q81" t="str">
            <v>Norte (Águas Claras)</v>
          </cell>
        </row>
        <row r="82">
          <cell r="B82" t="str">
            <v>CLEUTON GOMES DA SILVA</v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>098.198.596-38</v>
          </cell>
          <cell r="H82" t="str">
            <v/>
          </cell>
          <cell r="I82" t="str">
            <v/>
          </cell>
          <cell r="J82" t="str">
            <v>Ativo</v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>3877-900</v>
          </cell>
          <cell r="P82" t="str">
            <v>R LINDORIFO BATISTA                                , 1393</v>
          </cell>
          <cell r="Q82" t="str">
            <v>contingente</v>
          </cell>
        </row>
        <row r="83">
          <cell r="B83" t="str">
            <v>COMUNICAR SOCIEDADE COMERCIAL</v>
          </cell>
          <cell r="C83" t="str">
            <v>COMUNICAR SOCIEDADE COMERCIAL LTDA</v>
          </cell>
          <cell r="D83" t="str">
            <v>03.932.303/0001-30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>Ativo</v>
          </cell>
          <cell r="K83" t="str">
            <v>(38) 9881-5209</v>
          </cell>
          <cell r="L83" t="str">
            <v/>
          </cell>
          <cell r="M83" t="str">
            <v/>
          </cell>
          <cell r="N83" t="str">
            <v>humberto.minas@gmail.com</v>
          </cell>
          <cell r="O83" t="str">
            <v>38779-000</v>
          </cell>
          <cell r="P83" t="str">
            <v>RUA OLIVEIRA DORNELAS                                , 222</v>
          </cell>
          <cell r="Q83" t="str">
            <v>CENTRO</v>
          </cell>
        </row>
        <row r="84">
          <cell r="B84" t="str">
            <v>COMUNIDADE SUPERABUNDANTE</v>
          </cell>
          <cell r="C84" t="str">
            <v>IGREJA EVANGELICA COMUNIDADE SUPERABUNDANTE</v>
          </cell>
          <cell r="D84" t="str">
            <v>55.400.800/0001-91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>Inativo</v>
          </cell>
          <cell r="K84" t="str">
            <v>(61) 9986-7317 / (61) 9686-9334</v>
          </cell>
          <cell r="L84" t="str">
            <v/>
          </cell>
          <cell r="M84" t="str">
            <v/>
          </cell>
          <cell r="N84" t="str">
            <v>comunidadesuperabundante@gmail.com</v>
          </cell>
          <cell r="O84" t="str">
            <v>72710-630</v>
          </cell>
          <cell r="P84" t="str">
            <v>AREA ESPECIAL 3                                , B</v>
          </cell>
          <cell r="Q84" t="str">
            <v>SETOR NORTE (BRAZLANDIA)</v>
          </cell>
        </row>
        <row r="85">
          <cell r="B85" t="str">
            <v>CONEXAO ATACADISTA</v>
          </cell>
          <cell r="C85" t="str">
            <v>CONEXAO COMERCIAL ATACADISTA DE MATERIAIS DE CONSTRUCAO LTDA</v>
          </cell>
          <cell r="D85" t="str">
            <v>34.221.243/0001-71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>Inativo</v>
          </cell>
          <cell r="K85" t="str">
            <v>(61)3456-1032</v>
          </cell>
          <cell r="L85" t="str">
            <v/>
          </cell>
          <cell r="M85" t="str">
            <v/>
          </cell>
          <cell r="N85" t="str">
            <v>conexaoatacadista@gmail.com</v>
          </cell>
          <cell r="O85" t="str">
            <v>72427-010</v>
          </cell>
          <cell r="P85" t="str">
            <v>NUCR PONTE ALTA NORTE DF 475 CHACARA 07 LOTE 01                                , 01</v>
          </cell>
          <cell r="Q85" t="str">
            <v>PONTE ALTA NORTE (GAMA)</v>
          </cell>
        </row>
        <row r="86">
          <cell r="B86" t="str">
            <v>CONFIANCA PORTAS DE ACO</v>
          </cell>
          <cell r="C86" t="str">
            <v>CONFIANCIA SERRALHARIA LTDA</v>
          </cell>
          <cell r="D86" t="str">
            <v>26.859.783/0001-57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>Ativo</v>
          </cell>
          <cell r="K86" t="str">
            <v>(61)9233-3984</v>
          </cell>
          <cell r="L86" t="str">
            <v/>
          </cell>
          <cell r="M86" t="str">
            <v/>
          </cell>
          <cell r="N86" t="str">
            <v/>
          </cell>
          <cell r="O86" t="str">
            <v>72236-800</v>
          </cell>
          <cell r="P86" t="str">
            <v>SETOR HABITACIONAL SOL NASCENTE                                , LT 76</v>
          </cell>
          <cell r="Q86" t="str">
            <v>CEILANDIA SUL (CEILANDIA)</v>
          </cell>
        </row>
        <row r="87">
          <cell r="B87" t="str">
            <v>CONFTEC TECNOLOGIA</v>
          </cell>
          <cell r="C87" t="str">
            <v>CONFTEC TECNOLOGIA DE ELETRONICOS LTDA</v>
          </cell>
          <cell r="D87" t="str">
            <v>11.209.829/0001-15</v>
          </cell>
          <cell r="E87" t="str">
            <v>63865360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Ativo</v>
          </cell>
          <cell r="K87" t="str">
            <v>(85) 3226-1070</v>
          </cell>
          <cell r="L87" t="str">
            <v/>
          </cell>
          <cell r="M87" t="str">
            <v/>
          </cell>
          <cell r="N87" t="str">
            <v/>
          </cell>
          <cell r="O87" t="str">
            <v>60841-032</v>
          </cell>
          <cell r="P87" t="str">
            <v>AVENIDA WASHINGTON SOARES                                , 8404</v>
          </cell>
          <cell r="Q87" t="str">
            <v>MESSEJANA</v>
          </cell>
        </row>
        <row r="88">
          <cell r="B88" t="str">
            <v>construindo Sonhos</v>
          </cell>
          <cell r="C88" t="str">
            <v>CARLOS ALBERTO DE ARAUJO 63633108149</v>
          </cell>
          <cell r="D88" t="str">
            <v>43.631.325/0001-85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>Inativo</v>
          </cell>
          <cell r="K88" t="str">
            <v>(61)9599-2634</v>
          </cell>
          <cell r="L88" t="str">
            <v/>
          </cell>
          <cell r="M88" t="str">
            <v/>
          </cell>
          <cell r="N88" t="str">
            <v>albertodearaujocarlos748@gmail.com</v>
          </cell>
          <cell r="O88" t="str">
            <v>72650-630</v>
          </cell>
          <cell r="P88" t="str">
            <v>QUADRA QUADRA 804 CONJUNTO 5                                , 30</v>
          </cell>
          <cell r="Q88" t="str">
            <v>RECANTO DAS EMAS</v>
          </cell>
        </row>
        <row r="89">
          <cell r="B89" t="str">
            <v>COOPERATIVA DE CREDITO DE LIVRE ADMISSAO DA GRANDE GOIANIA</v>
          </cell>
          <cell r="C89" t="str">
            <v>COOPERATIVA DE CREDITO DE LIVRE ADMISSAO DA GRANDE GOIANIA LTDA</v>
          </cell>
          <cell r="D89" t="str">
            <v>10.209.619/0002-45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>Inativo</v>
          </cell>
          <cell r="K89" t="str">
            <v>(62)3273-2024</v>
          </cell>
          <cell r="L89" t="str">
            <v/>
          </cell>
          <cell r="M89" t="str">
            <v/>
          </cell>
          <cell r="N89" t="str">
            <v>cra@sicoobcrediadag.com.br</v>
          </cell>
          <cell r="O89" t="str">
            <v>74175-130</v>
          </cell>
          <cell r="P89" t="str">
            <v>RUA 1128                                , 513</v>
          </cell>
          <cell r="Q89" t="str">
            <v>SET MARISTA</v>
          </cell>
        </row>
        <row r="90">
          <cell r="B90" t="str">
            <v>Corsino Rodrigues</v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>715.577.336-00</v>
          </cell>
          <cell r="H90" t="str">
            <v/>
          </cell>
          <cell r="I90" t="str">
            <v/>
          </cell>
          <cell r="J90" t="str">
            <v>Ativo</v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>72023-480</v>
          </cell>
          <cell r="P90" t="str">
            <v>Conjunto SMT Conjunto 16</v>
          </cell>
          <cell r="Q90" t="str">
            <v>Taguatinga Sul (Taguatinga)</v>
          </cell>
        </row>
        <row r="91">
          <cell r="B91" t="str">
            <v>CRISTIANO DE ARAUJO VIEIRA</v>
          </cell>
          <cell r="C91" t="str">
            <v>CRISTIANO DE ARAUJO VIEIRA 92835848134</v>
          </cell>
          <cell r="D91" t="str">
            <v>25.195.281/0001-06</v>
          </cell>
          <cell r="E91" t="str">
            <v/>
          </cell>
          <cell r="F91" t="str">
            <v>0777577000104</v>
          </cell>
          <cell r="G91" t="str">
            <v/>
          </cell>
          <cell r="H91" t="str">
            <v/>
          </cell>
          <cell r="I91" t="str">
            <v/>
          </cell>
          <cell r="J91" t="str">
            <v>Inativo</v>
          </cell>
          <cell r="K91" t="str">
            <v>(61)8592-3837</v>
          </cell>
          <cell r="L91" t="str">
            <v>(61)8592-3837</v>
          </cell>
          <cell r="M91" t="str">
            <v/>
          </cell>
          <cell r="N91" t="str">
            <v>AMOUNTCONTABILIDADE@GMAIL.COM</v>
          </cell>
          <cell r="O91" t="str">
            <v>72318-305</v>
          </cell>
          <cell r="P91" t="str">
            <v>CONJUNTO RESIDENCIAL QR 408 CONJUNTO 5                                , 02</v>
          </cell>
          <cell r="Q91" t="str">
            <v>SAMAMBAIA NORTE (SAMAMBAIA)</v>
          </cell>
        </row>
        <row r="92">
          <cell r="B92" t="str">
            <v>DAUTO LANTERNAGEM E PINTURA</v>
          </cell>
          <cell r="C92" t="str">
            <v>DAUTO PINTURA E MECANICA LTDA</v>
          </cell>
          <cell r="D92" t="str">
            <v>24.934.648/0001-01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>Inativo</v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>71070-022</v>
          </cell>
          <cell r="P92" t="str">
            <v>QUADRA QE 40 CONJUNTO A LOTE S S/N                                , S/N</v>
          </cell>
          <cell r="Q92" t="str">
            <v/>
          </cell>
        </row>
        <row r="93">
          <cell r="B93" t="str">
            <v>DF LED</v>
          </cell>
          <cell r="C93" t="str">
            <v>DF LED COMERCIO DE ARTIGOS DE ILUMINACAO LTDA</v>
          </cell>
          <cell r="D93" t="str">
            <v>39.773.614/0001-41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>Ativo</v>
          </cell>
          <cell r="K93" t="str">
            <v>(61) 3254-4280</v>
          </cell>
          <cell r="L93" t="str">
            <v/>
          </cell>
          <cell r="M93" t="str">
            <v/>
          </cell>
          <cell r="N93" t="str">
            <v>ilumitechome@gmail.com</v>
          </cell>
          <cell r="O93" t="str">
            <v>71200-055</v>
          </cell>
          <cell r="P93" t="str">
            <v>QUADRA SIA QUADRA 5-C                                , S/N</v>
          </cell>
          <cell r="Q93" t="str">
            <v>ZONA INDUSTRIAL (GUARA)</v>
          </cell>
        </row>
        <row r="94">
          <cell r="B94" t="str">
            <v>DF PORTAS AUTOMATICAS DE ENROLAR</v>
          </cell>
          <cell r="C94" t="str">
            <v>DF PORTAS AUTOMATICAS DE ENROLAR LTDA</v>
          </cell>
          <cell r="D94" t="str">
            <v>46.211.826/0001-09</v>
          </cell>
          <cell r="E94" t="str">
            <v>0813316800131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>Ativo</v>
          </cell>
          <cell r="K94" t="str">
            <v>(61) 8415-1020</v>
          </cell>
          <cell r="L94" t="str">
            <v/>
          </cell>
          <cell r="M94" t="str">
            <v/>
          </cell>
          <cell r="N94" t="str">
            <v>jaimerepresentacoes@gmail.com</v>
          </cell>
          <cell r="O94" t="str">
            <v>72005-512</v>
          </cell>
          <cell r="P94" t="str">
            <v>RUA RUA 3C CHACARA 26 LOTE                                , 11</v>
          </cell>
          <cell r="Q94" t="str">
            <v>SETOR HABITACIONAL VICENTE PIRES</v>
          </cell>
        </row>
        <row r="95">
          <cell r="B95" t="str">
            <v>DF SECURITY</v>
          </cell>
          <cell r="C95" t="str">
            <v>LUCIANO SOUZA DA SILVA 09714565693</v>
          </cell>
          <cell r="D95" t="str">
            <v>27.914.600/0001-11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>Ativo</v>
          </cell>
          <cell r="K95" t="str">
            <v>(61) 9232-8083</v>
          </cell>
          <cell r="L95" t="str">
            <v/>
          </cell>
          <cell r="M95" t="str">
            <v/>
          </cell>
          <cell r="N95" t="str">
            <v>lsportoes@gmail.com</v>
          </cell>
          <cell r="O95" t="str">
            <v>71572-033</v>
          </cell>
          <cell r="P95" t="str">
            <v>QUADRA QUADRA 20 CONJUNTO M                                , 11</v>
          </cell>
          <cell r="Q95" t="str">
            <v>PARANOA</v>
          </cell>
        </row>
        <row r="96">
          <cell r="B96" t="str">
            <v>DG ENGENHARIA</v>
          </cell>
          <cell r="C96" t="str">
            <v>DG VOLTS ENGENHARIA E OBRAS LTDA</v>
          </cell>
          <cell r="D96" t="str">
            <v>03.551.963/0001-71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>Inativo</v>
          </cell>
          <cell r="K96" t="str">
            <v>(61)8352-6000</v>
          </cell>
          <cell r="L96" t="str">
            <v/>
          </cell>
          <cell r="M96" t="str">
            <v/>
          </cell>
          <cell r="N96" t="str">
            <v>engenhariaeletricadg@gmail.com</v>
          </cell>
          <cell r="O96" t="str">
            <v>71982-130</v>
          </cell>
          <cell r="P96" t="str">
            <v>QUADRA QS 11 CONJUNTO R                                , SN</v>
          </cell>
          <cell r="Q96" t="str">
            <v>AREAL (AGUAS CLARAS)</v>
          </cell>
        </row>
        <row r="97">
          <cell r="B97" t="str">
            <v>DG ENGENHARIA E CONSTRUCOES</v>
          </cell>
          <cell r="C97" t="str">
            <v>DG ENGENHARIA E CONSTRUCOES LTDA</v>
          </cell>
          <cell r="D97" t="str">
            <v>43.391.458/0001-21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>Inativo</v>
          </cell>
          <cell r="K97" t="str">
            <v>(61)9987-5417</v>
          </cell>
          <cell r="L97" t="str">
            <v/>
          </cell>
          <cell r="M97" t="str">
            <v/>
          </cell>
          <cell r="N97" t="str">
            <v>gabrielsalomaoeng@gmail.com</v>
          </cell>
          <cell r="O97" t="str">
            <v>70300-908</v>
          </cell>
          <cell r="P97" t="str">
            <v>QUADRA SCS QUADRA 5 BLOCO B CENTRO COMERCIAL AMAZONAS                                , 74</v>
          </cell>
          <cell r="Q97" t="str">
            <v>ASA SUL</v>
          </cell>
        </row>
        <row r="98">
          <cell r="B98" t="str">
            <v>DOBRACO</v>
          </cell>
          <cell r="C98" t="str">
            <v>DOBRACO COMERCIO DE CORTE &amp; DOBRA DE CHAPA LTDA</v>
          </cell>
          <cell r="D98" t="str">
            <v>19.308.000/0001-81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>Ativo</v>
          </cell>
          <cell r="K98" t="str">
            <v>(61) 3488-6060 / (61) 3397-6060 / (61) 3488-6060</v>
          </cell>
          <cell r="L98" t="str">
            <v/>
          </cell>
          <cell r="M98" t="str">
            <v/>
          </cell>
          <cell r="N98" t="str">
            <v>dobradcodoaco@gmail.com</v>
          </cell>
          <cell r="O98" t="str">
            <v>73368-142</v>
          </cell>
          <cell r="P98" t="str">
            <v>QUADRA 5A CONJUNTO B LOTE                                , 14 A</v>
          </cell>
          <cell r="Q98" t="str">
            <v>ARAPOANGA (PLANALTINA)</v>
          </cell>
        </row>
        <row r="99">
          <cell r="B99" t="str">
            <v>DONA DE CASA</v>
          </cell>
          <cell r="C99" t="str">
            <v>DONA DE CASA SUPERMERCADOS LTDA</v>
          </cell>
          <cell r="D99" t="str">
            <v>11.832.478/0010-95</v>
          </cell>
          <cell r="E99" t="str">
            <v>0753800601020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Inativo</v>
          </cell>
          <cell r="K99" t="str">
            <v>(61) 8219-2552/ (61) 9985-6156</v>
          </cell>
          <cell r="L99" t="str">
            <v/>
          </cell>
          <cell r="M99" t="str">
            <v/>
          </cell>
          <cell r="N99" t="str">
            <v>mayerfernandes@gmail.com</v>
          </cell>
          <cell r="O99" t="str">
            <v>71994-425</v>
          </cell>
          <cell r="P99" t="str">
            <v>Q SHA CONJUNTO 4 CHACARA 75                                , SN</v>
          </cell>
          <cell r="Q99" t="str">
            <v>SETOR HABITACIONAL ARNIQUEIRA (AGUAS CLARAS)</v>
          </cell>
        </row>
        <row r="100">
          <cell r="B100" t="str">
            <v>DONA DE CASA</v>
          </cell>
          <cell r="C100" t="str">
            <v>DONA DE CASA S/A</v>
          </cell>
          <cell r="D100" t="str">
            <v>11.832.478/0010-95</v>
          </cell>
          <cell r="E100" t="str">
            <v>0753800601020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>Inativo</v>
          </cell>
          <cell r="K100" t="str">
            <v>(61) 8219-2552/ (61) 9985-6156</v>
          </cell>
          <cell r="L100" t="str">
            <v/>
          </cell>
          <cell r="M100" t="str">
            <v/>
          </cell>
          <cell r="N100" t="str">
            <v>mayerfernandes@gmail.com</v>
          </cell>
          <cell r="O100" t="str">
            <v>71994-425</v>
          </cell>
          <cell r="P100" t="str">
            <v>Q SHA CONJUNTO 4 CHACARA 75                                , SN</v>
          </cell>
          <cell r="Q100" t="str">
            <v>SETOR HABITACIONAL ARNIQUEIRA (AGUAS CLARAS)</v>
          </cell>
        </row>
        <row r="101">
          <cell r="B101" t="str">
            <v>Douglas Marinho Costa</v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>036.989.321-21</v>
          </cell>
          <cell r="H101" t="str">
            <v/>
          </cell>
          <cell r="I101" t="str">
            <v/>
          </cell>
          <cell r="J101" t="str">
            <v>Ativo</v>
          </cell>
          <cell r="K101" t="str">
            <v/>
          </cell>
          <cell r="L101" t="str">
            <v/>
          </cell>
          <cell r="M101" t="str">
            <v/>
          </cell>
          <cell r="N101" t="str">
            <v>douglasmarinho238@gmail.com</v>
          </cell>
          <cell r="O101" t="str">
            <v>72035-503</v>
          </cell>
          <cell r="P101" t="str">
            <v>Quadra CSG 3                                , 1009</v>
          </cell>
          <cell r="Q101" t="str">
            <v>Taguatinga Sul (Taguatinga)</v>
          </cell>
        </row>
        <row r="102">
          <cell r="B102" t="str">
            <v>Douglas Souza</v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>052.196.591-89</v>
          </cell>
          <cell r="H102" t="str">
            <v/>
          </cell>
          <cell r="I102" t="str">
            <v/>
          </cell>
          <cell r="J102" t="str">
            <v>Inativo</v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</row>
        <row r="103">
          <cell r="B103" t="str">
            <v>DROGAFUJI</v>
          </cell>
          <cell r="C103" t="str">
            <v>DROGARIA ALAMEDA LTDA</v>
          </cell>
          <cell r="D103" t="str">
            <v>01.276.256/0001-99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Inativo</v>
          </cell>
          <cell r="K103" t="str">
            <v>(61)3204-0155</v>
          </cell>
          <cell r="L103" t="str">
            <v/>
          </cell>
          <cell r="M103" t="str">
            <v/>
          </cell>
          <cell r="N103" t="str">
            <v>drogafuji@drogafuji.com.br</v>
          </cell>
          <cell r="O103" t="str">
            <v>72015-525</v>
          </cell>
          <cell r="P103" t="str">
            <v>Q CSB 2                                , SN</v>
          </cell>
          <cell r="Q103" t="str">
            <v>TAGUATINGA SUL (TAGUATINGA)</v>
          </cell>
        </row>
        <row r="104">
          <cell r="B104" t="str">
            <v>DROGAFUJI</v>
          </cell>
          <cell r="C104" t="str">
            <v>DROGARIA ALAMEDA LTDA</v>
          </cell>
          <cell r="D104" t="str">
            <v>01.276.256/0009-46</v>
          </cell>
          <cell r="E104" t="str">
            <v>07.361.603/013-06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>Inativo</v>
          </cell>
          <cell r="K104" t="str">
            <v>(61) 3204-0155 / (61) 3551-149</v>
          </cell>
          <cell r="L104" t="str">
            <v/>
          </cell>
          <cell r="M104" t="str">
            <v/>
          </cell>
          <cell r="N104" t="str">
            <v>drogafuji@drogafuji.com.br</v>
          </cell>
          <cell r="O104" t="str">
            <v>72225-014</v>
          </cell>
          <cell r="P104" t="str">
            <v>QUADRA QNN 1 CONJUNTO D LOTE                                , 02</v>
          </cell>
          <cell r="Q104" t="str">
            <v>CEILANDIA NORTE (CEILANDIA)</v>
          </cell>
        </row>
        <row r="105">
          <cell r="B105" t="str">
            <v>DROGAFUJI</v>
          </cell>
          <cell r="C105" t="str">
            <v>DROGARIA ALAMEDA LTDA</v>
          </cell>
          <cell r="D105" t="str">
            <v>01.276.256/0010-80</v>
          </cell>
          <cell r="E105" t="str">
            <v>0736160301217</v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>Inativo</v>
          </cell>
          <cell r="K105" t="str">
            <v>(61) 3204-0155 / (61) 3551-149</v>
          </cell>
          <cell r="L105" t="str">
            <v/>
          </cell>
          <cell r="M105" t="str">
            <v/>
          </cell>
          <cell r="N105" t="str">
            <v>drogafuj@drogafuji.com.br</v>
          </cell>
          <cell r="O105" t="str">
            <v>72220-216</v>
          </cell>
          <cell r="P105" t="str">
            <v>QUADRA QNN 20 CJ P LT 02                                , SN</v>
          </cell>
          <cell r="Q105" t="str">
            <v>CEILANDIA SUL (CEILANDIA)</v>
          </cell>
        </row>
        <row r="106">
          <cell r="B106" t="str">
            <v>DROGAFUJI</v>
          </cell>
          <cell r="C106" t="str">
            <v>DROGARIA ALAMEDA LTDA</v>
          </cell>
          <cell r="D106" t="str">
            <v>01.276.256/0017-56</v>
          </cell>
          <cell r="E106" t="str">
            <v>0736160301993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>Inativo</v>
          </cell>
          <cell r="K106" t="str">
            <v>(61) 3204-0101 / (61) 3204-0124 / (61) 3204-0132</v>
          </cell>
          <cell r="L106" t="str">
            <v/>
          </cell>
          <cell r="M106" t="str">
            <v/>
          </cell>
          <cell r="N106" t="str">
            <v>drogafuji@drogafuji.com.br</v>
          </cell>
          <cell r="O106" t="str">
            <v>71505-000</v>
          </cell>
          <cell r="P106" t="str">
            <v>SETOR SHIN EPPN CANTEIRO CENTRAL LOTE 03 LOJA                                , 10</v>
          </cell>
          <cell r="Q106" t="str">
            <v>LAGO NORTE</v>
          </cell>
        </row>
        <row r="107">
          <cell r="B107" t="str">
            <v>DROGAFUJI</v>
          </cell>
          <cell r="C107" t="str">
            <v>DROGARIA ALAMEDA LTDA</v>
          </cell>
          <cell r="D107" t="str">
            <v>01.276.256/0055-81</v>
          </cell>
          <cell r="E107" t="str">
            <v>0736160305808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>Inativo</v>
          </cell>
          <cell r="K107" t="str">
            <v>(61)3204-0155</v>
          </cell>
          <cell r="L107" t="str">
            <v/>
          </cell>
          <cell r="M107" t="str">
            <v/>
          </cell>
          <cell r="N107" t="str">
            <v>drogafuji@drogafuji.com.br</v>
          </cell>
          <cell r="O107" t="str">
            <v>70853-540</v>
          </cell>
          <cell r="P107" t="str">
            <v>QUADRA CLN 208 BLOCO D LOJA 15,19 E SUBSOLO 23                                , SN</v>
          </cell>
          <cell r="Q107" t="str">
            <v>ASA NORTE</v>
          </cell>
        </row>
        <row r="108">
          <cell r="B108" t="str">
            <v>Edilson Jairo rabelo</v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>029.054.406-86</v>
          </cell>
          <cell r="H108" t="str">
            <v/>
          </cell>
          <cell r="I108" t="str">
            <v/>
          </cell>
          <cell r="J108" t="str">
            <v>Inativo</v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>7223-810</v>
          </cell>
          <cell r="P108" t="str">
            <v>Shps QD 402 conj c casa 47                                , 47</v>
          </cell>
          <cell r="Q108" t="str">
            <v>Cond pôr do sol</v>
          </cell>
        </row>
        <row r="109">
          <cell r="B109" t="str">
            <v>EDP DANTAS</v>
          </cell>
          <cell r="C109" t="str">
            <v>EDP DANTAS LTDA</v>
          </cell>
          <cell r="D109" t="str">
            <v>48.011.010/0001-59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>Ativo</v>
          </cell>
          <cell r="K109" t="str">
            <v>(61) 9638-9797/ (0000) 0000-0000</v>
          </cell>
          <cell r="L109" t="str">
            <v/>
          </cell>
          <cell r="M109" t="str">
            <v/>
          </cell>
          <cell r="N109" t="str">
            <v>contato@edpdantas.com.br</v>
          </cell>
          <cell r="O109" t="str">
            <v>71570-306</v>
          </cell>
          <cell r="P109" t="str">
            <v>Q QUADRA 3 CONJUNTO B LOTE                                , 23</v>
          </cell>
          <cell r="Q109" t="str">
            <v>PARANOA</v>
          </cell>
        </row>
        <row r="110">
          <cell r="B110" t="str">
            <v>EDUARDO REPRESENTANTE</v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>Inativo</v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</row>
        <row r="111">
          <cell r="B111" t="str">
            <v>EGAPLAST - ARTEFATOS E COMERCIO DE PLASTICOS LTDA</v>
          </cell>
          <cell r="C111" t="str">
            <v>EGAPLAST - ARTEFATOS E COMERCIO DE PLASTICOS LTDA</v>
          </cell>
          <cell r="D111" t="str">
            <v>03.185.564/0001-34</v>
          </cell>
          <cell r="E111" t="str">
            <v>0739660900181</v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>Inativo</v>
          </cell>
          <cell r="K111" t="str">
            <v/>
          </cell>
          <cell r="L111" t="str">
            <v>(61)99699-4273</v>
          </cell>
          <cell r="M111" t="str">
            <v/>
          </cell>
          <cell r="N111" t="str">
            <v/>
          </cell>
          <cell r="O111" t="str">
            <v>71977-360</v>
          </cell>
          <cell r="P111" t="str">
            <v>QS 9 Rua 122</v>
          </cell>
          <cell r="Q111" t="str">
            <v>Areal (Águas Claras)</v>
          </cell>
        </row>
        <row r="112">
          <cell r="B112" t="str">
            <v>ELETRICA PADRAO</v>
          </cell>
          <cell r="C112" t="str">
            <v>ELETRICA PADRAO LTDA</v>
          </cell>
          <cell r="D112" t="str">
            <v>37.982.105/0001-01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>Inativo</v>
          </cell>
          <cell r="K112" t="str">
            <v>(61)3384-1901</v>
          </cell>
          <cell r="L112" t="str">
            <v/>
          </cell>
          <cell r="M112" t="str">
            <v/>
          </cell>
          <cell r="N112" t="str">
            <v/>
          </cell>
          <cell r="O112" t="str">
            <v>72465-370</v>
          </cell>
          <cell r="P112" t="str">
            <v>Q 37 LOTE                                , 15</v>
          </cell>
          <cell r="Q112" t="str">
            <v>SETOR LESTE (GAMA)</v>
          </cell>
        </row>
        <row r="113">
          <cell r="B113" t="str">
            <v>ELETRICAACGN</v>
          </cell>
          <cell r="C113" t="str">
            <v>ANTONIO CLEBER GONCALVES DO NASCIMENTO 69054401168</v>
          </cell>
          <cell r="D113" t="str">
            <v>29.992.167/0001-68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>Inativo</v>
          </cell>
          <cell r="K113" t="str">
            <v>(61)3965-4628</v>
          </cell>
          <cell r="L113" t="str">
            <v/>
          </cell>
          <cell r="M113" t="str">
            <v/>
          </cell>
          <cell r="N113" t="str">
            <v>eletricaacgn@gmail.com</v>
          </cell>
          <cell r="O113" t="str">
            <v>72220-055</v>
          </cell>
          <cell r="P113" t="str">
            <v>Q QNN 4 CONJUNTO O LOTE 39 LOJA 01                                , SN</v>
          </cell>
          <cell r="Q113" t="str">
            <v>CEILANDIA SUL (CEILANDIA)</v>
          </cell>
        </row>
        <row r="114">
          <cell r="B114" t="str">
            <v>ELETRO PORTAS DE ACO</v>
          </cell>
          <cell r="C114" t="str">
            <v>DOUGLAS GONCALVES DE ARAUJO 04884083180</v>
          </cell>
          <cell r="D114" t="str">
            <v>44.375.732/0001-31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Ativo</v>
          </cell>
          <cell r="K114" t="str">
            <v>(62) 9203-2422</v>
          </cell>
          <cell r="L114" t="str">
            <v/>
          </cell>
          <cell r="M114" t="str">
            <v/>
          </cell>
          <cell r="N114" t="str">
            <v>lucianosobrinho178@hotmail.com</v>
          </cell>
          <cell r="O114" t="str">
            <v>74594-046</v>
          </cell>
          <cell r="P114" t="str">
            <v>AV FONTE NOVA                                , S/N</v>
          </cell>
          <cell r="Q114" t="str">
            <v>JARDIM FONTE NOVA</v>
          </cell>
        </row>
        <row r="115">
          <cell r="B115" t="str">
            <v>ELETROPISO</v>
          </cell>
          <cell r="C115" t="str">
            <v>AC LUZ ELETRICA LTDA</v>
          </cell>
          <cell r="D115" t="str">
            <v>47.122.451/0001-65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Inativo</v>
          </cell>
          <cell r="K115" t="str">
            <v>(61)8441-9860</v>
          </cell>
          <cell r="L115" t="str">
            <v/>
          </cell>
          <cell r="M115" t="str">
            <v/>
          </cell>
          <cell r="N115" t="str">
            <v>eletropisodf@gmail.com</v>
          </cell>
          <cell r="O115" t="str">
            <v>71918-540</v>
          </cell>
          <cell r="P115" t="str">
            <v>RUA 33 NORTE LOTE                                , 03</v>
          </cell>
          <cell r="Q115" t="str">
            <v>NORTE (AGUAS CLARAS)</v>
          </cell>
        </row>
        <row r="116">
          <cell r="B116" t="str">
            <v>Elizania de Souza Santos</v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>065.147.885-56</v>
          </cell>
          <cell r="H116" t="str">
            <v/>
          </cell>
          <cell r="I116" t="str">
            <v/>
          </cell>
          <cell r="J116" t="str">
            <v>Inativo</v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>49511-899</v>
          </cell>
          <cell r="P116" t="str">
            <v>Área Rural                                , 39</v>
          </cell>
          <cell r="Q116" t="str">
            <v>Área Rural de Itabaiana</v>
          </cell>
        </row>
        <row r="117">
          <cell r="B117" t="str">
            <v>ELIZIO DONIZETE LOPES DUARTE</v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>078.437.377-90</v>
          </cell>
          <cell r="H117" t="str">
            <v/>
          </cell>
          <cell r="I117" t="str">
            <v/>
          </cell>
          <cell r="J117" t="str">
            <v>Inativo</v>
          </cell>
          <cell r="K117" t="str">
            <v/>
          </cell>
          <cell r="L117" t="str">
            <v/>
          </cell>
          <cell r="M117" t="str">
            <v/>
          </cell>
          <cell r="N117" t="str">
            <v>maiaranogueira12@gmail.com</v>
          </cell>
          <cell r="O117" t="str">
            <v>71904-540</v>
          </cell>
          <cell r="P117" t="str">
            <v>Rua das Carnaúbas</v>
          </cell>
          <cell r="Q117" t="str">
            <v>Norte (Águas Claras)</v>
          </cell>
        </row>
        <row r="118">
          <cell r="B118" t="str">
            <v>Eloah portas</v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>052.196.591-89</v>
          </cell>
          <cell r="H118" t="str">
            <v/>
          </cell>
          <cell r="I118" t="str">
            <v/>
          </cell>
          <cell r="J118" t="str">
            <v>Ativo</v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</row>
        <row r="119">
          <cell r="B119" t="str">
            <v>Elson Campo Belo</v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>005.405.271-81</v>
          </cell>
          <cell r="H119" t="str">
            <v/>
          </cell>
          <cell r="I119" t="str">
            <v/>
          </cell>
          <cell r="J119" t="str">
            <v>Ativo</v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>75383-624</v>
          </cell>
          <cell r="P119" t="str">
            <v>Avenida Ipiranga                                , sn</v>
          </cell>
          <cell r="Q119" t="str">
            <v>Setor Cristina</v>
          </cell>
        </row>
        <row r="120">
          <cell r="B120" t="str">
            <v>ELSON FERNANDES DA SILVA</v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>002.542.961-22</v>
          </cell>
          <cell r="H120" t="str">
            <v/>
          </cell>
          <cell r="I120" t="str">
            <v/>
          </cell>
          <cell r="J120" t="str">
            <v>Ativo</v>
          </cell>
          <cell r="K120" t="str">
            <v>61999584826</v>
          </cell>
          <cell r="L120" t="str">
            <v/>
          </cell>
          <cell r="M120" t="str">
            <v/>
          </cell>
          <cell r="N120" t="str">
            <v>ELSONANALUIZA15@GMAIL.COM</v>
          </cell>
          <cell r="O120" t="str">
            <v>72880-000</v>
          </cell>
          <cell r="P120" t="str">
            <v>QS 08 CONJUTO 230 D CASA 01                                , 01</v>
          </cell>
          <cell r="Q120" t="str">
            <v>VALPARAISO</v>
          </cell>
        </row>
        <row r="121">
          <cell r="B121" t="str">
            <v>EMERSON BARBOSA MUNIZ</v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Ativo</v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>72927-122</v>
          </cell>
          <cell r="P121" t="str">
            <v>Quadra Quadra 10B</v>
          </cell>
          <cell r="Q121" t="str">
            <v>Mansões Odisséia</v>
          </cell>
        </row>
        <row r="122">
          <cell r="B122" t="str">
            <v>EMPPMETAL</v>
          </cell>
          <cell r="C122" t="str">
            <v>LUCIANO APARECIDO DE SOUZA 27120998854</v>
          </cell>
          <cell r="D122" t="str">
            <v>24.421.264/0001-87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Inativo</v>
          </cell>
          <cell r="K122" t="str">
            <v>(11)9898-1804</v>
          </cell>
          <cell r="L122" t="str">
            <v/>
          </cell>
          <cell r="M122" t="str">
            <v/>
          </cell>
          <cell r="N122" t="str">
            <v>emppmetal@gmail.com</v>
          </cell>
          <cell r="O122" t="str">
            <v>07131-100</v>
          </cell>
          <cell r="P122" t="str">
            <v>RUA ENGENHEIRO PAULO FRONTIM                                , 934</v>
          </cell>
          <cell r="Q122" t="str">
            <v>JARDIM SAO PAULO</v>
          </cell>
        </row>
        <row r="123">
          <cell r="B123" t="str">
            <v>ENERGIA SABOR E SAUDE</v>
          </cell>
          <cell r="C123" t="str">
            <v>ENERGIA SABOR FRUTOS DO BRASIL EIRELI</v>
          </cell>
          <cell r="D123" t="str">
            <v>20.258.791/0001-61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Inativo</v>
          </cell>
          <cell r="K123" t="str">
            <v>(61)9194-7003</v>
          </cell>
          <cell r="L123" t="str">
            <v/>
          </cell>
          <cell r="M123" t="str">
            <v/>
          </cell>
          <cell r="N123" t="str">
            <v/>
          </cell>
          <cell r="O123" t="str">
            <v>73402-359</v>
          </cell>
          <cell r="P123" t="str">
            <v>ST CONJUNTO C LOTE 114                                , B</v>
          </cell>
          <cell r="Q123" t="str">
            <v>RESIDENCIAL NOVA ESPERANCA (PLANALTINA)</v>
          </cell>
        </row>
        <row r="124">
          <cell r="B124" t="str">
            <v>EQUIP SOUND CAR</v>
          </cell>
          <cell r="C124" t="str">
            <v>EQUIP SOUND CAR LTDA</v>
          </cell>
          <cell r="D124" t="str">
            <v>11.910.893/0001-29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Inativo</v>
          </cell>
          <cell r="K124" t="str">
            <v>(61)8537-9772</v>
          </cell>
          <cell r="L124" t="str">
            <v/>
          </cell>
          <cell r="M124" t="str">
            <v/>
          </cell>
          <cell r="N124" t="str">
            <v>equip_sound_car@hotmail.com</v>
          </cell>
          <cell r="O124" t="str">
            <v>71953-100</v>
          </cell>
          <cell r="P124" t="str">
            <v>QUADRA QS 3 Rua 420 Aria Especial                                , 07</v>
          </cell>
          <cell r="Q124" t="str">
            <v>AREAL (AGUAS CLARAS)</v>
          </cell>
        </row>
        <row r="125">
          <cell r="B125" t="str">
            <v>Evellyn Luana Zamignan</v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>083.544.299-38</v>
          </cell>
          <cell r="H125" t="str">
            <v/>
          </cell>
          <cell r="I125" t="str">
            <v/>
          </cell>
          <cell r="J125" t="str">
            <v>Inativo</v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>85930-503</v>
          </cell>
          <cell r="P125" t="str">
            <v>Avenida Tucunduva                                , 1070</v>
          </cell>
          <cell r="Q125" t="str">
            <v>Nova Santa Rosa</v>
          </cell>
        </row>
        <row r="126">
          <cell r="B126" t="str">
            <v>EVO COMERCIO</v>
          </cell>
          <cell r="C126" t="str">
            <v>EVO COMERCIO DE PRODUTOS LTDA</v>
          </cell>
          <cell r="D126" t="str">
            <v>36.781.644/0001-01</v>
          </cell>
          <cell r="E126" t="str">
            <v>20.124.107-2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Ativo</v>
          </cell>
          <cell r="K126" t="str">
            <v>(61) 9699-4273</v>
          </cell>
          <cell r="L126" t="str">
            <v/>
          </cell>
          <cell r="M126" t="str">
            <v/>
          </cell>
          <cell r="N126" t="str">
            <v>contato.exitocon@gmail.com</v>
          </cell>
          <cell r="O126" t="str">
            <v>74933-130</v>
          </cell>
          <cell r="P126" t="str">
            <v>RUA MONTE CARMELO                                , SN</v>
          </cell>
          <cell r="Q126" t="str">
            <v>CARDOSO</v>
          </cell>
        </row>
        <row r="127">
          <cell r="B127" t="str">
            <v>EZEQUIEL DE FREITAS CARNEIRO</v>
          </cell>
          <cell r="C127" t="str">
            <v>19.488.372 EZEQUIEL DE FREITAS CARNEIRO</v>
          </cell>
          <cell r="D127" t="str">
            <v>19.488.372/0001-37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Ativo</v>
          </cell>
          <cell r="K127" t="str">
            <v>(61) 9528-6205</v>
          </cell>
          <cell r="L127" t="str">
            <v/>
          </cell>
          <cell r="M127" t="str">
            <v/>
          </cell>
          <cell r="N127" t="str">
            <v>stuardmc@gmail.com</v>
          </cell>
          <cell r="O127" t="str">
            <v>72631-103</v>
          </cell>
          <cell r="P127" t="str">
            <v>QUADRA QUADRA 405 CONJUNTO 3                                , 10</v>
          </cell>
          <cell r="Q127" t="str">
            <v>RECANTO DAS EMAS</v>
          </cell>
        </row>
        <row r="128">
          <cell r="B128" t="str">
            <v>FABIO BERNARDO DE ABREU</v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>728.493.551-00</v>
          </cell>
          <cell r="H128" t="str">
            <v/>
          </cell>
          <cell r="I128" t="str">
            <v/>
          </cell>
          <cell r="J128" t="str">
            <v>Ativo</v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>72220-047</v>
          </cell>
          <cell r="P128" t="str">
            <v>Quadra QNN 4 Conjunto G</v>
          </cell>
          <cell r="Q128" t="str">
            <v>Ceilândia Sul (Ceilândia)</v>
          </cell>
        </row>
        <row r="129">
          <cell r="B129" t="str">
            <v>FABIO MOREIRA DE FREITAS</v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>986.144.951-53</v>
          </cell>
          <cell r="H129" t="str">
            <v/>
          </cell>
          <cell r="I129" t="str">
            <v/>
          </cell>
          <cell r="J129" t="str">
            <v>Ativo</v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>73750-000</v>
          </cell>
          <cell r="P129" t="str">
            <v>QUADRA 33 LOTE 17/A JARDINS DAS PALMEIRAS PLANALTINA DO GO                                , 17</v>
          </cell>
          <cell r="Q129" t="str">
            <v>PLANALTINA DO GO</v>
          </cell>
        </row>
        <row r="130">
          <cell r="B130" t="str">
            <v>FALCON PORTAS DE ACO</v>
          </cell>
          <cell r="C130" t="str">
            <v>R P DE MOURA COMERCIO E SERVICOS</v>
          </cell>
          <cell r="D130" t="str">
            <v>20.410.986/0001-85</v>
          </cell>
          <cell r="E130" t="str">
            <v>10.709.833-4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Ativo</v>
          </cell>
          <cell r="K130" t="str">
            <v>(62)8531-7214</v>
          </cell>
          <cell r="L130" t="str">
            <v/>
          </cell>
          <cell r="M130" t="str">
            <v/>
          </cell>
          <cell r="N130" t="str">
            <v>falconportasdeaco@gmail.com</v>
          </cell>
          <cell r="O130" t="str">
            <v>75372-651</v>
          </cell>
          <cell r="P130" t="str">
            <v>Rua AR-01                                , SN</v>
          </cell>
          <cell r="Q130" t="str">
            <v>Residencial Araguaia</v>
          </cell>
        </row>
        <row r="131">
          <cell r="B131" t="str">
            <v>FELIPE GUSTAVO DE SOUSA</v>
          </cell>
          <cell r="C131" t="str">
            <v>60.531.823 FELIPE GUSTAVO DE SOUSA</v>
          </cell>
          <cell r="D131" t="str">
            <v>60.531.823/0001-75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Inativo</v>
          </cell>
          <cell r="K131" t="str">
            <v>(61)9818-2056</v>
          </cell>
          <cell r="L131" t="str">
            <v/>
          </cell>
          <cell r="M131" t="str">
            <v/>
          </cell>
          <cell r="N131" t="str">
            <v>fgustavodesousa@gmail.com</v>
          </cell>
          <cell r="O131" t="str">
            <v>73790-000</v>
          </cell>
          <cell r="P131" t="str">
            <v>10A AVENIDA AVENIDA ELIAS JORGE LOTE 725                                , 725</v>
          </cell>
          <cell r="Q131" t="str">
            <v>CAVALCANTINHO</v>
          </cell>
        </row>
        <row r="132">
          <cell r="B132" t="str">
            <v>FERNANDA CRISTINA SOUZA DA SILVA</v>
          </cell>
          <cell r="C132" t="str">
            <v>25.157.978 FERNANDA CRISTINA SOUZA DA SILVA</v>
          </cell>
          <cell r="D132" t="str">
            <v>25.157.978/0001-92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>Ativo</v>
          </cell>
          <cell r="K132" t="str">
            <v>(61) 8580-7273</v>
          </cell>
          <cell r="L132" t="str">
            <v/>
          </cell>
          <cell r="M132" t="str">
            <v/>
          </cell>
          <cell r="N132" t="str">
            <v>fernandacristinasouzadasilva@gmail.com</v>
          </cell>
          <cell r="O132" t="str">
            <v>72006-280</v>
          </cell>
          <cell r="P132" t="str">
            <v>RUA RUA 4B CHACARA 286                                , 31</v>
          </cell>
          <cell r="Q132" t="str">
            <v>SETOR HABITACIONAL VICENTE PIRES</v>
          </cell>
        </row>
        <row r="133">
          <cell r="B133" t="str">
            <v>FERNANDES E MELO CONSTRUCOES</v>
          </cell>
          <cell r="C133" t="str">
            <v>FERNANDES E MELO CONSTRUCOES LTDA</v>
          </cell>
          <cell r="D133" t="str">
            <v>20.372.166/0001-46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>Ativo</v>
          </cell>
          <cell r="K133" t="str">
            <v>(61) 3618-2307 / (61) 3618-1806 / (61) 3618-2307</v>
          </cell>
          <cell r="L133" t="str">
            <v/>
          </cell>
          <cell r="M133" t="str">
            <v/>
          </cell>
          <cell r="N133" t="str">
            <v>primecontabilidadeagl@gmail.com</v>
          </cell>
          <cell r="O133" t="str">
            <v>72910-013</v>
          </cell>
          <cell r="P133" t="str">
            <v>RUA 08                                , SN</v>
          </cell>
          <cell r="Q133" t="str">
            <v>PARQUE DA BARRAGEM SETOR 08</v>
          </cell>
        </row>
        <row r="134">
          <cell r="B134" t="str">
            <v>FERRAGENS DOURADO</v>
          </cell>
          <cell r="C134" t="str">
            <v>FERRAGENS DOURADO LTDA</v>
          </cell>
          <cell r="D134" t="str">
            <v>10.517.999/0001-02</v>
          </cell>
          <cell r="E134" t="str">
            <v>10.443.700-6</v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>Inativo</v>
          </cell>
          <cell r="K134" t="str">
            <v>(61) 9968-4239/ (61) 3642-4071</v>
          </cell>
          <cell r="L134" t="str">
            <v/>
          </cell>
          <cell r="M134" t="str">
            <v/>
          </cell>
          <cell r="N134" t="str">
            <v/>
          </cell>
          <cell r="O134" t="str">
            <v>73813-340</v>
          </cell>
          <cell r="P134" t="str">
            <v>R 22                                , 15</v>
          </cell>
          <cell r="Q134" t="str">
            <v>FORMOSINHA</v>
          </cell>
        </row>
        <row r="135">
          <cell r="B135" t="str">
            <v>FICA, VAI TER BOLO</v>
          </cell>
          <cell r="C135" t="str">
            <v>STP BOLOS LTDA</v>
          </cell>
          <cell r="D135" t="str">
            <v>21.355.464/0001-90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>Inativo</v>
          </cell>
          <cell r="K135" t="str">
            <v>(61)9245-5665</v>
          </cell>
          <cell r="L135" t="str">
            <v/>
          </cell>
          <cell r="M135" t="str">
            <v/>
          </cell>
          <cell r="N135" t="str">
            <v>rodrigo1509@gmail.com</v>
          </cell>
          <cell r="O135" t="str">
            <v>70292-530</v>
          </cell>
          <cell r="P135" t="str">
            <v>SETOR SHCS CL, QUADRA 213, BLOCO C, LOJA 21                                , S/N</v>
          </cell>
          <cell r="Q135" t="str">
            <v>ASA SUL</v>
          </cell>
        </row>
        <row r="136">
          <cell r="B136" t="str">
            <v>Flávio de Sousa Mota</v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>392.978.961-20</v>
          </cell>
          <cell r="H136" t="str">
            <v/>
          </cell>
          <cell r="I136" t="str">
            <v/>
          </cell>
          <cell r="J136" t="str">
            <v>Ativo</v>
          </cell>
          <cell r="K136" t="str">
            <v/>
          </cell>
          <cell r="L136" t="str">
            <v/>
          </cell>
          <cell r="M136" t="str">
            <v/>
          </cell>
          <cell r="N136" t="str">
            <v>flaviosmotta@gmail.com</v>
          </cell>
          <cell r="O136" t="str">
            <v>71927-540</v>
          </cell>
          <cell r="P136" t="str">
            <v>Avenida Jacarandá</v>
          </cell>
          <cell r="Q136" t="str">
            <v>Sul (Águas Claras)</v>
          </cell>
        </row>
        <row r="137">
          <cell r="B137" t="str">
            <v>Francimar Raposo de Melo</v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>334.542.991-87</v>
          </cell>
          <cell r="H137" t="str">
            <v/>
          </cell>
          <cell r="I137" t="str">
            <v/>
          </cell>
          <cell r="J137" t="str">
            <v>Inativo</v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>71732-020</v>
          </cell>
          <cell r="P137" t="str">
            <v>Setor SPLM Conjunto 2</v>
          </cell>
          <cell r="Q137" t="str">
            <v>Setor Placa da Mercedes (Núcleo Bandeirante)</v>
          </cell>
        </row>
        <row r="138">
          <cell r="B138" t="str">
            <v>Francineide Ferreira</v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>561.455.191-34</v>
          </cell>
          <cell r="H138" t="str">
            <v/>
          </cell>
          <cell r="I138" t="str">
            <v/>
          </cell>
          <cell r="J138" t="str">
            <v>Ativo</v>
          </cell>
          <cell r="K138" t="str">
            <v/>
          </cell>
          <cell r="L138" t="str">
            <v/>
          </cell>
          <cell r="M138" t="str">
            <v/>
          </cell>
          <cell r="N138" t="str">
            <v>francineideferreira364@gmail.com</v>
          </cell>
          <cell r="O138" t="str">
            <v>72748-006</v>
          </cell>
          <cell r="P138" t="str">
            <v>Quadra Quadra 48 Conjunto F                                , 01</v>
          </cell>
          <cell r="Q138" t="str">
            <v>Vila São José (Brazlândia)</v>
          </cell>
        </row>
        <row r="139">
          <cell r="B139" t="str">
            <v>Francisco Iran Reinaldo</v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>061.306.274-40</v>
          </cell>
          <cell r="H139" t="str">
            <v/>
          </cell>
          <cell r="I139" t="str">
            <v/>
          </cell>
          <cell r="J139" t="str">
            <v>Ativo</v>
          </cell>
          <cell r="K139" t="str">
            <v>+55 61 8528-4372</v>
          </cell>
          <cell r="L139" t="str">
            <v/>
          </cell>
          <cell r="M139" t="str">
            <v/>
          </cell>
          <cell r="N139" t="str">
            <v/>
          </cell>
          <cell r="O139" t="str">
            <v>72127-991</v>
          </cell>
          <cell r="P139" t="str">
            <v>Rodovia DF-240</v>
          </cell>
          <cell r="Q139" t="str">
            <v/>
          </cell>
        </row>
        <row r="140">
          <cell r="B140" t="str">
            <v>FRANCISCO PINHEIRO DE ARAUJO JUNIOR</v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>151.907.223-68</v>
          </cell>
          <cell r="H140" t="str">
            <v/>
          </cell>
          <cell r="I140" t="str">
            <v/>
          </cell>
          <cell r="J140" t="str">
            <v>Inativo</v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>64500-000</v>
          </cell>
          <cell r="P140" t="str">
            <v>Rua professor Rafael Farias 78                                , 78</v>
          </cell>
          <cell r="Q140" t="str">
            <v>Oeiras</v>
          </cell>
        </row>
        <row r="141">
          <cell r="B141" t="str">
            <v>Franklin Santos Vieira</v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>735.475.651-20</v>
          </cell>
          <cell r="H141" t="str">
            <v/>
          </cell>
          <cell r="I141" t="str">
            <v/>
          </cell>
          <cell r="J141" t="str">
            <v>Inativo</v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>Rua Luziânia Qd 26 Lt 12 Jofre Parada Luziânia Goiás</v>
          </cell>
          <cell r="Q141" t="str">
            <v/>
          </cell>
        </row>
        <row r="142">
          <cell r="B142" t="str">
            <v>Franscisco luiz severiano</v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>732.838.783-15</v>
          </cell>
          <cell r="H142" t="str">
            <v/>
          </cell>
          <cell r="I142" t="str">
            <v/>
          </cell>
          <cell r="J142" t="str">
            <v>Inativo</v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>TAGUATINGA NORTE</v>
          </cell>
        </row>
        <row r="143">
          <cell r="B143" t="str">
            <v>FRIGORIFICO OURO VERDE</v>
          </cell>
          <cell r="C143" t="str">
            <v>FRIGORIFICO OURO VERDE LTDA</v>
          </cell>
          <cell r="D143" t="str">
            <v>12.226.027/0001-86</v>
          </cell>
          <cell r="E143" t="str">
            <v>10.484.563-5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>Inativo</v>
          </cell>
          <cell r="K143" t="str">
            <v>(62) 3481-3031 / (62) 3473-1925</v>
          </cell>
          <cell r="L143" t="str">
            <v/>
          </cell>
          <cell r="M143" t="str">
            <v/>
          </cell>
          <cell r="N143" t="str">
            <v>fiscal@ouroverdecarnes.com.br</v>
          </cell>
          <cell r="O143" t="str">
            <v>73900-000</v>
          </cell>
          <cell r="P143" t="str">
            <v>RODOVIA BR 020                                , S/N</v>
          </cell>
          <cell r="Q143" t="str">
            <v>ZONA RURAL</v>
          </cell>
        </row>
        <row r="144">
          <cell r="B144" t="str">
            <v>FUJIOTICA</v>
          </cell>
          <cell r="C144" t="str">
            <v>OTICA E RELOJOARIA VAZ LTDA</v>
          </cell>
          <cell r="D144" t="str">
            <v>03.627.494/0001-27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>Ativo</v>
          </cell>
          <cell r="K144" t="str">
            <v>(61)3371-5858</v>
          </cell>
          <cell r="L144" t="str">
            <v/>
          </cell>
          <cell r="M144" t="str">
            <v/>
          </cell>
          <cell r="N144" t="str">
            <v/>
          </cell>
          <cell r="O144" t="str">
            <v>72215-500</v>
          </cell>
          <cell r="P144" t="str">
            <v>QUADRA CNM                                , 01</v>
          </cell>
          <cell r="Q144" t="str">
            <v>CEILANDIA</v>
          </cell>
        </row>
        <row r="145">
          <cell r="B145" t="str">
            <v>Fusão print</v>
          </cell>
          <cell r="C145" t="str">
            <v/>
          </cell>
          <cell r="D145" t="str">
            <v>23.869.827/0001-31</v>
          </cell>
          <cell r="E145" t="str">
            <v>10.669.702-1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Ativo</v>
          </cell>
          <cell r="K145" t="str">
            <v/>
          </cell>
          <cell r="L145" t="str">
            <v>61995657688</v>
          </cell>
          <cell r="M145" t="str">
            <v/>
          </cell>
          <cell r="N145" t="str">
            <v>fusaodigitall@gmail.com</v>
          </cell>
          <cell r="O145" t="str">
            <v>72871-145</v>
          </cell>
          <cell r="P145" t="str">
            <v>Avenida 2                                , sn</v>
          </cell>
          <cell r="Q145" t="str">
            <v>Jardim Céu Azul</v>
          </cell>
        </row>
        <row r="146">
          <cell r="B146" t="str">
            <v>FV PORTAS AUTOMATICAS</v>
          </cell>
          <cell r="C146" t="str">
            <v>FRANCISCO VALDINAR PEREIRA DA SILVA 02490980327</v>
          </cell>
          <cell r="D146" t="str">
            <v>29.444.157/0001-98</v>
          </cell>
          <cell r="E146" t="str">
            <v/>
          </cell>
          <cell r="F146" t="str">
            <v>0784140900190</v>
          </cell>
          <cell r="G146" t="str">
            <v/>
          </cell>
          <cell r="H146" t="str">
            <v/>
          </cell>
          <cell r="I146" t="str">
            <v/>
          </cell>
          <cell r="J146" t="str">
            <v>Ativo</v>
          </cell>
          <cell r="K146" t="str">
            <v>(61) 8290-1532</v>
          </cell>
          <cell r="L146" t="str">
            <v/>
          </cell>
          <cell r="M146" t="str">
            <v/>
          </cell>
          <cell r="N146" t="str">
            <v>fvserralheriadf@gmail.com</v>
          </cell>
          <cell r="O146" t="str">
            <v>72650-735</v>
          </cell>
          <cell r="P146" t="str">
            <v>QUADRA QUADRA 804 CONJUNTO 19                                , 32</v>
          </cell>
          <cell r="Q146" t="str">
            <v>RECANTO DAS EMAS</v>
          </cell>
        </row>
        <row r="147">
          <cell r="B147" t="str">
            <v>G.O PORTAS DE AÇO</v>
          </cell>
          <cell r="C147" t="str">
            <v>ALESSANDRO GOMES DE OLIVEIRA 86622170100</v>
          </cell>
          <cell r="D147" t="str">
            <v>22.655.918/0001-01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Inativo</v>
          </cell>
          <cell r="K147" t="str">
            <v>(60)9143-9930</v>
          </cell>
          <cell r="L147" t="str">
            <v/>
          </cell>
          <cell r="M147" t="str">
            <v/>
          </cell>
          <cell r="N147" t="str">
            <v>esgcont@hotmail.com</v>
          </cell>
          <cell r="O147" t="str">
            <v>74440-300</v>
          </cell>
          <cell r="P147" t="str">
            <v>AV SAO CLEMENTE                                , 963</v>
          </cell>
          <cell r="Q147" t="str">
            <v>SETOR SAO JOSE</v>
          </cell>
        </row>
        <row r="148">
          <cell r="B148" t="str">
            <v>G2 EQUIPAMENTOS &amp; SEGURANCA ELETRONICA</v>
          </cell>
          <cell r="C148" t="str">
            <v>G2 EQUIPAMENTOS &amp; SEGURANCA ELETRONICA LTDA</v>
          </cell>
          <cell r="D148" t="str">
            <v>49.697.534/0001-08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Ativo</v>
          </cell>
          <cell r="K148" t="str">
            <v>(61) 8227-7912</v>
          </cell>
          <cell r="L148" t="str">
            <v/>
          </cell>
          <cell r="M148" t="str">
            <v/>
          </cell>
          <cell r="N148" t="str">
            <v>gilvan20@hotmail.com</v>
          </cell>
          <cell r="O148" t="str">
            <v>72225-015</v>
          </cell>
          <cell r="P148" t="str">
            <v>QUADRA QNN 1 CONJUNTO E                                , SN</v>
          </cell>
          <cell r="Q148" t="str">
            <v>CEILANDIA NORTE (CEILANDIA)</v>
          </cell>
        </row>
        <row r="149">
          <cell r="B149" t="str">
            <v>GABRIEL DA SILVA COSTA</v>
          </cell>
          <cell r="C149" t="str">
            <v>58.334.949 GABRIEL DA SILVA COSTA</v>
          </cell>
          <cell r="D149" t="str">
            <v>58.334.949/0001-08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Inativo</v>
          </cell>
          <cell r="K149" t="str">
            <v>(61)9313-5352</v>
          </cell>
          <cell r="L149" t="str">
            <v/>
          </cell>
          <cell r="M149" t="str">
            <v/>
          </cell>
          <cell r="N149" t="str">
            <v>gsmix24@gmail.com</v>
          </cell>
          <cell r="O149" t="str">
            <v>71710-545</v>
          </cell>
          <cell r="P149" t="str">
            <v>AVENIDA SEGUNDA AVENIDA BLOCOS 790A/880A                                , 206</v>
          </cell>
          <cell r="Q149" t="str">
            <v>NUCLEO BANDEIRANTE</v>
          </cell>
        </row>
        <row r="150">
          <cell r="B150" t="str">
            <v>gbj gesso</v>
          </cell>
          <cell r="C150" t="str">
            <v>JULIO CESAR CIRILO DOS SANTOS 69973881168</v>
          </cell>
          <cell r="D150" t="str">
            <v>41.152.910/0001-77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Inativo</v>
          </cell>
          <cell r="K150" t="str">
            <v>(61)9871-8705</v>
          </cell>
          <cell r="L150" t="str">
            <v/>
          </cell>
          <cell r="M150" t="str">
            <v/>
          </cell>
          <cell r="N150" t="str">
            <v>gbgesso2014@gmail.com</v>
          </cell>
          <cell r="O150" t="str">
            <v>72630-119</v>
          </cell>
          <cell r="P150" t="str">
            <v>QUADRA QUADRA 401 CONJUNTO 19                                , 15</v>
          </cell>
          <cell r="Q150" t="str">
            <v>RECANTO DAS EMAS</v>
          </cell>
        </row>
        <row r="151">
          <cell r="B151" t="str">
            <v>GE CONSTRUCAO E INCORPORACOES</v>
          </cell>
          <cell r="C151" t="str">
            <v>JOSE GIL VIEIRA FILHO LTDA</v>
          </cell>
          <cell r="D151" t="str">
            <v>16.620.955/0001-81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>Inativo</v>
          </cell>
          <cell r="K151" t="str">
            <v>(61) 3351-8434 / (61) 9987-6636</v>
          </cell>
          <cell r="L151" t="str">
            <v/>
          </cell>
          <cell r="M151" t="str">
            <v/>
          </cell>
          <cell r="N151" t="str">
            <v>gilpneusltda@hotmail.com</v>
          </cell>
          <cell r="O151" t="str">
            <v>72140-460</v>
          </cell>
          <cell r="P151" t="str">
            <v>QUADRA QNJ 46 LOTE 52 SALA                                , 402</v>
          </cell>
          <cell r="Q151" t="str">
            <v>TAGUATINGA</v>
          </cell>
        </row>
        <row r="152">
          <cell r="B152" t="str">
            <v>Gean Claudio Gomes dos Santos</v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>984.025.361-15</v>
          </cell>
          <cell r="H152" t="str">
            <v/>
          </cell>
          <cell r="I152" t="str">
            <v/>
          </cell>
          <cell r="J152" t="str">
            <v>Ativo</v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</row>
        <row r="153">
          <cell r="B153" t="str">
            <v>Gefferson de Amorim</v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>040.551.851-03</v>
          </cell>
          <cell r="H153" t="str">
            <v/>
          </cell>
          <cell r="I153" t="str">
            <v/>
          </cell>
          <cell r="J153" t="str">
            <v>Ativo</v>
          </cell>
          <cell r="K153" t="str">
            <v/>
          </cell>
          <cell r="L153" t="str">
            <v/>
          </cell>
          <cell r="M153" t="str">
            <v/>
          </cell>
          <cell r="N153" t="str">
            <v>amoringefferson@gmail.com</v>
          </cell>
          <cell r="O153" t="str">
            <v>72910-016</v>
          </cell>
          <cell r="P153" t="str">
            <v>Quadra 35 Conjunto A</v>
          </cell>
          <cell r="Q153" t="str">
            <v>Parque da Barragem Setor 08</v>
          </cell>
        </row>
        <row r="154">
          <cell r="B154" t="str">
            <v>GENIVALDO CARVALHO LIMA</v>
          </cell>
          <cell r="C154" t="str">
            <v>GENIVALDO CARVALHO LIMA 36125466353</v>
          </cell>
          <cell r="D154" t="str">
            <v>27.089.451/0001-01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>Ativo</v>
          </cell>
          <cell r="K154" t="str">
            <v>(61) 8519-4645</v>
          </cell>
          <cell r="L154" t="str">
            <v/>
          </cell>
          <cell r="M154" t="str">
            <v/>
          </cell>
          <cell r="N154" t="str">
            <v/>
          </cell>
          <cell r="O154" t="str">
            <v>71976-200</v>
          </cell>
          <cell r="P154" t="str">
            <v>QUADRA QS 8 CONJUNTO 230D                                , 01</v>
          </cell>
          <cell r="Q154" t="str">
            <v>AREAL (AGUAS CLARAS)</v>
          </cell>
        </row>
        <row r="155">
          <cell r="B155" t="str">
            <v>Gesiel Da purificação Santos</v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>Inativo</v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</row>
        <row r="156">
          <cell r="B156" t="str">
            <v>GLOBAL FARMA</v>
          </cell>
          <cell r="C156" t="str">
            <v>DROGARIA DISTRITAL FARMA LTDA</v>
          </cell>
          <cell r="D156" t="str">
            <v>37.943.914/0001-04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>Inativo</v>
          </cell>
          <cell r="K156" t="str">
            <v>(61)3323-1004</v>
          </cell>
          <cell r="L156" t="str">
            <v/>
          </cell>
          <cell r="M156" t="str">
            <v/>
          </cell>
          <cell r="N156" t="str">
            <v>sobradinhofarmadrogaria@gmail.com</v>
          </cell>
          <cell r="O156" t="str">
            <v>73062-818</v>
          </cell>
          <cell r="P156" t="str">
            <v>AV CENTRAL CONJUNTO 18                                , S/N</v>
          </cell>
          <cell r="Q156" t="str">
            <v>SETOR OESTE (SOBRADINHO II)</v>
          </cell>
        </row>
        <row r="157">
          <cell r="B157" t="str">
            <v>GM PORTAS</v>
          </cell>
          <cell r="C157" t="str">
            <v>GERSON RODRIGUES DA SILVA FILHO 03583551176</v>
          </cell>
          <cell r="D157" t="str">
            <v>39.714.009/0001-08</v>
          </cell>
          <cell r="E157" t="str">
            <v>08.015.035/001-34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>Ativo</v>
          </cell>
          <cell r="K157" t="str">
            <v/>
          </cell>
          <cell r="L157" t="str">
            <v>61986094302</v>
          </cell>
          <cell r="M157" t="str">
            <v/>
          </cell>
          <cell r="N157" t="str">
            <v/>
          </cell>
          <cell r="O157" t="str">
            <v>71255-530</v>
          </cell>
          <cell r="P157" t="str">
            <v>Quadra 1 Conjunto 6                                , 22</v>
          </cell>
          <cell r="Q157" t="str">
            <v>Setor Oeste (Vila Estrutural)</v>
          </cell>
        </row>
        <row r="158">
          <cell r="B158" t="str">
            <v>Graziele Custódio Bianchetti</v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>497.166.648-69</v>
          </cell>
          <cell r="H158" t="str">
            <v/>
          </cell>
          <cell r="I158" t="str">
            <v/>
          </cell>
          <cell r="J158" t="str">
            <v>Inativo</v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>13780-121</v>
          </cell>
          <cell r="P158" t="str">
            <v>Avenida Prefeito Oswaldo Lopes                                , 188</v>
          </cell>
          <cell r="Q158" t="str">
            <v>Centro</v>
          </cell>
        </row>
        <row r="159">
          <cell r="B159" t="str">
            <v>GRIFF D´HOMEM</v>
          </cell>
          <cell r="C159" t="str">
            <v>GRIFF D´HOMEM COMERCIO VAREJISTA DE ROUPAS LTDA</v>
          </cell>
          <cell r="D159" t="str">
            <v>36.598.782/0001-50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Inativo</v>
          </cell>
          <cell r="K159" t="str">
            <v>(61)9142-8390</v>
          </cell>
          <cell r="L159" t="str">
            <v/>
          </cell>
          <cell r="M159" t="str">
            <v/>
          </cell>
          <cell r="N159" t="str">
            <v/>
          </cell>
          <cell r="O159" t="str">
            <v>72135-130</v>
          </cell>
          <cell r="P159" t="str">
            <v>QUADRA QI 13 LOTES                                , 1 A 14</v>
          </cell>
          <cell r="Q159" t="str">
            <v>SETOR INDUSTRIAL (TAGUATINGA)</v>
          </cell>
        </row>
        <row r="160">
          <cell r="B160" t="str">
            <v>GRUPO ELISA LTDA</v>
          </cell>
          <cell r="C160" t="str">
            <v>GRUPO ELISA LTDA</v>
          </cell>
          <cell r="D160" t="str">
            <v>20.462.028/0001-58</v>
          </cell>
          <cell r="E160" t="str">
            <v>0290616018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Inativo</v>
          </cell>
          <cell r="K160" t="str">
            <v/>
          </cell>
          <cell r="L160" t="str">
            <v>(61)99604-0411</v>
          </cell>
          <cell r="M160" t="str">
            <v/>
          </cell>
          <cell r="N160" t="str">
            <v/>
          </cell>
          <cell r="O160" t="str">
            <v>95055-652</v>
          </cell>
          <cell r="P160" t="str">
            <v>Rua Padre Elio Baron Toaldo                                , 555</v>
          </cell>
          <cell r="Q160" t="str">
            <v>Jardim das Hortências</v>
          </cell>
        </row>
        <row r="161">
          <cell r="B161" t="str">
            <v>Guevara Alves da Silva</v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>014.866.626-41</v>
          </cell>
          <cell r="H161" t="str">
            <v/>
          </cell>
          <cell r="I161" t="str">
            <v/>
          </cell>
          <cell r="J161" t="str">
            <v>Inativo</v>
          </cell>
          <cell r="K161" t="str">
            <v/>
          </cell>
          <cell r="L161" t="str">
            <v/>
          </cell>
          <cell r="M161" t="str">
            <v/>
          </cell>
          <cell r="N161" t="str">
            <v>guevara_unai@hotmail.com</v>
          </cell>
          <cell r="O161" t="str">
            <v>72301-562</v>
          </cell>
          <cell r="P161" t="str">
            <v>Quadra QS 113 Conjunto B                                , 1001</v>
          </cell>
          <cell r="Q161" t="str">
            <v>Samambaia Sul (Samambaia)</v>
          </cell>
        </row>
        <row r="162">
          <cell r="B162" t="str">
            <v>GUSTAVO DOS SANTOS SILVA</v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>030.036.791-04</v>
          </cell>
          <cell r="H162" t="str">
            <v/>
          </cell>
          <cell r="I162" t="str">
            <v/>
          </cell>
          <cell r="J162" t="str">
            <v>Inativo</v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>70701-010</v>
          </cell>
          <cell r="P162" t="str">
            <v>Quadra SHN Quadra 1 Bloco A Sala 1001, Ed.: LE QUARTIER                                , 1001</v>
          </cell>
          <cell r="Q162" t="str">
            <v>Asa Norte</v>
          </cell>
        </row>
        <row r="163">
          <cell r="B163" t="str">
            <v>Gustavo Gomes Cardoso</v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>012.482.741-13</v>
          </cell>
          <cell r="H163" t="str">
            <v/>
          </cell>
          <cell r="I163" t="str">
            <v/>
          </cell>
          <cell r="J163" t="str">
            <v>Inativo</v>
          </cell>
          <cell r="K163" t="str">
            <v/>
          </cell>
          <cell r="L163" t="str">
            <v/>
          </cell>
          <cell r="M163" t="str">
            <v/>
          </cell>
          <cell r="N163" t="str">
            <v>gustavo.cardoso@tjdft.jus.br</v>
          </cell>
          <cell r="O163" t="str">
            <v>71919-360</v>
          </cell>
          <cell r="P163" t="str">
            <v>Rua Rua 37</v>
          </cell>
          <cell r="Q163" t="str">
            <v>Norte (Águas Claras)</v>
          </cell>
        </row>
        <row r="164">
          <cell r="B164" t="str">
            <v>HAMMER</v>
          </cell>
          <cell r="C164" t="str">
            <v>HAMMER METALURGICA INDUSTRIA SERVICOS E COMERCIO EIRELI</v>
          </cell>
          <cell r="D164" t="str">
            <v>36.940.891/0001-03</v>
          </cell>
          <cell r="E164" t="str">
            <v>0797581300103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>Ativo</v>
          </cell>
          <cell r="K164" t="str">
            <v>(61) 8415-9929</v>
          </cell>
          <cell r="L164" t="str">
            <v/>
          </cell>
          <cell r="M164" t="str">
            <v/>
          </cell>
          <cell r="N164" t="str">
            <v>rjppinto@gmail.com</v>
          </cell>
          <cell r="O164" t="str">
            <v>71985-600</v>
          </cell>
          <cell r="P164" t="str">
            <v>A ADE CONJUNTO 3 LOTE                                , 14</v>
          </cell>
          <cell r="Q164" t="str">
            <v>AREA DE DESENVOLVIMENTO ECONOMICO (AGUAS CLAR</v>
          </cell>
        </row>
        <row r="165">
          <cell r="B165" t="str">
            <v>HC PORTAS DE ACO</v>
          </cell>
          <cell r="C165" t="str">
            <v>HC COMERCIO DE PERFILADOS E ACO LTDA.</v>
          </cell>
          <cell r="D165" t="str">
            <v>43.168.324/0001-46</v>
          </cell>
          <cell r="E165" t="str">
            <v>0807769000116</v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>Ativo</v>
          </cell>
          <cell r="K165" t="str">
            <v>(61) 8664-1514 / (61) 8664-1514</v>
          </cell>
          <cell r="L165" t="str">
            <v/>
          </cell>
          <cell r="M165" t="str">
            <v/>
          </cell>
          <cell r="N165" t="str">
            <v>hcportasdeaco@gmail.com</v>
          </cell>
          <cell r="O165" t="str">
            <v>72135-080</v>
          </cell>
          <cell r="P165" t="str">
            <v>QUADRA QI 08, LOTE                                , 82/84</v>
          </cell>
          <cell r="Q165" t="str">
            <v>SETOR INDUSTRIAL (TAGUATINGA)</v>
          </cell>
        </row>
        <row r="166">
          <cell r="B166" t="str">
            <v>Henrique Souza Gomes de Moraes</v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>364.884.438-52</v>
          </cell>
          <cell r="H166" t="str">
            <v/>
          </cell>
          <cell r="I166" t="str">
            <v/>
          </cell>
          <cell r="J166" t="str">
            <v>Ativo</v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>74933-130</v>
          </cell>
          <cell r="P166" t="str">
            <v>Rua Monte Carmelo</v>
          </cell>
          <cell r="Q166" t="str">
            <v>Cardoso</v>
          </cell>
        </row>
        <row r="167">
          <cell r="B167" t="str">
            <v>Herbert Dos Anjos</v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>426.943.138-50</v>
          </cell>
          <cell r="H167" t="str">
            <v/>
          </cell>
          <cell r="I167" t="str">
            <v/>
          </cell>
          <cell r="J167" t="str">
            <v>Inativo</v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>01135-000</v>
          </cell>
          <cell r="P167" t="str">
            <v>Rua Anhangüera                                , 374</v>
          </cell>
          <cell r="Q167" t="str">
            <v>Barra Funda</v>
          </cell>
        </row>
        <row r="168">
          <cell r="B168" t="str">
            <v>HIDROLIGHT DO BRASIL</v>
          </cell>
          <cell r="C168" t="str">
            <v>HIDROLIGHT DO BRASIL S.A</v>
          </cell>
          <cell r="D168" t="str">
            <v>08.762.826/0001-08</v>
          </cell>
          <cell r="E168" t="str">
            <v>255371080</v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>Inativo</v>
          </cell>
          <cell r="K168" t="str">
            <v>(48)3254-7700</v>
          </cell>
          <cell r="L168" t="str">
            <v/>
          </cell>
          <cell r="M168" t="str">
            <v/>
          </cell>
          <cell r="N168" t="str">
            <v>fiscal@hidrolight.com.br</v>
          </cell>
          <cell r="O168" t="str">
            <v>88495-000</v>
          </cell>
          <cell r="P168" t="str">
            <v>ROD DOS ACORES                                , 1150</v>
          </cell>
          <cell r="Q168" t="str">
            <v>AMBROSIO</v>
          </cell>
        </row>
        <row r="169">
          <cell r="B169" t="str">
            <v>HL aço engenharia LTDA</v>
          </cell>
          <cell r="C169" t="str">
            <v>HL aço engenharia LTDA</v>
          </cell>
          <cell r="D169" t="str">
            <v>39.377.454/0001-11</v>
          </cell>
          <cell r="E169" t="str">
            <v>0800893500128</v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>Inativo</v>
          </cell>
          <cell r="K169" t="str">
            <v/>
          </cell>
          <cell r="L169" t="str">
            <v>(61)98664-1514</v>
          </cell>
          <cell r="M169" t="str">
            <v/>
          </cell>
          <cell r="N169" t="str">
            <v/>
          </cell>
          <cell r="O169" t="str">
            <v>72135-040</v>
          </cell>
          <cell r="P169" t="str">
            <v>QI 4                                , 31</v>
          </cell>
          <cell r="Q169" t="str">
            <v>Setor Industrial (Taguatinga)</v>
          </cell>
        </row>
        <row r="170">
          <cell r="B170" t="str">
            <v>I2K CONSTRUTORA E EMPREENDIMENTOS</v>
          </cell>
          <cell r="C170" t="str">
            <v>I2K CONSTRUTORA E EMPREENDIMENTOS LTDA</v>
          </cell>
          <cell r="D170" t="str">
            <v>35.794.720/0001-50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>Inativo</v>
          </cell>
          <cell r="K170" t="str">
            <v>(98)8756-4056</v>
          </cell>
          <cell r="L170" t="str">
            <v/>
          </cell>
          <cell r="M170" t="str">
            <v/>
          </cell>
          <cell r="N170" t="str">
            <v/>
          </cell>
          <cell r="O170" t="str">
            <v>65021-210</v>
          </cell>
          <cell r="P170" t="str">
            <v>TRAVESSA PAULO VI                                , 06</v>
          </cell>
          <cell r="Q170" t="str">
            <v>DIAMANTE</v>
          </cell>
        </row>
        <row r="171">
          <cell r="B171" t="str">
            <v>IARLA  ANGÉLICA DO CARMO</v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>082.490.291-27</v>
          </cell>
          <cell r="H171" t="str">
            <v/>
          </cell>
          <cell r="I171" t="str">
            <v/>
          </cell>
          <cell r="J171" t="str">
            <v>Inativo</v>
          </cell>
          <cell r="K171" t="str">
            <v/>
          </cell>
          <cell r="L171" t="str">
            <v/>
          </cell>
          <cell r="M171" t="str">
            <v/>
          </cell>
          <cell r="N171" t="str">
            <v>iarla.22022003@gmail.com</v>
          </cell>
          <cell r="O171" t="str">
            <v>72630-650</v>
          </cell>
          <cell r="P171" t="str">
            <v>Setor Subcentro Urbano Rua 6                                , 06</v>
          </cell>
          <cell r="Q171" t="str">
            <v>Recanto das Emas</v>
          </cell>
        </row>
        <row r="172">
          <cell r="B172" t="str">
            <v>IDEAL PORTAS E MANUTENCAO</v>
          </cell>
          <cell r="C172" t="str">
            <v>JOSINEI DE JESUS MATOS COSTA LEITE 06389319169</v>
          </cell>
          <cell r="D172" t="str">
            <v>29.500.465/0001-93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>Ativo</v>
          </cell>
          <cell r="K172" t="str">
            <v>(61)3568-6592</v>
          </cell>
          <cell r="L172" t="str">
            <v/>
          </cell>
          <cell r="M172" t="str">
            <v/>
          </cell>
          <cell r="N172" t="str">
            <v>jocineijesus@gmail.com</v>
          </cell>
          <cell r="O172" t="str">
            <v>72001-275</v>
          </cell>
          <cell r="P172" t="str">
            <v>COND RUA 4 CHACARA 19                                , lt 52</v>
          </cell>
          <cell r="Q172" t="str">
            <v>SETOR HABITACIONAL SAMAMBAIA (VICENTE PIRES)</v>
          </cell>
        </row>
        <row r="173">
          <cell r="B173" t="str">
            <v>IGREJA EVANG PENT O BRASIL PARA CRISTO EM SAMAMBAIA</v>
          </cell>
          <cell r="C173" t="str">
            <v>IGREJA EVANGELICA PENTECOSTAL O BRASIL PARA CRISTO</v>
          </cell>
          <cell r="D173" t="str">
            <v>29.773.177/0001-02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>Inativo</v>
          </cell>
          <cell r="K173" t="str">
            <v>(61)3372-0226</v>
          </cell>
          <cell r="L173" t="str">
            <v/>
          </cell>
          <cell r="M173" t="str">
            <v/>
          </cell>
          <cell r="N173" t="str">
            <v/>
          </cell>
          <cell r="O173" t="str">
            <v>72316-004</v>
          </cell>
          <cell r="P173" t="str">
            <v>QUADRA QR 206 CONJUNTO 4 LOTE                                , 01</v>
          </cell>
          <cell r="Q173" t="str">
            <v>SAMAMBAIA NORTE (SAMAMBAIA)</v>
          </cell>
        </row>
        <row r="174">
          <cell r="B174" t="str">
            <v>IMPERATIZ PORTAS AUTOMATICAS</v>
          </cell>
          <cell r="C174" t="str">
            <v>P.N.D SILVA VENDA E SERVICOS DE PORTAS AUTOMATICA LTDA</v>
          </cell>
          <cell r="D174" t="str">
            <v>26.963.020/0001-51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>Inativo</v>
          </cell>
          <cell r="K174" t="str">
            <v>(21)7484-7027</v>
          </cell>
          <cell r="L174" t="str">
            <v/>
          </cell>
          <cell r="M174" t="str">
            <v/>
          </cell>
          <cell r="N174" t="str">
            <v>contato@imperatrizportas.com.br</v>
          </cell>
          <cell r="O174" t="str">
            <v>26130-001</v>
          </cell>
          <cell r="P174" t="str">
            <v>AVENIDA BENJAMIM PINTO DIAS                                , 1437</v>
          </cell>
          <cell r="Q174" t="str">
            <v>CENTRO</v>
          </cell>
        </row>
        <row r="175">
          <cell r="B175" t="str">
            <v>IMPERIAL INFORMATICA</v>
          </cell>
          <cell r="C175" t="str">
            <v>IMPERIAL COMERCIO DE INFORMATICA LTDA</v>
          </cell>
          <cell r="D175" t="str">
            <v>20.147.477/0001-01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>Inativo</v>
          </cell>
          <cell r="K175" t="str">
            <v>(61)9659-7803</v>
          </cell>
          <cell r="L175" t="str">
            <v/>
          </cell>
          <cell r="M175" t="str">
            <v/>
          </cell>
          <cell r="N175" t="str">
            <v>imperial.comercio5@gmail.com</v>
          </cell>
          <cell r="O175" t="str">
            <v>72450-120</v>
          </cell>
          <cell r="P175" t="str">
            <v>Q QUADRA 12 LOTE 11 LOJA                                , 01/02</v>
          </cell>
          <cell r="Q175" t="str">
            <v>SETOR LESTE (GAMA)</v>
          </cell>
        </row>
        <row r="176">
          <cell r="B176" t="str">
            <v>IMPERIO</v>
          </cell>
          <cell r="C176" t="str">
            <v>LANTERNART LANTERNAGEM E PINTURA LTDA</v>
          </cell>
          <cell r="D176" t="str">
            <v>03.206.928/0001-15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>Ativo</v>
          </cell>
          <cell r="K176" t="str">
            <v>(61) 8103-0020</v>
          </cell>
          <cell r="L176" t="str">
            <v/>
          </cell>
          <cell r="M176" t="str">
            <v/>
          </cell>
          <cell r="N176" t="str">
            <v/>
          </cell>
          <cell r="O176" t="str">
            <v>72237-410</v>
          </cell>
          <cell r="P176" t="str">
            <v>AREA ADE QUADRA 4 CONJUNTO A LOTE                                , 04</v>
          </cell>
          <cell r="Q176" t="str">
            <v>AREA DE DESENVOLVIMENTO ECONOMICO (CEILANDIA)</v>
          </cell>
        </row>
        <row r="177">
          <cell r="B177" t="str">
            <v>IMPERIO PORTAS DE ACO</v>
          </cell>
          <cell r="C177" t="str">
            <v>IMPERIO PORTAS DE ACO LTDA</v>
          </cell>
          <cell r="D177" t="str">
            <v>24.961.733/0002-31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>Ativo</v>
          </cell>
          <cell r="K177" t="str">
            <v>(62) 8593-8465</v>
          </cell>
          <cell r="L177" t="str">
            <v/>
          </cell>
          <cell r="M177" t="str">
            <v/>
          </cell>
          <cell r="N177" t="str">
            <v>imperioportasautomatica@gmail.com</v>
          </cell>
          <cell r="O177" t="str">
            <v>71988-360</v>
          </cell>
          <cell r="P177" t="str">
            <v>AREA ADE CONJUNTO 18                                , SN</v>
          </cell>
          <cell r="Q177" t="str">
            <v>AREA DE DESENVOLVIMENTO ECONOMICO (AGUAS CLAR</v>
          </cell>
        </row>
        <row r="178">
          <cell r="B178" t="str">
            <v>INVICTOS PORTAS AUTOMATICAS</v>
          </cell>
          <cell r="C178" t="str">
            <v>C S SILVA PORTAS AUTOMATICAS</v>
          </cell>
          <cell r="D178" t="str">
            <v>50.453.062/0001-27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>Ativo</v>
          </cell>
          <cell r="K178" t="str">
            <v>(21) 7200-1200</v>
          </cell>
          <cell r="L178" t="str">
            <v/>
          </cell>
          <cell r="M178" t="str">
            <v/>
          </cell>
          <cell r="N178" t="str">
            <v>invictosportasautomaticas@hotmail.com</v>
          </cell>
          <cell r="O178" t="str">
            <v>25931-294</v>
          </cell>
          <cell r="P178" t="str">
            <v>RUA SENHOR DO BONFIM                                , 318</v>
          </cell>
          <cell r="Q178" t="str">
            <v>CIDADE HORACIO (VILA INHOMIRIM)</v>
          </cell>
        </row>
        <row r="179">
          <cell r="B179" t="str">
            <v>Isaac Queiroz De Oliveira</v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>014.773.125-95</v>
          </cell>
          <cell r="H179" t="str">
            <v/>
          </cell>
          <cell r="I179" t="str">
            <v/>
          </cell>
          <cell r="J179" t="str">
            <v>Inativo</v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>40140-810</v>
          </cell>
          <cell r="P179" t="str">
            <v>Rua Doutor João Pondé                                , 358</v>
          </cell>
          <cell r="Q179" t="str">
            <v>Barra</v>
          </cell>
        </row>
        <row r="180">
          <cell r="B180" t="str">
            <v>Isaías Azevedo Silva</v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>068.515.623-08</v>
          </cell>
          <cell r="H180" t="str">
            <v/>
          </cell>
          <cell r="I180" t="str">
            <v/>
          </cell>
          <cell r="J180" t="str">
            <v>Ativo</v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>Recanto das emas 802 conjunto 26 casa 02</v>
          </cell>
          <cell r="Q180" t="str">
            <v>Recanto das emas</v>
          </cell>
        </row>
        <row r="181">
          <cell r="B181" t="str">
            <v>iSAIAS FRANÇA SOARES</v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>903.635.151-00</v>
          </cell>
          <cell r="H181" t="str">
            <v/>
          </cell>
          <cell r="I181" t="str">
            <v/>
          </cell>
          <cell r="J181" t="str">
            <v>Inativo</v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</row>
        <row r="182">
          <cell r="B182" t="str">
            <v>ISO REPRESENTACOES</v>
          </cell>
          <cell r="C182" t="str">
            <v>ISO COMERCIO E REPRESENTACOES LTDA</v>
          </cell>
          <cell r="D182" t="str">
            <v>26.754.459/0001-74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>Inativo</v>
          </cell>
          <cell r="K182" t="str">
            <v>(61)9962-2997</v>
          </cell>
          <cell r="L182" t="str">
            <v/>
          </cell>
          <cell r="M182" t="str">
            <v/>
          </cell>
          <cell r="N182" t="str">
            <v>veraluciamessias@yahoo.com.br</v>
          </cell>
          <cell r="O182" t="str">
            <v>72916-000</v>
          </cell>
          <cell r="P182" t="str">
            <v>QUADRA RUA 15 QD 30                                , 37</v>
          </cell>
          <cell r="Q182" t="str">
            <v>JARDIM PEROLA DA BARRAGEM I</v>
          </cell>
        </row>
        <row r="183">
          <cell r="B183" t="str">
            <v>ITATIAIA ATACADISTA</v>
          </cell>
          <cell r="C183" t="str">
            <v>ITATIAIA ATACADISTA LTDA</v>
          </cell>
          <cell r="D183" t="str">
            <v>06.862.927/0001-17</v>
          </cell>
          <cell r="E183" t="str">
            <v>07.457.706/001-95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>Inativo</v>
          </cell>
          <cell r="K183" t="str">
            <v>(61)3046-9450</v>
          </cell>
          <cell r="L183" t="str">
            <v/>
          </cell>
          <cell r="M183" t="str">
            <v/>
          </cell>
          <cell r="N183" t="str">
            <v>fiscal3@elycontabilidade.com.br</v>
          </cell>
          <cell r="O183" t="str">
            <v>71200-037</v>
          </cell>
          <cell r="P183" t="str">
            <v>TR SIA TRECHO 3/4                                , 465</v>
          </cell>
          <cell r="Q183" t="str">
            <v>ZONA INDUSTRIAL (GUARA)</v>
          </cell>
        </row>
        <row r="184">
          <cell r="B184" t="str">
            <v>J A METALURGICA</v>
          </cell>
          <cell r="C184" t="str">
            <v>J A METALURGICA LTDA</v>
          </cell>
          <cell r="D184" t="str">
            <v>57.845.829/0001-02</v>
          </cell>
          <cell r="E184" t="str">
            <v>223841299</v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>Inativo</v>
          </cell>
          <cell r="K184" t="str">
            <v>(75)9861-1222</v>
          </cell>
          <cell r="L184" t="str">
            <v/>
          </cell>
          <cell r="M184" t="str">
            <v/>
          </cell>
          <cell r="N184" t="str">
            <v>jametalurgicafsa@gmail.com</v>
          </cell>
          <cell r="O184" t="str">
            <v>44020-105</v>
          </cell>
          <cell r="P184" t="str">
            <v>RUA JOSE TAVARES CARNEIRO                                , 56</v>
          </cell>
          <cell r="Q184" t="str">
            <v>BARAUNA</v>
          </cell>
        </row>
        <row r="185">
          <cell r="B185" t="str">
            <v>J R MANUTENCAO</v>
          </cell>
          <cell r="C185" t="str">
            <v>J R CASTRO DA SILVA MANUTENCAO</v>
          </cell>
          <cell r="D185" t="str">
            <v>18.286.730/0001-66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>Ativo</v>
          </cell>
          <cell r="K185" t="str">
            <v>(61) 9644-5874</v>
          </cell>
          <cell r="L185" t="str">
            <v/>
          </cell>
          <cell r="M185" t="str">
            <v/>
          </cell>
          <cell r="N185" t="str">
            <v/>
          </cell>
          <cell r="O185" t="str">
            <v>71880-697</v>
          </cell>
          <cell r="P185" t="str">
            <v>QUADRA QN 30 CONJUNTO 3                                , 08</v>
          </cell>
          <cell r="Q185" t="str">
            <v>RIACHO FUNDO II</v>
          </cell>
        </row>
        <row r="186">
          <cell r="B186" t="str">
            <v>J.A Portas</v>
          </cell>
          <cell r="C186" t="str">
            <v>32.444.757 JOSE EUSEBIO RIBEIRO DE LIMA SILVA</v>
          </cell>
          <cell r="D186" t="str">
            <v>32.444.757/0001-60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>Ativo</v>
          </cell>
          <cell r="K186" t="str">
            <v>61996296498</v>
          </cell>
          <cell r="L186" t="str">
            <v>61995666862</v>
          </cell>
          <cell r="M186" t="str">
            <v/>
          </cell>
          <cell r="N186" t="str">
            <v>joseeusebiordls@gmail.com</v>
          </cell>
          <cell r="O186" t="str">
            <v>72339-127</v>
          </cell>
          <cell r="P186" t="str">
            <v>QUADRA QR 827 CONJUNTO 12                                , 44</v>
          </cell>
          <cell r="Q186" t="str">
            <v>SAMAMBAIA NORTE (SAMAMBAIA)</v>
          </cell>
        </row>
        <row r="187">
          <cell r="B187" t="str">
            <v>Jaime DF portas</v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>271.033.231-00</v>
          </cell>
          <cell r="H187" t="str">
            <v/>
          </cell>
          <cell r="I187" t="str">
            <v/>
          </cell>
          <cell r="J187" t="str">
            <v>Ativo</v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>CONDOMÍNIO HAWAÍ</v>
          </cell>
          <cell r="Q187" t="str">
            <v>JOKEY</v>
          </cell>
        </row>
        <row r="188">
          <cell r="B188" t="str">
            <v>Jaime Francisco Godinho</v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>297.033.601-49</v>
          </cell>
          <cell r="H188" t="str">
            <v/>
          </cell>
          <cell r="I188" t="str">
            <v/>
          </cell>
          <cell r="J188" t="str">
            <v>Inativo</v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>QS 402 conj o lote o9</v>
          </cell>
          <cell r="Q188" t="str">
            <v/>
          </cell>
        </row>
        <row r="189">
          <cell r="B189" t="str">
            <v>Jaime Trindade da Silva</v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>048.701.831-10</v>
          </cell>
          <cell r="H189" t="str">
            <v/>
          </cell>
          <cell r="I189" t="str">
            <v/>
          </cell>
          <cell r="J189" t="str">
            <v>Inativo</v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>Quadra 58 lote 40 del lago Itapoã</v>
          </cell>
          <cell r="Q189" t="str">
            <v/>
          </cell>
        </row>
        <row r="190">
          <cell r="B190" t="str">
            <v>Jaime Trindade da Silva</v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>048.701.831-10</v>
          </cell>
          <cell r="H190" t="str">
            <v/>
          </cell>
          <cell r="I190" t="str">
            <v/>
          </cell>
          <cell r="J190" t="str">
            <v>Inativo</v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>Quadra 58 lote 40 del lago Itapoã</v>
          </cell>
          <cell r="Q190" t="str">
            <v/>
          </cell>
        </row>
        <row r="191">
          <cell r="B191" t="str">
            <v>Jair Biscuola Junior</v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>302.353.608-21</v>
          </cell>
          <cell r="H191" t="str">
            <v/>
          </cell>
          <cell r="I191" t="str">
            <v/>
          </cell>
          <cell r="J191" t="str">
            <v>Inativo</v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>09341-550</v>
          </cell>
          <cell r="P191" t="str">
            <v>Avenida Barão de Mauá                                , 5121</v>
          </cell>
          <cell r="Q191" t="str">
            <v>Jardim Itapeva</v>
          </cell>
        </row>
        <row r="192">
          <cell r="B192" t="str">
            <v>JANILSON DE SOLSA SILVA</v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>039.737.342-24</v>
          </cell>
          <cell r="H192" t="str">
            <v/>
          </cell>
          <cell r="I192" t="str">
            <v/>
          </cell>
          <cell r="J192" t="str">
            <v>Ativo</v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>QUADRA 10 LOTE 52 JARDIM AGUAS LINDAS 02</v>
          </cell>
          <cell r="Q192" t="str">
            <v/>
          </cell>
        </row>
        <row r="193">
          <cell r="B193" t="str">
            <v>Japão da construção</v>
          </cell>
          <cell r="C193" t="str">
            <v>VIA AREAL MATERIAIS PARA CONSTRUCAO LTDA</v>
          </cell>
          <cell r="D193" t="str">
            <v>27.965.530/0001-20</v>
          </cell>
          <cell r="E193" t="str">
            <v>0781450100112</v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Inativo</v>
          </cell>
          <cell r="K193" t="str">
            <v>(61)3333-0203</v>
          </cell>
          <cell r="L193" t="str">
            <v>99252-6804</v>
          </cell>
          <cell r="M193" t="str">
            <v/>
          </cell>
          <cell r="N193" t="str">
            <v>imperiocont@autlook.com.br</v>
          </cell>
          <cell r="O193" t="str">
            <v>71977-180</v>
          </cell>
          <cell r="P193" t="str">
            <v>Q QS 9 RUA 120 LOTE 16B                                , S/N</v>
          </cell>
          <cell r="Q193" t="str">
            <v>AREAL (AGUAS CLARAS)</v>
          </cell>
        </row>
        <row r="194">
          <cell r="B194" t="str">
            <v>JAQUISON TRINDADE DA SILVA</v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>718.146.591-02</v>
          </cell>
          <cell r="H194" t="str">
            <v/>
          </cell>
          <cell r="I194" t="str">
            <v/>
          </cell>
          <cell r="J194" t="str">
            <v>Inativo</v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>RUA 10 CASA 05 VICENTE PIRES</v>
          </cell>
          <cell r="Q194" t="str">
            <v>VICENTE PIRES</v>
          </cell>
        </row>
        <row r="195">
          <cell r="B195" t="str">
            <v>JC CONSTRUCOES E REFROMAS</v>
          </cell>
          <cell r="C195" t="str">
            <v>JC SERVICOS DE CONSTRUCOES E REFROMAS LTDA</v>
          </cell>
          <cell r="D195" t="str">
            <v>14.432.672/0001-80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>Ativo</v>
          </cell>
          <cell r="K195" t="str">
            <v>(61) 7401-0030</v>
          </cell>
          <cell r="L195" t="str">
            <v/>
          </cell>
          <cell r="M195" t="str">
            <v/>
          </cell>
          <cell r="N195" t="str">
            <v>cleonis.mestre@gmail.com</v>
          </cell>
          <cell r="O195" t="str">
            <v>70340-908</v>
          </cell>
          <cell r="P195" t="str">
            <v>SETOR SRTVS QUADRA 701 BLOCO K                                , SN</v>
          </cell>
          <cell r="Q195" t="str">
            <v>ASA SUL</v>
          </cell>
        </row>
        <row r="196">
          <cell r="B196" t="str">
            <v>JM DESING DE PORTAS AUTOMATICAS</v>
          </cell>
          <cell r="C196" t="str">
            <v>JM PORTAS AUTOMATICAS LTDA</v>
          </cell>
          <cell r="D196" t="str">
            <v>53.827.748/0001-29</v>
          </cell>
          <cell r="E196" t="str">
            <v>0827946100180</v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>Ativo</v>
          </cell>
          <cell r="K196" t="str">
            <v>(61) 9347-4982 / (0000) 0000-0000</v>
          </cell>
          <cell r="L196" t="str">
            <v/>
          </cell>
          <cell r="M196" t="str">
            <v/>
          </cell>
          <cell r="N196" t="str">
            <v>elisabethjmportas@gmail.com</v>
          </cell>
          <cell r="O196" t="str">
            <v>72314-709</v>
          </cell>
          <cell r="P196" t="str">
            <v>AVENIDA ADE CJ 9 LT 13                                , S/N</v>
          </cell>
          <cell r="Q196" t="str">
            <v>SAMAMBAIA</v>
          </cell>
        </row>
        <row r="197">
          <cell r="B197" t="str">
            <v>JOAO CARLOS MATOS LOBATO</v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>Ativo</v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>72871-058</v>
          </cell>
          <cell r="P197" t="str">
            <v>Rua 58                                , 58</v>
          </cell>
          <cell r="Q197" t="str">
            <v>Jardim Céu Azul</v>
          </cell>
        </row>
        <row r="198">
          <cell r="B198" t="str">
            <v>João Eudes Pereira</v>
          </cell>
          <cell r="C198" t="str">
            <v>JC portas</v>
          </cell>
          <cell r="D198" t="str">
            <v/>
          </cell>
          <cell r="E198" t="str">
            <v/>
          </cell>
          <cell r="F198" t="str">
            <v/>
          </cell>
          <cell r="G198" t="str">
            <v>606.860.953-75</v>
          </cell>
          <cell r="H198" t="str">
            <v/>
          </cell>
          <cell r="I198" t="str">
            <v/>
          </cell>
          <cell r="J198" t="str">
            <v>Ativo</v>
          </cell>
          <cell r="K198" t="str">
            <v/>
          </cell>
          <cell r="L198" t="str">
            <v>61998523223</v>
          </cell>
          <cell r="M198" t="str">
            <v/>
          </cell>
          <cell r="N198" t="str">
            <v/>
          </cell>
          <cell r="O198" t="str">
            <v>71697-335</v>
          </cell>
          <cell r="P198" t="str">
            <v>Vila do Boa Rua São Lucas                                , 131</v>
          </cell>
          <cell r="Q198" t="str">
            <v>Vila do Boa (São Sebastião)</v>
          </cell>
        </row>
        <row r="199">
          <cell r="B199" t="str">
            <v>JOAO PAULO GUIOTTI</v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>001.637.191-79</v>
          </cell>
          <cell r="H199" t="str">
            <v/>
          </cell>
          <cell r="I199" t="str">
            <v/>
          </cell>
          <cell r="J199" t="str">
            <v>Ativo</v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>QNG 05 CASA 45</v>
          </cell>
          <cell r="Q199" t="str">
            <v>TAGUATINGA NORTE</v>
          </cell>
        </row>
        <row r="200">
          <cell r="B200" t="str">
            <v>JOAO PORTAS AUTOMATICAS</v>
          </cell>
          <cell r="C200" t="str">
            <v>JOAO PORTAS AUTOMATICAS LTDA</v>
          </cell>
          <cell r="D200" t="str">
            <v>61.571.563/0001-24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>Ativo</v>
          </cell>
          <cell r="K200" t="str">
            <v>(94) 9157-5581</v>
          </cell>
          <cell r="L200" t="str">
            <v/>
          </cell>
          <cell r="M200" t="str">
            <v/>
          </cell>
          <cell r="N200" t="str">
            <v>joao.mdrf.31@gmail.com</v>
          </cell>
          <cell r="O200" t="str">
            <v>68552-520</v>
          </cell>
          <cell r="P200" t="str">
            <v>R VINTE E UM                                , 66</v>
          </cell>
          <cell r="Q200" t="str">
            <v>ADEMAR GUIMARAES</v>
          </cell>
        </row>
        <row r="201">
          <cell r="B201" t="str">
            <v>joaquin alves filho</v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>Inativo</v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</row>
        <row r="202">
          <cell r="B202" t="str">
            <v>Jonas Gomes Nascimento Fiho</v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>663.384.501-44</v>
          </cell>
          <cell r="H202" t="str">
            <v/>
          </cell>
          <cell r="I202" t="str">
            <v/>
          </cell>
          <cell r="J202" t="str">
            <v>Inativo</v>
          </cell>
          <cell r="K202" t="str">
            <v/>
          </cell>
          <cell r="L202" t="str">
            <v/>
          </cell>
          <cell r="M202" t="str">
            <v/>
          </cell>
          <cell r="N202" t="str">
            <v>Jonasgnfilho@gmail.com</v>
          </cell>
          <cell r="O202" t="str">
            <v>71215-100</v>
          </cell>
          <cell r="P202" t="str">
            <v>Setor SGCV</v>
          </cell>
          <cell r="Q202" t="str">
            <v>Zona Industrial (Guará)</v>
          </cell>
        </row>
        <row r="203">
          <cell r="B203" t="str">
            <v>JONATA EURIPEDES BRAGA PARANHOS</v>
          </cell>
          <cell r="C203" t="str">
            <v>27.005.136 JONATA EURIPEDES BRAGA PARANHOS</v>
          </cell>
          <cell r="D203" t="str">
            <v>27.005.136/0001-40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>Inativo</v>
          </cell>
          <cell r="K203" t="str">
            <v>(16)9271-4880</v>
          </cell>
          <cell r="L203" t="str">
            <v/>
          </cell>
          <cell r="M203" t="str">
            <v/>
          </cell>
          <cell r="N203" t="str">
            <v>adm.fachadascv@gmail.com</v>
          </cell>
          <cell r="O203" t="str">
            <v>38413-195</v>
          </cell>
          <cell r="P203" t="str">
            <v>RUA DO CARTEIRO                                , 388</v>
          </cell>
          <cell r="Q203" t="str">
            <v>PLANALTO</v>
          </cell>
        </row>
        <row r="204">
          <cell r="B204" t="str">
            <v>JONATAS MEDEIROS DE OLIVEIRA</v>
          </cell>
          <cell r="C204" t="str">
            <v/>
          </cell>
          <cell r="D204" t="str">
            <v>36.666.943/0001-03</v>
          </cell>
          <cell r="E204" t="str">
            <v>15.685.617-4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>Ativo</v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>62125-582</v>
          </cell>
          <cell r="P204" t="str">
            <v>QUA L (CJ SAINT CLAIR PASSARINHO)                                , 02</v>
          </cell>
          <cell r="Q204" t="str">
            <v>ICUI-GUAJARA</v>
          </cell>
        </row>
        <row r="205">
          <cell r="B205" t="str">
            <v>Jonathan Machado</v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>032.546.891-51</v>
          </cell>
          <cell r="H205" t="str">
            <v/>
          </cell>
          <cell r="I205" t="str">
            <v/>
          </cell>
          <cell r="J205" t="str">
            <v>Inativo</v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>71928-000</v>
          </cell>
          <cell r="P205" t="str">
            <v>Rua Babaçu</v>
          </cell>
          <cell r="Q205" t="str">
            <v>Sul (Águas Claras)</v>
          </cell>
        </row>
        <row r="206">
          <cell r="B206" t="str">
            <v>Jorge dos santos</v>
          </cell>
          <cell r="C206" t="str">
            <v>JORGE DOS SANTOS 56997370578</v>
          </cell>
          <cell r="D206" t="str">
            <v>12.389.562/0001-58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>Inativo</v>
          </cell>
          <cell r="K206" t="str">
            <v>(61)9628-6137</v>
          </cell>
          <cell r="L206" t="str">
            <v/>
          </cell>
          <cell r="M206" t="str">
            <v/>
          </cell>
          <cell r="N206" t="str">
            <v/>
          </cell>
          <cell r="O206" t="str">
            <v>71882-265</v>
          </cell>
          <cell r="P206" t="str">
            <v>Q QC 6 CONJUNTO 15                                , 22</v>
          </cell>
          <cell r="Q206" t="str">
            <v>RIACHO FUNDO II</v>
          </cell>
        </row>
        <row r="207">
          <cell r="B207" t="str">
            <v>Jorge Paulo de Rezende</v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>658.861.601-59</v>
          </cell>
          <cell r="H207" t="str">
            <v/>
          </cell>
          <cell r="I207" t="str">
            <v/>
          </cell>
          <cell r="J207" t="str">
            <v>Inativo</v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>72006-650</v>
          </cell>
          <cell r="P207" t="str">
            <v>Rua 7 Chácara 335A</v>
          </cell>
          <cell r="Q207" t="str">
            <v>Setor Habitacional Vicente Pires</v>
          </cell>
        </row>
        <row r="208">
          <cell r="B208" t="str">
            <v>JOSE DE JESUS DO NASCIMENTO SOUZA</v>
          </cell>
          <cell r="C208" t="str">
            <v>JJ</v>
          </cell>
          <cell r="D208" t="str">
            <v/>
          </cell>
          <cell r="E208" t="str">
            <v/>
          </cell>
          <cell r="F208" t="str">
            <v/>
          </cell>
          <cell r="G208" t="str">
            <v>030.438.723-12</v>
          </cell>
          <cell r="H208" t="str">
            <v>0290680820058</v>
          </cell>
          <cell r="I208" t="str">
            <v>1987-11-05</v>
          </cell>
          <cell r="J208" t="str">
            <v>Ativo</v>
          </cell>
          <cell r="K208" t="str">
            <v>61983553073</v>
          </cell>
          <cell r="L208" t="str">
            <v>61983553073</v>
          </cell>
          <cell r="M208" t="str">
            <v/>
          </cell>
          <cell r="N208" t="str">
            <v>jotasouza05@gmail.com</v>
          </cell>
          <cell r="O208" t="str">
            <v>71880-643</v>
          </cell>
          <cell r="P208" t="str">
            <v>Quadra QN 27 Conjunto 3                                , 01</v>
          </cell>
          <cell r="Q208" t="str">
            <v>Riacho Fundo II</v>
          </cell>
        </row>
        <row r="209">
          <cell r="B209" t="str">
            <v>JOSE ROBERTO GUERREIRO PEREIRA</v>
          </cell>
          <cell r="C209" t="str">
            <v>57.834.122 JOSE ROBERTO GUERREIRO PEREIRA</v>
          </cell>
          <cell r="D209" t="str">
            <v>57.834.122/0001-09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>Inativo</v>
          </cell>
          <cell r="K209" t="str">
            <v>(92)9148-0111</v>
          </cell>
          <cell r="L209" t="str">
            <v/>
          </cell>
          <cell r="M209" t="str">
            <v/>
          </cell>
          <cell r="N209" t="str">
            <v>robertoguerreiropereira@gmail.com</v>
          </cell>
          <cell r="O209" t="str">
            <v>69099-029</v>
          </cell>
          <cell r="P209" t="str">
            <v>Rua Ibicaré                                , 254</v>
          </cell>
          <cell r="Q209" t="str">
            <v>Novo Aleixo</v>
          </cell>
        </row>
        <row r="210">
          <cell r="B210" t="str">
            <v>Joyce Pimentel Barbosa Souza</v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>037.013.161-47</v>
          </cell>
          <cell r="H210" t="str">
            <v/>
          </cell>
          <cell r="I210" t="str">
            <v/>
          </cell>
          <cell r="J210" t="str">
            <v>Inativo</v>
          </cell>
          <cell r="K210" t="str">
            <v/>
          </cell>
          <cell r="L210" t="str">
            <v/>
          </cell>
          <cell r="M210" t="str">
            <v/>
          </cell>
          <cell r="N210" t="str">
            <v>Cerimonialjoyce@gmail.com</v>
          </cell>
          <cell r="O210" t="str">
            <v>71828-660</v>
          </cell>
          <cell r="P210" t="str">
            <v>Residencial Paulo Arantes Quadra 6</v>
          </cell>
          <cell r="Q210" t="str">
            <v>Riacho Fundo I</v>
          </cell>
        </row>
        <row r="211">
          <cell r="B211" t="str">
            <v>JP AUTOMATIZADORES</v>
          </cell>
          <cell r="C211" t="str">
            <v>JEAN PORTAS AUTOMATICAS LTDA</v>
          </cell>
          <cell r="D211" t="str">
            <v>14.258.028/0001-38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>Ativo</v>
          </cell>
          <cell r="K211" t="str">
            <v>(21) 7022-9133</v>
          </cell>
          <cell r="L211" t="str">
            <v/>
          </cell>
          <cell r="M211" t="str">
            <v/>
          </cell>
          <cell r="N211" t="str">
            <v>contatojeanportas@gmail.com</v>
          </cell>
          <cell r="O211" t="str">
            <v>25976-120</v>
          </cell>
          <cell r="P211" t="str">
            <v>RUA AVELINO MACHADO BASTOS                                , FUNDOS</v>
          </cell>
          <cell r="Q211" t="str">
            <v>PRATA</v>
          </cell>
        </row>
        <row r="212">
          <cell r="B212" t="str">
            <v>JR SERRALHERIA</v>
          </cell>
          <cell r="C212" t="str">
            <v>JORGE LUIS PEREIRA SOUZA JUNIOR 04378166135</v>
          </cell>
          <cell r="D212" t="str">
            <v>32.754.089/0001-78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>Ativo</v>
          </cell>
          <cell r="K212" t="str">
            <v>(61) 8546-2040</v>
          </cell>
          <cell r="L212" t="str">
            <v/>
          </cell>
          <cell r="M212" t="str">
            <v/>
          </cell>
          <cell r="N212" t="str">
            <v>juniorenzogabriel287@gmail.com</v>
          </cell>
          <cell r="O212" t="str">
            <v>72874-035</v>
          </cell>
          <cell r="P212" t="str">
            <v>RUA ITACURUCA (QUADRAS 09 A 12)                                , SN</v>
          </cell>
          <cell r="Q212" t="str">
            <v>PARQUE ARARUAMA</v>
          </cell>
        </row>
        <row r="213">
          <cell r="B213" t="str">
            <v>JR.ENG. INSTALACOES</v>
          </cell>
          <cell r="C213" t="str">
            <v>NKA - INSTALACOES ELETRICA E MANUTENCAO LTDA</v>
          </cell>
          <cell r="D213" t="str">
            <v>51.939.867/0001-48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>Inativo</v>
          </cell>
          <cell r="K213" t="str">
            <v>(61) 9271-3965 / (0000) 0000-0000</v>
          </cell>
          <cell r="L213" t="str">
            <v/>
          </cell>
          <cell r="M213" t="str">
            <v/>
          </cell>
          <cell r="N213" t="str">
            <v>cardoso.nei@gmail.com</v>
          </cell>
          <cell r="O213" t="str">
            <v>71994-380</v>
          </cell>
          <cell r="P213" t="str">
            <v>SETOR SHA CONJUNTO 4 CHACARA 68 LOTE                                , 5A</v>
          </cell>
          <cell r="Q213" t="str">
            <v>SETOR HABITACIONAL ARNIQUEIRA (AGUAS CLARAS)</v>
          </cell>
        </row>
        <row r="214">
          <cell r="B214" t="str">
            <v>JS SECURITY</v>
          </cell>
          <cell r="C214" t="str">
            <v>JS SECURITY EIRELI</v>
          </cell>
          <cell r="D214" t="str">
            <v>35.348.836/0001-66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>Inativo</v>
          </cell>
          <cell r="K214" t="str">
            <v>(61)8145-8054</v>
          </cell>
          <cell r="L214" t="str">
            <v/>
          </cell>
          <cell r="M214" t="str">
            <v/>
          </cell>
          <cell r="N214" t="str">
            <v>jobertsoares020@gmail.com</v>
          </cell>
          <cell r="O214" t="str">
            <v>72915-033</v>
          </cell>
          <cell r="P214" t="str">
            <v>R 15, QUADRA 23, LOTE                                , 15</v>
          </cell>
          <cell r="Q214" t="str">
            <v>JARDIM BRASILIA</v>
          </cell>
        </row>
        <row r="215">
          <cell r="B215" t="str">
            <v>JSC INOX</v>
          </cell>
          <cell r="C215" t="str">
            <v>JSC INOX LTDA</v>
          </cell>
          <cell r="D215" t="str">
            <v>09.285.871/0001-73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>Inativo</v>
          </cell>
          <cell r="K215" t="str">
            <v>(61)8621-0763</v>
          </cell>
          <cell r="L215" t="str">
            <v/>
          </cell>
          <cell r="M215" t="str">
            <v/>
          </cell>
          <cell r="N215" t="str">
            <v>jsc.inox@hotmail.com</v>
          </cell>
          <cell r="O215" t="str">
            <v>72549-415</v>
          </cell>
          <cell r="P215" t="str">
            <v>QUADRA AC 419 CONJUNTO C LOTE                                , 06</v>
          </cell>
          <cell r="Q215" t="str">
            <v>SANTA MARIA</v>
          </cell>
        </row>
        <row r="216">
          <cell r="B216" t="str">
            <v>Júlia de Menezes Lameira Pereira</v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>047.305.361-69</v>
          </cell>
          <cell r="H216" t="str">
            <v/>
          </cell>
          <cell r="I216" t="str">
            <v/>
          </cell>
          <cell r="J216" t="str">
            <v>Inativo</v>
          </cell>
          <cell r="K216" t="str">
            <v/>
          </cell>
          <cell r="L216" t="str">
            <v/>
          </cell>
          <cell r="M216" t="str">
            <v/>
          </cell>
          <cell r="N216" t="str">
            <v>julialammeira@gmail.com</v>
          </cell>
          <cell r="O216" t="str">
            <v>71936-250</v>
          </cell>
          <cell r="P216" t="str">
            <v>Avenida das Araucárias</v>
          </cell>
          <cell r="Q216" t="str">
            <v>Sul (Águas Claras)</v>
          </cell>
        </row>
        <row r="217">
          <cell r="B217" t="str">
            <v>Julio Gonçalves da Silva</v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>539.497.651-15</v>
          </cell>
          <cell r="H217" t="str">
            <v/>
          </cell>
          <cell r="I217" t="str">
            <v/>
          </cell>
          <cell r="J217" t="str">
            <v>Inativo</v>
          </cell>
          <cell r="K217" t="str">
            <v/>
          </cell>
          <cell r="L217" t="str">
            <v/>
          </cell>
          <cell r="M217" t="str">
            <v/>
          </cell>
          <cell r="N217" t="str">
            <v>juliogsilva29@gmail.com</v>
          </cell>
          <cell r="O217" t="str">
            <v>72210-121</v>
          </cell>
          <cell r="P217" t="str">
            <v>Quadra QNM 12 Via NM 12A</v>
          </cell>
          <cell r="Q217" t="str">
            <v>Ceilândia Norte (Ceilândia)</v>
          </cell>
        </row>
        <row r="218">
          <cell r="B218" t="str">
            <v>JUNIOR CESAR LIMA DE JESUS</v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>048.652.911-80</v>
          </cell>
          <cell r="H218" t="str">
            <v/>
          </cell>
          <cell r="I218" t="str">
            <v/>
          </cell>
          <cell r="J218" t="str">
            <v>Inativo</v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>73381-102</v>
          </cell>
          <cell r="P218" t="str">
            <v>Conjunto Conjunto Residencial 102                                , 102</v>
          </cell>
          <cell r="Q218" t="str">
            <v>Vale do Amanhecer (Planaltina)</v>
          </cell>
        </row>
        <row r="219">
          <cell r="B219" t="str">
            <v>JUNIOR CESAR LIMA DE JESUS</v>
          </cell>
          <cell r="C219" t="str">
            <v>58.730.074 JUNIOR CESAR LIMA DE JESUS</v>
          </cell>
          <cell r="D219" t="str">
            <v>58.730.074/0001-63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>Inativo</v>
          </cell>
          <cell r="K219" t="str">
            <v>(61)9295-6589</v>
          </cell>
          <cell r="L219" t="str">
            <v/>
          </cell>
          <cell r="M219" t="str">
            <v/>
          </cell>
          <cell r="N219" t="str">
            <v>360degue0@gmail.com</v>
          </cell>
          <cell r="O219" t="str">
            <v>73381-102</v>
          </cell>
          <cell r="P219" t="str">
            <v>CONJUNTO CONJUNTO RESIDENCIAL 102                                , 02</v>
          </cell>
          <cell r="Q219" t="str">
            <v>VALE DO AMANHECER (PLANALTINA)</v>
          </cell>
        </row>
        <row r="220">
          <cell r="B220" t="str">
            <v>K8 ENGENHARIA</v>
          </cell>
          <cell r="C220" t="str">
            <v>K8 SOLUCOES E SERVICOS LTDA</v>
          </cell>
          <cell r="D220" t="str">
            <v>41.105.716/0001-30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>Ativo</v>
          </cell>
          <cell r="K220" t="str">
            <v>(61) 8157-4743 / (61) 8157-4743</v>
          </cell>
          <cell r="L220" t="str">
            <v/>
          </cell>
          <cell r="M220" t="str">
            <v/>
          </cell>
          <cell r="N220" t="str">
            <v>k8solucoeseservicos@gmail.com</v>
          </cell>
          <cell r="O220" t="str">
            <v>71918-180</v>
          </cell>
          <cell r="P220" t="str">
            <v>RUA 30 LOTE                                , 04</v>
          </cell>
          <cell r="Q220" t="str">
            <v>NORTE (AGUAS CLARAS)</v>
          </cell>
        </row>
        <row r="221">
          <cell r="B221" t="str">
            <v>KANNEL PORTAS AUTOMATICAS</v>
          </cell>
          <cell r="C221" t="str">
            <v>KANNEL PORTAS AUTOMATICAS COMERCIO E SERVICOS LTDA</v>
          </cell>
          <cell r="D221" t="str">
            <v>46.261.153/0001-93</v>
          </cell>
          <cell r="E221" t="str">
            <v>0813412400165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>Ativo</v>
          </cell>
          <cell r="K221" t="str">
            <v>(61) 3356-0494/ (0000) 0000-0000</v>
          </cell>
          <cell r="L221" t="str">
            <v>61999996101</v>
          </cell>
          <cell r="M221" t="str">
            <v/>
          </cell>
          <cell r="N221" t="str">
            <v>kannel.portas@gmail.com</v>
          </cell>
          <cell r="O221" t="str">
            <v>72025-075</v>
          </cell>
          <cell r="P221" t="str">
            <v>Q CSE 7 AE 19 20 LOTE                                , 4</v>
          </cell>
          <cell r="Q221" t="str">
            <v>TAGUATINGA SUL (TAGUATINGA)</v>
          </cell>
        </row>
        <row r="222">
          <cell r="B222" t="str">
            <v>Kelly Patricia Elias Marques</v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>256.145.468-12</v>
          </cell>
          <cell r="H222" t="str">
            <v/>
          </cell>
          <cell r="I222" t="str">
            <v/>
          </cell>
          <cell r="J222" t="str">
            <v>Inativo</v>
          </cell>
          <cell r="K222" t="str">
            <v/>
          </cell>
          <cell r="L222" t="str">
            <v/>
          </cell>
          <cell r="M222" t="str">
            <v/>
          </cell>
          <cell r="N222" t="str">
            <v>snowelias1802@gmail.com</v>
          </cell>
          <cell r="O222" t="str">
            <v>71926-500</v>
          </cell>
          <cell r="P222" t="str">
            <v>Quadra 208</v>
          </cell>
          <cell r="Q222" t="str">
            <v>Sul (Águas Claras)</v>
          </cell>
        </row>
        <row r="223">
          <cell r="B223" t="str">
            <v>KIT PORTAS DE ACO AUTOMATICAS</v>
          </cell>
          <cell r="C223" t="str">
            <v>KIT PORTAS DE ACO AUTOMATICAS LTDA</v>
          </cell>
          <cell r="D223" t="str">
            <v>40.729.902/0001-88</v>
          </cell>
          <cell r="E223" t="str">
            <v>10.824.783-0</v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>Ativo</v>
          </cell>
          <cell r="K223" t="str">
            <v/>
          </cell>
          <cell r="L223" t="str">
            <v>(62) 99201-2561</v>
          </cell>
          <cell r="M223" t="str">
            <v/>
          </cell>
          <cell r="N223" t="str">
            <v>kitportasdeacoautomaticas@gmail.com</v>
          </cell>
          <cell r="O223" t="str">
            <v>74461-310</v>
          </cell>
          <cell r="P223" t="str">
            <v>Rua Jorge Miguel                                , 24</v>
          </cell>
          <cell r="Q223" t="str">
            <v>Jardim Clarissa</v>
          </cell>
        </row>
        <row r="224">
          <cell r="B224" t="str">
            <v>KOPPYMAK</v>
          </cell>
          <cell r="C224" t="str">
            <v>KOPPYMAK SERVICOS E COMERCIO LTDA</v>
          </cell>
          <cell r="D224" t="str">
            <v>26.476.796/0001-47</v>
          </cell>
          <cell r="E224" t="str">
            <v>0733155100190</v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>Inativo</v>
          </cell>
          <cell r="K224" t="str">
            <v>(61) 3486-6262 / (61) 3484-6200</v>
          </cell>
          <cell r="L224" t="str">
            <v/>
          </cell>
          <cell r="M224" t="str">
            <v/>
          </cell>
          <cell r="N224" t="str">
            <v>koppymak@koppymak.com.br</v>
          </cell>
          <cell r="O224" t="str">
            <v>70330-530</v>
          </cell>
          <cell r="P224" t="str">
            <v>SETOR CRS 502 BLOCO C                                , SN</v>
          </cell>
          <cell r="Q224" t="str">
            <v>ASA SUL</v>
          </cell>
        </row>
        <row r="225">
          <cell r="B225" t="str">
            <v>LD METALURGICA</v>
          </cell>
          <cell r="C225" t="str">
            <v>LAZARA DARC DOS SANTOS MELO 53070062172</v>
          </cell>
          <cell r="D225" t="str">
            <v>26.921.806/0001-06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>Inativo</v>
          </cell>
          <cell r="K225" t="str">
            <v>(62)9208-9667</v>
          </cell>
          <cell r="L225" t="str">
            <v/>
          </cell>
          <cell r="M225" t="str">
            <v/>
          </cell>
          <cell r="N225" t="str">
            <v>darc.com@hotmail.com</v>
          </cell>
          <cell r="O225" t="str">
            <v>74835-510</v>
          </cell>
          <cell r="P225" t="str">
            <v>R PIACABA                                , SN</v>
          </cell>
          <cell r="Q225" t="str">
            <v>PARQUE AMAZONIA</v>
          </cell>
        </row>
        <row r="226">
          <cell r="B226" t="str">
            <v>Leandro Miguel Da Silva Beinroth</v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>067.694.216-40</v>
          </cell>
          <cell r="H226" t="str">
            <v/>
          </cell>
          <cell r="I226" t="str">
            <v/>
          </cell>
          <cell r="J226" t="str">
            <v>Inativo</v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>35500-217</v>
          </cell>
          <cell r="P226" t="str">
            <v>Rua Esmeralda                                , 43</v>
          </cell>
          <cell r="Q226" t="str">
            <v>Niterói</v>
          </cell>
        </row>
        <row r="227">
          <cell r="B227" t="str">
            <v>LEANDRO NADALETO BORIM</v>
          </cell>
          <cell r="C227" t="str">
            <v>LEANDRO NADALETO BORIM 22289416894</v>
          </cell>
          <cell r="D227" t="str">
            <v>44.001.087/0001-97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>Inativo</v>
          </cell>
          <cell r="K227" t="str">
            <v>(62)9622-3713</v>
          </cell>
          <cell r="L227" t="str">
            <v/>
          </cell>
          <cell r="M227" t="str">
            <v/>
          </cell>
          <cell r="N227" t="str">
            <v>lnborim82@gmail.com</v>
          </cell>
          <cell r="O227" t="str">
            <v>75401-176</v>
          </cell>
          <cell r="P227" t="str">
            <v>RUA JOSE ANTUNES CINTRA                                , S/N</v>
          </cell>
          <cell r="Q227" t="str">
            <v>RESIDENCIAL NOVA MORADA</v>
          </cell>
        </row>
        <row r="228">
          <cell r="B228" t="str">
            <v>leandro serralheiro</v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>Ativo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</row>
        <row r="229">
          <cell r="B229" t="str">
            <v>LED SIA</v>
          </cell>
          <cell r="C229" t="str">
            <v>LED SIA COMERCIO DE PRODUTOS ELETRICOS LTDA</v>
          </cell>
          <cell r="D229" t="str">
            <v>29.640.795/0001-84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>Inativo</v>
          </cell>
          <cell r="K229" t="str">
            <v>(61)3264-4841</v>
          </cell>
          <cell r="L229" t="str">
            <v/>
          </cell>
          <cell r="M229" t="str">
            <v/>
          </cell>
          <cell r="N229" t="str">
            <v>ledbrasiliabsb@gmail.com</v>
          </cell>
          <cell r="O229" t="str">
            <v>71200-045</v>
          </cell>
          <cell r="P229" t="str">
            <v>QUADRA SIA QUADRA 4-C                                , S/N</v>
          </cell>
          <cell r="Q229" t="str">
            <v>ZONA INDUSTRIAL (GUARA)</v>
          </cell>
        </row>
        <row r="230">
          <cell r="B230" t="str">
            <v>Lee oswaldo da Rocha</v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>402.990.311-87</v>
          </cell>
          <cell r="H230" t="str">
            <v/>
          </cell>
          <cell r="I230" t="str">
            <v/>
          </cell>
          <cell r="J230" t="str">
            <v>Inativo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</row>
        <row r="231">
          <cell r="B231" t="str">
            <v>Leonan Serralheria</v>
          </cell>
          <cell r="C231" t="str">
            <v/>
          </cell>
          <cell r="D231" t="str">
            <v>31.693.384/0001-07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>Ativo</v>
          </cell>
          <cell r="K231" t="str">
            <v/>
          </cell>
          <cell r="L231" t="str">
            <v/>
          </cell>
          <cell r="M231" t="str">
            <v/>
          </cell>
          <cell r="N231" t="str">
            <v>Leonan.serralheriacampos@gmail.com</v>
          </cell>
          <cell r="O231" t="str">
            <v>73808-192</v>
          </cell>
          <cell r="P231" t="str">
            <v>Avenida A</v>
          </cell>
          <cell r="Q231" t="str">
            <v>Parque da Colina II</v>
          </cell>
        </row>
        <row r="232">
          <cell r="B232" t="str">
            <v>Leonardo Bech</v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>089.615.589-78</v>
          </cell>
          <cell r="H232" t="str">
            <v/>
          </cell>
          <cell r="I232" t="str">
            <v/>
          </cell>
          <cell r="J232" t="str">
            <v>Ativo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>89870-000</v>
          </cell>
          <cell r="P232" t="str">
            <v>, 2080</v>
          </cell>
          <cell r="Q232" t="str">
            <v>Rua João Pessoa</v>
          </cell>
        </row>
        <row r="233">
          <cell r="B233" t="str">
            <v>LEONARDO FARIA</v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>944.336.902-87</v>
          </cell>
          <cell r="H233" t="str">
            <v/>
          </cell>
          <cell r="I233" t="str">
            <v/>
          </cell>
          <cell r="J233" t="str">
            <v>Inativo</v>
          </cell>
          <cell r="K233" t="str">
            <v/>
          </cell>
          <cell r="L233" t="str">
            <v/>
          </cell>
          <cell r="M233" t="str">
            <v/>
          </cell>
          <cell r="N233" t="str">
            <v>automaticasfariasportas@gmail.com</v>
          </cell>
          <cell r="O233" t="str">
            <v>68511-010</v>
          </cell>
          <cell r="P233" t="str">
            <v>Fl 16. Qd02. LT 01. Sala C.                                , 16</v>
          </cell>
          <cell r="Q233" t="str">
            <v>Nova Marabá</v>
          </cell>
        </row>
        <row r="234">
          <cell r="B234" t="str">
            <v>LETÍCIA SOUZA</v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>947.994.401-44</v>
          </cell>
          <cell r="H234" t="str">
            <v/>
          </cell>
          <cell r="I234" t="str">
            <v/>
          </cell>
          <cell r="J234" t="str">
            <v>Inativo</v>
          </cell>
          <cell r="K234" t="str">
            <v/>
          </cell>
          <cell r="L234" t="str">
            <v/>
          </cell>
          <cell r="M234" t="str">
            <v/>
          </cell>
          <cell r="N234" t="str">
            <v>leticia-lais@hotmail.com</v>
          </cell>
          <cell r="O234" t="str">
            <v>71925-180</v>
          </cell>
          <cell r="P234" t="str">
            <v>Quadra 206</v>
          </cell>
          <cell r="Q234" t="str">
            <v>Sul (Águas Claras)</v>
          </cell>
        </row>
        <row r="235">
          <cell r="B235" t="str">
            <v>LH PORTAS AUTOMATICAS</v>
          </cell>
          <cell r="C235" t="str">
            <v>44.601.860 LUIS HENRIQUE SOUZA DA SILVA</v>
          </cell>
          <cell r="D235" t="str">
            <v>44.601.860/0001-56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Ativo</v>
          </cell>
          <cell r="K235" t="str">
            <v>(61) 8545-8557</v>
          </cell>
          <cell r="L235" t="str">
            <v/>
          </cell>
          <cell r="M235" t="str">
            <v/>
          </cell>
          <cell r="N235" t="str">
            <v>lhportas23@gmail.com</v>
          </cell>
          <cell r="O235" t="str">
            <v>72110-110</v>
          </cell>
          <cell r="P235" t="str">
            <v>QUADRA QNA 11                                , 02</v>
          </cell>
          <cell r="Q235" t="str">
            <v>TAGUATINGA NORTE (TAGUATINGA)</v>
          </cell>
        </row>
        <row r="236">
          <cell r="B236" t="str">
            <v>LIDER PORTAS E PORTOES</v>
          </cell>
          <cell r="C236" t="str">
            <v>LIDER PORTAS PORTOES E COMERCIO EIRELI</v>
          </cell>
          <cell r="D236" t="str">
            <v>08.672.695/0001-60</v>
          </cell>
          <cell r="E236" t="str">
            <v>0748521000121</v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Ativo</v>
          </cell>
          <cell r="K236" t="str">
            <v>(61) 3371-1786</v>
          </cell>
          <cell r="L236" t="str">
            <v/>
          </cell>
          <cell r="M236" t="str">
            <v/>
          </cell>
          <cell r="N236" t="str">
            <v>contato@liderportaseportoes.com.br</v>
          </cell>
          <cell r="O236" t="str">
            <v>72110-800</v>
          </cell>
          <cell r="P236" t="str">
            <v>ST SHVP RUA 03 CHACARA 86 LOTE 06 LOJA                                , 01</v>
          </cell>
          <cell r="Q236" t="str">
            <v>TAGUATINGA</v>
          </cell>
        </row>
        <row r="237">
          <cell r="B237" t="str">
            <v>Liduina Bezerra Soares</v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>259.290.971-00</v>
          </cell>
          <cell r="H237" t="str">
            <v/>
          </cell>
          <cell r="I237" t="str">
            <v/>
          </cell>
          <cell r="J237" t="str">
            <v>Ativo</v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>71936-250</v>
          </cell>
          <cell r="P237" t="str">
            <v>Avenida das Araucárias                                , 2001 blobo B</v>
          </cell>
          <cell r="Q237" t="str">
            <v>Sul (Águas Claras)</v>
          </cell>
        </row>
        <row r="238">
          <cell r="B238" t="str">
            <v>LIGHT PORTAS AUTOMATICAS</v>
          </cell>
          <cell r="C238" t="str">
            <v>LIGHT PORTAS AUTOMATICAS LTDA</v>
          </cell>
          <cell r="D238" t="str">
            <v>55.875.689/0001-90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>Ativo</v>
          </cell>
          <cell r="K238" t="str">
            <v>(61) 8228-0354 / (0000) 0000-0000</v>
          </cell>
          <cell r="L238" t="str">
            <v/>
          </cell>
          <cell r="M238" t="str">
            <v/>
          </cell>
          <cell r="N238" t="str">
            <v>lightportasautomaticas@gmail.com</v>
          </cell>
          <cell r="O238" t="str">
            <v>72855-176</v>
          </cell>
          <cell r="P238" t="str">
            <v>QUADRA QUADRA 176                                , SN</v>
          </cell>
          <cell r="Q238" t="str">
            <v>PARQUE INDUSTRIAL MINGONE</v>
          </cell>
        </row>
        <row r="239">
          <cell r="B239" t="str">
            <v>LIMA PORTAS AUTOMATICAS</v>
          </cell>
          <cell r="C239" t="str">
            <v>LIMA PORTAS AUTOMATICAS LTDA</v>
          </cell>
          <cell r="D239" t="str">
            <v>57.394.052/0001-07</v>
          </cell>
          <cell r="E239" t="str">
            <v>49999380000</v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>Ativo</v>
          </cell>
          <cell r="K239" t="str">
            <v>(34)8810-7475</v>
          </cell>
          <cell r="L239" t="str">
            <v/>
          </cell>
          <cell r="M239" t="str">
            <v/>
          </cell>
          <cell r="N239" t="str">
            <v>jacomevanessa77@gmail.com</v>
          </cell>
          <cell r="O239" t="str">
            <v>38446-322</v>
          </cell>
          <cell r="P239" t="str">
            <v>RUA MARIA DIVINA MARQUES                                , 111</v>
          </cell>
          <cell r="Q239" t="str">
            <v>NOVO HORIZONTE</v>
          </cell>
        </row>
        <row r="240">
          <cell r="B240" t="str">
            <v>LIMACOM PRODUTOS ELETRONICOS</v>
          </cell>
          <cell r="C240" t="str">
            <v>LIMACOM PRODUTOS ELETRONICOS LTDA</v>
          </cell>
          <cell r="D240" t="str">
            <v>02.288.880/0001-79</v>
          </cell>
          <cell r="E240" t="str">
            <v>114836844118</v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>Inativo</v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>01207-000</v>
          </cell>
          <cell r="P240" t="str">
            <v>RUA S. EFIGENIA S.INTERCONT                                , 452</v>
          </cell>
          <cell r="Q240" t="str">
            <v>CENTRO</v>
          </cell>
        </row>
        <row r="241">
          <cell r="B241" t="str">
            <v>LINEACO SERRALHERIA</v>
          </cell>
          <cell r="C241" t="str">
            <v>LINEACO SERRALHERIA LTDA</v>
          </cell>
          <cell r="D241" t="str">
            <v>41.730.603/0001-26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>Ativo</v>
          </cell>
          <cell r="K241" t="str">
            <v>(64)9909-9361</v>
          </cell>
          <cell r="L241" t="str">
            <v/>
          </cell>
          <cell r="M241" t="str">
            <v/>
          </cell>
          <cell r="N241" t="str">
            <v>danillosc2001@gmail.com</v>
          </cell>
          <cell r="O241" t="str">
            <v>76190-000</v>
          </cell>
          <cell r="P241" t="str">
            <v>RUA NAZARIO                                , S/N</v>
          </cell>
          <cell r="Q241" t="str">
            <v>MARTINHO</v>
          </cell>
        </row>
        <row r="242">
          <cell r="B242" t="str">
            <v>LINEACO SERRALHERIA</v>
          </cell>
          <cell r="C242" t="str">
            <v>LINEACO SERRALHERIA LTDA</v>
          </cell>
          <cell r="D242" t="str">
            <v>41.730.603/0001-26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>Ativo</v>
          </cell>
          <cell r="K242" t="str">
            <v>(64) 9909-9361</v>
          </cell>
          <cell r="L242" t="str">
            <v/>
          </cell>
          <cell r="M242" t="str">
            <v/>
          </cell>
          <cell r="N242" t="str">
            <v>danillosc2001@gmail.com</v>
          </cell>
          <cell r="O242" t="str">
            <v>76190-000</v>
          </cell>
          <cell r="P242" t="str">
            <v>RUA NAZARIO                                , S/N</v>
          </cell>
          <cell r="Q242" t="str">
            <v>MARTINHO</v>
          </cell>
        </row>
        <row r="243">
          <cell r="B243" t="str">
            <v>LINEAR</v>
          </cell>
          <cell r="C243" t="str">
            <v>LINEAR PORTAS LTDA</v>
          </cell>
          <cell r="D243" t="str">
            <v>46.742.031/0001-19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>Ativo</v>
          </cell>
          <cell r="K243" t="str">
            <v>(61) 9315-3377/ (0000) 0000-0000</v>
          </cell>
          <cell r="L243" t="str">
            <v/>
          </cell>
          <cell r="M243" t="str">
            <v/>
          </cell>
          <cell r="N243" t="str">
            <v>linearportas@gmail.com</v>
          </cell>
          <cell r="O243" t="str">
            <v>72261-064</v>
          </cell>
          <cell r="P243" t="str">
            <v>Q QNO 19 CJ D LT 19                                , S/N</v>
          </cell>
          <cell r="Q243" t="str">
            <v>CEILANDIA NORTE (CEILANDIA)</v>
          </cell>
        </row>
        <row r="244">
          <cell r="B244" t="str">
            <v>LOCAR ENGENHARIA</v>
          </cell>
          <cell r="C244" t="str">
            <v>LOCAR ENGENHARIA LTDA</v>
          </cell>
          <cell r="D244" t="str">
            <v>14.433.426/0001-43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>Inativo</v>
          </cell>
          <cell r="K244" t="str">
            <v>(61)3458-1205</v>
          </cell>
          <cell r="L244" t="str">
            <v/>
          </cell>
          <cell r="M244" t="str">
            <v/>
          </cell>
          <cell r="N244" t="str">
            <v>ambbcontabilidade1411@gmail.com</v>
          </cell>
          <cell r="O244" t="str">
            <v>72015-170</v>
          </cell>
          <cell r="P244" t="str">
            <v>Q QSA 17 LOTE                                , 10</v>
          </cell>
          <cell r="Q244" t="str">
            <v>TAGUATINGA SUL (TAGUATINGA)</v>
          </cell>
        </row>
        <row r="245">
          <cell r="B245" t="str">
            <v>LOCMAQ</v>
          </cell>
          <cell r="C245" t="str">
            <v>LOCMAQ LOCACAO DE MAQUINAS E TECNOLOGIA EM FUNDACOES EIRELI</v>
          </cell>
          <cell r="D245" t="str">
            <v>07.783.598/0001-81</v>
          </cell>
          <cell r="E245" t="str">
            <v>0747405800127</v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>Inativo</v>
          </cell>
          <cell r="K245" t="str">
            <v>(61)9202-0888</v>
          </cell>
          <cell r="L245" t="str">
            <v/>
          </cell>
          <cell r="M245" t="str">
            <v/>
          </cell>
          <cell r="N245" t="str">
            <v/>
          </cell>
          <cell r="O245" t="str">
            <v>71732-080</v>
          </cell>
          <cell r="P245" t="str">
            <v>ST SPLM CONJUNTO                                , 8</v>
          </cell>
          <cell r="Q245" t="str">
            <v>SETOR PLACA DA MERCEDES (NUCLEO BANDEIRANTE)</v>
          </cell>
        </row>
        <row r="246">
          <cell r="B246" t="str">
            <v>LOTERICA AGUAS LINDAS</v>
          </cell>
          <cell r="C246" t="str">
            <v>LOTERICA AGUAS LINDAS LTDA</v>
          </cell>
          <cell r="D246" t="str">
            <v>06.886.001/0001-61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>Inativo</v>
          </cell>
          <cell r="K246" t="str">
            <v>(61)3613-9745</v>
          </cell>
          <cell r="L246" t="str">
            <v/>
          </cell>
          <cell r="M246" t="str">
            <v/>
          </cell>
          <cell r="N246" t="str">
            <v>loteria_aguas_lindas@yahoo.com.br</v>
          </cell>
          <cell r="O246" t="str">
            <v>72910-052</v>
          </cell>
          <cell r="P246" t="str">
            <v>QUADRA 45 CONJUNTO B, LOTE                                , 52A</v>
          </cell>
          <cell r="Q246" t="str">
            <v>PARQUE DA BARRAGEM SETOR 08</v>
          </cell>
        </row>
        <row r="247">
          <cell r="B247" t="str">
            <v>Lucas Dias Carneiros</v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>065.953.641-23</v>
          </cell>
          <cell r="H247" t="str">
            <v/>
          </cell>
          <cell r="I247" t="str">
            <v/>
          </cell>
          <cell r="J247" t="str">
            <v>Ativo</v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>Taguatinga sul</v>
          </cell>
        </row>
        <row r="248">
          <cell r="B248" t="str">
            <v>LUCAS FERNANDO CARDOSO</v>
          </cell>
          <cell r="C248" t="str">
            <v>LUCAS FERNANDO CARDOSO 11696324670</v>
          </cell>
          <cell r="D248" t="str">
            <v>27.629.489/0001-11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>Inativo</v>
          </cell>
          <cell r="K248" t="str">
            <v>(34)8858-8594</v>
          </cell>
          <cell r="L248" t="str">
            <v/>
          </cell>
          <cell r="M248" t="str">
            <v/>
          </cell>
          <cell r="N248" t="str">
            <v>cardosoeletricistafsa@gmail.com</v>
          </cell>
          <cell r="O248" t="str">
            <v>73801-500</v>
          </cell>
          <cell r="P248" t="str">
            <v>RUA SAO JOAO                                , 179</v>
          </cell>
          <cell r="Q248" t="str">
            <v>CENTRO</v>
          </cell>
        </row>
        <row r="249">
          <cell r="B249" t="str">
            <v>Lucas Soares Rodrigues</v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>055.162.661-57</v>
          </cell>
          <cell r="H249" t="str">
            <v>3287835</v>
          </cell>
          <cell r="I249" t="str">
            <v>1998-02-09</v>
          </cell>
          <cell r="J249" t="str">
            <v>Ativo</v>
          </cell>
          <cell r="K249" t="str">
            <v/>
          </cell>
          <cell r="L249" t="str">
            <v>61998517775</v>
          </cell>
          <cell r="M249" t="str">
            <v/>
          </cell>
          <cell r="N249" t="str">
            <v>lukcassaores.rodrigues@gmail.com</v>
          </cell>
          <cell r="O249" t="str">
            <v>72023-480</v>
          </cell>
          <cell r="P249" t="str">
            <v>SMT Conjunto 16                                , 2</v>
          </cell>
          <cell r="Q249" t="str">
            <v>Taguatinga Sul (Taguatinga)</v>
          </cell>
        </row>
        <row r="250">
          <cell r="B250" t="str">
            <v>LUDICEL DISTRIBUIDORA DE COMPONENTES ELETRONICOS LTDA</v>
          </cell>
          <cell r="C250" t="str">
            <v/>
          </cell>
          <cell r="D250" t="str">
            <v>02.799.779/0001-82</v>
          </cell>
          <cell r="E250" t="str">
            <v>3420095510006</v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>Inativo</v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>38300-132</v>
          </cell>
          <cell r="P250" t="str">
            <v>Avenida Dezessete                                , 1004</v>
          </cell>
          <cell r="Q250" t="str">
            <v>Centro</v>
          </cell>
        </row>
        <row r="251">
          <cell r="B251" t="str">
            <v>Luiz carlos Pereira dos santos</v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>957.042.801-53</v>
          </cell>
          <cell r="H251" t="str">
            <v>3970969</v>
          </cell>
          <cell r="I251" t="str">
            <v/>
          </cell>
          <cell r="J251" t="str">
            <v>Inativo</v>
          </cell>
          <cell r="K251" t="str">
            <v/>
          </cell>
          <cell r="L251" t="str">
            <v>(61)99953-2230</v>
          </cell>
          <cell r="M251" t="str">
            <v/>
          </cell>
          <cell r="N251" t="str">
            <v>Carlosluizsantospereira13@gmail.com</v>
          </cell>
          <cell r="O251" t="str">
            <v>71996-365</v>
          </cell>
          <cell r="P251" t="str">
            <v>SHA Conjunto 6 Chácara 477</v>
          </cell>
          <cell r="Q251" t="str">
            <v>Setor Habitacional Arniqueira (Águas Claras)</v>
          </cell>
        </row>
        <row r="252">
          <cell r="B252" t="str">
            <v>M PORTAS DE AUTOMATICAS</v>
          </cell>
          <cell r="C252" t="str">
            <v>M PORTAS AUTOMATICAS EIRELI</v>
          </cell>
          <cell r="D252" t="str">
            <v>40.520.243/0001-75</v>
          </cell>
          <cell r="E252" t="str">
            <v>10.826.860-8</v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>Ativo</v>
          </cell>
          <cell r="K252" t="str">
            <v>6195878899</v>
          </cell>
          <cell r="L252" t="str">
            <v>6195878899</v>
          </cell>
          <cell r="M252" t="str">
            <v/>
          </cell>
          <cell r="N252" t="str">
            <v/>
          </cell>
          <cell r="O252" t="str">
            <v>72920-509</v>
          </cell>
          <cell r="P252" t="str">
            <v>Quadra 14                                , 05</v>
          </cell>
          <cell r="Q252" t="str">
            <v>Jardim da Barragem III</v>
          </cell>
        </row>
        <row r="253">
          <cell r="B253" t="str">
            <v>MACALE TRANSPORTE E COMERCIO LTDA</v>
          </cell>
          <cell r="C253" t="str">
            <v>MACALE TRANSPORTE E COMERCIO LTDA</v>
          </cell>
          <cell r="D253" t="str">
            <v>19.018.615/0002-54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>Ativo</v>
          </cell>
          <cell r="K253" t="str">
            <v>(41) 3657-1444</v>
          </cell>
          <cell r="L253" t="str">
            <v/>
          </cell>
          <cell r="M253" t="str">
            <v/>
          </cell>
          <cell r="N253" t="str">
            <v>macaletransportes@outlook.com</v>
          </cell>
          <cell r="O253" t="str">
            <v>72225-171</v>
          </cell>
          <cell r="P253" t="str">
            <v>SETOR SETOR N NORTE QNN 17 CJ A LT 41                                , S/N</v>
          </cell>
          <cell r="Q253" t="str">
            <v>CEILANDIA</v>
          </cell>
        </row>
        <row r="254">
          <cell r="B254" t="str">
            <v>MANC</v>
          </cell>
          <cell r="C254" t="str">
            <v>MANC MANUTENCAO E CONSTRUCAO LTDA</v>
          </cell>
          <cell r="D254" t="str">
            <v>11.450.144/0001-66</v>
          </cell>
          <cell r="E254" t="str">
            <v>0753304300190</v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>Inativo</v>
          </cell>
          <cell r="K254" t="str">
            <v>(61)3222-7899</v>
          </cell>
          <cell r="L254" t="str">
            <v/>
          </cell>
          <cell r="M254" t="str">
            <v/>
          </cell>
          <cell r="N254" t="str">
            <v>controle@manc.com.br</v>
          </cell>
          <cell r="O254" t="str">
            <v>71200-055</v>
          </cell>
          <cell r="P254" t="str">
            <v>ST SIA QUADRA 5-C                                , S/N</v>
          </cell>
          <cell r="Q254" t="str">
            <v>ZONA INDUSTRIAL (GUARA)</v>
          </cell>
        </row>
        <row r="255">
          <cell r="B255" t="str">
            <v>MARCELO DOS SANTOS</v>
          </cell>
          <cell r="C255" t="str">
            <v>MARCELO DOS SANTOS 58472908100</v>
          </cell>
          <cell r="D255" t="str">
            <v>12.084.748/0001-07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>Ativo</v>
          </cell>
          <cell r="K255" t="str">
            <v>(61) 3373-9282</v>
          </cell>
          <cell r="L255" t="str">
            <v/>
          </cell>
          <cell r="M255" t="str">
            <v/>
          </cell>
          <cell r="N255" t="str">
            <v>sarasantos_2009@hotmail.com</v>
          </cell>
          <cell r="O255" t="str">
            <v>72210-088</v>
          </cell>
          <cell r="P255" t="str">
            <v>R QNM 8 CONJUNTO H                                , 02</v>
          </cell>
          <cell r="Q255" t="str">
            <v>CEILANDIA NORTE</v>
          </cell>
        </row>
        <row r="256">
          <cell r="B256" t="str">
            <v>Marcia Dias Oliveira</v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>505.189.845-91</v>
          </cell>
          <cell r="H256" t="str">
            <v/>
          </cell>
          <cell r="I256" t="str">
            <v/>
          </cell>
          <cell r="J256" t="str">
            <v>Inativo</v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>41280-730</v>
          </cell>
          <cell r="P256" t="str">
            <v>Rua Descida do Golfo                                , 109</v>
          </cell>
          <cell r="Q256" t="str">
            <v>Marechal Rondon</v>
          </cell>
        </row>
        <row r="257">
          <cell r="B257" t="str">
            <v>MARCIO JOSE CRESCENCIO DA SILVA</v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>029.973.086-74</v>
          </cell>
          <cell r="H257" t="str">
            <v/>
          </cell>
          <cell r="I257" t="str">
            <v/>
          </cell>
          <cell r="J257" t="str">
            <v>Inativo</v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</row>
        <row r="258">
          <cell r="B258" t="str">
            <v>MARCOS ANDRE DE OLIVEIRA</v>
          </cell>
          <cell r="C258" t="str">
            <v>61.350.661 MARCOS ANDRE DE OLIVEIRA</v>
          </cell>
          <cell r="D258" t="str">
            <v>61.350.661/0001-31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>Inativo</v>
          </cell>
          <cell r="K258" t="str">
            <v>(61)8689-1146</v>
          </cell>
          <cell r="L258" t="str">
            <v/>
          </cell>
          <cell r="M258" t="str">
            <v/>
          </cell>
          <cell r="N258" t="str">
            <v>chaveiro5estrelas.410@gmail.com</v>
          </cell>
          <cell r="O258" t="str">
            <v>72320-520</v>
          </cell>
          <cell r="P258" t="str">
            <v>Q QS 410                                , CONJ A</v>
          </cell>
          <cell r="Q258" t="str">
            <v>SAMAMBAIA NORTE (SAMAMBAIA)</v>
          </cell>
        </row>
        <row r="259">
          <cell r="B259" t="str">
            <v>Maria de Fátima Firmo Ferreira</v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>399.971.201-59</v>
          </cell>
          <cell r="H259" t="str">
            <v/>
          </cell>
          <cell r="I259" t="str">
            <v/>
          </cell>
          <cell r="J259" t="str">
            <v>Inativo</v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>72236-800</v>
          </cell>
          <cell r="P259" t="str">
            <v>Setor Habitacional Sol Nascente</v>
          </cell>
          <cell r="Q259" t="str">
            <v>Ceilândia Sul (Ceilândia)</v>
          </cell>
        </row>
        <row r="260">
          <cell r="B260" t="str">
            <v>Maria do Carmo da Silva</v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>259.225.721-72</v>
          </cell>
          <cell r="H260" t="str">
            <v/>
          </cell>
          <cell r="I260" t="str">
            <v/>
          </cell>
          <cell r="J260" t="str">
            <v>Ativo</v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</row>
        <row r="261">
          <cell r="B261" t="str">
            <v>Maria Luiza Burim</v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>388.351.918-90</v>
          </cell>
          <cell r="H261" t="str">
            <v/>
          </cell>
          <cell r="I261" t="str">
            <v/>
          </cell>
          <cell r="J261" t="str">
            <v>Inativo</v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>18136-860</v>
          </cell>
          <cell r="P261" t="str">
            <v>Rua Eduardo Vieira                                , 1630</v>
          </cell>
          <cell r="Q261" t="str">
            <v>Jardim Suíça Paulista</v>
          </cell>
        </row>
        <row r="262">
          <cell r="B262" t="str">
            <v>MARILTO DE OLIVEIRA BISPO</v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>626.446.103-20</v>
          </cell>
          <cell r="H262" t="str">
            <v/>
          </cell>
          <cell r="I262" t="str">
            <v/>
          </cell>
          <cell r="J262" t="str">
            <v>Ativo</v>
          </cell>
          <cell r="K262" t="str">
            <v/>
          </cell>
          <cell r="L262" t="str">
            <v>61998212534</v>
          </cell>
          <cell r="M262" t="str">
            <v/>
          </cell>
          <cell r="N262" t="str">
            <v/>
          </cell>
          <cell r="O262" t="str">
            <v>70802-140</v>
          </cell>
          <cell r="P262" t="str">
            <v>Praça Rabelo</v>
          </cell>
          <cell r="Q262" t="str">
            <v>Vila Planalto</v>
          </cell>
        </row>
        <row r="263">
          <cell r="B263" t="str">
            <v>MARIO APARECIDO PEREIRA DE BRITO</v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>028.555.686-09</v>
          </cell>
          <cell r="H263" t="str">
            <v/>
          </cell>
          <cell r="I263" t="str">
            <v/>
          </cell>
          <cell r="J263" t="str">
            <v>Ativo</v>
          </cell>
          <cell r="K263" t="str">
            <v/>
          </cell>
          <cell r="L263" t="str">
            <v/>
          </cell>
          <cell r="M263" t="str">
            <v/>
          </cell>
          <cell r="N263" t="str">
            <v>Marioaparecido171@gmaeil.com</v>
          </cell>
          <cell r="O263" t="str">
            <v>72915-630</v>
          </cell>
          <cell r="P263" t="str">
            <v>QA 8</v>
          </cell>
          <cell r="Q263" t="str">
            <v>Mansões Olinda</v>
          </cell>
        </row>
        <row r="264">
          <cell r="B264" t="str">
            <v>Marlon Jullys Lobo Nascimento</v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>027.597.835-45</v>
          </cell>
          <cell r="H264" t="str">
            <v/>
          </cell>
          <cell r="I264" t="str">
            <v/>
          </cell>
          <cell r="J264" t="str">
            <v>Inativo</v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>44085-370</v>
          </cell>
          <cell r="P264" t="str">
            <v>Avenida Artêmia Pires Freitas                                , 380</v>
          </cell>
          <cell r="Q264" t="str">
            <v>SIM</v>
          </cell>
        </row>
        <row r="265">
          <cell r="B265" t="str">
            <v>Marrone Gustavo Martins de Sousa</v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>038.718.321-38</v>
          </cell>
          <cell r="H265" t="str">
            <v/>
          </cell>
          <cell r="I265" t="str">
            <v/>
          </cell>
          <cell r="J265" t="str">
            <v>Inativo</v>
          </cell>
          <cell r="K265" t="str">
            <v/>
          </cell>
          <cell r="L265" t="str">
            <v>(61)8573-7201</v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>RECANTO DAS EMAS</v>
          </cell>
        </row>
        <row r="266">
          <cell r="B266" t="str">
            <v>Marthilhiany Rodrigues Braga</v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>020.803.691-13</v>
          </cell>
          <cell r="H266" t="str">
            <v/>
          </cell>
          <cell r="I266" t="str">
            <v/>
          </cell>
          <cell r="J266" t="str">
            <v>Inativo</v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</row>
        <row r="267">
          <cell r="B267" t="str">
            <v>MASTER ATACADISTA</v>
          </cell>
          <cell r="C267" t="str">
            <v>MASTER ATACADISTA DE MATERIAIS PARA CONSTRUCAO S/A</v>
          </cell>
          <cell r="D267" t="str">
            <v>21.368.129/0001-27</v>
          </cell>
          <cell r="E267" t="str">
            <v>0770146500194</v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>Inativo</v>
          </cell>
          <cell r="K267" t="str">
            <v>(61)3027-4040</v>
          </cell>
          <cell r="L267" t="str">
            <v/>
          </cell>
          <cell r="M267" t="str">
            <v/>
          </cell>
          <cell r="N267" t="str">
            <v>contato@masteratacadista.com.br</v>
          </cell>
          <cell r="O267" t="str">
            <v>72265-190</v>
          </cell>
          <cell r="P267" t="str">
            <v>Q QUADRA QI 19                                , S/N</v>
          </cell>
          <cell r="Q267" t="str">
            <v>SETOR INDUSTRIAL (CEILANDIA)</v>
          </cell>
        </row>
        <row r="268">
          <cell r="B268" t="str">
            <v>MASTER PAO</v>
          </cell>
          <cell r="C268" t="str">
            <v>MASTER PAO ALIMENTOS LTDA</v>
          </cell>
          <cell r="D268" t="str">
            <v>14.314.134/0001-91</v>
          </cell>
          <cell r="E268" t="str">
            <v>07.586.799/001-75</v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>Inativo</v>
          </cell>
          <cell r="K268" t="str">
            <v>(61)3356-4843</v>
          </cell>
          <cell r="L268" t="str">
            <v/>
          </cell>
          <cell r="M268" t="str">
            <v/>
          </cell>
          <cell r="N268" t="str">
            <v>masterpaobsb@gmail.com</v>
          </cell>
          <cell r="O268" t="str">
            <v>71979-000</v>
          </cell>
          <cell r="P268" t="str">
            <v>Q QS 11 CONJUNTO B LOTES                                , 4 E 5</v>
          </cell>
          <cell r="Q268" t="str">
            <v>AGUAS CLARAS</v>
          </cell>
        </row>
        <row r="269">
          <cell r="B269" t="str">
            <v>MASTER PINTURA ELETROSTATICA</v>
          </cell>
          <cell r="C269" t="str">
            <v>FLAVIANE MILHOMENS LEITE</v>
          </cell>
          <cell r="D269" t="str">
            <v>44.215.239/0001-54</v>
          </cell>
          <cell r="E269" t="str">
            <v>10873760-8</v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>Ativo</v>
          </cell>
          <cell r="K269" t="str">
            <v>(62) 9955-9113</v>
          </cell>
          <cell r="L269" t="str">
            <v/>
          </cell>
          <cell r="M269" t="str">
            <v/>
          </cell>
          <cell r="N269" t="str">
            <v>r7autopecas@hotmail.com</v>
          </cell>
          <cell r="O269" t="str">
            <v>75910-555</v>
          </cell>
          <cell r="P269" t="str">
            <v>RUA JOAQUIM COELHO DA OLARIA                                , S/N</v>
          </cell>
          <cell r="Q269" t="str">
            <v>SETOR MUNICIPAL DE PEQUENAS EMPRESAS</v>
          </cell>
        </row>
        <row r="270">
          <cell r="B270" t="str">
            <v>MASTER PORTAS AUTOMATICAS</v>
          </cell>
          <cell r="C270" t="str">
            <v>MARCOS CARLOS CONCEICAO DE JESUS</v>
          </cell>
          <cell r="D270" t="str">
            <v>48.659.754/0001-84</v>
          </cell>
          <cell r="E270" t="str">
            <v>201121904</v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>Ativo</v>
          </cell>
          <cell r="K270" t="str">
            <v>(73) 8123-5422</v>
          </cell>
          <cell r="L270" t="str">
            <v/>
          </cell>
          <cell r="M270" t="str">
            <v/>
          </cell>
          <cell r="N270" t="str">
            <v>masterportasba@gmail.com</v>
          </cell>
          <cell r="O270" t="str">
            <v>45826-368</v>
          </cell>
          <cell r="P270" t="str">
            <v>AVENIDA PAULO AFONSO                                , 25</v>
          </cell>
          <cell r="Q270" t="str">
            <v>THIAGO DE MELLO</v>
          </cell>
        </row>
        <row r="271">
          <cell r="B271" t="str">
            <v>MAXTEL SERRALHERIA</v>
          </cell>
          <cell r="C271" t="str">
            <v>MAXLEI ALVES DE LIMA</v>
          </cell>
          <cell r="D271" t="str">
            <v>09.559.849/0001-74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>Ativo</v>
          </cell>
          <cell r="K271" t="str">
            <v>(62) 3321-5323 / (62) 9211-3425</v>
          </cell>
          <cell r="L271" t="str">
            <v/>
          </cell>
          <cell r="M271" t="str">
            <v/>
          </cell>
          <cell r="N271" t="str">
            <v>maxtel_serralheria@hotmail.com</v>
          </cell>
          <cell r="O271" t="str">
            <v>75113-355</v>
          </cell>
          <cell r="P271" t="str">
            <v>AVENIDA ANA JACINTA                                , SN</v>
          </cell>
          <cell r="Q271" t="str">
            <v>VILA SANTA MARIA DE NAZARETH</v>
          </cell>
        </row>
        <row r="272">
          <cell r="B272" t="str">
            <v>MC SERRALHERIA E SEGURANÇA ELÉTRICA LTDA</v>
          </cell>
          <cell r="C272" t="str">
            <v>MC SERRALHERIA E SEGURANÇA ELÉTRICA LTDA</v>
          </cell>
          <cell r="D272" t="str">
            <v>33.522.428/0001-53</v>
          </cell>
          <cell r="E272" t="str">
            <v>107599341</v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>Ativo</v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</row>
        <row r="273">
          <cell r="B273" t="str">
            <v>MEGA &amp; FLEX PORTAS AUTOMATICAS</v>
          </cell>
          <cell r="C273" t="str">
            <v>FLEX PORTAS AUTOMATICAS E PINTURA ELETROSTATICA LTDA</v>
          </cell>
          <cell r="D273" t="str">
            <v>30.668.444/0001-60</v>
          </cell>
          <cell r="E273" t="str">
            <v>158742028</v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>Ativo</v>
          </cell>
          <cell r="K273" t="str">
            <v>(62) 8167-6039</v>
          </cell>
          <cell r="L273" t="str">
            <v/>
          </cell>
          <cell r="M273" t="str">
            <v/>
          </cell>
          <cell r="N273" t="str">
            <v>flexportas356@gmail.com</v>
          </cell>
          <cell r="O273" t="str">
            <v>68515-000</v>
          </cell>
          <cell r="P273" t="str">
            <v>AV E                                , S/N</v>
          </cell>
          <cell r="Q273" t="str">
            <v>CIDADE JARDIM</v>
          </cell>
        </row>
        <row r="274">
          <cell r="B274" t="str">
            <v>Mega portas automáticas</v>
          </cell>
          <cell r="C274" t="str">
            <v>34.505.918 JOSE ANTONIO DUTRA DA SILVA</v>
          </cell>
          <cell r="D274" t="str">
            <v>34.505.918/0001-04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>Ativo</v>
          </cell>
          <cell r="K274" t="str">
            <v>(61) 8158-8715</v>
          </cell>
          <cell r="L274" t="str">
            <v/>
          </cell>
          <cell r="M274" t="str">
            <v/>
          </cell>
          <cell r="N274" t="str">
            <v>acportas.021@gmail.com</v>
          </cell>
          <cell r="O274" t="str">
            <v>72640-002</v>
          </cell>
          <cell r="P274" t="str">
            <v>AREA ADE 600 CONJUNTO 2                                , 04</v>
          </cell>
          <cell r="Q274" t="str">
            <v>RECANTO DAS EMAS</v>
          </cell>
        </row>
        <row r="275">
          <cell r="B275" t="str">
            <v>MEGA PORTAS DE ACO</v>
          </cell>
          <cell r="C275" t="str">
            <v>METALURGICA OLIVEIRA EIRELI</v>
          </cell>
          <cell r="D275" t="str">
            <v>33.505.174/0001-65</v>
          </cell>
          <cell r="E275" t="str">
            <v>10.760.101-0</v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>Ativo</v>
          </cell>
          <cell r="K275" t="str">
            <v>(62) 3299-3526/ (62) 9188-4975</v>
          </cell>
          <cell r="L275" t="str">
            <v/>
          </cell>
          <cell r="M275" t="str">
            <v/>
          </cell>
          <cell r="N275" t="str">
            <v>megaportasdeaco@gmail.com</v>
          </cell>
          <cell r="O275" t="str">
            <v>74595-236</v>
          </cell>
          <cell r="P275" t="str">
            <v>AV CARRINHO CUNHA                                , SN</v>
          </cell>
          <cell r="Q275" t="str">
            <v>PARQUE DAS FLORES</v>
          </cell>
        </row>
        <row r="276">
          <cell r="B276" t="str">
            <v>MEGA PORTAS DE ACO</v>
          </cell>
          <cell r="C276" t="str">
            <v>FLEX PORTAS AUTOMATICAS LTDA</v>
          </cell>
          <cell r="D276" t="str">
            <v>54.562.235/0001-04</v>
          </cell>
          <cell r="E276" t="str">
            <v>201356368</v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>Ativo</v>
          </cell>
          <cell r="K276" t="str">
            <v>(62) 3299-3526 / (0000) 0000-0000</v>
          </cell>
          <cell r="L276" t="str">
            <v/>
          </cell>
          <cell r="M276" t="str">
            <v/>
          </cell>
          <cell r="N276" t="str">
            <v>megaportasdeaco@gmail.com</v>
          </cell>
          <cell r="O276" t="str">
            <v>74563-090</v>
          </cell>
          <cell r="P276" t="str">
            <v>AVENIDA DOMINGOS LEMES DO PRADO                                , 1056</v>
          </cell>
          <cell r="Q276" t="str">
            <v>SET CRIMEIA OESTE</v>
          </cell>
        </row>
        <row r="277">
          <cell r="B277" t="str">
            <v>MEGAPORT PORTAS AUTOMATICAS</v>
          </cell>
          <cell r="C277" t="str">
            <v>MEGAPORT PORTAS DE ACO E VIDRO AUTOMATICAS LTDA</v>
          </cell>
          <cell r="D277" t="str">
            <v>53.548.225/0001-43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>Ativo</v>
          </cell>
          <cell r="K277" t="str">
            <v>(64) 9280-4720 / (0000) 0000-0000</v>
          </cell>
          <cell r="L277" t="str">
            <v/>
          </cell>
          <cell r="M277" t="str">
            <v/>
          </cell>
          <cell r="N277" t="str">
            <v>megaport.financeiro@gmail.com</v>
          </cell>
          <cell r="O277" t="str">
            <v>75911-379</v>
          </cell>
          <cell r="P277" t="str">
            <v>AVENIDA CAROLINA MARIA DA SILVEIRA                                , SN</v>
          </cell>
          <cell r="Q277" t="str">
            <v>RESIDENCIAL NILSON VELOSO</v>
          </cell>
        </row>
        <row r="278">
          <cell r="B278" t="str">
            <v>Melo construções</v>
          </cell>
          <cell r="C278" t="str">
            <v>MELO CONSTUCOES E INTALACOES EIRELI-EPP</v>
          </cell>
          <cell r="D278" t="str">
            <v>19.153.108/0001-42</v>
          </cell>
          <cell r="E278" t="str">
            <v>0766219400110</v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>Inativo</v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>70340-907</v>
          </cell>
          <cell r="P278" t="str">
            <v>SRTVS QUADRA 701 BLOCO K SALA                                , 407</v>
          </cell>
          <cell r="Q278" t="str">
            <v>Asa Sul</v>
          </cell>
        </row>
        <row r="279">
          <cell r="B279" t="str">
            <v>MEPAR</v>
          </cell>
          <cell r="C279" t="str">
            <v>MEPAR METAIS PARREIRA LTDA</v>
          </cell>
          <cell r="D279" t="str">
            <v>03.996.396/0001-67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>Ativo</v>
          </cell>
          <cell r="K279" t="str">
            <v>(62) 3416-9494</v>
          </cell>
          <cell r="L279" t="str">
            <v/>
          </cell>
          <cell r="M279" t="str">
            <v/>
          </cell>
          <cell r="N279" t="str">
            <v>atendimento@meparmetais.com.br</v>
          </cell>
          <cell r="O279" t="str">
            <v>74919-605</v>
          </cell>
          <cell r="P279" t="str">
            <v>ROD BR-153                                , SN</v>
          </cell>
          <cell r="Q279" t="str">
            <v>JARDIM TRANSBRASILIANO</v>
          </cell>
        </row>
        <row r="280">
          <cell r="B280" t="str">
            <v>MERCADO LIVRE</v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>Ativo</v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</row>
        <row r="281">
          <cell r="B281" t="str">
            <v>metal bispo portas automaticas</v>
          </cell>
          <cell r="C281" t="str">
            <v>RYAM LUCAS BRAGA BISPO 07869511170</v>
          </cell>
          <cell r="D281" t="str">
            <v>46.698.848/0001-37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>Ativo</v>
          </cell>
          <cell r="K281" t="str">
            <v>(61) 9235-4359</v>
          </cell>
          <cell r="L281" t="str">
            <v/>
          </cell>
          <cell r="M281" t="str">
            <v/>
          </cell>
          <cell r="N281" t="str">
            <v>ryambraga2022@gmail.com</v>
          </cell>
          <cell r="O281" t="str">
            <v>72803-510</v>
          </cell>
          <cell r="P281" t="str">
            <v>AVENIDA BRASIL                                , S/N</v>
          </cell>
          <cell r="Q281" t="str">
            <v>SETOR LESTE</v>
          </cell>
        </row>
        <row r="282">
          <cell r="B282" t="str">
            <v>METAL FORTE</v>
          </cell>
          <cell r="C282" t="str">
            <v>CLEUTON GOMES DA SILVA LTDA</v>
          </cell>
          <cell r="D282" t="str">
            <v>41.237.393/0001-39</v>
          </cell>
          <cell r="E282" t="str">
            <v>39999650040</v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>Ativo</v>
          </cell>
          <cell r="K282" t="str">
            <v>(38) 3562-1373</v>
          </cell>
          <cell r="L282" t="str">
            <v/>
          </cell>
          <cell r="M282" t="str">
            <v/>
          </cell>
          <cell r="N282" t="str">
            <v>ronaldo_deus@hotmail.com</v>
          </cell>
          <cell r="O282" t="str">
            <v>38779-000</v>
          </cell>
          <cell r="P282" t="str">
            <v>RUA JOSE LUIZ PINTO                                , 1392</v>
          </cell>
          <cell r="Q282" t="str">
            <v>CONTIGENTE</v>
          </cell>
        </row>
        <row r="283">
          <cell r="B283" t="str">
            <v>METAL PORTOES</v>
          </cell>
          <cell r="C283" t="str">
            <v>SABRINA CARMES GONCALVES</v>
          </cell>
          <cell r="D283" t="str">
            <v>20.059.204/0001-05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>Ativo</v>
          </cell>
          <cell r="K283" t="str">
            <v>(62) 3292-5074</v>
          </cell>
          <cell r="L283" t="str">
            <v/>
          </cell>
          <cell r="M283" t="str">
            <v/>
          </cell>
          <cell r="N283" t="str">
            <v>ans@hotmail.com</v>
          </cell>
          <cell r="O283" t="str">
            <v>74453-390</v>
          </cell>
          <cell r="P283" t="str">
            <v>AV ANHANGUERA                                , 12377</v>
          </cell>
          <cell r="Q283" t="str">
            <v>BRO IPIRANGA</v>
          </cell>
        </row>
        <row r="284">
          <cell r="B284" t="str">
            <v>METAL SM SERRALHERIA</v>
          </cell>
          <cell r="C284" t="str">
            <v>49.075.684 SAMUEL MOTA LOURENCO</v>
          </cell>
          <cell r="D284" t="str">
            <v>49.075.684/0001-80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>Ativo</v>
          </cell>
          <cell r="K284" t="str">
            <v>(61) 9148-9992</v>
          </cell>
          <cell r="L284" t="str">
            <v/>
          </cell>
          <cell r="M284" t="str">
            <v/>
          </cell>
          <cell r="N284" t="str">
            <v>samuelempresarial17@gmail.com</v>
          </cell>
          <cell r="O284" t="str">
            <v>72853-057</v>
          </cell>
          <cell r="P284" t="str">
            <v>QUADRA QUADRA 57                                , S/N</v>
          </cell>
          <cell r="Q284" t="str">
            <v>PARQUE ESTRELA DALVA IX</v>
          </cell>
        </row>
        <row r="285">
          <cell r="B285" t="str">
            <v>METAL WORK</v>
          </cell>
          <cell r="C285" t="str">
            <v>P. LAROSE INSTALACOES</v>
          </cell>
          <cell r="D285" t="str">
            <v>27.889.562/0001-94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>Ativo</v>
          </cell>
          <cell r="K285" t="str">
            <v>(61) 8473-6095</v>
          </cell>
          <cell r="L285" t="str">
            <v/>
          </cell>
          <cell r="M285" t="str">
            <v/>
          </cell>
          <cell r="N285" t="str">
            <v>larosepesnel@gmail.com</v>
          </cell>
          <cell r="O285" t="str">
            <v>72215-250</v>
          </cell>
          <cell r="P285" t="str">
            <v>QUADRA QNM 25 CJ H CS 25                                , S/N</v>
          </cell>
          <cell r="Q285" t="str">
            <v>CEILANDIA SUL (CEILANDIA)</v>
          </cell>
        </row>
        <row r="286">
          <cell r="B286" t="str">
            <v>METALURGICA SABIA</v>
          </cell>
          <cell r="C286" t="str">
            <v>19.202.038 APARECIDA CELIA ALVES MENDES</v>
          </cell>
          <cell r="D286" t="str">
            <v>19.202.038/0001-75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>Ativo</v>
          </cell>
          <cell r="K286" t="str">
            <v>(62) 3297-4664</v>
          </cell>
          <cell r="L286" t="str">
            <v/>
          </cell>
          <cell r="M286" t="str">
            <v/>
          </cell>
          <cell r="N286" t="str">
            <v>portaseportoessabia@gmail.com</v>
          </cell>
          <cell r="O286" t="str">
            <v>74574-001</v>
          </cell>
          <cell r="P286" t="str">
            <v>AVENIDA MARECHAL RONDON                                , 2449</v>
          </cell>
          <cell r="Q286" t="str">
            <v>RESIDENCIAL MORUMBI</v>
          </cell>
        </row>
        <row r="287">
          <cell r="B287" t="str">
            <v>METALURGICA VARELA</v>
          </cell>
          <cell r="C287" t="str">
            <v>METALURGICA VARELA LTDA</v>
          </cell>
          <cell r="D287" t="str">
            <v>05.885.851/0001-82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>Ativo</v>
          </cell>
          <cell r="K287" t="str">
            <v>61921-7544</v>
          </cell>
          <cell r="L287" t="str">
            <v/>
          </cell>
          <cell r="M287" t="str">
            <v/>
          </cell>
          <cell r="N287" t="str">
            <v/>
          </cell>
          <cell r="O287" t="str">
            <v>72135-070</v>
          </cell>
          <cell r="P287" t="str">
            <v>QI 07 LOTE                                , 11</v>
          </cell>
          <cell r="Q287" t="str">
            <v>TAGUATINGA</v>
          </cell>
        </row>
        <row r="288">
          <cell r="B288" t="str">
            <v>METALURGICA VITORIA</v>
          </cell>
          <cell r="C288" t="str">
            <v>METALURGICA VITORIA LTDA</v>
          </cell>
          <cell r="D288" t="str">
            <v>32.539.104/0001-65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>Ativo</v>
          </cell>
          <cell r="K288" t="str">
            <v>(61) 9276-6435</v>
          </cell>
          <cell r="L288" t="str">
            <v/>
          </cell>
          <cell r="M288" t="str">
            <v/>
          </cell>
          <cell r="N288" t="str">
            <v>alexfac2018@gmail.com</v>
          </cell>
          <cell r="O288" t="str">
            <v>72871-663</v>
          </cell>
          <cell r="P288" t="str">
            <v>QUADRA QUADRA 16                                , SN</v>
          </cell>
          <cell r="Q288" t="str">
            <v>SETOR DE CHACARAS ANHANGUERA C</v>
          </cell>
        </row>
        <row r="289">
          <cell r="B289" t="str">
            <v>METALURGICA VITORIA</v>
          </cell>
          <cell r="C289" t="str">
            <v>METALURGICA VITORIA LTDA</v>
          </cell>
          <cell r="D289" t="str">
            <v>32.539.104/0001-65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>Ativo</v>
          </cell>
          <cell r="K289" t="str">
            <v>(61) 9276-6435</v>
          </cell>
          <cell r="L289" t="str">
            <v/>
          </cell>
          <cell r="M289" t="str">
            <v/>
          </cell>
          <cell r="N289" t="str">
            <v>alexfac2018@gmail.com</v>
          </cell>
          <cell r="O289" t="str">
            <v>72871-663</v>
          </cell>
          <cell r="P289" t="str">
            <v>QUADRA QUADRA 16                                , SN</v>
          </cell>
          <cell r="Q289" t="str">
            <v>SETOR DE CHACARAS ANHANGUERA C</v>
          </cell>
        </row>
        <row r="290">
          <cell r="B290" t="str">
            <v>MHS CONSTRUTORA</v>
          </cell>
          <cell r="C290" t="str">
            <v>MHS EMPREENDIMENTOS - CONSTRUTORA E INCORPORADORA LTDA</v>
          </cell>
          <cell r="D290" t="str">
            <v>03.138.540/0001-24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>Inativo</v>
          </cell>
          <cell r="K290" t="str">
            <v>(61)3037-5088</v>
          </cell>
          <cell r="L290" t="str">
            <v/>
          </cell>
          <cell r="M290" t="str">
            <v/>
          </cell>
          <cell r="N290" t="str">
            <v/>
          </cell>
          <cell r="O290" t="str">
            <v>71989-300</v>
          </cell>
          <cell r="P290" t="str">
            <v>AREA ADE CONJUNTO 20                                , S/N</v>
          </cell>
          <cell r="Q290" t="str">
            <v>AREA DE DESENVOLVIMENTO ECONOMICO (AGUAS CLAR</v>
          </cell>
        </row>
        <row r="291">
          <cell r="B291" t="str">
            <v>Miller led</v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>603.246.431-87</v>
          </cell>
          <cell r="H291" t="str">
            <v/>
          </cell>
          <cell r="I291" t="str">
            <v/>
          </cell>
          <cell r="J291" t="str">
            <v>Inativo</v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>VALPARAISO</v>
          </cell>
        </row>
        <row r="292">
          <cell r="B292" t="str">
            <v>MIX ILUMINACAO E FERRAGENS</v>
          </cell>
          <cell r="C292" t="str">
            <v>K. A. ELETRICA E FERRAGENS LTDA</v>
          </cell>
          <cell r="D292" t="str">
            <v>30.670.887/0001-96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>Inativo</v>
          </cell>
          <cell r="K292" t="str">
            <v>(61)3274-7781</v>
          </cell>
          <cell r="L292" t="str">
            <v/>
          </cell>
          <cell r="M292" t="str">
            <v/>
          </cell>
          <cell r="N292" t="str">
            <v>eletricamix@gmail.com</v>
          </cell>
          <cell r="O292" t="str">
            <v>72465-380</v>
          </cell>
          <cell r="P292" t="str">
            <v>QUADRA QUADRA 38 LOTE                                , 02</v>
          </cell>
          <cell r="Q292" t="str">
            <v>SETOR LESTE (GAMA)</v>
          </cell>
        </row>
        <row r="293">
          <cell r="B293" t="str">
            <v>Mn Oversea Representaçâo e Comércio Ltda</v>
          </cell>
          <cell r="C293" t="str">
            <v/>
          </cell>
          <cell r="D293" t="str">
            <v>13.817.676/0001-14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>Inativo</v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>88305-390</v>
          </cell>
          <cell r="P293" t="str">
            <v>Rua José Pereira Liberato                                , 315</v>
          </cell>
          <cell r="Q293" t="str">
            <v>Barra do Rio</v>
          </cell>
        </row>
        <row r="294">
          <cell r="B294" t="str">
            <v>MONTEIRO FERRO &amp; ACO</v>
          </cell>
          <cell r="C294" t="str">
            <v>MONTEIRO FERRO E ACO LTDA</v>
          </cell>
          <cell r="D294" t="str">
            <v>19.225.160/0001-67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>Ativo</v>
          </cell>
          <cell r="K294" t="str">
            <v>(61) 3389-3288</v>
          </cell>
          <cell r="L294" t="str">
            <v/>
          </cell>
          <cell r="M294" t="str">
            <v/>
          </cell>
          <cell r="N294" t="str">
            <v/>
          </cell>
          <cell r="O294" t="str">
            <v>73340-030</v>
          </cell>
          <cell r="P294" t="str">
            <v>ST DE OFICINAS CONJUNTO C LOTE 09                                , S/N</v>
          </cell>
          <cell r="Q294" t="str">
            <v>PLANALTINA</v>
          </cell>
        </row>
        <row r="295">
          <cell r="B295" t="str">
            <v>MRA - DISTRIBUIDORA DE PRODUTOS ELETRONICOS</v>
          </cell>
          <cell r="C295" t="str">
            <v>MRA - DISTRIBUIDORA DE PRODUTOS ELETRONICOS LTDA</v>
          </cell>
          <cell r="D295" t="str">
            <v>07.510.072/0001-28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>Ativo</v>
          </cell>
          <cell r="K295" t="str">
            <v>(61) 3272-0144 / (61) 8422-8096 / (61) 3032-7440</v>
          </cell>
          <cell r="L295" t="str">
            <v/>
          </cell>
          <cell r="M295" t="str">
            <v/>
          </cell>
          <cell r="N295" t="str">
            <v>mra.aut.rossi@hotmail.com</v>
          </cell>
          <cell r="O295" t="str">
            <v>72225-015</v>
          </cell>
          <cell r="P295" t="str">
            <v>QUADRA QNN 1 CONJUNTO E                                , 01/03</v>
          </cell>
          <cell r="Q295" t="str">
            <v>CEILANDIA NORTE (CEILANDIA)</v>
          </cell>
        </row>
        <row r="296">
          <cell r="B296" t="str">
            <v>MS SEGURANCA ELETRONICA</v>
          </cell>
          <cell r="C296" t="str">
            <v>MS SEGURANCA ELETRONICA FSA LTDA</v>
          </cell>
          <cell r="D296" t="str">
            <v>23.281.945/0001-24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>Inativo</v>
          </cell>
          <cell r="K296" t="str">
            <v>(61)9919-8831</v>
          </cell>
          <cell r="L296" t="str">
            <v/>
          </cell>
          <cell r="M296" t="str">
            <v/>
          </cell>
          <cell r="N296" t="str">
            <v>mssegurancafsa@gmail.com</v>
          </cell>
          <cell r="O296" t="str">
            <v>73801-100</v>
          </cell>
          <cell r="P296" t="str">
            <v>AVENIDA VALERIANO DE CASTRO                                , 627</v>
          </cell>
          <cell r="Q296" t="str">
            <v>CENTRO</v>
          </cell>
        </row>
        <row r="297">
          <cell r="B297" t="str">
            <v>MULTI PORTAS AUTOMATICAS</v>
          </cell>
          <cell r="C297" t="str">
            <v>RAFFAEL FAVARETTO EIRELI</v>
          </cell>
          <cell r="D297" t="str">
            <v>40.396.865/0001-33</v>
          </cell>
          <cell r="E297" t="str">
            <v>10.820.644-0</v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>Ativo</v>
          </cell>
          <cell r="K297" t="str">
            <v/>
          </cell>
          <cell r="L297" t="str">
            <v>(62) 99993-6299</v>
          </cell>
          <cell r="M297" t="str">
            <v/>
          </cell>
          <cell r="N297" t="str">
            <v>vendasmultiportas@gmail.com</v>
          </cell>
          <cell r="O297" t="str">
            <v>74933-570</v>
          </cell>
          <cell r="P297" t="str">
            <v>Avenida Rio Verde                                , SN</v>
          </cell>
          <cell r="Q297" t="str">
            <v>Jardim Helvécia</v>
          </cell>
        </row>
        <row r="298">
          <cell r="B298" t="str">
            <v>MULTIMETAL PORTAS AUTOMATICAS E COMUNICACAO VISUAL</v>
          </cell>
          <cell r="C298" t="str">
            <v>LCJ INDUSTRIA E COMERCIO DE PORTAS AUTOMATICAS LIMITADA</v>
          </cell>
          <cell r="D298" t="str">
            <v>45.700.991/0001-53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>Ativo</v>
          </cell>
          <cell r="K298" t="str">
            <v>(91)8164-6869</v>
          </cell>
          <cell r="L298" t="str">
            <v/>
          </cell>
          <cell r="M298" t="str">
            <v/>
          </cell>
          <cell r="N298" t="str">
            <v>george.comunic@yahoo.com.br</v>
          </cell>
          <cell r="O298" t="str">
            <v>66645-385</v>
          </cell>
          <cell r="P298" t="str">
            <v>PSG CORACAO DE JESUS                                , 273</v>
          </cell>
          <cell r="Q298" t="str">
            <v>SOUZA</v>
          </cell>
        </row>
        <row r="299">
          <cell r="B299" t="str">
            <v>MULTIPLACAS COMUNICACAO VISUAL</v>
          </cell>
          <cell r="C299" t="str">
            <v>MULTIPLACAS COMUNICACAO VISUAL LTDA</v>
          </cell>
          <cell r="D299" t="str">
            <v>18.531.552/0001-91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>Ativo</v>
          </cell>
          <cell r="K299" t="str">
            <v>(38)9941-0854</v>
          </cell>
          <cell r="L299" t="str">
            <v/>
          </cell>
          <cell r="M299" t="str">
            <v/>
          </cell>
          <cell r="N299" t="str">
            <v>multiplacasunai@hotmail.com</v>
          </cell>
          <cell r="O299" t="str">
            <v>38610-612</v>
          </cell>
          <cell r="P299" t="str">
            <v>R CELINA LISBOA FREDERICO                                , 2522</v>
          </cell>
          <cell r="Q299" t="str">
            <v>POLITECNICA</v>
          </cell>
        </row>
        <row r="300">
          <cell r="B300" t="str">
            <v>Multmetal</v>
          </cell>
          <cell r="C300" t="str">
            <v/>
          </cell>
          <cell r="D300" t="str">
            <v>45.700.991/0001-53</v>
          </cell>
          <cell r="E300" t="str">
            <v>15.822.876-6</v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>Inativo</v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</row>
        <row r="301">
          <cell r="B301" t="str">
            <v>MULTVARIEDADES</v>
          </cell>
          <cell r="C301" t="str">
            <v>I. L. P. RIBEIRO FERRAGENS E FERRAMENTAS</v>
          </cell>
          <cell r="D301" t="str">
            <v>09.100.103/0001-06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>Inativo</v>
          </cell>
          <cell r="K301" t="str">
            <v>(61) 3399-8138/ (61) 3399-5750</v>
          </cell>
          <cell r="L301" t="str">
            <v/>
          </cell>
          <cell r="M301" t="str">
            <v/>
          </cell>
          <cell r="N301" t="str">
            <v>contelb@contelb.com.br</v>
          </cell>
          <cell r="O301" t="str">
            <v>71805-706</v>
          </cell>
          <cell r="P301" t="str">
            <v>Q QN 07 CONJUNTO 06 LOTE                                , 14</v>
          </cell>
          <cell r="Q301" t="str">
            <v>RIACHO FUNDO I</v>
          </cell>
        </row>
        <row r="302">
          <cell r="B302" t="str">
            <v>MUNDIAL TELHAS TERMOACUSTICAS</v>
          </cell>
          <cell r="C302" t="str">
            <v>MUNDIAL E INDUSTRIA DE ACO LTDA</v>
          </cell>
          <cell r="D302" t="str">
            <v>53.864.850/0002-85</v>
          </cell>
          <cell r="E302" t="str">
            <v>0828543900194</v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>Ativo</v>
          </cell>
          <cell r="K302" t="str">
            <v>(62) 3357-6060</v>
          </cell>
          <cell r="L302" t="str">
            <v/>
          </cell>
          <cell r="M302" t="str">
            <v/>
          </cell>
          <cell r="N302" t="str">
            <v>adm@mundialtelhastermicas.com.br</v>
          </cell>
          <cell r="O302" t="str">
            <v>72265-070</v>
          </cell>
          <cell r="P302" t="str">
            <v>SETOR SETOR DE INDUSTRIA QI 7 LT 21, 22, 23, 24, 25 E 26                                , SN</v>
          </cell>
          <cell r="Q302" t="str">
            <v>SETOR INDUSTRIAL (CEILANDIA)</v>
          </cell>
        </row>
        <row r="303">
          <cell r="B303" t="str">
            <v>Murillo Henrique Mendes Diniz</v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>114.814.136-78</v>
          </cell>
          <cell r="H303" t="str">
            <v/>
          </cell>
          <cell r="I303" t="str">
            <v/>
          </cell>
          <cell r="J303" t="str">
            <v>Inativo</v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</row>
        <row r="304">
          <cell r="B304" t="str">
            <v>MV DISTRIBUIDORA</v>
          </cell>
          <cell r="C304" t="str">
            <v>MV COMERCIO,IMPORTACAO &amp; EXPORTACAO DE PRODUTOS ELETRONICOS LTDA</v>
          </cell>
          <cell r="D304" t="str">
            <v>16.715.653/0001-97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>Ativo</v>
          </cell>
          <cell r="K304" t="str">
            <v>(61) 3352-3478 / (61) 9337-0185</v>
          </cell>
          <cell r="L304" t="str">
            <v/>
          </cell>
          <cell r="M304" t="str">
            <v/>
          </cell>
          <cell r="N304" t="str">
            <v>mvdistribuidora77@gmail.com</v>
          </cell>
          <cell r="O304" t="str">
            <v>71953-000</v>
          </cell>
          <cell r="P304" t="str">
            <v>QUADRA QS 3 PRACA 400A LT                                , 6/7</v>
          </cell>
          <cell r="Q304" t="str">
            <v>AREAL (AGUAS CLARAS)</v>
          </cell>
        </row>
        <row r="305">
          <cell r="B305" t="str">
            <v>Mv Empreendimentos Ltda</v>
          </cell>
          <cell r="C305" t="str">
            <v/>
          </cell>
          <cell r="D305" t="str">
            <v>13.099.903/0001-13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>Inativo</v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>49039-083</v>
          </cell>
          <cell r="P305" t="str">
            <v>Avenida Jornalista Juarez Conrado Dantas                                , 960</v>
          </cell>
          <cell r="Q305" t="str">
            <v>Marivan</v>
          </cell>
        </row>
        <row r="306">
          <cell r="B306" t="str">
            <v>MVR ENGENHARIA</v>
          </cell>
          <cell r="C306" t="str">
            <v>MVR ENGENHARIA LTDA</v>
          </cell>
          <cell r="D306" t="str">
            <v>35.238.532/0001-46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Inativo</v>
          </cell>
          <cell r="K306" t="str">
            <v>(61)8427-2015</v>
          </cell>
          <cell r="L306" t="str">
            <v/>
          </cell>
          <cell r="M306" t="str">
            <v/>
          </cell>
          <cell r="N306" t="str">
            <v>mvreng@outlook.com</v>
          </cell>
          <cell r="O306" t="str">
            <v>72265-060</v>
          </cell>
          <cell r="P306" t="str">
            <v>ST SETOR DE INDUSTRIA QI 06 LT 87                                , S/N</v>
          </cell>
          <cell r="Q306" t="str">
            <v>SETOR INDUSTRIAL (CEILANDIA)</v>
          </cell>
        </row>
        <row r="307">
          <cell r="B307" t="str">
            <v>NAIARA AZEVEDO</v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>061.252.005-66</v>
          </cell>
          <cell r="H307" t="str">
            <v/>
          </cell>
          <cell r="I307" t="str">
            <v/>
          </cell>
          <cell r="J307" t="str">
            <v>Inativo</v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>46140-000</v>
          </cell>
          <cell r="P307" t="str">
            <v>Av lindemberg Cardoso 322                                , 322</v>
          </cell>
          <cell r="Q307" t="str">
            <v>TAQUARI</v>
          </cell>
        </row>
        <row r="308">
          <cell r="B308" t="str">
            <v>NASCAR SOLUCOES EM TECNOLOGIA LTDA</v>
          </cell>
          <cell r="C308" t="str">
            <v>NASCAR SOLUCOES EM TECNOLOGIA LTDA</v>
          </cell>
          <cell r="D308" t="str">
            <v>35.654.646/0001-77</v>
          </cell>
          <cell r="E308" t="str">
            <v>36125600009</v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>Inativo</v>
          </cell>
          <cell r="K308" t="str">
            <v>(32)3251-7784</v>
          </cell>
          <cell r="L308" t="str">
            <v/>
          </cell>
          <cell r="M308" t="str">
            <v/>
          </cell>
          <cell r="N308" t="str">
            <v>nascarsolucoestecnologia@gmail.com</v>
          </cell>
          <cell r="O308" t="str">
            <v>36240-075</v>
          </cell>
          <cell r="P308" t="str">
            <v>Avenida Presidente Getúlio Vargas                                , 112</v>
          </cell>
          <cell r="Q308" t="str">
            <v>Centro</v>
          </cell>
        </row>
        <row r="309">
          <cell r="B309" t="str">
            <v>NATIVATECH</v>
          </cell>
          <cell r="C309" t="str">
            <v>NATIVATECH LTDA</v>
          </cell>
          <cell r="D309" t="str">
            <v>31.414.429/0001-59</v>
          </cell>
          <cell r="E309" t="str">
            <v>10786626-9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>Inativo</v>
          </cell>
          <cell r="K309" t="str">
            <v>(61)3637-0524</v>
          </cell>
          <cell r="L309" t="str">
            <v/>
          </cell>
          <cell r="M309" t="str">
            <v/>
          </cell>
          <cell r="N309" t="str">
            <v>nativatech@hotmail.com</v>
          </cell>
          <cell r="O309" t="str">
            <v>73750-230</v>
          </cell>
          <cell r="P309" t="str">
            <v>Quadra QC 3                                , 18</v>
          </cell>
          <cell r="Q309" t="str">
            <v>Setor Oeste</v>
          </cell>
        </row>
        <row r="310">
          <cell r="B310" t="str">
            <v>NELSON NUNES TAVARES</v>
          </cell>
          <cell r="C310" t="str">
            <v>58.240.163 NELSON NUNES TAVARES</v>
          </cell>
          <cell r="D310" t="str">
            <v>58.240.163/0001-21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>Inativo</v>
          </cell>
          <cell r="K310" t="str">
            <v>(61)8611-6102</v>
          </cell>
          <cell r="L310" t="str">
            <v/>
          </cell>
          <cell r="M310" t="str">
            <v/>
          </cell>
          <cell r="N310" t="str">
            <v>nelsonvdn@gmail.com</v>
          </cell>
          <cell r="O310" t="str">
            <v>73081-420</v>
          </cell>
          <cell r="P310" t="str">
            <v>QUADRA QMS 33                                , 4</v>
          </cell>
          <cell r="Q310" t="str">
            <v>SETOR DE MANSOES DE SOBRADINHO</v>
          </cell>
        </row>
        <row r="311">
          <cell r="B311" t="str">
            <v>NELSON NUNES TAVARES</v>
          </cell>
          <cell r="C311" t="str">
            <v>58.240.163 NELSON NUNES TAVARES</v>
          </cell>
          <cell r="D311" t="str">
            <v>58.240.163/0001-21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>Ativo</v>
          </cell>
          <cell r="K311" t="str">
            <v>(61) 8611-6102</v>
          </cell>
          <cell r="L311" t="str">
            <v/>
          </cell>
          <cell r="M311" t="str">
            <v/>
          </cell>
          <cell r="N311" t="str">
            <v>nelsonvdn@gmail.com</v>
          </cell>
          <cell r="O311" t="str">
            <v>73081-420</v>
          </cell>
          <cell r="P311" t="str">
            <v>QUADRA QMS 33                                , 4</v>
          </cell>
          <cell r="Q311" t="str">
            <v>SETOR DE MANSOES DE SOBRADINHO</v>
          </cell>
        </row>
        <row r="312">
          <cell r="B312" t="str">
            <v>NORTE SUL PORTAS DE ACO AUTOMATICAS</v>
          </cell>
          <cell r="C312" t="str">
            <v>NORTESUL PORTAS DE ACO AUTOMATICAS LTDA</v>
          </cell>
          <cell r="D312" t="str">
            <v>30.877.853/0001-77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>Ativo</v>
          </cell>
          <cell r="K312" t="str">
            <v>(62) 8474-5570</v>
          </cell>
          <cell r="L312" t="str">
            <v/>
          </cell>
          <cell r="M312" t="str">
            <v/>
          </cell>
          <cell r="N312" t="str">
            <v>nortesulportas@hotmail.com</v>
          </cell>
          <cell r="O312" t="str">
            <v>74912-330</v>
          </cell>
          <cell r="P312" t="str">
            <v>AVENIDA GETULIO VARGAS                                , SN</v>
          </cell>
          <cell r="Q312" t="str">
            <v>VILA NOSSA SENHORA DE LOURDES</v>
          </cell>
        </row>
        <row r="313">
          <cell r="B313" t="str">
            <v>NOSSA ADEGA</v>
          </cell>
          <cell r="C313" t="str">
            <v>EAS COMERCIO DE BEBIDAS E GENEROS ALIMENTICIOS LTDA</v>
          </cell>
          <cell r="D313" t="str">
            <v>54.769.771/0001-77</v>
          </cell>
          <cell r="E313" t="str">
            <v>0829402700189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>Inativo</v>
          </cell>
          <cell r="K313" t="str">
            <v>(61) 8250-2516 / (0000) 0000-0000</v>
          </cell>
          <cell r="L313" t="str">
            <v/>
          </cell>
          <cell r="M313" t="str">
            <v/>
          </cell>
          <cell r="N313" t="str">
            <v>gerente01.livlounge@gmail.com</v>
          </cell>
          <cell r="O313" t="str">
            <v>72015-025</v>
          </cell>
          <cell r="P313" t="str">
            <v>QUADRA CSA 2 LOTE 19                                , LJ 02</v>
          </cell>
          <cell r="Q313" t="str">
            <v>TAGUATINGA SUL (TAGUATINGA)</v>
          </cell>
        </row>
        <row r="314">
          <cell r="B314" t="str">
            <v>NOVA HEROS INSTALACOES</v>
          </cell>
          <cell r="C314" t="str">
            <v>BIANCA LIMA BARBIERO 39527059852</v>
          </cell>
          <cell r="D314" t="str">
            <v>42.793.500/0001-78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>Inativo</v>
          </cell>
          <cell r="K314" t="str">
            <v>(19)9197-1547</v>
          </cell>
          <cell r="L314" t="str">
            <v/>
          </cell>
          <cell r="M314" t="str">
            <v/>
          </cell>
          <cell r="N314" t="str">
            <v>financeiro@novaheros.com.br</v>
          </cell>
          <cell r="O314" t="str">
            <v>13040-735</v>
          </cell>
          <cell r="P314" t="str">
            <v>AVENIDA SAO JOSE DOS CAMPOS                                , 3127</v>
          </cell>
          <cell r="Q314" t="str">
            <v>LOTEAMENTO PARQUE SAO MARTINHO</v>
          </cell>
        </row>
        <row r="315">
          <cell r="B315" t="str">
            <v>NOVA META PORTA AUTOMATICA E DISTRIBUIDORA</v>
          </cell>
          <cell r="C315" t="str">
            <v>NOVA META SERRALHERIA EIRELI</v>
          </cell>
          <cell r="D315" t="str">
            <v>41.869.423/0001-20</v>
          </cell>
          <cell r="E315" t="str">
            <v>108398455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>Ativo</v>
          </cell>
          <cell r="K315" t="str">
            <v/>
          </cell>
          <cell r="L315" t="str">
            <v>(62) 98303-7329</v>
          </cell>
          <cell r="M315" t="str">
            <v/>
          </cell>
          <cell r="N315" t="str">
            <v/>
          </cell>
          <cell r="O315" t="str">
            <v>74435-190</v>
          </cell>
          <cell r="P315" t="str">
            <v>Rua 12                                , 314</v>
          </cell>
          <cell r="Q315" t="str">
            <v>Aeroviário</v>
          </cell>
        </row>
        <row r="316">
          <cell r="B316" t="str">
            <v>NOVEM FELIX DE AZEVEDO</v>
          </cell>
          <cell r="C316" t="str">
            <v>NOVEM FELIX DE AZEVEDO 00119166640</v>
          </cell>
          <cell r="D316" t="str">
            <v>32.481.740/0001-83</v>
          </cell>
          <cell r="E316" t="str">
            <v>33566890073</v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Ativo</v>
          </cell>
          <cell r="K316" t="str">
            <v>(31)9995-1796</v>
          </cell>
          <cell r="L316" t="str">
            <v/>
          </cell>
          <cell r="M316" t="str">
            <v/>
          </cell>
          <cell r="N316" t="str">
            <v>serralherianovem@hotmail.com</v>
          </cell>
          <cell r="O316" t="str">
            <v>36405-133</v>
          </cell>
          <cell r="P316" t="str">
            <v>RUA SANTA MATILDE                                , 211</v>
          </cell>
          <cell r="Q316" t="str">
            <v>SANTA MATILDE</v>
          </cell>
        </row>
        <row r="317">
          <cell r="B317" t="str">
            <v>OBJETIVA ATACADISTA DA CONSTRUCAO</v>
          </cell>
          <cell r="C317" t="str">
            <v>OBJETIVA ATACADISTA DA CONSTRUCAO LTDA</v>
          </cell>
          <cell r="D317" t="str">
            <v>05.059.270/0001-91</v>
          </cell>
          <cell r="E317" t="str">
            <v>0743393100187</v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>Inativo</v>
          </cell>
          <cell r="K317" t="str">
            <v>(61)3462-3535</v>
          </cell>
          <cell r="L317" t="str">
            <v/>
          </cell>
          <cell r="M317" t="str">
            <v/>
          </cell>
          <cell r="N317" t="str">
            <v>vendas@objetivaatacadista.com.br</v>
          </cell>
          <cell r="O317" t="str">
            <v>71215-520</v>
          </cell>
          <cell r="P317" t="str">
            <v>ST SGCV LOTE (ST GARAGENS E CONCES DE VEICULOS) 2                                , S/N</v>
          </cell>
          <cell r="Q317" t="str">
            <v>ZONA INDUSTRIAL (GUARA)</v>
          </cell>
        </row>
        <row r="318">
          <cell r="B318" t="str">
            <v>ODONTOCOMPANY VALPARAISO</v>
          </cell>
          <cell r="C318" t="str">
            <v>RP CLINICA ODONTOLOGICA VALPARAISO LTDA</v>
          </cell>
          <cell r="D318" t="str">
            <v>29.273.294/0001-07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>Inativo</v>
          </cell>
          <cell r="K318" t="str">
            <v>(61)9982-3637</v>
          </cell>
          <cell r="L318" t="str">
            <v/>
          </cell>
          <cell r="M318" t="str">
            <v/>
          </cell>
          <cell r="N318" t="str">
            <v/>
          </cell>
          <cell r="O318" t="str">
            <v>72870-217</v>
          </cell>
          <cell r="P318" t="str">
            <v>R 18 (QUADRAS 37,38,48,49,58,59,60)                                , S/N</v>
          </cell>
          <cell r="Q318" t="str">
            <v>JARDIM ORIENTE</v>
          </cell>
        </row>
        <row r="319">
          <cell r="B319" t="str">
            <v>OFICINA ATUAL</v>
          </cell>
          <cell r="C319" t="str">
            <v>ATUAL OFICINA MECANICA LTDA</v>
          </cell>
          <cell r="D319" t="str">
            <v>35.800.729/0001-27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>Inativo</v>
          </cell>
          <cell r="K319" t="str">
            <v>(61)3554-4862</v>
          </cell>
          <cell r="L319" t="str">
            <v/>
          </cell>
          <cell r="M319" t="str">
            <v/>
          </cell>
          <cell r="N319" t="str">
            <v>oficinaatual@outlook.com</v>
          </cell>
          <cell r="O319" t="str">
            <v>71996-140</v>
          </cell>
          <cell r="P319" t="str">
            <v>SETOR SHA CONJUNTO 6 CHACARA 18A LOTE                                , 01</v>
          </cell>
          <cell r="Q319" t="str">
            <v>SETOR HABITACIONAL ARNIQUEIRA (AGUAS CLARAS)</v>
          </cell>
        </row>
        <row r="320">
          <cell r="B320" t="str">
            <v>OFICINA ATUAL</v>
          </cell>
          <cell r="C320" t="str">
            <v>OFICINA ATUAL PNEUS LTDA</v>
          </cell>
          <cell r="D320" t="str">
            <v>43.575.449/0001-90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>Inativo</v>
          </cell>
          <cell r="K320" t="str">
            <v>(61) 8411-4564 / (62) 4141-6449</v>
          </cell>
          <cell r="L320" t="str">
            <v/>
          </cell>
          <cell r="M320" t="str">
            <v/>
          </cell>
          <cell r="N320" t="str">
            <v>claudineyatual@gmail.com</v>
          </cell>
          <cell r="O320" t="str">
            <v>71996-140</v>
          </cell>
          <cell r="P320" t="str">
            <v>SETOR SHA CONJUNTO 6 CHACARA 18A LOTE                                , 01</v>
          </cell>
          <cell r="Q320" t="str">
            <v>SETOR HABITACIONAL ARNIQUEIRA (AGUAS CLARAS)</v>
          </cell>
        </row>
        <row r="321">
          <cell r="B321" t="str">
            <v>OLIVEIRA PORTAS AUTOMATICAS</v>
          </cell>
          <cell r="C321" t="str">
            <v>OLIVEIRA PORTAS DE ENROLAR AUTOMATICAS LTDA</v>
          </cell>
          <cell r="D321" t="str">
            <v>44.703.828/0001-81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>Ativo</v>
          </cell>
          <cell r="K321" t="str">
            <v>(91)8203-4546</v>
          </cell>
          <cell r="L321" t="str">
            <v/>
          </cell>
          <cell r="M321" t="str">
            <v/>
          </cell>
          <cell r="N321" t="str">
            <v>oliveiraportasautomaticas@gmail.com</v>
          </cell>
          <cell r="O321" t="str">
            <v>68741-360</v>
          </cell>
          <cell r="P321" t="str">
            <v>AVENIDA DUQUE DE CAXIAS                                , 365</v>
          </cell>
          <cell r="Q321" t="str">
            <v>SAUDADE I</v>
          </cell>
        </row>
        <row r="322">
          <cell r="B322" t="str">
            <v>OPCAO TELECOM</v>
          </cell>
          <cell r="C322" t="str">
            <v>OPCAOTELECOM TELECOMUNICACOES S/A</v>
          </cell>
          <cell r="D322" t="str">
            <v>05.236.051/0001-30</v>
          </cell>
          <cell r="E322" t="str">
            <v>90266280-48</v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>Inativo</v>
          </cell>
          <cell r="K322" t="str">
            <v>(45)3253-2277</v>
          </cell>
          <cell r="L322" t="str">
            <v/>
          </cell>
          <cell r="M322" t="str">
            <v/>
          </cell>
          <cell r="N322" t="str">
            <v/>
          </cell>
          <cell r="O322" t="str">
            <v>85930-000</v>
          </cell>
          <cell r="P322" t="str">
            <v>AV TUCUNDUVA                                , 1070</v>
          </cell>
          <cell r="Q322" t="str">
            <v>CENTRO</v>
          </cell>
        </row>
        <row r="323">
          <cell r="B323" t="str">
            <v>Orita Pereira Rodrigues</v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>253.831.671-53</v>
          </cell>
          <cell r="H323" t="str">
            <v/>
          </cell>
          <cell r="I323" t="str">
            <v/>
          </cell>
          <cell r="J323" t="str">
            <v>Ativo</v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>72236-800</v>
          </cell>
          <cell r="P323" t="str">
            <v>Setor Habitacional Sol Nascente</v>
          </cell>
          <cell r="Q323" t="str">
            <v>Ceilândia Sul (Ceilândia)</v>
          </cell>
        </row>
        <row r="324">
          <cell r="B324" t="str">
            <v>Orlando Dias Ribeiro</v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>006.049.891-99</v>
          </cell>
          <cell r="H324" t="str">
            <v/>
          </cell>
          <cell r="I324" t="str">
            <v/>
          </cell>
          <cell r="J324" t="str">
            <v>Ativo</v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>72916-066</v>
          </cell>
          <cell r="P324" t="str">
            <v>Quadra 14</v>
          </cell>
          <cell r="Q324" t="str">
            <v>Jardim Pérola da Barragem I</v>
          </cell>
        </row>
        <row r="325">
          <cell r="B325" t="str">
            <v>PADRAO ATACADISTA</v>
          </cell>
          <cell r="C325" t="str">
            <v>ELETRICA PADRAO MATERIAIS DE CONSTRUCAO LTDA</v>
          </cell>
          <cell r="D325" t="str">
            <v>35.151.350/0001-33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>Inativo</v>
          </cell>
          <cell r="K325" t="str">
            <v>(61)3384-1901</v>
          </cell>
          <cell r="L325" t="str">
            <v/>
          </cell>
          <cell r="M325" t="str">
            <v/>
          </cell>
          <cell r="N325" t="str">
            <v>eletricapadraogama@gmail.com</v>
          </cell>
          <cell r="O325" t="str">
            <v>72465-372</v>
          </cell>
          <cell r="P325" t="str">
            <v>Q 37 LOTES 13 E 14                                , S/N</v>
          </cell>
          <cell r="Q325" t="str">
            <v>SETOR LESTE (GAMA)</v>
          </cell>
        </row>
        <row r="326">
          <cell r="B326" t="str">
            <v>PANIFICADORA E MERCEARIA ASSIS</v>
          </cell>
          <cell r="C326" t="str">
            <v>PANIFICADORA E MERCEARIA ASSIS LTDA</v>
          </cell>
          <cell r="D326" t="str">
            <v>37.065.091/0001-53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>Ativo</v>
          </cell>
          <cell r="K326" t="str">
            <v>(61) 3082-2709</v>
          </cell>
          <cell r="L326" t="str">
            <v/>
          </cell>
          <cell r="M326" t="str">
            <v/>
          </cell>
          <cell r="N326" t="str">
            <v>panificadoraassis@hotmail.com</v>
          </cell>
          <cell r="O326" t="str">
            <v>71881-139</v>
          </cell>
          <cell r="P326" t="str">
            <v>QUADRA QN 14 C CONJ 09 LOTE 12 LOJA                                , 01</v>
          </cell>
          <cell r="Q326" t="str">
            <v>RIACHO FUNDO II</v>
          </cell>
        </row>
        <row r="327">
          <cell r="B327" t="str">
            <v>PASTELARIA VICOSA</v>
          </cell>
          <cell r="C327" t="str">
            <v>PASTELARIA VICOSA LTDA</v>
          </cell>
          <cell r="D327" t="str">
            <v>00.052.274/0001-24</v>
          </cell>
          <cell r="E327" t="str">
            <v>07.311.603/001-71</v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>Inativo</v>
          </cell>
          <cell r="K327" t="str">
            <v>(61)3965-8003</v>
          </cell>
          <cell r="L327" t="str">
            <v/>
          </cell>
          <cell r="M327" t="str">
            <v/>
          </cell>
          <cell r="N327" t="str">
            <v>vicosa@zaz.com.br</v>
          </cell>
          <cell r="O327" t="str">
            <v>70730-640</v>
          </cell>
          <cell r="P327" t="str">
            <v>ST SHCG/NORTE CR QUADRA 704/705 BLOCO D LOJA                                , 02</v>
          </cell>
          <cell r="Q327" t="str">
            <v>ASA NORTE</v>
          </cell>
        </row>
        <row r="328">
          <cell r="B328" t="str">
            <v>Paulinani Campos</v>
          </cell>
          <cell r="C328" t="str">
            <v/>
          </cell>
          <cell r="D328" t="str">
            <v>36.271.395/0001-04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>Inativo</v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</row>
        <row r="329">
          <cell r="B329" t="str">
            <v>Paulo Henrique Dias Rodrigues</v>
          </cell>
          <cell r="C329" t="str">
            <v/>
          </cell>
          <cell r="D329" t="str">
            <v/>
          </cell>
          <cell r="E329" t="str">
            <v>ISENTO</v>
          </cell>
          <cell r="F329" t="str">
            <v/>
          </cell>
          <cell r="G329" t="str">
            <v>114.870.046-30</v>
          </cell>
          <cell r="H329" t="str">
            <v>02761806</v>
          </cell>
          <cell r="I329" t="str">
            <v>1993-05-07</v>
          </cell>
          <cell r="J329" t="str">
            <v>Ativo</v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>74933-130</v>
          </cell>
          <cell r="P329" t="str">
            <v>Rua Monte Carmelo</v>
          </cell>
          <cell r="Q329" t="str">
            <v>Cardoso</v>
          </cell>
        </row>
        <row r="330">
          <cell r="B330" t="str">
            <v>Paulo Henrique Ribeiro Reis</v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>864.051.957-91</v>
          </cell>
          <cell r="H330" t="str">
            <v/>
          </cell>
          <cell r="I330" t="str">
            <v/>
          </cell>
          <cell r="J330" t="str">
            <v>Inativo</v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>30150-320</v>
          </cell>
          <cell r="P330" t="str">
            <v>Rua Piauí                                , 343</v>
          </cell>
          <cell r="Q330" t="str">
            <v>Santa Efigênia</v>
          </cell>
        </row>
        <row r="331">
          <cell r="B331" t="str">
            <v>Port Center</v>
          </cell>
          <cell r="C331" t="str">
            <v>RANGEL SILVA 02665458152</v>
          </cell>
          <cell r="D331" t="str">
            <v>12.187.893/0001-05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>Ativo</v>
          </cell>
          <cell r="K331" t="str">
            <v>(61) 4101-4043</v>
          </cell>
          <cell r="L331" t="str">
            <v/>
          </cell>
          <cell r="M331" t="str">
            <v/>
          </cell>
          <cell r="N331" t="str">
            <v>portcenter@hotmail.com</v>
          </cell>
          <cell r="O331" t="str">
            <v>72260-808</v>
          </cell>
          <cell r="P331" t="str">
            <v>QUADRA QNO 18 CONJUNTO 8                                , 05</v>
          </cell>
          <cell r="Q331" t="str">
            <v>CEILANDIA NORTE</v>
          </cell>
        </row>
        <row r="332">
          <cell r="B332" t="str">
            <v>PORTA DE ACO RIBEIRO</v>
          </cell>
          <cell r="C332" t="str">
            <v>26.157.192 FABIO JUNIO RIBEIRO</v>
          </cell>
          <cell r="D332" t="str">
            <v>26.157.192/0001-38</v>
          </cell>
          <cell r="E332" t="str">
            <v>10.993.645-0</v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Ativo</v>
          </cell>
          <cell r="K332" t="str">
            <v/>
          </cell>
          <cell r="L332" t="str">
            <v>62985359860</v>
          </cell>
          <cell r="M332" t="str">
            <v/>
          </cell>
          <cell r="N332" t="str">
            <v>portasdeacoribeiro@gmail.com</v>
          </cell>
          <cell r="O332" t="str">
            <v>74471-107</v>
          </cell>
          <cell r="P332" t="str">
            <v>Rua LPK15                                , 13</v>
          </cell>
          <cell r="Q332" t="str">
            <v>Residencial London Park</v>
          </cell>
        </row>
        <row r="333">
          <cell r="B333" t="str">
            <v>PORTAS DE ACO ALFA</v>
          </cell>
          <cell r="C333" t="str">
            <v>PORTAS DE ACO ALFA LTDA</v>
          </cell>
          <cell r="D333" t="str">
            <v>37.268.309/0001-77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>Ativo</v>
          </cell>
          <cell r="K333" t="str">
            <v>(66) 9243-4644</v>
          </cell>
          <cell r="L333" t="str">
            <v/>
          </cell>
          <cell r="M333" t="str">
            <v/>
          </cell>
          <cell r="N333" t="str">
            <v>jane@clausse.com.br</v>
          </cell>
          <cell r="O333" t="str">
            <v>78730-116</v>
          </cell>
          <cell r="P333" t="str">
            <v>RUA PAPA JOAO XXIII                                , 975</v>
          </cell>
          <cell r="Q333" t="str">
            <v>JARDIM GLORIA</v>
          </cell>
        </row>
        <row r="334">
          <cell r="B334" t="str">
            <v>PORTAS DE ACO ALVORADA</v>
          </cell>
          <cell r="C334" t="str">
            <v>PORTAS DE ACO ALVORADA LTDA</v>
          </cell>
          <cell r="D334" t="str">
            <v>01.551.543/0001-60</v>
          </cell>
          <cell r="E334" t="str">
            <v>10.291.098-7</v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>Ativo</v>
          </cell>
          <cell r="K334" t="str">
            <v/>
          </cell>
          <cell r="L334" t="str">
            <v>55 62 9649-7742</v>
          </cell>
          <cell r="M334" t="str">
            <v/>
          </cell>
          <cell r="N334" t="str">
            <v>portasdeacoalvorada@hotmail.com</v>
          </cell>
          <cell r="O334" t="str">
            <v>74450-200</v>
          </cell>
          <cell r="P334" t="str">
            <v>AV FERNAO DIAS PAES LEME                                , 610</v>
          </cell>
          <cell r="Q334" t="str">
            <v>CAPUAVA</v>
          </cell>
        </row>
        <row r="335">
          <cell r="B335" t="str">
            <v>PORTAS DE ACO BRASIL - PARA</v>
          </cell>
          <cell r="C335" t="str">
            <v>M.J. DE BARROS MORAIS COMERCIO DE PORTOES ELETRONICOS LTDA</v>
          </cell>
          <cell r="D335" t="str">
            <v>34.818.303/0001-38</v>
          </cell>
          <cell r="E335" t="str">
            <v>15.660.461-2</v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>Ativo</v>
          </cell>
          <cell r="K335" t="str">
            <v>(93) 9171-9441</v>
          </cell>
          <cell r="L335" t="str">
            <v/>
          </cell>
          <cell r="M335" t="str">
            <v/>
          </cell>
          <cell r="N335" t="str">
            <v>consultoriaexata@hotmail.com</v>
          </cell>
          <cell r="O335" t="str">
            <v>68010-000</v>
          </cell>
          <cell r="P335" t="str">
            <v>AVENIDA CURUA UNA                                , 1402</v>
          </cell>
          <cell r="Q335" t="str">
            <v>SANTISSIMO</v>
          </cell>
        </row>
        <row r="336">
          <cell r="B336" t="str">
            <v>PORTAS DE ACO CAMPOS</v>
          </cell>
          <cell r="C336" t="str">
            <v>PORTAS DE ACO CAMPOS LTDA</v>
          </cell>
          <cell r="D336" t="str">
            <v>54.795.203/0001-40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>Ativo</v>
          </cell>
          <cell r="K336" t="str">
            <v>(62) 9181-1014/ (0000) 0000-0000</v>
          </cell>
          <cell r="L336" t="str">
            <v/>
          </cell>
          <cell r="M336" t="str">
            <v/>
          </cell>
          <cell r="N336" t="str">
            <v>elsonbelo.ecb@gmail.com</v>
          </cell>
          <cell r="O336" t="str">
            <v>75383-477</v>
          </cell>
          <cell r="P336" t="str">
            <v>R OUVIDOR                                , 26</v>
          </cell>
          <cell r="Q336" t="str">
            <v>SETOR JARDIM MARISTA</v>
          </cell>
        </row>
        <row r="337">
          <cell r="B337" t="str">
            <v>PORTAS DE ACO CAPITAL</v>
          </cell>
          <cell r="C337" t="str">
            <v>PORTAS DE ACO CAPITAL LTDA</v>
          </cell>
          <cell r="D337" t="str">
            <v>46.129.927/0001-27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>Ativo</v>
          </cell>
          <cell r="K337" t="str">
            <v>(63) 9357-9550</v>
          </cell>
          <cell r="L337" t="str">
            <v/>
          </cell>
          <cell r="M337" t="str">
            <v/>
          </cell>
          <cell r="N337" t="str">
            <v>gustavocamposchurume@gmail.com</v>
          </cell>
          <cell r="O337" t="str">
            <v>74810-100</v>
          </cell>
          <cell r="P337" t="str">
            <v>AVENIDA DEPUTADO JAMEL CECILIO                                , 2496</v>
          </cell>
          <cell r="Q337" t="str">
            <v>JD GOIAS</v>
          </cell>
        </row>
        <row r="338">
          <cell r="B338" t="str">
            <v>PORTAS DE ACO DINAMICA</v>
          </cell>
          <cell r="C338" t="str">
            <v>PORTAS DE ACO DINAMINCA LTDA</v>
          </cell>
          <cell r="D338" t="str">
            <v>20.217.789/0001-44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>Ativo</v>
          </cell>
          <cell r="K338" t="str">
            <v>(62) 8603-7630</v>
          </cell>
          <cell r="L338" t="str">
            <v/>
          </cell>
          <cell r="M338" t="str">
            <v/>
          </cell>
          <cell r="N338" t="str">
            <v>dinamicaportasdeaco@outlook.com</v>
          </cell>
          <cell r="O338" t="str">
            <v>74583-854</v>
          </cell>
          <cell r="P338" t="str">
            <v>R MASSAE INUTSUKA                                , 123</v>
          </cell>
          <cell r="Q338" t="str">
            <v>JD GRAMADO I</v>
          </cell>
        </row>
        <row r="339">
          <cell r="B339" t="str">
            <v>PORTAS DE ACO FAMA</v>
          </cell>
          <cell r="C339" t="str">
            <v>FH BARROS PORTAS DE ACO FAMA E ENGENHARIA</v>
          </cell>
          <cell r="D339" t="str">
            <v>17.797.479/0001-31</v>
          </cell>
          <cell r="E339" t="str">
            <v>10.658.622-0</v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>Ativo</v>
          </cell>
          <cell r="K339" t="str">
            <v>(62)3210-6341</v>
          </cell>
          <cell r="L339" t="str">
            <v/>
          </cell>
          <cell r="M339" t="str">
            <v/>
          </cell>
          <cell r="N339" t="str">
            <v>admportasfama@gmail.com</v>
          </cell>
          <cell r="O339" t="str">
            <v>74580-765</v>
          </cell>
          <cell r="P339" t="str">
            <v>R SP15                                , 596</v>
          </cell>
          <cell r="Q339" t="str">
            <v>RES ITAMARACA</v>
          </cell>
        </row>
        <row r="340">
          <cell r="B340" t="str">
            <v>PORTAS DE ACO FERNANDES</v>
          </cell>
          <cell r="C340" t="str">
            <v>EDIVALDO FERNANDES DA SILVA 00098636138</v>
          </cell>
          <cell r="D340" t="str">
            <v>32.335.628/0001-34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>Ativo</v>
          </cell>
          <cell r="K340" t="str">
            <v>(61)8489-6722</v>
          </cell>
          <cell r="L340" t="str">
            <v/>
          </cell>
          <cell r="M340" t="str">
            <v/>
          </cell>
          <cell r="N340" t="str">
            <v>edivaldofernandes2012@hotmail.com</v>
          </cell>
          <cell r="O340" t="str">
            <v>72427-010</v>
          </cell>
          <cell r="P340" t="str">
            <v>SETOR PONTE ALTA NORTE                                , 08</v>
          </cell>
          <cell r="Q340" t="str">
            <v>PONTE ALTA NORTE (GAMA)</v>
          </cell>
        </row>
        <row r="341">
          <cell r="B341" t="str">
            <v>PORTAS DE ACO FORTALEZA</v>
          </cell>
          <cell r="C341" t="str">
            <v>PORTAS DE ACO FORTALEZA LTDA</v>
          </cell>
          <cell r="D341" t="str">
            <v>23.431.503/0001-17</v>
          </cell>
          <cell r="E341" t="str">
            <v>29.469.286-0</v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>Ativo</v>
          </cell>
          <cell r="K341" t="str">
            <v>(63) 3212-1283</v>
          </cell>
          <cell r="L341" t="str">
            <v/>
          </cell>
          <cell r="M341" t="str">
            <v/>
          </cell>
          <cell r="N341" t="str">
            <v>portasdeacofortaleza@outlook.com</v>
          </cell>
          <cell r="O341" t="str">
            <v>77006-536</v>
          </cell>
          <cell r="P341" t="str">
            <v>QUADRA 412 NORTE ALAMEDA 6                                , SN</v>
          </cell>
          <cell r="Q341" t="str">
            <v>PLANO DIRETOR NORTE</v>
          </cell>
        </row>
        <row r="342">
          <cell r="B342" t="str">
            <v>PORTAS DE ACO GOIAS</v>
          </cell>
          <cell r="C342" t="str">
            <v>PORTAS DE ACO GOIAS LTDA</v>
          </cell>
          <cell r="D342" t="str">
            <v>01.610.369/0001-89</v>
          </cell>
          <cell r="E342" t="str">
            <v>10.454.748-0</v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>Ativo</v>
          </cell>
          <cell r="K342" t="str">
            <v>(62) 3233-1406</v>
          </cell>
          <cell r="L342" t="str">
            <v/>
          </cell>
          <cell r="M342" t="str">
            <v/>
          </cell>
          <cell r="N342" t="str">
            <v/>
          </cell>
          <cell r="O342" t="str">
            <v>74435-200</v>
          </cell>
          <cell r="P342" t="str">
            <v>Rua 13                                , 421</v>
          </cell>
          <cell r="Q342" t="str">
            <v>Aeroviário</v>
          </cell>
        </row>
        <row r="343">
          <cell r="B343" t="str">
            <v>PORTAS DE ACO SOUZA</v>
          </cell>
          <cell r="C343" t="str">
            <v>J A P PORTAS DE ACO LTDA</v>
          </cell>
          <cell r="D343" t="str">
            <v>08.854.650/0001-06</v>
          </cell>
          <cell r="E343" t="str">
            <v>10.446.742-8</v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>Ativo</v>
          </cell>
          <cell r="K343" t="str">
            <v>(62) 3292-5074 / (62) 3265-9589</v>
          </cell>
          <cell r="L343" t="str">
            <v/>
          </cell>
          <cell r="M343" t="str">
            <v/>
          </cell>
          <cell r="N343" t="str">
            <v>ans@hotmail.com</v>
          </cell>
          <cell r="O343" t="str">
            <v>74465-524</v>
          </cell>
          <cell r="P343" t="str">
            <v>AVENIDA JOSE INACIO SOBRINHO                                , 1221</v>
          </cell>
          <cell r="Q343" t="str">
            <v>SET MARABA</v>
          </cell>
        </row>
        <row r="344">
          <cell r="B344" t="str">
            <v>PORTAS DE ACO TROPICAL</v>
          </cell>
          <cell r="C344" t="str">
            <v>PORTAS DE ACO TROPICAL EIRELI</v>
          </cell>
          <cell r="D344" t="str">
            <v>11.234.578/0001-29</v>
          </cell>
          <cell r="E344" t="str">
            <v>10.456.004-5</v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>Ativo</v>
          </cell>
          <cell r="K344" t="str">
            <v>(62) 3258-1610</v>
          </cell>
          <cell r="L344" t="str">
            <v/>
          </cell>
          <cell r="M344" t="str">
            <v/>
          </cell>
          <cell r="N344" t="str">
            <v>contato@tropicalportasdeaco.com.br</v>
          </cell>
          <cell r="O344" t="str">
            <v>74395-071</v>
          </cell>
          <cell r="P344" t="str">
            <v>R PARALELA PSR                                , 33</v>
          </cell>
          <cell r="Q344" t="str">
            <v>RESIDENCIAL PORTAL SANTA RITA</v>
          </cell>
        </row>
        <row r="345">
          <cell r="B345" t="str">
            <v>PORTAS E FERRAGENS SOUZA</v>
          </cell>
          <cell r="C345" t="str">
            <v>PORTAS E FERRAGENS SOUZA LTDA</v>
          </cell>
          <cell r="D345" t="str">
            <v>45.807.464/0001-42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>Ativo</v>
          </cell>
          <cell r="K345" t="str">
            <v>(62) 8430-6701 / (0000) 0000-0000</v>
          </cell>
          <cell r="L345" t="str">
            <v/>
          </cell>
          <cell r="M345" t="str">
            <v/>
          </cell>
          <cell r="N345" t="str">
            <v>ans@hotmail.com</v>
          </cell>
          <cell r="O345" t="str">
            <v>74465-524</v>
          </cell>
          <cell r="P345" t="str">
            <v>AVENIDA JOSE INACIO SOBRINHO                                , 1221</v>
          </cell>
          <cell r="Q345" t="str">
            <v>SET MARABA</v>
          </cell>
        </row>
        <row r="346">
          <cell r="B346" t="str">
            <v>PORTOES FORTALEZA</v>
          </cell>
          <cell r="C346" t="str">
            <v>E MIRANDA DE SOUSA LTDA</v>
          </cell>
          <cell r="D346" t="str">
            <v>37.417.480/0001-09</v>
          </cell>
          <cell r="E346" t="str">
            <v>29.546.285-0</v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>Ativo</v>
          </cell>
          <cell r="K346" t="str">
            <v>(63) 9955-3465</v>
          </cell>
          <cell r="L346" t="str">
            <v/>
          </cell>
          <cell r="M346" t="str">
            <v/>
          </cell>
          <cell r="N346" t="str">
            <v>portasdeacofortaleza@otlook.com</v>
          </cell>
          <cell r="O346" t="str">
            <v>77006-536</v>
          </cell>
          <cell r="P346" t="str">
            <v>QUADRA ASR NE 55 ALAMEDA 6 QI 08                                , S/N</v>
          </cell>
          <cell r="Q346" t="str">
            <v>PLANO DIRETOR NORTE</v>
          </cell>
        </row>
        <row r="347">
          <cell r="B347" t="str">
            <v>PORTOES FORTALEZA</v>
          </cell>
          <cell r="C347" t="str">
            <v>E MIRANDA DE SOUSA LTDA</v>
          </cell>
          <cell r="D347" t="str">
            <v>37.417.480/0001-09</v>
          </cell>
          <cell r="E347" t="str">
            <v>29.546.285-0</v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>Inativo</v>
          </cell>
          <cell r="K347" t="str">
            <v>(63)9955-3465</v>
          </cell>
          <cell r="L347" t="str">
            <v/>
          </cell>
          <cell r="M347" t="str">
            <v/>
          </cell>
          <cell r="N347" t="str">
            <v>portasdeacofortaleza@otlook.com</v>
          </cell>
          <cell r="O347" t="str">
            <v>77006-536</v>
          </cell>
          <cell r="P347" t="str">
            <v>QUADRA ASR NE 55 ALAMEDA 6 QI 08                                , S/N</v>
          </cell>
          <cell r="Q347" t="str">
            <v>PLANO DIRETOR NORTE</v>
          </cell>
        </row>
        <row r="348">
          <cell r="B348" t="str">
            <v>POSTEC PARTICIPACOES E SERVICOS POSTAIS LTDA</v>
          </cell>
          <cell r="C348" t="str">
            <v>POSTEC PARTICIPACOES E SERVICOS POSTAIS LTDA</v>
          </cell>
          <cell r="D348" t="str">
            <v>46.071.916/0001-33</v>
          </cell>
          <cell r="E348" t="str">
            <v>145.808.745.111</v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>Inativo</v>
          </cell>
          <cell r="K348" t="str">
            <v>(11) 2604-5454 / (11) 2605-9038 / (11) 2604-5454</v>
          </cell>
          <cell r="L348" t="str">
            <v/>
          </cell>
          <cell r="M348" t="str">
            <v/>
          </cell>
          <cell r="N348" t="str">
            <v>silvacon@silvacon.com.br</v>
          </cell>
          <cell r="O348" t="str">
            <v>03121-030</v>
          </cell>
          <cell r="P348" t="str">
            <v>RUA JUMANA                                , 349</v>
          </cell>
          <cell r="Q348" t="str">
            <v>MOOCA</v>
          </cell>
        </row>
        <row r="349">
          <cell r="B349" t="str">
            <v>POSTO DE COMBUSTIVEIS GARANTIA LTDA</v>
          </cell>
          <cell r="C349" t="str">
            <v>POSTO DE COMBUSTIVEIS GARANTIA LTDA</v>
          </cell>
          <cell r="D349" t="str">
            <v>72.578.438/0001-62</v>
          </cell>
          <cell r="E349" t="str">
            <v>0734741700181</v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>Inativo</v>
          </cell>
          <cell r="K349" t="str">
            <v/>
          </cell>
          <cell r="L349" t="str">
            <v>(61)99286-6464</v>
          </cell>
          <cell r="M349" t="str">
            <v/>
          </cell>
          <cell r="N349" t="str">
            <v/>
          </cell>
          <cell r="O349" t="str">
            <v>7213-507</v>
          </cell>
          <cell r="P349" t="str">
            <v>QI 7 LOTES 01 A 04                                , S/N</v>
          </cell>
          <cell r="Q349" t="str">
            <v>Taguatinga</v>
          </cell>
        </row>
        <row r="350">
          <cell r="B350" t="str">
            <v>Postos Nota 100</v>
          </cell>
          <cell r="C350" t="str">
            <v/>
          </cell>
          <cell r="D350" t="str">
            <v>49.615.969/0001-66</v>
          </cell>
          <cell r="E350" t="str">
            <v>262958724</v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>Inativo</v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>89870-000</v>
          </cell>
          <cell r="P350" t="str">
            <v>, 1855</v>
          </cell>
          <cell r="Q350" t="str">
            <v/>
          </cell>
        </row>
        <row r="351">
          <cell r="B351" t="str">
            <v>POTENTE PORTOES AUTOMATICOS</v>
          </cell>
          <cell r="C351" t="str">
            <v>WERLES JOSE DA SILVA</v>
          </cell>
          <cell r="D351" t="str">
            <v>30.430.090/0001-11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>Ativo</v>
          </cell>
          <cell r="K351" t="str">
            <v>(61) 9593-0230</v>
          </cell>
          <cell r="L351" t="str">
            <v/>
          </cell>
          <cell r="M351" t="str">
            <v/>
          </cell>
          <cell r="N351" t="str">
            <v>duexcontabilidade07@gmail.com</v>
          </cell>
          <cell r="O351" t="str">
            <v>72127-991</v>
          </cell>
          <cell r="P351" t="str">
            <v>RODOVIA DF-240, KM 86 - RODOVIA TAGUATINGA/BRAZLANDIA CHACAR                                , 75</v>
          </cell>
          <cell r="Q351" t="str">
            <v>26 DE SETEMBRO</v>
          </cell>
        </row>
        <row r="352">
          <cell r="B352" t="str">
            <v>PREMIER AUTOMACAO DE PORTAS</v>
          </cell>
          <cell r="C352" t="str">
            <v>P. H. C. DE CASTRO LTDA</v>
          </cell>
          <cell r="D352" t="str">
            <v>26.130.738/0001-67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>Ativo</v>
          </cell>
          <cell r="K352" t="str">
            <v>(62) 9855-2376</v>
          </cell>
          <cell r="L352" t="str">
            <v/>
          </cell>
          <cell r="M352" t="str">
            <v/>
          </cell>
          <cell r="N352" t="str">
            <v>premierportas@gmail.com</v>
          </cell>
          <cell r="O352" t="str">
            <v>74354-585</v>
          </cell>
          <cell r="P352" t="str">
            <v>R SAO ROQUE                                , 249</v>
          </cell>
          <cell r="Q352" t="str">
            <v>SETOR ANDREIA</v>
          </cell>
        </row>
        <row r="353">
          <cell r="B353" t="str">
            <v>PRIMOR SUPERMERCADO</v>
          </cell>
          <cell r="C353" t="str">
            <v>MIX COMERCIO DE ALIMENTOS LTDA</v>
          </cell>
          <cell r="D353" t="str">
            <v>27.427.009/0001-30</v>
          </cell>
          <cell r="E353" t="str">
            <v>0780480600182</v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>Inativo</v>
          </cell>
          <cell r="K353" t="str">
            <v>(61)3359-5545</v>
          </cell>
          <cell r="L353" t="str">
            <v/>
          </cell>
          <cell r="M353" t="str">
            <v/>
          </cell>
          <cell r="N353" t="str">
            <v>primorsupermercado@gmail.com</v>
          </cell>
          <cell r="O353" t="str">
            <v>72305-521</v>
          </cell>
          <cell r="P353" t="str">
            <v>Q QS 307 CONJUNTO 1 LOTE 02                                , S/N</v>
          </cell>
          <cell r="Q353" t="str">
            <v>SAMAMBAIA SUL (SAMAMBAIA)</v>
          </cell>
        </row>
        <row r="354">
          <cell r="B354" t="str">
            <v>PW LED MATERIAS ELETRICOS E ILUMINACAO</v>
          </cell>
          <cell r="C354" t="str">
            <v>PW LED MATERIAIS ELETRICOS E ILUMINACAO LTDA</v>
          </cell>
          <cell r="D354" t="str">
            <v>37.363.317/0001-00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>Inativo</v>
          </cell>
          <cell r="K354" t="str">
            <v>(61)3028-1633</v>
          </cell>
          <cell r="L354" t="str">
            <v/>
          </cell>
          <cell r="M354" t="str">
            <v/>
          </cell>
          <cell r="N354" t="str">
            <v>pwled.adm@gmail.com</v>
          </cell>
          <cell r="O354" t="str">
            <v>71200-055</v>
          </cell>
          <cell r="P354" t="str">
            <v>QUADRA SIA QUADRA 5-C                                , 186</v>
          </cell>
          <cell r="Q354" t="str">
            <v>ZONA INDUSTRIAL (GUARA)</v>
          </cell>
        </row>
        <row r="355">
          <cell r="B355" t="str">
            <v>QUALIS CENTRO AUTOMOTIVO</v>
          </cell>
          <cell r="C355" t="str">
            <v>CENTRO AUTOMOTIVO QUALIS LTDA</v>
          </cell>
          <cell r="D355" t="str">
            <v>25.330.167/0001-41</v>
          </cell>
          <cell r="E355" t="str">
            <v>0777772400159</v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>Inativo</v>
          </cell>
          <cell r="K355" t="str">
            <v>(61)8148-9990</v>
          </cell>
          <cell r="L355" t="str">
            <v/>
          </cell>
          <cell r="M355" t="str">
            <v/>
          </cell>
          <cell r="N355" t="str">
            <v>qualis.asanorte@gmail.com</v>
          </cell>
          <cell r="O355" t="str">
            <v>70730-554</v>
          </cell>
          <cell r="P355" t="str">
            <v>QUADRA SHCGN CLR QD 705 BLOCO D LOJA 7                                , SN</v>
          </cell>
          <cell r="Q355" t="str">
            <v>ASA NORTE</v>
          </cell>
        </row>
        <row r="356">
          <cell r="B356" t="str">
            <v>QUEIROZ ALVES CONTRUTORA</v>
          </cell>
          <cell r="C356" t="str">
            <v>P. M. Q. DE OLIVEIRA - CONSTRUTORA</v>
          </cell>
          <cell r="D356" t="str">
            <v>26.733.644/0001-82</v>
          </cell>
          <cell r="E356" t="str">
            <v>0779388500149</v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>Inativo</v>
          </cell>
          <cell r="K356" t="str">
            <v>(61)9272-9569</v>
          </cell>
          <cell r="L356" t="str">
            <v/>
          </cell>
          <cell r="M356" t="str">
            <v/>
          </cell>
          <cell r="N356" t="str">
            <v/>
          </cell>
          <cell r="O356" t="str">
            <v>73035-074</v>
          </cell>
          <cell r="P356" t="str">
            <v>Q QUADRA 7 CONJUNTO D CASA                                , 51</v>
          </cell>
          <cell r="Q356" t="str">
            <v>SOBRADINHO</v>
          </cell>
        </row>
        <row r="357">
          <cell r="B357" t="str">
            <v>RA CASA DAS PORTAS AUTOMATICAS</v>
          </cell>
          <cell r="C357" t="str">
            <v>60.882.922 MARCOS REINAN LOPES</v>
          </cell>
          <cell r="D357" t="str">
            <v>60.882.922/0001-00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>Ativo</v>
          </cell>
          <cell r="K357" t="str">
            <v>(61) 9643-2449</v>
          </cell>
          <cell r="L357" t="str">
            <v/>
          </cell>
          <cell r="M357" t="str">
            <v/>
          </cell>
          <cell r="N357" t="str">
            <v>marcosreinanlopes2@gmail.com</v>
          </cell>
          <cell r="O357" t="str">
            <v>71881-130</v>
          </cell>
          <cell r="P357" t="str">
            <v>Q QN 14C                                , 4</v>
          </cell>
          <cell r="Q357" t="str">
            <v>RIACHO FUNDO II</v>
          </cell>
        </row>
        <row r="358">
          <cell r="B358" t="str">
            <v>Raimundo serralheiro</v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>Ativo</v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</row>
        <row r="359">
          <cell r="B359" t="str">
            <v>RC SERRALHERIA</v>
          </cell>
          <cell r="C359" t="str">
            <v>RAIMUNDO NONATO DA CUNHA 89072898168</v>
          </cell>
          <cell r="D359" t="str">
            <v>20.204.730/0001-11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>Ativo</v>
          </cell>
          <cell r="K359" t="str">
            <v>(61) 9264-4447</v>
          </cell>
          <cell r="L359" t="str">
            <v/>
          </cell>
          <cell r="M359" t="str">
            <v/>
          </cell>
          <cell r="N359" t="str">
            <v>raiserralheiro@gmail.com</v>
          </cell>
          <cell r="O359" t="str">
            <v>73370-100</v>
          </cell>
          <cell r="P359" t="str">
            <v>CONDOMINIO ARAPOANGA                                , 15</v>
          </cell>
          <cell r="Q359" t="str">
            <v>ARAPOANGA (PLANALTINA)</v>
          </cell>
        </row>
        <row r="360">
          <cell r="B360" t="str">
            <v>REDE DROGASHOP</v>
          </cell>
          <cell r="C360" t="str">
            <v>REBRASFARMA DROGARIAS LTDA</v>
          </cell>
          <cell r="D360" t="str">
            <v>17.347.863/0001-32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>Inativo</v>
          </cell>
          <cell r="K360" t="str">
            <v>(61)9618-1779</v>
          </cell>
          <cell r="L360" t="str">
            <v/>
          </cell>
          <cell r="M360" t="str">
            <v/>
          </cell>
          <cell r="N360" t="str">
            <v>brasileiro.rbo@gmail.com</v>
          </cell>
          <cell r="O360" t="str">
            <v>72914-114</v>
          </cell>
          <cell r="P360" t="str">
            <v>QUADRA QUADRA 07                                , S/N</v>
          </cell>
          <cell r="Q360" t="str">
            <v>CAMPING CLUB</v>
          </cell>
        </row>
        <row r="361">
          <cell r="B361" t="str">
            <v>REI DO ACO</v>
          </cell>
          <cell r="C361" t="str">
            <v>REI DO ACO INDUSTRIA E COMERCIO LTDA</v>
          </cell>
          <cell r="D361" t="str">
            <v>47.680.086/0001-04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>Inativo</v>
          </cell>
          <cell r="K361" t="str">
            <v>(77) 9683-3732 / (77) 3444-1100 / (77) 3444-2023</v>
          </cell>
          <cell r="L361" t="str">
            <v/>
          </cell>
          <cell r="M361" t="str">
            <v/>
          </cell>
          <cell r="N361" t="str">
            <v>reidoferroeaco@hotmail.com</v>
          </cell>
          <cell r="O361" t="str">
            <v>46140-000</v>
          </cell>
          <cell r="P361" t="str">
            <v>AVENIDA LINDEMBERG CARDOSO                                , 322</v>
          </cell>
          <cell r="Q361" t="str">
            <v>TAQUARI</v>
          </cell>
        </row>
        <row r="362">
          <cell r="B362" t="str">
            <v>Renato Costa</v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>067.204.266-56</v>
          </cell>
          <cell r="H362" t="str">
            <v/>
          </cell>
          <cell r="I362" t="str">
            <v/>
          </cell>
          <cell r="J362" t="str">
            <v>Inativo</v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>35024-762</v>
          </cell>
          <cell r="P362" t="str">
            <v>Rua Um A                                , 12</v>
          </cell>
          <cell r="Q362" t="str">
            <v>Sir</v>
          </cell>
        </row>
        <row r="363">
          <cell r="B363" t="str">
            <v>Renildo Pereira Ramos</v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>059.428.836-37</v>
          </cell>
          <cell r="H363" t="str">
            <v/>
          </cell>
          <cell r="I363" t="str">
            <v/>
          </cell>
          <cell r="J363" t="str">
            <v>Inativo</v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>30295-170</v>
          </cell>
          <cell r="P363" t="str">
            <v>Rua Ramiro Siqueira                                , 143</v>
          </cell>
          <cell r="Q363" t="str">
            <v>Conjunto Taquaril</v>
          </cell>
        </row>
        <row r="364">
          <cell r="B364" t="str">
            <v>reunidas portas</v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>Inativo</v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</row>
        <row r="365">
          <cell r="B365" t="str">
            <v>RG MONTAGEM E MANUTENCAO INDUSTRIAL</v>
          </cell>
          <cell r="C365" t="str">
            <v>RG MONTAGEM E MANUTENCAO INDUSTRIAL LTDA</v>
          </cell>
          <cell r="D365" t="str">
            <v>20.542.576/0001-98</v>
          </cell>
          <cell r="E365" t="str">
            <v>10607242 0</v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>Inativo</v>
          </cell>
          <cell r="K365" t="str">
            <v>(64)3621-6667</v>
          </cell>
          <cell r="L365" t="str">
            <v/>
          </cell>
          <cell r="M365" t="str">
            <v/>
          </cell>
          <cell r="N365" t="str">
            <v>rgmontagens.ind@gmail.com</v>
          </cell>
          <cell r="O365" t="str">
            <v>75913-243</v>
          </cell>
          <cell r="P365" t="str">
            <v>RUA THERESA CAMARA                                , S/N</v>
          </cell>
          <cell r="Q365" t="str">
            <v>LOT.CIDADE EMPRESARIAL NOVA ALIANCA 2</v>
          </cell>
        </row>
        <row r="366">
          <cell r="B366" t="str">
            <v>Ricardo Alexandre da Silva</v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>816.461.001-15</v>
          </cell>
          <cell r="H366" t="str">
            <v/>
          </cell>
          <cell r="I366" t="str">
            <v/>
          </cell>
          <cell r="J366" t="str">
            <v>Inativo</v>
          </cell>
          <cell r="K366" t="str">
            <v/>
          </cell>
          <cell r="L366" t="str">
            <v/>
          </cell>
          <cell r="M366" t="str">
            <v/>
          </cell>
          <cell r="N366" t="str">
            <v>ricardo.botelho@mme.gov.br</v>
          </cell>
          <cell r="O366" t="str">
            <v>72115-930</v>
          </cell>
          <cell r="P366" t="str">
            <v>CNB 8 Lote 12                                , 12</v>
          </cell>
          <cell r="Q366" t="str">
            <v>Taguatinga Norte (Taguatinga)</v>
          </cell>
        </row>
        <row r="367">
          <cell r="B367" t="str">
            <v>RICARDO BARBOSA LEAL</v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>902.332.711-04</v>
          </cell>
          <cell r="H367" t="str">
            <v/>
          </cell>
          <cell r="I367" t="str">
            <v/>
          </cell>
          <cell r="J367" t="str">
            <v>Inativo</v>
          </cell>
          <cell r="K367" t="str">
            <v/>
          </cell>
          <cell r="L367" t="str">
            <v/>
          </cell>
          <cell r="M367" t="str">
            <v/>
          </cell>
          <cell r="N367" t="str">
            <v>ricardobeatrizk@gmail.com</v>
          </cell>
          <cell r="O367" t="str">
            <v>71881-778</v>
          </cell>
          <cell r="P367" t="str">
            <v>Quadra QN 22 Conjunto 3</v>
          </cell>
          <cell r="Q367" t="str">
            <v>Riacho Fundo II</v>
          </cell>
        </row>
        <row r="368">
          <cell r="B368" t="str">
            <v>Robson Barbosa Caldeira</v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>229.194.598-05</v>
          </cell>
          <cell r="H368" t="str">
            <v/>
          </cell>
          <cell r="I368" t="str">
            <v/>
          </cell>
          <cell r="J368" t="str">
            <v>Inativo</v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>13041-025</v>
          </cell>
          <cell r="P368" t="str">
            <v>Rua Doutor Fernão Pompeu de Camargo                                , 1653</v>
          </cell>
          <cell r="Q368" t="str">
            <v>Jardim Leonor</v>
          </cell>
        </row>
        <row r="369">
          <cell r="B369" t="str">
            <v>ROBSON VIEIRA</v>
          </cell>
          <cell r="C369" t="str">
            <v>ROBSON VIEIRA KNUPP 00129041122</v>
          </cell>
          <cell r="D369" t="str">
            <v>16.100.546/0001-54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>Ativo</v>
          </cell>
          <cell r="K369" t="str">
            <v>(61) 8477-0319</v>
          </cell>
          <cell r="L369" t="str">
            <v/>
          </cell>
          <cell r="M369" t="str">
            <v/>
          </cell>
          <cell r="N369" t="str">
            <v>robson.vieiraknupp@gmail.com</v>
          </cell>
          <cell r="O369" t="str">
            <v>72669-513</v>
          </cell>
          <cell r="P369" t="str">
            <v>CONDOMÍNIO RESIDENCIAL GUARAPARI QUADRA 2                                , 10</v>
          </cell>
          <cell r="Q369" t="str">
            <v>RECANTO DAS EMAS</v>
          </cell>
        </row>
        <row r="370">
          <cell r="B370" t="str">
            <v>Rodrigo Magalhães Alves</v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>692.606.641-87</v>
          </cell>
          <cell r="H370" t="str">
            <v/>
          </cell>
          <cell r="I370" t="str">
            <v/>
          </cell>
          <cell r="J370" t="str">
            <v>Ativo</v>
          </cell>
          <cell r="K370" t="str">
            <v/>
          </cell>
          <cell r="L370" t="str">
            <v/>
          </cell>
          <cell r="M370" t="str">
            <v/>
          </cell>
          <cell r="N370" t="str">
            <v>Rodmalves@gmail.com</v>
          </cell>
          <cell r="O370" t="str">
            <v>71927-540</v>
          </cell>
          <cell r="P370" t="str">
            <v>Avenida Jacarandá</v>
          </cell>
          <cell r="Q370" t="str">
            <v>Sul (Águas Claras)</v>
          </cell>
        </row>
        <row r="371">
          <cell r="B371" t="str">
            <v>Rogerio Reis</v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>801.843.246-53</v>
          </cell>
          <cell r="H371" t="str">
            <v/>
          </cell>
          <cell r="I371" t="str">
            <v/>
          </cell>
          <cell r="J371" t="str">
            <v>Inativo</v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>30190-082</v>
          </cell>
          <cell r="P371" t="str">
            <v>Rua Mato Grosso                                , 507</v>
          </cell>
          <cell r="Q371" t="str">
            <v>Barro Preto</v>
          </cell>
        </row>
        <row r="372">
          <cell r="B372" t="str">
            <v>ROMÃO VITORINO DA SILVA</v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>392.680.711-34</v>
          </cell>
          <cell r="H372" t="str">
            <v/>
          </cell>
          <cell r="I372" t="str">
            <v/>
          </cell>
          <cell r="J372" t="str">
            <v>Ativo</v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>72250-406</v>
          </cell>
          <cell r="P372" t="str">
            <v>Quadra QNO 4 Conjunto F                                , 4</v>
          </cell>
          <cell r="Q372" t="str">
            <v>Ceilândia Norte (Ceilândia)</v>
          </cell>
        </row>
        <row r="373">
          <cell r="B373" t="str">
            <v>Romes Ferreira</v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Inativo</v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</row>
        <row r="374">
          <cell r="B374" t="str">
            <v>Romildo Francisco Dos Santos Silva</v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>102.388.911-00</v>
          </cell>
          <cell r="H374" t="str">
            <v/>
          </cell>
          <cell r="I374" t="str">
            <v/>
          </cell>
          <cell r="J374" t="str">
            <v>Inativo</v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</row>
        <row r="375">
          <cell r="B375" t="str">
            <v>Romulo Dourado Santana</v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>691.507.701-44</v>
          </cell>
          <cell r="H375" t="str">
            <v/>
          </cell>
          <cell r="I375" t="str">
            <v/>
          </cell>
          <cell r="J375" t="str">
            <v>Inativo</v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>72115-055</v>
          </cell>
          <cell r="P375" t="str">
            <v>Quadra CNB 5                                , 13</v>
          </cell>
          <cell r="Q375" t="str">
            <v>Taguatinga Norte (Taguatinga)</v>
          </cell>
        </row>
        <row r="376">
          <cell r="B376" t="str">
            <v>RONALDO ADRIANO DA SILVA SOLSA</v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>002.826.121-65</v>
          </cell>
          <cell r="H376" t="str">
            <v/>
          </cell>
          <cell r="I376" t="str">
            <v/>
          </cell>
          <cell r="J376" t="str">
            <v>Ativo</v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>72910-00</v>
          </cell>
          <cell r="P376" t="str">
            <v>QADRA 50 CONJUTO B LOTE 15 SETOR 01 AGUAS LINDAS GO                                , 15</v>
          </cell>
          <cell r="Q376" t="str">
            <v>AGUAS LINDAS</v>
          </cell>
        </row>
        <row r="377">
          <cell r="B377" t="str">
            <v>ROSINEIDE BARBOSA</v>
          </cell>
          <cell r="C377" t="str">
            <v>21.273.824 ROSINEIDE BARBOSA SANTOS MESQUITA</v>
          </cell>
          <cell r="D377" t="str">
            <v>21.273.824/0001-05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Ativo</v>
          </cell>
          <cell r="K377" t="str">
            <v>(64) 9335-0619</v>
          </cell>
          <cell r="L377" t="str">
            <v/>
          </cell>
          <cell r="M377" t="str">
            <v/>
          </cell>
          <cell r="N377" t="str">
            <v>rosi-neide80@hotmail.com</v>
          </cell>
          <cell r="O377" t="str">
            <v>75910-042</v>
          </cell>
          <cell r="P377" t="str">
            <v>RUA BOUGAINVILLE                                , SN</v>
          </cell>
          <cell r="Q377" t="str">
            <v>RESIDENCIAL VENEZA</v>
          </cell>
        </row>
        <row r="378">
          <cell r="B378" t="str">
            <v>Rubens da Costa Vaz</v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>316.424.971-34</v>
          </cell>
          <cell r="H378" t="str">
            <v/>
          </cell>
          <cell r="I378" t="str">
            <v/>
          </cell>
          <cell r="J378" t="str">
            <v>Inativo</v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</row>
        <row r="379">
          <cell r="B379" t="str">
            <v>RUBIM PORTAS AUTOMATICAS</v>
          </cell>
          <cell r="C379" t="str">
            <v>RUBIM PORTAS DE ACO AUTOMATICAS LTDA</v>
          </cell>
          <cell r="D379" t="str">
            <v>26.206.571/0001-70</v>
          </cell>
          <cell r="E379" t="str">
            <v>083.911.11-1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Ativo</v>
          </cell>
          <cell r="K379" t="str">
            <v>(27) 9914-2967</v>
          </cell>
          <cell r="L379" t="str">
            <v/>
          </cell>
          <cell r="M379" t="str">
            <v/>
          </cell>
          <cell r="N379" t="str">
            <v>rubimportasautomaticas@gmail.com</v>
          </cell>
          <cell r="O379" t="str">
            <v>29150-570</v>
          </cell>
          <cell r="P379" t="str">
            <v>RUA JAIRO MAIA                                , 325</v>
          </cell>
          <cell r="Q379" t="str">
            <v>ORIENTE</v>
          </cell>
        </row>
        <row r="380">
          <cell r="B380" t="str">
            <v>Rudimar Schneider</v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>051.116.579-08</v>
          </cell>
          <cell r="H380" t="str">
            <v/>
          </cell>
          <cell r="I380" t="str">
            <v/>
          </cell>
          <cell r="J380" t="str">
            <v>Inativo</v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>89870-000</v>
          </cell>
          <cell r="P380" t="str">
            <v>Rua Ivo Albano Batistti                                , 620</v>
          </cell>
          <cell r="Q380" t="str">
            <v>vila verde</v>
          </cell>
        </row>
        <row r="381">
          <cell r="B381" t="str">
            <v>S7 PORTOES AUTOMATICOS</v>
          </cell>
          <cell r="C381" t="str">
            <v>S7 VENDAS INSTALACOES E SERVICOS LTDA</v>
          </cell>
          <cell r="D381" t="str">
            <v>36.025.867/0001-49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>Ativo</v>
          </cell>
          <cell r="K381" t="str">
            <v>(61)9423-3815</v>
          </cell>
          <cell r="L381" t="str">
            <v/>
          </cell>
          <cell r="M381" t="str">
            <v/>
          </cell>
          <cell r="N381" t="str">
            <v>walsanchez3@gmail.com</v>
          </cell>
          <cell r="O381" t="str">
            <v>72870-219</v>
          </cell>
          <cell r="P381" t="str">
            <v>RUA 19                                , SN</v>
          </cell>
          <cell r="Q381" t="str">
            <v>JARDIM ORIENTE</v>
          </cell>
        </row>
        <row r="382">
          <cell r="B382" t="str">
            <v>Saed</v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Inativo</v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</row>
        <row r="383">
          <cell r="B383" t="str">
            <v>SAMUEL CHAVEIRO AGUAS CLARAS</v>
          </cell>
          <cell r="C383" t="str">
            <v>40.026.962 SAMUEL DE MATOS MELO</v>
          </cell>
          <cell r="D383" t="str">
            <v>40.026.962/0001-34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Ativo</v>
          </cell>
          <cell r="K383" t="str">
            <v>(61)3399-3571</v>
          </cell>
          <cell r="L383" t="str">
            <v/>
          </cell>
          <cell r="M383" t="str">
            <v/>
          </cell>
          <cell r="N383" t="str">
            <v>muel1997@gmail.com</v>
          </cell>
          <cell r="O383" t="str">
            <v>71820-815</v>
          </cell>
          <cell r="P383" t="str">
            <v>QUADRA QS 8 CONJUNTO 5B                                , 5</v>
          </cell>
          <cell r="Q383" t="str">
            <v>RIACHO FUNDO I</v>
          </cell>
        </row>
        <row r="384">
          <cell r="B384" t="str">
            <v>Samuel Mota</v>
          </cell>
          <cell r="C384" t="str">
            <v>49.075.684 SAMUEL MOTA LOURENCO</v>
          </cell>
          <cell r="D384" t="str">
            <v>49.075.684/0001-80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Ativo</v>
          </cell>
          <cell r="K384" t="str">
            <v>(61) 9148-9992</v>
          </cell>
          <cell r="L384" t="str">
            <v/>
          </cell>
          <cell r="M384" t="str">
            <v/>
          </cell>
          <cell r="N384" t="str">
            <v>samuelempresarial17@gmail.com</v>
          </cell>
          <cell r="O384" t="str">
            <v>72853-057</v>
          </cell>
          <cell r="P384" t="str">
            <v>QUADRA QUADRA 57                                , S/N</v>
          </cell>
          <cell r="Q384" t="str">
            <v>PARQUE ESTRELA DALVA IX</v>
          </cell>
        </row>
        <row r="385">
          <cell r="B385" t="str">
            <v>SANTA PIEDADE - LOCACAO DE IMOVEIS PROPRIOS</v>
          </cell>
          <cell r="C385" t="str">
            <v>SANTA PIEDADE - LOCACAO DE IMOVEIS PROPRIOS LTDA</v>
          </cell>
          <cell r="D385" t="str">
            <v>45.896.074/0001-96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Inativo</v>
          </cell>
          <cell r="K385" t="str">
            <v>(61) 3613-3500/ (0000) 0000-0000</v>
          </cell>
          <cell r="L385" t="str">
            <v/>
          </cell>
          <cell r="M385" t="str">
            <v/>
          </cell>
          <cell r="N385" t="str">
            <v>jadirimoveis2008@hotmail.com</v>
          </cell>
          <cell r="O385" t="str">
            <v>72915-006</v>
          </cell>
          <cell r="P385" t="str">
            <v>Q 8 LOTE                                , 19</v>
          </cell>
          <cell r="Q385" t="str">
            <v>JARDIM BRASÍLIA</v>
          </cell>
        </row>
        <row r="386">
          <cell r="B386" t="str">
            <v>Santo grau</v>
          </cell>
          <cell r="C386" t="str">
            <v/>
          </cell>
          <cell r="D386" t="str">
            <v>52.012.897/0001-77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Ativo</v>
          </cell>
          <cell r="K386" t="str">
            <v/>
          </cell>
          <cell r="L386" t="str">
            <v/>
          </cell>
          <cell r="M386" t="str">
            <v/>
          </cell>
          <cell r="N386" t="str">
            <v>santograultda@gmail.com</v>
          </cell>
          <cell r="O386" t="str">
            <v>71953-000</v>
          </cell>
          <cell r="P386" t="str">
            <v>Quadra QS 3                                , 19c</v>
          </cell>
          <cell r="Q386" t="str">
            <v>Areal (Águas Claras)</v>
          </cell>
        </row>
        <row r="387">
          <cell r="B387" t="str">
            <v>SECRETARIA DA FAZENDA DO ESTADO DO PIAUI</v>
          </cell>
          <cell r="C387" t="str">
            <v/>
          </cell>
          <cell r="D387" t="str">
            <v>06.553.556/0001-91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Inativo</v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>64018-550</v>
          </cell>
          <cell r="P387" t="str">
            <v>Avenida Miguel Rosa</v>
          </cell>
          <cell r="Q387" t="str">
            <v>Nossa Senhora das Graças</v>
          </cell>
        </row>
        <row r="388">
          <cell r="B388" t="str">
            <v>SEGREDO PORTAS AUTOMATICAS E DISTRIBUIDORA</v>
          </cell>
          <cell r="C388" t="str">
            <v>SEGREDO PORTAS AUTOMATICAS E DISTRIBUIDORA - EIRELI</v>
          </cell>
          <cell r="D388" t="str">
            <v>23.707.783/0001-43</v>
          </cell>
          <cell r="E388" t="str">
            <v>10.682.404-0</v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Ativo</v>
          </cell>
          <cell r="K388" t="str">
            <v>(62) 9359-5532</v>
          </cell>
          <cell r="L388" t="str">
            <v/>
          </cell>
          <cell r="M388" t="str">
            <v/>
          </cell>
          <cell r="N388" t="str">
            <v>durcival@terra.com.br</v>
          </cell>
          <cell r="O388" t="str">
            <v>74250-030</v>
          </cell>
          <cell r="P388" t="str">
            <v>AVENIDA C104                                , 628</v>
          </cell>
          <cell r="Q388" t="str">
            <v>BRO JARDIM AMERICA</v>
          </cell>
        </row>
        <row r="389">
          <cell r="B389" t="str">
            <v>SERRALHEIRA E METALURGICAS MENDES</v>
          </cell>
          <cell r="C389" t="str">
            <v>SERRALHERIA E METALURGICA DO NASCIMENTO LTDA</v>
          </cell>
          <cell r="D389" t="str">
            <v>37.671.003/0001-67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Ativo</v>
          </cell>
          <cell r="K389" t="str">
            <v>(61) 3522-3929</v>
          </cell>
          <cell r="L389" t="str">
            <v/>
          </cell>
          <cell r="M389" t="str">
            <v/>
          </cell>
          <cell r="N389" t="str">
            <v>quatrocontadores@hotmail.com</v>
          </cell>
          <cell r="O389" t="str">
            <v>72006-140</v>
          </cell>
          <cell r="P389" t="str">
            <v>RUA 5 CHACARA 278 LOTE                                , 21A</v>
          </cell>
          <cell r="Q389" t="str">
            <v>SETOR HABITACIONAL VICENTE PIRES</v>
          </cell>
        </row>
        <row r="390">
          <cell r="B390" t="str">
            <v>SERRALHEIRIA MOTA</v>
          </cell>
          <cell r="C390" t="str">
            <v>CARLOS ALBERTO FLORENTINO MOTA 82180040172</v>
          </cell>
          <cell r="D390" t="str">
            <v>47.458.093/0001-66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Ativo</v>
          </cell>
          <cell r="K390" t="str">
            <v>(61) 9924-4485</v>
          </cell>
          <cell r="L390" t="str">
            <v/>
          </cell>
          <cell r="M390" t="str">
            <v/>
          </cell>
          <cell r="N390" t="str">
            <v>carlosalbertomota51@gmail.com</v>
          </cell>
          <cell r="O390" t="str">
            <v>71596-223</v>
          </cell>
          <cell r="P390" t="str">
            <v>QUADRA 2 CONJUNTO A                                , 14</v>
          </cell>
          <cell r="Q390" t="str">
            <v>FAZENDINHA (ITAPOA)</v>
          </cell>
        </row>
        <row r="391">
          <cell r="B391" t="str">
            <v>SERRALHERIA COMANDO</v>
          </cell>
          <cell r="C391" t="str">
            <v>SERRALHERIA COMANDO PRESTACAO DE SERVICOS LTDA</v>
          </cell>
          <cell r="D391" t="str">
            <v>27.376.317/0001-83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Ativo</v>
          </cell>
          <cell r="K391" t="str">
            <v>(61) 8465-9406</v>
          </cell>
          <cell r="L391" t="str">
            <v/>
          </cell>
          <cell r="M391" t="str">
            <v/>
          </cell>
          <cell r="N391" t="str">
            <v>comandoimpermeabilizacao@gmail.com</v>
          </cell>
          <cell r="O391" t="str">
            <v>72630-201</v>
          </cell>
          <cell r="P391" t="str">
            <v>AREA ADE 402 CONJUNTO 1                                , 13</v>
          </cell>
          <cell r="Q391" t="str">
            <v>RECANTO DAS EMAS</v>
          </cell>
        </row>
        <row r="392">
          <cell r="B392" t="str">
            <v>SERRALHERIA DESIGN</v>
          </cell>
          <cell r="C392" t="str">
            <v>CLEBISON RODRIGUES DA SILVA 01238392113</v>
          </cell>
          <cell r="D392" t="str">
            <v>13.256.742/0001-24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Ativo</v>
          </cell>
          <cell r="K392" t="str">
            <v>(61) 9805-1754</v>
          </cell>
          <cell r="L392" t="str">
            <v/>
          </cell>
          <cell r="M392" t="str">
            <v/>
          </cell>
          <cell r="N392" t="str">
            <v>clebison90@hotmail.com</v>
          </cell>
          <cell r="O392" t="str">
            <v>73752-200</v>
          </cell>
          <cell r="P392" t="str">
            <v>Q 8 MR 12                                , SN</v>
          </cell>
          <cell r="Q392" t="str">
            <v>SETOR LESTE</v>
          </cell>
        </row>
        <row r="393">
          <cell r="B393" t="str">
            <v>SERRALHERIA DETALHE</v>
          </cell>
          <cell r="C393" t="str">
            <v>P C DA COSTA SERRALHERIA</v>
          </cell>
          <cell r="D393" t="str">
            <v>12.626.039/0001-06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Ativo</v>
          </cell>
          <cell r="K393" t="str">
            <v>(61) 9251-6433</v>
          </cell>
          <cell r="L393" t="str">
            <v/>
          </cell>
          <cell r="M393" t="str">
            <v/>
          </cell>
          <cell r="N393" t="str">
            <v/>
          </cell>
          <cell r="O393" t="str">
            <v>73350-163</v>
          </cell>
          <cell r="P393" t="str">
            <v>CJ C LOTE                                , 14</v>
          </cell>
          <cell r="Q393" t="str">
            <v>PLANALTINA</v>
          </cell>
        </row>
        <row r="394">
          <cell r="B394" t="str">
            <v>Serralheria do Daniel</v>
          </cell>
          <cell r="C394" t="str">
            <v>DANIEL PEREIRA SILVA 90299906191</v>
          </cell>
          <cell r="D394" t="str">
            <v>20.173.862/0001-23</v>
          </cell>
          <cell r="E394" t="str">
            <v>10.599.866-4</v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>Ativo</v>
          </cell>
          <cell r="K394" t="str">
            <v>(62) 9410-0221</v>
          </cell>
          <cell r="L394" t="str">
            <v/>
          </cell>
          <cell r="M394" t="str">
            <v/>
          </cell>
          <cell r="N394" t="str">
            <v>danielbaixixsta09@hotmail.com</v>
          </cell>
          <cell r="O394" t="str">
            <v>72930-000</v>
          </cell>
          <cell r="P394" t="str">
            <v>AVENIDA BRASILIA                                , 203</v>
          </cell>
          <cell r="Q394" t="str">
            <v>CENTRO</v>
          </cell>
        </row>
        <row r="395">
          <cell r="B395" t="str">
            <v>SERRALHERIA DO GALEGO</v>
          </cell>
          <cell r="C395" t="str">
            <v>SERRALHERIA E METALUGICA DO GALEGO LTDA</v>
          </cell>
          <cell r="D395" t="str">
            <v>49.946.934/0001-00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Ativo</v>
          </cell>
          <cell r="K395" t="str">
            <v>(61) 9360-4618 / (0000) 0000-0000</v>
          </cell>
          <cell r="L395" t="str">
            <v/>
          </cell>
          <cell r="M395" t="str">
            <v/>
          </cell>
          <cell r="N395" t="str">
            <v>evaldohenriquegalego@gmail.com</v>
          </cell>
          <cell r="O395" t="str">
            <v>72911-205</v>
          </cell>
          <cell r="P395" t="str">
            <v>QUADRA 48 CONJUNTO A                                , 31</v>
          </cell>
          <cell r="Q395" t="str">
            <v>PARQUE DA BARRAGEM SETOR 01</v>
          </cell>
        </row>
        <row r="396">
          <cell r="B396" t="str">
            <v>SERRALHERIA DO MANINHO</v>
          </cell>
          <cell r="C396" t="str">
            <v>IVANILDE MENDES FRANCA SERRALHERIA</v>
          </cell>
          <cell r="D396" t="str">
            <v>14.065.132/0001-06</v>
          </cell>
          <cell r="E396" t="str">
            <v>10.510.007-2</v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Ativo</v>
          </cell>
          <cell r="K396" t="str">
            <v>(61) 8414-8729</v>
          </cell>
          <cell r="L396" t="str">
            <v/>
          </cell>
          <cell r="M396" t="str">
            <v/>
          </cell>
          <cell r="N396" t="str">
            <v>uniaocontabil2009@hotmail.com</v>
          </cell>
          <cell r="O396" t="str">
            <v>73751-193</v>
          </cell>
          <cell r="P396" t="str">
            <v>Q 12 MR 2                                , 22A</v>
          </cell>
          <cell r="Q396" t="str">
            <v>SETOR NORTE</v>
          </cell>
        </row>
        <row r="397">
          <cell r="B397" t="str">
            <v>serralheria e barbosa</v>
          </cell>
          <cell r="C397" t="str">
            <v/>
          </cell>
          <cell r="D397" t="str">
            <v>41.799.393/0001-22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Ativo</v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>72225-225</v>
          </cell>
          <cell r="P397" t="str">
            <v>Quadra QNN 21 Conjunto O</v>
          </cell>
          <cell r="Q397" t="str">
            <v>Ceilândia Norte (Ceilândia)</v>
          </cell>
        </row>
        <row r="398">
          <cell r="B398" t="str">
            <v>SERRALHERIA FOGO DO SINAI</v>
          </cell>
          <cell r="C398" t="str">
            <v>E L FRAGNAN SERRALHERIA E SERVICOS EIRELI</v>
          </cell>
          <cell r="D398" t="str">
            <v>39.283.634/0001-34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Ativo</v>
          </cell>
          <cell r="K398" t="str">
            <v>(61) 3301-5656/ (61) 9813-0441</v>
          </cell>
          <cell r="L398" t="str">
            <v/>
          </cell>
          <cell r="M398" t="str">
            <v/>
          </cell>
          <cell r="N398" t="str">
            <v>elf1970@gmail.com</v>
          </cell>
          <cell r="O398" t="str">
            <v>71727-506</v>
          </cell>
          <cell r="P398" t="str">
            <v>Q QOF CONJUNTO F LOTE                                , 10</v>
          </cell>
          <cell r="Q398" t="str">
            <v>CANDANGOLANDIA</v>
          </cell>
        </row>
        <row r="399">
          <cell r="B399" t="str">
            <v>SERRALHERIA FOGO DO SINAI</v>
          </cell>
          <cell r="C399" t="str">
            <v>E L FRAGNAN SERRALHERIA E SERVICOS EIRELI</v>
          </cell>
          <cell r="D399" t="str">
            <v>39.283.634/0001-34</v>
          </cell>
          <cell r="E399" t="str">
            <v>08.007.427/001-87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Ativo</v>
          </cell>
          <cell r="K399" t="str">
            <v>(61) 3301-5656/ (61) 9813-0441</v>
          </cell>
          <cell r="L399" t="str">
            <v/>
          </cell>
          <cell r="M399" t="str">
            <v/>
          </cell>
          <cell r="N399" t="str">
            <v>elf1970@gmail.com</v>
          </cell>
          <cell r="O399" t="str">
            <v>71727-506</v>
          </cell>
          <cell r="P399" t="str">
            <v>Q QOF CONJUNTO F LOTE                                , 10</v>
          </cell>
          <cell r="Q399" t="str">
            <v>CANDANGOLANDIA</v>
          </cell>
        </row>
        <row r="400">
          <cell r="B400" t="str">
            <v>SERRALHERIA KENNEDY</v>
          </cell>
          <cell r="C400" t="str">
            <v>W. G. SERRALHERIA E FERRAGENS LTDA</v>
          </cell>
          <cell r="D400" t="str">
            <v>55.381.435/0001-15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Ativo</v>
          </cell>
          <cell r="K400" t="str">
            <v>(62) 9450-5154 / (0000) 0000-0000</v>
          </cell>
          <cell r="L400" t="str">
            <v/>
          </cell>
          <cell r="M400" t="str">
            <v/>
          </cell>
          <cell r="N400" t="str">
            <v>serralheriakennedywj@gmail.com</v>
          </cell>
          <cell r="O400" t="str">
            <v>75040-040</v>
          </cell>
          <cell r="P400" t="str">
            <v>AVENIDA PRESIDENTE KENNEDY                                , 860</v>
          </cell>
          <cell r="Q400" t="str">
            <v>MARACANÃ</v>
          </cell>
        </row>
        <row r="401">
          <cell r="B401" t="str">
            <v>SERRALHERIA LIMA</v>
          </cell>
          <cell r="C401" t="str">
            <v>LUIZ CLAUDIO DE LIMA 08357939660</v>
          </cell>
          <cell r="D401" t="str">
            <v>29.548.608/0001-37</v>
          </cell>
          <cell r="E401" t="str">
            <v>31195630026</v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Ativo</v>
          </cell>
          <cell r="K401" t="str">
            <v>(34) 9882-5479</v>
          </cell>
          <cell r="L401" t="str">
            <v/>
          </cell>
          <cell r="M401" t="str">
            <v/>
          </cell>
          <cell r="N401" t="str">
            <v>jorgecrc46@yahoo.com.br</v>
          </cell>
          <cell r="O401" t="str">
            <v>38443-170</v>
          </cell>
          <cell r="P401" t="str">
            <v>RUA ROMUALDO COELHO                                , 631</v>
          </cell>
          <cell r="Q401" t="str">
            <v>VIENO</v>
          </cell>
        </row>
        <row r="402">
          <cell r="B402" t="str">
            <v>SERRALHERIA MAYA</v>
          </cell>
          <cell r="C402" t="str">
            <v>SERRALHERIA MAYA LTDA</v>
          </cell>
          <cell r="D402" t="str">
            <v>07.068.357/0001-50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Ativo</v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>72215-000</v>
          </cell>
          <cell r="P402" t="str">
            <v>QNO 18 CONJUNTO 24 LOTE                                , 10</v>
          </cell>
          <cell r="Q402" t="str">
            <v>CEILANDIA</v>
          </cell>
        </row>
        <row r="403">
          <cell r="B403" t="str">
            <v>SERRALHERIA MORACHIK</v>
          </cell>
          <cell r="C403" t="str">
            <v>SERRALHERIA MORACHIK LTDA</v>
          </cell>
          <cell r="D403" t="str">
            <v>11.854.267/0001-62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>Ativo</v>
          </cell>
          <cell r="K403" t="str">
            <v>(61) 8431-2095</v>
          </cell>
          <cell r="L403" t="str">
            <v/>
          </cell>
          <cell r="M403" t="str">
            <v/>
          </cell>
          <cell r="N403" t="str">
            <v>serralheriamorachik@gmail.com</v>
          </cell>
          <cell r="O403" t="str">
            <v>73368-142</v>
          </cell>
          <cell r="P403" t="str">
            <v>QUADRA 5A CONJUNTO B                                , 14A</v>
          </cell>
          <cell r="Q403" t="str">
            <v>ARAPOANGA (PLANALTINA)</v>
          </cell>
        </row>
        <row r="404">
          <cell r="B404" t="str">
            <v>SERRALHERIA NEEMIAS</v>
          </cell>
          <cell r="C404" t="str">
            <v>NEEMIAS VIEGAS COSTA 22073159168</v>
          </cell>
          <cell r="D404" t="str">
            <v>28.979.723/0001-01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Ativo</v>
          </cell>
          <cell r="K404" t="str">
            <v>(61) 3399-3255</v>
          </cell>
          <cell r="L404" t="str">
            <v/>
          </cell>
          <cell r="M404" t="str">
            <v/>
          </cell>
          <cell r="N404" t="str">
            <v>serralherianeesmias@gmail.com</v>
          </cell>
          <cell r="O404" t="str">
            <v>71805-128</v>
          </cell>
          <cell r="P404" t="str">
            <v>RUA QN 1 CONJUNTO 28                                , 11</v>
          </cell>
          <cell r="Q404" t="str">
            <v>RIACHO FUNDO I</v>
          </cell>
        </row>
        <row r="405">
          <cell r="B405" t="str">
            <v>SERRALHERIA REI DO FERRO</v>
          </cell>
          <cell r="C405" t="str">
            <v>SERRALHERIA REI DO FERRO LTDA</v>
          </cell>
          <cell r="D405" t="str">
            <v>33.775.758/0001-50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Ativo</v>
          </cell>
          <cell r="K405" t="str">
            <v>(61) 9128-6248</v>
          </cell>
          <cell r="L405" t="str">
            <v/>
          </cell>
          <cell r="M405" t="str">
            <v/>
          </cell>
          <cell r="N405" t="str">
            <v>serralheriareidoferro@gmail.com</v>
          </cell>
          <cell r="O405" t="str">
            <v>73751-516</v>
          </cell>
          <cell r="P405" t="str">
            <v>Q 17 MR 3                                , SN</v>
          </cell>
          <cell r="Q405" t="str">
            <v>SETOR NORTE</v>
          </cell>
        </row>
        <row r="406">
          <cell r="B406" t="str">
            <v>SERRALHERIA VIEGAS</v>
          </cell>
          <cell r="C406" t="str">
            <v>CLEVERSON PEREIRA COSTA 04013201119</v>
          </cell>
          <cell r="D406" t="str">
            <v>23.271.383/0001-38</v>
          </cell>
          <cell r="E406" t="str">
            <v>0773742800199</v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Ativo</v>
          </cell>
          <cell r="K406" t="str">
            <v>55 61 9151-9640</v>
          </cell>
          <cell r="L406" t="str">
            <v>55 61 9151-9640</v>
          </cell>
          <cell r="M406" t="str">
            <v/>
          </cell>
          <cell r="N406" t="str">
            <v/>
          </cell>
          <cell r="O406" t="str">
            <v>7180-512</v>
          </cell>
          <cell r="P406" t="str">
            <v>QN 1 CONJUNTO 28                                , 01</v>
          </cell>
          <cell r="Q406" t="str">
            <v>RIACHO FUNDO I</v>
          </cell>
        </row>
        <row r="407">
          <cell r="B407" t="str">
            <v>SERRALHERIA VILMAR</v>
          </cell>
          <cell r="C407" t="str">
            <v>SERRALHERIA VILMAR LTDA</v>
          </cell>
          <cell r="D407" t="str">
            <v>18.379.197/0001-87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Ativo</v>
          </cell>
          <cell r="K407" t="str">
            <v>(61) 9579-7889</v>
          </cell>
          <cell r="L407" t="str">
            <v/>
          </cell>
          <cell r="M407" t="str">
            <v/>
          </cell>
          <cell r="N407" t="str">
            <v>vilmargm51299@gmail.com</v>
          </cell>
          <cell r="O407" t="str">
            <v>72610-350</v>
          </cell>
          <cell r="P407" t="str">
            <v>AVENIDA VARGEM DA BENCAO CHACARA 12 CONJUNTO D LOTE                                , 50</v>
          </cell>
          <cell r="Q407" t="str">
            <v>RECANTO DAS EMAS</v>
          </cell>
        </row>
        <row r="408">
          <cell r="B408" t="str">
            <v>SEVEN SECURITY</v>
          </cell>
          <cell r="C408" t="str">
            <v>MARLENE APARECIDA DOS PASSOS NASCIMENTO 35864010197</v>
          </cell>
          <cell r="D408" t="str">
            <v>32.701.361/0001-51</v>
          </cell>
          <cell r="E408" t="str">
            <v>10.751.036-7</v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Ativo</v>
          </cell>
          <cell r="K408" t="str">
            <v>(61)8664-9813</v>
          </cell>
          <cell r="L408" t="str">
            <v/>
          </cell>
          <cell r="M408" t="str">
            <v/>
          </cell>
          <cell r="N408" t="str">
            <v>rubens_jean@hotmail.com</v>
          </cell>
          <cell r="O408" t="str">
            <v>72814-600</v>
          </cell>
          <cell r="P408" t="str">
            <v>R 16                                , SN</v>
          </cell>
          <cell r="Q408" t="str">
            <v>SETOR MANDU II</v>
          </cell>
        </row>
        <row r="409">
          <cell r="B409" t="str">
            <v>SHOPPING ENXOVAIS E UTILIDADES</v>
          </cell>
          <cell r="C409" t="str">
            <v>SHOPPING ENXOVAIS E UTILIDADES TUDO PARA SEU LAR S.A</v>
          </cell>
          <cell r="D409" t="str">
            <v>42.737.380/0001-91</v>
          </cell>
          <cell r="E409" t="str">
            <v>08.070.005/001-76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Inativo</v>
          </cell>
          <cell r="K409" t="str">
            <v>(61)9928-5916</v>
          </cell>
          <cell r="L409" t="str">
            <v/>
          </cell>
          <cell r="M409" t="str">
            <v/>
          </cell>
          <cell r="N409" t="str">
            <v/>
          </cell>
          <cell r="O409" t="str">
            <v>72135-160</v>
          </cell>
          <cell r="P409" t="str">
            <v>Q QI 16 LOTES                                , 1/3/5</v>
          </cell>
          <cell r="Q409" t="str">
            <v>SETOR INDUSTRIAL (TAGUATINGA)</v>
          </cell>
        </row>
        <row r="410">
          <cell r="B410" t="str">
            <v>Silas Santos Melonio</v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>620.736.132-68</v>
          </cell>
          <cell r="H410" t="str">
            <v/>
          </cell>
          <cell r="I410" t="str">
            <v/>
          </cell>
          <cell r="J410" t="str">
            <v>Ativo</v>
          </cell>
          <cell r="K410" t="str">
            <v/>
          </cell>
          <cell r="L410" t="str">
            <v/>
          </cell>
          <cell r="M410" t="str">
            <v/>
          </cell>
          <cell r="N410" t="str">
            <v>ak47silas@outlook.com</v>
          </cell>
          <cell r="O410" t="str">
            <v>72907-106</v>
          </cell>
          <cell r="P410" t="str">
            <v>Quadra Quadra 41</v>
          </cell>
          <cell r="Q410" t="str">
            <v>Jardim de Alá</v>
          </cell>
        </row>
        <row r="411">
          <cell r="B411" t="str">
            <v>SILVIO ROBERTO ANDRADE</v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>386.760.281-68</v>
          </cell>
          <cell r="H411" t="str">
            <v/>
          </cell>
          <cell r="I411" t="str">
            <v/>
          </cell>
          <cell r="J411" t="str">
            <v>Inativo</v>
          </cell>
          <cell r="K411" t="str">
            <v/>
          </cell>
          <cell r="L411" t="str">
            <v>(61)98450-3859</v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</row>
        <row r="412">
          <cell r="B412" t="str">
            <v>SO PORTAS AUTOMATICAS BSB</v>
          </cell>
          <cell r="C412" t="str">
            <v>JAIME FRANCISCO SOARES JUNIOR 02280304120</v>
          </cell>
          <cell r="D412" t="str">
            <v>47.513.404/0001-42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Ativo</v>
          </cell>
          <cell r="K412" t="str">
            <v>(61) 9174-2632</v>
          </cell>
          <cell r="L412" t="str">
            <v/>
          </cell>
          <cell r="M412" t="str">
            <v/>
          </cell>
          <cell r="N412" t="str">
            <v>junior11dsupri@gmail.com</v>
          </cell>
          <cell r="O412" t="str">
            <v>72145-760</v>
          </cell>
          <cell r="P412" t="str">
            <v>SETOR SAGOCA                                , 1707</v>
          </cell>
          <cell r="Q412" t="str">
            <v>TAGUATINGA NORTE (TAGUATINGA)</v>
          </cell>
        </row>
        <row r="413">
          <cell r="B413" t="str">
            <v>SO PORTAS AUTOMATIZADAS</v>
          </cell>
          <cell r="C413" t="str">
            <v>SO PORTAS AUTOMATIZADAS LTDA</v>
          </cell>
          <cell r="D413" t="str">
            <v>14.977.868/0001-50</v>
          </cell>
          <cell r="E413" t="str">
            <v>20.180.535-9</v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Ativo</v>
          </cell>
          <cell r="K413" t="str">
            <v>(62) 9216-9338</v>
          </cell>
          <cell r="L413" t="str">
            <v/>
          </cell>
          <cell r="M413" t="str">
            <v/>
          </cell>
          <cell r="N413" t="str">
            <v>soportasautomotizdas@gmail.com</v>
          </cell>
          <cell r="O413" t="str">
            <v>74736-054</v>
          </cell>
          <cell r="P413" t="str">
            <v>RUA CV7                                , S/N</v>
          </cell>
          <cell r="Q413" t="str">
            <v>RES VILLAGE CAMPOS VERDES</v>
          </cell>
        </row>
        <row r="414">
          <cell r="B414" t="str">
            <v>SPS PORTAS DE ACO</v>
          </cell>
          <cell r="C414" t="str">
            <v>60.525.883 EVANDRO CARDOSO DA SILVA</v>
          </cell>
          <cell r="D414" t="str">
            <v>60.525.883/0001-85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Ativo</v>
          </cell>
          <cell r="K414" t="str">
            <v>(62)8544-7451</v>
          </cell>
          <cell r="L414" t="str">
            <v/>
          </cell>
          <cell r="M414" t="str">
            <v/>
          </cell>
          <cell r="N414" t="str">
            <v>spsportasdeaco@gmail.com</v>
          </cell>
          <cell r="O414" t="str">
            <v>75371-840</v>
          </cell>
          <cell r="P414" t="str">
            <v>R NG-11                                , SN</v>
          </cell>
          <cell r="Q414" t="str">
            <v>NOVA GOIANIRA</v>
          </cell>
        </row>
        <row r="415">
          <cell r="B415" t="str">
            <v>STAP TECNOLOGIA</v>
          </cell>
          <cell r="C415" t="str">
            <v>STAP SERVICO EM TECNOLOGIA LTDA</v>
          </cell>
          <cell r="D415" t="str">
            <v>33.624.992/0001-87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>Inativo</v>
          </cell>
          <cell r="K415" t="str">
            <v>(75) 3641-0305 / (75) 3641-7585</v>
          </cell>
          <cell r="L415" t="str">
            <v/>
          </cell>
          <cell r="M415" t="str">
            <v/>
          </cell>
          <cell r="N415" t="str">
            <v>info@staptecnologia.com.br</v>
          </cell>
          <cell r="O415" t="str">
            <v>45400-000</v>
          </cell>
          <cell r="P415" t="str">
            <v>RUA MARECHAL FLORIANO PEIXOTO                                , 162</v>
          </cell>
          <cell r="Q415" t="str">
            <v>CENTRO</v>
          </cell>
        </row>
        <row r="416">
          <cell r="B416" t="str">
            <v>STARK SERRALHERIA E CONSTRUCOES</v>
          </cell>
          <cell r="C416" t="str">
            <v>SARYNY SILVA BARAGCHUNA</v>
          </cell>
          <cell r="D416" t="str">
            <v>37.843.451/0001-09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Ativo</v>
          </cell>
          <cell r="K416" t="str">
            <v>(61) 8601-0840</v>
          </cell>
          <cell r="L416" t="str">
            <v/>
          </cell>
          <cell r="M416" t="str">
            <v/>
          </cell>
          <cell r="N416" t="str">
            <v>starkserralherianet@gmail.com</v>
          </cell>
          <cell r="O416" t="str">
            <v>72025-090</v>
          </cell>
          <cell r="P416" t="str">
            <v>AREA ESPECIAL QSE 9                                , 02</v>
          </cell>
          <cell r="Q416" t="str">
            <v>TAGUATINGA SUL (TAGUATINGA)</v>
          </cell>
        </row>
        <row r="417">
          <cell r="B417" t="str">
            <v>STEEL PORTAS AUTOMATICAS DE ENROLAR</v>
          </cell>
          <cell r="C417" t="str">
            <v>CARLOS ALBERTO ROMAO GONCALVES</v>
          </cell>
          <cell r="D417" t="str">
            <v>44.053.613/0001-62</v>
          </cell>
          <cell r="E417" t="str">
            <v>0809352800121</v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Ativo</v>
          </cell>
          <cell r="K417" t="str">
            <v/>
          </cell>
          <cell r="L417" t="str">
            <v>6199243779</v>
          </cell>
          <cell r="M417" t="str">
            <v/>
          </cell>
          <cell r="N417" t="str">
            <v>ALLBERTO.JUNIO@GMAIL.COM</v>
          </cell>
          <cell r="O417" t="str">
            <v>72310-103</v>
          </cell>
          <cell r="P417" t="str">
            <v>QR 320 Conjunto 3Q QR 320 CONJUNTO 3                                , 05</v>
          </cell>
          <cell r="Q417" t="str">
            <v>Samambaia Sul (Samambaia)</v>
          </cell>
        </row>
        <row r="418">
          <cell r="B418" t="str">
            <v>STERMAAN</v>
          </cell>
          <cell r="C418" t="str">
            <v>ESTRELLA DE LUNA COMERCIO DE PRODUTOS ARQUITETONICOS LTDA</v>
          </cell>
          <cell r="D418" t="str">
            <v>12.513.813/0001-64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Inativo</v>
          </cell>
          <cell r="K418" t="str">
            <v>(61) 3042-1143/ (61) 9555-0010</v>
          </cell>
          <cell r="L418" t="str">
            <v/>
          </cell>
          <cell r="M418" t="str">
            <v/>
          </cell>
          <cell r="N418" t="str">
            <v>eduardo@stermaan.com.br</v>
          </cell>
          <cell r="O418" t="str">
            <v>71705-522</v>
          </cell>
          <cell r="P418" t="str">
            <v>ST SOPI CONJUNTO B                                , SN</v>
          </cell>
          <cell r="Q418" t="str">
            <v>NUCLEO BANDEIRANTE</v>
          </cell>
        </row>
        <row r="419">
          <cell r="B419" t="str">
            <v>SUPREMA PORTAS AUTOMATICAS LTDA</v>
          </cell>
          <cell r="C419" t="str">
            <v/>
          </cell>
          <cell r="D419" t="str">
            <v>29.246.323/0001-41</v>
          </cell>
          <cell r="E419" t="str">
            <v>15.586.840-3</v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Ativo</v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>68744-100</v>
          </cell>
          <cell r="P419" t="str">
            <v>Alameda Tiradentes                                , 1800</v>
          </cell>
          <cell r="Q419" t="str">
            <v>Caiçara</v>
          </cell>
        </row>
        <row r="420">
          <cell r="B420" t="str">
            <v>Tagua Concretos e Construções LTDA</v>
          </cell>
          <cell r="C420" t="str">
            <v/>
          </cell>
          <cell r="D420" t="str">
            <v>35.201.537/0001-02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Inativo</v>
          </cell>
          <cell r="K420" t="str">
            <v/>
          </cell>
          <cell r="L420" t="str">
            <v/>
          </cell>
          <cell r="M420" t="str">
            <v/>
          </cell>
          <cell r="N420" t="str">
            <v>taguamixconcreto@gmail.com</v>
          </cell>
          <cell r="O420" t="str">
            <v>71993-210</v>
          </cell>
          <cell r="P420" t="str">
            <v>Conjunto SHA Conjunto 1 Chácara 61</v>
          </cell>
          <cell r="Q420" t="str">
            <v>Setor Habitacional Arniqueira (Águas Claras)</v>
          </cell>
        </row>
        <row r="421">
          <cell r="B421" t="str">
            <v>TAGUA PARK HOTEL LTDA</v>
          </cell>
          <cell r="C421" t="str">
            <v>TAGUA PARK HOTEL LTDA</v>
          </cell>
          <cell r="D421" t="str">
            <v>27.148.525/0001-25</v>
          </cell>
          <cell r="E421" t="str">
            <v>07.799.686/001-90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Inativo</v>
          </cell>
          <cell r="K421" t="str">
            <v>(61)3382-4444</v>
          </cell>
          <cell r="L421" t="str">
            <v/>
          </cell>
          <cell r="M421" t="str">
            <v/>
          </cell>
          <cell r="N421" t="str">
            <v>marcioempreendimentosbsb@gmail.com</v>
          </cell>
          <cell r="O421" t="str">
            <v>72020-110</v>
          </cell>
          <cell r="P421" t="str">
            <v>QUADRA QSD 11                                , LT 02</v>
          </cell>
          <cell r="Q421" t="str">
            <v>TAGUATINGA SUL (TAGUATINGA)</v>
          </cell>
        </row>
        <row r="422">
          <cell r="B422" t="str">
            <v>TAGUAPORTAS</v>
          </cell>
          <cell r="C422" t="str">
            <v>TAGUAPORTAS - PORTAS DE ACO AUTOMATICA LTDA</v>
          </cell>
          <cell r="D422" t="str">
            <v>46.381.819/0001-47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Ativo</v>
          </cell>
          <cell r="K422" t="str">
            <v>(61) 8637-5510 / (0000) 0000-0000</v>
          </cell>
          <cell r="L422" t="str">
            <v/>
          </cell>
          <cell r="M422" t="str">
            <v/>
          </cell>
          <cell r="N422" t="str">
            <v>dedcontabilidade@gmail.com</v>
          </cell>
          <cell r="O422" t="str">
            <v>73377-103</v>
          </cell>
          <cell r="P422" t="str">
            <v>SETOR SH APRODARMAS ETAPA I CHACARA                                , 11/12</v>
          </cell>
          <cell r="Q422" t="str">
            <v>FAZENDA MESTRE D'ARMAS (ETAPA I - PLANALTINA)</v>
          </cell>
        </row>
        <row r="423">
          <cell r="B423" t="str">
            <v>Tamara Wbatuba da Silva</v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>038.706.949-63</v>
          </cell>
          <cell r="H423" t="str">
            <v/>
          </cell>
          <cell r="I423" t="str">
            <v/>
          </cell>
          <cell r="J423" t="str">
            <v>Ativo</v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</row>
        <row r="424">
          <cell r="B424" t="str">
            <v>TEC ROLL</v>
          </cell>
          <cell r="C424" t="str">
            <v>55.801.264 FABRICIO MARLON BELEM DOS SANTOS</v>
          </cell>
          <cell r="D424" t="str">
            <v>55.801.264/0001-36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Ativo</v>
          </cell>
          <cell r="K424" t="str">
            <v>(71) 8143-3927</v>
          </cell>
          <cell r="L424" t="str">
            <v/>
          </cell>
          <cell r="M424" t="str">
            <v/>
          </cell>
          <cell r="N424" t="str">
            <v>tecrollportas@gmail.com</v>
          </cell>
          <cell r="O424" t="str">
            <v>41295-730</v>
          </cell>
          <cell r="P424" t="str">
            <v>RUA REPRESA DE PIRAJA                                , 32</v>
          </cell>
          <cell r="Q424" t="str">
            <v>PIRAJA</v>
          </cell>
        </row>
        <row r="425">
          <cell r="B425" t="str">
            <v>TÉCNICA PORTAS AUTOMÁTICAS</v>
          </cell>
          <cell r="C425" t="str">
            <v>11.978.623 MARCELO AMARAL DE MELO</v>
          </cell>
          <cell r="D425" t="str">
            <v>11.978.623/0001-50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Ativo</v>
          </cell>
          <cell r="K425" t="str">
            <v>(62) 3280-0150</v>
          </cell>
          <cell r="L425" t="str">
            <v/>
          </cell>
          <cell r="M425" t="str">
            <v/>
          </cell>
          <cell r="N425" t="str">
            <v>metal12.telecomunicacoes@hotmail.com</v>
          </cell>
          <cell r="O425" t="str">
            <v>74955-220</v>
          </cell>
          <cell r="P425" t="str">
            <v>AVENIDA DIAMANTE                                , SN</v>
          </cell>
          <cell r="Q425" t="str">
            <v>VILA OLIVEIRA</v>
          </cell>
        </row>
        <row r="426">
          <cell r="B426" t="str">
            <v>TECNORTE PORTAS AUTOMATICAS</v>
          </cell>
          <cell r="C426" t="str">
            <v>TECNORTE PORTAS AUTOMATICAS LTDA</v>
          </cell>
          <cell r="D426" t="str">
            <v>57.834.122/0001-09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>Ativo</v>
          </cell>
          <cell r="K426" t="str">
            <v>(92) 9148-0111 / (92) 9509-0829</v>
          </cell>
          <cell r="L426" t="str">
            <v/>
          </cell>
          <cell r="M426" t="str">
            <v/>
          </cell>
          <cell r="N426" t="str">
            <v>tecnorte.portasautomaticas@gmail.com</v>
          </cell>
          <cell r="O426" t="str">
            <v>69099-029</v>
          </cell>
          <cell r="P426" t="str">
            <v>RUA IBICARE                                , 100</v>
          </cell>
          <cell r="Q426" t="str">
            <v>NOVO ALEIXO</v>
          </cell>
        </row>
        <row r="427">
          <cell r="B427" t="str">
            <v>TH MACHADO CONSTRUCOES</v>
          </cell>
          <cell r="C427" t="str">
            <v>TH MACHADO CONSTRUCOES LTDA</v>
          </cell>
          <cell r="D427" t="str">
            <v>06.240.143/0001-57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Inativo</v>
          </cell>
          <cell r="K427" t="str">
            <v>(61)8528-7871</v>
          </cell>
          <cell r="L427" t="str">
            <v>619985287871</v>
          </cell>
          <cell r="M427" t="str">
            <v/>
          </cell>
          <cell r="N427" t="str">
            <v>thiagolfm@gmail.com</v>
          </cell>
          <cell r="O427" t="str">
            <v>72318-525</v>
          </cell>
          <cell r="P427" t="str">
            <v>QUADRA QS 402 CONJUNTO E LOTE                                , 04</v>
          </cell>
          <cell r="Q427" t="str">
            <v>SAMAMBAIA NORTE</v>
          </cell>
        </row>
        <row r="428">
          <cell r="B428" t="str">
            <v>THIAGO MOREIRA CHAVES</v>
          </cell>
          <cell r="C428" t="str">
            <v>THIAGO MOREIRA CHAVES 84584386153</v>
          </cell>
          <cell r="D428" t="str">
            <v>21.286.508/0001-78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Ativo</v>
          </cell>
          <cell r="K428" t="str">
            <v>(61) 8101-7476</v>
          </cell>
          <cell r="L428" t="str">
            <v/>
          </cell>
          <cell r="M428" t="str">
            <v/>
          </cell>
          <cell r="N428" t="str">
            <v>thiagomoreirachaves@gmail.com</v>
          </cell>
          <cell r="O428" t="str">
            <v>72125-590</v>
          </cell>
          <cell r="P428" t="str">
            <v>CONJUNTO QNF 9                                , 39</v>
          </cell>
          <cell r="Q428" t="str">
            <v>TAGUATINGA NORTE (TAGUATINGA)</v>
          </cell>
        </row>
        <row r="429">
          <cell r="B429" t="str">
            <v>Tiago Figueira Ramos</v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>012.955.046-93</v>
          </cell>
          <cell r="H429" t="str">
            <v/>
          </cell>
          <cell r="I429" t="str">
            <v/>
          </cell>
          <cell r="J429" t="str">
            <v>Inativo</v>
          </cell>
          <cell r="K429" t="str">
            <v/>
          </cell>
          <cell r="L429" t="str">
            <v/>
          </cell>
          <cell r="M429" t="str">
            <v/>
          </cell>
          <cell r="N429" t="str">
            <v>advogadofigueira@gmail.com</v>
          </cell>
          <cell r="O429" t="str">
            <v>71930-500</v>
          </cell>
          <cell r="P429" t="str">
            <v>Rua 34                                , 34</v>
          </cell>
          <cell r="Q429" t="str">
            <v>Sul (Águas Claras)</v>
          </cell>
        </row>
        <row r="430">
          <cell r="B430" t="str">
            <v>toninho</v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Inativo</v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</row>
        <row r="431">
          <cell r="B431" t="str">
            <v>TOTAL FORCE PORTAS DE ACO</v>
          </cell>
          <cell r="C431" t="str">
            <v>TOTAL FORCE PORTAS DE ACO LTDA</v>
          </cell>
          <cell r="D431" t="str">
            <v>54.625.842/0001-68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>Ativo</v>
          </cell>
          <cell r="K431" t="str">
            <v>(62) 9556-3523/ (0000) 0000-0000</v>
          </cell>
          <cell r="L431" t="str">
            <v/>
          </cell>
          <cell r="M431" t="str">
            <v/>
          </cell>
          <cell r="N431" t="str">
            <v>emilcontabil@gmail.com</v>
          </cell>
          <cell r="O431" t="str">
            <v>72310-205</v>
          </cell>
          <cell r="P431" t="str">
            <v>CJ SMSE CONJUNTO 5 LT                                , 2</v>
          </cell>
          <cell r="Q431" t="str">
            <v>SAMAMBAIA SUL (SAMAMBAIA)</v>
          </cell>
        </row>
        <row r="432">
          <cell r="B432" t="str">
            <v>Tozetti</v>
          </cell>
          <cell r="C432" t="str">
            <v/>
          </cell>
          <cell r="D432" t="str">
            <v>36.601.096/0001-90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Ativo</v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>72127-991</v>
          </cell>
          <cell r="P432" t="str">
            <v>Rodovia DF-240</v>
          </cell>
          <cell r="Q432" t="str">
            <v/>
          </cell>
        </row>
        <row r="433">
          <cell r="B433" t="str">
            <v>TRISTAO PORTOES</v>
          </cell>
          <cell r="C433" t="str">
            <v>TRISTAO PORTAS E PORTOES LTDA</v>
          </cell>
          <cell r="D433" t="str">
            <v>34.289.049/0001-28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Ativo</v>
          </cell>
          <cell r="K433" t="str">
            <v>(62) 3637-3778</v>
          </cell>
          <cell r="L433" t="str">
            <v/>
          </cell>
          <cell r="M433" t="str">
            <v/>
          </cell>
          <cell r="N433" t="str">
            <v>mlimacontabil@hotmail.com</v>
          </cell>
          <cell r="O433" t="str">
            <v>74705-220</v>
          </cell>
          <cell r="P433" t="str">
            <v>RUA OTAWA                                , 115</v>
          </cell>
          <cell r="Q433" t="str">
            <v>JD NOVO MUNDO</v>
          </cell>
        </row>
        <row r="434">
          <cell r="B434" t="str">
            <v>TROPICAL PORTAS</v>
          </cell>
          <cell r="C434" t="str">
            <v>PORTAS DE ACO TROPICAL LTDA</v>
          </cell>
          <cell r="D434" t="str">
            <v>27.158.387/0001-65</v>
          </cell>
          <cell r="E434" t="str">
            <v>0779989700169</v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Ativo</v>
          </cell>
          <cell r="K434" t="str">
            <v>(61) 35674123</v>
          </cell>
          <cell r="L434" t="str">
            <v>(61) 98453-5627</v>
          </cell>
          <cell r="M434" t="str">
            <v/>
          </cell>
          <cell r="N434" t="str">
            <v>contatodf@tropicalportasdeaco.com.br</v>
          </cell>
          <cell r="O434" t="str">
            <v>72006-010</v>
          </cell>
          <cell r="P434" t="str">
            <v>R 5 CHACARA 96 LOTE                                , 16</v>
          </cell>
          <cell r="Q434" t="str">
            <v>SETOR HABITACIONAL VICENTE PIRES</v>
          </cell>
        </row>
        <row r="435">
          <cell r="B435" t="str">
            <v>TS SOLUCOES EM AUTOMACAO E SEGURANCA ELETRONICA</v>
          </cell>
          <cell r="C435" t="str">
            <v>M &amp; M IMPORT/EXPORT LTDA</v>
          </cell>
          <cell r="D435" t="str">
            <v>05.109.469/0001-87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Inativo</v>
          </cell>
          <cell r="K435" t="str">
            <v>(61) 3344-7722 / (061) 2342-771</v>
          </cell>
          <cell r="L435" t="str">
            <v/>
          </cell>
          <cell r="M435" t="str">
            <v/>
          </cell>
          <cell r="N435" t="str">
            <v>financeiro@tsas.com.br</v>
          </cell>
          <cell r="O435" t="str">
            <v>71906-500</v>
          </cell>
          <cell r="P435" t="str">
            <v>AVENIDA PARQUE AGUAS CLARAS LOTE                                , 25</v>
          </cell>
          <cell r="Q435" t="str">
            <v>NORTE (AGUAS CLARAS)</v>
          </cell>
        </row>
        <row r="436">
          <cell r="B436" t="str">
            <v>Unidas portas</v>
          </cell>
          <cell r="C436" t="str">
            <v>A UNIDAS PORTAS DE ACO LTDA</v>
          </cell>
          <cell r="D436" t="str">
            <v>01.523.136/0001-49</v>
          </cell>
          <cell r="E436" t="str">
            <v>7029444430023</v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>Ativo</v>
          </cell>
          <cell r="K436" t="str">
            <v>(34) 3232-6867 / (34) 3211-6319</v>
          </cell>
          <cell r="L436" t="str">
            <v/>
          </cell>
          <cell r="M436" t="str">
            <v/>
          </cell>
          <cell r="N436" t="str">
            <v>daccontabilidade@yahoo.com.br</v>
          </cell>
          <cell r="O436" t="str">
            <v>38401-256</v>
          </cell>
          <cell r="P436" t="str">
            <v>RUA MAIPO                                , 55</v>
          </cell>
          <cell r="Q436" t="str">
            <v>SANTA ROSA</v>
          </cell>
        </row>
        <row r="437">
          <cell r="B437" t="str">
            <v>UNIVERSO DAS PORTAS</v>
          </cell>
          <cell r="C437" t="str">
            <v>PAULO NASCIMENTO</v>
          </cell>
          <cell r="D437" t="str">
            <v>30.617.861/0001-84</v>
          </cell>
          <cell r="E437" t="str">
            <v>32052320091</v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>Ativo</v>
          </cell>
          <cell r="K437" t="str">
            <v>(34)3338-2080</v>
          </cell>
          <cell r="L437" t="str">
            <v/>
          </cell>
          <cell r="M437" t="str">
            <v/>
          </cell>
          <cell r="N437" t="str">
            <v>odairsergio@yahoo.com.br</v>
          </cell>
          <cell r="O437" t="str">
            <v>38026-070</v>
          </cell>
          <cell r="P437" t="str">
            <v>AVENIDA ABILIO BORGES DE ARAUJO                                , 407</v>
          </cell>
          <cell r="Q437" t="str">
            <v>NOSSA SENHORA DA ABADIA</v>
          </cell>
        </row>
        <row r="438">
          <cell r="B438" t="str">
            <v>UP GRADE SERRALHERIA</v>
          </cell>
          <cell r="C438" t="str">
            <v>WILSON JOSE RODRIGUES JUNIOR 69748209172</v>
          </cell>
          <cell r="D438" t="str">
            <v>18.888.199/0001-00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Ativo</v>
          </cell>
          <cell r="K438" t="str">
            <v>(61) 3046-1688</v>
          </cell>
          <cell r="L438" t="str">
            <v/>
          </cell>
          <cell r="M438" t="str">
            <v/>
          </cell>
          <cell r="N438" t="str">
            <v>upgradeengenharia2017@gmail.com</v>
          </cell>
          <cell r="O438" t="str">
            <v>72231-116</v>
          </cell>
          <cell r="P438" t="str">
            <v>Q QNP 10 CONJUNTO P                                , 45</v>
          </cell>
          <cell r="Q438" t="str">
            <v>CEILANDIA SUL (CEILANDIA)</v>
          </cell>
        </row>
        <row r="439">
          <cell r="B439" t="str">
            <v>UP10 EDUCACIONAL</v>
          </cell>
          <cell r="C439" t="str">
            <v>UP10 EDUCACIONAL LTDA</v>
          </cell>
          <cell r="D439" t="str">
            <v>29.297.669/0001-79</v>
          </cell>
          <cell r="E439" t="str">
            <v>0783841500190</v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Inativo</v>
          </cell>
          <cell r="K439" t="str">
            <v>(61)8116-4260</v>
          </cell>
          <cell r="L439" t="str">
            <v/>
          </cell>
          <cell r="M439" t="str">
            <v/>
          </cell>
          <cell r="N439" t="str">
            <v>enaildo@hotmail.com</v>
          </cell>
          <cell r="O439" t="str">
            <v>72547-240</v>
          </cell>
          <cell r="P439" t="str">
            <v>QUADRA CL 417                                , SN</v>
          </cell>
          <cell r="Q439" t="str">
            <v>SANTA MARIA</v>
          </cell>
        </row>
        <row r="440">
          <cell r="B440" t="str">
            <v>Vale Films</v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>024.278.444-54</v>
          </cell>
          <cell r="H440" t="str">
            <v/>
          </cell>
          <cell r="I440" t="str">
            <v/>
          </cell>
          <cell r="J440" t="str">
            <v>Inativo</v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>56332-175</v>
          </cell>
          <cell r="P440" t="str">
            <v>Rua Peroba                                , 11</v>
          </cell>
          <cell r="Q440" t="str">
            <v>Jatobá</v>
          </cell>
        </row>
        <row r="441">
          <cell r="B441" t="str">
            <v>VALPARAISO LED E MULTVARIEDADES</v>
          </cell>
          <cell r="C441" t="str">
            <v>VALPARAISO LED COMERCIO DE ARTIGOS DE ILUMINACAO LTDA</v>
          </cell>
          <cell r="D441" t="str">
            <v>38.049.467/0001-07</v>
          </cell>
          <cell r="E441" t="str">
            <v>ISENTO</v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Ativo</v>
          </cell>
          <cell r="K441" t="str">
            <v>(61) 9411-0789</v>
          </cell>
          <cell r="L441" t="str">
            <v/>
          </cell>
          <cell r="M441" t="str">
            <v/>
          </cell>
          <cell r="N441" t="str">
            <v/>
          </cell>
          <cell r="O441" t="str">
            <v>72870-424</v>
          </cell>
          <cell r="P441" t="str">
            <v>RUA DA BR-040 QUADRA 04 A 08                                , 01</v>
          </cell>
          <cell r="Q441" t="str">
            <v>PARQUE SAO BERNARDO</v>
          </cell>
        </row>
        <row r="442">
          <cell r="B442" t="str">
            <v>VALPARAISO LED E MULTVARIEDADES</v>
          </cell>
          <cell r="C442" t="str">
            <v>VALPARAISO LED COMERCIO DE ARTIGOS DE ILUMINACAO LTDA</v>
          </cell>
          <cell r="D442" t="str">
            <v>38.049.467/0001-07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>Ativo</v>
          </cell>
          <cell r="K442" t="str">
            <v>(61) 9411-0789</v>
          </cell>
          <cell r="L442" t="str">
            <v/>
          </cell>
          <cell r="M442" t="str">
            <v/>
          </cell>
          <cell r="N442" t="str">
            <v/>
          </cell>
          <cell r="O442" t="str">
            <v>72870-424</v>
          </cell>
          <cell r="P442" t="str">
            <v>RUA DA BR-040 QUADRA 04 A 08                                , 01</v>
          </cell>
          <cell r="Q442" t="str">
            <v>PARQUE SAO BERNARDO</v>
          </cell>
        </row>
        <row r="443">
          <cell r="B443" t="str">
            <v>VIA PALACIO DO SOL</v>
          </cell>
          <cell r="C443" t="str">
            <v>CONDOMINIO DO EDIFICIO RESIDENCIAL VIA PALACIO DO SOL</v>
          </cell>
          <cell r="D443" t="str">
            <v>10.485.320/0001-32</v>
          </cell>
          <cell r="E443" t="str">
            <v>0819756600199</v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>Ativo</v>
          </cell>
          <cell r="K443" t="str">
            <v>(01) 3386-6122 / (61) 8413-3738</v>
          </cell>
          <cell r="L443" t="str">
            <v/>
          </cell>
          <cell r="M443" t="str">
            <v/>
          </cell>
          <cell r="N443" t="str">
            <v>evandro@novaadministradora.com.br</v>
          </cell>
          <cell r="O443" t="str">
            <v>71918-000</v>
          </cell>
          <cell r="P443" t="str">
            <v>RUA RUA DAS PAINEIRAS LOTE 02                                , 02</v>
          </cell>
          <cell r="Q443" t="str">
            <v>AGUAS CLARAS</v>
          </cell>
        </row>
        <row r="444">
          <cell r="B444" t="str">
            <v>VIGILANCIA PARA TODOS</v>
          </cell>
          <cell r="C444" t="str">
            <v>VIGILANCIA PARA TODOS LTDA</v>
          </cell>
          <cell r="D444" t="str">
            <v>13.319.870/0001-70</v>
          </cell>
          <cell r="E444" t="str">
            <v>0756766900193</v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Inativo</v>
          </cell>
          <cell r="K444" t="str">
            <v>(61) 3274-8275/ (61) 8408-4444</v>
          </cell>
          <cell r="L444" t="str">
            <v/>
          </cell>
          <cell r="M444" t="str">
            <v/>
          </cell>
          <cell r="N444" t="str">
            <v>diretoria@megbrasilia.com.br</v>
          </cell>
          <cell r="O444" t="str">
            <v>70740-532</v>
          </cell>
          <cell r="P444" t="str">
            <v>Q SHCG/N CLR 707 BLOCO B                                , S/N</v>
          </cell>
          <cell r="Q444" t="str">
            <v>ASA NORTE</v>
          </cell>
        </row>
        <row r="445">
          <cell r="B445" t="str">
            <v>VINICIUS CAIO MARQUES SANCHEZ S7</v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>041.952.391-09</v>
          </cell>
          <cell r="H445" t="str">
            <v/>
          </cell>
          <cell r="I445" t="str">
            <v/>
          </cell>
          <cell r="J445" t="str">
            <v>Ativo</v>
          </cell>
          <cell r="K445" t="str">
            <v>61998999199</v>
          </cell>
          <cell r="L445" t="str">
            <v/>
          </cell>
          <cell r="M445" t="str">
            <v/>
          </cell>
          <cell r="N445" t="str">
            <v/>
          </cell>
          <cell r="O445" t="str">
            <v>72870-217</v>
          </cell>
          <cell r="P445" t="str">
            <v>Rua 18                                , s/n</v>
          </cell>
          <cell r="Q445" t="str">
            <v>Jardim Oriente</v>
          </cell>
        </row>
        <row r="446">
          <cell r="B446" t="str">
            <v>Vlademir Paiva</v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>098.853.998-52</v>
          </cell>
          <cell r="H446" t="str">
            <v/>
          </cell>
          <cell r="I446" t="str">
            <v/>
          </cell>
          <cell r="J446" t="str">
            <v>Inativo</v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>38300-134</v>
          </cell>
          <cell r="P446" t="str">
            <v>Avenida Quinze                                , 540</v>
          </cell>
          <cell r="Q446" t="str">
            <v>Centro</v>
          </cell>
        </row>
        <row r="447">
          <cell r="B447" t="str">
            <v>W M COMERCIO DE FRUTAS E VERDURAS E HORTIFRUTIGRANJEIROS</v>
          </cell>
          <cell r="C447" t="str">
            <v>W M COMERCIO DE FRUTAS E VERDURAS E HORTIFRUTIGRANJEIROS LTDA</v>
          </cell>
          <cell r="D447" t="str">
            <v>23.999.129/0001-50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Inativo</v>
          </cell>
          <cell r="K447" t="str">
            <v>(61)3354-9737</v>
          </cell>
          <cell r="L447" t="str">
            <v/>
          </cell>
          <cell r="M447" t="str">
            <v/>
          </cell>
          <cell r="N447" t="str">
            <v>rmmcontabilidade@hotmail.com</v>
          </cell>
          <cell r="O447" t="str">
            <v>71200-100</v>
          </cell>
          <cell r="P447" t="str">
            <v>TRECHO SIA TRECHO 10                                , S/N</v>
          </cell>
          <cell r="Q447" t="str">
            <v>ZONA INDUSTRIAL (GUARA)</v>
          </cell>
        </row>
        <row r="448">
          <cell r="B448" t="str">
            <v>WAGNER LUIS DA SILVA BISPO</v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>006.890.261-10</v>
          </cell>
          <cell r="H448" t="str">
            <v/>
          </cell>
          <cell r="I448" t="str">
            <v/>
          </cell>
          <cell r="J448" t="str">
            <v>Inativo</v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>72319-007</v>
          </cell>
          <cell r="P448" t="str">
            <v>Quadra QR 401 Conjunto 7</v>
          </cell>
          <cell r="Q448" t="str">
            <v>Samambaia Norte (Samambaia)</v>
          </cell>
        </row>
        <row r="449">
          <cell r="B449" t="str">
            <v>Werles José da Silva</v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>002.156.265-24</v>
          </cell>
          <cell r="H449" t="str">
            <v/>
          </cell>
          <cell r="I449" t="str">
            <v/>
          </cell>
          <cell r="J449" t="str">
            <v>Inativo</v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>rua 04 chacara 75 lote                                , 21</v>
          </cell>
          <cell r="Q449" t="str">
            <v>vicente pires</v>
          </cell>
        </row>
        <row r="450">
          <cell r="B450" t="str">
            <v>WERNEI VIEGAS DA SILVA</v>
          </cell>
          <cell r="C450" t="str">
            <v>60.775.634 WERNEI VIEGAS DA SILVA</v>
          </cell>
          <cell r="D450" t="str">
            <v>60.775.634/0001-48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Ativo</v>
          </cell>
          <cell r="K450" t="str">
            <v>(61) 9812-0819</v>
          </cell>
          <cell r="L450" t="str">
            <v/>
          </cell>
          <cell r="M450" t="str">
            <v/>
          </cell>
          <cell r="N450" t="str">
            <v>weserralheria061@gmail.com</v>
          </cell>
          <cell r="O450" t="str">
            <v>71825-200</v>
          </cell>
          <cell r="P450" t="str">
            <v>QUADRA QS 12                                , 22</v>
          </cell>
          <cell r="Q450" t="str">
            <v>RIACHO FUNDO I</v>
          </cell>
        </row>
        <row r="451">
          <cell r="B451" t="str">
            <v>WESLEY LACERDA DA SILVA</v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>000.381.631-10</v>
          </cell>
          <cell r="H451" t="str">
            <v/>
          </cell>
          <cell r="I451" t="str">
            <v/>
          </cell>
          <cell r="J451" t="str">
            <v>Inativo</v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>72544-401</v>
          </cell>
          <cell r="P451" t="str">
            <v>Quadra QR 214 Conjunto A</v>
          </cell>
          <cell r="Q451" t="str">
            <v>Santa Maria</v>
          </cell>
        </row>
        <row r="452">
          <cell r="B452" t="str">
            <v>wjoniton serralheria e segurança eletrônica</v>
          </cell>
          <cell r="C452" t="str">
            <v>19.022.877 WESLEY JONITON SILVEIRA</v>
          </cell>
          <cell r="D452" t="str">
            <v>19.022.877/0001-01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>Ativo</v>
          </cell>
          <cell r="K452" t="str">
            <v>(61)99687-4295</v>
          </cell>
          <cell r="L452" t="str">
            <v/>
          </cell>
          <cell r="M452" t="str">
            <v/>
          </cell>
          <cell r="N452" t="str">
            <v>wjoniton@gmail.com</v>
          </cell>
          <cell r="O452" t="str">
            <v>72110-800</v>
          </cell>
          <cell r="P452" t="str">
            <v>CHACARA SETOR HABITACIONAL VICENTE PIRES                                , 12A</v>
          </cell>
          <cell r="Q452" t="str">
            <v>TAGUATINGA NORTE (TAGUATINGA)</v>
          </cell>
        </row>
        <row r="453">
          <cell r="B453" t="str">
            <v>WS TRANSPORTADORA</v>
          </cell>
          <cell r="C453" t="str">
            <v/>
          </cell>
          <cell r="D453" t="str">
            <v>54.726.521/0001-50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Inativo</v>
          </cell>
          <cell r="K453" t="str">
            <v/>
          </cell>
          <cell r="L453" t="str">
            <v>(61)99177-4411</v>
          </cell>
          <cell r="M453" t="str">
            <v/>
          </cell>
          <cell r="N453" t="str">
            <v/>
          </cell>
          <cell r="O453" t="str">
            <v>72547-604</v>
          </cell>
          <cell r="P453" t="str">
            <v>Quadra QR 317 Conjunto D                                , 12</v>
          </cell>
          <cell r="Q453" t="str">
            <v>Santa Maria</v>
          </cell>
        </row>
        <row r="454">
          <cell r="B454" t="str">
            <v>X PORTAS AUTOMÁTICAS</v>
          </cell>
          <cell r="C454" t="str">
            <v>53.840.528 TELMA REIS DE AMORIM MOUSINHO</v>
          </cell>
          <cell r="D454" t="str">
            <v>53.840.528/0001-35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Ativo</v>
          </cell>
          <cell r="K454" t="str">
            <v>(61) 9463-1139</v>
          </cell>
          <cell r="L454" t="str">
            <v/>
          </cell>
          <cell r="M454" t="str">
            <v/>
          </cell>
          <cell r="N454" t="str">
            <v>xportasautomaticasdeenrolar@gmail.com</v>
          </cell>
          <cell r="O454" t="str">
            <v>72910-052</v>
          </cell>
          <cell r="P454" t="str">
            <v>QUADRA 45 CONJUNTO B                                , 02</v>
          </cell>
          <cell r="Q454" t="str">
            <v>PARQUE DA BARRAGEM SETOR 08</v>
          </cell>
        </row>
        <row r="455">
          <cell r="B455" t="str">
            <v>zill serralheiro</v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>062.738.541-90</v>
          </cell>
          <cell r="H455" t="str">
            <v/>
          </cell>
          <cell r="I455" t="str">
            <v/>
          </cell>
          <cell r="J455" t="str">
            <v>Ativo</v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</row>
        <row r="456">
          <cell r="B456" t="str">
            <v>ZIP DOOR</v>
          </cell>
          <cell r="C456" t="str">
            <v>ZIP DOOR INDUSTRIA, COMERCIO E SERVICOS DE PORTAS LTDA</v>
          </cell>
          <cell r="D456" t="str">
            <v>30.337.860/0001-86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Inativo</v>
          </cell>
          <cell r="K456" t="str">
            <v>(61)3339-6696</v>
          </cell>
          <cell r="L456" t="str">
            <v/>
          </cell>
          <cell r="M456" t="str">
            <v/>
          </cell>
          <cell r="N456" t="str">
            <v>admprime103@gmail.com</v>
          </cell>
          <cell r="O456" t="str">
            <v>71988-360</v>
          </cell>
          <cell r="P456" t="str">
            <v>A ADE CONJUNTO 18 LOTE 16 LOJA                                , 05</v>
          </cell>
          <cell r="Q456" t="str">
            <v>AREA DE DESENVOLVIMENTO ECONOMICO (AGUAS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929B8-2116-4769-97A2-05FA8F6E2E79}" name="Tabela1" displayName="Tabela1" ref="A1:L3998" totalsRowShown="0">
  <autoFilter ref="A1:L3998" xr:uid="{0B6D0717-D50E-4710-A699-C6D8D08BFBF2}"/>
  <tableColumns count="12">
    <tableColumn id="1" xr3:uid="{D8D3139E-89D1-40ED-86ED-E45A4558E8AA}" name="Cód."/>
    <tableColumn id="2" xr3:uid="{628FAA44-4D1B-4C0A-9468-CFBC5D460314}" name="Cliente"/>
    <tableColumn id="10" xr3:uid="{2CB9C56A-84D4-4F5C-9ABA-FF5F510E3279}" name="CIDADE" dataDxfId="19">
      <calculatedColumnFormula>VLOOKUP(Tabela1[[#This Row],[Cliente]],'BASE DE CLIENTES'!A:E,2,0)</calculatedColumnFormula>
    </tableColumn>
    <tableColumn id="11" xr3:uid="{071720A1-8B65-4141-B294-C9869DC16958}" name="UF" dataDxfId="0">
      <calculatedColumnFormula>VLOOKUP(Tabela1[[#This Row],[Cliente]],'BASE DE CLIENTES'!A:C,3,0)</calculatedColumnFormula>
    </tableColumn>
    <tableColumn id="12" xr3:uid="{438FF100-5339-4544-A989-CB90B1DB5598}" name="LOCALIZAÇÃO" dataDxfId="18">
      <calculatedColumnFormula>CONCATENATE(Tabela1[[#This Row],[CIDADE]],",",Tabela1[[#This Row],[UF]])</calculatedColumnFormula>
    </tableColumn>
    <tableColumn id="9" xr3:uid="{F6BFE69B-0B9C-4171-A84A-8B0D292D5B5E}" name="DATA2" dataDxfId="17"/>
    <tableColumn id="7" xr3:uid="{88651AD6-95E5-4F51-BF24-2B61DE4A0C56}" name="Valor custo" dataDxfId="16"/>
    <tableColumn id="8" xr3:uid="{AD4C50C1-D850-41A9-B8C8-33301579F41B}" name="Valor total" dataDxfId="15"/>
    <tableColumn id="13" xr3:uid="{7A5C6219-9A30-4C38-B741-3D0CD5ACF700}" name="MARGEM BRUTA" dataDxfId="14">
      <calculatedColumnFormula>Tabela1[[#This Row],[Valor total]]-Tabela1[[#This Row],[Valor custo]]</calculatedColumnFormula>
    </tableColumn>
    <tableColumn id="14" xr3:uid="{17EDE16D-9772-474B-8D4D-F50E0CBB1CBF}" name="%MARGEM BRUTA" dataDxfId="13">
      <calculatedColumnFormula>Tabela1[[#This Row],[MARGEM BRUTA]]/Tabela1[[#This Row],[Valor total]]</calculatedColumnFormula>
    </tableColumn>
    <tableColumn id="3" xr3:uid="{CCB84510-3974-474F-995E-80B9F3B34918}" name="CLASSIFICAÇÃO" dataDxfId="12">
      <calculatedColumnFormula>VLOOKUP(Tabela1[[#This Row],[Cliente]],'BASE DE CLIENTES'!A:D,4,0)</calculatedColumnFormula>
    </tableColumn>
    <tableColumn id="5" xr3:uid="{3CA053B6-75CB-434D-913F-B522AFD6F370}" name="BAIRRO" dataDxfId="11">
      <calculatedColumnFormula>VLOOKUP(Tabela1[[#This Row],[Cliente]],'BASE DE CLIENTES'!A:E,5,0)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2E8CE-C2D0-4FC9-BC19-5AD509F548F2}" name="Tabela3" displayName="Tabela3" ref="A1:M655" totalsRowShown="0" dataDxfId="10" dataCellStyle="Moeda 2">
  <autoFilter ref="A1:M655" xr:uid="{8082E8CE-C2D0-4FC9-BC19-5AD509F548F2}"/>
  <tableColumns count="13">
    <tableColumn id="1" xr3:uid="{4D2466F5-E530-40ED-B62C-9B29E58A645D}" name="Cód. interno"/>
    <tableColumn id="2" xr3:uid="{AB505071-214D-4219-8ACA-C71C14758F55}" name="Cód. de barra"/>
    <tableColumn id="3" xr3:uid="{4CD37229-6309-4CC1-AEFA-1D0DCA401319}" name="Produto"/>
    <tableColumn id="4" xr3:uid="{02D21125-F07E-4B2F-A648-B2F0BBEB2B3D}" name="Quantidade" dataDxfId="9"/>
    <tableColumn id="5" xr3:uid="{0C6C94DC-CA4C-45BB-BBE8-51A4537B3A57}" name="Custo médio" dataDxfId="8" dataCellStyle="Moeda 2"/>
    <tableColumn id="6" xr3:uid="{AA119501-C77E-413B-8909-EB3AB2371A59}" name="Custo total" dataDxfId="7" dataCellStyle="Moeda 2"/>
    <tableColumn id="7" xr3:uid="{1B730929-B1DA-4CEB-A7D8-64B74907632C}" name="Valor médio" dataDxfId="6" dataCellStyle="Moeda 2"/>
    <tableColumn id="8" xr3:uid="{A7B67707-116B-4FF6-A768-2BBF0308C4B4}" name="Desconto" dataDxfId="5" dataCellStyle="Moeda 2"/>
    <tableColumn id="9" xr3:uid="{E5DC52DB-B420-4951-B2FC-126B8C9BCFCE}" name="Frete" dataDxfId="4" dataCellStyle="Moeda 2"/>
    <tableColumn id="10" xr3:uid="{F0A35AA9-59EF-4114-B2D8-1C7C07B2EBBF}" name="Valor total" dataDxfId="3" dataCellStyle="Moeda 2"/>
    <tableColumn id="11" xr3:uid="{A4874C53-38B1-4218-B6E7-9EAEA11E6429}" name="Lucro" dataDxfId="2" dataCellStyle="Moeda 2"/>
    <tableColumn id="12" xr3:uid="{2E6C76DE-1ED5-4F5A-80C7-F13C94FAF363}" name="MÊS"/>
    <tableColumn id="13" xr3:uid="{319C94C7-087C-49EA-A527-92B29C4A97F9}" name="ANO" dataDxfId="1" dataCellStyle="Moeda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1124-2D55-4DB3-8B75-0CE230C6514B}">
  <dimension ref="A1:L3998"/>
  <sheetViews>
    <sheetView tabSelected="1" topLeftCell="C3616" zoomScale="85" zoomScaleNormal="85" workbookViewId="0">
      <selection activeCell="G3646" sqref="G3646:H3998"/>
    </sheetView>
  </sheetViews>
  <sheetFormatPr defaultRowHeight="15.6" x14ac:dyDescent="0.3"/>
  <cols>
    <col min="1" max="1" width="27.109375" style="1" bestFit="1" customWidth="1"/>
    <col min="2" max="2" width="71.6640625" style="1" bestFit="1" customWidth="1"/>
    <col min="3" max="3" width="21.88671875" style="1" bestFit="1" customWidth="1"/>
    <col min="4" max="5" width="25.6640625" style="1" customWidth="1"/>
    <col min="6" max="6" width="12.44140625" style="2" bestFit="1" customWidth="1"/>
    <col min="7" max="7" width="21.44140625" style="1" bestFit="1" customWidth="1"/>
    <col min="8" max="8" width="14.6640625" style="1" bestFit="1" customWidth="1"/>
    <col min="9" max="9" width="19.109375" style="1" bestFit="1" customWidth="1"/>
    <col min="10" max="10" width="13.77734375" style="3" bestFit="1" customWidth="1"/>
    <col min="11" max="11" width="25.33203125" style="1" bestFit="1" customWidth="1"/>
    <col min="12" max="12" width="54.2187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4" t="str">
        <f>VLOOKUP(Tabela1[[#This Row],[Cliente]],'BASE DE CLIENTES'!A:E,2,0)</f>
        <v>Brasília</v>
      </c>
      <c r="D2" s="1" t="str">
        <f>VLOOKUP(Tabela1[[#This Row],[Cliente]],'BASE DE CLIENTES'!A:C,3,0)</f>
        <v>DF</v>
      </c>
      <c r="E2" s="4" t="str">
        <f>CONCATENATE(Tabela1[[#This Row],[CIDADE]],",",Tabela1[[#This Row],[UF]])</f>
        <v>Brasília,DF</v>
      </c>
      <c r="F2" s="2">
        <v>45688</v>
      </c>
      <c r="G2" s="17">
        <v>811.63</v>
      </c>
      <c r="H2" s="17">
        <v>1750</v>
      </c>
      <c r="I2" s="6">
        <f>Tabela1[[#This Row],[Valor total]]-Tabela1[[#This Row],[Valor custo]]</f>
        <v>938.37</v>
      </c>
      <c r="J2" s="7">
        <f>Tabela1[[#This Row],[MARGEM BRUTA]]/Tabela1[[#This Row],[Valor total]]</f>
        <v>0.53621142857142856</v>
      </c>
      <c r="K2" s="1" t="str">
        <f>VLOOKUP(Tabela1[[#This Row],[Cliente]],'BASE DE CLIENTES'!A:D,4,0)</f>
        <v>EMPRESA COM MAQUINA</v>
      </c>
      <c r="L2" s="1" t="str">
        <f>VLOOKUP(Tabela1[[#This Row],[Cliente]],'BASE DE CLIENTES'!A:E,5,0)</f>
        <v>CANDANGOLANDIA</v>
      </c>
    </row>
    <row r="3" spans="1:12" x14ac:dyDescent="0.3">
      <c r="A3" s="1" t="s">
        <v>14</v>
      </c>
      <c r="B3" s="1" t="s">
        <v>15</v>
      </c>
      <c r="C3" s="4" t="str">
        <f>VLOOKUP(Tabela1[[#This Row],[Cliente]],'BASE DE CLIENTES'!A:E,2,0)</f>
        <v>Brasília</v>
      </c>
      <c r="D3" s="1" t="str">
        <f>VLOOKUP(Tabela1[[#This Row],[Cliente]],'BASE DE CLIENTES'!A:C,3,0)</f>
        <v>DF</v>
      </c>
      <c r="E3" s="4" t="str">
        <f>CONCATENATE(Tabela1[[#This Row],[CIDADE]],",",Tabela1[[#This Row],[UF]])</f>
        <v>Brasília,DF</v>
      </c>
      <c r="F3" s="2">
        <v>45688</v>
      </c>
      <c r="G3" s="17">
        <v>104.4</v>
      </c>
      <c r="H3" s="17">
        <v>364.6</v>
      </c>
      <c r="I3" s="6">
        <f>Tabela1[[#This Row],[Valor total]]-Tabela1[[#This Row],[Valor custo]]</f>
        <v>260.20000000000005</v>
      </c>
      <c r="J3" s="7">
        <f>Tabela1[[#This Row],[MARGEM BRUTA]]/Tabela1[[#This Row],[Valor total]]</f>
        <v>0.71365880416895233</v>
      </c>
      <c r="K3" s="1" t="str">
        <f>VLOOKUP(Tabela1[[#This Row],[Cliente]],'BASE DE CLIENTES'!A:D,4,0)</f>
        <v>SERRALHEIRO</v>
      </c>
      <c r="L3" s="1" t="str">
        <f>VLOOKUP(Tabela1[[#This Row],[Cliente]],'BASE DE CLIENTES'!A:E,5,0)</f>
        <v>SETOR HABITACIONAL VICENTE PIRES</v>
      </c>
    </row>
    <row r="4" spans="1:12" x14ac:dyDescent="0.3">
      <c r="A4" s="1" t="s">
        <v>16</v>
      </c>
      <c r="B4" s="1" t="s">
        <v>17</v>
      </c>
      <c r="C4" s="4" t="str">
        <f>VLOOKUP(Tabela1[[#This Row],[Cliente]],'BASE DE CLIENTES'!A:E,2,0)</f>
        <v>Águas Lindas de Goiás</v>
      </c>
      <c r="D4" s="1" t="str">
        <f>VLOOKUP(Tabela1[[#This Row],[Cliente]],'BASE DE CLIENTES'!A:C,3,0)</f>
        <v>GO</v>
      </c>
      <c r="E4" s="4" t="str">
        <f>CONCATENATE(Tabela1[[#This Row],[CIDADE]],",",Tabela1[[#This Row],[UF]])</f>
        <v>Águas Lindas de Goiás,GO</v>
      </c>
      <c r="F4" s="2">
        <v>45686</v>
      </c>
      <c r="G4" s="17">
        <v>514.45000000000005</v>
      </c>
      <c r="H4" s="17">
        <v>805</v>
      </c>
      <c r="I4" s="6">
        <f>Tabela1[[#This Row],[Valor total]]-Tabela1[[#This Row],[Valor custo]]</f>
        <v>290.54999999999995</v>
      </c>
      <c r="J4" s="7">
        <f>Tabela1[[#This Row],[MARGEM BRUTA]]/Tabela1[[#This Row],[Valor total]]</f>
        <v>0.36093167701863349</v>
      </c>
      <c r="K4" s="1" t="str">
        <f>VLOOKUP(Tabela1[[#This Row],[Cliente]],'BASE DE CLIENTES'!A:D,4,0)</f>
        <v>SERRALHEIRO</v>
      </c>
      <c r="L4" s="1" t="str">
        <f>VLOOKUP(Tabela1[[#This Row],[Cliente]],'BASE DE CLIENTES'!A:E,5,0)</f>
        <v>Águas Lindas de Goiás</v>
      </c>
    </row>
    <row r="5" spans="1:12" x14ac:dyDescent="0.3">
      <c r="A5" s="1" t="s">
        <v>18</v>
      </c>
      <c r="B5" s="1" t="s">
        <v>19</v>
      </c>
      <c r="C5" s="4" t="str">
        <f>VLOOKUP(Tabela1[[#This Row],[Cliente]],'BASE DE CLIENTES'!A:E,2,0)</f>
        <v>Águas Lindas de Goiás</v>
      </c>
      <c r="D5" s="1" t="str">
        <f>VLOOKUP(Tabela1[[#This Row],[Cliente]],'BASE DE CLIENTES'!A:C,3,0)</f>
        <v>GO</v>
      </c>
      <c r="E5" s="4" t="str">
        <f>CONCATENATE(Tabela1[[#This Row],[CIDADE]],",",Tabela1[[#This Row],[UF]])</f>
        <v>Águas Lindas de Goiás,GO</v>
      </c>
      <c r="F5" s="2">
        <v>45684</v>
      </c>
      <c r="G5" s="17">
        <v>25.94</v>
      </c>
      <c r="H5" s="17">
        <v>40</v>
      </c>
      <c r="I5" s="6">
        <f>Tabela1[[#This Row],[Valor total]]-Tabela1[[#This Row],[Valor custo]]</f>
        <v>14.059999999999999</v>
      </c>
      <c r="J5" s="7">
        <f>Tabela1[[#This Row],[MARGEM BRUTA]]/Tabela1[[#This Row],[Valor total]]</f>
        <v>0.35149999999999998</v>
      </c>
      <c r="K5" s="1" t="str">
        <f>VLOOKUP(Tabela1[[#This Row],[Cliente]],'BASE DE CLIENTES'!A:D,4,0)</f>
        <v>SERRALHEIRO</v>
      </c>
      <c r="L5" s="1" t="str">
        <f>VLOOKUP(Tabela1[[#This Row],[Cliente]],'BASE DE CLIENTES'!A:E,5,0)</f>
        <v>Águas Lindas de Goiás</v>
      </c>
    </row>
    <row r="6" spans="1:12" x14ac:dyDescent="0.3">
      <c r="B6" s="1" t="s">
        <v>20</v>
      </c>
      <c r="C6" s="4" t="str">
        <f>VLOOKUP(Tabela1[[#This Row],[Cliente]],'BASE DE CLIENTES'!A:E,2,0)</f>
        <v>Brasília</v>
      </c>
      <c r="D6" s="1" t="str">
        <f>VLOOKUP(Tabela1[[#This Row],[Cliente]],'BASE DE CLIENTES'!A:C,3,0)</f>
        <v>DF</v>
      </c>
      <c r="E6" s="4" t="str">
        <f>CONCATENATE(Tabela1[[#This Row],[CIDADE]],",",Tabela1[[#This Row],[UF]])</f>
        <v>Brasília,DF</v>
      </c>
      <c r="F6" s="2">
        <v>45892</v>
      </c>
      <c r="G6" s="17">
        <v>293.13</v>
      </c>
      <c r="H6" s="17">
        <v>450</v>
      </c>
      <c r="I6" s="6">
        <f>Tabela1[[#This Row],[Valor total]]-Tabela1[[#This Row],[Valor custo]]</f>
        <v>156.87</v>
      </c>
      <c r="J6" s="7">
        <f>Tabela1[[#This Row],[MARGEM BRUTA]]/Tabela1[[#This Row],[Valor total]]</f>
        <v>0.34860000000000002</v>
      </c>
      <c r="K6" s="1" t="str">
        <f>VLOOKUP(Tabela1[[#This Row],[Cliente]],'BASE DE CLIENTES'!A:D,4,0)</f>
        <v>CHAVEIRO</v>
      </c>
      <c r="L6" s="1" t="str">
        <f>VLOOKUP(Tabela1[[#This Row],[Cliente]],'BASE DE CLIENTES'!A:E,5,0)</f>
        <v>NA</v>
      </c>
    </row>
    <row r="7" spans="1:12" x14ac:dyDescent="0.3">
      <c r="B7" s="1" t="s">
        <v>21</v>
      </c>
      <c r="C7" s="4" t="str">
        <f>VLOOKUP(Tabela1[[#This Row],[Cliente]],'BASE DE CLIENTES'!A:E,2,0)</f>
        <v>Brasília</v>
      </c>
      <c r="D7" s="1" t="str">
        <f>VLOOKUP(Tabela1[[#This Row],[Cliente]],'BASE DE CLIENTES'!A:C,3,0)</f>
        <v>DF</v>
      </c>
      <c r="E7" s="4" t="str">
        <f>CONCATENATE(Tabela1[[#This Row],[CIDADE]],",",Tabela1[[#This Row],[UF]])</f>
        <v>Brasília,DF</v>
      </c>
      <c r="F7" s="2">
        <v>45736</v>
      </c>
      <c r="G7" s="17">
        <v>9078.2999999999993</v>
      </c>
      <c r="H7" s="17">
        <v>13375</v>
      </c>
      <c r="I7" s="6">
        <f>Tabela1[[#This Row],[Valor total]]-Tabela1[[#This Row],[Valor custo]]</f>
        <v>4296.7000000000007</v>
      </c>
      <c r="J7" s="7">
        <f>Tabela1[[#This Row],[MARGEM BRUTA]]/Tabela1[[#This Row],[Valor total]]</f>
        <v>0.32124859813084117</v>
      </c>
      <c r="K7" s="1" t="str">
        <f>VLOOKUP(Tabela1[[#This Row],[Cliente]],'BASE DE CLIENTES'!A:D,4,0)</f>
        <v>EMPRESA COM MAQUINA</v>
      </c>
      <c r="L7" s="1" t="str">
        <f>VLOOKUP(Tabela1[[#This Row],[Cliente]],'BASE DE CLIENTES'!A:E,5,0)</f>
        <v>RIACHO FUNDO II</v>
      </c>
    </row>
    <row r="8" spans="1:12" x14ac:dyDescent="0.3">
      <c r="A8" s="1" t="s">
        <v>22</v>
      </c>
      <c r="B8" s="1" t="s">
        <v>23</v>
      </c>
      <c r="C8" s="4" t="str">
        <f>VLOOKUP(Tabela1[[#This Row],[Cliente]],'BASE DE CLIENTES'!A:E,2,0)</f>
        <v>Brasília</v>
      </c>
      <c r="D8" s="1" t="str">
        <f>VLOOKUP(Tabela1[[#This Row],[Cliente]],'BASE DE CLIENTES'!A:C,3,0)</f>
        <v>DF</v>
      </c>
      <c r="E8" s="4" t="str">
        <f>CONCATENATE(Tabela1[[#This Row],[CIDADE]],",",Tabela1[[#This Row],[UF]])</f>
        <v>Brasília,DF</v>
      </c>
      <c r="F8" s="2">
        <v>45688</v>
      </c>
      <c r="G8" s="17">
        <v>878.4</v>
      </c>
      <c r="H8" s="17">
        <v>1320</v>
      </c>
      <c r="I8" s="6">
        <f>Tabela1[[#This Row],[Valor total]]-Tabela1[[#This Row],[Valor custo]]</f>
        <v>441.6</v>
      </c>
      <c r="J8" s="7">
        <f>Tabela1[[#This Row],[MARGEM BRUTA]]/Tabela1[[#This Row],[Valor total]]</f>
        <v>0.33454545454545459</v>
      </c>
      <c r="K8" s="1" t="str">
        <f>VLOOKUP(Tabela1[[#This Row],[Cliente]],'BASE DE CLIENTES'!A:D,4,0)</f>
        <v>EMPRESA SEM MAQUINA</v>
      </c>
      <c r="L8" s="1" t="str">
        <f>VLOOKUP(Tabela1[[#This Row],[Cliente]],'BASE DE CLIENTES'!A:E,5,0)</f>
        <v>SETOR INDUSTRIAL (TAGUATINGA)</v>
      </c>
    </row>
    <row r="9" spans="1:12" x14ac:dyDescent="0.3">
      <c r="A9" s="1" t="s">
        <v>24</v>
      </c>
      <c r="B9" s="1" t="s">
        <v>25</v>
      </c>
      <c r="C9" s="4" t="str">
        <f>VLOOKUP(Tabela1[[#This Row],[Cliente]],'BASE DE CLIENTES'!A:E,2,0)</f>
        <v>Brasília</v>
      </c>
      <c r="D9" s="1" t="str">
        <f>VLOOKUP(Tabela1[[#This Row],[Cliente]],'BASE DE CLIENTES'!A:C,3,0)</f>
        <v>DF</v>
      </c>
      <c r="E9" s="4" t="str">
        <f>CONCATENATE(Tabela1[[#This Row],[CIDADE]],",",Tabela1[[#This Row],[UF]])</f>
        <v>Brasília,DF</v>
      </c>
      <c r="F9" s="2">
        <v>45688</v>
      </c>
      <c r="G9" s="17">
        <v>39.869999999999997</v>
      </c>
      <c r="H9" s="17">
        <v>60</v>
      </c>
      <c r="I9" s="6">
        <f>Tabela1[[#This Row],[Valor total]]-Tabela1[[#This Row],[Valor custo]]</f>
        <v>20.130000000000003</v>
      </c>
      <c r="J9" s="7">
        <f>Tabela1[[#This Row],[MARGEM BRUTA]]/Tabela1[[#This Row],[Valor total]]</f>
        <v>0.33550000000000002</v>
      </c>
      <c r="K9" s="1" t="str">
        <f>VLOOKUP(Tabela1[[#This Row],[Cliente]],'BASE DE CLIENTES'!A:D,4,0)</f>
        <v>EMPRESA COM MAQUINA</v>
      </c>
      <c r="L9" s="1" t="str">
        <f>VLOOKUP(Tabela1[[#This Row],[Cliente]],'BASE DE CLIENTES'!A:E,5,0)</f>
        <v>CEILANDIA NORTE (CEILANDIA)</v>
      </c>
    </row>
    <row r="10" spans="1:12" x14ac:dyDescent="0.3">
      <c r="A10" s="1" t="s">
        <v>26</v>
      </c>
      <c r="B10" s="1" t="s">
        <v>27</v>
      </c>
      <c r="C10" s="4" t="str">
        <f>VLOOKUP(Tabela1[[#This Row],[Cliente]],'BASE DE CLIENTES'!A:E,2,0)</f>
        <v>Brasília</v>
      </c>
      <c r="D10" s="1" t="str">
        <f>VLOOKUP(Tabela1[[#This Row],[Cliente]],'BASE DE CLIENTES'!A:C,3,0)</f>
        <v>DF</v>
      </c>
      <c r="E10" s="4" t="str">
        <f>CONCATENATE(Tabela1[[#This Row],[CIDADE]],",",Tabela1[[#This Row],[UF]])</f>
        <v>Brasília,DF</v>
      </c>
      <c r="F10" s="2">
        <v>45688</v>
      </c>
      <c r="G10" s="17">
        <v>857.96</v>
      </c>
      <c r="H10" s="17">
        <v>1700</v>
      </c>
      <c r="I10" s="6">
        <f>Tabela1[[#This Row],[Valor total]]-Tabela1[[#This Row],[Valor custo]]</f>
        <v>842.04</v>
      </c>
      <c r="J10" s="7">
        <f>Tabela1[[#This Row],[MARGEM BRUTA]]/Tabela1[[#This Row],[Valor total]]</f>
        <v>0.49531764705882353</v>
      </c>
      <c r="K10" s="1" t="str">
        <f>VLOOKUP(Tabela1[[#This Row],[Cliente]],'BASE DE CLIENTES'!A:D,4,0)</f>
        <v>EMPRESA SEM MAQUINA</v>
      </c>
      <c r="L10" s="1" t="str">
        <f>VLOOKUP(Tabela1[[#This Row],[Cliente]],'BASE DE CLIENTES'!A:E,5,0)</f>
        <v>RECANTO DAS EMAS</v>
      </c>
    </row>
    <row r="11" spans="1:12" x14ac:dyDescent="0.3">
      <c r="A11" s="1" t="s">
        <v>28</v>
      </c>
      <c r="B11" s="1" t="s">
        <v>25</v>
      </c>
      <c r="C11" s="4" t="str">
        <f>VLOOKUP(Tabela1[[#This Row],[Cliente]],'BASE DE CLIENTES'!A:E,2,0)</f>
        <v>Brasília</v>
      </c>
      <c r="D11" s="1" t="str">
        <f>VLOOKUP(Tabela1[[#This Row],[Cliente]],'BASE DE CLIENTES'!A:C,3,0)</f>
        <v>DF</v>
      </c>
      <c r="E11" s="4" t="str">
        <f>CONCATENATE(Tabela1[[#This Row],[CIDADE]],",",Tabela1[[#This Row],[UF]])</f>
        <v>Brasília,DF</v>
      </c>
      <c r="F11" s="2">
        <v>45688</v>
      </c>
      <c r="G11" s="17">
        <v>1764.47</v>
      </c>
      <c r="H11" s="17">
        <v>2855</v>
      </c>
      <c r="I11" s="6">
        <f>Tabela1[[#This Row],[Valor total]]-Tabela1[[#This Row],[Valor custo]]</f>
        <v>1090.53</v>
      </c>
      <c r="J11" s="7">
        <f>Tabela1[[#This Row],[MARGEM BRUTA]]/Tabela1[[#This Row],[Valor total]]</f>
        <v>0.38197197898423818</v>
      </c>
      <c r="K11" s="1" t="str">
        <f>VLOOKUP(Tabela1[[#This Row],[Cliente]],'BASE DE CLIENTES'!A:D,4,0)</f>
        <v>EMPRESA COM MAQUINA</v>
      </c>
      <c r="L11" s="1" t="str">
        <f>VLOOKUP(Tabela1[[#This Row],[Cliente]],'BASE DE CLIENTES'!A:E,5,0)</f>
        <v>CEILANDIA NORTE (CEILANDIA)</v>
      </c>
    </row>
    <row r="12" spans="1:12" x14ac:dyDescent="0.3">
      <c r="A12" s="1" t="s">
        <v>29</v>
      </c>
      <c r="B12" s="1" t="s">
        <v>30</v>
      </c>
      <c r="C12" s="4" t="str">
        <f>VLOOKUP(Tabela1[[#This Row],[Cliente]],'BASE DE CLIENTES'!A:E,2,0)</f>
        <v>Águas Lindas de Goiás</v>
      </c>
      <c r="D12" s="1" t="str">
        <f>VLOOKUP(Tabela1[[#This Row],[Cliente]],'BASE DE CLIENTES'!A:C,3,0)</f>
        <v>GO</v>
      </c>
      <c r="E12" s="4" t="str">
        <f>CONCATENATE(Tabela1[[#This Row],[CIDADE]],",",Tabela1[[#This Row],[UF]])</f>
        <v>Águas Lindas de Goiás,GO</v>
      </c>
      <c r="F12" s="2">
        <v>45684</v>
      </c>
      <c r="G12" s="17">
        <v>1187.6600000000001</v>
      </c>
      <c r="H12" s="17">
        <v>2050</v>
      </c>
      <c r="I12" s="6">
        <f>Tabela1[[#This Row],[Valor total]]-Tabela1[[#This Row],[Valor custo]]</f>
        <v>862.33999999999992</v>
      </c>
      <c r="J12" s="7">
        <f>Tabela1[[#This Row],[MARGEM BRUTA]]/Tabela1[[#This Row],[Valor total]]</f>
        <v>0.42065365853658532</v>
      </c>
      <c r="K12" s="1" t="str">
        <f>VLOOKUP(Tabela1[[#This Row],[Cliente]],'BASE DE CLIENTES'!A:D,4,0)</f>
        <v>SERRALHEIRO</v>
      </c>
      <c r="L12" s="1" t="str">
        <f>VLOOKUP(Tabela1[[#This Row],[Cliente]],'BASE DE CLIENTES'!A:E,5,0)</f>
        <v>Águas Lindas de Goiás</v>
      </c>
    </row>
    <row r="13" spans="1:12" x14ac:dyDescent="0.3">
      <c r="A13" s="1" t="s">
        <v>31</v>
      </c>
      <c r="B13" s="1" t="s">
        <v>17</v>
      </c>
      <c r="C13" s="4" t="str">
        <f>VLOOKUP(Tabela1[[#This Row],[Cliente]],'BASE DE CLIENTES'!A:E,2,0)</f>
        <v>Águas Lindas de Goiás</v>
      </c>
      <c r="D13" s="1" t="str">
        <f>VLOOKUP(Tabela1[[#This Row],[Cliente]],'BASE DE CLIENTES'!A:C,3,0)</f>
        <v>GO</v>
      </c>
      <c r="E13" s="4" t="str">
        <f>CONCATENATE(Tabela1[[#This Row],[CIDADE]],",",Tabela1[[#This Row],[UF]])</f>
        <v>Águas Lindas de Goiás,GO</v>
      </c>
      <c r="F13" s="2">
        <v>45681</v>
      </c>
      <c r="G13" s="17">
        <v>1317.6</v>
      </c>
      <c r="H13" s="17">
        <v>1935</v>
      </c>
      <c r="I13" s="6">
        <f>Tabela1[[#This Row],[Valor total]]-Tabela1[[#This Row],[Valor custo]]</f>
        <v>617.40000000000009</v>
      </c>
      <c r="J13" s="7">
        <f>Tabela1[[#This Row],[MARGEM BRUTA]]/Tabela1[[#This Row],[Valor total]]</f>
        <v>0.3190697674418605</v>
      </c>
      <c r="K13" s="1" t="str">
        <f>VLOOKUP(Tabela1[[#This Row],[Cliente]],'BASE DE CLIENTES'!A:D,4,0)</f>
        <v>SERRALHEIRO</v>
      </c>
      <c r="L13" s="1" t="str">
        <f>VLOOKUP(Tabela1[[#This Row],[Cliente]],'BASE DE CLIENTES'!A:E,5,0)</f>
        <v>Águas Lindas de Goiás</v>
      </c>
    </row>
    <row r="14" spans="1:12" x14ac:dyDescent="0.3">
      <c r="A14" s="1" t="s">
        <v>32</v>
      </c>
      <c r="B14" s="1" t="s">
        <v>30</v>
      </c>
      <c r="C14" s="4" t="str">
        <f>VLOOKUP(Tabela1[[#This Row],[Cliente]],'BASE DE CLIENTES'!A:E,2,0)</f>
        <v>Águas Lindas de Goiás</v>
      </c>
      <c r="D14" s="1" t="str">
        <f>VLOOKUP(Tabela1[[#This Row],[Cliente]],'BASE DE CLIENTES'!A:C,3,0)</f>
        <v>GO</v>
      </c>
      <c r="E14" s="4" t="str">
        <f>CONCATENATE(Tabela1[[#This Row],[CIDADE]],",",Tabela1[[#This Row],[UF]])</f>
        <v>Águas Lindas de Goiás,GO</v>
      </c>
      <c r="F14" s="2">
        <v>45680</v>
      </c>
      <c r="G14" s="17">
        <v>514.45000000000005</v>
      </c>
      <c r="H14" s="17">
        <v>720</v>
      </c>
      <c r="I14" s="6">
        <f>Tabela1[[#This Row],[Valor total]]-Tabela1[[#This Row],[Valor custo]]</f>
        <v>205.54999999999995</v>
      </c>
      <c r="J14" s="7">
        <f>Tabela1[[#This Row],[MARGEM BRUTA]]/Tabela1[[#This Row],[Valor total]]</f>
        <v>0.28548611111111105</v>
      </c>
      <c r="K14" s="1" t="str">
        <f>VLOOKUP(Tabela1[[#This Row],[Cliente]],'BASE DE CLIENTES'!A:D,4,0)</f>
        <v>SERRALHEIRO</v>
      </c>
      <c r="L14" s="1" t="str">
        <f>VLOOKUP(Tabela1[[#This Row],[Cliente]],'BASE DE CLIENTES'!A:E,5,0)</f>
        <v>Águas Lindas de Goiás</v>
      </c>
    </row>
    <row r="15" spans="1:12" x14ac:dyDescent="0.3">
      <c r="B15" s="1" t="s">
        <v>30</v>
      </c>
      <c r="C15" s="4" t="str">
        <f>VLOOKUP(Tabela1[[#This Row],[Cliente]],'BASE DE CLIENTES'!A:E,2,0)</f>
        <v>Águas Lindas de Goiás</v>
      </c>
      <c r="D15" s="1" t="str">
        <f>VLOOKUP(Tabela1[[#This Row],[Cliente]],'BASE DE CLIENTES'!A:C,3,0)</f>
        <v>GO</v>
      </c>
      <c r="E15" s="4" t="str">
        <f>CONCATENATE(Tabela1[[#This Row],[CIDADE]],",",Tabela1[[#This Row],[UF]])</f>
        <v>Águas Lindas de Goiás,GO</v>
      </c>
      <c r="F15" s="2">
        <v>45678</v>
      </c>
      <c r="G15" s="17">
        <v>439.2</v>
      </c>
      <c r="H15" s="17">
        <v>645</v>
      </c>
      <c r="I15" s="6">
        <f>Tabela1[[#This Row],[Valor total]]-Tabela1[[#This Row],[Valor custo]]</f>
        <v>205.8</v>
      </c>
      <c r="J15" s="7">
        <f>Tabela1[[#This Row],[MARGEM BRUTA]]/Tabela1[[#This Row],[Valor total]]</f>
        <v>0.3190697674418605</v>
      </c>
      <c r="K15" s="1" t="str">
        <f>VLOOKUP(Tabela1[[#This Row],[Cliente]],'BASE DE CLIENTES'!A:D,4,0)</f>
        <v>SERRALHEIRO</v>
      </c>
      <c r="L15" s="1" t="str">
        <f>VLOOKUP(Tabela1[[#This Row],[Cliente]],'BASE DE CLIENTES'!A:E,5,0)</f>
        <v>Águas Lindas de Goiás</v>
      </c>
    </row>
    <row r="16" spans="1:12" x14ac:dyDescent="0.3">
      <c r="B16" s="1" t="s">
        <v>19</v>
      </c>
      <c r="C16" s="4" t="str">
        <f>VLOOKUP(Tabela1[[#This Row],[Cliente]],'BASE DE CLIENTES'!A:E,2,0)</f>
        <v>Águas Lindas de Goiás</v>
      </c>
      <c r="D16" s="1" t="str">
        <f>VLOOKUP(Tabela1[[#This Row],[Cliente]],'BASE DE CLIENTES'!A:C,3,0)</f>
        <v>GO</v>
      </c>
      <c r="E16" s="4" t="str">
        <f>CONCATENATE(Tabela1[[#This Row],[CIDADE]],",",Tabela1[[#This Row],[UF]])</f>
        <v>Águas Lindas de Goiás,GO</v>
      </c>
      <c r="F16" s="2">
        <v>45673</v>
      </c>
      <c r="G16" s="17">
        <v>20.88</v>
      </c>
      <c r="H16" s="17">
        <v>90</v>
      </c>
      <c r="I16" s="6">
        <f>Tabela1[[#This Row],[Valor total]]-Tabela1[[#This Row],[Valor custo]]</f>
        <v>69.12</v>
      </c>
      <c r="J16" s="7">
        <f>Tabela1[[#This Row],[MARGEM BRUTA]]/Tabela1[[#This Row],[Valor total]]</f>
        <v>0.76800000000000002</v>
      </c>
      <c r="K16" s="1" t="str">
        <f>VLOOKUP(Tabela1[[#This Row],[Cliente]],'BASE DE CLIENTES'!A:D,4,0)</f>
        <v>SERRALHEIRO</v>
      </c>
      <c r="L16" s="1" t="str">
        <f>VLOOKUP(Tabela1[[#This Row],[Cliente]],'BASE DE CLIENTES'!A:E,5,0)</f>
        <v>Águas Lindas de Goiás</v>
      </c>
    </row>
    <row r="17" spans="1:12" x14ac:dyDescent="0.3">
      <c r="A17" s="1" t="s">
        <v>33</v>
      </c>
      <c r="B17" s="1" t="s">
        <v>34</v>
      </c>
      <c r="C17" s="4" t="str">
        <f>VLOOKUP(Tabela1[[#This Row],[Cliente]],'BASE DE CLIENTES'!A:E,2,0)</f>
        <v>Brasília</v>
      </c>
      <c r="D17" s="1" t="str">
        <f>VLOOKUP(Tabela1[[#This Row],[Cliente]],'BASE DE CLIENTES'!A:C,3,0)</f>
        <v>DF</v>
      </c>
      <c r="E17" s="4" t="str">
        <f>CONCATENATE(Tabela1[[#This Row],[CIDADE]],",",Tabela1[[#This Row],[UF]])</f>
        <v>Brasília,DF</v>
      </c>
      <c r="F17" s="2">
        <v>45688</v>
      </c>
      <c r="G17" s="17">
        <v>514.45000000000005</v>
      </c>
      <c r="H17" s="17">
        <v>741.6</v>
      </c>
      <c r="I17" s="6">
        <f>Tabela1[[#This Row],[Valor total]]-Tabela1[[#This Row],[Valor custo]]</f>
        <v>227.14999999999998</v>
      </c>
      <c r="J17" s="7">
        <f>Tabela1[[#This Row],[MARGEM BRUTA]]/Tabela1[[#This Row],[Valor total]]</f>
        <v>0.30629719525350591</v>
      </c>
      <c r="K17" s="1" t="str">
        <f>VLOOKUP(Tabela1[[#This Row],[Cliente]],'BASE DE CLIENTES'!A:D,4,0)</f>
        <v>SERRALHEIRO</v>
      </c>
      <c r="L17" s="1" t="str">
        <f>VLOOKUP(Tabela1[[#This Row],[Cliente]],'BASE DE CLIENTES'!A:E,5,0)</f>
        <v>RECANTO DAS EMAS</v>
      </c>
    </row>
    <row r="18" spans="1:12" x14ac:dyDescent="0.3">
      <c r="A18" s="1" t="s">
        <v>35</v>
      </c>
      <c r="B18" s="1" t="s">
        <v>36</v>
      </c>
      <c r="C18" s="4" t="str">
        <f>VLOOKUP(Tabela1[[#This Row],[Cliente]],'BASE DE CLIENTES'!A:E,2,0)</f>
        <v>Brasília</v>
      </c>
      <c r="D18" s="1" t="str">
        <f>VLOOKUP(Tabela1[[#This Row],[Cliente]],'BASE DE CLIENTES'!A:C,3,0)</f>
        <v>DF</v>
      </c>
      <c r="E18" s="4" t="str">
        <f>CONCATENATE(Tabela1[[#This Row],[CIDADE]],",",Tabela1[[#This Row],[UF]])</f>
        <v>Brasília,DF</v>
      </c>
      <c r="F18" s="2">
        <v>45688</v>
      </c>
      <c r="G18" s="17">
        <v>514.45000000000005</v>
      </c>
      <c r="H18" s="17">
        <v>720</v>
      </c>
      <c r="I18" s="6">
        <f>Tabela1[[#This Row],[Valor total]]-Tabela1[[#This Row],[Valor custo]]</f>
        <v>205.54999999999995</v>
      </c>
      <c r="J18" s="7">
        <f>Tabela1[[#This Row],[MARGEM BRUTA]]/Tabela1[[#This Row],[Valor total]]</f>
        <v>0.28548611111111105</v>
      </c>
      <c r="K18" s="1" t="str">
        <f>VLOOKUP(Tabela1[[#This Row],[Cliente]],'BASE DE CLIENTES'!A:D,4,0)</f>
        <v>SERRALHEIRO</v>
      </c>
      <c r="L18" s="1" t="str">
        <f>VLOOKUP(Tabela1[[#This Row],[Cliente]],'BASE DE CLIENTES'!A:E,5,0)</f>
        <v>CEILANDIA SUL (CEILANDIA)</v>
      </c>
    </row>
    <row r="19" spans="1:12" x14ac:dyDescent="0.3">
      <c r="A19" s="1" t="s">
        <v>37</v>
      </c>
      <c r="B19" s="1" t="s">
        <v>38</v>
      </c>
      <c r="C19" s="4" t="str">
        <f>VLOOKUP(Tabela1[[#This Row],[Cliente]],'BASE DE CLIENTES'!A:E,2,0)</f>
        <v>Brasília</v>
      </c>
      <c r="D19" s="1" t="str">
        <f>VLOOKUP(Tabela1[[#This Row],[Cliente]],'BASE DE CLIENTES'!A:C,3,0)</f>
        <v>DF</v>
      </c>
      <c r="E19" s="4" t="str">
        <f>CONCATENATE(Tabela1[[#This Row],[CIDADE]],",",Tabela1[[#This Row],[UF]])</f>
        <v>Brasília,DF</v>
      </c>
      <c r="F19" s="2">
        <v>45688</v>
      </c>
      <c r="G19" s="17">
        <v>77.819999999999993</v>
      </c>
      <c r="H19" s="17">
        <v>108</v>
      </c>
      <c r="I19" s="6">
        <f>Tabela1[[#This Row],[Valor total]]-Tabela1[[#This Row],[Valor custo]]</f>
        <v>30.180000000000007</v>
      </c>
      <c r="J19" s="7">
        <f>Tabela1[[#This Row],[MARGEM BRUTA]]/Tabela1[[#This Row],[Valor total]]</f>
        <v>0.2794444444444445</v>
      </c>
      <c r="K19" s="1" t="str">
        <f>VLOOKUP(Tabela1[[#This Row],[Cliente]],'BASE DE CLIENTES'!A:D,4,0)</f>
        <v>EMPRESA SEM MAQUINA</v>
      </c>
      <c r="L19" s="1" t="str">
        <f>VLOOKUP(Tabela1[[#This Row],[Cliente]],'BASE DE CLIENTES'!A:E,5,0)</f>
        <v>PONTE ALTA NORTE (GAMA)</v>
      </c>
    </row>
    <row r="20" spans="1:12" x14ac:dyDescent="0.3">
      <c r="A20" s="1" t="s">
        <v>39</v>
      </c>
      <c r="B20" s="1" t="s">
        <v>38</v>
      </c>
      <c r="C20" s="4" t="str">
        <f>VLOOKUP(Tabela1[[#This Row],[Cliente]],'BASE DE CLIENTES'!A:E,2,0)</f>
        <v>Brasília</v>
      </c>
      <c r="D20" s="1" t="str">
        <f>VLOOKUP(Tabela1[[#This Row],[Cliente]],'BASE DE CLIENTES'!A:C,3,0)</f>
        <v>DF</v>
      </c>
      <c r="E20" s="4" t="str">
        <f>CONCATENATE(Tabela1[[#This Row],[CIDADE]],",",Tabela1[[#This Row],[UF]])</f>
        <v>Brasília,DF</v>
      </c>
      <c r="F20" s="2">
        <v>45688</v>
      </c>
      <c r="G20" s="17">
        <v>62.75</v>
      </c>
      <c r="H20" s="17">
        <v>70</v>
      </c>
      <c r="I20" s="6">
        <f>Tabela1[[#This Row],[Valor total]]-Tabela1[[#This Row],[Valor custo]]</f>
        <v>7.25</v>
      </c>
      <c r="J20" s="7">
        <f>Tabela1[[#This Row],[MARGEM BRUTA]]/Tabela1[[#This Row],[Valor total]]</f>
        <v>0.10357142857142858</v>
      </c>
      <c r="K20" s="1" t="str">
        <f>VLOOKUP(Tabela1[[#This Row],[Cliente]],'BASE DE CLIENTES'!A:D,4,0)</f>
        <v>EMPRESA SEM MAQUINA</v>
      </c>
      <c r="L20" s="1" t="str">
        <f>VLOOKUP(Tabela1[[#This Row],[Cliente]],'BASE DE CLIENTES'!A:E,5,0)</f>
        <v>PONTE ALTA NORTE (GAMA)</v>
      </c>
    </row>
    <row r="21" spans="1:12" x14ac:dyDescent="0.3">
      <c r="A21" s="1" t="s">
        <v>40</v>
      </c>
      <c r="B21" s="1" t="s">
        <v>38</v>
      </c>
      <c r="C21" s="4" t="str">
        <f>VLOOKUP(Tabela1[[#This Row],[Cliente]],'BASE DE CLIENTES'!A:E,2,0)</f>
        <v>Brasília</v>
      </c>
      <c r="D21" s="1" t="str">
        <f>VLOOKUP(Tabela1[[#This Row],[Cliente]],'BASE DE CLIENTES'!A:C,3,0)</f>
        <v>DF</v>
      </c>
      <c r="E21" s="4" t="str">
        <f>CONCATENATE(Tabela1[[#This Row],[CIDADE]],",",Tabela1[[#This Row],[UF]])</f>
        <v>Brasília,DF</v>
      </c>
      <c r="F21" s="2">
        <v>45688</v>
      </c>
      <c r="G21" s="17">
        <v>718.57</v>
      </c>
      <c r="H21" s="17">
        <v>1250</v>
      </c>
      <c r="I21" s="6">
        <f>Tabela1[[#This Row],[Valor total]]-Tabela1[[#This Row],[Valor custo]]</f>
        <v>531.42999999999995</v>
      </c>
      <c r="J21" s="7">
        <f>Tabela1[[#This Row],[MARGEM BRUTA]]/Tabela1[[#This Row],[Valor total]]</f>
        <v>0.42514399999999997</v>
      </c>
      <c r="K21" s="1" t="str">
        <f>VLOOKUP(Tabela1[[#This Row],[Cliente]],'BASE DE CLIENTES'!A:D,4,0)</f>
        <v>EMPRESA SEM MAQUINA</v>
      </c>
      <c r="L21" s="1" t="str">
        <f>VLOOKUP(Tabela1[[#This Row],[Cliente]],'BASE DE CLIENTES'!A:E,5,0)</f>
        <v>PONTE ALTA NORTE (GAMA)</v>
      </c>
    </row>
    <row r="22" spans="1:12" x14ac:dyDescent="0.3">
      <c r="B22" s="1" t="s">
        <v>19</v>
      </c>
      <c r="C22" s="4" t="str">
        <f>VLOOKUP(Tabela1[[#This Row],[Cliente]],'BASE DE CLIENTES'!A:E,2,0)</f>
        <v>Águas Lindas de Goiás</v>
      </c>
      <c r="D22" s="1" t="str">
        <f>VLOOKUP(Tabela1[[#This Row],[Cliente]],'BASE DE CLIENTES'!A:C,3,0)</f>
        <v>GO</v>
      </c>
      <c r="E22" s="4" t="str">
        <f>CONCATENATE(Tabela1[[#This Row],[CIDADE]],",",Tabela1[[#This Row],[UF]])</f>
        <v>Águas Lindas de Goiás,GO</v>
      </c>
      <c r="F22" s="2">
        <v>45671</v>
      </c>
      <c r="G22" s="17">
        <v>1594.35</v>
      </c>
      <c r="H22" s="17">
        <v>2355</v>
      </c>
      <c r="I22" s="6">
        <f>Tabela1[[#This Row],[Valor total]]-Tabela1[[#This Row],[Valor custo]]</f>
        <v>760.65000000000009</v>
      </c>
      <c r="J22" s="7">
        <f>Tabela1[[#This Row],[MARGEM BRUTA]]/Tabela1[[#This Row],[Valor total]]</f>
        <v>0.32299363057324842</v>
      </c>
      <c r="K22" s="1" t="str">
        <f>VLOOKUP(Tabela1[[#This Row],[Cliente]],'BASE DE CLIENTES'!A:D,4,0)</f>
        <v>SERRALHEIRO</v>
      </c>
      <c r="L22" s="1" t="str">
        <f>VLOOKUP(Tabela1[[#This Row],[Cliente]],'BASE DE CLIENTES'!A:E,5,0)</f>
        <v>Águas Lindas de Goiás</v>
      </c>
    </row>
    <row r="23" spans="1:12" x14ac:dyDescent="0.3">
      <c r="A23" s="1" t="s">
        <v>41</v>
      </c>
      <c r="B23" s="1" t="s">
        <v>42</v>
      </c>
      <c r="C23" s="4" t="str">
        <f>VLOOKUP(Tabela1[[#This Row],[Cliente]],'BASE DE CLIENTES'!A:E,2,0)</f>
        <v>Brasília</v>
      </c>
      <c r="D23" s="1" t="str">
        <f>VLOOKUP(Tabela1[[#This Row],[Cliente]],'BASE DE CLIENTES'!A:C,3,0)</f>
        <v>DF</v>
      </c>
      <c r="E23" s="4" t="str">
        <f>CONCATENATE(Tabela1[[#This Row],[CIDADE]],",",Tabela1[[#This Row],[UF]])</f>
        <v>Brasília,DF</v>
      </c>
      <c r="F23" s="2">
        <v>45688</v>
      </c>
      <c r="G23" s="17">
        <v>543.6</v>
      </c>
      <c r="H23" s="17">
        <v>970</v>
      </c>
      <c r="I23" s="6">
        <f>Tabela1[[#This Row],[Valor total]]-Tabela1[[#This Row],[Valor custo]]</f>
        <v>426.4</v>
      </c>
      <c r="J23" s="7">
        <f>Tabela1[[#This Row],[MARGEM BRUTA]]/Tabela1[[#This Row],[Valor total]]</f>
        <v>0.43958762886597935</v>
      </c>
      <c r="K23" s="1" t="str">
        <f>VLOOKUP(Tabela1[[#This Row],[Cliente]],'BASE DE CLIENTES'!A:D,4,0)</f>
        <v>EMPRESA SEM MAQUINA</v>
      </c>
      <c r="L23" s="1" t="str">
        <f>VLOOKUP(Tabela1[[#This Row],[Cliente]],'BASE DE CLIENTES'!A:E,5,0)</f>
        <v>SAMAMBAIA</v>
      </c>
    </row>
    <row r="24" spans="1:12" x14ac:dyDescent="0.3">
      <c r="A24" s="1" t="s">
        <v>43</v>
      </c>
      <c r="B24" s="1" t="s">
        <v>44</v>
      </c>
      <c r="C24" s="4" t="str">
        <f>VLOOKUP(Tabela1[[#This Row],[Cliente]],'BASE DE CLIENTES'!A:E,2,0)</f>
        <v>Brasília</v>
      </c>
      <c r="D24" s="1" t="str">
        <f>VLOOKUP(Tabela1[[#This Row],[Cliente]],'BASE DE CLIENTES'!A:C,3,0)</f>
        <v>DF</v>
      </c>
      <c r="E24" s="4" t="str">
        <f>CONCATENATE(Tabela1[[#This Row],[CIDADE]],",",Tabela1[[#This Row],[UF]])</f>
        <v>Brasília,DF</v>
      </c>
      <c r="F24" s="2">
        <v>45687</v>
      </c>
      <c r="G24" s="17">
        <v>52.2</v>
      </c>
      <c r="H24" s="17">
        <v>185</v>
      </c>
      <c r="I24" s="6">
        <f>Tabela1[[#This Row],[Valor total]]-Tabela1[[#This Row],[Valor custo]]</f>
        <v>132.80000000000001</v>
      </c>
      <c r="J24" s="7">
        <f>Tabela1[[#This Row],[MARGEM BRUTA]]/Tabela1[[#This Row],[Valor total]]</f>
        <v>0.71783783783783794</v>
      </c>
      <c r="K24" s="1" t="str">
        <f>VLOOKUP(Tabela1[[#This Row],[Cliente]],'BASE DE CLIENTES'!A:D,4,0)</f>
        <v>EMPRESA SEM MAQUINA</v>
      </c>
      <c r="L24" s="1" t="str">
        <f>VLOOKUP(Tabela1[[#This Row],[Cliente]],'BASE DE CLIENTES'!A:E,5,0)</f>
        <v>SETOR HABITACIONAL VICENTE PIRES</v>
      </c>
    </row>
    <row r="25" spans="1:12" x14ac:dyDescent="0.3">
      <c r="A25" s="1" t="s">
        <v>45</v>
      </c>
      <c r="B25" s="1" t="s">
        <v>27</v>
      </c>
      <c r="C25" s="4" t="str">
        <f>VLOOKUP(Tabela1[[#This Row],[Cliente]],'BASE DE CLIENTES'!A:E,2,0)</f>
        <v>Brasília</v>
      </c>
      <c r="D25" s="1" t="str">
        <f>VLOOKUP(Tabela1[[#This Row],[Cliente]],'BASE DE CLIENTES'!A:C,3,0)</f>
        <v>DF</v>
      </c>
      <c r="E25" s="4" t="str">
        <f>CONCATENATE(Tabela1[[#This Row],[CIDADE]],",",Tabela1[[#This Row],[UF]])</f>
        <v>Brasília,DF</v>
      </c>
      <c r="F25" s="2">
        <v>45687</v>
      </c>
      <c r="G25" s="17">
        <v>903.4</v>
      </c>
      <c r="H25" s="17">
        <v>1270</v>
      </c>
      <c r="I25" s="6">
        <f>Tabela1[[#This Row],[Valor total]]-Tabela1[[#This Row],[Valor custo]]</f>
        <v>366.6</v>
      </c>
      <c r="J25" s="7">
        <f>Tabela1[[#This Row],[MARGEM BRUTA]]/Tabela1[[#This Row],[Valor total]]</f>
        <v>0.28866141732283468</v>
      </c>
      <c r="K25" s="1" t="str">
        <f>VLOOKUP(Tabela1[[#This Row],[Cliente]],'BASE DE CLIENTES'!A:D,4,0)</f>
        <v>EMPRESA SEM MAQUINA</v>
      </c>
      <c r="L25" s="1" t="str">
        <f>VLOOKUP(Tabela1[[#This Row],[Cliente]],'BASE DE CLIENTES'!A:E,5,0)</f>
        <v>RECANTO DAS EMAS</v>
      </c>
    </row>
    <row r="26" spans="1:12" x14ac:dyDescent="0.3">
      <c r="A26" s="1" t="s">
        <v>46</v>
      </c>
      <c r="B26" s="1" t="s">
        <v>25</v>
      </c>
      <c r="C26" s="4" t="str">
        <f>VLOOKUP(Tabela1[[#This Row],[Cliente]],'BASE DE CLIENTES'!A:E,2,0)</f>
        <v>Brasília</v>
      </c>
      <c r="D26" s="1" t="str">
        <f>VLOOKUP(Tabela1[[#This Row],[Cliente]],'BASE DE CLIENTES'!A:C,3,0)</f>
        <v>DF</v>
      </c>
      <c r="E26" s="4" t="str">
        <f>CONCATENATE(Tabela1[[#This Row],[CIDADE]],",",Tabela1[[#This Row],[UF]])</f>
        <v>Brasília,DF</v>
      </c>
      <c r="F26" s="2">
        <v>45687</v>
      </c>
      <c r="G26" s="17">
        <v>514.45000000000005</v>
      </c>
      <c r="H26" s="17">
        <v>720</v>
      </c>
      <c r="I26" s="6">
        <f>Tabela1[[#This Row],[Valor total]]-Tabela1[[#This Row],[Valor custo]]</f>
        <v>205.54999999999995</v>
      </c>
      <c r="J26" s="7">
        <f>Tabela1[[#This Row],[MARGEM BRUTA]]/Tabela1[[#This Row],[Valor total]]</f>
        <v>0.28548611111111105</v>
      </c>
      <c r="K26" s="1" t="str">
        <f>VLOOKUP(Tabela1[[#This Row],[Cliente]],'BASE DE CLIENTES'!A:D,4,0)</f>
        <v>EMPRESA COM MAQUINA</v>
      </c>
      <c r="L26" s="1" t="str">
        <f>VLOOKUP(Tabela1[[#This Row],[Cliente]],'BASE DE CLIENTES'!A:E,5,0)</f>
        <v>CEILANDIA NORTE (CEILANDIA)</v>
      </c>
    </row>
    <row r="27" spans="1:12" x14ac:dyDescent="0.3">
      <c r="A27" s="1" t="s">
        <v>47</v>
      </c>
      <c r="B27" s="1" t="s">
        <v>23</v>
      </c>
      <c r="C27" s="4" t="str">
        <f>VLOOKUP(Tabela1[[#This Row],[Cliente]],'BASE DE CLIENTES'!A:E,2,0)</f>
        <v>Brasília</v>
      </c>
      <c r="D27" s="1" t="str">
        <f>VLOOKUP(Tabela1[[#This Row],[Cliente]],'BASE DE CLIENTES'!A:C,3,0)</f>
        <v>DF</v>
      </c>
      <c r="E27" s="4" t="str">
        <f>CONCATENATE(Tabela1[[#This Row],[CIDADE]],",",Tabela1[[#This Row],[UF]])</f>
        <v>Brasília,DF</v>
      </c>
      <c r="F27" s="2">
        <v>45687</v>
      </c>
      <c r="G27" s="17">
        <v>514.45000000000005</v>
      </c>
      <c r="H27" s="17">
        <v>757</v>
      </c>
      <c r="I27" s="6">
        <f>Tabela1[[#This Row],[Valor total]]-Tabela1[[#This Row],[Valor custo]]</f>
        <v>242.54999999999995</v>
      </c>
      <c r="J27" s="7">
        <f>Tabela1[[#This Row],[MARGEM BRUTA]]/Tabela1[[#This Row],[Valor total]]</f>
        <v>0.32040951122853362</v>
      </c>
      <c r="K27" s="1" t="str">
        <f>VLOOKUP(Tabela1[[#This Row],[Cliente]],'BASE DE CLIENTES'!A:D,4,0)</f>
        <v>EMPRESA SEM MAQUINA</v>
      </c>
      <c r="L27" s="1" t="str">
        <f>VLOOKUP(Tabela1[[#This Row],[Cliente]],'BASE DE CLIENTES'!A:E,5,0)</f>
        <v>SETOR INDUSTRIAL (TAGUATINGA)</v>
      </c>
    </row>
    <row r="28" spans="1:12" x14ac:dyDescent="0.3">
      <c r="B28" s="1" t="s">
        <v>21</v>
      </c>
      <c r="C28" s="4" t="str">
        <f>VLOOKUP(Tabela1[[#This Row],[Cliente]],'BASE DE CLIENTES'!A:E,2,0)</f>
        <v>Brasília</v>
      </c>
      <c r="D28" s="1" t="str">
        <f>VLOOKUP(Tabela1[[#This Row],[Cliente]],'BASE DE CLIENTES'!A:C,3,0)</f>
        <v>DF</v>
      </c>
      <c r="E28" s="4" t="str">
        <f>CONCATENATE(Tabela1[[#This Row],[CIDADE]],",",Tabela1[[#This Row],[UF]])</f>
        <v>Brasília,DF</v>
      </c>
      <c r="F28" s="2">
        <v>45674</v>
      </c>
      <c r="G28" s="17">
        <v>8607.27</v>
      </c>
      <c r="H28" s="17">
        <v>11600</v>
      </c>
      <c r="I28" s="6">
        <f>Tabela1[[#This Row],[Valor total]]-Tabela1[[#This Row],[Valor custo]]</f>
        <v>2992.7299999999996</v>
      </c>
      <c r="J28" s="7">
        <f>Tabela1[[#This Row],[MARGEM BRUTA]]/Tabela1[[#This Row],[Valor total]]</f>
        <v>0.25799396551724135</v>
      </c>
      <c r="K28" s="1" t="str">
        <f>VLOOKUP(Tabela1[[#This Row],[Cliente]],'BASE DE CLIENTES'!A:D,4,0)</f>
        <v>EMPRESA COM MAQUINA</v>
      </c>
      <c r="L28" s="1" t="str">
        <f>VLOOKUP(Tabela1[[#This Row],[Cliente]],'BASE DE CLIENTES'!A:E,5,0)</f>
        <v>RIACHO FUNDO II</v>
      </c>
    </row>
    <row r="29" spans="1:12" x14ac:dyDescent="0.3">
      <c r="A29" s="1" t="s">
        <v>48</v>
      </c>
      <c r="B29" s="1" t="s">
        <v>49</v>
      </c>
      <c r="C29" s="4" t="str">
        <f>VLOOKUP(Tabela1[[#This Row],[Cliente]],'BASE DE CLIENTES'!A:E,2,0)</f>
        <v>Brasília</v>
      </c>
      <c r="D29" s="1" t="str">
        <f>VLOOKUP(Tabela1[[#This Row],[Cliente]],'BASE DE CLIENTES'!A:C,3,0)</f>
        <v>DF</v>
      </c>
      <c r="E29" s="4" t="str">
        <f>CONCATENATE(Tabela1[[#This Row],[CIDADE]],",",Tabela1[[#This Row],[UF]])</f>
        <v>Brasília,DF</v>
      </c>
      <c r="F29" s="2">
        <v>45687</v>
      </c>
      <c r="G29" s="17">
        <v>122.74</v>
      </c>
      <c r="H29" s="17">
        <v>150</v>
      </c>
      <c r="I29" s="6">
        <f>Tabela1[[#This Row],[Valor total]]-Tabela1[[#This Row],[Valor custo]]</f>
        <v>27.260000000000005</v>
      </c>
      <c r="J29" s="7">
        <f>Tabela1[[#This Row],[MARGEM BRUTA]]/Tabela1[[#This Row],[Valor total]]</f>
        <v>0.18173333333333336</v>
      </c>
      <c r="K29" s="1" t="str">
        <f>VLOOKUP(Tabela1[[#This Row],[Cliente]],'BASE DE CLIENTES'!A:D,4,0)</f>
        <v>EMPRESA COM MAQUINA</v>
      </c>
      <c r="L29" s="1" t="str">
        <f>VLOOKUP(Tabela1[[#This Row],[Cliente]],'BASE DE CLIENTES'!A:E,5,0)</f>
        <v>TAGUATINGA</v>
      </c>
    </row>
    <row r="30" spans="1:12" x14ac:dyDescent="0.3">
      <c r="A30" s="1" t="s">
        <v>50</v>
      </c>
      <c r="B30" s="1" t="s">
        <v>44</v>
      </c>
      <c r="C30" s="4" t="str">
        <f>VLOOKUP(Tabela1[[#This Row],[Cliente]],'BASE DE CLIENTES'!A:E,2,0)</f>
        <v>Brasília</v>
      </c>
      <c r="D30" s="1" t="str">
        <f>VLOOKUP(Tabela1[[#This Row],[Cliente]],'BASE DE CLIENTES'!A:C,3,0)</f>
        <v>DF</v>
      </c>
      <c r="E30" s="4" t="str">
        <f>CONCATENATE(Tabela1[[#This Row],[CIDADE]],",",Tabela1[[#This Row],[UF]])</f>
        <v>Brasília,DF</v>
      </c>
      <c r="F30" s="2">
        <v>45686</v>
      </c>
      <c r="G30" s="17">
        <v>268.45999999999998</v>
      </c>
      <c r="H30" s="17">
        <v>550</v>
      </c>
      <c r="I30" s="6">
        <f>Tabela1[[#This Row],[Valor total]]-Tabela1[[#This Row],[Valor custo]]</f>
        <v>281.54000000000002</v>
      </c>
      <c r="J30" s="7">
        <f>Tabela1[[#This Row],[MARGEM BRUTA]]/Tabela1[[#This Row],[Valor total]]</f>
        <v>0.51189090909090917</v>
      </c>
      <c r="K30" s="1" t="str">
        <f>VLOOKUP(Tabela1[[#This Row],[Cliente]],'BASE DE CLIENTES'!A:D,4,0)</f>
        <v>EMPRESA SEM MAQUINA</v>
      </c>
      <c r="L30" s="1" t="str">
        <f>VLOOKUP(Tabela1[[#This Row],[Cliente]],'BASE DE CLIENTES'!A:E,5,0)</f>
        <v>SETOR HABITACIONAL VICENTE PIRES</v>
      </c>
    </row>
    <row r="31" spans="1:12" x14ac:dyDescent="0.3">
      <c r="A31" s="1" t="s">
        <v>51</v>
      </c>
      <c r="B31" s="1" t="s">
        <v>52</v>
      </c>
      <c r="C31" s="4" t="str">
        <f>VLOOKUP(Tabela1[[#This Row],[Cliente]],'BASE DE CLIENTES'!A:E,2,0)</f>
        <v>Brasília</v>
      </c>
      <c r="D31" s="1" t="str">
        <f>VLOOKUP(Tabela1[[#This Row],[Cliente]],'BASE DE CLIENTES'!A:C,3,0)</f>
        <v>DF</v>
      </c>
      <c r="E31" s="4" t="str">
        <f>CONCATENATE(Tabela1[[#This Row],[CIDADE]],",",Tabela1[[#This Row],[UF]])</f>
        <v>Brasília,DF</v>
      </c>
      <c r="F31" s="2">
        <v>45686</v>
      </c>
      <c r="G31" s="17">
        <v>1543.35</v>
      </c>
      <c r="H31" s="17">
        <v>2160</v>
      </c>
      <c r="I31" s="6">
        <f>Tabela1[[#This Row],[Valor total]]-Tabela1[[#This Row],[Valor custo]]</f>
        <v>616.65000000000009</v>
      </c>
      <c r="J31" s="7">
        <f>Tabela1[[#This Row],[MARGEM BRUTA]]/Tabela1[[#This Row],[Valor total]]</f>
        <v>0.28548611111111116</v>
      </c>
      <c r="K31" s="1" t="str">
        <f>VLOOKUP(Tabela1[[#This Row],[Cliente]],'BASE DE CLIENTES'!A:D,4,0)</f>
        <v>SERRALHEIRO</v>
      </c>
      <c r="L31" s="1" t="str">
        <f>VLOOKUP(Tabela1[[#This Row],[Cliente]],'BASE DE CLIENTES'!A:E,5,0)</f>
        <v>Ceilândia Sul (Ceilândia)</v>
      </c>
    </row>
    <row r="32" spans="1:12" x14ac:dyDescent="0.3">
      <c r="A32" s="1" t="s">
        <v>53</v>
      </c>
      <c r="B32" s="1" t="s">
        <v>42</v>
      </c>
      <c r="C32" s="4" t="str">
        <f>VLOOKUP(Tabela1[[#This Row],[Cliente]],'BASE DE CLIENTES'!A:E,2,0)</f>
        <v>Brasília</v>
      </c>
      <c r="D32" s="1" t="str">
        <f>VLOOKUP(Tabela1[[#This Row],[Cliente]],'BASE DE CLIENTES'!A:C,3,0)</f>
        <v>DF</v>
      </c>
      <c r="E32" s="4" t="str">
        <f>CONCATENATE(Tabela1[[#This Row],[CIDADE]],",",Tabela1[[#This Row],[UF]])</f>
        <v>Brasília,DF</v>
      </c>
      <c r="F32" s="2">
        <v>45686</v>
      </c>
      <c r="G32" s="17">
        <v>439.2</v>
      </c>
      <c r="H32" s="17">
        <v>620</v>
      </c>
      <c r="I32" s="6">
        <f>Tabela1[[#This Row],[Valor total]]-Tabela1[[#This Row],[Valor custo]]</f>
        <v>180.8</v>
      </c>
      <c r="J32" s="7">
        <f>Tabela1[[#This Row],[MARGEM BRUTA]]/Tabela1[[#This Row],[Valor total]]</f>
        <v>0.29161290322580646</v>
      </c>
      <c r="K32" s="1" t="str">
        <f>VLOOKUP(Tabela1[[#This Row],[Cliente]],'BASE DE CLIENTES'!A:D,4,0)</f>
        <v>EMPRESA SEM MAQUINA</v>
      </c>
      <c r="L32" s="1" t="str">
        <f>VLOOKUP(Tabela1[[#This Row],[Cliente]],'BASE DE CLIENTES'!A:E,5,0)</f>
        <v>SAMAMBAIA</v>
      </c>
    </row>
    <row r="33" spans="1:12" x14ac:dyDescent="0.3">
      <c r="A33" s="1" t="s">
        <v>54</v>
      </c>
      <c r="B33" s="1" t="s">
        <v>55</v>
      </c>
      <c r="C33" s="4" t="str">
        <f>VLOOKUP(Tabela1[[#This Row],[Cliente]],'BASE DE CLIENTES'!A:E,2,0)</f>
        <v>Brasília</v>
      </c>
      <c r="D33" s="1" t="str">
        <f>VLOOKUP(Tabela1[[#This Row],[Cliente]],'BASE DE CLIENTES'!A:C,3,0)</f>
        <v>DF</v>
      </c>
      <c r="E33" s="4" t="str">
        <f>CONCATENATE(Tabela1[[#This Row],[CIDADE]],",",Tabela1[[#This Row],[UF]])</f>
        <v>Brasília,DF</v>
      </c>
      <c r="F33" s="2">
        <v>45686</v>
      </c>
      <c r="G33" s="17">
        <v>707.23</v>
      </c>
      <c r="H33" s="17">
        <v>1450</v>
      </c>
      <c r="I33" s="6">
        <f>Tabela1[[#This Row],[Valor total]]-Tabela1[[#This Row],[Valor custo]]</f>
        <v>742.77</v>
      </c>
      <c r="J33" s="7">
        <f>Tabela1[[#This Row],[MARGEM BRUTA]]/Tabela1[[#This Row],[Valor total]]</f>
        <v>0.51225517241379304</v>
      </c>
      <c r="K33" s="1" t="str">
        <f>VLOOKUP(Tabela1[[#This Row],[Cliente]],'BASE DE CLIENTES'!A:D,4,0)</f>
        <v>EMPRESA SEM MAQUINA</v>
      </c>
      <c r="L33" s="1" t="str">
        <f>VLOOKUP(Tabela1[[#This Row],[Cliente]],'BASE DE CLIENTES'!A:E,5,0)</f>
        <v>RECANTO DAS EMAS</v>
      </c>
    </row>
    <row r="34" spans="1:12" x14ac:dyDescent="0.3">
      <c r="B34" s="1" t="s">
        <v>17</v>
      </c>
      <c r="C34" s="4" t="str">
        <f>VLOOKUP(Tabela1[[#This Row],[Cliente]],'BASE DE CLIENTES'!A:E,2,0)</f>
        <v>Águas Lindas de Goiás</v>
      </c>
      <c r="D34" s="1" t="str">
        <f>VLOOKUP(Tabela1[[#This Row],[Cliente]],'BASE DE CLIENTES'!A:C,3,0)</f>
        <v>GO</v>
      </c>
      <c r="E34" s="4" t="str">
        <f>CONCATENATE(Tabela1[[#This Row],[CIDADE]],",",Tabela1[[#This Row],[UF]])</f>
        <v>Águas Lindas de Goiás,GO</v>
      </c>
      <c r="F34" s="2">
        <v>45671</v>
      </c>
      <c r="G34" s="17">
        <v>122.74</v>
      </c>
      <c r="H34" s="17">
        <v>170</v>
      </c>
      <c r="I34" s="6">
        <f>Tabela1[[#This Row],[Valor total]]-Tabela1[[#This Row],[Valor custo]]</f>
        <v>47.260000000000005</v>
      </c>
      <c r="J34" s="7">
        <f>Tabela1[[#This Row],[MARGEM BRUTA]]/Tabela1[[#This Row],[Valor total]]</f>
        <v>0.27800000000000002</v>
      </c>
      <c r="K34" s="1" t="str">
        <f>VLOOKUP(Tabela1[[#This Row],[Cliente]],'BASE DE CLIENTES'!A:D,4,0)</f>
        <v>SERRALHEIRO</v>
      </c>
      <c r="L34" s="1" t="str">
        <f>VLOOKUP(Tabela1[[#This Row],[Cliente]],'BASE DE CLIENTES'!A:E,5,0)</f>
        <v>Águas Lindas de Goiás</v>
      </c>
    </row>
    <row r="35" spans="1:12" x14ac:dyDescent="0.3">
      <c r="A35" s="1" t="s">
        <v>56</v>
      </c>
      <c r="B35" s="1" t="s">
        <v>57</v>
      </c>
      <c r="C35" s="4" t="str">
        <f>VLOOKUP(Tabela1[[#This Row],[Cliente]],'BASE DE CLIENTES'!A:E,2,0)</f>
        <v>Brasília</v>
      </c>
      <c r="D35" s="1" t="str">
        <f>VLOOKUP(Tabela1[[#This Row],[Cliente]],'BASE DE CLIENTES'!A:C,3,0)</f>
        <v>DF</v>
      </c>
      <c r="E35" s="4" t="str">
        <f>CONCATENATE(Tabela1[[#This Row],[CIDADE]],",",Tabela1[[#This Row],[UF]])</f>
        <v>Brasília,DF</v>
      </c>
      <c r="F35" s="2">
        <v>45686</v>
      </c>
      <c r="G35" s="17">
        <v>1078.6500000000001</v>
      </c>
      <c r="H35" s="17">
        <v>1585.96</v>
      </c>
      <c r="I35" s="6">
        <f>Tabela1[[#This Row],[Valor total]]-Tabela1[[#This Row],[Valor custo]]</f>
        <v>507.30999999999995</v>
      </c>
      <c r="J35" s="7">
        <f>Tabela1[[#This Row],[MARGEM BRUTA]]/Tabela1[[#This Row],[Valor total]]</f>
        <v>0.31987565890690806</v>
      </c>
      <c r="K35" s="1" t="str">
        <f>VLOOKUP(Tabela1[[#This Row],[Cliente]],'BASE DE CLIENTES'!A:D,4,0)</f>
        <v>SERRALHEIRO</v>
      </c>
      <c r="L35" s="1" t="str">
        <f>VLOOKUP(Tabela1[[#This Row],[Cliente]],'BASE DE CLIENTES'!A:E,5,0)</f>
        <v>ARAPOANGA (PLANALTINA)</v>
      </c>
    </row>
    <row r="36" spans="1:12" x14ac:dyDescent="0.3">
      <c r="A36" s="1" t="s">
        <v>58</v>
      </c>
      <c r="B36" s="1" t="s">
        <v>59</v>
      </c>
      <c r="C36" s="4" t="str">
        <f>VLOOKUP(Tabela1[[#This Row],[Cliente]],'BASE DE CLIENTES'!A:E,2,0)</f>
        <v>Brasília</v>
      </c>
      <c r="D36" s="1" t="str">
        <f>VLOOKUP(Tabela1[[#This Row],[Cliente]],'BASE DE CLIENTES'!A:C,3,0)</f>
        <v>DF</v>
      </c>
      <c r="E36" s="4" t="str">
        <f>CONCATENATE(Tabela1[[#This Row],[CIDADE]],",",Tabela1[[#This Row],[UF]])</f>
        <v>Brasília,DF</v>
      </c>
      <c r="F36" s="2">
        <v>45686</v>
      </c>
      <c r="G36" s="17">
        <v>11880.42</v>
      </c>
      <c r="H36" s="17">
        <v>16400</v>
      </c>
      <c r="I36" s="6">
        <f>Tabela1[[#This Row],[Valor total]]-Tabela1[[#This Row],[Valor custo]]</f>
        <v>4519.58</v>
      </c>
      <c r="J36" s="7">
        <f>Tabela1[[#This Row],[MARGEM BRUTA]]/Tabela1[[#This Row],[Valor total]]</f>
        <v>0.27558414634146339</v>
      </c>
      <c r="K36" s="1" t="str">
        <f>VLOOKUP(Tabela1[[#This Row],[Cliente]],'BASE DE CLIENTES'!A:D,4,0)</f>
        <v>EMPRESA COM MAQUINA</v>
      </c>
      <c r="L36" s="1" t="str">
        <f>VLOOKUP(Tabela1[[#This Row],[Cliente]],'BASE DE CLIENTES'!A:E,5,0)</f>
        <v>SETOR HABITACIONAL VICENTE PIRES</v>
      </c>
    </row>
    <row r="37" spans="1:12" x14ac:dyDescent="0.3">
      <c r="A37" s="1" t="s">
        <v>60</v>
      </c>
      <c r="B37" s="1" t="s">
        <v>27</v>
      </c>
      <c r="C37" s="4" t="str">
        <f>VLOOKUP(Tabela1[[#This Row],[Cliente]],'BASE DE CLIENTES'!A:E,2,0)</f>
        <v>Brasília</v>
      </c>
      <c r="D37" s="1" t="str">
        <f>VLOOKUP(Tabela1[[#This Row],[Cliente]],'BASE DE CLIENTES'!A:C,3,0)</f>
        <v>DF</v>
      </c>
      <c r="E37" s="4" t="str">
        <f>CONCATENATE(Tabela1[[#This Row],[CIDADE]],",",Tabela1[[#This Row],[UF]])</f>
        <v>Brasília,DF</v>
      </c>
      <c r="F37" s="2">
        <v>45686</v>
      </c>
      <c r="G37" s="17">
        <v>50</v>
      </c>
      <c r="H37" s="17">
        <v>60</v>
      </c>
      <c r="I37" s="6">
        <f>Tabela1[[#This Row],[Valor total]]-Tabela1[[#This Row],[Valor custo]]</f>
        <v>10</v>
      </c>
      <c r="J37" s="7">
        <f>Tabela1[[#This Row],[MARGEM BRUTA]]/Tabela1[[#This Row],[Valor total]]</f>
        <v>0.16666666666666666</v>
      </c>
      <c r="K37" s="1" t="str">
        <f>VLOOKUP(Tabela1[[#This Row],[Cliente]],'BASE DE CLIENTES'!A:D,4,0)</f>
        <v>EMPRESA SEM MAQUINA</v>
      </c>
      <c r="L37" s="1" t="str">
        <f>VLOOKUP(Tabela1[[#This Row],[Cliente]],'BASE DE CLIENTES'!A:E,5,0)</f>
        <v>RECANTO DAS EMAS</v>
      </c>
    </row>
    <row r="38" spans="1:12" x14ac:dyDescent="0.3">
      <c r="A38" s="1" t="s">
        <v>61</v>
      </c>
      <c r="B38" s="1" t="s">
        <v>27</v>
      </c>
      <c r="C38" s="4" t="str">
        <f>VLOOKUP(Tabela1[[#This Row],[Cliente]],'BASE DE CLIENTES'!A:E,2,0)</f>
        <v>Brasília</v>
      </c>
      <c r="D38" s="1" t="str">
        <f>VLOOKUP(Tabela1[[#This Row],[Cliente]],'BASE DE CLIENTES'!A:C,3,0)</f>
        <v>DF</v>
      </c>
      <c r="E38" s="4" t="str">
        <f>CONCATENATE(Tabela1[[#This Row],[CIDADE]],",",Tabela1[[#This Row],[UF]])</f>
        <v>Brasília,DF</v>
      </c>
      <c r="F38" s="2">
        <v>45686</v>
      </c>
      <c r="G38" s="17">
        <v>1736.13</v>
      </c>
      <c r="H38" s="17">
        <v>2300</v>
      </c>
      <c r="I38" s="6">
        <f>Tabela1[[#This Row],[Valor total]]-Tabela1[[#This Row],[Valor custo]]</f>
        <v>563.86999999999989</v>
      </c>
      <c r="J38" s="7">
        <f>Tabela1[[#This Row],[MARGEM BRUTA]]/Tabela1[[#This Row],[Valor total]]</f>
        <v>0.24516086956521735</v>
      </c>
      <c r="K38" s="1" t="str">
        <f>VLOOKUP(Tabela1[[#This Row],[Cliente]],'BASE DE CLIENTES'!A:D,4,0)</f>
        <v>EMPRESA SEM MAQUINA</v>
      </c>
      <c r="L38" s="1" t="str">
        <f>VLOOKUP(Tabela1[[#This Row],[Cliente]],'BASE DE CLIENTES'!A:E,5,0)</f>
        <v>RECANTO DAS EMAS</v>
      </c>
    </row>
    <row r="39" spans="1:12" x14ac:dyDescent="0.3">
      <c r="B39" s="1" t="s">
        <v>19</v>
      </c>
      <c r="C39" s="4" t="str">
        <f>VLOOKUP(Tabela1[[#This Row],[Cliente]],'BASE DE CLIENTES'!A:E,2,0)</f>
        <v>Águas Lindas de Goiás</v>
      </c>
      <c r="D39" s="1" t="str">
        <f>VLOOKUP(Tabela1[[#This Row],[Cliente]],'BASE DE CLIENTES'!A:C,3,0)</f>
        <v>GO</v>
      </c>
      <c r="E39" s="4" t="str">
        <f>CONCATENATE(Tabela1[[#This Row],[CIDADE]],",",Tabela1[[#This Row],[UF]])</f>
        <v>Águas Lindas de Goiás,GO</v>
      </c>
      <c r="F39" s="2">
        <v>45667</v>
      </c>
      <c r="G39" s="17">
        <v>1106.0899999999999</v>
      </c>
      <c r="H39" s="17">
        <v>1750</v>
      </c>
      <c r="I39" s="6">
        <f>Tabela1[[#This Row],[Valor total]]-Tabela1[[#This Row],[Valor custo]]</f>
        <v>643.91000000000008</v>
      </c>
      <c r="J39" s="7">
        <f>Tabela1[[#This Row],[MARGEM BRUTA]]/Tabela1[[#This Row],[Valor total]]</f>
        <v>0.36794857142857146</v>
      </c>
      <c r="K39" s="1" t="str">
        <f>VLOOKUP(Tabela1[[#This Row],[Cliente]],'BASE DE CLIENTES'!A:D,4,0)</f>
        <v>SERRALHEIRO</v>
      </c>
      <c r="L39" s="1" t="str">
        <f>VLOOKUP(Tabela1[[#This Row],[Cliente]],'BASE DE CLIENTES'!A:E,5,0)</f>
        <v>Águas Lindas de Goiás</v>
      </c>
    </row>
    <row r="40" spans="1:12" x14ac:dyDescent="0.3">
      <c r="B40" s="1" t="s">
        <v>30</v>
      </c>
      <c r="C40" s="4" t="str">
        <f>VLOOKUP(Tabela1[[#This Row],[Cliente]],'BASE DE CLIENTES'!A:E,2,0)</f>
        <v>Águas Lindas de Goiás</v>
      </c>
      <c r="D40" s="1" t="str">
        <f>VLOOKUP(Tabela1[[#This Row],[Cliente]],'BASE DE CLIENTES'!A:C,3,0)</f>
        <v>GO</v>
      </c>
      <c r="E40" s="4" t="str">
        <f>CONCATENATE(Tabela1[[#This Row],[CIDADE]],",",Tabela1[[#This Row],[UF]])</f>
        <v>Águas Lindas de Goiás,GO</v>
      </c>
      <c r="F40" s="2">
        <v>45667</v>
      </c>
      <c r="G40" s="17">
        <v>1025.8699999999999</v>
      </c>
      <c r="H40" s="17">
        <v>1618</v>
      </c>
      <c r="I40" s="6">
        <f>Tabela1[[#This Row],[Valor total]]-Tabela1[[#This Row],[Valor custo]]</f>
        <v>592.13000000000011</v>
      </c>
      <c r="J40" s="7">
        <f>Tabela1[[#This Row],[MARGEM BRUTA]]/Tabela1[[#This Row],[Valor total]]</f>
        <v>0.36596415327564902</v>
      </c>
      <c r="K40" s="1" t="str">
        <f>VLOOKUP(Tabela1[[#This Row],[Cliente]],'BASE DE CLIENTES'!A:D,4,0)</f>
        <v>SERRALHEIRO</v>
      </c>
      <c r="L40" s="1" t="str">
        <f>VLOOKUP(Tabela1[[#This Row],[Cliente]],'BASE DE CLIENTES'!A:E,5,0)</f>
        <v>Águas Lindas de Goiás</v>
      </c>
    </row>
    <row r="41" spans="1:12" x14ac:dyDescent="0.3">
      <c r="B41" s="1" t="s">
        <v>19</v>
      </c>
      <c r="C41" s="4" t="str">
        <f>VLOOKUP(Tabela1[[#This Row],[Cliente]],'BASE DE CLIENTES'!A:E,2,0)</f>
        <v>Águas Lindas de Goiás</v>
      </c>
      <c r="D41" s="1" t="str">
        <f>VLOOKUP(Tabela1[[#This Row],[Cliente]],'BASE DE CLIENTES'!A:C,3,0)</f>
        <v>GO</v>
      </c>
      <c r="E41" s="4" t="str">
        <f>CONCATENATE(Tabela1[[#This Row],[CIDADE]],",",Tabela1[[#This Row],[UF]])</f>
        <v>Águas Lindas de Goiás,GO</v>
      </c>
      <c r="F41" s="2">
        <v>45666</v>
      </c>
      <c r="G41" s="17">
        <v>593.83000000000004</v>
      </c>
      <c r="H41" s="17">
        <v>945</v>
      </c>
      <c r="I41" s="6">
        <f>Tabela1[[#This Row],[Valor total]]-Tabela1[[#This Row],[Valor custo]]</f>
        <v>351.16999999999996</v>
      </c>
      <c r="J41" s="7">
        <f>Tabela1[[#This Row],[MARGEM BRUTA]]/Tabela1[[#This Row],[Valor total]]</f>
        <v>0.37160846560846555</v>
      </c>
      <c r="K41" s="1" t="str">
        <f>VLOOKUP(Tabela1[[#This Row],[Cliente]],'BASE DE CLIENTES'!A:D,4,0)</f>
        <v>SERRALHEIRO</v>
      </c>
      <c r="L41" s="1" t="str">
        <f>VLOOKUP(Tabela1[[#This Row],[Cliente]],'BASE DE CLIENTES'!A:E,5,0)</f>
        <v>Águas Lindas de Goiás</v>
      </c>
    </row>
    <row r="42" spans="1:12" x14ac:dyDescent="0.3">
      <c r="B42" s="1" t="s">
        <v>19</v>
      </c>
      <c r="C42" s="4" t="str">
        <f>VLOOKUP(Tabela1[[#This Row],[Cliente]],'BASE DE CLIENTES'!A:E,2,0)</f>
        <v>Águas Lindas de Goiás</v>
      </c>
      <c r="D42" s="1" t="str">
        <f>VLOOKUP(Tabela1[[#This Row],[Cliente]],'BASE DE CLIENTES'!A:C,3,0)</f>
        <v>GO</v>
      </c>
      <c r="E42" s="4" t="str">
        <f>CONCATENATE(Tabela1[[#This Row],[CIDADE]],",",Tabela1[[#This Row],[UF]])</f>
        <v>Águas Lindas de Goiás,GO</v>
      </c>
      <c r="F42" s="2">
        <v>45664</v>
      </c>
      <c r="G42" s="17">
        <v>291</v>
      </c>
      <c r="H42" s="17">
        <v>375</v>
      </c>
      <c r="I42" s="6">
        <f>Tabela1[[#This Row],[Valor total]]-Tabela1[[#This Row],[Valor custo]]</f>
        <v>84</v>
      </c>
      <c r="J42" s="7">
        <f>Tabela1[[#This Row],[MARGEM BRUTA]]/Tabela1[[#This Row],[Valor total]]</f>
        <v>0.224</v>
      </c>
      <c r="K42" s="1" t="str">
        <f>VLOOKUP(Tabela1[[#This Row],[Cliente]],'BASE DE CLIENTES'!A:D,4,0)</f>
        <v>SERRALHEIRO</v>
      </c>
      <c r="L42" s="1" t="str">
        <f>VLOOKUP(Tabela1[[#This Row],[Cliente]],'BASE DE CLIENTES'!A:E,5,0)</f>
        <v>Águas Lindas de Goiás</v>
      </c>
    </row>
    <row r="43" spans="1:12" x14ac:dyDescent="0.3">
      <c r="B43" s="1" t="s">
        <v>62</v>
      </c>
      <c r="C43" s="4" t="str">
        <f>VLOOKUP(Tabela1[[#This Row],[Cliente]],'BASE DE CLIENTES'!A:E,2,0)</f>
        <v>Brasília</v>
      </c>
      <c r="D43" s="1" t="str">
        <f>VLOOKUP(Tabela1[[#This Row],[Cliente]],'BASE DE CLIENTES'!A:C,3,0)</f>
        <v>DF</v>
      </c>
      <c r="E43" s="4" t="str">
        <f>CONCATENATE(Tabela1[[#This Row],[CIDADE]],",",Tabela1[[#This Row],[UF]])</f>
        <v>Brasília,DF</v>
      </c>
      <c r="F43" s="2">
        <v>45764</v>
      </c>
      <c r="G43" s="17">
        <v>4351.8999999999996</v>
      </c>
      <c r="H43" s="17">
        <v>8328</v>
      </c>
      <c r="I43" s="6">
        <f>Tabela1[[#This Row],[Valor total]]-Tabela1[[#This Row],[Valor custo]]</f>
        <v>3976.1000000000004</v>
      </c>
      <c r="J43" s="7">
        <f>Tabela1[[#This Row],[MARGEM BRUTA]]/Tabela1[[#This Row],[Valor total]]</f>
        <v>0.47743756003842464</v>
      </c>
      <c r="K43" s="1" t="str">
        <f>VLOOKUP(Tabela1[[#This Row],[Cliente]],'BASE DE CLIENTES'!A:D,4,0)</f>
        <v>SEM CLASSIFICAÇÃO</v>
      </c>
      <c r="L43" s="1" t="str">
        <f>VLOOKUP(Tabela1[[#This Row],[Cliente]],'BASE DE CLIENTES'!A:E,5,0)</f>
        <v>SETOR DE INDUSTRIA E ABASTECIMENTO</v>
      </c>
    </row>
    <row r="44" spans="1:12" x14ac:dyDescent="0.3">
      <c r="B44" s="1" t="s">
        <v>20</v>
      </c>
      <c r="C44" s="4" t="str">
        <f>VLOOKUP(Tabela1[[#This Row],[Cliente]],'BASE DE CLIENTES'!A:E,2,0)</f>
        <v>Brasília</v>
      </c>
      <c r="D44" s="1" t="str">
        <f>VLOOKUP(Tabela1[[#This Row],[Cliente]],'BASE DE CLIENTES'!A:C,3,0)</f>
        <v>DF</v>
      </c>
      <c r="E44" s="4" t="str">
        <f>CONCATENATE(Tabela1[[#This Row],[CIDADE]],",",Tabela1[[#This Row],[UF]])</f>
        <v>Brasília,DF</v>
      </c>
      <c r="F44" s="2">
        <v>45930</v>
      </c>
      <c r="G44" s="17">
        <v>293.13</v>
      </c>
      <c r="H44" s="17">
        <v>400</v>
      </c>
      <c r="I44" s="6">
        <f>Tabela1[[#This Row],[Valor total]]-Tabela1[[#This Row],[Valor custo]]</f>
        <v>106.87</v>
      </c>
      <c r="J44" s="7">
        <f>Tabela1[[#This Row],[MARGEM BRUTA]]/Tabela1[[#This Row],[Valor total]]</f>
        <v>0.267175</v>
      </c>
      <c r="K44" s="1" t="str">
        <f>VLOOKUP(Tabela1[[#This Row],[Cliente]],'BASE DE CLIENTES'!A:D,4,0)</f>
        <v>CHAVEIRO</v>
      </c>
      <c r="L44" s="1" t="str">
        <f>VLOOKUP(Tabela1[[#This Row],[Cliente]],'BASE DE CLIENTES'!A:E,5,0)</f>
        <v>NA</v>
      </c>
    </row>
    <row r="45" spans="1:12" x14ac:dyDescent="0.3">
      <c r="A45" s="1" t="s">
        <v>63</v>
      </c>
      <c r="B45" s="1" t="s">
        <v>21</v>
      </c>
      <c r="C45" s="4" t="str">
        <f>VLOOKUP(Tabela1[[#This Row],[Cliente]],'BASE DE CLIENTES'!A:E,2,0)</f>
        <v>Brasília</v>
      </c>
      <c r="D45" s="1" t="str">
        <f>VLOOKUP(Tabela1[[#This Row],[Cliente]],'BASE DE CLIENTES'!A:C,3,0)</f>
        <v>DF</v>
      </c>
      <c r="E45" s="4" t="str">
        <f>CONCATENATE(Tabela1[[#This Row],[CIDADE]],",",Tabela1[[#This Row],[UF]])</f>
        <v>Brasília,DF</v>
      </c>
      <c r="F45" s="2">
        <v>45685</v>
      </c>
      <c r="G45" s="17">
        <v>5378.45</v>
      </c>
      <c r="H45" s="17">
        <v>8000</v>
      </c>
      <c r="I45" s="6">
        <f>Tabela1[[#This Row],[Valor total]]-Tabela1[[#This Row],[Valor custo]]</f>
        <v>2621.55</v>
      </c>
      <c r="J45" s="7">
        <f>Tabela1[[#This Row],[MARGEM BRUTA]]/Tabela1[[#This Row],[Valor total]]</f>
        <v>0.32769375000000001</v>
      </c>
      <c r="K45" s="1" t="str">
        <f>VLOOKUP(Tabela1[[#This Row],[Cliente]],'BASE DE CLIENTES'!A:D,4,0)</f>
        <v>EMPRESA COM MAQUINA</v>
      </c>
      <c r="L45" s="1" t="str">
        <f>VLOOKUP(Tabela1[[#This Row],[Cliente]],'BASE DE CLIENTES'!A:E,5,0)</f>
        <v>RIACHO FUNDO II</v>
      </c>
    </row>
    <row r="46" spans="1:12" x14ac:dyDescent="0.3">
      <c r="A46" s="1" t="s">
        <v>64</v>
      </c>
      <c r="B46" s="1" t="s">
        <v>27</v>
      </c>
      <c r="C46" s="4" t="str">
        <f>VLOOKUP(Tabela1[[#This Row],[Cliente]],'BASE DE CLIENTES'!A:E,2,0)</f>
        <v>Brasília</v>
      </c>
      <c r="D46" s="1" t="str">
        <f>VLOOKUP(Tabela1[[#This Row],[Cliente]],'BASE DE CLIENTES'!A:C,3,0)</f>
        <v>DF</v>
      </c>
      <c r="E46" s="4" t="str">
        <f>CONCATENATE(Tabela1[[#This Row],[CIDADE]],",",Tabela1[[#This Row],[UF]])</f>
        <v>Brasília,DF</v>
      </c>
      <c r="F46" s="2">
        <v>45685</v>
      </c>
      <c r="G46" s="17">
        <v>782.91</v>
      </c>
      <c r="H46" s="17">
        <v>1160</v>
      </c>
      <c r="I46" s="6">
        <f>Tabela1[[#This Row],[Valor total]]-Tabela1[[#This Row],[Valor custo]]</f>
        <v>377.09000000000003</v>
      </c>
      <c r="J46" s="7">
        <f>Tabela1[[#This Row],[MARGEM BRUTA]]/Tabela1[[#This Row],[Valor total]]</f>
        <v>0.32507758620689658</v>
      </c>
      <c r="K46" s="1" t="str">
        <f>VLOOKUP(Tabela1[[#This Row],[Cliente]],'BASE DE CLIENTES'!A:D,4,0)</f>
        <v>EMPRESA SEM MAQUINA</v>
      </c>
      <c r="L46" s="1" t="str">
        <f>VLOOKUP(Tabela1[[#This Row],[Cliente]],'BASE DE CLIENTES'!A:E,5,0)</f>
        <v>RECANTO DAS EMAS</v>
      </c>
    </row>
    <row r="47" spans="1:12" x14ac:dyDescent="0.3">
      <c r="A47" s="1" t="s">
        <v>65</v>
      </c>
      <c r="B47" s="1" t="s">
        <v>23</v>
      </c>
      <c r="C47" s="4" t="str">
        <f>VLOOKUP(Tabela1[[#This Row],[Cliente]],'BASE DE CLIENTES'!A:E,2,0)</f>
        <v>Brasília</v>
      </c>
      <c r="D47" s="1" t="str">
        <f>VLOOKUP(Tabela1[[#This Row],[Cliente]],'BASE DE CLIENTES'!A:C,3,0)</f>
        <v>DF</v>
      </c>
      <c r="E47" s="4" t="str">
        <f>CONCATENATE(Tabela1[[#This Row],[CIDADE]],",",Tabela1[[#This Row],[UF]])</f>
        <v>Brasília,DF</v>
      </c>
      <c r="F47" s="2">
        <v>45685</v>
      </c>
      <c r="G47" s="17">
        <v>593.83000000000004</v>
      </c>
      <c r="H47" s="17">
        <v>960</v>
      </c>
      <c r="I47" s="6">
        <f>Tabela1[[#This Row],[Valor total]]-Tabela1[[#This Row],[Valor custo]]</f>
        <v>366.16999999999996</v>
      </c>
      <c r="J47" s="7">
        <f>Tabela1[[#This Row],[MARGEM BRUTA]]/Tabela1[[#This Row],[Valor total]]</f>
        <v>0.38142708333333331</v>
      </c>
      <c r="K47" s="1" t="str">
        <f>VLOOKUP(Tabela1[[#This Row],[Cliente]],'BASE DE CLIENTES'!A:D,4,0)</f>
        <v>EMPRESA SEM MAQUINA</v>
      </c>
      <c r="L47" s="1" t="str">
        <f>VLOOKUP(Tabela1[[#This Row],[Cliente]],'BASE DE CLIENTES'!A:E,5,0)</f>
        <v>SETOR INDUSTRIAL (TAGUATINGA)</v>
      </c>
    </row>
    <row r="48" spans="1:12" x14ac:dyDescent="0.3">
      <c r="B48" s="1" t="s">
        <v>66</v>
      </c>
      <c r="C48" s="4" t="str">
        <f>VLOOKUP(Tabela1[[#This Row],[Cliente]],'BASE DE CLIENTES'!A:E,2,0)</f>
        <v>Águas Lindas de Goiás</v>
      </c>
      <c r="D48" s="1" t="str">
        <f>VLOOKUP(Tabela1[[#This Row],[Cliente]],'BASE DE CLIENTES'!A:C,3,0)</f>
        <v>GO</v>
      </c>
      <c r="E48" s="4" t="str">
        <f>CONCATENATE(Tabela1[[#This Row],[CIDADE]],",",Tabela1[[#This Row],[UF]])</f>
        <v>Águas Lindas de Goiás,GO</v>
      </c>
      <c r="F48" s="2">
        <v>45661</v>
      </c>
      <c r="G48" s="17">
        <v>57.04</v>
      </c>
      <c r="H48" s="17">
        <v>89</v>
      </c>
      <c r="I48" s="6">
        <f>Tabela1[[#This Row],[Valor total]]-Tabela1[[#This Row],[Valor custo]]</f>
        <v>31.96</v>
      </c>
      <c r="J48" s="7">
        <f>Tabela1[[#This Row],[MARGEM BRUTA]]/Tabela1[[#This Row],[Valor total]]</f>
        <v>0.35910112359550561</v>
      </c>
      <c r="K48" s="1" t="str">
        <f>VLOOKUP(Tabela1[[#This Row],[Cliente]],'BASE DE CLIENTES'!A:D,4,0)</f>
        <v>EMPRESA COM MAQUINA</v>
      </c>
      <c r="L48" s="1" t="str">
        <f>VLOOKUP(Tabela1[[#This Row],[Cliente]],'BASE DE CLIENTES'!A:E,5,0)</f>
        <v>Águas Lindas de Goiás</v>
      </c>
    </row>
    <row r="49" spans="1:12" x14ac:dyDescent="0.3">
      <c r="B49" s="1" t="s">
        <v>66</v>
      </c>
      <c r="C49" s="4" t="str">
        <f>VLOOKUP(Tabela1[[#This Row],[Cliente]],'BASE DE CLIENTES'!A:E,2,0)</f>
        <v>Águas Lindas de Goiás</v>
      </c>
      <c r="D49" s="1" t="str">
        <f>VLOOKUP(Tabela1[[#This Row],[Cliente]],'BASE DE CLIENTES'!A:C,3,0)</f>
        <v>GO</v>
      </c>
      <c r="E49" s="4" t="str">
        <f>CONCATENATE(Tabela1[[#This Row],[CIDADE]],",",Tabela1[[#This Row],[UF]])</f>
        <v>Águas Lindas de Goiás,GO</v>
      </c>
      <c r="F49" s="2">
        <v>45661</v>
      </c>
      <c r="G49" s="17">
        <v>540.99</v>
      </c>
      <c r="H49" s="17">
        <v>850</v>
      </c>
      <c r="I49" s="6">
        <f>Tabela1[[#This Row],[Valor total]]-Tabela1[[#This Row],[Valor custo]]</f>
        <v>309.01</v>
      </c>
      <c r="J49" s="7">
        <f>Tabela1[[#This Row],[MARGEM BRUTA]]/Tabela1[[#This Row],[Valor total]]</f>
        <v>0.3635411764705882</v>
      </c>
      <c r="K49" s="1" t="str">
        <f>VLOOKUP(Tabela1[[#This Row],[Cliente]],'BASE DE CLIENTES'!A:D,4,0)</f>
        <v>EMPRESA COM MAQUINA</v>
      </c>
      <c r="L49" s="1" t="str">
        <f>VLOOKUP(Tabela1[[#This Row],[Cliente]],'BASE DE CLIENTES'!A:E,5,0)</f>
        <v>Águas Lindas de Goiás</v>
      </c>
    </row>
    <row r="50" spans="1:12" x14ac:dyDescent="0.3">
      <c r="A50" s="1" t="s">
        <v>67</v>
      </c>
      <c r="B50" s="1" t="s">
        <v>68</v>
      </c>
      <c r="C50" s="4" t="str">
        <f>VLOOKUP(Tabela1[[#This Row],[Cliente]],'BASE DE CLIENTES'!A:E,2,0)</f>
        <v>Brasília</v>
      </c>
      <c r="D50" s="1" t="str">
        <f>VLOOKUP(Tabela1[[#This Row],[Cliente]],'BASE DE CLIENTES'!A:C,3,0)</f>
        <v>DF</v>
      </c>
      <c r="E50" s="4" t="str">
        <f>CONCATENATE(Tabela1[[#This Row],[CIDADE]],",",Tabela1[[#This Row],[UF]])</f>
        <v>Brasília,DF</v>
      </c>
      <c r="F50" s="2">
        <v>45684</v>
      </c>
      <c r="G50" s="17">
        <v>4975.2</v>
      </c>
      <c r="H50" s="17">
        <v>6965</v>
      </c>
      <c r="I50" s="6">
        <f>Tabela1[[#This Row],[Valor total]]-Tabela1[[#This Row],[Valor custo]]</f>
        <v>1989.8000000000002</v>
      </c>
      <c r="J50" s="7">
        <f>Tabela1[[#This Row],[MARGEM BRUTA]]/Tabela1[[#This Row],[Valor total]]</f>
        <v>0.28568557071069639</v>
      </c>
      <c r="K50" s="1" t="str">
        <f>VLOOKUP(Tabela1[[#This Row],[Cliente]],'BASE DE CLIENTES'!A:D,4,0)</f>
        <v>EMPRESA COM MAQUINA</v>
      </c>
      <c r="L50" s="1" t="str">
        <f>VLOOKUP(Tabela1[[#This Row],[Cliente]],'BASE DE CLIENTES'!A:E,5,0)</f>
        <v>SAMAMBAIA SUL (SAMAMBAIA)</v>
      </c>
    </row>
    <row r="51" spans="1:12" x14ac:dyDescent="0.3">
      <c r="B51" s="1" t="s">
        <v>66</v>
      </c>
      <c r="C51" s="4" t="str">
        <f>VLOOKUP(Tabela1[[#This Row],[Cliente]],'BASE DE CLIENTES'!A:E,2,0)</f>
        <v>Águas Lindas de Goiás</v>
      </c>
      <c r="D51" s="1" t="str">
        <f>VLOOKUP(Tabela1[[#This Row],[Cliente]],'BASE DE CLIENTES'!A:C,3,0)</f>
        <v>GO</v>
      </c>
      <c r="E51" s="4" t="str">
        <f>CONCATENATE(Tabela1[[#This Row],[CIDADE]],",",Tabela1[[#This Row],[UF]])</f>
        <v>Águas Lindas de Goiás,GO</v>
      </c>
      <c r="F51" s="2">
        <v>45659</v>
      </c>
      <c r="G51" s="17">
        <v>878.4</v>
      </c>
      <c r="H51" s="17">
        <v>1290</v>
      </c>
      <c r="I51" s="6">
        <f>Tabela1[[#This Row],[Valor total]]-Tabela1[[#This Row],[Valor custo]]</f>
        <v>411.6</v>
      </c>
      <c r="J51" s="7">
        <f>Tabela1[[#This Row],[MARGEM BRUTA]]/Tabela1[[#This Row],[Valor total]]</f>
        <v>0.3190697674418605</v>
      </c>
      <c r="K51" s="1" t="str">
        <f>VLOOKUP(Tabela1[[#This Row],[Cliente]],'BASE DE CLIENTES'!A:D,4,0)</f>
        <v>EMPRESA COM MAQUINA</v>
      </c>
      <c r="L51" s="1" t="str">
        <f>VLOOKUP(Tabela1[[#This Row],[Cliente]],'BASE DE CLIENTES'!A:E,5,0)</f>
        <v>Águas Lindas de Goiás</v>
      </c>
    </row>
    <row r="52" spans="1:12" x14ac:dyDescent="0.3">
      <c r="B52" s="1" t="s">
        <v>19</v>
      </c>
      <c r="C52" s="4" t="str">
        <f>VLOOKUP(Tabela1[[#This Row],[Cliente]],'BASE DE CLIENTES'!A:E,2,0)</f>
        <v>Águas Lindas de Goiás</v>
      </c>
      <c r="D52" s="1" t="str">
        <f>VLOOKUP(Tabela1[[#This Row],[Cliente]],'BASE DE CLIENTES'!A:C,3,0)</f>
        <v>GO</v>
      </c>
      <c r="E52" s="4" t="str">
        <f>CONCATENATE(Tabela1[[#This Row],[CIDADE]],",",Tabela1[[#This Row],[UF]])</f>
        <v>Águas Lindas de Goiás,GO</v>
      </c>
      <c r="F52" s="2">
        <v>45659</v>
      </c>
      <c r="G52" s="17">
        <v>230</v>
      </c>
      <c r="H52" s="17">
        <v>460</v>
      </c>
      <c r="I52" s="6">
        <f>Tabela1[[#This Row],[Valor total]]-Tabela1[[#This Row],[Valor custo]]</f>
        <v>230</v>
      </c>
      <c r="J52" s="7">
        <f>Tabela1[[#This Row],[MARGEM BRUTA]]/Tabela1[[#This Row],[Valor total]]</f>
        <v>0.5</v>
      </c>
      <c r="K52" s="1" t="str">
        <f>VLOOKUP(Tabela1[[#This Row],[Cliente]],'BASE DE CLIENTES'!A:D,4,0)</f>
        <v>SERRALHEIRO</v>
      </c>
      <c r="L52" s="1" t="str">
        <f>VLOOKUP(Tabela1[[#This Row],[Cliente]],'BASE DE CLIENTES'!A:E,5,0)</f>
        <v>Águas Lindas de Goiás</v>
      </c>
    </row>
    <row r="53" spans="1:12" x14ac:dyDescent="0.3">
      <c r="B53" s="1" t="s">
        <v>66</v>
      </c>
      <c r="C53" s="4" t="str">
        <f>VLOOKUP(Tabela1[[#This Row],[Cliente]],'BASE DE CLIENTES'!A:E,2,0)</f>
        <v>Águas Lindas de Goiás</v>
      </c>
      <c r="D53" s="1" t="str">
        <f>VLOOKUP(Tabela1[[#This Row],[Cliente]],'BASE DE CLIENTES'!A:C,3,0)</f>
        <v>GO</v>
      </c>
      <c r="E53" s="4" t="str">
        <f>CONCATENATE(Tabela1[[#This Row],[CIDADE]],",",Tabela1[[#This Row],[UF]])</f>
        <v>Águas Lindas de Goiás,GO</v>
      </c>
      <c r="F53" s="2">
        <v>45716</v>
      </c>
      <c r="G53" s="17">
        <v>300</v>
      </c>
      <c r="H53" s="17">
        <v>840</v>
      </c>
      <c r="I53" s="6">
        <f>Tabela1[[#This Row],[Valor total]]-Tabela1[[#This Row],[Valor custo]]</f>
        <v>540</v>
      </c>
      <c r="J53" s="7">
        <f>Tabela1[[#This Row],[MARGEM BRUTA]]/Tabela1[[#This Row],[Valor total]]</f>
        <v>0.6428571428571429</v>
      </c>
      <c r="K53" s="1" t="str">
        <f>VLOOKUP(Tabela1[[#This Row],[Cliente]],'BASE DE CLIENTES'!A:D,4,0)</f>
        <v>EMPRESA COM MAQUINA</v>
      </c>
      <c r="L53" s="1" t="str">
        <f>VLOOKUP(Tabela1[[#This Row],[Cliente]],'BASE DE CLIENTES'!A:E,5,0)</f>
        <v>Águas Lindas de Goiás</v>
      </c>
    </row>
    <row r="54" spans="1:12" x14ac:dyDescent="0.3">
      <c r="A54" s="1" t="s">
        <v>69</v>
      </c>
      <c r="B54" s="1" t="s">
        <v>70</v>
      </c>
      <c r="C54" s="4" t="str">
        <f>VLOOKUP(Tabela1[[#This Row],[Cliente]],'BASE DE CLIENTES'!A:E,2,0)</f>
        <v>Brasília</v>
      </c>
      <c r="D54" s="1" t="str">
        <f>VLOOKUP(Tabela1[[#This Row],[Cliente]],'BASE DE CLIENTES'!A:C,3,0)</f>
        <v>DF</v>
      </c>
      <c r="E54" s="4" t="str">
        <f>CONCATENATE(Tabela1[[#This Row],[CIDADE]],",",Tabela1[[#This Row],[UF]])</f>
        <v>Brasília,DF</v>
      </c>
      <c r="F54" s="2">
        <v>45684</v>
      </c>
      <c r="G54" s="17">
        <v>878.4</v>
      </c>
      <c r="H54" s="17">
        <v>1290</v>
      </c>
      <c r="I54" s="6">
        <f>Tabela1[[#This Row],[Valor total]]-Tabela1[[#This Row],[Valor custo]]</f>
        <v>411.6</v>
      </c>
      <c r="J54" s="7">
        <f>Tabela1[[#This Row],[MARGEM BRUTA]]/Tabela1[[#This Row],[Valor total]]</f>
        <v>0.3190697674418605</v>
      </c>
      <c r="K54" s="1" t="str">
        <f>VLOOKUP(Tabela1[[#This Row],[Cliente]],'BASE DE CLIENTES'!A:D,4,0)</f>
        <v>EMPRESA COM MAQUINA</v>
      </c>
      <c r="L54" s="1" t="str">
        <f>VLOOKUP(Tabela1[[#This Row],[Cliente]],'BASE DE CLIENTES'!A:E,5,0)</f>
        <v>TAGUATINGA NORTE (TAGUATINGA)</v>
      </c>
    </row>
    <row r="55" spans="1:12" x14ac:dyDescent="0.3">
      <c r="A55" s="1" t="s">
        <v>71</v>
      </c>
      <c r="B55" s="1" t="s">
        <v>27</v>
      </c>
      <c r="C55" s="4" t="str">
        <f>VLOOKUP(Tabela1[[#This Row],[Cliente]],'BASE DE CLIENTES'!A:E,2,0)</f>
        <v>Brasília</v>
      </c>
      <c r="D55" s="1" t="str">
        <f>VLOOKUP(Tabela1[[#This Row],[Cliente]],'BASE DE CLIENTES'!A:C,3,0)</f>
        <v>DF</v>
      </c>
      <c r="E55" s="4" t="str">
        <f>CONCATENATE(Tabela1[[#This Row],[CIDADE]],",",Tabela1[[#This Row],[UF]])</f>
        <v>Brasília,DF</v>
      </c>
      <c r="F55" s="2">
        <v>45684</v>
      </c>
      <c r="G55" s="17">
        <v>68.45</v>
      </c>
      <c r="H55" s="17">
        <v>450</v>
      </c>
      <c r="I55" s="6">
        <f>Tabela1[[#This Row],[Valor total]]-Tabela1[[#This Row],[Valor custo]]</f>
        <v>381.55</v>
      </c>
      <c r="J55" s="7">
        <f>Tabela1[[#This Row],[MARGEM BRUTA]]/Tabela1[[#This Row],[Valor total]]</f>
        <v>0.84788888888888891</v>
      </c>
      <c r="K55" s="1" t="str">
        <f>VLOOKUP(Tabela1[[#This Row],[Cliente]],'BASE DE CLIENTES'!A:D,4,0)</f>
        <v>EMPRESA SEM MAQUINA</v>
      </c>
      <c r="L55" s="1" t="str">
        <f>VLOOKUP(Tabela1[[#This Row],[Cliente]],'BASE DE CLIENTES'!A:E,5,0)</f>
        <v>RECANTO DAS EMAS</v>
      </c>
    </row>
    <row r="56" spans="1:12" x14ac:dyDescent="0.3">
      <c r="A56" s="1" t="s">
        <v>72</v>
      </c>
      <c r="B56" s="1" t="s">
        <v>38</v>
      </c>
      <c r="C56" s="4" t="str">
        <f>VLOOKUP(Tabela1[[#This Row],[Cliente]],'BASE DE CLIENTES'!A:E,2,0)</f>
        <v>Brasília</v>
      </c>
      <c r="D56" s="1" t="str">
        <f>VLOOKUP(Tabela1[[#This Row],[Cliente]],'BASE DE CLIENTES'!A:C,3,0)</f>
        <v>DF</v>
      </c>
      <c r="E56" s="4" t="str">
        <f>CONCATENATE(Tabela1[[#This Row],[CIDADE]],",",Tabela1[[#This Row],[UF]])</f>
        <v>Brasília,DF</v>
      </c>
      <c r="F56" s="2">
        <v>45684</v>
      </c>
      <c r="G56" s="17">
        <v>368.22</v>
      </c>
      <c r="H56" s="17">
        <v>510</v>
      </c>
      <c r="I56" s="6">
        <f>Tabela1[[#This Row],[Valor total]]-Tabela1[[#This Row],[Valor custo]]</f>
        <v>141.77999999999997</v>
      </c>
      <c r="J56" s="7">
        <f>Tabela1[[#This Row],[MARGEM BRUTA]]/Tabela1[[#This Row],[Valor total]]</f>
        <v>0.27799999999999997</v>
      </c>
      <c r="K56" s="1" t="str">
        <f>VLOOKUP(Tabela1[[#This Row],[Cliente]],'BASE DE CLIENTES'!A:D,4,0)</f>
        <v>EMPRESA SEM MAQUINA</v>
      </c>
      <c r="L56" s="1" t="str">
        <f>VLOOKUP(Tabela1[[#This Row],[Cliente]],'BASE DE CLIENTES'!A:E,5,0)</f>
        <v>PONTE ALTA NORTE (GAMA)</v>
      </c>
    </row>
    <row r="57" spans="1:12" x14ac:dyDescent="0.3">
      <c r="A57" s="1" t="s">
        <v>73</v>
      </c>
      <c r="B57" s="1" t="s">
        <v>25</v>
      </c>
      <c r="C57" s="4" t="str">
        <f>VLOOKUP(Tabela1[[#This Row],[Cliente]],'BASE DE CLIENTES'!A:E,2,0)</f>
        <v>Brasília</v>
      </c>
      <c r="D57" s="1" t="str">
        <f>VLOOKUP(Tabela1[[#This Row],[Cliente]],'BASE DE CLIENTES'!A:C,3,0)</f>
        <v>DF</v>
      </c>
      <c r="E57" s="4" t="str">
        <f>CONCATENATE(Tabela1[[#This Row],[CIDADE]],",",Tabela1[[#This Row],[UF]])</f>
        <v>Brasília,DF</v>
      </c>
      <c r="F57" s="2">
        <v>45684</v>
      </c>
      <c r="G57" s="17">
        <v>953.65</v>
      </c>
      <c r="H57" s="17">
        <v>1365</v>
      </c>
      <c r="I57" s="6">
        <f>Tabela1[[#This Row],[Valor total]]-Tabela1[[#This Row],[Valor custo]]</f>
        <v>411.35</v>
      </c>
      <c r="J57" s="7">
        <f>Tabela1[[#This Row],[MARGEM BRUTA]]/Tabela1[[#This Row],[Valor total]]</f>
        <v>0.30135531135531135</v>
      </c>
      <c r="K57" s="1" t="str">
        <f>VLOOKUP(Tabela1[[#This Row],[Cliente]],'BASE DE CLIENTES'!A:D,4,0)</f>
        <v>EMPRESA COM MAQUINA</v>
      </c>
      <c r="L57" s="1" t="str">
        <f>VLOOKUP(Tabela1[[#This Row],[Cliente]],'BASE DE CLIENTES'!A:E,5,0)</f>
        <v>CEILANDIA NORTE (CEILANDIA)</v>
      </c>
    </row>
    <row r="58" spans="1:12" x14ac:dyDescent="0.3">
      <c r="B58" s="1" t="s">
        <v>66</v>
      </c>
      <c r="C58" s="4" t="str">
        <f>VLOOKUP(Tabela1[[#This Row],[Cliente]],'BASE DE CLIENTES'!A:E,2,0)</f>
        <v>Águas Lindas de Goiás</v>
      </c>
      <c r="D58" s="1" t="str">
        <f>VLOOKUP(Tabela1[[#This Row],[Cliente]],'BASE DE CLIENTES'!A:C,3,0)</f>
        <v>GO</v>
      </c>
      <c r="E58" s="4" t="str">
        <f>CONCATENATE(Tabela1[[#This Row],[CIDADE]],",",Tabela1[[#This Row],[UF]])</f>
        <v>Águas Lindas de Goiás,GO</v>
      </c>
      <c r="F58" s="2">
        <v>45715</v>
      </c>
      <c r="G58" s="17">
        <v>1317.6</v>
      </c>
      <c r="H58" s="17">
        <v>1935</v>
      </c>
      <c r="I58" s="6">
        <f>Tabela1[[#This Row],[Valor total]]-Tabela1[[#This Row],[Valor custo]]</f>
        <v>617.40000000000009</v>
      </c>
      <c r="J58" s="7">
        <f>Tabela1[[#This Row],[MARGEM BRUTA]]/Tabela1[[#This Row],[Valor total]]</f>
        <v>0.3190697674418605</v>
      </c>
      <c r="K58" s="1" t="str">
        <f>VLOOKUP(Tabela1[[#This Row],[Cliente]],'BASE DE CLIENTES'!A:D,4,0)</f>
        <v>EMPRESA COM MAQUINA</v>
      </c>
      <c r="L58" s="1" t="str">
        <f>VLOOKUP(Tabela1[[#This Row],[Cliente]],'BASE DE CLIENTES'!A:E,5,0)</f>
        <v>Águas Lindas de Goiás</v>
      </c>
    </row>
    <row r="59" spans="1:12" x14ac:dyDescent="0.3">
      <c r="A59" s="1" t="s">
        <v>74</v>
      </c>
      <c r="B59" s="1" t="s">
        <v>27</v>
      </c>
      <c r="C59" s="4" t="str">
        <f>VLOOKUP(Tabela1[[#This Row],[Cliente]],'BASE DE CLIENTES'!A:E,2,0)</f>
        <v>Brasília</v>
      </c>
      <c r="D59" s="1" t="str">
        <f>VLOOKUP(Tabela1[[#This Row],[Cliente]],'BASE DE CLIENTES'!A:C,3,0)</f>
        <v>DF</v>
      </c>
      <c r="E59" s="4" t="str">
        <f>CONCATENATE(Tabela1[[#This Row],[CIDADE]],",",Tabela1[[#This Row],[UF]])</f>
        <v>Brasília,DF</v>
      </c>
      <c r="F59" s="2">
        <v>45681</v>
      </c>
      <c r="G59" s="17">
        <v>1468.1</v>
      </c>
      <c r="H59" s="17">
        <v>2085</v>
      </c>
      <c r="I59" s="6">
        <f>Tabela1[[#This Row],[Valor total]]-Tabela1[[#This Row],[Valor custo]]</f>
        <v>616.90000000000009</v>
      </c>
      <c r="J59" s="7">
        <f>Tabela1[[#This Row],[MARGEM BRUTA]]/Tabela1[[#This Row],[Valor total]]</f>
        <v>0.29587529976019189</v>
      </c>
      <c r="K59" s="1" t="str">
        <f>VLOOKUP(Tabela1[[#This Row],[Cliente]],'BASE DE CLIENTES'!A:D,4,0)</f>
        <v>EMPRESA SEM MAQUINA</v>
      </c>
      <c r="L59" s="1" t="str">
        <f>VLOOKUP(Tabela1[[#This Row],[Cliente]],'BASE DE CLIENTES'!A:E,5,0)</f>
        <v>RECANTO DAS EMAS</v>
      </c>
    </row>
    <row r="60" spans="1:12" x14ac:dyDescent="0.3">
      <c r="A60" s="1" t="s">
        <v>75</v>
      </c>
      <c r="B60" s="1" t="s">
        <v>76</v>
      </c>
      <c r="C60" s="4" t="str">
        <f>VLOOKUP(Tabela1[[#This Row],[Cliente]],'BASE DE CLIENTES'!A:E,2,0)</f>
        <v>Brasília</v>
      </c>
      <c r="D60" s="1" t="str">
        <f>VLOOKUP(Tabela1[[#This Row],[Cliente]],'BASE DE CLIENTES'!A:C,3,0)</f>
        <v>DF</v>
      </c>
      <c r="E60" s="4" t="str">
        <f>CONCATENATE(Tabela1[[#This Row],[CIDADE]],",",Tabela1[[#This Row],[UF]])</f>
        <v>Brasília,DF</v>
      </c>
      <c r="F60" s="2">
        <v>45681</v>
      </c>
      <c r="G60" s="17">
        <v>4392</v>
      </c>
      <c r="H60" s="17">
        <v>5800</v>
      </c>
      <c r="I60" s="6">
        <f>Tabela1[[#This Row],[Valor total]]-Tabela1[[#This Row],[Valor custo]]</f>
        <v>1408</v>
      </c>
      <c r="J60" s="7">
        <f>Tabela1[[#This Row],[MARGEM BRUTA]]/Tabela1[[#This Row],[Valor total]]</f>
        <v>0.24275862068965517</v>
      </c>
      <c r="K60" s="1" t="str">
        <f>VLOOKUP(Tabela1[[#This Row],[Cliente]],'BASE DE CLIENTES'!A:D,4,0)</f>
        <v>EMPRESA COM MAQUINA</v>
      </c>
      <c r="L60" s="1" t="str">
        <f>VLOOKUP(Tabela1[[#This Row],[Cliente]],'BASE DE CLIENTES'!A:E,5,0)</f>
        <v>Setor Placa da Mercedes (Núcleo Bandeirante)</v>
      </c>
    </row>
    <row r="61" spans="1:12" x14ac:dyDescent="0.3">
      <c r="A61" s="1" t="s">
        <v>77</v>
      </c>
      <c r="B61" s="1" t="s">
        <v>78</v>
      </c>
      <c r="C61" s="4" t="str">
        <f>VLOOKUP(Tabela1[[#This Row],[Cliente]],'BASE DE CLIENTES'!A:E,2,0)</f>
        <v>Brasília</v>
      </c>
      <c r="D61" s="1" t="str">
        <f>VLOOKUP(Tabela1[[#This Row],[Cliente]],'BASE DE CLIENTES'!A:C,3,0)</f>
        <v>DF</v>
      </c>
      <c r="E61" s="4" t="str">
        <f>CONCATENATE(Tabela1[[#This Row],[CIDADE]],",",Tabela1[[#This Row],[UF]])</f>
        <v>Brasília,DF</v>
      </c>
      <c r="F61" s="2">
        <v>45681</v>
      </c>
      <c r="G61" s="17">
        <v>1472.23</v>
      </c>
      <c r="H61" s="17">
        <v>2235</v>
      </c>
      <c r="I61" s="6">
        <f>Tabela1[[#This Row],[Valor total]]-Tabela1[[#This Row],[Valor custo]]</f>
        <v>762.77</v>
      </c>
      <c r="J61" s="7">
        <f>Tabela1[[#This Row],[MARGEM BRUTA]]/Tabela1[[#This Row],[Valor total]]</f>
        <v>0.34128411633109618</v>
      </c>
      <c r="K61" s="1" t="str">
        <f>VLOOKUP(Tabela1[[#This Row],[Cliente]],'BASE DE CLIENTES'!A:D,4,0)</f>
        <v>SERRALHEIRO</v>
      </c>
      <c r="L61" s="1" t="str">
        <f>VLOOKUP(Tabela1[[#This Row],[Cliente]],'BASE DE CLIENTES'!A:E,5,0)</f>
        <v>Vila do Boa (São Sebastião)</v>
      </c>
    </row>
    <row r="62" spans="1:12" x14ac:dyDescent="0.3">
      <c r="A62" s="1" t="s">
        <v>79</v>
      </c>
      <c r="B62" s="1" t="s">
        <v>80</v>
      </c>
      <c r="C62" s="4" t="str">
        <f>VLOOKUP(Tabela1[[#This Row],[Cliente]],'BASE DE CLIENTES'!A:E,2,0)</f>
        <v>Brasília</v>
      </c>
      <c r="D62" s="1" t="str">
        <f>VLOOKUP(Tabela1[[#This Row],[Cliente]],'BASE DE CLIENTES'!A:C,3,0)</f>
        <v>DF</v>
      </c>
      <c r="E62" s="4" t="str">
        <f>CONCATENATE(Tabela1[[#This Row],[CIDADE]],",",Tabela1[[#This Row],[UF]])</f>
        <v>Brasília,DF</v>
      </c>
      <c r="F62" s="2">
        <v>45681</v>
      </c>
      <c r="G62" s="17">
        <v>183</v>
      </c>
      <c r="H62" s="17">
        <v>445</v>
      </c>
      <c r="I62" s="6">
        <f>Tabela1[[#This Row],[Valor total]]-Tabela1[[#This Row],[Valor custo]]</f>
        <v>262</v>
      </c>
      <c r="J62" s="7">
        <f>Tabela1[[#This Row],[MARGEM BRUTA]]/Tabela1[[#This Row],[Valor total]]</f>
        <v>0.58876404494382018</v>
      </c>
      <c r="K62" s="1" t="str">
        <f>VLOOKUP(Tabela1[[#This Row],[Cliente]],'BASE DE CLIENTES'!A:D,4,0)</f>
        <v>EMPRESA SEM MAQUINA</v>
      </c>
      <c r="L62" s="1" t="str">
        <f>VLOOKUP(Tabela1[[#This Row],[Cliente]],'BASE DE CLIENTES'!A:E,5,0)</f>
        <v>JOKEY</v>
      </c>
    </row>
    <row r="63" spans="1:12" x14ac:dyDescent="0.3">
      <c r="B63" s="1" t="s">
        <v>81</v>
      </c>
      <c r="C63" s="4" t="str">
        <f>VLOOKUP(Tabela1[[#This Row],[Cliente]],'BASE DE CLIENTES'!A:E,2,0)</f>
        <v>Águas Lindas de Goiás</v>
      </c>
      <c r="D63" s="1" t="str">
        <f>VLOOKUP(Tabela1[[#This Row],[Cliente]],'BASE DE CLIENTES'!A:C,3,0)</f>
        <v>GO</v>
      </c>
      <c r="E63" s="4" t="str">
        <f>CONCATENATE(Tabela1[[#This Row],[CIDADE]],",",Tabela1[[#This Row],[UF]])</f>
        <v>Águas Lindas de Goiás,GO</v>
      </c>
      <c r="F63" s="2">
        <v>45714</v>
      </c>
      <c r="G63" s="17">
        <v>878.4</v>
      </c>
      <c r="H63" s="17">
        <v>1280</v>
      </c>
      <c r="I63" s="6">
        <f>Tabela1[[#This Row],[Valor total]]-Tabela1[[#This Row],[Valor custo]]</f>
        <v>401.6</v>
      </c>
      <c r="J63" s="7">
        <f>Tabela1[[#This Row],[MARGEM BRUTA]]/Tabela1[[#This Row],[Valor total]]</f>
        <v>0.31375000000000003</v>
      </c>
      <c r="K63" s="1" t="str">
        <f>VLOOKUP(Tabela1[[#This Row],[Cliente]],'BASE DE CLIENTES'!A:D,4,0)</f>
        <v>SEM CLASSIFICAÇÃO</v>
      </c>
      <c r="L63" s="1" t="str">
        <f>VLOOKUP(Tabela1[[#This Row],[Cliente]],'BASE DE CLIENTES'!A:E,5,0)</f>
        <v>Águas Lindas de Goiás</v>
      </c>
    </row>
    <row r="64" spans="1:12" x14ac:dyDescent="0.3">
      <c r="B64" s="1" t="s">
        <v>66</v>
      </c>
      <c r="C64" s="4" t="str">
        <f>VLOOKUP(Tabela1[[#This Row],[Cliente]],'BASE DE CLIENTES'!A:E,2,0)</f>
        <v>Águas Lindas de Goiás</v>
      </c>
      <c r="D64" s="1" t="str">
        <f>VLOOKUP(Tabela1[[#This Row],[Cliente]],'BASE DE CLIENTES'!A:C,3,0)</f>
        <v>GO</v>
      </c>
      <c r="E64" s="4" t="str">
        <f>CONCATENATE(Tabela1[[#This Row],[CIDADE]],",",Tabela1[[#This Row],[UF]])</f>
        <v>Águas Lindas de Goiás,GO</v>
      </c>
      <c r="F64" s="2">
        <v>45714</v>
      </c>
      <c r="G64" s="17">
        <v>548.47</v>
      </c>
      <c r="H64" s="17">
        <v>195</v>
      </c>
      <c r="I64" s="6">
        <f>Tabela1[[#This Row],[Valor total]]-Tabela1[[#This Row],[Valor custo]]</f>
        <v>-353.47</v>
      </c>
      <c r="J64" s="7">
        <f>Tabela1[[#This Row],[MARGEM BRUTA]]/Tabela1[[#This Row],[Valor total]]</f>
        <v>-1.8126666666666669</v>
      </c>
      <c r="K64" s="1" t="str">
        <f>VLOOKUP(Tabela1[[#This Row],[Cliente]],'BASE DE CLIENTES'!A:D,4,0)</f>
        <v>EMPRESA COM MAQUINA</v>
      </c>
      <c r="L64" s="1" t="str">
        <f>VLOOKUP(Tabela1[[#This Row],[Cliente]],'BASE DE CLIENTES'!A:E,5,0)</f>
        <v>Águas Lindas de Goiás</v>
      </c>
    </row>
    <row r="65" spans="1:12" x14ac:dyDescent="0.3">
      <c r="A65" s="1" t="s">
        <v>82</v>
      </c>
      <c r="B65" s="1" t="s">
        <v>55</v>
      </c>
      <c r="C65" s="4" t="str">
        <f>VLOOKUP(Tabela1[[#This Row],[Cliente]],'BASE DE CLIENTES'!A:E,2,0)</f>
        <v>Brasília</v>
      </c>
      <c r="D65" s="1" t="str">
        <f>VLOOKUP(Tabela1[[#This Row],[Cliente]],'BASE DE CLIENTES'!A:C,3,0)</f>
        <v>DF</v>
      </c>
      <c r="E65" s="4" t="str">
        <f>CONCATENATE(Tabela1[[#This Row],[CIDADE]],",",Tabela1[[#This Row],[UF]])</f>
        <v>Brasília,DF</v>
      </c>
      <c r="F65" s="2">
        <v>45681</v>
      </c>
      <c r="G65" s="17">
        <v>251</v>
      </c>
      <c r="H65" s="17">
        <v>280</v>
      </c>
      <c r="I65" s="6">
        <f>Tabela1[[#This Row],[Valor total]]-Tabela1[[#This Row],[Valor custo]]</f>
        <v>29</v>
      </c>
      <c r="J65" s="7">
        <f>Tabela1[[#This Row],[MARGEM BRUTA]]/Tabela1[[#This Row],[Valor total]]</f>
        <v>0.10357142857142858</v>
      </c>
      <c r="K65" s="1" t="str">
        <f>VLOOKUP(Tabela1[[#This Row],[Cliente]],'BASE DE CLIENTES'!A:D,4,0)</f>
        <v>EMPRESA SEM MAQUINA</v>
      </c>
      <c r="L65" s="1" t="str">
        <f>VLOOKUP(Tabela1[[#This Row],[Cliente]],'BASE DE CLIENTES'!A:E,5,0)</f>
        <v>RECANTO DAS EMAS</v>
      </c>
    </row>
    <row r="66" spans="1:12" x14ac:dyDescent="0.3">
      <c r="A66" s="1" t="s">
        <v>83</v>
      </c>
      <c r="B66" s="1" t="s">
        <v>70</v>
      </c>
      <c r="C66" s="4" t="str">
        <f>VLOOKUP(Tabela1[[#This Row],[Cliente]],'BASE DE CLIENTES'!A:E,2,0)</f>
        <v>Brasília</v>
      </c>
      <c r="D66" s="1" t="str">
        <f>VLOOKUP(Tabela1[[#This Row],[Cliente]],'BASE DE CLIENTES'!A:C,3,0)</f>
        <v>DF</v>
      </c>
      <c r="E66" s="4" t="str">
        <f>CONCATENATE(Tabela1[[#This Row],[CIDADE]],",",Tabela1[[#This Row],[UF]])</f>
        <v>Brasília,DF</v>
      </c>
      <c r="F66" s="2">
        <v>45681</v>
      </c>
      <c r="G66" s="17">
        <v>531.45000000000005</v>
      </c>
      <c r="H66" s="17">
        <v>785</v>
      </c>
      <c r="I66" s="6">
        <f>Tabela1[[#This Row],[Valor total]]-Tabela1[[#This Row],[Valor custo]]</f>
        <v>253.54999999999995</v>
      </c>
      <c r="J66" s="7">
        <f>Tabela1[[#This Row],[MARGEM BRUTA]]/Tabela1[[#This Row],[Valor total]]</f>
        <v>0.32299363057324837</v>
      </c>
      <c r="K66" s="1" t="str">
        <f>VLOOKUP(Tabela1[[#This Row],[Cliente]],'BASE DE CLIENTES'!A:D,4,0)</f>
        <v>EMPRESA COM MAQUINA</v>
      </c>
      <c r="L66" s="1" t="str">
        <f>VLOOKUP(Tabela1[[#This Row],[Cliente]],'BASE DE CLIENTES'!A:E,5,0)</f>
        <v>TAGUATINGA NORTE (TAGUATINGA)</v>
      </c>
    </row>
    <row r="67" spans="1:12" x14ac:dyDescent="0.3">
      <c r="A67" s="1" t="s">
        <v>84</v>
      </c>
      <c r="B67" s="1" t="s">
        <v>85</v>
      </c>
      <c r="C67" s="4" t="str">
        <f>VLOOKUP(Tabela1[[#This Row],[Cliente]],'BASE DE CLIENTES'!A:E,2,0)</f>
        <v>Brasília</v>
      </c>
      <c r="D67" s="1" t="str">
        <f>VLOOKUP(Tabela1[[#This Row],[Cliente]],'BASE DE CLIENTES'!A:C,3,0)</f>
        <v>DF</v>
      </c>
      <c r="E67" s="4" t="str">
        <f>CONCATENATE(Tabela1[[#This Row],[CIDADE]],",",Tabela1[[#This Row],[UF]])</f>
        <v>Brasília,DF</v>
      </c>
      <c r="F67" s="2">
        <v>45681</v>
      </c>
      <c r="G67" s="17">
        <v>268.45999999999998</v>
      </c>
      <c r="H67" s="17">
        <v>520</v>
      </c>
      <c r="I67" s="6">
        <f>Tabela1[[#This Row],[Valor total]]-Tabela1[[#This Row],[Valor custo]]</f>
        <v>251.54000000000002</v>
      </c>
      <c r="J67" s="7">
        <f>Tabela1[[#This Row],[MARGEM BRUTA]]/Tabela1[[#This Row],[Valor total]]</f>
        <v>0.4837307692307693</v>
      </c>
      <c r="K67" s="1" t="str">
        <f>VLOOKUP(Tabela1[[#This Row],[Cliente]],'BASE DE CLIENTES'!A:D,4,0)</f>
        <v>SERRALHEIRO</v>
      </c>
      <c r="L67" s="1" t="str">
        <f>VLOOKUP(Tabela1[[#This Row],[Cliente]],'BASE DE CLIENTES'!A:E,5,0)</f>
        <v>SAMAMBAIA NORTE (SAMAMBAIA)</v>
      </c>
    </row>
    <row r="68" spans="1:12" x14ac:dyDescent="0.3">
      <c r="A68" s="1" t="s">
        <v>86</v>
      </c>
      <c r="B68" s="1" t="s">
        <v>27</v>
      </c>
      <c r="C68" s="4" t="str">
        <f>VLOOKUP(Tabela1[[#This Row],[Cliente]],'BASE DE CLIENTES'!A:E,2,0)</f>
        <v>Brasília</v>
      </c>
      <c r="D68" s="1" t="str">
        <f>VLOOKUP(Tabela1[[#This Row],[Cliente]],'BASE DE CLIENTES'!A:C,3,0)</f>
        <v>DF</v>
      </c>
      <c r="E68" s="4" t="str">
        <f>CONCATENATE(Tabela1[[#This Row],[CIDADE]],",",Tabela1[[#This Row],[UF]])</f>
        <v>Brasília,DF</v>
      </c>
      <c r="F68" s="2">
        <v>45680</v>
      </c>
      <c r="G68" s="17">
        <v>150</v>
      </c>
      <c r="H68" s="17">
        <v>530</v>
      </c>
      <c r="I68" s="6">
        <f>Tabela1[[#This Row],[Valor total]]-Tabela1[[#This Row],[Valor custo]]</f>
        <v>380</v>
      </c>
      <c r="J68" s="7">
        <f>Tabela1[[#This Row],[MARGEM BRUTA]]/Tabela1[[#This Row],[Valor total]]</f>
        <v>0.71698113207547165</v>
      </c>
      <c r="K68" s="1" t="str">
        <f>VLOOKUP(Tabela1[[#This Row],[Cliente]],'BASE DE CLIENTES'!A:D,4,0)</f>
        <v>EMPRESA SEM MAQUINA</v>
      </c>
      <c r="L68" s="1" t="str">
        <f>VLOOKUP(Tabela1[[#This Row],[Cliente]],'BASE DE CLIENTES'!A:E,5,0)</f>
        <v>RECANTO DAS EMAS</v>
      </c>
    </row>
    <row r="69" spans="1:12" x14ac:dyDescent="0.3">
      <c r="B69" s="1" t="s">
        <v>21</v>
      </c>
      <c r="C69" s="4" t="str">
        <f>VLOOKUP(Tabela1[[#This Row],[Cliente]],'BASE DE CLIENTES'!A:E,2,0)</f>
        <v>Brasília</v>
      </c>
      <c r="D69" s="1" t="str">
        <f>VLOOKUP(Tabela1[[#This Row],[Cliente]],'BASE DE CLIENTES'!A:C,3,0)</f>
        <v>DF</v>
      </c>
      <c r="E69" s="4" t="str">
        <f>CONCATENATE(Tabela1[[#This Row],[CIDADE]],",",Tabela1[[#This Row],[UF]])</f>
        <v>Brasília,DF</v>
      </c>
      <c r="F69" s="2">
        <v>45670</v>
      </c>
      <c r="G69" s="17">
        <v>5510.27</v>
      </c>
      <c r="H69" s="17">
        <v>7700</v>
      </c>
      <c r="I69" s="6">
        <f>Tabela1[[#This Row],[Valor total]]-Tabela1[[#This Row],[Valor custo]]</f>
        <v>2189.7299999999996</v>
      </c>
      <c r="J69" s="7">
        <f>Tabela1[[#This Row],[MARGEM BRUTA]]/Tabela1[[#This Row],[Valor total]]</f>
        <v>0.2843805194805194</v>
      </c>
      <c r="K69" s="1" t="str">
        <f>VLOOKUP(Tabela1[[#This Row],[Cliente]],'BASE DE CLIENTES'!A:D,4,0)</f>
        <v>EMPRESA COM MAQUINA</v>
      </c>
      <c r="L69" s="1" t="str">
        <f>VLOOKUP(Tabela1[[#This Row],[Cliente]],'BASE DE CLIENTES'!A:E,5,0)</f>
        <v>RIACHO FUNDO II</v>
      </c>
    </row>
    <row r="70" spans="1:12" x14ac:dyDescent="0.3">
      <c r="B70" s="1" t="s">
        <v>21</v>
      </c>
      <c r="C70" s="4" t="str">
        <f>VLOOKUP(Tabela1[[#This Row],[Cliente]],'BASE DE CLIENTES'!A:E,2,0)</f>
        <v>Brasília</v>
      </c>
      <c r="D70" s="1" t="str">
        <f>VLOOKUP(Tabela1[[#This Row],[Cliente]],'BASE DE CLIENTES'!A:C,3,0)</f>
        <v>DF</v>
      </c>
      <c r="E70" s="4" t="str">
        <f>CONCATENATE(Tabela1[[#This Row],[CIDADE]],",",Tabela1[[#This Row],[UF]])</f>
        <v>Brasília,DF</v>
      </c>
      <c r="F70" s="2">
        <v>45692</v>
      </c>
      <c r="G70" s="17">
        <v>5258.76</v>
      </c>
      <c r="H70" s="17">
        <v>7000</v>
      </c>
      <c r="I70" s="6">
        <f>Tabela1[[#This Row],[Valor total]]-Tabela1[[#This Row],[Valor custo]]</f>
        <v>1741.2399999999998</v>
      </c>
      <c r="J70" s="7">
        <f>Tabela1[[#This Row],[MARGEM BRUTA]]/Tabela1[[#This Row],[Valor total]]</f>
        <v>0.2487485714285714</v>
      </c>
      <c r="K70" s="1" t="str">
        <f>VLOOKUP(Tabela1[[#This Row],[Cliente]],'BASE DE CLIENTES'!A:D,4,0)</f>
        <v>EMPRESA COM MAQUINA</v>
      </c>
      <c r="L70" s="1" t="str">
        <f>VLOOKUP(Tabela1[[#This Row],[Cliente]],'BASE DE CLIENTES'!A:E,5,0)</f>
        <v>RIACHO FUNDO II</v>
      </c>
    </row>
    <row r="71" spans="1:12" x14ac:dyDescent="0.3">
      <c r="B71" s="1" t="s">
        <v>19</v>
      </c>
      <c r="C71" s="4" t="str">
        <f>VLOOKUP(Tabela1[[#This Row],[Cliente]],'BASE DE CLIENTES'!A:E,2,0)</f>
        <v>Águas Lindas de Goiás</v>
      </c>
      <c r="D71" s="1" t="str">
        <f>VLOOKUP(Tabela1[[#This Row],[Cliente]],'BASE DE CLIENTES'!A:C,3,0)</f>
        <v>GO</v>
      </c>
      <c r="E71" s="4" t="str">
        <f>CONCATENATE(Tabela1[[#This Row],[CIDADE]],",",Tabela1[[#This Row],[UF]])</f>
        <v>Águas Lindas de Goiás,GO</v>
      </c>
      <c r="F71" s="2">
        <v>45714</v>
      </c>
      <c r="G71" s="17">
        <v>472.2</v>
      </c>
      <c r="H71" s="17">
        <v>795</v>
      </c>
      <c r="I71" s="6">
        <f>Tabela1[[#This Row],[Valor total]]-Tabela1[[#This Row],[Valor custo]]</f>
        <v>322.8</v>
      </c>
      <c r="J71" s="7">
        <f>Tabela1[[#This Row],[MARGEM BRUTA]]/Tabela1[[#This Row],[Valor total]]</f>
        <v>0.40603773584905661</v>
      </c>
      <c r="K71" s="1" t="str">
        <f>VLOOKUP(Tabela1[[#This Row],[Cliente]],'BASE DE CLIENTES'!A:D,4,0)</f>
        <v>SERRALHEIRO</v>
      </c>
      <c r="L71" s="1" t="str">
        <f>VLOOKUP(Tabela1[[#This Row],[Cliente]],'BASE DE CLIENTES'!A:E,5,0)</f>
        <v>Águas Lindas de Goiás</v>
      </c>
    </row>
    <row r="72" spans="1:12" x14ac:dyDescent="0.3">
      <c r="A72" s="1" t="s">
        <v>87</v>
      </c>
      <c r="B72" s="1" t="s">
        <v>88</v>
      </c>
      <c r="C72" s="4" t="str">
        <f>VLOOKUP(Tabela1[[#This Row],[Cliente]],'BASE DE CLIENTES'!A:E,2,0)</f>
        <v>Brasília</v>
      </c>
      <c r="D72" s="1" t="str">
        <f>VLOOKUP(Tabela1[[#This Row],[Cliente]],'BASE DE CLIENTES'!A:C,3,0)</f>
        <v>DF</v>
      </c>
      <c r="E72" s="4" t="str">
        <f>CONCATENATE(Tabela1[[#This Row],[CIDADE]],",",Tabela1[[#This Row],[UF]])</f>
        <v>Brasília,DF</v>
      </c>
      <c r="F72" s="2">
        <v>45680</v>
      </c>
      <c r="G72" s="17">
        <v>5234.16</v>
      </c>
      <c r="H72" s="17">
        <v>7520</v>
      </c>
      <c r="I72" s="6">
        <f>Tabela1[[#This Row],[Valor total]]-Tabela1[[#This Row],[Valor custo]]</f>
        <v>2285.84</v>
      </c>
      <c r="J72" s="7">
        <f>Tabela1[[#This Row],[MARGEM BRUTA]]/Tabela1[[#This Row],[Valor total]]</f>
        <v>0.30396808510638301</v>
      </c>
      <c r="K72" s="1" t="str">
        <f>VLOOKUP(Tabela1[[#This Row],[Cliente]],'BASE DE CLIENTES'!A:D,4,0)</f>
        <v>SERRALHEIRO</v>
      </c>
      <c r="L72" s="1" t="str">
        <f>VLOOKUP(Tabela1[[#This Row],[Cliente]],'BASE DE CLIENTES'!A:E,5,0)</f>
        <v>RECANTO DAS EMAS</v>
      </c>
    </row>
    <row r="73" spans="1:12" x14ac:dyDescent="0.3">
      <c r="A73" s="1" t="s">
        <v>89</v>
      </c>
      <c r="B73" s="1" t="s">
        <v>25</v>
      </c>
      <c r="C73" s="4" t="str">
        <f>VLOOKUP(Tabela1[[#This Row],[Cliente]],'BASE DE CLIENTES'!A:E,2,0)</f>
        <v>Brasília</v>
      </c>
      <c r="D73" s="1" t="str">
        <f>VLOOKUP(Tabela1[[#This Row],[Cliente]],'BASE DE CLIENTES'!A:C,3,0)</f>
        <v>DF</v>
      </c>
      <c r="E73" s="4" t="str">
        <f>CONCATENATE(Tabela1[[#This Row],[CIDADE]],",",Tabela1[[#This Row],[UF]])</f>
        <v>Brasília,DF</v>
      </c>
      <c r="F73" s="2">
        <v>45680</v>
      </c>
      <c r="G73" s="17">
        <v>1123.75</v>
      </c>
      <c r="H73" s="17">
        <v>1895</v>
      </c>
      <c r="I73" s="6">
        <f>Tabela1[[#This Row],[Valor total]]-Tabela1[[#This Row],[Valor custo]]</f>
        <v>771.25</v>
      </c>
      <c r="J73" s="7">
        <f>Tabela1[[#This Row],[MARGEM BRUTA]]/Tabela1[[#This Row],[Valor total]]</f>
        <v>0.40699208443271767</v>
      </c>
      <c r="K73" s="1" t="str">
        <f>VLOOKUP(Tabela1[[#This Row],[Cliente]],'BASE DE CLIENTES'!A:D,4,0)</f>
        <v>EMPRESA COM MAQUINA</v>
      </c>
      <c r="L73" s="1" t="str">
        <f>VLOOKUP(Tabela1[[#This Row],[Cliente]],'BASE DE CLIENTES'!A:E,5,0)</f>
        <v>CEILANDIA NORTE (CEILANDIA)</v>
      </c>
    </row>
    <row r="74" spans="1:12" x14ac:dyDescent="0.3">
      <c r="B74" s="1" t="s">
        <v>20</v>
      </c>
      <c r="C74" s="4" t="str">
        <f>VLOOKUP(Tabela1[[#This Row],[Cliente]],'BASE DE CLIENTES'!A:E,2,0)</f>
        <v>Brasília</v>
      </c>
      <c r="D74" s="1" t="str">
        <f>VLOOKUP(Tabela1[[#This Row],[Cliente]],'BASE DE CLIENTES'!A:C,3,0)</f>
        <v>DF</v>
      </c>
      <c r="E74" s="4" t="str">
        <f>CONCATENATE(Tabela1[[#This Row],[CIDADE]],",",Tabela1[[#This Row],[UF]])</f>
        <v>Brasília,DF</v>
      </c>
      <c r="F74" s="2">
        <v>45929</v>
      </c>
      <c r="G74" s="17">
        <v>586.26</v>
      </c>
      <c r="H74" s="17">
        <v>950</v>
      </c>
      <c r="I74" s="6">
        <f>Tabela1[[#This Row],[Valor total]]-Tabela1[[#This Row],[Valor custo]]</f>
        <v>363.74</v>
      </c>
      <c r="J74" s="7">
        <f>Tabela1[[#This Row],[MARGEM BRUTA]]/Tabela1[[#This Row],[Valor total]]</f>
        <v>0.38288421052631577</v>
      </c>
      <c r="K74" s="1" t="str">
        <f>VLOOKUP(Tabela1[[#This Row],[Cliente]],'BASE DE CLIENTES'!A:D,4,0)</f>
        <v>CHAVEIRO</v>
      </c>
      <c r="L74" s="1" t="str">
        <f>VLOOKUP(Tabela1[[#This Row],[Cliente]],'BASE DE CLIENTES'!A:E,5,0)</f>
        <v>NA</v>
      </c>
    </row>
    <row r="75" spans="1:12" x14ac:dyDescent="0.3">
      <c r="A75" s="1" t="s">
        <v>90</v>
      </c>
      <c r="B75" s="1" t="s">
        <v>42</v>
      </c>
      <c r="C75" s="4" t="str">
        <f>VLOOKUP(Tabela1[[#This Row],[Cliente]],'BASE DE CLIENTES'!A:E,2,0)</f>
        <v>Brasília</v>
      </c>
      <c r="D75" s="1" t="str">
        <f>VLOOKUP(Tabela1[[#This Row],[Cliente]],'BASE DE CLIENTES'!A:C,3,0)</f>
        <v>DF</v>
      </c>
      <c r="E75" s="4" t="str">
        <f>CONCATENATE(Tabela1[[#This Row],[CIDADE]],",",Tabela1[[#This Row],[UF]])</f>
        <v>Brasília,DF</v>
      </c>
      <c r="F75" s="2">
        <v>45680</v>
      </c>
      <c r="G75" s="17">
        <v>593.83000000000004</v>
      </c>
      <c r="H75" s="17">
        <v>945</v>
      </c>
      <c r="I75" s="6">
        <f>Tabela1[[#This Row],[Valor total]]-Tabela1[[#This Row],[Valor custo]]</f>
        <v>351.16999999999996</v>
      </c>
      <c r="J75" s="7">
        <f>Tabela1[[#This Row],[MARGEM BRUTA]]/Tabela1[[#This Row],[Valor total]]</f>
        <v>0.37160846560846555</v>
      </c>
      <c r="K75" s="1" t="str">
        <f>VLOOKUP(Tabela1[[#This Row],[Cliente]],'BASE DE CLIENTES'!A:D,4,0)</f>
        <v>EMPRESA SEM MAQUINA</v>
      </c>
      <c r="L75" s="1" t="str">
        <f>VLOOKUP(Tabela1[[#This Row],[Cliente]],'BASE DE CLIENTES'!A:E,5,0)</f>
        <v>SAMAMBAIA</v>
      </c>
    </row>
    <row r="76" spans="1:12" x14ac:dyDescent="0.3">
      <c r="B76" s="1" t="s">
        <v>66</v>
      </c>
      <c r="C76" s="4" t="str">
        <f>VLOOKUP(Tabela1[[#This Row],[Cliente]],'BASE DE CLIENTES'!A:E,2,0)</f>
        <v>Águas Lindas de Goiás</v>
      </c>
      <c r="D76" s="1" t="str">
        <f>VLOOKUP(Tabela1[[#This Row],[Cliente]],'BASE DE CLIENTES'!A:C,3,0)</f>
        <v>GO</v>
      </c>
      <c r="E76" s="4" t="str">
        <f>CONCATENATE(Tabela1[[#This Row],[CIDADE]],",",Tabela1[[#This Row],[UF]])</f>
        <v>Águas Lindas de Goiás,GO</v>
      </c>
      <c r="F76" s="2">
        <v>45714</v>
      </c>
      <c r="G76" s="17">
        <v>529.20000000000005</v>
      </c>
      <c r="H76" s="17">
        <v>1045</v>
      </c>
      <c r="I76" s="6">
        <f>Tabela1[[#This Row],[Valor total]]-Tabela1[[#This Row],[Valor custo]]</f>
        <v>515.79999999999995</v>
      </c>
      <c r="J76" s="7">
        <f>Tabela1[[#This Row],[MARGEM BRUTA]]/Tabela1[[#This Row],[Valor total]]</f>
        <v>0.49358851674641147</v>
      </c>
      <c r="K76" s="1" t="str">
        <f>VLOOKUP(Tabela1[[#This Row],[Cliente]],'BASE DE CLIENTES'!A:D,4,0)</f>
        <v>EMPRESA COM MAQUINA</v>
      </c>
      <c r="L76" s="1" t="str">
        <f>VLOOKUP(Tabela1[[#This Row],[Cliente]],'BASE DE CLIENTES'!A:E,5,0)</f>
        <v>Águas Lindas de Goiás</v>
      </c>
    </row>
    <row r="77" spans="1:12" x14ac:dyDescent="0.3">
      <c r="A77" s="1" t="s">
        <v>91</v>
      </c>
      <c r="B77" s="1" t="s">
        <v>92</v>
      </c>
      <c r="C77" s="4" t="str">
        <f>VLOOKUP(Tabela1[[#This Row],[Cliente]],'BASE DE CLIENTES'!A:E,2,0)</f>
        <v>Brasília</v>
      </c>
      <c r="D77" s="1" t="str">
        <f>VLOOKUP(Tabela1[[#This Row],[Cliente]],'BASE DE CLIENTES'!A:C,3,0)</f>
        <v>DF</v>
      </c>
      <c r="E77" s="4" t="str">
        <f>CONCATENATE(Tabela1[[#This Row],[CIDADE]],",",Tabela1[[#This Row],[UF]])</f>
        <v>Brasília,DF</v>
      </c>
      <c r="F77" s="2">
        <v>45679</v>
      </c>
      <c r="G77" s="17">
        <v>784.55</v>
      </c>
      <c r="H77" s="17">
        <v>1414.9</v>
      </c>
      <c r="I77" s="6">
        <f>Tabela1[[#This Row],[Valor total]]-Tabela1[[#This Row],[Valor custo]]</f>
        <v>630.35000000000014</v>
      </c>
      <c r="J77" s="7">
        <f>Tabela1[[#This Row],[MARGEM BRUTA]]/Tabela1[[#This Row],[Valor total]]</f>
        <v>0.44550851650293316</v>
      </c>
      <c r="K77" s="1" t="str">
        <f>VLOOKUP(Tabela1[[#This Row],[Cliente]],'BASE DE CLIENTES'!A:D,4,0)</f>
        <v>EMPRESA SEM MAQUINA</v>
      </c>
      <c r="L77" s="1" t="str">
        <f>VLOOKUP(Tabela1[[#This Row],[Cliente]],'BASE DE CLIENTES'!A:E,5,0)</f>
        <v>SOBRADINHO</v>
      </c>
    </row>
    <row r="78" spans="1:12" x14ac:dyDescent="0.3">
      <c r="B78" s="1" t="s">
        <v>17</v>
      </c>
      <c r="C78" s="4" t="str">
        <f>VLOOKUP(Tabela1[[#This Row],[Cliente]],'BASE DE CLIENTES'!A:E,2,0)</f>
        <v>Águas Lindas de Goiás</v>
      </c>
      <c r="D78" s="1" t="str">
        <f>VLOOKUP(Tabela1[[#This Row],[Cliente]],'BASE DE CLIENTES'!A:C,3,0)</f>
        <v>GO</v>
      </c>
      <c r="E78" s="4" t="str">
        <f>CONCATENATE(Tabela1[[#This Row],[CIDADE]],",",Tabela1[[#This Row],[UF]])</f>
        <v>Águas Lindas de Goiás,GO</v>
      </c>
      <c r="F78" s="2">
        <v>45713</v>
      </c>
      <c r="G78" s="17">
        <v>100.64</v>
      </c>
      <c r="H78" s="17">
        <v>380</v>
      </c>
      <c r="I78" s="6">
        <f>Tabela1[[#This Row],[Valor total]]-Tabela1[[#This Row],[Valor custo]]</f>
        <v>279.36</v>
      </c>
      <c r="J78" s="7">
        <f>Tabela1[[#This Row],[MARGEM BRUTA]]/Tabela1[[#This Row],[Valor total]]</f>
        <v>0.73515789473684212</v>
      </c>
      <c r="K78" s="1" t="str">
        <f>VLOOKUP(Tabela1[[#This Row],[Cliente]],'BASE DE CLIENTES'!A:D,4,0)</f>
        <v>SERRALHEIRO</v>
      </c>
      <c r="L78" s="1" t="str">
        <f>VLOOKUP(Tabela1[[#This Row],[Cliente]],'BASE DE CLIENTES'!A:E,5,0)</f>
        <v>Águas Lindas de Goiás</v>
      </c>
    </row>
    <row r="79" spans="1:12" x14ac:dyDescent="0.3">
      <c r="A79" s="1" t="s">
        <v>93</v>
      </c>
      <c r="B79" s="1" t="s">
        <v>36</v>
      </c>
      <c r="C79" s="4" t="str">
        <f>VLOOKUP(Tabela1[[#This Row],[Cliente]],'BASE DE CLIENTES'!A:E,2,0)</f>
        <v>Brasília</v>
      </c>
      <c r="D79" s="1" t="str">
        <f>VLOOKUP(Tabela1[[#This Row],[Cliente]],'BASE DE CLIENTES'!A:C,3,0)</f>
        <v>DF</v>
      </c>
      <c r="E79" s="4" t="str">
        <f>CONCATENATE(Tabela1[[#This Row],[CIDADE]],",",Tabela1[[#This Row],[UF]])</f>
        <v>Brasília,DF</v>
      </c>
      <c r="F79" s="2">
        <v>45679</v>
      </c>
      <c r="G79" s="17">
        <v>439.2</v>
      </c>
      <c r="H79" s="17">
        <v>645</v>
      </c>
      <c r="I79" s="6">
        <f>Tabela1[[#This Row],[Valor total]]-Tabela1[[#This Row],[Valor custo]]</f>
        <v>205.8</v>
      </c>
      <c r="J79" s="7">
        <f>Tabela1[[#This Row],[MARGEM BRUTA]]/Tabela1[[#This Row],[Valor total]]</f>
        <v>0.3190697674418605</v>
      </c>
      <c r="K79" s="1" t="str">
        <f>VLOOKUP(Tabela1[[#This Row],[Cliente]],'BASE DE CLIENTES'!A:D,4,0)</f>
        <v>SERRALHEIRO</v>
      </c>
      <c r="L79" s="1" t="str">
        <f>VLOOKUP(Tabela1[[#This Row],[Cliente]],'BASE DE CLIENTES'!A:E,5,0)</f>
        <v>CEILANDIA SUL (CEILANDIA)</v>
      </c>
    </row>
    <row r="80" spans="1:12" x14ac:dyDescent="0.3">
      <c r="B80" s="1" t="s">
        <v>21</v>
      </c>
      <c r="C80" s="4" t="str">
        <f>VLOOKUP(Tabela1[[#This Row],[Cliente]],'BASE DE CLIENTES'!A:E,2,0)</f>
        <v>Brasília</v>
      </c>
      <c r="D80" s="1" t="str">
        <f>VLOOKUP(Tabela1[[#This Row],[Cliente]],'BASE DE CLIENTES'!A:C,3,0)</f>
        <v>DF</v>
      </c>
      <c r="E80" s="4" t="str">
        <f>CONCATENATE(Tabela1[[#This Row],[CIDADE]],",",Tabela1[[#This Row],[UF]])</f>
        <v>Brasília,DF</v>
      </c>
      <c r="F80" s="2">
        <v>45663</v>
      </c>
      <c r="G80" s="17">
        <v>4621.6000000000004</v>
      </c>
      <c r="H80" s="17">
        <v>6350</v>
      </c>
      <c r="I80" s="6">
        <f>Tabela1[[#This Row],[Valor total]]-Tabela1[[#This Row],[Valor custo]]</f>
        <v>1728.3999999999996</v>
      </c>
      <c r="J80" s="7">
        <f>Tabela1[[#This Row],[MARGEM BRUTA]]/Tabela1[[#This Row],[Valor total]]</f>
        <v>0.2721889763779527</v>
      </c>
      <c r="K80" s="1" t="str">
        <f>VLOOKUP(Tabela1[[#This Row],[Cliente]],'BASE DE CLIENTES'!A:D,4,0)</f>
        <v>EMPRESA COM MAQUINA</v>
      </c>
      <c r="L80" s="1" t="str">
        <f>VLOOKUP(Tabela1[[#This Row],[Cliente]],'BASE DE CLIENTES'!A:E,5,0)</f>
        <v>RIACHO FUNDO II</v>
      </c>
    </row>
    <row r="81" spans="1:12" x14ac:dyDescent="0.3">
      <c r="B81" s="1" t="s">
        <v>19</v>
      </c>
      <c r="C81" s="4" t="str">
        <f>VLOOKUP(Tabela1[[#This Row],[Cliente]],'BASE DE CLIENTES'!A:E,2,0)</f>
        <v>Águas Lindas de Goiás</v>
      </c>
      <c r="D81" s="1" t="str">
        <f>VLOOKUP(Tabela1[[#This Row],[Cliente]],'BASE DE CLIENTES'!A:C,3,0)</f>
        <v>GO</v>
      </c>
      <c r="E81" s="4" t="str">
        <f>CONCATENATE(Tabela1[[#This Row],[CIDADE]],",",Tabela1[[#This Row],[UF]])</f>
        <v>Águas Lindas de Goiás,GO</v>
      </c>
      <c r="F81" s="2">
        <v>45713</v>
      </c>
      <c r="G81" s="17">
        <v>268.45999999999998</v>
      </c>
      <c r="H81" s="17">
        <v>550</v>
      </c>
      <c r="I81" s="6">
        <f>Tabela1[[#This Row],[Valor total]]-Tabela1[[#This Row],[Valor custo]]</f>
        <v>281.54000000000002</v>
      </c>
      <c r="J81" s="7">
        <f>Tabela1[[#This Row],[MARGEM BRUTA]]/Tabela1[[#This Row],[Valor total]]</f>
        <v>0.51189090909090917</v>
      </c>
      <c r="K81" s="1" t="str">
        <f>VLOOKUP(Tabela1[[#This Row],[Cliente]],'BASE DE CLIENTES'!A:D,4,0)</f>
        <v>SERRALHEIRO</v>
      </c>
      <c r="L81" s="1" t="str">
        <f>VLOOKUP(Tabela1[[#This Row],[Cliente]],'BASE DE CLIENTES'!A:E,5,0)</f>
        <v>Águas Lindas de Goiás</v>
      </c>
    </row>
    <row r="82" spans="1:12" x14ac:dyDescent="0.3">
      <c r="A82" s="1" t="s">
        <v>94</v>
      </c>
      <c r="B82" s="1" t="s">
        <v>80</v>
      </c>
      <c r="C82" s="4" t="str">
        <f>VLOOKUP(Tabela1[[#This Row],[Cliente]],'BASE DE CLIENTES'!A:E,2,0)</f>
        <v>Brasília</v>
      </c>
      <c r="D82" s="1" t="str">
        <f>VLOOKUP(Tabela1[[#This Row],[Cliente]],'BASE DE CLIENTES'!A:C,3,0)</f>
        <v>DF</v>
      </c>
      <c r="E82" s="4" t="str">
        <f>CONCATENATE(Tabela1[[#This Row],[CIDADE]],",",Tabela1[[#This Row],[UF]])</f>
        <v>Brasília,DF</v>
      </c>
      <c r="F82" s="2">
        <v>45679</v>
      </c>
      <c r="G82" s="17">
        <v>122.74</v>
      </c>
      <c r="H82" s="17">
        <v>170</v>
      </c>
      <c r="I82" s="6">
        <f>Tabela1[[#This Row],[Valor total]]-Tabela1[[#This Row],[Valor custo]]</f>
        <v>47.260000000000005</v>
      </c>
      <c r="J82" s="7">
        <f>Tabela1[[#This Row],[MARGEM BRUTA]]/Tabela1[[#This Row],[Valor total]]</f>
        <v>0.27800000000000002</v>
      </c>
      <c r="K82" s="1" t="str">
        <f>VLOOKUP(Tabela1[[#This Row],[Cliente]],'BASE DE CLIENTES'!A:D,4,0)</f>
        <v>EMPRESA SEM MAQUINA</v>
      </c>
      <c r="L82" s="1" t="str">
        <f>VLOOKUP(Tabela1[[#This Row],[Cliente]],'BASE DE CLIENTES'!A:E,5,0)</f>
        <v>JOKEY</v>
      </c>
    </row>
    <row r="83" spans="1:12" x14ac:dyDescent="0.3">
      <c r="B83" s="1" t="s">
        <v>20</v>
      </c>
      <c r="C83" s="4" t="str">
        <f>VLOOKUP(Tabela1[[#This Row],[Cliente]],'BASE DE CLIENTES'!A:E,2,0)</f>
        <v>Brasília</v>
      </c>
      <c r="D83" s="1" t="str">
        <f>VLOOKUP(Tabela1[[#This Row],[Cliente]],'BASE DE CLIENTES'!A:C,3,0)</f>
        <v>DF</v>
      </c>
      <c r="E83" s="4" t="str">
        <f>CONCATENATE(Tabela1[[#This Row],[CIDADE]],",",Tabela1[[#This Row],[UF]])</f>
        <v>Brasília,DF</v>
      </c>
      <c r="F83" s="2">
        <v>45924</v>
      </c>
      <c r="G83" s="17">
        <v>293.13</v>
      </c>
      <c r="H83" s="17">
        <v>370</v>
      </c>
      <c r="I83" s="6">
        <f>Tabela1[[#This Row],[Valor total]]-Tabela1[[#This Row],[Valor custo]]</f>
        <v>76.87</v>
      </c>
      <c r="J83" s="7">
        <f>Tabela1[[#This Row],[MARGEM BRUTA]]/Tabela1[[#This Row],[Valor total]]</f>
        <v>0.20775675675675676</v>
      </c>
      <c r="K83" s="1" t="str">
        <f>VLOOKUP(Tabela1[[#This Row],[Cliente]],'BASE DE CLIENTES'!A:D,4,0)</f>
        <v>CHAVEIRO</v>
      </c>
      <c r="L83" s="1" t="str">
        <f>VLOOKUP(Tabela1[[#This Row],[Cliente]],'BASE DE CLIENTES'!A:E,5,0)</f>
        <v>NA</v>
      </c>
    </row>
    <row r="84" spans="1:12" x14ac:dyDescent="0.3">
      <c r="A84" s="1" t="s">
        <v>95</v>
      </c>
      <c r="B84" s="1" t="s">
        <v>85</v>
      </c>
      <c r="C84" s="4" t="str">
        <f>VLOOKUP(Tabela1[[#This Row],[Cliente]],'BASE DE CLIENTES'!A:E,2,0)</f>
        <v>Brasília</v>
      </c>
      <c r="D84" s="1" t="str">
        <f>VLOOKUP(Tabela1[[#This Row],[Cliente]],'BASE DE CLIENTES'!A:C,3,0)</f>
        <v>DF</v>
      </c>
      <c r="E84" s="4" t="str">
        <f>CONCATENATE(Tabela1[[#This Row],[CIDADE]],",",Tabela1[[#This Row],[UF]])</f>
        <v>Brasília,DF</v>
      </c>
      <c r="F84" s="2">
        <v>45679</v>
      </c>
      <c r="G84" s="17">
        <v>122.74</v>
      </c>
      <c r="H84" s="17">
        <v>180</v>
      </c>
      <c r="I84" s="6">
        <f>Tabela1[[#This Row],[Valor total]]-Tabela1[[#This Row],[Valor custo]]</f>
        <v>57.260000000000005</v>
      </c>
      <c r="J84" s="7">
        <f>Tabela1[[#This Row],[MARGEM BRUTA]]/Tabela1[[#This Row],[Valor total]]</f>
        <v>0.31811111111111112</v>
      </c>
      <c r="K84" s="1" t="str">
        <f>VLOOKUP(Tabela1[[#This Row],[Cliente]],'BASE DE CLIENTES'!A:D,4,0)</f>
        <v>SERRALHEIRO</v>
      </c>
      <c r="L84" s="1" t="str">
        <f>VLOOKUP(Tabela1[[#This Row],[Cliente]],'BASE DE CLIENTES'!A:E,5,0)</f>
        <v>SAMAMBAIA NORTE (SAMAMBAIA)</v>
      </c>
    </row>
    <row r="85" spans="1:12" x14ac:dyDescent="0.3">
      <c r="B85" s="1" t="s">
        <v>66</v>
      </c>
      <c r="C85" s="4" t="str">
        <f>VLOOKUP(Tabela1[[#This Row],[Cliente]],'BASE DE CLIENTES'!A:E,2,0)</f>
        <v>Águas Lindas de Goiás</v>
      </c>
      <c r="D85" s="1" t="str">
        <f>VLOOKUP(Tabela1[[#This Row],[Cliente]],'BASE DE CLIENTES'!A:C,3,0)</f>
        <v>GO</v>
      </c>
      <c r="E85" s="4" t="str">
        <f>CONCATENATE(Tabela1[[#This Row],[CIDADE]],",",Tabela1[[#This Row],[UF]])</f>
        <v>Águas Lindas de Goiás,GO</v>
      </c>
      <c r="F85" s="2">
        <v>45712</v>
      </c>
      <c r="G85" s="17">
        <v>2196</v>
      </c>
      <c r="H85" s="17">
        <v>3200</v>
      </c>
      <c r="I85" s="6">
        <f>Tabela1[[#This Row],[Valor total]]-Tabela1[[#This Row],[Valor custo]]</f>
        <v>1004</v>
      </c>
      <c r="J85" s="7">
        <f>Tabela1[[#This Row],[MARGEM BRUTA]]/Tabela1[[#This Row],[Valor total]]</f>
        <v>0.31374999999999997</v>
      </c>
      <c r="K85" s="1" t="str">
        <f>VLOOKUP(Tabela1[[#This Row],[Cliente]],'BASE DE CLIENTES'!A:D,4,0)</f>
        <v>EMPRESA COM MAQUINA</v>
      </c>
      <c r="L85" s="1" t="str">
        <f>VLOOKUP(Tabela1[[#This Row],[Cliente]],'BASE DE CLIENTES'!A:E,5,0)</f>
        <v>Águas Lindas de Goiás</v>
      </c>
    </row>
    <row r="86" spans="1:12" x14ac:dyDescent="0.3">
      <c r="B86" s="1" t="s">
        <v>96</v>
      </c>
      <c r="C86" s="4" t="str">
        <f>VLOOKUP(Tabela1[[#This Row],[Cliente]],'BASE DE CLIENTES'!A:E,2,0)</f>
        <v>Brasília</v>
      </c>
      <c r="D86" s="1" t="str">
        <f>VLOOKUP(Tabela1[[#This Row],[Cliente]],'BASE DE CLIENTES'!A:C,3,0)</f>
        <v>DF</v>
      </c>
      <c r="E86" s="4" t="str">
        <f>CONCATENATE(Tabela1[[#This Row],[CIDADE]],",",Tabela1[[#This Row],[UF]])</f>
        <v>Brasília,DF</v>
      </c>
      <c r="F86" s="2">
        <v>45679</v>
      </c>
      <c r="G86" s="17">
        <v>593.83000000000004</v>
      </c>
      <c r="H86" s="17">
        <v>945</v>
      </c>
      <c r="I86" s="6">
        <f>Tabela1[[#This Row],[Valor total]]-Tabela1[[#This Row],[Valor custo]]</f>
        <v>351.16999999999996</v>
      </c>
      <c r="J86" s="7">
        <f>Tabela1[[#This Row],[MARGEM BRUTA]]/Tabela1[[#This Row],[Valor total]]</f>
        <v>0.37160846560846555</v>
      </c>
      <c r="K86" s="1" t="str">
        <f>VLOOKUP(Tabela1[[#This Row],[Cliente]],'BASE DE CLIENTES'!A:D,4,0)</f>
        <v>EMPRESA SEM MAQUINA</v>
      </c>
      <c r="L86" s="1" t="str">
        <f>VLOOKUP(Tabela1[[#This Row],[Cliente]],'BASE DE CLIENTES'!A:E,5,0)</f>
        <v>CEILANDIA NORTE (CEILANDIA)</v>
      </c>
    </row>
    <row r="87" spans="1:12" x14ac:dyDescent="0.3">
      <c r="B87" s="1" t="s">
        <v>97</v>
      </c>
      <c r="C87" s="4" t="str">
        <f>VLOOKUP(Tabela1[[#This Row],[Cliente]],'BASE DE CLIENTES'!A:E,2,0)</f>
        <v>Brasília</v>
      </c>
      <c r="D87" s="1" t="str">
        <f>VLOOKUP(Tabela1[[#This Row],[Cliente]],'BASE DE CLIENTES'!A:C,3,0)</f>
        <v>DF</v>
      </c>
      <c r="E87" s="4" t="str">
        <f>CONCATENATE(Tabela1[[#This Row],[CIDADE]],",",Tabela1[[#This Row],[UF]])</f>
        <v>Brasília,DF</v>
      </c>
      <c r="F87" s="2">
        <v>45679</v>
      </c>
      <c r="G87" s="17">
        <v>594.98</v>
      </c>
      <c r="H87" s="17">
        <v>878</v>
      </c>
      <c r="I87" s="6">
        <f>Tabela1[[#This Row],[Valor total]]-Tabela1[[#This Row],[Valor custo]]</f>
        <v>283.02</v>
      </c>
      <c r="J87" s="7">
        <f>Tabela1[[#This Row],[MARGEM BRUTA]]/Tabela1[[#This Row],[Valor total]]</f>
        <v>0.32234624145785873</v>
      </c>
      <c r="K87" s="1" t="str">
        <f>VLOOKUP(Tabela1[[#This Row],[Cliente]],'BASE DE CLIENTES'!A:D,4,0)</f>
        <v>SERRALHEIRO</v>
      </c>
      <c r="L87" s="1" t="str">
        <f>VLOOKUP(Tabela1[[#This Row],[Cliente]],'BASE DE CLIENTES'!A:E,5,0)</f>
        <v>CEILANDIA NORTE</v>
      </c>
    </row>
    <row r="88" spans="1:12" x14ac:dyDescent="0.3">
      <c r="B88" s="1" t="s">
        <v>68</v>
      </c>
      <c r="C88" s="4" t="str">
        <f>VLOOKUP(Tabela1[[#This Row],[Cliente]],'BASE DE CLIENTES'!A:E,2,0)</f>
        <v>Brasília</v>
      </c>
      <c r="D88" s="1" t="str">
        <f>VLOOKUP(Tabela1[[#This Row],[Cliente]],'BASE DE CLIENTES'!A:C,3,0)</f>
        <v>DF</v>
      </c>
      <c r="E88" s="4" t="str">
        <f>CONCATENATE(Tabela1[[#This Row],[CIDADE]],",",Tabela1[[#This Row],[UF]])</f>
        <v>Brasília,DF</v>
      </c>
      <c r="F88" s="2">
        <v>45679</v>
      </c>
      <c r="G88" s="17">
        <v>530.58000000000004</v>
      </c>
      <c r="H88" s="17">
        <v>645</v>
      </c>
      <c r="I88" s="6">
        <f>Tabela1[[#This Row],[Valor total]]-Tabela1[[#This Row],[Valor custo]]</f>
        <v>114.41999999999996</v>
      </c>
      <c r="J88" s="7">
        <f>Tabela1[[#This Row],[MARGEM BRUTA]]/Tabela1[[#This Row],[Valor total]]</f>
        <v>0.17739534883720923</v>
      </c>
      <c r="K88" s="1" t="str">
        <f>VLOOKUP(Tabela1[[#This Row],[Cliente]],'BASE DE CLIENTES'!A:D,4,0)</f>
        <v>EMPRESA COM MAQUINA</v>
      </c>
      <c r="L88" s="1" t="str">
        <f>VLOOKUP(Tabela1[[#This Row],[Cliente]],'BASE DE CLIENTES'!A:E,5,0)</f>
        <v>SAMAMBAIA SUL (SAMAMBAIA)</v>
      </c>
    </row>
    <row r="89" spans="1:12" x14ac:dyDescent="0.3">
      <c r="B89" s="1" t="s">
        <v>21</v>
      </c>
      <c r="C89" s="4" t="str">
        <f>VLOOKUP(Tabela1[[#This Row],[Cliente]],'BASE DE CLIENTES'!A:E,2,0)</f>
        <v>Brasília</v>
      </c>
      <c r="D89" s="1" t="str">
        <f>VLOOKUP(Tabela1[[#This Row],[Cliente]],'BASE DE CLIENTES'!A:C,3,0)</f>
        <v>DF</v>
      </c>
      <c r="E89" s="4" t="str">
        <f>CONCATENATE(Tabela1[[#This Row],[CIDADE]],",",Tabela1[[#This Row],[UF]])</f>
        <v>Brasília,DF</v>
      </c>
      <c r="F89" s="2">
        <v>45742</v>
      </c>
      <c r="G89" s="17">
        <v>4098.7</v>
      </c>
      <c r="H89" s="17">
        <v>5850</v>
      </c>
      <c r="I89" s="6">
        <f>Tabela1[[#This Row],[Valor total]]-Tabela1[[#This Row],[Valor custo]]</f>
        <v>1751.3000000000002</v>
      </c>
      <c r="J89" s="7">
        <f>Tabela1[[#This Row],[MARGEM BRUTA]]/Tabela1[[#This Row],[Valor total]]</f>
        <v>0.29936752136752137</v>
      </c>
      <c r="K89" s="1" t="str">
        <f>VLOOKUP(Tabela1[[#This Row],[Cliente]],'BASE DE CLIENTES'!A:D,4,0)</f>
        <v>EMPRESA COM MAQUINA</v>
      </c>
      <c r="L89" s="1" t="str">
        <f>VLOOKUP(Tabela1[[#This Row],[Cliente]],'BASE DE CLIENTES'!A:E,5,0)</f>
        <v>RIACHO FUNDO II</v>
      </c>
    </row>
    <row r="90" spans="1:12" x14ac:dyDescent="0.3">
      <c r="B90" s="1" t="s">
        <v>55</v>
      </c>
      <c r="C90" s="4" t="str">
        <f>VLOOKUP(Tabela1[[#This Row],[Cliente]],'BASE DE CLIENTES'!A:E,2,0)</f>
        <v>Brasília</v>
      </c>
      <c r="D90" s="1" t="str">
        <f>VLOOKUP(Tabela1[[#This Row],[Cliente]],'BASE DE CLIENTES'!A:C,3,0)</f>
        <v>DF</v>
      </c>
      <c r="E90" s="4" t="str">
        <f>CONCATENATE(Tabela1[[#This Row],[CIDADE]],",",Tabela1[[#This Row],[UF]])</f>
        <v>Brasília,DF</v>
      </c>
      <c r="F90" s="2">
        <v>45678</v>
      </c>
      <c r="G90" s="17">
        <v>41</v>
      </c>
      <c r="H90" s="17">
        <v>75</v>
      </c>
      <c r="I90" s="6">
        <f>Tabela1[[#This Row],[Valor total]]-Tabela1[[#This Row],[Valor custo]]</f>
        <v>34</v>
      </c>
      <c r="J90" s="7">
        <f>Tabela1[[#This Row],[MARGEM BRUTA]]/Tabela1[[#This Row],[Valor total]]</f>
        <v>0.45333333333333331</v>
      </c>
      <c r="K90" s="1" t="str">
        <f>VLOOKUP(Tabela1[[#This Row],[Cliente]],'BASE DE CLIENTES'!A:D,4,0)</f>
        <v>EMPRESA SEM MAQUINA</v>
      </c>
      <c r="L90" s="1" t="str">
        <f>VLOOKUP(Tabela1[[#This Row],[Cliente]],'BASE DE CLIENTES'!A:E,5,0)</f>
        <v>RECANTO DAS EMAS</v>
      </c>
    </row>
    <row r="91" spans="1:12" x14ac:dyDescent="0.3">
      <c r="B91" s="1" t="s">
        <v>30</v>
      </c>
      <c r="C91" s="4" t="str">
        <f>VLOOKUP(Tabela1[[#This Row],[Cliente]],'BASE DE CLIENTES'!A:E,2,0)</f>
        <v>Águas Lindas de Goiás</v>
      </c>
      <c r="D91" s="1" t="str">
        <f>VLOOKUP(Tabela1[[#This Row],[Cliente]],'BASE DE CLIENTES'!A:C,3,0)</f>
        <v>GO</v>
      </c>
      <c r="E91" s="4" t="str">
        <f>CONCATENATE(Tabela1[[#This Row],[CIDADE]],",",Tabela1[[#This Row],[UF]])</f>
        <v>Águas Lindas de Goiás,GO</v>
      </c>
      <c r="F91" s="2">
        <v>45709</v>
      </c>
      <c r="G91" s="17">
        <v>593.83000000000004</v>
      </c>
      <c r="H91" s="17">
        <v>900</v>
      </c>
      <c r="I91" s="6">
        <f>Tabela1[[#This Row],[Valor total]]-Tabela1[[#This Row],[Valor custo]]</f>
        <v>306.16999999999996</v>
      </c>
      <c r="J91" s="7">
        <f>Tabela1[[#This Row],[MARGEM BRUTA]]/Tabela1[[#This Row],[Valor total]]</f>
        <v>0.34018888888888882</v>
      </c>
      <c r="K91" s="1" t="str">
        <f>VLOOKUP(Tabela1[[#This Row],[Cliente]],'BASE DE CLIENTES'!A:D,4,0)</f>
        <v>SERRALHEIRO</v>
      </c>
      <c r="L91" s="1" t="str">
        <f>VLOOKUP(Tabela1[[#This Row],[Cliente]],'BASE DE CLIENTES'!A:E,5,0)</f>
        <v>Águas Lindas de Goiás</v>
      </c>
    </row>
    <row r="92" spans="1:12" x14ac:dyDescent="0.3">
      <c r="B92" s="1" t="s">
        <v>27</v>
      </c>
      <c r="C92" s="4" t="str">
        <f>VLOOKUP(Tabela1[[#This Row],[Cliente]],'BASE DE CLIENTES'!A:E,2,0)</f>
        <v>Brasília</v>
      </c>
      <c r="D92" s="1" t="str">
        <f>VLOOKUP(Tabela1[[#This Row],[Cliente]],'BASE DE CLIENTES'!A:C,3,0)</f>
        <v>DF</v>
      </c>
      <c r="E92" s="4" t="str">
        <f>CONCATENATE(Tabela1[[#This Row],[CIDADE]],",",Tabela1[[#This Row],[UF]])</f>
        <v>Brasília,DF</v>
      </c>
      <c r="F92" s="2">
        <v>45678</v>
      </c>
      <c r="G92" s="17">
        <v>718.57</v>
      </c>
      <c r="H92" s="17">
        <v>1250</v>
      </c>
      <c r="I92" s="6">
        <f>Tabela1[[#This Row],[Valor total]]-Tabela1[[#This Row],[Valor custo]]</f>
        <v>531.42999999999995</v>
      </c>
      <c r="J92" s="7">
        <f>Tabela1[[#This Row],[MARGEM BRUTA]]/Tabela1[[#This Row],[Valor total]]</f>
        <v>0.42514399999999997</v>
      </c>
      <c r="K92" s="1" t="str">
        <f>VLOOKUP(Tabela1[[#This Row],[Cliente]],'BASE DE CLIENTES'!A:D,4,0)</f>
        <v>EMPRESA SEM MAQUINA</v>
      </c>
      <c r="L92" s="1" t="str">
        <f>VLOOKUP(Tabela1[[#This Row],[Cliente]],'BASE DE CLIENTES'!A:E,5,0)</f>
        <v>RECANTO DAS EMAS</v>
      </c>
    </row>
    <row r="93" spans="1:12" x14ac:dyDescent="0.3">
      <c r="B93" s="1" t="s">
        <v>98</v>
      </c>
      <c r="C93" s="4" t="str">
        <f>VLOOKUP(Tabela1[[#This Row],[Cliente]],'BASE DE CLIENTES'!A:E,2,0)</f>
        <v>Brasília</v>
      </c>
      <c r="D93" s="1" t="str">
        <f>VLOOKUP(Tabela1[[#This Row],[Cliente]],'BASE DE CLIENTES'!A:C,3,0)</f>
        <v>DF</v>
      </c>
      <c r="E93" s="4" t="str">
        <f>CONCATENATE(Tabela1[[#This Row],[CIDADE]],",",Tabela1[[#This Row],[UF]])</f>
        <v>Brasília,DF</v>
      </c>
      <c r="F93" s="2">
        <v>45678</v>
      </c>
      <c r="G93" s="17">
        <v>953.65</v>
      </c>
      <c r="H93" s="17">
        <v>1165</v>
      </c>
      <c r="I93" s="6">
        <f>Tabela1[[#This Row],[Valor total]]-Tabela1[[#This Row],[Valor custo]]</f>
        <v>211.35000000000002</v>
      </c>
      <c r="J93" s="7">
        <f>Tabela1[[#This Row],[MARGEM BRUTA]]/Tabela1[[#This Row],[Valor total]]</f>
        <v>0.18141630901287556</v>
      </c>
      <c r="K93" s="1" t="str">
        <f>VLOOKUP(Tabela1[[#This Row],[Cliente]],'BASE DE CLIENTES'!A:D,4,0)</f>
        <v>SERRALHEIRO</v>
      </c>
      <c r="L93" s="1" t="str">
        <f>VLOOKUP(Tabela1[[#This Row],[Cliente]],'BASE DE CLIENTES'!A:E,5,0)</f>
        <v>SANTA MARIA</v>
      </c>
    </row>
    <row r="94" spans="1:12" x14ac:dyDescent="0.3">
      <c r="B94" s="1" t="s">
        <v>20</v>
      </c>
      <c r="C94" s="4" t="str">
        <f>VLOOKUP(Tabela1[[#This Row],[Cliente]],'BASE DE CLIENTES'!A:E,2,0)</f>
        <v>Brasília</v>
      </c>
      <c r="D94" s="1" t="str">
        <f>VLOOKUP(Tabela1[[#This Row],[Cliente]],'BASE DE CLIENTES'!A:C,3,0)</f>
        <v>DF</v>
      </c>
      <c r="E94" s="4" t="str">
        <f>CONCATENATE(Tabela1[[#This Row],[CIDADE]],",",Tabela1[[#This Row],[UF]])</f>
        <v>Brasília,DF</v>
      </c>
      <c r="F94" s="2">
        <v>45903</v>
      </c>
      <c r="G94" s="17">
        <v>293.13</v>
      </c>
      <c r="H94" s="17">
        <v>500</v>
      </c>
      <c r="I94" s="6">
        <f>Tabela1[[#This Row],[Valor total]]-Tabela1[[#This Row],[Valor custo]]</f>
        <v>206.87</v>
      </c>
      <c r="J94" s="7">
        <f>Tabela1[[#This Row],[MARGEM BRUTA]]/Tabela1[[#This Row],[Valor total]]</f>
        <v>0.41374</v>
      </c>
      <c r="K94" s="1" t="str">
        <f>VLOOKUP(Tabela1[[#This Row],[Cliente]],'BASE DE CLIENTES'!A:D,4,0)</f>
        <v>CHAVEIRO</v>
      </c>
      <c r="L94" s="1" t="str">
        <f>VLOOKUP(Tabela1[[#This Row],[Cliente]],'BASE DE CLIENTES'!A:E,5,0)</f>
        <v>NA</v>
      </c>
    </row>
    <row r="95" spans="1:12" x14ac:dyDescent="0.3">
      <c r="B95" s="1" t="s">
        <v>25</v>
      </c>
      <c r="C95" s="4" t="str">
        <f>VLOOKUP(Tabela1[[#This Row],[Cliente]],'BASE DE CLIENTES'!A:E,2,0)</f>
        <v>Brasília</v>
      </c>
      <c r="D95" s="1" t="str">
        <f>VLOOKUP(Tabela1[[#This Row],[Cliente]],'BASE DE CLIENTES'!A:C,3,0)</f>
        <v>DF</v>
      </c>
      <c r="E95" s="4" t="str">
        <f>CONCATENATE(Tabela1[[#This Row],[CIDADE]],",",Tabela1[[#This Row],[UF]])</f>
        <v>Brasília,DF</v>
      </c>
      <c r="F95" s="2">
        <v>45678</v>
      </c>
      <c r="G95" s="17">
        <v>2002.15</v>
      </c>
      <c r="H95" s="17">
        <v>3089.45</v>
      </c>
      <c r="I95" s="6">
        <f>Tabela1[[#This Row],[Valor total]]-Tabela1[[#This Row],[Valor custo]]</f>
        <v>1087.2999999999997</v>
      </c>
      <c r="J95" s="7">
        <f>Tabela1[[#This Row],[MARGEM BRUTA]]/Tabela1[[#This Row],[Valor total]]</f>
        <v>0.35193966563627821</v>
      </c>
      <c r="K95" s="1" t="str">
        <f>VLOOKUP(Tabela1[[#This Row],[Cliente]],'BASE DE CLIENTES'!A:D,4,0)</f>
        <v>EMPRESA COM MAQUINA</v>
      </c>
      <c r="L95" s="1" t="str">
        <f>VLOOKUP(Tabela1[[#This Row],[Cliente]],'BASE DE CLIENTES'!A:E,5,0)</f>
        <v>CEILANDIA NORTE (CEILANDIA)</v>
      </c>
    </row>
    <row r="96" spans="1:12" x14ac:dyDescent="0.3">
      <c r="B96" s="1" t="s">
        <v>81</v>
      </c>
      <c r="C96" s="4" t="str">
        <f>VLOOKUP(Tabela1[[#This Row],[Cliente]],'BASE DE CLIENTES'!A:E,2,0)</f>
        <v>Águas Lindas de Goiás</v>
      </c>
      <c r="D96" s="1" t="str">
        <f>VLOOKUP(Tabela1[[#This Row],[Cliente]],'BASE DE CLIENTES'!A:C,3,0)</f>
        <v>GO</v>
      </c>
      <c r="E96" s="4" t="str">
        <f>CONCATENATE(Tabela1[[#This Row],[CIDADE]],",",Tabela1[[#This Row],[UF]])</f>
        <v>Águas Lindas de Goiás,GO</v>
      </c>
      <c r="F96" s="2">
        <v>45708</v>
      </c>
      <c r="G96" s="17">
        <v>25</v>
      </c>
      <c r="H96" s="17">
        <v>30</v>
      </c>
      <c r="I96" s="6">
        <f>Tabela1[[#This Row],[Valor total]]-Tabela1[[#This Row],[Valor custo]]</f>
        <v>5</v>
      </c>
      <c r="J96" s="7">
        <f>Tabela1[[#This Row],[MARGEM BRUTA]]/Tabela1[[#This Row],[Valor total]]</f>
        <v>0.16666666666666666</v>
      </c>
      <c r="K96" s="1" t="str">
        <f>VLOOKUP(Tabela1[[#This Row],[Cliente]],'BASE DE CLIENTES'!A:D,4,0)</f>
        <v>SEM CLASSIFICAÇÃO</v>
      </c>
      <c r="L96" s="1" t="str">
        <f>VLOOKUP(Tabela1[[#This Row],[Cliente]],'BASE DE CLIENTES'!A:E,5,0)</f>
        <v>Águas Lindas de Goiás</v>
      </c>
    </row>
    <row r="97" spans="2:12" x14ac:dyDescent="0.3">
      <c r="B97" s="1" t="s">
        <v>99</v>
      </c>
      <c r="C97" s="4" t="str">
        <f>VLOOKUP(Tabela1[[#This Row],[Cliente]],'BASE DE CLIENTES'!A:E,2,0)</f>
        <v>Brasília</v>
      </c>
      <c r="D97" s="1" t="str">
        <f>VLOOKUP(Tabela1[[#This Row],[Cliente]],'BASE DE CLIENTES'!A:C,3,0)</f>
        <v>DF</v>
      </c>
      <c r="E97" s="4" t="str">
        <f>CONCATENATE(Tabela1[[#This Row],[CIDADE]],",",Tabela1[[#This Row],[UF]])</f>
        <v>Brasília,DF</v>
      </c>
      <c r="F97" s="2">
        <v>45678</v>
      </c>
      <c r="G97" s="17">
        <v>5221.3999999999996</v>
      </c>
      <c r="H97" s="17">
        <v>7391.4</v>
      </c>
      <c r="I97" s="6">
        <f>Tabela1[[#This Row],[Valor total]]-Tabela1[[#This Row],[Valor custo]]</f>
        <v>2170</v>
      </c>
      <c r="J97" s="7">
        <f>Tabela1[[#This Row],[MARGEM BRUTA]]/Tabela1[[#This Row],[Valor total]]</f>
        <v>0.29358443596612283</v>
      </c>
      <c r="K97" s="1" t="str">
        <f>VLOOKUP(Tabela1[[#This Row],[Cliente]],'BASE DE CLIENTES'!A:D,4,0)</f>
        <v>EMPRESA COM MAQUINA</v>
      </c>
      <c r="L97" s="1" t="str">
        <f>VLOOKUP(Tabela1[[#This Row],[Cliente]],'BASE DE CLIENTES'!A:E,5,0)</f>
        <v>ARAPOANGA (PLANALTINA)</v>
      </c>
    </row>
    <row r="98" spans="2:12" x14ac:dyDescent="0.3">
      <c r="B98" s="1" t="s">
        <v>38</v>
      </c>
      <c r="C98" s="4" t="str">
        <f>VLOOKUP(Tabela1[[#This Row],[Cliente]],'BASE DE CLIENTES'!A:E,2,0)</f>
        <v>Brasília</v>
      </c>
      <c r="D98" s="1" t="str">
        <f>VLOOKUP(Tabela1[[#This Row],[Cliente]],'BASE DE CLIENTES'!A:C,3,0)</f>
        <v>DF</v>
      </c>
      <c r="E98" s="4" t="str">
        <f>CONCATENATE(Tabela1[[#This Row],[CIDADE]],",",Tabela1[[#This Row],[UF]])</f>
        <v>Brasília,DF</v>
      </c>
      <c r="F98" s="2">
        <v>45678</v>
      </c>
      <c r="G98" s="17">
        <v>439.2</v>
      </c>
      <c r="H98" s="17">
        <v>645</v>
      </c>
      <c r="I98" s="6">
        <f>Tabela1[[#This Row],[Valor total]]-Tabela1[[#This Row],[Valor custo]]</f>
        <v>205.8</v>
      </c>
      <c r="J98" s="7">
        <f>Tabela1[[#This Row],[MARGEM BRUTA]]/Tabela1[[#This Row],[Valor total]]</f>
        <v>0.3190697674418605</v>
      </c>
      <c r="K98" s="1" t="str">
        <f>VLOOKUP(Tabela1[[#This Row],[Cliente]],'BASE DE CLIENTES'!A:D,4,0)</f>
        <v>EMPRESA SEM MAQUINA</v>
      </c>
      <c r="L98" s="1" t="str">
        <f>VLOOKUP(Tabela1[[#This Row],[Cliente]],'BASE DE CLIENTES'!A:E,5,0)</f>
        <v>PONTE ALTA NORTE (GAMA)</v>
      </c>
    </row>
    <row r="99" spans="2:12" x14ac:dyDescent="0.3">
      <c r="B99" s="1" t="s">
        <v>81</v>
      </c>
      <c r="C99" s="4" t="str">
        <f>VLOOKUP(Tabela1[[#This Row],[Cliente]],'BASE DE CLIENTES'!A:E,2,0)</f>
        <v>Águas Lindas de Goiás</v>
      </c>
      <c r="D99" s="1" t="str">
        <f>VLOOKUP(Tabela1[[#This Row],[Cliente]],'BASE DE CLIENTES'!A:C,3,0)</f>
        <v>GO</v>
      </c>
      <c r="E99" s="4" t="str">
        <f>CONCATENATE(Tabela1[[#This Row],[CIDADE]],",",Tabela1[[#This Row],[UF]])</f>
        <v>Águas Lindas de Goiás,GO</v>
      </c>
      <c r="F99" s="2">
        <v>45707</v>
      </c>
      <c r="G99" s="17">
        <v>1095.1099999999999</v>
      </c>
      <c r="H99" s="17">
        <v>1550</v>
      </c>
      <c r="I99" s="6">
        <f>Tabela1[[#This Row],[Valor total]]-Tabela1[[#This Row],[Valor custo]]</f>
        <v>454.8900000000001</v>
      </c>
      <c r="J99" s="7">
        <f>Tabela1[[#This Row],[MARGEM BRUTA]]/Tabela1[[#This Row],[Valor total]]</f>
        <v>0.29347741935483879</v>
      </c>
      <c r="K99" s="1" t="str">
        <f>VLOOKUP(Tabela1[[#This Row],[Cliente]],'BASE DE CLIENTES'!A:D,4,0)</f>
        <v>SEM CLASSIFICAÇÃO</v>
      </c>
      <c r="L99" s="1" t="str">
        <f>VLOOKUP(Tabela1[[#This Row],[Cliente]],'BASE DE CLIENTES'!A:E,5,0)</f>
        <v>Águas Lindas de Goiás</v>
      </c>
    </row>
    <row r="100" spans="2:12" x14ac:dyDescent="0.3">
      <c r="B100" s="1" t="s">
        <v>30</v>
      </c>
      <c r="C100" s="4" t="str">
        <f>VLOOKUP(Tabela1[[#This Row],[Cliente]],'BASE DE CLIENTES'!A:E,2,0)</f>
        <v>Águas Lindas de Goiás</v>
      </c>
      <c r="D100" s="1" t="str">
        <f>VLOOKUP(Tabela1[[#This Row],[Cliente]],'BASE DE CLIENTES'!A:C,3,0)</f>
        <v>GO</v>
      </c>
      <c r="E100" s="4" t="str">
        <f>CONCATENATE(Tabela1[[#This Row],[CIDADE]],",",Tabela1[[#This Row],[UF]])</f>
        <v>Águas Lindas de Goiás,GO</v>
      </c>
      <c r="F100" s="2">
        <v>45706</v>
      </c>
      <c r="G100" s="17">
        <v>122.74</v>
      </c>
      <c r="H100" s="17">
        <v>170</v>
      </c>
      <c r="I100" s="6">
        <f>Tabela1[[#This Row],[Valor total]]-Tabela1[[#This Row],[Valor custo]]</f>
        <v>47.260000000000005</v>
      </c>
      <c r="J100" s="7">
        <f>Tabela1[[#This Row],[MARGEM BRUTA]]/Tabela1[[#This Row],[Valor total]]</f>
        <v>0.27800000000000002</v>
      </c>
      <c r="K100" s="1" t="str">
        <f>VLOOKUP(Tabela1[[#This Row],[Cliente]],'BASE DE CLIENTES'!A:D,4,0)</f>
        <v>SERRALHEIRO</v>
      </c>
      <c r="L100" s="1" t="str">
        <f>VLOOKUP(Tabela1[[#This Row],[Cliente]],'BASE DE CLIENTES'!A:E,5,0)</f>
        <v>Águas Lindas de Goiás</v>
      </c>
    </row>
    <row r="101" spans="2:12" x14ac:dyDescent="0.3">
      <c r="B101" s="1" t="s">
        <v>17</v>
      </c>
      <c r="C101" s="4" t="str">
        <f>VLOOKUP(Tabela1[[#This Row],[Cliente]],'BASE DE CLIENTES'!A:E,2,0)</f>
        <v>Águas Lindas de Goiás</v>
      </c>
      <c r="D101" s="1" t="str">
        <f>VLOOKUP(Tabela1[[#This Row],[Cliente]],'BASE DE CLIENTES'!A:C,3,0)</f>
        <v>GO</v>
      </c>
      <c r="E101" s="4" t="str">
        <f>CONCATENATE(Tabela1[[#This Row],[CIDADE]],",",Tabela1[[#This Row],[UF]])</f>
        <v>Águas Lindas de Goiás,GO</v>
      </c>
      <c r="F101" s="2">
        <v>45698</v>
      </c>
      <c r="G101" s="17">
        <v>0</v>
      </c>
      <c r="H101" s="17">
        <v>750</v>
      </c>
      <c r="I101" s="6">
        <f>Tabela1[[#This Row],[Valor total]]-Tabela1[[#This Row],[Valor custo]]</f>
        <v>750</v>
      </c>
      <c r="J101" s="7">
        <f>Tabela1[[#This Row],[MARGEM BRUTA]]/Tabela1[[#This Row],[Valor total]]</f>
        <v>1</v>
      </c>
      <c r="K101" s="1" t="str">
        <f>VLOOKUP(Tabela1[[#This Row],[Cliente]],'BASE DE CLIENTES'!A:D,4,0)</f>
        <v>SERRALHEIRO</v>
      </c>
      <c r="L101" s="1" t="str">
        <f>VLOOKUP(Tabela1[[#This Row],[Cliente]],'BASE DE CLIENTES'!A:E,5,0)</f>
        <v>Águas Lindas de Goiás</v>
      </c>
    </row>
    <row r="102" spans="2:12" x14ac:dyDescent="0.3">
      <c r="B102" s="1" t="s">
        <v>30</v>
      </c>
      <c r="C102" s="4" t="str">
        <f>VLOOKUP(Tabela1[[#This Row],[Cliente]],'BASE DE CLIENTES'!A:E,2,0)</f>
        <v>Águas Lindas de Goiás</v>
      </c>
      <c r="D102" s="1" t="str">
        <f>VLOOKUP(Tabela1[[#This Row],[Cliente]],'BASE DE CLIENTES'!A:C,3,0)</f>
        <v>GO</v>
      </c>
      <c r="E102" s="4" t="str">
        <f>CONCATENATE(Tabela1[[#This Row],[CIDADE]],",",Tabela1[[#This Row],[UF]])</f>
        <v>Águas Lindas de Goiás,GO</v>
      </c>
      <c r="F102" s="2">
        <v>45693</v>
      </c>
      <c r="G102" s="17">
        <v>20.88</v>
      </c>
      <c r="H102" s="17">
        <v>80</v>
      </c>
      <c r="I102" s="6">
        <f>Tabela1[[#This Row],[Valor total]]-Tabela1[[#This Row],[Valor custo]]</f>
        <v>59.120000000000005</v>
      </c>
      <c r="J102" s="7">
        <f>Tabela1[[#This Row],[MARGEM BRUTA]]/Tabela1[[#This Row],[Valor total]]</f>
        <v>0.7390000000000001</v>
      </c>
      <c r="K102" s="1" t="str">
        <f>VLOOKUP(Tabela1[[#This Row],[Cliente]],'BASE DE CLIENTES'!A:D,4,0)</f>
        <v>SERRALHEIRO</v>
      </c>
      <c r="L102" s="1" t="str">
        <f>VLOOKUP(Tabela1[[#This Row],[Cliente]],'BASE DE CLIENTES'!A:E,5,0)</f>
        <v>Águas Lindas de Goiás</v>
      </c>
    </row>
    <row r="103" spans="2:12" x14ac:dyDescent="0.3">
      <c r="B103" s="1" t="s">
        <v>100</v>
      </c>
      <c r="C103" s="4" t="str">
        <f>VLOOKUP(Tabela1[[#This Row],[Cliente]],'BASE DE CLIENTES'!A:E,2,0)</f>
        <v>Águas Lindas de Goiás</v>
      </c>
      <c r="D103" s="1" t="str">
        <f>VLOOKUP(Tabela1[[#This Row],[Cliente]],'BASE DE CLIENTES'!A:C,3,0)</f>
        <v>GO</v>
      </c>
      <c r="E103" s="4" t="str">
        <f>CONCATENATE(Tabela1[[#This Row],[CIDADE]],",",Tabela1[[#This Row],[UF]])</f>
        <v>Águas Lindas de Goiás,GO</v>
      </c>
      <c r="F103" s="2">
        <v>45677</v>
      </c>
      <c r="G103" s="17">
        <v>514.45000000000005</v>
      </c>
      <c r="H103" s="17">
        <v>725</v>
      </c>
      <c r="I103" s="6">
        <f>Tabela1[[#This Row],[Valor total]]-Tabela1[[#This Row],[Valor custo]]</f>
        <v>210.54999999999995</v>
      </c>
      <c r="J103" s="7">
        <f>Tabela1[[#This Row],[MARGEM BRUTA]]/Tabela1[[#This Row],[Valor total]]</f>
        <v>0.29041379310344823</v>
      </c>
      <c r="K103" s="1" t="str">
        <f>VLOOKUP(Tabela1[[#This Row],[Cliente]],'BASE DE CLIENTES'!A:D,4,0)</f>
        <v>EMPRESA SEM MAQUINA</v>
      </c>
      <c r="L103" s="1" t="str">
        <f>VLOOKUP(Tabela1[[#This Row],[Cliente]],'BASE DE CLIENTES'!A:E,5,0)</f>
        <v>Águas Lindas de Goiás</v>
      </c>
    </row>
    <row r="104" spans="2:12" x14ac:dyDescent="0.3">
      <c r="B104" s="1" t="s">
        <v>76</v>
      </c>
      <c r="C104" s="4" t="str">
        <f>VLOOKUP(Tabela1[[#This Row],[Cliente]],'BASE DE CLIENTES'!A:E,2,0)</f>
        <v>Brasília</v>
      </c>
      <c r="D104" s="1" t="str">
        <f>VLOOKUP(Tabela1[[#This Row],[Cliente]],'BASE DE CLIENTES'!A:C,3,0)</f>
        <v>DF</v>
      </c>
      <c r="E104" s="4" t="str">
        <f>CONCATENATE(Tabela1[[#This Row],[CIDADE]],",",Tabela1[[#This Row],[UF]])</f>
        <v>Brasília,DF</v>
      </c>
      <c r="F104" s="2">
        <v>45677</v>
      </c>
      <c r="G104" s="17">
        <v>7151.68</v>
      </c>
      <c r="H104" s="17">
        <v>10670</v>
      </c>
      <c r="I104" s="6">
        <f>Tabela1[[#This Row],[Valor total]]-Tabela1[[#This Row],[Valor custo]]</f>
        <v>3518.3199999999997</v>
      </c>
      <c r="J104" s="7">
        <f>Tabela1[[#This Row],[MARGEM BRUTA]]/Tabela1[[#This Row],[Valor total]]</f>
        <v>0.32973945641986874</v>
      </c>
      <c r="K104" s="1" t="str">
        <f>VLOOKUP(Tabela1[[#This Row],[Cliente]],'BASE DE CLIENTES'!A:D,4,0)</f>
        <v>EMPRESA COM MAQUINA</v>
      </c>
      <c r="L104" s="1" t="str">
        <f>VLOOKUP(Tabela1[[#This Row],[Cliente]],'BASE DE CLIENTES'!A:E,5,0)</f>
        <v>Setor Placa da Mercedes (Núcleo Bandeirante)</v>
      </c>
    </row>
    <row r="105" spans="2:12" x14ac:dyDescent="0.3">
      <c r="B105" s="1" t="s">
        <v>17</v>
      </c>
      <c r="C105" s="4" t="str">
        <f>VLOOKUP(Tabela1[[#This Row],[Cliente]],'BASE DE CLIENTES'!A:E,2,0)</f>
        <v>Águas Lindas de Goiás</v>
      </c>
      <c r="D105" s="1" t="str">
        <f>VLOOKUP(Tabela1[[#This Row],[Cliente]],'BASE DE CLIENTES'!A:C,3,0)</f>
        <v>GO</v>
      </c>
      <c r="E105" s="4" t="str">
        <f>CONCATENATE(Tabela1[[#This Row],[CIDADE]],",",Tabela1[[#This Row],[UF]])</f>
        <v>Águas Lindas de Goiás,GO</v>
      </c>
      <c r="F105" s="2">
        <v>45693</v>
      </c>
      <c r="G105" s="17">
        <v>514.45000000000005</v>
      </c>
      <c r="H105" s="17">
        <v>720</v>
      </c>
      <c r="I105" s="6">
        <f>Tabela1[[#This Row],[Valor total]]-Tabela1[[#This Row],[Valor custo]]</f>
        <v>205.54999999999995</v>
      </c>
      <c r="J105" s="7">
        <f>Tabela1[[#This Row],[MARGEM BRUTA]]/Tabela1[[#This Row],[Valor total]]</f>
        <v>0.28548611111111105</v>
      </c>
      <c r="K105" s="1" t="str">
        <f>VLOOKUP(Tabela1[[#This Row],[Cliente]],'BASE DE CLIENTES'!A:D,4,0)</f>
        <v>SERRALHEIRO</v>
      </c>
      <c r="L105" s="1" t="str">
        <f>VLOOKUP(Tabela1[[#This Row],[Cliente]],'BASE DE CLIENTES'!A:E,5,0)</f>
        <v>Águas Lindas de Goiás</v>
      </c>
    </row>
    <row r="106" spans="2:12" x14ac:dyDescent="0.3">
      <c r="B106" s="1" t="s">
        <v>52</v>
      </c>
      <c r="C106" s="4" t="str">
        <f>VLOOKUP(Tabela1[[#This Row],[Cliente]],'BASE DE CLIENTES'!A:E,2,0)</f>
        <v>Brasília</v>
      </c>
      <c r="D106" s="1" t="str">
        <f>VLOOKUP(Tabela1[[#This Row],[Cliente]],'BASE DE CLIENTES'!A:C,3,0)</f>
        <v>DF</v>
      </c>
      <c r="E106" s="4" t="str">
        <f>CONCATENATE(Tabela1[[#This Row],[CIDADE]],",",Tabela1[[#This Row],[UF]])</f>
        <v>Brasília,DF</v>
      </c>
      <c r="F106" s="2">
        <v>45677</v>
      </c>
      <c r="G106" s="17">
        <v>439.2</v>
      </c>
      <c r="H106" s="17">
        <v>645</v>
      </c>
      <c r="I106" s="6">
        <f>Tabela1[[#This Row],[Valor total]]-Tabela1[[#This Row],[Valor custo]]</f>
        <v>205.8</v>
      </c>
      <c r="J106" s="7">
        <f>Tabela1[[#This Row],[MARGEM BRUTA]]/Tabela1[[#This Row],[Valor total]]</f>
        <v>0.3190697674418605</v>
      </c>
      <c r="K106" s="1" t="str">
        <f>VLOOKUP(Tabela1[[#This Row],[Cliente]],'BASE DE CLIENTES'!A:D,4,0)</f>
        <v>SERRALHEIRO</v>
      </c>
      <c r="L106" s="1" t="str">
        <f>VLOOKUP(Tabela1[[#This Row],[Cliente]],'BASE DE CLIENTES'!A:E,5,0)</f>
        <v>Ceilândia Sul (Ceilândia)</v>
      </c>
    </row>
    <row r="107" spans="2:12" x14ac:dyDescent="0.3">
      <c r="B107" s="1" t="s">
        <v>70</v>
      </c>
      <c r="C107" s="4" t="str">
        <f>VLOOKUP(Tabela1[[#This Row],[Cliente]],'BASE DE CLIENTES'!A:E,2,0)</f>
        <v>Brasília</v>
      </c>
      <c r="D107" s="1" t="str">
        <f>VLOOKUP(Tabela1[[#This Row],[Cliente]],'BASE DE CLIENTES'!A:C,3,0)</f>
        <v>DF</v>
      </c>
      <c r="E107" s="4" t="str">
        <f>CONCATENATE(Tabela1[[#This Row],[CIDADE]],",",Tabela1[[#This Row],[UF]])</f>
        <v>Brasília,DF</v>
      </c>
      <c r="F107" s="2">
        <v>45677</v>
      </c>
      <c r="G107" s="17">
        <v>878.4</v>
      </c>
      <c r="H107" s="17">
        <v>1290</v>
      </c>
      <c r="I107" s="6">
        <f>Tabela1[[#This Row],[Valor total]]-Tabela1[[#This Row],[Valor custo]]</f>
        <v>411.6</v>
      </c>
      <c r="J107" s="7">
        <f>Tabela1[[#This Row],[MARGEM BRUTA]]/Tabela1[[#This Row],[Valor total]]</f>
        <v>0.3190697674418605</v>
      </c>
      <c r="K107" s="1" t="str">
        <f>VLOOKUP(Tabela1[[#This Row],[Cliente]],'BASE DE CLIENTES'!A:D,4,0)</f>
        <v>EMPRESA COM MAQUINA</v>
      </c>
      <c r="L107" s="1" t="str">
        <f>VLOOKUP(Tabela1[[#This Row],[Cliente]],'BASE DE CLIENTES'!A:E,5,0)</f>
        <v>TAGUATINGA NORTE (TAGUATINGA)</v>
      </c>
    </row>
    <row r="108" spans="2:12" x14ac:dyDescent="0.3">
      <c r="B108" s="1" t="s">
        <v>101</v>
      </c>
      <c r="C108" s="4" t="str">
        <f>VLOOKUP(Tabela1[[#This Row],[Cliente]],'BASE DE CLIENTES'!A:E,2,0)</f>
        <v>Brasília</v>
      </c>
      <c r="D108" s="1" t="str">
        <f>VLOOKUP(Tabela1[[#This Row],[Cliente]],'BASE DE CLIENTES'!A:C,3,0)</f>
        <v>DF</v>
      </c>
      <c r="E108" s="4" t="str">
        <f>CONCATENATE(Tabela1[[#This Row],[CIDADE]],",",Tabela1[[#This Row],[UF]])</f>
        <v>Brasília,DF</v>
      </c>
      <c r="F108" s="2">
        <v>45677</v>
      </c>
      <c r="G108" s="17">
        <v>545.14</v>
      </c>
      <c r="H108" s="17">
        <v>905</v>
      </c>
      <c r="I108" s="6">
        <f>Tabela1[[#This Row],[Valor total]]-Tabela1[[#This Row],[Valor custo]]</f>
        <v>359.86</v>
      </c>
      <c r="J108" s="7">
        <f>Tabela1[[#This Row],[MARGEM BRUTA]]/Tabela1[[#This Row],[Valor total]]</f>
        <v>0.3976353591160221</v>
      </c>
      <c r="K108" s="1" t="str">
        <f>VLOOKUP(Tabela1[[#This Row],[Cliente]],'BASE DE CLIENTES'!A:D,4,0)</f>
        <v>SERRALHEIRO</v>
      </c>
      <c r="L108" s="1" t="str">
        <f>VLOOKUP(Tabela1[[#This Row],[Cliente]],'BASE DE CLIENTES'!A:E,5,0)</f>
        <v>TAGUATINGA SUL (TAGUATINGA)</v>
      </c>
    </row>
    <row r="109" spans="2:12" x14ac:dyDescent="0.3">
      <c r="B109" s="1" t="s">
        <v>30</v>
      </c>
      <c r="C109" s="4" t="str">
        <f>VLOOKUP(Tabela1[[#This Row],[Cliente]],'BASE DE CLIENTES'!A:E,2,0)</f>
        <v>Águas Lindas de Goiás</v>
      </c>
      <c r="D109" s="1" t="str">
        <f>VLOOKUP(Tabela1[[#This Row],[Cliente]],'BASE DE CLIENTES'!A:C,3,0)</f>
        <v>GO</v>
      </c>
      <c r="E109" s="4" t="str">
        <f>CONCATENATE(Tabela1[[#This Row],[CIDADE]],",",Tabela1[[#This Row],[UF]])</f>
        <v>Águas Lindas de Goiás,GO</v>
      </c>
      <c r="F109" s="2">
        <v>45693</v>
      </c>
      <c r="G109" s="17">
        <v>1969.77</v>
      </c>
      <c r="H109" s="17">
        <v>3370</v>
      </c>
      <c r="I109" s="6">
        <f>Tabela1[[#This Row],[Valor total]]-Tabela1[[#This Row],[Valor custo]]</f>
        <v>1400.23</v>
      </c>
      <c r="J109" s="7">
        <f>Tabela1[[#This Row],[MARGEM BRUTA]]/Tabela1[[#This Row],[Valor total]]</f>
        <v>0.4154985163204748</v>
      </c>
      <c r="K109" s="1" t="str">
        <f>VLOOKUP(Tabela1[[#This Row],[Cliente]],'BASE DE CLIENTES'!A:D,4,0)</f>
        <v>SERRALHEIRO</v>
      </c>
      <c r="L109" s="1" t="str">
        <f>VLOOKUP(Tabela1[[#This Row],[Cliente]],'BASE DE CLIENTES'!A:E,5,0)</f>
        <v>Águas Lindas de Goiás</v>
      </c>
    </row>
    <row r="110" spans="2:12" x14ac:dyDescent="0.3">
      <c r="B110" s="1" t="s">
        <v>27</v>
      </c>
      <c r="C110" s="4" t="str">
        <f>VLOOKUP(Tabela1[[#This Row],[Cliente]],'BASE DE CLIENTES'!A:E,2,0)</f>
        <v>Brasília</v>
      </c>
      <c r="D110" s="1" t="str">
        <f>VLOOKUP(Tabela1[[#This Row],[Cliente]],'BASE DE CLIENTES'!A:C,3,0)</f>
        <v>DF</v>
      </c>
      <c r="E110" s="4" t="str">
        <f>CONCATENATE(Tabela1[[#This Row],[CIDADE]],",",Tabela1[[#This Row],[UF]])</f>
        <v>Brasília,DF</v>
      </c>
      <c r="F110" s="2">
        <v>45677</v>
      </c>
      <c r="G110" s="17">
        <v>931.45</v>
      </c>
      <c r="H110" s="17">
        <v>1385</v>
      </c>
      <c r="I110" s="6">
        <f>Tabela1[[#This Row],[Valor total]]-Tabela1[[#This Row],[Valor custo]]</f>
        <v>453.54999999999995</v>
      </c>
      <c r="J110" s="7">
        <f>Tabela1[[#This Row],[MARGEM BRUTA]]/Tabela1[[#This Row],[Valor total]]</f>
        <v>0.32747292418772561</v>
      </c>
      <c r="K110" s="1" t="str">
        <f>VLOOKUP(Tabela1[[#This Row],[Cliente]],'BASE DE CLIENTES'!A:D,4,0)</f>
        <v>EMPRESA SEM MAQUINA</v>
      </c>
      <c r="L110" s="1" t="str">
        <f>VLOOKUP(Tabela1[[#This Row],[Cliente]],'BASE DE CLIENTES'!A:E,5,0)</f>
        <v>RECANTO DAS EMAS</v>
      </c>
    </row>
    <row r="111" spans="2:12" x14ac:dyDescent="0.3">
      <c r="B111" s="1" t="s">
        <v>102</v>
      </c>
      <c r="C111" s="4" t="str">
        <f>VLOOKUP(Tabela1[[#This Row],[Cliente]],'BASE DE CLIENTES'!A:E,2,0)</f>
        <v>Brasília</v>
      </c>
      <c r="D111" s="1" t="str">
        <f>VLOOKUP(Tabela1[[#This Row],[Cliente]],'BASE DE CLIENTES'!A:C,3,0)</f>
        <v>DF</v>
      </c>
      <c r="E111" s="4" t="str">
        <f>CONCATENATE(Tabela1[[#This Row],[CIDADE]],",",Tabela1[[#This Row],[UF]])</f>
        <v>Brasília,DF</v>
      </c>
      <c r="F111" s="2">
        <v>45677</v>
      </c>
      <c r="G111" s="17">
        <v>2057.8000000000002</v>
      </c>
      <c r="H111" s="17">
        <v>2880</v>
      </c>
      <c r="I111" s="6">
        <f>Tabela1[[#This Row],[Valor total]]-Tabela1[[#This Row],[Valor custo]]</f>
        <v>822.19999999999982</v>
      </c>
      <c r="J111" s="7">
        <f>Tabela1[[#This Row],[MARGEM BRUTA]]/Tabela1[[#This Row],[Valor total]]</f>
        <v>0.28548611111111105</v>
      </c>
      <c r="K111" s="1" t="str">
        <f>VLOOKUP(Tabela1[[#This Row],[Cliente]],'BASE DE CLIENTES'!A:D,4,0)</f>
        <v>SERRALHEIRO</v>
      </c>
      <c r="L111" s="1" t="str">
        <f>VLOOKUP(Tabela1[[#This Row],[Cliente]],'BASE DE CLIENTES'!A:E,5,0)</f>
        <v>Samambaia Norte (Samambaia)</v>
      </c>
    </row>
    <row r="112" spans="2:12" x14ac:dyDescent="0.3">
      <c r="B112" s="1" t="s">
        <v>66</v>
      </c>
      <c r="C112" s="4" t="str">
        <f>VLOOKUP(Tabela1[[#This Row],[Cliente]],'BASE DE CLIENTES'!A:E,2,0)</f>
        <v>Águas Lindas de Goiás</v>
      </c>
      <c r="D112" s="1" t="str">
        <f>VLOOKUP(Tabela1[[#This Row],[Cliente]],'BASE DE CLIENTES'!A:C,3,0)</f>
        <v>GO</v>
      </c>
      <c r="E112" s="4" t="str">
        <f>CONCATENATE(Tabela1[[#This Row],[CIDADE]],",",Tabela1[[#This Row],[UF]])</f>
        <v>Águas Lindas de Goiás,GO</v>
      </c>
      <c r="F112" s="2">
        <v>45692</v>
      </c>
      <c r="G112" s="17">
        <v>878.4</v>
      </c>
      <c r="H112" s="17">
        <v>1290</v>
      </c>
      <c r="I112" s="6">
        <f>Tabela1[[#This Row],[Valor total]]-Tabela1[[#This Row],[Valor custo]]</f>
        <v>411.6</v>
      </c>
      <c r="J112" s="7">
        <f>Tabela1[[#This Row],[MARGEM BRUTA]]/Tabela1[[#This Row],[Valor total]]</f>
        <v>0.3190697674418605</v>
      </c>
      <c r="K112" s="1" t="str">
        <f>VLOOKUP(Tabela1[[#This Row],[Cliente]],'BASE DE CLIENTES'!A:D,4,0)</f>
        <v>EMPRESA COM MAQUINA</v>
      </c>
      <c r="L112" s="1" t="str">
        <f>VLOOKUP(Tabela1[[#This Row],[Cliente]],'BASE DE CLIENTES'!A:E,5,0)</f>
        <v>Águas Lindas de Goiás</v>
      </c>
    </row>
    <row r="113" spans="1:12" x14ac:dyDescent="0.3">
      <c r="B113" s="1" t="s">
        <v>70</v>
      </c>
      <c r="C113" s="4" t="str">
        <f>VLOOKUP(Tabela1[[#This Row],[Cliente]],'BASE DE CLIENTES'!A:E,2,0)</f>
        <v>Brasília</v>
      </c>
      <c r="D113" s="1" t="str">
        <f>VLOOKUP(Tabela1[[#This Row],[Cliente]],'BASE DE CLIENTES'!A:C,3,0)</f>
        <v>DF</v>
      </c>
      <c r="E113" s="4" t="str">
        <f>CONCATENATE(Tabela1[[#This Row],[CIDADE]],",",Tabela1[[#This Row],[UF]])</f>
        <v>Brasília,DF</v>
      </c>
      <c r="F113" s="2">
        <v>45674</v>
      </c>
      <c r="G113" s="17">
        <v>400</v>
      </c>
      <c r="H113" s="17">
        <v>600</v>
      </c>
      <c r="I113" s="6">
        <f>Tabela1[[#This Row],[Valor total]]-Tabela1[[#This Row],[Valor custo]]</f>
        <v>200</v>
      </c>
      <c r="J113" s="7">
        <f>Tabela1[[#This Row],[MARGEM BRUTA]]/Tabela1[[#This Row],[Valor total]]</f>
        <v>0.33333333333333331</v>
      </c>
      <c r="K113" s="1" t="str">
        <f>VLOOKUP(Tabela1[[#This Row],[Cliente]],'BASE DE CLIENTES'!A:D,4,0)</f>
        <v>EMPRESA COM MAQUINA</v>
      </c>
      <c r="L113" s="1" t="str">
        <f>VLOOKUP(Tabela1[[#This Row],[Cliente]],'BASE DE CLIENTES'!A:E,5,0)</f>
        <v>TAGUATINGA NORTE (TAGUATINGA)</v>
      </c>
    </row>
    <row r="114" spans="1:12" x14ac:dyDescent="0.3">
      <c r="B114" s="1" t="s">
        <v>66</v>
      </c>
      <c r="C114" s="4" t="str">
        <f>VLOOKUP(Tabela1[[#This Row],[Cliente]],'BASE DE CLIENTES'!A:E,2,0)</f>
        <v>Águas Lindas de Goiás</v>
      </c>
      <c r="D114" s="1" t="str">
        <f>VLOOKUP(Tabela1[[#This Row],[Cliente]],'BASE DE CLIENTES'!A:C,3,0)</f>
        <v>GO</v>
      </c>
      <c r="E114" s="4" t="str">
        <f>CONCATENATE(Tabela1[[#This Row],[CIDADE]],",",Tabela1[[#This Row],[UF]])</f>
        <v>Águas Lindas de Goiás,GO</v>
      </c>
      <c r="F114" s="2">
        <v>45744</v>
      </c>
      <c r="G114" s="17">
        <v>894</v>
      </c>
      <c r="H114" s="17">
        <v>1240</v>
      </c>
      <c r="I114" s="6">
        <f>Tabela1[[#This Row],[Valor total]]-Tabela1[[#This Row],[Valor custo]]</f>
        <v>346</v>
      </c>
      <c r="J114" s="7">
        <f>Tabela1[[#This Row],[MARGEM BRUTA]]/Tabela1[[#This Row],[Valor total]]</f>
        <v>0.27903225806451615</v>
      </c>
      <c r="K114" s="1" t="str">
        <f>VLOOKUP(Tabela1[[#This Row],[Cliente]],'BASE DE CLIENTES'!A:D,4,0)</f>
        <v>EMPRESA COM MAQUINA</v>
      </c>
      <c r="L114" s="1" t="str">
        <f>VLOOKUP(Tabela1[[#This Row],[Cliente]],'BASE DE CLIENTES'!A:E,5,0)</f>
        <v>Águas Lindas de Goiás</v>
      </c>
    </row>
    <row r="115" spans="1:12" x14ac:dyDescent="0.3">
      <c r="A115" s="1" t="s">
        <v>103</v>
      </c>
      <c r="B115" s="1" t="s">
        <v>21</v>
      </c>
      <c r="C115" s="4" t="str">
        <f>VLOOKUP(Tabela1[[#This Row],[Cliente]],'BASE DE CLIENTES'!A:E,2,0)</f>
        <v>Brasília</v>
      </c>
      <c r="D115" s="1" t="str">
        <f>VLOOKUP(Tabela1[[#This Row],[Cliente]],'BASE DE CLIENTES'!A:C,3,0)</f>
        <v>DF</v>
      </c>
      <c r="E115" s="4" t="str">
        <f>CONCATENATE(Tabela1[[#This Row],[CIDADE]],",",Tabela1[[#This Row],[UF]])</f>
        <v>Brasília,DF</v>
      </c>
      <c r="F115" s="2">
        <v>45688</v>
      </c>
      <c r="G115" s="17">
        <v>4118.7</v>
      </c>
      <c r="H115" s="17">
        <v>5832</v>
      </c>
      <c r="I115" s="6">
        <f>Tabela1[[#This Row],[Valor total]]-Tabela1[[#This Row],[Valor custo]]</f>
        <v>1713.3000000000002</v>
      </c>
      <c r="J115" s="7">
        <f>Tabela1[[#This Row],[MARGEM BRUTA]]/Tabela1[[#This Row],[Valor total]]</f>
        <v>0.29377572016460907</v>
      </c>
      <c r="K115" s="1" t="str">
        <f>VLOOKUP(Tabela1[[#This Row],[Cliente]],'BASE DE CLIENTES'!A:D,4,0)</f>
        <v>EMPRESA COM MAQUINA</v>
      </c>
      <c r="L115" s="1" t="str">
        <f>VLOOKUP(Tabela1[[#This Row],[Cliente]],'BASE DE CLIENTES'!A:E,5,0)</f>
        <v>RIACHO FUNDO II</v>
      </c>
    </row>
    <row r="116" spans="1:12" x14ac:dyDescent="0.3">
      <c r="B116" s="1" t="s">
        <v>66</v>
      </c>
      <c r="C116" s="4" t="str">
        <f>VLOOKUP(Tabela1[[#This Row],[Cliente]],'BASE DE CLIENTES'!A:E,2,0)</f>
        <v>Águas Lindas de Goiás</v>
      </c>
      <c r="D116" s="1" t="str">
        <f>VLOOKUP(Tabela1[[#This Row],[Cliente]],'BASE DE CLIENTES'!A:C,3,0)</f>
        <v>GO</v>
      </c>
      <c r="E116" s="4" t="str">
        <f>CONCATENATE(Tabela1[[#This Row],[CIDADE]],",",Tabela1[[#This Row],[UF]])</f>
        <v>Águas Lindas de Goiás,GO</v>
      </c>
      <c r="F116" s="2">
        <v>45744</v>
      </c>
      <c r="G116" s="17">
        <v>1157</v>
      </c>
      <c r="H116" s="17">
        <v>1870</v>
      </c>
      <c r="I116" s="6">
        <f>Tabela1[[#This Row],[Valor total]]-Tabela1[[#This Row],[Valor custo]]</f>
        <v>713</v>
      </c>
      <c r="J116" s="7">
        <f>Tabela1[[#This Row],[MARGEM BRUTA]]/Tabela1[[#This Row],[Valor total]]</f>
        <v>0.38128342245989305</v>
      </c>
      <c r="K116" s="1" t="str">
        <f>VLOOKUP(Tabela1[[#This Row],[Cliente]],'BASE DE CLIENTES'!A:D,4,0)</f>
        <v>EMPRESA COM MAQUINA</v>
      </c>
      <c r="L116" s="1" t="str">
        <f>VLOOKUP(Tabela1[[#This Row],[Cliente]],'BASE DE CLIENTES'!A:E,5,0)</f>
        <v>Águas Lindas de Goiás</v>
      </c>
    </row>
    <row r="117" spans="1:12" x14ac:dyDescent="0.3">
      <c r="B117" s="1" t="s">
        <v>19</v>
      </c>
      <c r="C117" s="4" t="str">
        <f>VLOOKUP(Tabela1[[#This Row],[Cliente]],'BASE DE CLIENTES'!A:E,2,0)</f>
        <v>Águas Lindas de Goiás</v>
      </c>
      <c r="D117" s="1" t="str">
        <f>VLOOKUP(Tabela1[[#This Row],[Cliente]],'BASE DE CLIENTES'!A:C,3,0)</f>
        <v>GO</v>
      </c>
      <c r="E117" s="4" t="str">
        <f>CONCATENATE(Tabela1[[#This Row],[CIDADE]],",",Tabela1[[#This Row],[UF]])</f>
        <v>Águas Lindas de Goiás,GO</v>
      </c>
      <c r="F117" s="2">
        <v>45744</v>
      </c>
      <c r="G117" s="17">
        <v>166</v>
      </c>
      <c r="H117" s="17">
        <v>200</v>
      </c>
      <c r="I117" s="6">
        <f>Tabela1[[#This Row],[Valor total]]-Tabela1[[#This Row],[Valor custo]]</f>
        <v>34</v>
      </c>
      <c r="J117" s="7">
        <f>Tabela1[[#This Row],[MARGEM BRUTA]]/Tabela1[[#This Row],[Valor total]]</f>
        <v>0.17</v>
      </c>
      <c r="K117" s="1" t="str">
        <f>VLOOKUP(Tabela1[[#This Row],[Cliente]],'BASE DE CLIENTES'!A:D,4,0)</f>
        <v>SERRALHEIRO</v>
      </c>
      <c r="L117" s="1" t="str">
        <f>VLOOKUP(Tabela1[[#This Row],[Cliente]],'BASE DE CLIENTES'!A:E,5,0)</f>
        <v>Águas Lindas de Goiás</v>
      </c>
    </row>
    <row r="118" spans="1:12" x14ac:dyDescent="0.3">
      <c r="B118" s="1" t="s">
        <v>96</v>
      </c>
      <c r="C118" s="4" t="str">
        <f>VLOOKUP(Tabela1[[#This Row],[Cliente]],'BASE DE CLIENTES'!A:E,2,0)</f>
        <v>Brasília</v>
      </c>
      <c r="D118" s="1" t="str">
        <f>VLOOKUP(Tabela1[[#This Row],[Cliente]],'BASE DE CLIENTES'!A:C,3,0)</f>
        <v>DF</v>
      </c>
      <c r="E118" s="4" t="str">
        <f>CONCATENATE(Tabela1[[#This Row],[CIDADE]],",",Tabela1[[#This Row],[UF]])</f>
        <v>Brasília,DF</v>
      </c>
      <c r="F118" s="2">
        <v>45674</v>
      </c>
      <c r="G118" s="17">
        <v>88.45</v>
      </c>
      <c r="H118" s="17">
        <v>300</v>
      </c>
      <c r="I118" s="6">
        <f>Tabela1[[#This Row],[Valor total]]-Tabela1[[#This Row],[Valor custo]]</f>
        <v>211.55</v>
      </c>
      <c r="J118" s="7">
        <f>Tabela1[[#This Row],[MARGEM BRUTA]]/Tabela1[[#This Row],[Valor total]]</f>
        <v>0.70516666666666672</v>
      </c>
      <c r="K118" s="1" t="str">
        <f>VLOOKUP(Tabela1[[#This Row],[Cliente]],'BASE DE CLIENTES'!A:D,4,0)</f>
        <v>EMPRESA SEM MAQUINA</v>
      </c>
      <c r="L118" s="1" t="str">
        <f>VLOOKUP(Tabela1[[#This Row],[Cliente]],'BASE DE CLIENTES'!A:E,5,0)</f>
        <v>CEILANDIA NORTE (CEILANDIA)</v>
      </c>
    </row>
    <row r="119" spans="1:12" x14ac:dyDescent="0.3">
      <c r="B119" s="1" t="s">
        <v>21</v>
      </c>
      <c r="C119" s="4" t="str">
        <f>VLOOKUP(Tabela1[[#This Row],[Cliente]],'BASE DE CLIENTES'!A:E,2,0)</f>
        <v>Brasília</v>
      </c>
      <c r="D119" s="1" t="str">
        <f>VLOOKUP(Tabela1[[#This Row],[Cliente]],'BASE DE CLIENTES'!A:C,3,0)</f>
        <v>DF</v>
      </c>
      <c r="E119" s="4" t="str">
        <f>CONCATENATE(Tabela1[[#This Row],[CIDADE]],",",Tabela1[[#This Row],[UF]])</f>
        <v>Brasília,DF</v>
      </c>
      <c r="F119" s="2">
        <v>45706</v>
      </c>
      <c r="G119" s="17">
        <v>4098.7</v>
      </c>
      <c r="H119" s="17">
        <v>5800</v>
      </c>
      <c r="I119" s="6">
        <f>Tabela1[[#This Row],[Valor total]]-Tabela1[[#This Row],[Valor custo]]</f>
        <v>1701.3000000000002</v>
      </c>
      <c r="J119" s="7">
        <f>Tabela1[[#This Row],[MARGEM BRUTA]]/Tabela1[[#This Row],[Valor total]]</f>
        <v>0.29332758620689658</v>
      </c>
      <c r="K119" s="1" t="str">
        <f>VLOOKUP(Tabela1[[#This Row],[Cliente]],'BASE DE CLIENTES'!A:D,4,0)</f>
        <v>EMPRESA COM MAQUINA</v>
      </c>
      <c r="L119" s="1" t="str">
        <f>VLOOKUP(Tabela1[[#This Row],[Cliente]],'BASE DE CLIENTES'!A:E,5,0)</f>
        <v>RIACHO FUNDO II</v>
      </c>
    </row>
    <row r="120" spans="1:12" x14ac:dyDescent="0.3">
      <c r="B120" s="1" t="s">
        <v>19</v>
      </c>
      <c r="C120" s="4" t="str">
        <f>VLOOKUP(Tabela1[[#This Row],[Cliente]],'BASE DE CLIENTES'!A:E,2,0)</f>
        <v>Águas Lindas de Goiás</v>
      </c>
      <c r="D120" s="1" t="str">
        <f>VLOOKUP(Tabela1[[#This Row],[Cliente]],'BASE DE CLIENTES'!A:C,3,0)</f>
        <v>GO</v>
      </c>
      <c r="E120" s="4" t="str">
        <f>CONCATENATE(Tabela1[[#This Row],[CIDADE]],",",Tabela1[[#This Row],[UF]])</f>
        <v>Águas Lindas de Goiás,GO</v>
      </c>
      <c r="F120" s="2">
        <v>45744</v>
      </c>
      <c r="G120" s="17">
        <v>1604</v>
      </c>
      <c r="H120" s="17">
        <v>2540</v>
      </c>
      <c r="I120" s="6">
        <f>Tabela1[[#This Row],[Valor total]]-Tabela1[[#This Row],[Valor custo]]</f>
        <v>936</v>
      </c>
      <c r="J120" s="7">
        <f>Tabela1[[#This Row],[MARGEM BRUTA]]/Tabela1[[#This Row],[Valor total]]</f>
        <v>0.36850393700787404</v>
      </c>
      <c r="K120" s="1" t="str">
        <f>VLOOKUP(Tabela1[[#This Row],[Cliente]],'BASE DE CLIENTES'!A:D,4,0)</f>
        <v>SERRALHEIRO</v>
      </c>
      <c r="L120" s="1" t="str">
        <f>VLOOKUP(Tabela1[[#This Row],[Cliente]],'BASE DE CLIENTES'!A:E,5,0)</f>
        <v>Águas Lindas de Goiás</v>
      </c>
    </row>
    <row r="121" spans="1:12" x14ac:dyDescent="0.3">
      <c r="B121" s="1" t="s">
        <v>104</v>
      </c>
      <c r="C121" s="4" t="str">
        <f>VLOOKUP(Tabela1[[#This Row],[Cliente]],'BASE DE CLIENTES'!A:E,2,0)</f>
        <v>Águas Lindas de Goiás</v>
      </c>
      <c r="D121" s="1" t="str">
        <f>VLOOKUP(Tabela1[[#This Row],[Cliente]],'BASE DE CLIENTES'!A:C,3,0)</f>
        <v>GO</v>
      </c>
      <c r="E121" s="4" t="str">
        <f>CONCATENATE(Tabela1[[#This Row],[CIDADE]],",",Tabela1[[#This Row],[UF]])</f>
        <v>Águas Lindas de Goiás,GO</v>
      </c>
      <c r="F121" s="2">
        <v>45744</v>
      </c>
      <c r="G121" s="17">
        <v>1539</v>
      </c>
      <c r="H121" s="17">
        <v>2475</v>
      </c>
      <c r="I121" s="6">
        <f>Tabela1[[#This Row],[Valor total]]-Tabela1[[#This Row],[Valor custo]]</f>
        <v>936</v>
      </c>
      <c r="J121" s="7">
        <f>Tabela1[[#This Row],[MARGEM BRUTA]]/Tabela1[[#This Row],[Valor total]]</f>
        <v>0.37818181818181817</v>
      </c>
      <c r="K121" s="1" t="str">
        <f>VLOOKUP(Tabela1[[#This Row],[Cliente]],'BASE DE CLIENTES'!A:D,4,0)</f>
        <v>EMPRESA SEM MAQUINA</v>
      </c>
      <c r="L121" s="1" t="str">
        <f>VLOOKUP(Tabela1[[#This Row],[Cliente]],'BASE DE CLIENTES'!A:E,5,0)</f>
        <v>Águas Lindas de Goiás</v>
      </c>
    </row>
    <row r="122" spans="1:12" x14ac:dyDescent="0.3">
      <c r="B122" s="1" t="s">
        <v>38</v>
      </c>
      <c r="C122" s="4" t="str">
        <f>VLOOKUP(Tabela1[[#This Row],[Cliente]],'BASE DE CLIENTES'!A:E,2,0)</f>
        <v>Brasília</v>
      </c>
      <c r="D122" s="1" t="str">
        <f>VLOOKUP(Tabela1[[#This Row],[Cliente]],'BASE DE CLIENTES'!A:C,3,0)</f>
        <v>DF</v>
      </c>
      <c r="E122" s="4" t="str">
        <f>CONCATENATE(Tabela1[[#This Row],[CIDADE]],",",Tabela1[[#This Row],[UF]])</f>
        <v>Brasília,DF</v>
      </c>
      <c r="F122" s="2">
        <v>45673</v>
      </c>
      <c r="G122" s="17">
        <v>514.45000000000005</v>
      </c>
      <c r="H122" s="17">
        <v>720</v>
      </c>
      <c r="I122" s="6">
        <f>Tabela1[[#This Row],[Valor total]]-Tabela1[[#This Row],[Valor custo]]</f>
        <v>205.54999999999995</v>
      </c>
      <c r="J122" s="7">
        <f>Tabela1[[#This Row],[MARGEM BRUTA]]/Tabela1[[#This Row],[Valor total]]</f>
        <v>0.28548611111111105</v>
      </c>
      <c r="K122" s="1" t="str">
        <f>VLOOKUP(Tabela1[[#This Row],[Cliente]],'BASE DE CLIENTES'!A:D,4,0)</f>
        <v>EMPRESA SEM MAQUINA</v>
      </c>
      <c r="L122" s="1" t="str">
        <f>VLOOKUP(Tabela1[[#This Row],[Cliente]],'BASE DE CLIENTES'!A:E,5,0)</f>
        <v>PONTE ALTA NORTE (GAMA)</v>
      </c>
    </row>
    <row r="123" spans="1:12" x14ac:dyDescent="0.3">
      <c r="B123" s="1" t="s">
        <v>105</v>
      </c>
      <c r="C123" s="4" t="str">
        <f>VLOOKUP(Tabela1[[#This Row],[Cliente]],'BASE DE CLIENTES'!A:E,2,0)</f>
        <v>Brasília</v>
      </c>
      <c r="D123" s="1" t="str">
        <f>VLOOKUP(Tabela1[[#This Row],[Cliente]],'BASE DE CLIENTES'!A:C,3,0)</f>
        <v>DF</v>
      </c>
      <c r="E123" s="4" t="str">
        <f>CONCATENATE(Tabela1[[#This Row],[CIDADE]],",",Tabela1[[#This Row],[UF]])</f>
        <v>Brasília,DF</v>
      </c>
      <c r="F123" s="2">
        <v>45673</v>
      </c>
      <c r="G123" s="17">
        <v>10973.64</v>
      </c>
      <c r="H123" s="17">
        <v>15500</v>
      </c>
      <c r="I123" s="6">
        <f>Tabela1[[#This Row],[Valor total]]-Tabela1[[#This Row],[Valor custo]]</f>
        <v>4526.3600000000006</v>
      </c>
      <c r="J123" s="7">
        <f>Tabela1[[#This Row],[MARGEM BRUTA]]/Tabela1[[#This Row],[Valor total]]</f>
        <v>0.29202322580645163</v>
      </c>
      <c r="K123" s="1" t="str">
        <f>VLOOKUP(Tabela1[[#This Row],[Cliente]],'BASE DE CLIENTES'!A:D,4,0)</f>
        <v>EMPRESA COM MAQUINA</v>
      </c>
      <c r="L123" s="1" t="str">
        <f>VLOOKUP(Tabela1[[#This Row],[Cliente]],'BASE DE CLIENTES'!A:E,5,0)</f>
        <v>PLANALTINA</v>
      </c>
    </row>
    <row r="124" spans="1:12" x14ac:dyDescent="0.3">
      <c r="B124" s="1" t="s">
        <v>81</v>
      </c>
      <c r="C124" s="4" t="str">
        <f>VLOOKUP(Tabela1[[#This Row],[Cliente]],'BASE DE CLIENTES'!A:E,2,0)</f>
        <v>Águas Lindas de Goiás</v>
      </c>
      <c r="D124" s="1" t="str">
        <f>VLOOKUP(Tabela1[[#This Row],[Cliente]],'BASE DE CLIENTES'!A:C,3,0)</f>
        <v>GO</v>
      </c>
      <c r="E124" s="4" t="str">
        <f>CONCATENATE(Tabela1[[#This Row],[CIDADE]],",",Tabela1[[#This Row],[UF]])</f>
        <v>Águas Lindas de Goiás,GO</v>
      </c>
      <c r="F124" s="2">
        <v>45743</v>
      </c>
      <c r="G124" s="17">
        <v>1028.9000000000001</v>
      </c>
      <c r="H124" s="17">
        <v>1440</v>
      </c>
      <c r="I124" s="6">
        <f>Tabela1[[#This Row],[Valor total]]-Tabela1[[#This Row],[Valor custo]]</f>
        <v>411.09999999999991</v>
      </c>
      <c r="J124" s="7">
        <f>Tabela1[[#This Row],[MARGEM BRUTA]]/Tabela1[[#This Row],[Valor total]]</f>
        <v>0.28548611111111105</v>
      </c>
      <c r="K124" s="1" t="str">
        <f>VLOOKUP(Tabela1[[#This Row],[Cliente]],'BASE DE CLIENTES'!A:D,4,0)</f>
        <v>SEM CLASSIFICAÇÃO</v>
      </c>
      <c r="L124" s="1" t="str">
        <f>VLOOKUP(Tabela1[[#This Row],[Cliente]],'BASE DE CLIENTES'!A:E,5,0)</f>
        <v>Águas Lindas de Goiás</v>
      </c>
    </row>
    <row r="125" spans="1:12" x14ac:dyDescent="0.3">
      <c r="B125" s="1" t="s">
        <v>52</v>
      </c>
      <c r="C125" s="4" t="str">
        <f>VLOOKUP(Tabela1[[#This Row],[Cliente]],'BASE DE CLIENTES'!A:E,2,0)</f>
        <v>Brasília</v>
      </c>
      <c r="D125" s="1" t="str">
        <f>VLOOKUP(Tabela1[[#This Row],[Cliente]],'BASE DE CLIENTES'!A:C,3,0)</f>
        <v>DF</v>
      </c>
      <c r="E125" s="4" t="str">
        <f>CONCATENATE(Tabela1[[#This Row],[CIDADE]],",",Tabela1[[#This Row],[UF]])</f>
        <v>Brasília,DF</v>
      </c>
      <c r="F125" s="2">
        <v>45673</v>
      </c>
      <c r="G125" s="17">
        <v>439.2</v>
      </c>
      <c r="H125" s="17">
        <v>645</v>
      </c>
      <c r="I125" s="6">
        <f>Tabela1[[#This Row],[Valor total]]-Tabela1[[#This Row],[Valor custo]]</f>
        <v>205.8</v>
      </c>
      <c r="J125" s="7">
        <f>Tabela1[[#This Row],[MARGEM BRUTA]]/Tabela1[[#This Row],[Valor total]]</f>
        <v>0.3190697674418605</v>
      </c>
      <c r="K125" s="1" t="str">
        <f>VLOOKUP(Tabela1[[#This Row],[Cliente]],'BASE DE CLIENTES'!A:D,4,0)</f>
        <v>SERRALHEIRO</v>
      </c>
      <c r="L125" s="1" t="str">
        <f>VLOOKUP(Tabela1[[#This Row],[Cliente]],'BASE DE CLIENTES'!A:E,5,0)</f>
        <v>Ceilândia Sul (Ceilândia)</v>
      </c>
    </row>
    <row r="126" spans="1:12" x14ac:dyDescent="0.3">
      <c r="B126" s="1" t="s">
        <v>19</v>
      </c>
      <c r="C126" s="4" t="str">
        <f>VLOOKUP(Tabela1[[#This Row],[Cliente]],'BASE DE CLIENTES'!A:E,2,0)</f>
        <v>Águas Lindas de Goiás</v>
      </c>
      <c r="D126" s="1" t="str">
        <f>VLOOKUP(Tabela1[[#This Row],[Cliente]],'BASE DE CLIENTES'!A:C,3,0)</f>
        <v>GO</v>
      </c>
      <c r="E126" s="4" t="str">
        <f>CONCATENATE(Tabela1[[#This Row],[CIDADE]],",",Tabela1[[#This Row],[UF]])</f>
        <v>Águas Lindas de Goiás,GO</v>
      </c>
      <c r="F126" s="2">
        <v>45743</v>
      </c>
      <c r="G126" s="17">
        <v>107.13</v>
      </c>
      <c r="H126" s="17">
        <v>280</v>
      </c>
      <c r="I126" s="6">
        <f>Tabela1[[#This Row],[Valor total]]-Tabela1[[#This Row],[Valor custo]]</f>
        <v>172.87</v>
      </c>
      <c r="J126" s="7">
        <f>Tabela1[[#This Row],[MARGEM BRUTA]]/Tabela1[[#This Row],[Valor total]]</f>
        <v>0.61739285714285719</v>
      </c>
      <c r="K126" s="1" t="str">
        <f>VLOOKUP(Tabela1[[#This Row],[Cliente]],'BASE DE CLIENTES'!A:D,4,0)</f>
        <v>SERRALHEIRO</v>
      </c>
      <c r="L126" s="1" t="str">
        <f>VLOOKUP(Tabela1[[#This Row],[Cliente]],'BASE DE CLIENTES'!A:E,5,0)</f>
        <v>Águas Lindas de Goiás</v>
      </c>
    </row>
    <row r="127" spans="1:12" x14ac:dyDescent="0.3">
      <c r="B127" s="1" t="s">
        <v>106</v>
      </c>
      <c r="C127" s="4" t="str">
        <f>VLOOKUP(Tabela1[[#This Row],[Cliente]],'BASE DE CLIENTES'!A:E,2,0)</f>
        <v>Brasília</v>
      </c>
      <c r="D127" s="1" t="str">
        <f>VLOOKUP(Tabela1[[#This Row],[Cliente]],'BASE DE CLIENTES'!A:C,3,0)</f>
        <v>DF</v>
      </c>
      <c r="E127" s="4" t="str">
        <f>CONCATENATE(Tabela1[[#This Row],[CIDADE]],",",Tabela1[[#This Row],[UF]])</f>
        <v>Brasília,DF</v>
      </c>
      <c r="F127" s="2">
        <v>45672</v>
      </c>
      <c r="G127" s="17">
        <v>3814.6</v>
      </c>
      <c r="H127" s="17">
        <v>5240</v>
      </c>
      <c r="I127" s="6">
        <f>Tabela1[[#This Row],[Valor total]]-Tabela1[[#This Row],[Valor custo]]</f>
        <v>1425.4</v>
      </c>
      <c r="J127" s="7">
        <f>Tabela1[[#This Row],[MARGEM BRUTA]]/Tabela1[[#This Row],[Valor total]]</f>
        <v>0.27202290076335878</v>
      </c>
      <c r="K127" s="1" t="str">
        <f>VLOOKUP(Tabela1[[#This Row],[Cliente]],'BASE DE CLIENTES'!A:D,4,0)</f>
        <v>EMPRESA COM MAQUINA</v>
      </c>
      <c r="L127" s="1" t="str">
        <f>VLOOKUP(Tabela1[[#This Row],[Cliente]],'BASE DE CLIENTES'!A:E,5,0)</f>
        <v>26 DE SETEMBRO</v>
      </c>
    </row>
    <row r="128" spans="1:12" x14ac:dyDescent="0.3">
      <c r="B128" s="1" t="s">
        <v>21</v>
      </c>
      <c r="C128" s="4" t="str">
        <f>VLOOKUP(Tabela1[[#This Row],[Cliente]],'BASE DE CLIENTES'!A:E,2,0)</f>
        <v>Brasília</v>
      </c>
      <c r="D128" s="1" t="str">
        <f>VLOOKUP(Tabela1[[#This Row],[Cliente]],'BASE DE CLIENTES'!A:C,3,0)</f>
        <v>DF</v>
      </c>
      <c r="E128" s="4" t="str">
        <f>CONCATENATE(Tabela1[[#This Row],[CIDADE]],",",Tabela1[[#This Row],[UF]])</f>
        <v>Brasília,DF</v>
      </c>
      <c r="F128" s="2">
        <v>45701</v>
      </c>
      <c r="G128" s="17">
        <v>4098.7</v>
      </c>
      <c r="H128" s="17">
        <v>5800</v>
      </c>
      <c r="I128" s="6">
        <f>Tabela1[[#This Row],[Valor total]]-Tabela1[[#This Row],[Valor custo]]</f>
        <v>1701.3000000000002</v>
      </c>
      <c r="J128" s="7">
        <f>Tabela1[[#This Row],[MARGEM BRUTA]]/Tabela1[[#This Row],[Valor total]]</f>
        <v>0.29332758620689658</v>
      </c>
      <c r="K128" s="1" t="str">
        <f>VLOOKUP(Tabela1[[#This Row],[Cliente]],'BASE DE CLIENTES'!A:D,4,0)</f>
        <v>EMPRESA COM MAQUINA</v>
      </c>
      <c r="L128" s="1" t="str">
        <f>VLOOKUP(Tabela1[[#This Row],[Cliente]],'BASE DE CLIENTES'!A:E,5,0)</f>
        <v>RIACHO FUNDO II</v>
      </c>
    </row>
    <row r="129" spans="2:12" x14ac:dyDescent="0.3">
      <c r="B129" s="1" t="s">
        <v>107</v>
      </c>
      <c r="C129" s="4" t="str">
        <f>VLOOKUP(Tabela1[[#This Row],[Cliente]],'BASE DE CLIENTES'!A:E,2,0)</f>
        <v>Planaltina</v>
      </c>
      <c r="D129" s="1" t="str">
        <f>VLOOKUP(Tabela1[[#This Row],[Cliente]],'BASE DE CLIENTES'!A:C,3,0)</f>
        <v>DF</v>
      </c>
      <c r="E129" s="4" t="str">
        <f>CONCATENATE(Tabela1[[#This Row],[CIDADE]],",",Tabela1[[#This Row],[UF]])</f>
        <v>Planaltina,DF</v>
      </c>
      <c r="F129" s="2">
        <v>45672</v>
      </c>
      <c r="G129" s="17">
        <v>2833.03</v>
      </c>
      <c r="H129" s="17">
        <v>4300</v>
      </c>
      <c r="I129" s="6">
        <f>Tabela1[[#This Row],[Valor total]]-Tabela1[[#This Row],[Valor custo]]</f>
        <v>1466.9699999999998</v>
      </c>
      <c r="J129" s="7">
        <f>Tabela1[[#This Row],[MARGEM BRUTA]]/Tabela1[[#This Row],[Valor total]]</f>
        <v>0.34115581395348832</v>
      </c>
      <c r="K129" s="1" t="str">
        <f>VLOOKUP(Tabela1[[#This Row],[Cliente]],'BASE DE CLIENTES'!A:D,4,0)</f>
        <v>EMPRESA COM MAQUINA</v>
      </c>
      <c r="L129" s="1" t="str">
        <f>VLOOKUP(Tabela1[[#This Row],[Cliente]],'BASE DE CLIENTES'!A:E,5,0)</f>
        <v>SETOR LESTE</v>
      </c>
    </row>
    <row r="130" spans="2:12" x14ac:dyDescent="0.3">
      <c r="B130" s="1" t="s">
        <v>68</v>
      </c>
      <c r="C130" s="4" t="str">
        <f>VLOOKUP(Tabela1[[#This Row],[Cliente]],'BASE DE CLIENTES'!A:E,2,0)</f>
        <v>Brasília</v>
      </c>
      <c r="D130" s="1" t="str">
        <f>VLOOKUP(Tabela1[[#This Row],[Cliente]],'BASE DE CLIENTES'!A:C,3,0)</f>
        <v>DF</v>
      </c>
      <c r="E130" s="4" t="str">
        <f>CONCATENATE(Tabela1[[#This Row],[CIDADE]],",",Tabela1[[#This Row],[UF]])</f>
        <v>Brasília,DF</v>
      </c>
      <c r="F130" s="2">
        <v>45672</v>
      </c>
      <c r="G130" s="17">
        <v>1324.28</v>
      </c>
      <c r="H130" s="17">
        <v>1596</v>
      </c>
      <c r="I130" s="6">
        <f>Tabela1[[#This Row],[Valor total]]-Tabela1[[#This Row],[Valor custo]]</f>
        <v>271.72000000000003</v>
      </c>
      <c r="J130" s="7">
        <f>Tabela1[[#This Row],[MARGEM BRUTA]]/Tabela1[[#This Row],[Valor total]]</f>
        <v>0.17025062656641607</v>
      </c>
      <c r="K130" s="1" t="str">
        <f>VLOOKUP(Tabela1[[#This Row],[Cliente]],'BASE DE CLIENTES'!A:D,4,0)</f>
        <v>EMPRESA COM MAQUINA</v>
      </c>
      <c r="L130" s="1" t="str">
        <f>VLOOKUP(Tabela1[[#This Row],[Cliente]],'BASE DE CLIENTES'!A:E,5,0)</f>
        <v>SAMAMBAIA SUL (SAMAMBAIA)</v>
      </c>
    </row>
    <row r="131" spans="2:12" x14ac:dyDescent="0.3">
      <c r="B131" s="1" t="s">
        <v>21</v>
      </c>
      <c r="C131" s="4" t="str">
        <f>VLOOKUP(Tabela1[[#This Row],[Cliente]],'BASE DE CLIENTES'!A:E,2,0)</f>
        <v>Brasília</v>
      </c>
      <c r="D131" s="1" t="str">
        <f>VLOOKUP(Tabela1[[#This Row],[Cliente]],'BASE DE CLIENTES'!A:C,3,0)</f>
        <v>DF</v>
      </c>
      <c r="E131" s="4" t="str">
        <f>CONCATENATE(Tabela1[[#This Row],[CIDADE]],",",Tabela1[[#This Row],[UF]])</f>
        <v>Brasília,DF</v>
      </c>
      <c r="F131" s="2">
        <v>45734</v>
      </c>
      <c r="G131" s="17">
        <v>3426.9</v>
      </c>
      <c r="H131" s="17">
        <v>5037</v>
      </c>
      <c r="I131" s="6">
        <f>Tabela1[[#This Row],[Valor total]]-Tabela1[[#This Row],[Valor custo]]</f>
        <v>1610.1</v>
      </c>
      <c r="J131" s="7">
        <f>Tabela1[[#This Row],[MARGEM BRUTA]]/Tabela1[[#This Row],[Valor total]]</f>
        <v>0.31965455628350209</v>
      </c>
      <c r="K131" s="1" t="str">
        <f>VLOOKUP(Tabela1[[#This Row],[Cliente]],'BASE DE CLIENTES'!A:D,4,0)</f>
        <v>EMPRESA COM MAQUINA</v>
      </c>
      <c r="L131" s="1" t="str">
        <f>VLOOKUP(Tabela1[[#This Row],[Cliente]],'BASE DE CLIENTES'!A:E,5,0)</f>
        <v>RIACHO FUNDO II</v>
      </c>
    </row>
    <row r="132" spans="2:12" x14ac:dyDescent="0.3">
      <c r="B132" s="1" t="s">
        <v>108</v>
      </c>
      <c r="C132" s="4" t="str">
        <f>VLOOKUP(Tabela1[[#This Row],[Cliente]],'BASE DE CLIENTES'!A:E,2,0)</f>
        <v>Brasília</v>
      </c>
      <c r="D132" s="1" t="str">
        <f>VLOOKUP(Tabela1[[#This Row],[Cliente]],'BASE DE CLIENTES'!A:C,3,0)</f>
        <v>DF</v>
      </c>
      <c r="E132" s="4" t="str">
        <f>CONCATENATE(Tabela1[[#This Row],[CIDADE]],",",Tabela1[[#This Row],[UF]])</f>
        <v>Brasília,DF</v>
      </c>
      <c r="F132" s="2">
        <v>45672</v>
      </c>
      <c r="G132" s="17">
        <v>514.45000000000005</v>
      </c>
      <c r="H132" s="17">
        <v>720</v>
      </c>
      <c r="I132" s="6">
        <f>Tabela1[[#This Row],[Valor total]]-Tabela1[[#This Row],[Valor custo]]</f>
        <v>205.54999999999995</v>
      </c>
      <c r="J132" s="7">
        <f>Tabela1[[#This Row],[MARGEM BRUTA]]/Tabela1[[#This Row],[Valor total]]</f>
        <v>0.28548611111111105</v>
      </c>
      <c r="K132" s="1" t="str">
        <f>VLOOKUP(Tabela1[[#This Row],[Cliente]],'BASE DE CLIENTES'!A:D,4,0)</f>
        <v>SERRALHEIRO</v>
      </c>
      <c r="L132" s="1" t="str">
        <f>VLOOKUP(Tabela1[[#This Row],[Cliente]],'BASE DE CLIENTES'!A:E,5,0)</f>
        <v>Vila Planalto</v>
      </c>
    </row>
    <row r="133" spans="2:12" x14ac:dyDescent="0.3">
      <c r="B133" s="1" t="s">
        <v>102</v>
      </c>
      <c r="C133" s="4" t="str">
        <f>VLOOKUP(Tabela1[[#This Row],[Cliente]],'BASE DE CLIENTES'!A:E,2,0)</f>
        <v>Brasília</v>
      </c>
      <c r="D133" s="1" t="str">
        <f>VLOOKUP(Tabela1[[#This Row],[Cliente]],'BASE DE CLIENTES'!A:C,3,0)</f>
        <v>DF</v>
      </c>
      <c r="E133" s="4" t="str">
        <f>CONCATENATE(Tabela1[[#This Row],[CIDADE]],",",Tabela1[[#This Row],[UF]])</f>
        <v>Brasília,DF</v>
      </c>
      <c r="F133" s="2">
        <v>45672</v>
      </c>
      <c r="G133" s="17">
        <v>1028.9000000000001</v>
      </c>
      <c r="H133" s="17">
        <v>1440</v>
      </c>
      <c r="I133" s="6">
        <f>Tabela1[[#This Row],[Valor total]]-Tabela1[[#This Row],[Valor custo]]</f>
        <v>411.09999999999991</v>
      </c>
      <c r="J133" s="7">
        <f>Tabela1[[#This Row],[MARGEM BRUTA]]/Tabela1[[#This Row],[Valor total]]</f>
        <v>0.28548611111111105</v>
      </c>
      <c r="K133" s="1" t="str">
        <f>VLOOKUP(Tabela1[[#This Row],[Cliente]],'BASE DE CLIENTES'!A:D,4,0)</f>
        <v>SERRALHEIRO</v>
      </c>
      <c r="L133" s="1" t="str">
        <f>VLOOKUP(Tabela1[[#This Row],[Cliente]],'BASE DE CLIENTES'!A:E,5,0)</f>
        <v>Samambaia Norte (Samambaia)</v>
      </c>
    </row>
    <row r="134" spans="2:12" x14ac:dyDescent="0.3">
      <c r="B134" s="1" t="s">
        <v>38</v>
      </c>
      <c r="C134" s="4" t="str">
        <f>VLOOKUP(Tabela1[[#This Row],[Cliente]],'BASE DE CLIENTES'!A:E,2,0)</f>
        <v>Brasília</v>
      </c>
      <c r="D134" s="1" t="str">
        <f>VLOOKUP(Tabela1[[#This Row],[Cliente]],'BASE DE CLIENTES'!A:C,3,0)</f>
        <v>DF</v>
      </c>
      <c r="E134" s="4" t="str">
        <f>CONCATENATE(Tabela1[[#This Row],[CIDADE]],",",Tabela1[[#This Row],[UF]])</f>
        <v>Brasília,DF</v>
      </c>
      <c r="F134" s="2">
        <v>45672</v>
      </c>
      <c r="G134" s="17">
        <v>878.4</v>
      </c>
      <c r="H134" s="17">
        <v>1290</v>
      </c>
      <c r="I134" s="6">
        <f>Tabela1[[#This Row],[Valor total]]-Tabela1[[#This Row],[Valor custo]]</f>
        <v>411.6</v>
      </c>
      <c r="J134" s="7">
        <f>Tabela1[[#This Row],[MARGEM BRUTA]]/Tabela1[[#This Row],[Valor total]]</f>
        <v>0.3190697674418605</v>
      </c>
      <c r="K134" s="1" t="str">
        <f>VLOOKUP(Tabela1[[#This Row],[Cliente]],'BASE DE CLIENTES'!A:D,4,0)</f>
        <v>EMPRESA SEM MAQUINA</v>
      </c>
      <c r="L134" s="1" t="str">
        <f>VLOOKUP(Tabela1[[#This Row],[Cliente]],'BASE DE CLIENTES'!A:E,5,0)</f>
        <v>PONTE ALTA NORTE (GAMA)</v>
      </c>
    </row>
    <row r="135" spans="2:12" x14ac:dyDescent="0.3">
      <c r="B135" s="1" t="s">
        <v>109</v>
      </c>
      <c r="C135" s="4" t="str">
        <f>VLOOKUP(Tabela1[[#This Row],[Cliente]],'BASE DE CLIENTES'!A:E,2,0)</f>
        <v>Águas Lindas de Goiás</v>
      </c>
      <c r="D135" s="1" t="str">
        <f>VLOOKUP(Tabela1[[#This Row],[Cliente]],'BASE DE CLIENTES'!A:C,3,0)</f>
        <v>GO</v>
      </c>
      <c r="E135" s="4" t="str">
        <f>CONCATENATE(Tabela1[[#This Row],[CIDADE]],",",Tabela1[[#This Row],[UF]])</f>
        <v>Águas Lindas de Goiás,GO</v>
      </c>
      <c r="F135" s="2">
        <v>45742</v>
      </c>
      <c r="G135" s="17">
        <v>2076.33</v>
      </c>
      <c r="H135" s="17">
        <v>3950</v>
      </c>
      <c r="I135" s="6">
        <f>Tabela1[[#This Row],[Valor total]]-Tabela1[[#This Row],[Valor custo]]</f>
        <v>1873.67</v>
      </c>
      <c r="J135" s="7">
        <f>Tabela1[[#This Row],[MARGEM BRUTA]]/Tabela1[[#This Row],[Valor total]]</f>
        <v>0.47434683544303802</v>
      </c>
      <c r="K135" s="1" t="str">
        <f>VLOOKUP(Tabela1[[#This Row],[Cliente]],'BASE DE CLIENTES'!A:D,4,0)</f>
        <v>SERRALHEIRO</v>
      </c>
      <c r="L135" s="1" t="str">
        <f>VLOOKUP(Tabela1[[#This Row],[Cliente]],'BASE DE CLIENTES'!A:E,5,0)</f>
        <v>Águas Lindas de Goiás</v>
      </c>
    </row>
    <row r="136" spans="2:12" x14ac:dyDescent="0.3">
      <c r="B136" s="1" t="s">
        <v>97</v>
      </c>
      <c r="C136" s="4" t="str">
        <f>VLOOKUP(Tabela1[[#This Row],[Cliente]],'BASE DE CLIENTES'!A:E,2,0)</f>
        <v>Brasília</v>
      </c>
      <c r="D136" s="1" t="str">
        <f>VLOOKUP(Tabela1[[#This Row],[Cliente]],'BASE DE CLIENTES'!A:C,3,0)</f>
        <v>DF</v>
      </c>
      <c r="E136" s="4" t="str">
        <f>CONCATENATE(Tabela1[[#This Row],[CIDADE]],",",Tabela1[[#This Row],[UF]])</f>
        <v>Brasília,DF</v>
      </c>
      <c r="F136" s="2">
        <v>45672</v>
      </c>
      <c r="G136" s="17">
        <v>25</v>
      </c>
      <c r="H136" s="17">
        <v>30</v>
      </c>
      <c r="I136" s="6">
        <f>Tabela1[[#This Row],[Valor total]]-Tabela1[[#This Row],[Valor custo]]</f>
        <v>5</v>
      </c>
      <c r="J136" s="7">
        <f>Tabela1[[#This Row],[MARGEM BRUTA]]/Tabela1[[#This Row],[Valor total]]</f>
        <v>0.16666666666666666</v>
      </c>
      <c r="K136" s="1" t="str">
        <f>VLOOKUP(Tabela1[[#This Row],[Cliente]],'BASE DE CLIENTES'!A:D,4,0)</f>
        <v>SERRALHEIRO</v>
      </c>
      <c r="L136" s="1" t="str">
        <f>VLOOKUP(Tabela1[[#This Row],[Cliente]],'BASE DE CLIENTES'!A:E,5,0)</f>
        <v>CEILANDIA NORTE</v>
      </c>
    </row>
    <row r="137" spans="2:12" x14ac:dyDescent="0.3">
      <c r="B137" s="1" t="s">
        <v>25</v>
      </c>
      <c r="C137" s="4" t="str">
        <f>VLOOKUP(Tabela1[[#This Row],[Cliente]],'BASE DE CLIENTES'!A:E,2,0)</f>
        <v>Brasília</v>
      </c>
      <c r="D137" s="1" t="str">
        <f>VLOOKUP(Tabela1[[#This Row],[Cliente]],'BASE DE CLIENTES'!A:C,3,0)</f>
        <v>DF</v>
      </c>
      <c r="E137" s="4" t="str">
        <f>CONCATENATE(Tabela1[[#This Row],[CIDADE]],",",Tabela1[[#This Row],[UF]])</f>
        <v>Brasília,DF</v>
      </c>
      <c r="F137" s="2">
        <v>45671</v>
      </c>
      <c r="G137" s="17">
        <v>2371.1</v>
      </c>
      <c r="H137" s="17">
        <v>2655.8</v>
      </c>
      <c r="I137" s="6">
        <f>Tabela1[[#This Row],[Valor total]]-Tabela1[[#This Row],[Valor custo]]</f>
        <v>284.70000000000027</v>
      </c>
      <c r="J137" s="7">
        <f>Tabela1[[#This Row],[MARGEM BRUTA]]/Tabela1[[#This Row],[Valor total]]</f>
        <v>0.10719933729949555</v>
      </c>
      <c r="K137" s="1" t="str">
        <f>VLOOKUP(Tabela1[[#This Row],[Cliente]],'BASE DE CLIENTES'!A:D,4,0)</f>
        <v>EMPRESA COM MAQUINA</v>
      </c>
      <c r="L137" s="1" t="str">
        <f>VLOOKUP(Tabela1[[#This Row],[Cliente]],'BASE DE CLIENTES'!A:E,5,0)</f>
        <v>CEILANDIA NORTE (CEILANDIA)</v>
      </c>
    </row>
    <row r="138" spans="2:12" x14ac:dyDescent="0.3">
      <c r="B138" s="1" t="s">
        <v>85</v>
      </c>
      <c r="C138" s="4" t="str">
        <f>VLOOKUP(Tabela1[[#This Row],[Cliente]],'BASE DE CLIENTES'!A:E,2,0)</f>
        <v>Brasília</v>
      </c>
      <c r="D138" s="1" t="str">
        <f>VLOOKUP(Tabela1[[#This Row],[Cliente]],'BASE DE CLIENTES'!A:C,3,0)</f>
        <v>DF</v>
      </c>
      <c r="E138" s="4" t="str">
        <f>CONCATENATE(Tabela1[[#This Row],[CIDADE]],",",Tabela1[[#This Row],[UF]])</f>
        <v>Brasília,DF</v>
      </c>
      <c r="F138" s="2">
        <v>45671</v>
      </c>
      <c r="G138" s="17">
        <v>268.45999999999998</v>
      </c>
      <c r="H138" s="17">
        <v>520</v>
      </c>
      <c r="I138" s="6">
        <f>Tabela1[[#This Row],[Valor total]]-Tabela1[[#This Row],[Valor custo]]</f>
        <v>251.54000000000002</v>
      </c>
      <c r="J138" s="7">
        <f>Tabela1[[#This Row],[MARGEM BRUTA]]/Tabela1[[#This Row],[Valor total]]</f>
        <v>0.4837307692307693</v>
      </c>
      <c r="K138" s="1" t="str">
        <f>VLOOKUP(Tabela1[[#This Row],[Cliente]],'BASE DE CLIENTES'!A:D,4,0)</f>
        <v>SERRALHEIRO</v>
      </c>
      <c r="L138" s="1" t="str">
        <f>VLOOKUP(Tabela1[[#This Row],[Cliente]],'BASE DE CLIENTES'!A:E,5,0)</f>
        <v>SAMAMBAIA NORTE (SAMAMBAIA)</v>
      </c>
    </row>
    <row r="139" spans="2:12" x14ac:dyDescent="0.3">
      <c r="B139" s="1" t="s">
        <v>19</v>
      </c>
      <c r="C139" s="4" t="str">
        <f>VLOOKUP(Tabela1[[#This Row],[Cliente]],'BASE DE CLIENTES'!A:E,2,0)</f>
        <v>Águas Lindas de Goiás</v>
      </c>
      <c r="D139" s="1" t="str">
        <f>VLOOKUP(Tabela1[[#This Row],[Cliente]],'BASE DE CLIENTES'!A:C,3,0)</f>
        <v>GO</v>
      </c>
      <c r="E139" s="4" t="str">
        <f>CONCATENATE(Tabela1[[#This Row],[CIDADE]],",",Tabela1[[#This Row],[UF]])</f>
        <v>Águas Lindas de Goiás,GO</v>
      </c>
      <c r="F139" s="2">
        <v>45742</v>
      </c>
      <c r="G139" s="17">
        <v>514.45000000000005</v>
      </c>
      <c r="H139" s="17">
        <v>720</v>
      </c>
      <c r="I139" s="6">
        <f>Tabela1[[#This Row],[Valor total]]-Tabela1[[#This Row],[Valor custo]]</f>
        <v>205.54999999999995</v>
      </c>
      <c r="J139" s="7">
        <f>Tabela1[[#This Row],[MARGEM BRUTA]]/Tabela1[[#This Row],[Valor total]]</f>
        <v>0.28548611111111105</v>
      </c>
      <c r="K139" s="1" t="str">
        <f>VLOOKUP(Tabela1[[#This Row],[Cliente]],'BASE DE CLIENTES'!A:D,4,0)</f>
        <v>SERRALHEIRO</v>
      </c>
      <c r="L139" s="1" t="str">
        <f>VLOOKUP(Tabela1[[#This Row],[Cliente]],'BASE DE CLIENTES'!A:E,5,0)</f>
        <v>Águas Lindas de Goiás</v>
      </c>
    </row>
    <row r="140" spans="2:12" x14ac:dyDescent="0.3">
      <c r="B140" s="1" t="s">
        <v>25</v>
      </c>
      <c r="C140" s="4" t="str">
        <f>VLOOKUP(Tabela1[[#This Row],[Cliente]],'BASE DE CLIENTES'!A:E,2,0)</f>
        <v>Brasília</v>
      </c>
      <c r="D140" s="1" t="str">
        <f>VLOOKUP(Tabela1[[#This Row],[Cliente]],'BASE DE CLIENTES'!A:C,3,0)</f>
        <v>DF</v>
      </c>
      <c r="E140" s="4" t="str">
        <f>CONCATENATE(Tabela1[[#This Row],[CIDADE]],",",Tabela1[[#This Row],[UF]])</f>
        <v>Brasília,DF</v>
      </c>
      <c r="F140" s="2">
        <v>45671</v>
      </c>
      <c r="G140" s="17">
        <v>268.45999999999998</v>
      </c>
      <c r="H140" s="17">
        <v>500</v>
      </c>
      <c r="I140" s="6">
        <f>Tabela1[[#This Row],[Valor total]]-Tabela1[[#This Row],[Valor custo]]</f>
        <v>231.54000000000002</v>
      </c>
      <c r="J140" s="7">
        <f>Tabela1[[#This Row],[MARGEM BRUTA]]/Tabela1[[#This Row],[Valor total]]</f>
        <v>0.46308000000000005</v>
      </c>
      <c r="K140" s="1" t="str">
        <f>VLOOKUP(Tabela1[[#This Row],[Cliente]],'BASE DE CLIENTES'!A:D,4,0)</f>
        <v>EMPRESA COM MAQUINA</v>
      </c>
      <c r="L140" s="1" t="str">
        <f>VLOOKUP(Tabela1[[#This Row],[Cliente]],'BASE DE CLIENTES'!A:E,5,0)</f>
        <v>CEILANDIA NORTE (CEILANDIA)</v>
      </c>
    </row>
    <row r="141" spans="2:12" x14ac:dyDescent="0.3">
      <c r="B141" s="1" t="s">
        <v>13</v>
      </c>
      <c r="C141" s="4" t="str">
        <f>VLOOKUP(Tabela1[[#This Row],[Cliente]],'BASE DE CLIENTES'!A:E,2,0)</f>
        <v>Brasília</v>
      </c>
      <c r="D141" s="1" t="str">
        <f>VLOOKUP(Tabela1[[#This Row],[Cliente]],'BASE DE CLIENTES'!A:C,3,0)</f>
        <v>DF</v>
      </c>
      <c r="E141" s="4" t="str">
        <f>CONCATENATE(Tabela1[[#This Row],[CIDADE]],",",Tabela1[[#This Row],[UF]])</f>
        <v>Brasília,DF</v>
      </c>
      <c r="F141" s="2">
        <v>45671</v>
      </c>
      <c r="G141" s="17">
        <v>880.39</v>
      </c>
      <c r="H141" s="17">
        <v>1599.4</v>
      </c>
      <c r="I141" s="6">
        <f>Tabela1[[#This Row],[Valor total]]-Tabela1[[#This Row],[Valor custo]]</f>
        <v>719.0100000000001</v>
      </c>
      <c r="J141" s="7">
        <f>Tabela1[[#This Row],[MARGEM BRUTA]]/Tabela1[[#This Row],[Valor total]]</f>
        <v>0.44954983118669506</v>
      </c>
      <c r="K141" s="1" t="str">
        <f>VLOOKUP(Tabela1[[#This Row],[Cliente]],'BASE DE CLIENTES'!A:D,4,0)</f>
        <v>EMPRESA COM MAQUINA</v>
      </c>
      <c r="L141" s="1" t="str">
        <f>VLOOKUP(Tabela1[[#This Row],[Cliente]],'BASE DE CLIENTES'!A:E,5,0)</f>
        <v>CANDANGOLANDIA</v>
      </c>
    </row>
    <row r="142" spans="2:12" x14ac:dyDescent="0.3">
      <c r="B142" s="1" t="s">
        <v>66</v>
      </c>
      <c r="C142" s="4" t="str">
        <f>VLOOKUP(Tabela1[[#This Row],[Cliente]],'BASE DE CLIENTES'!A:E,2,0)</f>
        <v>Águas Lindas de Goiás</v>
      </c>
      <c r="D142" s="1" t="str">
        <f>VLOOKUP(Tabela1[[#This Row],[Cliente]],'BASE DE CLIENTES'!A:C,3,0)</f>
        <v>GO</v>
      </c>
      <c r="E142" s="4" t="str">
        <f>CONCATENATE(Tabela1[[#This Row],[CIDADE]],",",Tabela1[[#This Row],[UF]])</f>
        <v>Águas Lindas de Goiás,GO</v>
      </c>
      <c r="F142" s="2">
        <v>45742</v>
      </c>
      <c r="G142" s="17">
        <v>4847.3</v>
      </c>
      <c r="H142" s="17">
        <v>6645</v>
      </c>
      <c r="I142" s="6">
        <f>Tabela1[[#This Row],[Valor total]]-Tabela1[[#This Row],[Valor custo]]</f>
        <v>1797.6999999999998</v>
      </c>
      <c r="J142" s="7">
        <f>Tabela1[[#This Row],[MARGEM BRUTA]]/Tabela1[[#This Row],[Valor total]]</f>
        <v>0.27053423626787054</v>
      </c>
      <c r="K142" s="1" t="str">
        <f>VLOOKUP(Tabela1[[#This Row],[Cliente]],'BASE DE CLIENTES'!A:D,4,0)</f>
        <v>EMPRESA COM MAQUINA</v>
      </c>
      <c r="L142" s="1" t="str">
        <f>VLOOKUP(Tabela1[[#This Row],[Cliente]],'BASE DE CLIENTES'!A:E,5,0)</f>
        <v>Águas Lindas de Goiás</v>
      </c>
    </row>
    <row r="143" spans="2:12" x14ac:dyDescent="0.3">
      <c r="B143" s="1" t="s">
        <v>106</v>
      </c>
      <c r="C143" s="4" t="str">
        <f>VLOOKUP(Tabela1[[#This Row],[Cliente]],'BASE DE CLIENTES'!A:E,2,0)</f>
        <v>Brasília</v>
      </c>
      <c r="D143" s="1" t="str">
        <f>VLOOKUP(Tabela1[[#This Row],[Cliente]],'BASE DE CLIENTES'!A:C,3,0)</f>
        <v>DF</v>
      </c>
      <c r="E143" s="4" t="str">
        <f>CONCATENATE(Tabela1[[#This Row],[CIDADE]],",",Tabela1[[#This Row],[UF]])</f>
        <v>Brasília,DF</v>
      </c>
      <c r="F143" s="2">
        <v>45671</v>
      </c>
      <c r="G143" s="17">
        <v>17027.009999999998</v>
      </c>
      <c r="H143" s="17">
        <v>19164.599999999999</v>
      </c>
      <c r="I143" s="6">
        <f>Tabela1[[#This Row],[Valor total]]-Tabela1[[#This Row],[Valor custo]]</f>
        <v>2137.59</v>
      </c>
      <c r="J143" s="7">
        <f>Tabela1[[#This Row],[MARGEM BRUTA]]/Tabela1[[#This Row],[Valor total]]</f>
        <v>0.11153846153846156</v>
      </c>
      <c r="K143" s="1" t="str">
        <f>VLOOKUP(Tabela1[[#This Row],[Cliente]],'BASE DE CLIENTES'!A:D,4,0)</f>
        <v>EMPRESA COM MAQUINA</v>
      </c>
      <c r="L143" s="1" t="str">
        <f>VLOOKUP(Tabela1[[#This Row],[Cliente]],'BASE DE CLIENTES'!A:E,5,0)</f>
        <v>26 DE SETEMBRO</v>
      </c>
    </row>
    <row r="144" spans="2:12" x14ac:dyDescent="0.3">
      <c r="B144" s="1" t="s">
        <v>19</v>
      </c>
      <c r="C144" s="4" t="str">
        <f>VLOOKUP(Tabela1[[#This Row],[Cliente]],'BASE DE CLIENTES'!A:E,2,0)</f>
        <v>Águas Lindas de Goiás</v>
      </c>
      <c r="D144" s="1" t="str">
        <f>VLOOKUP(Tabela1[[#This Row],[Cliente]],'BASE DE CLIENTES'!A:C,3,0)</f>
        <v>GO</v>
      </c>
      <c r="E144" s="4" t="str">
        <f>CONCATENATE(Tabela1[[#This Row],[CIDADE]],",",Tabela1[[#This Row],[UF]])</f>
        <v>Águas Lindas de Goiás,GO</v>
      </c>
      <c r="F144" s="2">
        <v>45740</v>
      </c>
      <c r="G144" s="17">
        <v>1713.45</v>
      </c>
      <c r="H144" s="17">
        <v>2650</v>
      </c>
      <c r="I144" s="6">
        <f>Tabela1[[#This Row],[Valor total]]-Tabela1[[#This Row],[Valor custo]]</f>
        <v>936.55</v>
      </c>
      <c r="J144" s="7">
        <f>Tabela1[[#This Row],[MARGEM BRUTA]]/Tabela1[[#This Row],[Valor total]]</f>
        <v>0.35341509433962265</v>
      </c>
      <c r="K144" s="1" t="str">
        <f>VLOOKUP(Tabela1[[#This Row],[Cliente]],'BASE DE CLIENTES'!A:D,4,0)</f>
        <v>SERRALHEIRO</v>
      </c>
      <c r="L144" s="1" t="str">
        <f>VLOOKUP(Tabela1[[#This Row],[Cliente]],'BASE DE CLIENTES'!A:E,5,0)</f>
        <v>Águas Lindas de Goiás</v>
      </c>
    </row>
    <row r="145" spans="2:12" x14ac:dyDescent="0.3">
      <c r="B145" s="1" t="s">
        <v>17</v>
      </c>
      <c r="C145" s="4" t="str">
        <f>VLOOKUP(Tabela1[[#This Row],[Cliente]],'BASE DE CLIENTES'!A:E,2,0)</f>
        <v>Águas Lindas de Goiás</v>
      </c>
      <c r="D145" s="1" t="str">
        <f>VLOOKUP(Tabela1[[#This Row],[Cliente]],'BASE DE CLIENTES'!A:C,3,0)</f>
        <v>GO</v>
      </c>
      <c r="E145" s="4" t="str">
        <f>CONCATENATE(Tabela1[[#This Row],[CIDADE]],",",Tabela1[[#This Row],[UF]])</f>
        <v>Águas Lindas de Goiás,GO</v>
      </c>
      <c r="F145" s="2">
        <v>45737</v>
      </c>
      <c r="G145" s="17">
        <v>531.45000000000005</v>
      </c>
      <c r="H145" s="17">
        <v>800</v>
      </c>
      <c r="I145" s="6">
        <f>Tabela1[[#This Row],[Valor total]]-Tabela1[[#This Row],[Valor custo]]</f>
        <v>268.54999999999995</v>
      </c>
      <c r="J145" s="7">
        <f>Tabela1[[#This Row],[MARGEM BRUTA]]/Tabela1[[#This Row],[Valor total]]</f>
        <v>0.33568749999999992</v>
      </c>
      <c r="K145" s="1" t="str">
        <f>VLOOKUP(Tabela1[[#This Row],[Cliente]],'BASE DE CLIENTES'!A:D,4,0)</f>
        <v>SERRALHEIRO</v>
      </c>
      <c r="L145" s="1" t="str">
        <f>VLOOKUP(Tabela1[[#This Row],[Cliente]],'BASE DE CLIENTES'!A:E,5,0)</f>
        <v>Águas Lindas de Goiás</v>
      </c>
    </row>
    <row r="146" spans="2:12" x14ac:dyDescent="0.3">
      <c r="B146" s="1" t="s">
        <v>36</v>
      </c>
      <c r="C146" s="4" t="str">
        <f>VLOOKUP(Tabela1[[#This Row],[Cliente]],'BASE DE CLIENTES'!A:E,2,0)</f>
        <v>Brasília</v>
      </c>
      <c r="D146" s="1" t="str">
        <f>VLOOKUP(Tabela1[[#This Row],[Cliente]],'BASE DE CLIENTES'!A:C,3,0)</f>
        <v>DF</v>
      </c>
      <c r="E146" s="4" t="str">
        <f>CONCATENATE(Tabela1[[#This Row],[CIDADE]],",",Tabela1[[#This Row],[UF]])</f>
        <v>Brasília,DF</v>
      </c>
      <c r="F146" s="2">
        <v>45671</v>
      </c>
      <c r="G146" s="17">
        <v>911.35</v>
      </c>
      <c r="H146" s="17">
        <v>1802.5</v>
      </c>
      <c r="I146" s="6">
        <f>Tabela1[[#This Row],[Valor total]]-Tabela1[[#This Row],[Valor custo]]</f>
        <v>891.15</v>
      </c>
      <c r="J146" s="7">
        <f>Tabela1[[#This Row],[MARGEM BRUTA]]/Tabela1[[#This Row],[Valor total]]</f>
        <v>0.49439667128987513</v>
      </c>
      <c r="K146" s="1" t="str">
        <f>VLOOKUP(Tabela1[[#This Row],[Cliente]],'BASE DE CLIENTES'!A:D,4,0)</f>
        <v>SERRALHEIRO</v>
      </c>
      <c r="L146" s="1" t="str">
        <f>VLOOKUP(Tabela1[[#This Row],[Cliente]],'BASE DE CLIENTES'!A:E,5,0)</f>
        <v>CEILANDIA SUL (CEILANDIA)</v>
      </c>
    </row>
    <row r="147" spans="2:12" x14ac:dyDescent="0.3">
      <c r="B147" s="1" t="s">
        <v>80</v>
      </c>
      <c r="C147" s="4" t="str">
        <f>VLOOKUP(Tabela1[[#This Row],[Cliente]],'BASE DE CLIENTES'!A:E,2,0)</f>
        <v>Brasília</v>
      </c>
      <c r="D147" s="1" t="str">
        <f>VLOOKUP(Tabela1[[#This Row],[Cliente]],'BASE DE CLIENTES'!A:C,3,0)</f>
        <v>DF</v>
      </c>
      <c r="E147" s="4" t="str">
        <f>CONCATENATE(Tabela1[[#This Row],[CIDADE]],",",Tabela1[[#This Row],[UF]])</f>
        <v>Brasília,DF</v>
      </c>
      <c r="F147" s="2">
        <v>45671</v>
      </c>
      <c r="G147" s="17">
        <v>202.82</v>
      </c>
      <c r="H147" s="17">
        <v>269.39999999999998</v>
      </c>
      <c r="I147" s="6">
        <f>Tabela1[[#This Row],[Valor total]]-Tabela1[[#This Row],[Valor custo]]</f>
        <v>66.579999999999984</v>
      </c>
      <c r="J147" s="7">
        <f>Tabela1[[#This Row],[MARGEM BRUTA]]/Tabela1[[#This Row],[Valor total]]</f>
        <v>0.24714179658500368</v>
      </c>
      <c r="K147" s="1" t="str">
        <f>VLOOKUP(Tabela1[[#This Row],[Cliente]],'BASE DE CLIENTES'!A:D,4,0)</f>
        <v>EMPRESA SEM MAQUINA</v>
      </c>
      <c r="L147" s="1" t="str">
        <f>VLOOKUP(Tabela1[[#This Row],[Cliente]],'BASE DE CLIENTES'!A:E,5,0)</f>
        <v>JOKEY</v>
      </c>
    </row>
    <row r="148" spans="2:12" x14ac:dyDescent="0.3">
      <c r="B148" s="1" t="s">
        <v>30</v>
      </c>
      <c r="C148" s="4" t="str">
        <f>VLOOKUP(Tabela1[[#This Row],[Cliente]],'BASE DE CLIENTES'!A:E,2,0)</f>
        <v>Águas Lindas de Goiás</v>
      </c>
      <c r="D148" s="1" t="str">
        <f>VLOOKUP(Tabela1[[#This Row],[Cliente]],'BASE DE CLIENTES'!A:C,3,0)</f>
        <v>GO</v>
      </c>
      <c r="E148" s="4" t="str">
        <f>CONCATENATE(Tabela1[[#This Row],[CIDADE]],",",Tabela1[[#This Row],[UF]])</f>
        <v>Águas Lindas de Goiás,GO</v>
      </c>
      <c r="F148" s="2">
        <v>45736</v>
      </c>
      <c r="G148" s="17">
        <v>2814.08</v>
      </c>
      <c r="H148" s="17">
        <v>4100</v>
      </c>
      <c r="I148" s="6">
        <f>Tabela1[[#This Row],[Valor total]]-Tabela1[[#This Row],[Valor custo]]</f>
        <v>1285.92</v>
      </c>
      <c r="J148" s="7">
        <f>Tabela1[[#This Row],[MARGEM BRUTA]]/Tabela1[[#This Row],[Valor total]]</f>
        <v>0.31363902439024394</v>
      </c>
      <c r="K148" s="1" t="str">
        <f>VLOOKUP(Tabela1[[#This Row],[Cliente]],'BASE DE CLIENTES'!A:D,4,0)</f>
        <v>SERRALHEIRO</v>
      </c>
      <c r="L148" s="1" t="str">
        <f>VLOOKUP(Tabela1[[#This Row],[Cliente]],'BASE DE CLIENTES'!A:E,5,0)</f>
        <v>Águas Lindas de Goiás</v>
      </c>
    </row>
    <row r="149" spans="2:12" x14ac:dyDescent="0.3">
      <c r="B149" s="1" t="s">
        <v>19</v>
      </c>
      <c r="C149" s="4" t="str">
        <f>VLOOKUP(Tabela1[[#This Row],[Cliente]],'BASE DE CLIENTES'!A:E,2,0)</f>
        <v>Águas Lindas de Goiás</v>
      </c>
      <c r="D149" s="1" t="str">
        <f>VLOOKUP(Tabela1[[#This Row],[Cliente]],'BASE DE CLIENTES'!A:C,3,0)</f>
        <v>GO</v>
      </c>
      <c r="E149" s="4" t="str">
        <f>CONCATENATE(Tabela1[[#This Row],[CIDADE]],",",Tabela1[[#This Row],[UF]])</f>
        <v>Águas Lindas de Goiás,GO</v>
      </c>
      <c r="F149" s="2">
        <v>45735</v>
      </c>
      <c r="G149" s="17">
        <v>946.26</v>
      </c>
      <c r="H149" s="17">
        <v>1657</v>
      </c>
      <c r="I149" s="6">
        <f>Tabela1[[#This Row],[Valor total]]-Tabela1[[#This Row],[Valor custo]]</f>
        <v>710.74</v>
      </c>
      <c r="J149" s="7">
        <f>Tabela1[[#This Row],[MARGEM BRUTA]]/Tabela1[[#This Row],[Valor total]]</f>
        <v>0.42893180446590223</v>
      </c>
      <c r="K149" s="1" t="str">
        <f>VLOOKUP(Tabela1[[#This Row],[Cliente]],'BASE DE CLIENTES'!A:D,4,0)</f>
        <v>SERRALHEIRO</v>
      </c>
      <c r="L149" s="1" t="str">
        <f>VLOOKUP(Tabela1[[#This Row],[Cliente]],'BASE DE CLIENTES'!A:E,5,0)</f>
        <v>Águas Lindas de Goiás</v>
      </c>
    </row>
    <row r="150" spans="2:12" x14ac:dyDescent="0.3">
      <c r="B150" s="1" t="s">
        <v>21</v>
      </c>
      <c r="C150" s="4" t="str">
        <f>VLOOKUP(Tabela1[[#This Row],[Cliente]],'BASE DE CLIENTES'!A:E,2,0)</f>
        <v>Brasília</v>
      </c>
      <c r="D150" s="1" t="str">
        <f>VLOOKUP(Tabela1[[#This Row],[Cliente]],'BASE DE CLIENTES'!A:C,3,0)</f>
        <v>DF</v>
      </c>
      <c r="E150" s="4" t="str">
        <f>CONCATENATE(Tabela1[[#This Row],[CIDADE]],",",Tabela1[[#This Row],[UF]])</f>
        <v>Brasília,DF</v>
      </c>
      <c r="F150" s="2">
        <v>45740</v>
      </c>
      <c r="G150" s="17">
        <v>1914.4</v>
      </c>
      <c r="H150" s="17">
        <v>4250</v>
      </c>
      <c r="I150" s="6">
        <f>Tabela1[[#This Row],[Valor total]]-Tabela1[[#This Row],[Valor custo]]</f>
        <v>2335.6</v>
      </c>
      <c r="J150" s="7">
        <f>Tabela1[[#This Row],[MARGEM BRUTA]]/Tabela1[[#This Row],[Valor total]]</f>
        <v>0.54955294117647058</v>
      </c>
      <c r="K150" s="1" t="str">
        <f>VLOOKUP(Tabela1[[#This Row],[Cliente]],'BASE DE CLIENTES'!A:D,4,0)</f>
        <v>EMPRESA COM MAQUINA</v>
      </c>
      <c r="L150" s="1" t="str">
        <f>VLOOKUP(Tabela1[[#This Row],[Cliente]],'BASE DE CLIENTES'!A:E,5,0)</f>
        <v>RIACHO FUNDO II</v>
      </c>
    </row>
    <row r="151" spans="2:12" x14ac:dyDescent="0.3">
      <c r="B151" s="1" t="s">
        <v>34</v>
      </c>
      <c r="C151" s="4" t="str">
        <f>VLOOKUP(Tabela1[[#This Row],[Cliente]],'BASE DE CLIENTES'!A:E,2,0)</f>
        <v>Brasília</v>
      </c>
      <c r="D151" s="1" t="str">
        <f>VLOOKUP(Tabela1[[#This Row],[Cliente]],'BASE DE CLIENTES'!A:C,3,0)</f>
        <v>DF</v>
      </c>
      <c r="E151" s="4" t="str">
        <f>CONCATENATE(Tabela1[[#This Row],[CIDADE]],",",Tabela1[[#This Row],[UF]])</f>
        <v>Brasília,DF</v>
      </c>
      <c r="F151" s="2">
        <v>45670</v>
      </c>
      <c r="G151" s="17">
        <v>514.45000000000005</v>
      </c>
      <c r="H151" s="17">
        <v>720</v>
      </c>
      <c r="I151" s="6">
        <f>Tabela1[[#This Row],[Valor total]]-Tabela1[[#This Row],[Valor custo]]</f>
        <v>205.54999999999995</v>
      </c>
      <c r="J151" s="7">
        <f>Tabela1[[#This Row],[MARGEM BRUTA]]/Tabela1[[#This Row],[Valor total]]</f>
        <v>0.28548611111111105</v>
      </c>
      <c r="K151" s="1" t="str">
        <f>VLOOKUP(Tabela1[[#This Row],[Cliente]],'BASE DE CLIENTES'!A:D,4,0)</f>
        <v>SERRALHEIRO</v>
      </c>
      <c r="L151" s="1" t="str">
        <f>VLOOKUP(Tabela1[[#This Row],[Cliente]],'BASE DE CLIENTES'!A:E,5,0)</f>
        <v>RECANTO DAS EMAS</v>
      </c>
    </row>
    <row r="152" spans="2:12" x14ac:dyDescent="0.3">
      <c r="B152" s="1" t="s">
        <v>102</v>
      </c>
      <c r="C152" s="4" t="str">
        <f>VLOOKUP(Tabela1[[#This Row],[Cliente]],'BASE DE CLIENTES'!A:E,2,0)</f>
        <v>Brasília</v>
      </c>
      <c r="D152" s="1" t="str">
        <f>VLOOKUP(Tabela1[[#This Row],[Cliente]],'BASE DE CLIENTES'!A:C,3,0)</f>
        <v>DF</v>
      </c>
      <c r="E152" s="4" t="str">
        <f>CONCATENATE(Tabela1[[#This Row],[CIDADE]],",",Tabela1[[#This Row],[UF]])</f>
        <v>Brasília,DF</v>
      </c>
      <c r="F152" s="2">
        <v>45670</v>
      </c>
      <c r="G152" s="17">
        <v>2057.8000000000002</v>
      </c>
      <c r="H152" s="17">
        <v>2880</v>
      </c>
      <c r="I152" s="6">
        <f>Tabela1[[#This Row],[Valor total]]-Tabela1[[#This Row],[Valor custo]]</f>
        <v>822.19999999999982</v>
      </c>
      <c r="J152" s="7">
        <f>Tabela1[[#This Row],[MARGEM BRUTA]]/Tabela1[[#This Row],[Valor total]]</f>
        <v>0.28548611111111105</v>
      </c>
      <c r="K152" s="1" t="str">
        <f>VLOOKUP(Tabela1[[#This Row],[Cliente]],'BASE DE CLIENTES'!A:D,4,0)</f>
        <v>SERRALHEIRO</v>
      </c>
      <c r="L152" s="1" t="str">
        <f>VLOOKUP(Tabela1[[#This Row],[Cliente]],'BASE DE CLIENTES'!A:E,5,0)</f>
        <v>Samambaia Norte (Samambaia)</v>
      </c>
    </row>
    <row r="153" spans="2:12" x14ac:dyDescent="0.3">
      <c r="B153" s="1" t="s">
        <v>25</v>
      </c>
      <c r="C153" s="4" t="str">
        <f>VLOOKUP(Tabela1[[#This Row],[Cliente]],'BASE DE CLIENTES'!A:E,2,0)</f>
        <v>Brasília</v>
      </c>
      <c r="D153" s="1" t="str">
        <f>VLOOKUP(Tabela1[[#This Row],[Cliente]],'BASE DE CLIENTES'!A:C,3,0)</f>
        <v>DF</v>
      </c>
      <c r="E153" s="4" t="str">
        <f>CONCATENATE(Tabela1[[#This Row],[CIDADE]],",",Tabela1[[#This Row],[UF]])</f>
        <v>Brasília,DF</v>
      </c>
      <c r="F153" s="2">
        <v>45670</v>
      </c>
      <c r="G153" s="17">
        <v>707.23</v>
      </c>
      <c r="H153" s="17">
        <v>660</v>
      </c>
      <c r="I153" s="6">
        <f>Tabela1[[#This Row],[Valor total]]-Tabela1[[#This Row],[Valor custo]]</f>
        <v>-47.230000000000018</v>
      </c>
      <c r="J153" s="7">
        <f>Tabela1[[#This Row],[MARGEM BRUTA]]/Tabela1[[#This Row],[Valor total]]</f>
        <v>-7.1560606060606088E-2</v>
      </c>
      <c r="K153" s="1" t="str">
        <f>VLOOKUP(Tabela1[[#This Row],[Cliente]],'BASE DE CLIENTES'!A:D,4,0)</f>
        <v>EMPRESA COM MAQUINA</v>
      </c>
      <c r="L153" s="1" t="str">
        <f>VLOOKUP(Tabela1[[#This Row],[Cliente]],'BASE DE CLIENTES'!A:E,5,0)</f>
        <v>CEILANDIA NORTE (CEILANDIA)</v>
      </c>
    </row>
    <row r="154" spans="2:12" x14ac:dyDescent="0.3">
      <c r="B154" s="1" t="s">
        <v>66</v>
      </c>
      <c r="C154" s="4" t="str">
        <f>VLOOKUP(Tabela1[[#This Row],[Cliente]],'BASE DE CLIENTES'!A:E,2,0)</f>
        <v>Águas Lindas de Goiás</v>
      </c>
      <c r="D154" s="1" t="str">
        <f>VLOOKUP(Tabela1[[#This Row],[Cliente]],'BASE DE CLIENTES'!A:C,3,0)</f>
        <v>GO</v>
      </c>
      <c r="E154" s="4" t="str">
        <f>CONCATENATE(Tabela1[[#This Row],[CIDADE]],",",Tabela1[[#This Row],[UF]])</f>
        <v>Águas Lindas de Goiás,GO</v>
      </c>
      <c r="F154" s="2">
        <v>45733</v>
      </c>
      <c r="G154" s="17">
        <v>878.4</v>
      </c>
      <c r="H154" s="17">
        <v>1240</v>
      </c>
      <c r="I154" s="6">
        <f>Tabela1[[#This Row],[Valor total]]-Tabela1[[#This Row],[Valor custo]]</f>
        <v>361.6</v>
      </c>
      <c r="J154" s="7">
        <f>Tabela1[[#This Row],[MARGEM BRUTA]]/Tabela1[[#This Row],[Valor total]]</f>
        <v>0.29161290322580646</v>
      </c>
      <c r="K154" s="1" t="str">
        <f>VLOOKUP(Tabela1[[#This Row],[Cliente]],'BASE DE CLIENTES'!A:D,4,0)</f>
        <v>EMPRESA COM MAQUINA</v>
      </c>
      <c r="L154" s="1" t="str">
        <f>VLOOKUP(Tabela1[[#This Row],[Cliente]],'BASE DE CLIENTES'!A:E,5,0)</f>
        <v>Águas Lindas de Goiás</v>
      </c>
    </row>
    <row r="155" spans="2:12" x14ac:dyDescent="0.3">
      <c r="B155" s="1" t="s">
        <v>21</v>
      </c>
      <c r="C155" s="4" t="str">
        <f>VLOOKUP(Tabela1[[#This Row],[Cliente]],'BASE DE CLIENTES'!A:E,2,0)</f>
        <v>Brasília</v>
      </c>
      <c r="D155" s="1" t="str">
        <f>VLOOKUP(Tabela1[[#This Row],[Cliente]],'BASE DE CLIENTES'!A:C,3,0)</f>
        <v>DF</v>
      </c>
      <c r="E155" s="4" t="str">
        <f>CONCATENATE(Tabela1[[#This Row],[CIDADE]],",",Tabela1[[#This Row],[UF]])</f>
        <v>Brasília,DF</v>
      </c>
      <c r="F155" s="2">
        <v>45714</v>
      </c>
      <c r="G155" s="17">
        <v>2203.83</v>
      </c>
      <c r="H155" s="17">
        <v>4050</v>
      </c>
      <c r="I155" s="6">
        <f>Tabela1[[#This Row],[Valor total]]-Tabela1[[#This Row],[Valor custo]]</f>
        <v>1846.17</v>
      </c>
      <c r="J155" s="7">
        <f>Tabela1[[#This Row],[MARGEM BRUTA]]/Tabela1[[#This Row],[Valor total]]</f>
        <v>0.45584444444444444</v>
      </c>
      <c r="K155" s="1" t="str">
        <f>VLOOKUP(Tabela1[[#This Row],[Cliente]],'BASE DE CLIENTES'!A:D,4,0)</f>
        <v>EMPRESA COM MAQUINA</v>
      </c>
      <c r="L155" s="1" t="str">
        <f>VLOOKUP(Tabela1[[#This Row],[Cliente]],'BASE DE CLIENTES'!A:E,5,0)</f>
        <v>RIACHO FUNDO II</v>
      </c>
    </row>
    <row r="156" spans="2:12" x14ac:dyDescent="0.3">
      <c r="B156" s="1" t="s">
        <v>70</v>
      </c>
      <c r="C156" s="4" t="str">
        <f>VLOOKUP(Tabela1[[#This Row],[Cliente]],'BASE DE CLIENTES'!A:E,2,0)</f>
        <v>Brasília</v>
      </c>
      <c r="D156" s="1" t="str">
        <f>VLOOKUP(Tabela1[[#This Row],[Cliente]],'BASE DE CLIENTES'!A:C,3,0)</f>
        <v>DF</v>
      </c>
      <c r="E156" s="4" t="str">
        <f>CONCATENATE(Tabela1[[#This Row],[CIDADE]],",",Tabela1[[#This Row],[UF]])</f>
        <v>Brasília,DF</v>
      </c>
      <c r="F156" s="2">
        <v>45670</v>
      </c>
      <c r="G156" s="17">
        <v>514.45000000000005</v>
      </c>
      <c r="H156" s="17">
        <v>720</v>
      </c>
      <c r="I156" s="6">
        <f>Tabela1[[#This Row],[Valor total]]-Tabela1[[#This Row],[Valor custo]]</f>
        <v>205.54999999999995</v>
      </c>
      <c r="J156" s="7">
        <f>Tabela1[[#This Row],[MARGEM BRUTA]]/Tabela1[[#This Row],[Valor total]]</f>
        <v>0.28548611111111105</v>
      </c>
      <c r="K156" s="1" t="str">
        <f>VLOOKUP(Tabela1[[#This Row],[Cliente]],'BASE DE CLIENTES'!A:D,4,0)</f>
        <v>EMPRESA COM MAQUINA</v>
      </c>
      <c r="L156" s="1" t="str">
        <f>VLOOKUP(Tabela1[[#This Row],[Cliente]],'BASE DE CLIENTES'!A:E,5,0)</f>
        <v>TAGUATINGA NORTE (TAGUATINGA)</v>
      </c>
    </row>
    <row r="157" spans="2:12" x14ac:dyDescent="0.3">
      <c r="B157" s="1" t="s">
        <v>42</v>
      </c>
      <c r="C157" s="4" t="str">
        <f>VLOOKUP(Tabela1[[#This Row],[Cliente]],'BASE DE CLIENTES'!A:E,2,0)</f>
        <v>Brasília</v>
      </c>
      <c r="D157" s="1" t="str">
        <f>VLOOKUP(Tabela1[[#This Row],[Cliente]],'BASE DE CLIENTES'!A:C,3,0)</f>
        <v>DF</v>
      </c>
      <c r="E157" s="4" t="str">
        <f>CONCATENATE(Tabela1[[#This Row],[CIDADE]],",",Tabela1[[#This Row],[UF]])</f>
        <v>Brasília,DF</v>
      </c>
      <c r="F157" s="2">
        <v>45670</v>
      </c>
      <c r="G157" s="17">
        <v>3045.45</v>
      </c>
      <c r="H157" s="17">
        <v>4375</v>
      </c>
      <c r="I157" s="6">
        <f>Tabela1[[#This Row],[Valor total]]-Tabela1[[#This Row],[Valor custo]]</f>
        <v>1329.5500000000002</v>
      </c>
      <c r="J157" s="7">
        <f>Tabela1[[#This Row],[MARGEM BRUTA]]/Tabela1[[#This Row],[Valor total]]</f>
        <v>0.30389714285714292</v>
      </c>
      <c r="K157" s="1" t="str">
        <f>VLOOKUP(Tabela1[[#This Row],[Cliente]],'BASE DE CLIENTES'!A:D,4,0)</f>
        <v>EMPRESA SEM MAQUINA</v>
      </c>
      <c r="L157" s="1" t="str">
        <f>VLOOKUP(Tabela1[[#This Row],[Cliente]],'BASE DE CLIENTES'!A:E,5,0)</f>
        <v>SAMAMBAIA</v>
      </c>
    </row>
    <row r="158" spans="2:12" x14ac:dyDescent="0.3">
      <c r="B158" s="1" t="s">
        <v>55</v>
      </c>
      <c r="C158" s="4" t="str">
        <f>VLOOKUP(Tabela1[[#This Row],[Cliente]],'BASE DE CLIENTES'!A:E,2,0)</f>
        <v>Brasília</v>
      </c>
      <c r="D158" s="1" t="str">
        <f>VLOOKUP(Tabela1[[#This Row],[Cliente]],'BASE DE CLIENTES'!A:C,3,0)</f>
        <v>DF</v>
      </c>
      <c r="E158" s="4" t="str">
        <f>CONCATENATE(Tabela1[[#This Row],[CIDADE]],",",Tabela1[[#This Row],[UF]])</f>
        <v>Brasília,DF</v>
      </c>
      <c r="F158" s="2">
        <v>45670</v>
      </c>
      <c r="G158" s="17">
        <v>531.45000000000005</v>
      </c>
      <c r="H158" s="17">
        <v>785</v>
      </c>
      <c r="I158" s="6">
        <f>Tabela1[[#This Row],[Valor total]]-Tabela1[[#This Row],[Valor custo]]</f>
        <v>253.54999999999995</v>
      </c>
      <c r="J158" s="7">
        <f>Tabela1[[#This Row],[MARGEM BRUTA]]/Tabela1[[#This Row],[Valor total]]</f>
        <v>0.32299363057324837</v>
      </c>
      <c r="K158" s="1" t="str">
        <f>VLOOKUP(Tabela1[[#This Row],[Cliente]],'BASE DE CLIENTES'!A:D,4,0)</f>
        <v>EMPRESA SEM MAQUINA</v>
      </c>
      <c r="L158" s="1" t="str">
        <f>VLOOKUP(Tabela1[[#This Row],[Cliente]],'BASE DE CLIENTES'!A:E,5,0)</f>
        <v>RECANTO DAS EMAS</v>
      </c>
    </row>
    <row r="159" spans="2:12" x14ac:dyDescent="0.3">
      <c r="B159" s="1" t="s">
        <v>85</v>
      </c>
      <c r="C159" s="4" t="str">
        <f>VLOOKUP(Tabela1[[#This Row],[Cliente]],'BASE DE CLIENTES'!A:E,2,0)</f>
        <v>Brasília</v>
      </c>
      <c r="D159" s="1" t="str">
        <f>VLOOKUP(Tabela1[[#This Row],[Cliente]],'BASE DE CLIENTES'!A:C,3,0)</f>
        <v>DF</v>
      </c>
      <c r="E159" s="4" t="str">
        <f>CONCATENATE(Tabela1[[#This Row],[CIDADE]],",",Tabela1[[#This Row],[UF]])</f>
        <v>Brasília,DF</v>
      </c>
      <c r="F159" s="2">
        <v>45670</v>
      </c>
      <c r="G159" s="17">
        <v>84</v>
      </c>
      <c r="H159" s="17">
        <v>140</v>
      </c>
      <c r="I159" s="6">
        <f>Tabela1[[#This Row],[Valor total]]-Tabela1[[#This Row],[Valor custo]]</f>
        <v>56</v>
      </c>
      <c r="J159" s="7">
        <f>Tabela1[[#This Row],[MARGEM BRUTA]]/Tabela1[[#This Row],[Valor total]]</f>
        <v>0.4</v>
      </c>
      <c r="K159" s="1" t="str">
        <f>VLOOKUP(Tabela1[[#This Row],[Cliente]],'BASE DE CLIENTES'!A:D,4,0)</f>
        <v>SERRALHEIRO</v>
      </c>
      <c r="L159" s="1" t="str">
        <f>VLOOKUP(Tabela1[[#This Row],[Cliente]],'BASE DE CLIENTES'!A:E,5,0)</f>
        <v>SAMAMBAIA NORTE (SAMAMBAIA)</v>
      </c>
    </row>
    <row r="160" spans="2:12" x14ac:dyDescent="0.3">
      <c r="B160" s="1" t="s">
        <v>66</v>
      </c>
      <c r="C160" s="4" t="str">
        <f>VLOOKUP(Tabela1[[#This Row],[Cliente]],'BASE DE CLIENTES'!A:E,2,0)</f>
        <v>Águas Lindas de Goiás</v>
      </c>
      <c r="D160" s="1" t="str">
        <f>VLOOKUP(Tabela1[[#This Row],[Cliente]],'BASE DE CLIENTES'!A:C,3,0)</f>
        <v>GO</v>
      </c>
      <c r="E160" s="4" t="str">
        <f>CONCATENATE(Tabela1[[#This Row],[CIDADE]],",",Tabela1[[#This Row],[UF]])</f>
        <v>Águas Lindas de Goiás,GO</v>
      </c>
      <c r="F160" s="2">
        <v>45730</v>
      </c>
      <c r="G160" s="17">
        <v>439.2</v>
      </c>
      <c r="H160" s="17">
        <v>620</v>
      </c>
      <c r="I160" s="6">
        <f>Tabela1[[#This Row],[Valor total]]-Tabela1[[#This Row],[Valor custo]]</f>
        <v>180.8</v>
      </c>
      <c r="J160" s="7">
        <f>Tabela1[[#This Row],[MARGEM BRUTA]]/Tabela1[[#This Row],[Valor total]]</f>
        <v>0.29161290322580646</v>
      </c>
      <c r="K160" s="1" t="str">
        <f>VLOOKUP(Tabela1[[#This Row],[Cliente]],'BASE DE CLIENTES'!A:D,4,0)</f>
        <v>EMPRESA COM MAQUINA</v>
      </c>
      <c r="L160" s="1" t="str">
        <f>VLOOKUP(Tabela1[[#This Row],[Cliente]],'BASE DE CLIENTES'!A:E,5,0)</f>
        <v>Águas Lindas de Goiás</v>
      </c>
    </row>
    <row r="161" spans="2:12" x14ac:dyDescent="0.3">
      <c r="B161" s="1" t="s">
        <v>66</v>
      </c>
      <c r="C161" s="4" t="str">
        <f>VLOOKUP(Tabela1[[#This Row],[Cliente]],'BASE DE CLIENTES'!A:E,2,0)</f>
        <v>Águas Lindas de Goiás</v>
      </c>
      <c r="D161" s="1" t="str">
        <f>VLOOKUP(Tabela1[[#This Row],[Cliente]],'BASE DE CLIENTES'!A:C,3,0)</f>
        <v>GO</v>
      </c>
      <c r="E161" s="4" t="str">
        <f>CONCATENATE(Tabela1[[#This Row],[CIDADE]],",",Tabela1[[#This Row],[UF]])</f>
        <v>Águas Lindas de Goiás,GO</v>
      </c>
      <c r="F161" s="2">
        <v>45729</v>
      </c>
      <c r="G161" s="17">
        <v>439.2</v>
      </c>
      <c r="H161" s="17">
        <v>620</v>
      </c>
      <c r="I161" s="6">
        <f>Tabela1[[#This Row],[Valor total]]-Tabela1[[#This Row],[Valor custo]]</f>
        <v>180.8</v>
      </c>
      <c r="J161" s="7">
        <f>Tabela1[[#This Row],[MARGEM BRUTA]]/Tabela1[[#This Row],[Valor total]]</f>
        <v>0.29161290322580646</v>
      </c>
      <c r="K161" s="1" t="str">
        <f>VLOOKUP(Tabela1[[#This Row],[Cliente]],'BASE DE CLIENTES'!A:D,4,0)</f>
        <v>EMPRESA COM MAQUINA</v>
      </c>
      <c r="L161" s="1" t="str">
        <f>VLOOKUP(Tabela1[[#This Row],[Cliente]],'BASE DE CLIENTES'!A:E,5,0)</f>
        <v>Águas Lindas de Goiás</v>
      </c>
    </row>
    <row r="162" spans="2:12" x14ac:dyDescent="0.3">
      <c r="B162" s="1" t="s">
        <v>27</v>
      </c>
      <c r="C162" s="4" t="str">
        <f>VLOOKUP(Tabela1[[#This Row],[Cliente]],'BASE DE CLIENTES'!A:E,2,0)</f>
        <v>Brasília</v>
      </c>
      <c r="D162" s="1" t="str">
        <f>VLOOKUP(Tabela1[[#This Row],[Cliente]],'BASE DE CLIENTES'!A:C,3,0)</f>
        <v>DF</v>
      </c>
      <c r="E162" s="4" t="str">
        <f>CONCATENATE(Tabela1[[#This Row],[CIDADE]],",",Tabela1[[#This Row],[UF]])</f>
        <v>Brasília,DF</v>
      </c>
      <c r="F162" s="2">
        <v>45667</v>
      </c>
      <c r="G162" s="17">
        <v>1543.35</v>
      </c>
      <c r="H162" s="17">
        <v>2160</v>
      </c>
      <c r="I162" s="6">
        <f>Tabela1[[#This Row],[Valor total]]-Tabela1[[#This Row],[Valor custo]]</f>
        <v>616.65000000000009</v>
      </c>
      <c r="J162" s="7">
        <f>Tabela1[[#This Row],[MARGEM BRUTA]]/Tabela1[[#This Row],[Valor total]]</f>
        <v>0.28548611111111116</v>
      </c>
      <c r="K162" s="1" t="str">
        <f>VLOOKUP(Tabela1[[#This Row],[Cliente]],'BASE DE CLIENTES'!A:D,4,0)</f>
        <v>EMPRESA SEM MAQUINA</v>
      </c>
      <c r="L162" s="1" t="str">
        <f>VLOOKUP(Tabela1[[#This Row],[Cliente]],'BASE DE CLIENTES'!A:E,5,0)</f>
        <v>RECANTO DAS EMAS</v>
      </c>
    </row>
    <row r="163" spans="2:12" x14ac:dyDescent="0.3">
      <c r="B163" s="1" t="s">
        <v>25</v>
      </c>
      <c r="C163" s="4" t="str">
        <f>VLOOKUP(Tabela1[[#This Row],[Cliente]],'BASE DE CLIENTES'!A:E,2,0)</f>
        <v>Brasília</v>
      </c>
      <c r="D163" s="1" t="str">
        <f>VLOOKUP(Tabela1[[#This Row],[Cliente]],'BASE DE CLIENTES'!A:C,3,0)</f>
        <v>DF</v>
      </c>
      <c r="E163" s="4" t="str">
        <f>CONCATENATE(Tabela1[[#This Row],[CIDADE]],",",Tabela1[[#This Row],[UF]])</f>
        <v>Brasília,DF</v>
      </c>
      <c r="F163" s="2">
        <v>45667</v>
      </c>
      <c r="G163" s="17">
        <v>1123.75</v>
      </c>
      <c r="H163" s="17">
        <v>1895</v>
      </c>
      <c r="I163" s="6">
        <f>Tabela1[[#This Row],[Valor total]]-Tabela1[[#This Row],[Valor custo]]</f>
        <v>771.25</v>
      </c>
      <c r="J163" s="7">
        <f>Tabela1[[#This Row],[MARGEM BRUTA]]/Tabela1[[#This Row],[Valor total]]</f>
        <v>0.40699208443271767</v>
      </c>
      <c r="K163" s="1" t="str">
        <f>VLOOKUP(Tabela1[[#This Row],[Cliente]],'BASE DE CLIENTES'!A:D,4,0)</f>
        <v>EMPRESA COM MAQUINA</v>
      </c>
      <c r="L163" s="1" t="str">
        <f>VLOOKUP(Tabela1[[#This Row],[Cliente]],'BASE DE CLIENTES'!A:E,5,0)</f>
        <v>CEILANDIA NORTE (CEILANDIA)</v>
      </c>
    </row>
    <row r="164" spans="2:12" x14ac:dyDescent="0.3">
      <c r="B164" s="1" t="s">
        <v>30</v>
      </c>
      <c r="C164" s="4" t="str">
        <f>VLOOKUP(Tabela1[[#This Row],[Cliente]],'BASE DE CLIENTES'!A:E,2,0)</f>
        <v>Águas Lindas de Goiás</v>
      </c>
      <c r="D164" s="1" t="str">
        <f>VLOOKUP(Tabela1[[#This Row],[Cliente]],'BASE DE CLIENTES'!A:C,3,0)</f>
        <v>GO</v>
      </c>
      <c r="E164" s="4" t="str">
        <f>CONCATENATE(Tabela1[[#This Row],[CIDADE]],",",Tabela1[[#This Row],[UF]])</f>
        <v>Águas Lindas de Goiás,GO</v>
      </c>
      <c r="F164" s="2">
        <v>45728</v>
      </c>
      <c r="G164" s="17">
        <v>593.83000000000004</v>
      </c>
      <c r="H164" s="17">
        <v>750</v>
      </c>
      <c r="I164" s="6">
        <f>Tabela1[[#This Row],[Valor total]]-Tabela1[[#This Row],[Valor custo]]</f>
        <v>156.16999999999996</v>
      </c>
      <c r="J164" s="7">
        <f>Tabela1[[#This Row],[MARGEM BRUTA]]/Tabela1[[#This Row],[Valor total]]</f>
        <v>0.20822666666666662</v>
      </c>
      <c r="K164" s="1" t="str">
        <f>VLOOKUP(Tabela1[[#This Row],[Cliente]],'BASE DE CLIENTES'!A:D,4,0)</f>
        <v>SERRALHEIRO</v>
      </c>
      <c r="L164" s="1" t="str">
        <f>VLOOKUP(Tabela1[[#This Row],[Cliente]],'BASE DE CLIENTES'!A:E,5,0)</f>
        <v>Águas Lindas de Goiás</v>
      </c>
    </row>
    <row r="165" spans="2:12" x14ac:dyDescent="0.3">
      <c r="B165" s="1" t="s">
        <v>68</v>
      </c>
      <c r="C165" s="4" t="str">
        <f>VLOOKUP(Tabela1[[#This Row],[Cliente]],'BASE DE CLIENTES'!A:E,2,0)</f>
        <v>Brasília</v>
      </c>
      <c r="D165" s="1" t="str">
        <f>VLOOKUP(Tabela1[[#This Row],[Cliente]],'BASE DE CLIENTES'!A:C,3,0)</f>
        <v>DF</v>
      </c>
      <c r="E165" s="4" t="str">
        <f>CONCATENATE(Tabela1[[#This Row],[CIDADE]],",",Tabela1[[#This Row],[UF]])</f>
        <v>Brasília,DF</v>
      </c>
      <c r="F165" s="2">
        <v>45667</v>
      </c>
      <c r="G165" s="17">
        <v>135.5</v>
      </c>
      <c r="H165" s="17">
        <v>195</v>
      </c>
      <c r="I165" s="6">
        <f>Tabela1[[#This Row],[Valor total]]-Tabela1[[#This Row],[Valor custo]]</f>
        <v>59.5</v>
      </c>
      <c r="J165" s="7">
        <f>Tabela1[[#This Row],[MARGEM BRUTA]]/Tabela1[[#This Row],[Valor total]]</f>
        <v>0.30512820512820515</v>
      </c>
      <c r="K165" s="1" t="str">
        <f>VLOOKUP(Tabela1[[#This Row],[Cliente]],'BASE DE CLIENTES'!A:D,4,0)</f>
        <v>EMPRESA COM MAQUINA</v>
      </c>
      <c r="L165" s="1" t="str">
        <f>VLOOKUP(Tabela1[[#This Row],[Cliente]],'BASE DE CLIENTES'!A:E,5,0)</f>
        <v>SAMAMBAIA SUL (SAMAMBAIA)</v>
      </c>
    </row>
    <row r="166" spans="2:12" x14ac:dyDescent="0.3">
      <c r="B166" s="1" t="s">
        <v>68</v>
      </c>
      <c r="C166" s="4" t="str">
        <f>VLOOKUP(Tabela1[[#This Row],[Cliente]],'BASE DE CLIENTES'!A:E,2,0)</f>
        <v>Brasília</v>
      </c>
      <c r="D166" s="1" t="str">
        <f>VLOOKUP(Tabela1[[#This Row],[Cliente]],'BASE DE CLIENTES'!A:C,3,0)</f>
        <v>DF</v>
      </c>
      <c r="E166" s="4" t="str">
        <f>CONCATENATE(Tabela1[[#This Row],[CIDADE]],",",Tabela1[[#This Row],[UF]])</f>
        <v>Brasília,DF</v>
      </c>
      <c r="F166" s="2">
        <v>45667</v>
      </c>
      <c r="G166" s="17">
        <v>12438.01</v>
      </c>
      <c r="H166" s="17">
        <v>17294.599999999999</v>
      </c>
      <c r="I166" s="6">
        <f>Tabela1[[#This Row],[Valor total]]-Tabela1[[#This Row],[Valor custo]]</f>
        <v>4856.5899999999983</v>
      </c>
      <c r="J166" s="7">
        <f>Tabela1[[#This Row],[MARGEM BRUTA]]/Tabela1[[#This Row],[Valor total]]</f>
        <v>0.28081539902628561</v>
      </c>
      <c r="K166" s="1" t="str">
        <f>VLOOKUP(Tabela1[[#This Row],[Cliente]],'BASE DE CLIENTES'!A:D,4,0)</f>
        <v>EMPRESA COM MAQUINA</v>
      </c>
      <c r="L166" s="1" t="str">
        <f>VLOOKUP(Tabela1[[#This Row],[Cliente]],'BASE DE CLIENTES'!A:E,5,0)</f>
        <v>SAMAMBAIA SUL (SAMAMBAIA)</v>
      </c>
    </row>
    <row r="167" spans="2:12" x14ac:dyDescent="0.3">
      <c r="B167" s="1" t="s">
        <v>52</v>
      </c>
      <c r="C167" s="4" t="str">
        <f>VLOOKUP(Tabela1[[#This Row],[Cliente]],'BASE DE CLIENTES'!A:E,2,0)</f>
        <v>Brasília</v>
      </c>
      <c r="D167" s="1" t="str">
        <f>VLOOKUP(Tabela1[[#This Row],[Cliente]],'BASE DE CLIENTES'!A:C,3,0)</f>
        <v>DF</v>
      </c>
      <c r="E167" s="4" t="str">
        <f>CONCATENATE(Tabela1[[#This Row],[CIDADE]],",",Tabela1[[#This Row],[UF]])</f>
        <v>Brasília,DF</v>
      </c>
      <c r="F167" s="2">
        <v>45667</v>
      </c>
      <c r="G167" s="17">
        <v>514.45000000000005</v>
      </c>
      <c r="H167" s="17">
        <v>720</v>
      </c>
      <c r="I167" s="6">
        <f>Tabela1[[#This Row],[Valor total]]-Tabela1[[#This Row],[Valor custo]]</f>
        <v>205.54999999999995</v>
      </c>
      <c r="J167" s="7">
        <f>Tabela1[[#This Row],[MARGEM BRUTA]]/Tabela1[[#This Row],[Valor total]]</f>
        <v>0.28548611111111105</v>
      </c>
      <c r="K167" s="1" t="str">
        <f>VLOOKUP(Tabela1[[#This Row],[Cliente]],'BASE DE CLIENTES'!A:D,4,0)</f>
        <v>SERRALHEIRO</v>
      </c>
      <c r="L167" s="1" t="str">
        <f>VLOOKUP(Tabela1[[#This Row],[Cliente]],'BASE DE CLIENTES'!A:E,5,0)</f>
        <v>Ceilândia Sul (Ceilândia)</v>
      </c>
    </row>
    <row r="168" spans="2:12" x14ac:dyDescent="0.3">
      <c r="B168" s="1" t="s">
        <v>110</v>
      </c>
      <c r="C168" s="4" t="str">
        <f>VLOOKUP(Tabela1[[#This Row],[Cliente]],'BASE DE CLIENTES'!A:E,2,0)</f>
        <v>Brasília</v>
      </c>
      <c r="D168" s="1" t="str">
        <f>VLOOKUP(Tabela1[[#This Row],[Cliente]],'BASE DE CLIENTES'!A:C,3,0)</f>
        <v>DF</v>
      </c>
      <c r="E168" s="4" t="str">
        <f>CONCATENATE(Tabela1[[#This Row],[CIDADE]],",",Tabela1[[#This Row],[UF]])</f>
        <v>Brasília,DF</v>
      </c>
      <c r="F168" s="2">
        <v>45667</v>
      </c>
      <c r="G168" s="17">
        <v>113.75</v>
      </c>
      <c r="H168" s="17">
        <v>140</v>
      </c>
      <c r="I168" s="6">
        <f>Tabela1[[#This Row],[Valor total]]-Tabela1[[#This Row],[Valor custo]]</f>
        <v>26.25</v>
      </c>
      <c r="J168" s="7">
        <f>Tabela1[[#This Row],[MARGEM BRUTA]]/Tabela1[[#This Row],[Valor total]]</f>
        <v>0.1875</v>
      </c>
      <c r="K168" s="1" t="str">
        <f>VLOOKUP(Tabela1[[#This Row],[Cliente]],'BASE DE CLIENTES'!A:D,4,0)</f>
        <v>SERRALHEIRO</v>
      </c>
      <c r="L168" s="1" t="str">
        <f>VLOOKUP(Tabela1[[#This Row],[Cliente]],'BASE DE CLIENTES'!A:E,5,0)</f>
        <v>Taguatinga sul</v>
      </c>
    </row>
    <row r="169" spans="2:12" x14ac:dyDescent="0.3">
      <c r="B169" s="1" t="s">
        <v>55</v>
      </c>
      <c r="C169" s="4" t="str">
        <f>VLOOKUP(Tabela1[[#This Row],[Cliente]],'BASE DE CLIENTES'!A:E,2,0)</f>
        <v>Brasília</v>
      </c>
      <c r="D169" s="1" t="str">
        <f>VLOOKUP(Tabela1[[#This Row],[Cliente]],'BASE DE CLIENTES'!A:C,3,0)</f>
        <v>DF</v>
      </c>
      <c r="E169" s="4" t="str">
        <f>CONCATENATE(Tabela1[[#This Row],[CIDADE]],",",Tabela1[[#This Row],[UF]])</f>
        <v>Brasília,DF</v>
      </c>
      <c r="F169" s="2">
        <v>45667</v>
      </c>
      <c r="G169" s="17">
        <v>122.74</v>
      </c>
      <c r="H169" s="17">
        <v>180</v>
      </c>
      <c r="I169" s="6">
        <f>Tabela1[[#This Row],[Valor total]]-Tabela1[[#This Row],[Valor custo]]</f>
        <v>57.260000000000005</v>
      </c>
      <c r="J169" s="7">
        <f>Tabela1[[#This Row],[MARGEM BRUTA]]/Tabela1[[#This Row],[Valor total]]</f>
        <v>0.31811111111111112</v>
      </c>
      <c r="K169" s="1" t="str">
        <f>VLOOKUP(Tabela1[[#This Row],[Cliente]],'BASE DE CLIENTES'!A:D,4,0)</f>
        <v>EMPRESA SEM MAQUINA</v>
      </c>
      <c r="L169" s="1" t="str">
        <f>VLOOKUP(Tabela1[[#This Row],[Cliente]],'BASE DE CLIENTES'!A:E,5,0)</f>
        <v>RECANTO DAS EMAS</v>
      </c>
    </row>
    <row r="170" spans="2:12" x14ac:dyDescent="0.3">
      <c r="B170" s="1" t="s">
        <v>55</v>
      </c>
      <c r="C170" s="4" t="str">
        <f>VLOOKUP(Tabela1[[#This Row],[Cliente]],'BASE DE CLIENTES'!A:E,2,0)</f>
        <v>Brasília</v>
      </c>
      <c r="D170" s="1" t="str">
        <f>VLOOKUP(Tabela1[[#This Row],[Cliente]],'BASE DE CLIENTES'!A:C,3,0)</f>
        <v>DF</v>
      </c>
      <c r="E170" s="4" t="str">
        <f>CONCATENATE(Tabela1[[#This Row],[CIDADE]],",",Tabela1[[#This Row],[UF]])</f>
        <v>Brasília,DF</v>
      </c>
      <c r="F170" s="2">
        <v>45667</v>
      </c>
      <c r="G170" s="17">
        <v>1437.14</v>
      </c>
      <c r="H170" s="17">
        <v>2990</v>
      </c>
      <c r="I170" s="6">
        <f>Tabela1[[#This Row],[Valor total]]-Tabela1[[#This Row],[Valor custo]]</f>
        <v>1552.86</v>
      </c>
      <c r="J170" s="7">
        <f>Tabela1[[#This Row],[MARGEM BRUTA]]/Tabela1[[#This Row],[Valor total]]</f>
        <v>0.51935117056856184</v>
      </c>
      <c r="K170" s="1" t="str">
        <f>VLOOKUP(Tabela1[[#This Row],[Cliente]],'BASE DE CLIENTES'!A:D,4,0)</f>
        <v>EMPRESA SEM MAQUINA</v>
      </c>
      <c r="L170" s="1" t="str">
        <f>VLOOKUP(Tabela1[[#This Row],[Cliente]],'BASE DE CLIENTES'!A:E,5,0)</f>
        <v>RECANTO DAS EMAS</v>
      </c>
    </row>
    <row r="171" spans="2:12" x14ac:dyDescent="0.3">
      <c r="B171" s="1" t="s">
        <v>66</v>
      </c>
      <c r="C171" s="4" t="str">
        <f>VLOOKUP(Tabela1[[#This Row],[Cliente]],'BASE DE CLIENTES'!A:E,2,0)</f>
        <v>Águas Lindas de Goiás</v>
      </c>
      <c r="D171" s="1" t="str">
        <f>VLOOKUP(Tabela1[[#This Row],[Cliente]],'BASE DE CLIENTES'!A:C,3,0)</f>
        <v>GO</v>
      </c>
      <c r="E171" s="4" t="str">
        <f>CONCATENATE(Tabela1[[#This Row],[CIDADE]],",",Tabela1[[#This Row],[UF]])</f>
        <v>Águas Lindas de Goiás,GO</v>
      </c>
      <c r="F171" s="2">
        <v>45728</v>
      </c>
      <c r="G171" s="17">
        <v>1559.69</v>
      </c>
      <c r="H171" s="17">
        <v>2070</v>
      </c>
      <c r="I171" s="6">
        <f>Tabela1[[#This Row],[Valor total]]-Tabela1[[#This Row],[Valor custo]]</f>
        <v>510.30999999999995</v>
      </c>
      <c r="J171" s="7">
        <f>Tabela1[[#This Row],[MARGEM BRUTA]]/Tabela1[[#This Row],[Valor total]]</f>
        <v>0.24652657004830916</v>
      </c>
      <c r="K171" s="1" t="str">
        <f>VLOOKUP(Tabela1[[#This Row],[Cliente]],'BASE DE CLIENTES'!A:D,4,0)</f>
        <v>EMPRESA COM MAQUINA</v>
      </c>
      <c r="L171" s="1" t="str">
        <f>VLOOKUP(Tabela1[[#This Row],[Cliente]],'BASE DE CLIENTES'!A:E,5,0)</f>
        <v>Águas Lindas de Goiás</v>
      </c>
    </row>
    <row r="172" spans="2:12" x14ac:dyDescent="0.3">
      <c r="B172" s="1" t="s">
        <v>66</v>
      </c>
      <c r="C172" s="4" t="str">
        <f>VLOOKUP(Tabela1[[#This Row],[Cliente]],'BASE DE CLIENTES'!A:E,2,0)</f>
        <v>Águas Lindas de Goiás</v>
      </c>
      <c r="D172" s="1" t="str">
        <f>VLOOKUP(Tabela1[[#This Row],[Cliente]],'BASE DE CLIENTES'!A:C,3,0)</f>
        <v>GO</v>
      </c>
      <c r="E172" s="4" t="str">
        <f>CONCATENATE(Tabela1[[#This Row],[CIDADE]],",",Tabela1[[#This Row],[UF]])</f>
        <v>Águas Lindas de Goiás,GO</v>
      </c>
      <c r="F172" s="2">
        <v>45727</v>
      </c>
      <c r="G172" s="17">
        <v>1096.94</v>
      </c>
      <c r="H172" s="17">
        <v>1625</v>
      </c>
      <c r="I172" s="6">
        <f>Tabela1[[#This Row],[Valor total]]-Tabela1[[#This Row],[Valor custo]]</f>
        <v>528.05999999999995</v>
      </c>
      <c r="J172" s="7">
        <f>Tabela1[[#This Row],[MARGEM BRUTA]]/Tabela1[[#This Row],[Valor total]]</f>
        <v>0.32495999999999997</v>
      </c>
      <c r="K172" s="1" t="str">
        <f>VLOOKUP(Tabela1[[#This Row],[Cliente]],'BASE DE CLIENTES'!A:D,4,0)</f>
        <v>EMPRESA COM MAQUINA</v>
      </c>
      <c r="L172" s="1" t="str">
        <f>VLOOKUP(Tabela1[[#This Row],[Cliente]],'BASE DE CLIENTES'!A:E,5,0)</f>
        <v>Águas Lindas de Goiás</v>
      </c>
    </row>
    <row r="173" spans="2:12" x14ac:dyDescent="0.3">
      <c r="B173" s="1" t="s">
        <v>66</v>
      </c>
      <c r="C173" s="4" t="str">
        <f>VLOOKUP(Tabela1[[#This Row],[Cliente]],'BASE DE CLIENTES'!A:E,2,0)</f>
        <v>Águas Lindas de Goiás</v>
      </c>
      <c r="D173" s="1" t="str">
        <f>VLOOKUP(Tabela1[[#This Row],[Cliente]],'BASE DE CLIENTES'!A:C,3,0)</f>
        <v>GO</v>
      </c>
      <c r="E173" s="4" t="str">
        <f>CONCATENATE(Tabela1[[#This Row],[CIDADE]],",",Tabela1[[#This Row],[UF]])</f>
        <v>Águas Lindas de Goiás,GO</v>
      </c>
      <c r="F173" s="2">
        <v>45726</v>
      </c>
      <c r="G173" s="17">
        <v>90</v>
      </c>
      <c r="H173" s="17">
        <v>200</v>
      </c>
      <c r="I173" s="6">
        <f>Tabela1[[#This Row],[Valor total]]-Tabela1[[#This Row],[Valor custo]]</f>
        <v>110</v>
      </c>
      <c r="J173" s="7">
        <f>Tabela1[[#This Row],[MARGEM BRUTA]]/Tabela1[[#This Row],[Valor total]]</f>
        <v>0.55000000000000004</v>
      </c>
      <c r="K173" s="1" t="str">
        <f>VLOOKUP(Tabela1[[#This Row],[Cliente]],'BASE DE CLIENTES'!A:D,4,0)</f>
        <v>EMPRESA COM MAQUINA</v>
      </c>
      <c r="L173" s="1" t="str">
        <f>VLOOKUP(Tabela1[[#This Row],[Cliente]],'BASE DE CLIENTES'!A:E,5,0)</f>
        <v>Águas Lindas de Goiás</v>
      </c>
    </row>
    <row r="174" spans="2:12" x14ac:dyDescent="0.3">
      <c r="B174" s="1" t="s">
        <v>68</v>
      </c>
      <c r="C174" s="4" t="str">
        <f>VLOOKUP(Tabela1[[#This Row],[Cliente]],'BASE DE CLIENTES'!A:E,2,0)</f>
        <v>Brasília</v>
      </c>
      <c r="D174" s="1" t="str">
        <f>VLOOKUP(Tabela1[[#This Row],[Cliente]],'BASE DE CLIENTES'!A:C,3,0)</f>
        <v>DF</v>
      </c>
      <c r="E174" s="4" t="str">
        <f>CONCATENATE(Tabela1[[#This Row],[CIDADE]],",",Tabela1[[#This Row],[UF]])</f>
        <v>Brasília,DF</v>
      </c>
      <c r="F174" s="2">
        <v>45666</v>
      </c>
      <c r="G174" s="17">
        <v>95.75</v>
      </c>
      <c r="H174" s="17">
        <v>160</v>
      </c>
      <c r="I174" s="6">
        <f>Tabela1[[#This Row],[Valor total]]-Tabela1[[#This Row],[Valor custo]]</f>
        <v>64.25</v>
      </c>
      <c r="J174" s="7">
        <f>Tabela1[[#This Row],[MARGEM BRUTA]]/Tabela1[[#This Row],[Valor total]]</f>
        <v>0.40156249999999999</v>
      </c>
      <c r="K174" s="1" t="str">
        <f>VLOOKUP(Tabela1[[#This Row],[Cliente]],'BASE DE CLIENTES'!A:D,4,0)</f>
        <v>EMPRESA COM MAQUINA</v>
      </c>
      <c r="L174" s="1" t="str">
        <f>VLOOKUP(Tabela1[[#This Row],[Cliente]],'BASE DE CLIENTES'!A:E,5,0)</f>
        <v>SAMAMBAIA SUL (SAMAMBAIA)</v>
      </c>
    </row>
    <row r="175" spans="2:12" x14ac:dyDescent="0.3">
      <c r="B175" s="1" t="s">
        <v>38</v>
      </c>
      <c r="C175" s="4" t="str">
        <f>VLOOKUP(Tabela1[[#This Row],[Cliente]],'BASE DE CLIENTES'!A:E,2,0)</f>
        <v>Brasília</v>
      </c>
      <c r="D175" s="1" t="str">
        <f>VLOOKUP(Tabela1[[#This Row],[Cliente]],'BASE DE CLIENTES'!A:C,3,0)</f>
        <v>DF</v>
      </c>
      <c r="E175" s="4" t="str">
        <f>CONCATENATE(Tabela1[[#This Row],[CIDADE]],",",Tabela1[[#This Row],[UF]])</f>
        <v>Brasília,DF</v>
      </c>
      <c r="F175" s="2">
        <v>45666</v>
      </c>
      <c r="G175" s="17">
        <v>439.2</v>
      </c>
      <c r="H175" s="17">
        <v>645</v>
      </c>
      <c r="I175" s="6">
        <f>Tabela1[[#This Row],[Valor total]]-Tabela1[[#This Row],[Valor custo]]</f>
        <v>205.8</v>
      </c>
      <c r="J175" s="7">
        <f>Tabela1[[#This Row],[MARGEM BRUTA]]/Tabela1[[#This Row],[Valor total]]</f>
        <v>0.3190697674418605</v>
      </c>
      <c r="K175" s="1" t="str">
        <f>VLOOKUP(Tabela1[[#This Row],[Cliente]],'BASE DE CLIENTES'!A:D,4,0)</f>
        <v>EMPRESA SEM MAQUINA</v>
      </c>
      <c r="L175" s="1" t="str">
        <f>VLOOKUP(Tabela1[[#This Row],[Cliente]],'BASE DE CLIENTES'!A:E,5,0)</f>
        <v>PONTE ALTA NORTE (GAMA)</v>
      </c>
    </row>
    <row r="176" spans="2:12" x14ac:dyDescent="0.3">
      <c r="B176" s="1" t="s">
        <v>19</v>
      </c>
      <c r="C176" s="4" t="str">
        <f>VLOOKUP(Tabela1[[#This Row],[Cliente]],'BASE DE CLIENTES'!A:E,2,0)</f>
        <v>Águas Lindas de Goiás</v>
      </c>
      <c r="D176" s="1" t="str">
        <f>VLOOKUP(Tabela1[[#This Row],[Cliente]],'BASE DE CLIENTES'!A:C,3,0)</f>
        <v>GO</v>
      </c>
      <c r="E176" s="4" t="str">
        <f>CONCATENATE(Tabela1[[#This Row],[CIDADE]],",",Tabela1[[#This Row],[UF]])</f>
        <v>Águas Lindas de Goiás,GO</v>
      </c>
      <c r="F176" s="2">
        <v>45726</v>
      </c>
      <c r="G176" s="17">
        <v>247.02</v>
      </c>
      <c r="H176" s="17">
        <v>330</v>
      </c>
      <c r="I176" s="6">
        <f>Tabela1[[#This Row],[Valor total]]-Tabela1[[#This Row],[Valor custo]]</f>
        <v>82.97999999999999</v>
      </c>
      <c r="J176" s="7">
        <f>Tabela1[[#This Row],[MARGEM BRUTA]]/Tabela1[[#This Row],[Valor total]]</f>
        <v>0.25145454545454543</v>
      </c>
      <c r="K176" s="1" t="str">
        <f>VLOOKUP(Tabela1[[#This Row],[Cliente]],'BASE DE CLIENTES'!A:D,4,0)</f>
        <v>SERRALHEIRO</v>
      </c>
      <c r="L176" s="1" t="str">
        <f>VLOOKUP(Tabela1[[#This Row],[Cliente]],'BASE DE CLIENTES'!A:E,5,0)</f>
        <v>Águas Lindas de Goiás</v>
      </c>
    </row>
    <row r="177" spans="2:12" x14ac:dyDescent="0.3">
      <c r="B177" s="1" t="s">
        <v>66</v>
      </c>
      <c r="C177" s="4" t="str">
        <f>VLOOKUP(Tabela1[[#This Row],[Cliente]],'BASE DE CLIENTES'!A:E,2,0)</f>
        <v>Águas Lindas de Goiás</v>
      </c>
      <c r="D177" s="1" t="str">
        <f>VLOOKUP(Tabela1[[#This Row],[Cliente]],'BASE DE CLIENTES'!A:C,3,0)</f>
        <v>GO</v>
      </c>
      <c r="E177" s="4" t="str">
        <f>CONCATENATE(Tabela1[[#This Row],[CIDADE]],",",Tabela1[[#This Row],[UF]])</f>
        <v>Águas Lindas de Goiás,GO</v>
      </c>
      <c r="F177" s="2">
        <v>45723</v>
      </c>
      <c r="G177" s="17">
        <v>878.4</v>
      </c>
      <c r="H177" s="17">
        <v>1290</v>
      </c>
      <c r="I177" s="6">
        <f>Tabela1[[#This Row],[Valor total]]-Tabela1[[#This Row],[Valor custo]]</f>
        <v>411.6</v>
      </c>
      <c r="J177" s="7">
        <f>Tabela1[[#This Row],[MARGEM BRUTA]]/Tabela1[[#This Row],[Valor total]]</f>
        <v>0.3190697674418605</v>
      </c>
      <c r="K177" s="1" t="str">
        <f>VLOOKUP(Tabela1[[#This Row],[Cliente]],'BASE DE CLIENTES'!A:D,4,0)</f>
        <v>EMPRESA COM MAQUINA</v>
      </c>
      <c r="L177" s="1" t="str">
        <f>VLOOKUP(Tabela1[[#This Row],[Cliente]],'BASE DE CLIENTES'!A:E,5,0)</f>
        <v>Águas Lindas de Goiás</v>
      </c>
    </row>
    <row r="178" spans="2:12" x14ac:dyDescent="0.3">
      <c r="B178" s="1" t="s">
        <v>27</v>
      </c>
      <c r="C178" s="4" t="str">
        <f>VLOOKUP(Tabela1[[#This Row],[Cliente]],'BASE DE CLIENTES'!A:E,2,0)</f>
        <v>Brasília</v>
      </c>
      <c r="D178" s="1" t="str">
        <f>VLOOKUP(Tabela1[[#This Row],[Cliente]],'BASE DE CLIENTES'!A:C,3,0)</f>
        <v>DF</v>
      </c>
      <c r="E178" s="4" t="str">
        <f>CONCATENATE(Tabela1[[#This Row],[CIDADE]],",",Tabela1[[#This Row],[UF]])</f>
        <v>Brasília,DF</v>
      </c>
      <c r="F178" s="2">
        <v>45665</v>
      </c>
      <c r="G178" s="17">
        <v>10505.49</v>
      </c>
      <c r="H178" s="17">
        <v>14500</v>
      </c>
      <c r="I178" s="6">
        <f>Tabela1[[#This Row],[Valor total]]-Tabela1[[#This Row],[Valor custo]]</f>
        <v>3994.51</v>
      </c>
      <c r="J178" s="7">
        <f>Tabela1[[#This Row],[MARGEM BRUTA]]/Tabela1[[#This Row],[Valor total]]</f>
        <v>0.27548344827586208</v>
      </c>
      <c r="K178" s="1" t="str">
        <f>VLOOKUP(Tabela1[[#This Row],[Cliente]],'BASE DE CLIENTES'!A:D,4,0)</f>
        <v>EMPRESA SEM MAQUINA</v>
      </c>
      <c r="L178" s="1" t="str">
        <f>VLOOKUP(Tabela1[[#This Row],[Cliente]],'BASE DE CLIENTES'!A:E,5,0)</f>
        <v>RECANTO DAS EMAS</v>
      </c>
    </row>
    <row r="179" spans="2:12" x14ac:dyDescent="0.3">
      <c r="B179" s="1" t="s">
        <v>19</v>
      </c>
      <c r="C179" s="4" t="str">
        <f>VLOOKUP(Tabela1[[#This Row],[Cliente]],'BASE DE CLIENTES'!A:E,2,0)</f>
        <v>Águas Lindas de Goiás</v>
      </c>
      <c r="D179" s="1" t="str">
        <f>VLOOKUP(Tabela1[[#This Row],[Cliente]],'BASE DE CLIENTES'!A:C,3,0)</f>
        <v>GO</v>
      </c>
      <c r="E179" s="4" t="str">
        <f>CONCATENATE(Tabela1[[#This Row],[CIDADE]],",",Tabela1[[#This Row],[UF]])</f>
        <v>Águas Lindas de Goiás,GO</v>
      </c>
      <c r="F179" s="2">
        <v>45723</v>
      </c>
      <c r="G179" s="17">
        <v>911.35</v>
      </c>
      <c r="H179" s="17">
        <v>1500</v>
      </c>
      <c r="I179" s="6">
        <f>Tabela1[[#This Row],[Valor total]]-Tabela1[[#This Row],[Valor custo]]</f>
        <v>588.65</v>
      </c>
      <c r="J179" s="7">
        <f>Tabela1[[#This Row],[MARGEM BRUTA]]/Tabela1[[#This Row],[Valor total]]</f>
        <v>0.3924333333333333</v>
      </c>
      <c r="K179" s="1" t="str">
        <f>VLOOKUP(Tabela1[[#This Row],[Cliente]],'BASE DE CLIENTES'!A:D,4,0)</f>
        <v>SERRALHEIRO</v>
      </c>
      <c r="L179" s="1" t="str">
        <f>VLOOKUP(Tabela1[[#This Row],[Cliente]],'BASE DE CLIENTES'!A:E,5,0)</f>
        <v>Águas Lindas de Goiás</v>
      </c>
    </row>
    <row r="180" spans="2:12" x14ac:dyDescent="0.3">
      <c r="B180" s="1" t="s">
        <v>108</v>
      </c>
      <c r="C180" s="4" t="str">
        <f>VLOOKUP(Tabela1[[#This Row],[Cliente]],'BASE DE CLIENTES'!A:E,2,0)</f>
        <v>Brasília</v>
      </c>
      <c r="D180" s="1" t="str">
        <f>VLOOKUP(Tabela1[[#This Row],[Cliente]],'BASE DE CLIENTES'!A:C,3,0)</f>
        <v>DF</v>
      </c>
      <c r="E180" s="4" t="str">
        <f>CONCATENATE(Tabela1[[#This Row],[CIDADE]],",",Tabela1[[#This Row],[UF]])</f>
        <v>Brasília,DF</v>
      </c>
      <c r="F180" s="2">
        <v>45665</v>
      </c>
      <c r="G180" s="17">
        <v>268.25</v>
      </c>
      <c r="H180" s="17">
        <v>335</v>
      </c>
      <c r="I180" s="6">
        <f>Tabela1[[#This Row],[Valor total]]-Tabela1[[#This Row],[Valor custo]]</f>
        <v>66.75</v>
      </c>
      <c r="J180" s="7">
        <f>Tabela1[[#This Row],[MARGEM BRUTA]]/Tabela1[[#This Row],[Valor total]]</f>
        <v>0.19925373134328359</v>
      </c>
      <c r="K180" s="1" t="str">
        <f>VLOOKUP(Tabela1[[#This Row],[Cliente]],'BASE DE CLIENTES'!A:D,4,0)</f>
        <v>SERRALHEIRO</v>
      </c>
      <c r="L180" s="1" t="str">
        <f>VLOOKUP(Tabela1[[#This Row],[Cliente]],'BASE DE CLIENTES'!A:E,5,0)</f>
        <v>Vila Planalto</v>
      </c>
    </row>
    <row r="181" spans="2:12" x14ac:dyDescent="0.3">
      <c r="B181" s="1" t="s">
        <v>108</v>
      </c>
      <c r="C181" s="4" t="str">
        <f>VLOOKUP(Tabela1[[#This Row],[Cliente]],'BASE DE CLIENTES'!A:E,2,0)</f>
        <v>Brasília</v>
      </c>
      <c r="D181" s="1" t="str">
        <f>VLOOKUP(Tabela1[[#This Row],[Cliente]],'BASE DE CLIENTES'!A:C,3,0)</f>
        <v>DF</v>
      </c>
      <c r="E181" s="4" t="str">
        <f>CONCATENATE(Tabela1[[#This Row],[CIDADE]],",",Tabela1[[#This Row],[UF]])</f>
        <v>Brasília,DF</v>
      </c>
      <c r="F181" s="2">
        <v>45665</v>
      </c>
      <c r="G181" s="17">
        <v>588.73</v>
      </c>
      <c r="H181" s="17">
        <v>839.4</v>
      </c>
      <c r="I181" s="6">
        <f>Tabela1[[#This Row],[Valor total]]-Tabela1[[#This Row],[Valor custo]]</f>
        <v>250.66999999999996</v>
      </c>
      <c r="J181" s="7">
        <f>Tabela1[[#This Row],[MARGEM BRUTA]]/Tabela1[[#This Row],[Valor total]]</f>
        <v>0.29862997379080292</v>
      </c>
      <c r="K181" s="1" t="str">
        <f>VLOOKUP(Tabela1[[#This Row],[Cliente]],'BASE DE CLIENTES'!A:D,4,0)</f>
        <v>SERRALHEIRO</v>
      </c>
      <c r="L181" s="1" t="str">
        <f>VLOOKUP(Tabela1[[#This Row],[Cliente]],'BASE DE CLIENTES'!A:E,5,0)</f>
        <v>Vila Planalto</v>
      </c>
    </row>
    <row r="182" spans="2:12" x14ac:dyDescent="0.3">
      <c r="B182" s="1" t="s">
        <v>19</v>
      </c>
      <c r="C182" s="4" t="str">
        <f>VLOOKUP(Tabela1[[#This Row],[Cliente]],'BASE DE CLIENTES'!A:E,2,0)</f>
        <v>Águas Lindas de Goiás</v>
      </c>
      <c r="D182" s="1" t="str">
        <f>VLOOKUP(Tabela1[[#This Row],[Cliente]],'BASE DE CLIENTES'!A:C,3,0)</f>
        <v>GO</v>
      </c>
      <c r="E182" s="4" t="str">
        <f>CONCATENATE(Tabela1[[#This Row],[CIDADE]],",",Tabela1[[#This Row],[UF]])</f>
        <v>Águas Lindas de Goiás,GO</v>
      </c>
      <c r="F182" s="2">
        <v>45721</v>
      </c>
      <c r="G182" s="17">
        <v>574.09</v>
      </c>
      <c r="H182" s="17">
        <v>1045</v>
      </c>
      <c r="I182" s="6">
        <f>Tabela1[[#This Row],[Valor total]]-Tabela1[[#This Row],[Valor custo]]</f>
        <v>470.90999999999997</v>
      </c>
      <c r="J182" s="7">
        <f>Tabela1[[#This Row],[MARGEM BRUTA]]/Tabela1[[#This Row],[Valor total]]</f>
        <v>0.45063157894736838</v>
      </c>
      <c r="K182" s="1" t="str">
        <f>VLOOKUP(Tabela1[[#This Row],[Cliente]],'BASE DE CLIENTES'!A:D,4,0)</f>
        <v>SERRALHEIRO</v>
      </c>
      <c r="L182" s="1" t="str">
        <f>VLOOKUP(Tabela1[[#This Row],[Cliente]],'BASE DE CLIENTES'!A:E,5,0)</f>
        <v>Águas Lindas de Goiás</v>
      </c>
    </row>
    <row r="183" spans="2:12" x14ac:dyDescent="0.3">
      <c r="B183" s="1" t="s">
        <v>52</v>
      </c>
      <c r="C183" s="4" t="str">
        <f>VLOOKUP(Tabela1[[#This Row],[Cliente]],'BASE DE CLIENTES'!A:E,2,0)</f>
        <v>Brasília</v>
      </c>
      <c r="D183" s="1" t="str">
        <f>VLOOKUP(Tabela1[[#This Row],[Cliente]],'BASE DE CLIENTES'!A:C,3,0)</f>
        <v>DF</v>
      </c>
      <c r="E183" s="4" t="str">
        <f>CONCATENATE(Tabela1[[#This Row],[CIDADE]],",",Tabela1[[#This Row],[UF]])</f>
        <v>Brasília,DF</v>
      </c>
      <c r="F183" s="2">
        <v>45665</v>
      </c>
      <c r="G183" s="17">
        <v>439.2</v>
      </c>
      <c r="H183" s="17">
        <v>645</v>
      </c>
      <c r="I183" s="6">
        <f>Tabela1[[#This Row],[Valor total]]-Tabela1[[#This Row],[Valor custo]]</f>
        <v>205.8</v>
      </c>
      <c r="J183" s="7">
        <f>Tabela1[[#This Row],[MARGEM BRUTA]]/Tabela1[[#This Row],[Valor total]]</f>
        <v>0.3190697674418605</v>
      </c>
      <c r="K183" s="1" t="str">
        <f>VLOOKUP(Tabela1[[#This Row],[Cliente]],'BASE DE CLIENTES'!A:D,4,0)</f>
        <v>SERRALHEIRO</v>
      </c>
      <c r="L183" s="1" t="str">
        <f>VLOOKUP(Tabela1[[#This Row],[Cliente]],'BASE DE CLIENTES'!A:E,5,0)</f>
        <v>Ceilândia Sul (Ceilândia)</v>
      </c>
    </row>
    <row r="184" spans="2:12" x14ac:dyDescent="0.3">
      <c r="B184" s="1" t="s">
        <v>66</v>
      </c>
      <c r="C184" s="4" t="str">
        <f>VLOOKUP(Tabela1[[#This Row],[Cliente]],'BASE DE CLIENTES'!A:E,2,0)</f>
        <v>Águas Lindas de Goiás</v>
      </c>
      <c r="D184" s="1" t="str">
        <f>VLOOKUP(Tabela1[[#This Row],[Cliente]],'BASE DE CLIENTES'!A:C,3,0)</f>
        <v>GO</v>
      </c>
      <c r="E184" s="4" t="str">
        <f>CONCATENATE(Tabela1[[#This Row],[CIDADE]],",",Tabela1[[#This Row],[UF]])</f>
        <v>Águas Lindas de Goiás,GO</v>
      </c>
      <c r="F184" s="2">
        <v>45776</v>
      </c>
      <c r="G184" s="17">
        <v>447</v>
      </c>
      <c r="H184" s="17">
        <v>620</v>
      </c>
      <c r="I184" s="6">
        <f>Tabela1[[#This Row],[Valor total]]-Tabela1[[#This Row],[Valor custo]]</f>
        <v>173</v>
      </c>
      <c r="J184" s="7">
        <f>Tabela1[[#This Row],[MARGEM BRUTA]]/Tabela1[[#This Row],[Valor total]]</f>
        <v>0.27903225806451615</v>
      </c>
      <c r="K184" s="1" t="str">
        <f>VLOOKUP(Tabela1[[#This Row],[Cliente]],'BASE DE CLIENTES'!A:D,4,0)</f>
        <v>EMPRESA COM MAQUINA</v>
      </c>
      <c r="L184" s="1" t="str">
        <f>VLOOKUP(Tabela1[[#This Row],[Cliente]],'BASE DE CLIENTES'!A:E,5,0)</f>
        <v>Águas Lindas de Goiás</v>
      </c>
    </row>
    <row r="185" spans="2:12" x14ac:dyDescent="0.3">
      <c r="B185" s="1" t="s">
        <v>98</v>
      </c>
      <c r="C185" s="4" t="str">
        <f>VLOOKUP(Tabela1[[#This Row],[Cliente]],'BASE DE CLIENTES'!A:E,2,0)</f>
        <v>Brasília</v>
      </c>
      <c r="D185" s="1" t="str">
        <f>VLOOKUP(Tabela1[[#This Row],[Cliente]],'BASE DE CLIENTES'!A:C,3,0)</f>
        <v>DF</v>
      </c>
      <c r="E185" s="4" t="str">
        <f>CONCATENATE(Tabela1[[#This Row],[CIDADE]],",",Tabela1[[#This Row],[UF]])</f>
        <v>Brasília,DF</v>
      </c>
      <c r="F185" s="2">
        <v>45665</v>
      </c>
      <c r="G185" s="17">
        <v>122.74</v>
      </c>
      <c r="H185" s="17">
        <v>180</v>
      </c>
      <c r="I185" s="6">
        <f>Tabela1[[#This Row],[Valor total]]-Tabela1[[#This Row],[Valor custo]]</f>
        <v>57.260000000000005</v>
      </c>
      <c r="J185" s="7">
        <f>Tabela1[[#This Row],[MARGEM BRUTA]]/Tabela1[[#This Row],[Valor total]]</f>
        <v>0.31811111111111112</v>
      </c>
      <c r="K185" s="1" t="str">
        <f>VLOOKUP(Tabela1[[#This Row],[Cliente]],'BASE DE CLIENTES'!A:D,4,0)</f>
        <v>SERRALHEIRO</v>
      </c>
      <c r="L185" s="1" t="str">
        <f>VLOOKUP(Tabela1[[#This Row],[Cliente]],'BASE DE CLIENTES'!A:E,5,0)</f>
        <v>SANTA MARIA</v>
      </c>
    </row>
    <row r="186" spans="2:12" x14ac:dyDescent="0.3">
      <c r="B186" s="1" t="s">
        <v>76</v>
      </c>
      <c r="C186" s="4" t="str">
        <f>VLOOKUP(Tabela1[[#This Row],[Cliente]],'BASE DE CLIENTES'!A:E,2,0)</f>
        <v>Brasília</v>
      </c>
      <c r="D186" s="1" t="str">
        <f>VLOOKUP(Tabela1[[#This Row],[Cliente]],'BASE DE CLIENTES'!A:C,3,0)</f>
        <v>DF</v>
      </c>
      <c r="E186" s="4" t="str">
        <f>CONCATENATE(Tabela1[[#This Row],[CIDADE]],",",Tabela1[[#This Row],[UF]])</f>
        <v>Brasília,DF</v>
      </c>
      <c r="F186" s="2">
        <v>45665</v>
      </c>
      <c r="G186" s="17">
        <v>4249.6499999999996</v>
      </c>
      <c r="H186" s="17">
        <v>6200</v>
      </c>
      <c r="I186" s="6">
        <f>Tabela1[[#This Row],[Valor total]]-Tabela1[[#This Row],[Valor custo]]</f>
        <v>1950.3500000000004</v>
      </c>
      <c r="J186" s="7">
        <f>Tabela1[[#This Row],[MARGEM BRUTA]]/Tabela1[[#This Row],[Valor total]]</f>
        <v>0.31457258064516136</v>
      </c>
      <c r="K186" s="1" t="str">
        <f>VLOOKUP(Tabela1[[#This Row],[Cliente]],'BASE DE CLIENTES'!A:D,4,0)</f>
        <v>EMPRESA COM MAQUINA</v>
      </c>
      <c r="L186" s="1" t="str">
        <f>VLOOKUP(Tabela1[[#This Row],[Cliente]],'BASE DE CLIENTES'!A:E,5,0)</f>
        <v>Setor Placa da Mercedes (Núcleo Bandeirante)</v>
      </c>
    </row>
    <row r="187" spans="2:12" x14ac:dyDescent="0.3">
      <c r="B187" s="1" t="s">
        <v>104</v>
      </c>
      <c r="C187" s="4" t="str">
        <f>VLOOKUP(Tabela1[[#This Row],[Cliente]],'BASE DE CLIENTES'!A:E,2,0)</f>
        <v>Águas Lindas de Goiás</v>
      </c>
      <c r="D187" s="1" t="str">
        <f>VLOOKUP(Tabela1[[#This Row],[Cliente]],'BASE DE CLIENTES'!A:C,3,0)</f>
        <v>GO</v>
      </c>
      <c r="E187" s="4" t="str">
        <f>CONCATENATE(Tabela1[[#This Row],[CIDADE]],",",Tabela1[[#This Row],[UF]])</f>
        <v>Águas Lindas de Goiás,GO</v>
      </c>
      <c r="F187" s="2">
        <v>45770</v>
      </c>
      <c r="G187" s="17">
        <v>993</v>
      </c>
      <c r="H187" s="17">
        <v>1370</v>
      </c>
      <c r="I187" s="6">
        <f>Tabela1[[#This Row],[Valor total]]-Tabela1[[#This Row],[Valor custo]]</f>
        <v>377</v>
      </c>
      <c r="J187" s="7">
        <f>Tabela1[[#This Row],[MARGEM BRUTA]]/Tabela1[[#This Row],[Valor total]]</f>
        <v>0.2751824817518248</v>
      </c>
      <c r="K187" s="1" t="str">
        <f>VLOOKUP(Tabela1[[#This Row],[Cliente]],'BASE DE CLIENTES'!A:D,4,0)</f>
        <v>EMPRESA SEM MAQUINA</v>
      </c>
      <c r="L187" s="1" t="str">
        <f>VLOOKUP(Tabela1[[#This Row],[Cliente]],'BASE DE CLIENTES'!A:E,5,0)</f>
        <v>Águas Lindas de Goiás</v>
      </c>
    </row>
    <row r="188" spans="2:12" x14ac:dyDescent="0.3">
      <c r="B188" s="1" t="s">
        <v>111</v>
      </c>
      <c r="C188" s="4" t="str">
        <f>VLOOKUP(Tabela1[[#This Row],[Cliente]],'BASE DE CLIENTES'!A:E,2,0)</f>
        <v>Brasília</v>
      </c>
      <c r="D188" s="1" t="str">
        <f>VLOOKUP(Tabela1[[#This Row],[Cliente]],'BASE DE CLIENTES'!A:C,3,0)</f>
        <v>DF</v>
      </c>
      <c r="E188" s="4" t="str">
        <f>CONCATENATE(Tabela1[[#This Row],[CIDADE]],",",Tabela1[[#This Row],[UF]])</f>
        <v>Brasília,DF</v>
      </c>
      <c r="F188" s="2">
        <v>45665</v>
      </c>
      <c r="G188" s="17">
        <v>212.46</v>
      </c>
      <c r="H188" s="17">
        <v>840</v>
      </c>
      <c r="I188" s="6">
        <f>Tabela1[[#This Row],[Valor total]]-Tabela1[[#This Row],[Valor custo]]</f>
        <v>627.54</v>
      </c>
      <c r="J188" s="7">
        <f>Tabela1[[#This Row],[MARGEM BRUTA]]/Tabela1[[#This Row],[Valor total]]</f>
        <v>0.7470714285714285</v>
      </c>
      <c r="K188" s="1" t="str">
        <f>VLOOKUP(Tabela1[[#This Row],[Cliente]],'BASE DE CLIENTES'!A:D,4,0)</f>
        <v>EMPRESA SEM MAQUINA</v>
      </c>
      <c r="L188" s="1" t="str">
        <f>VLOOKUP(Tabela1[[#This Row],[Cliente]],'BASE DE CLIENTES'!A:E,5,0)</f>
        <v>TAGUATINGA SUL (TAGUATINGA)</v>
      </c>
    </row>
    <row r="189" spans="2:12" x14ac:dyDescent="0.3">
      <c r="B189" s="1" t="s">
        <v>55</v>
      </c>
      <c r="C189" s="4" t="str">
        <f>VLOOKUP(Tabela1[[#This Row],[Cliente]],'BASE DE CLIENTES'!A:E,2,0)</f>
        <v>Brasília</v>
      </c>
      <c r="D189" s="1" t="str">
        <f>VLOOKUP(Tabela1[[#This Row],[Cliente]],'BASE DE CLIENTES'!A:C,3,0)</f>
        <v>DF</v>
      </c>
      <c r="E189" s="4" t="str">
        <f>CONCATENATE(Tabela1[[#This Row],[CIDADE]],",",Tabela1[[#This Row],[UF]])</f>
        <v>Brasília,DF</v>
      </c>
      <c r="F189" s="2">
        <v>45665</v>
      </c>
      <c r="G189" s="17">
        <v>41</v>
      </c>
      <c r="H189" s="17">
        <v>73.5</v>
      </c>
      <c r="I189" s="6">
        <f>Tabela1[[#This Row],[Valor total]]-Tabela1[[#This Row],[Valor custo]]</f>
        <v>32.5</v>
      </c>
      <c r="J189" s="7">
        <f>Tabela1[[#This Row],[MARGEM BRUTA]]/Tabela1[[#This Row],[Valor total]]</f>
        <v>0.44217687074829931</v>
      </c>
      <c r="K189" s="1" t="str">
        <f>VLOOKUP(Tabela1[[#This Row],[Cliente]],'BASE DE CLIENTES'!A:D,4,0)</f>
        <v>EMPRESA SEM MAQUINA</v>
      </c>
      <c r="L189" s="1" t="str">
        <f>VLOOKUP(Tabela1[[#This Row],[Cliente]],'BASE DE CLIENTES'!A:E,5,0)</f>
        <v>RECANTO DAS EMAS</v>
      </c>
    </row>
    <row r="190" spans="2:12" x14ac:dyDescent="0.3">
      <c r="B190" s="1" t="s">
        <v>66</v>
      </c>
      <c r="C190" s="4" t="str">
        <f>VLOOKUP(Tabela1[[#This Row],[Cliente]],'BASE DE CLIENTES'!A:E,2,0)</f>
        <v>Águas Lindas de Goiás</v>
      </c>
      <c r="D190" s="1" t="str">
        <f>VLOOKUP(Tabela1[[#This Row],[Cliente]],'BASE DE CLIENTES'!A:C,3,0)</f>
        <v>GO</v>
      </c>
      <c r="E190" s="4" t="str">
        <f>CONCATENATE(Tabela1[[#This Row],[CIDADE]],",",Tabela1[[#This Row],[UF]])</f>
        <v>Águas Lindas de Goiás,GO</v>
      </c>
      <c r="F190" s="2">
        <v>45770</v>
      </c>
      <c r="G190" s="17">
        <v>518.20000000000005</v>
      </c>
      <c r="H190" s="17">
        <v>858</v>
      </c>
      <c r="I190" s="6">
        <f>Tabela1[[#This Row],[Valor total]]-Tabela1[[#This Row],[Valor custo]]</f>
        <v>339.79999999999995</v>
      </c>
      <c r="J190" s="7">
        <f>Tabela1[[#This Row],[MARGEM BRUTA]]/Tabela1[[#This Row],[Valor total]]</f>
        <v>0.39603729603729598</v>
      </c>
      <c r="K190" s="1" t="str">
        <f>VLOOKUP(Tabela1[[#This Row],[Cliente]],'BASE DE CLIENTES'!A:D,4,0)</f>
        <v>EMPRESA COM MAQUINA</v>
      </c>
      <c r="L190" s="1" t="str">
        <f>VLOOKUP(Tabela1[[#This Row],[Cliente]],'BASE DE CLIENTES'!A:E,5,0)</f>
        <v>Águas Lindas de Goiás</v>
      </c>
    </row>
    <row r="191" spans="2:12" x14ac:dyDescent="0.3">
      <c r="B191" s="1" t="s">
        <v>66</v>
      </c>
      <c r="C191" s="4" t="str">
        <f>VLOOKUP(Tabela1[[#This Row],[Cliente]],'BASE DE CLIENTES'!A:E,2,0)</f>
        <v>Águas Lindas de Goiás</v>
      </c>
      <c r="D191" s="1" t="str">
        <f>VLOOKUP(Tabela1[[#This Row],[Cliente]],'BASE DE CLIENTES'!A:C,3,0)</f>
        <v>GO</v>
      </c>
      <c r="E191" s="4" t="str">
        <f>CONCATENATE(Tabela1[[#This Row],[CIDADE]],",",Tabela1[[#This Row],[UF]])</f>
        <v>Águas Lindas de Goiás,GO</v>
      </c>
      <c r="F191" s="2">
        <v>45769</v>
      </c>
      <c r="G191" s="17">
        <v>906.2</v>
      </c>
      <c r="H191" s="17">
        <v>1258</v>
      </c>
      <c r="I191" s="6">
        <f>Tabela1[[#This Row],[Valor total]]-Tabela1[[#This Row],[Valor custo]]</f>
        <v>351.79999999999995</v>
      </c>
      <c r="J191" s="7">
        <f>Tabela1[[#This Row],[MARGEM BRUTA]]/Tabela1[[#This Row],[Valor total]]</f>
        <v>0.27965023847376785</v>
      </c>
      <c r="K191" s="1" t="str">
        <f>VLOOKUP(Tabela1[[#This Row],[Cliente]],'BASE DE CLIENTES'!A:D,4,0)</f>
        <v>EMPRESA COM MAQUINA</v>
      </c>
      <c r="L191" s="1" t="str">
        <f>VLOOKUP(Tabela1[[#This Row],[Cliente]],'BASE DE CLIENTES'!A:E,5,0)</f>
        <v>Águas Lindas de Goiás</v>
      </c>
    </row>
    <row r="192" spans="2:12" x14ac:dyDescent="0.3">
      <c r="B192" s="1" t="s">
        <v>19</v>
      </c>
      <c r="C192" s="4" t="str">
        <f>VLOOKUP(Tabela1[[#This Row],[Cliente]],'BASE DE CLIENTES'!A:E,2,0)</f>
        <v>Águas Lindas de Goiás</v>
      </c>
      <c r="D192" s="1" t="str">
        <f>VLOOKUP(Tabela1[[#This Row],[Cliente]],'BASE DE CLIENTES'!A:C,3,0)</f>
        <v>GO</v>
      </c>
      <c r="E192" s="4" t="str">
        <f>CONCATENATE(Tabela1[[#This Row],[CIDADE]],",",Tabela1[[#This Row],[UF]])</f>
        <v>Águas Lindas de Goiás,GO</v>
      </c>
      <c r="F192" s="2">
        <v>45764</v>
      </c>
      <c r="G192" s="17">
        <v>508.01</v>
      </c>
      <c r="H192" s="17">
        <v>729</v>
      </c>
      <c r="I192" s="6">
        <f>Tabela1[[#This Row],[Valor total]]-Tabela1[[#This Row],[Valor custo]]</f>
        <v>220.99</v>
      </c>
      <c r="J192" s="7">
        <f>Tabela1[[#This Row],[MARGEM BRUTA]]/Tabela1[[#This Row],[Valor total]]</f>
        <v>0.30314128943758573</v>
      </c>
      <c r="K192" s="1" t="str">
        <f>VLOOKUP(Tabela1[[#This Row],[Cliente]],'BASE DE CLIENTES'!A:D,4,0)</f>
        <v>SERRALHEIRO</v>
      </c>
      <c r="L192" s="1" t="str">
        <f>VLOOKUP(Tabela1[[#This Row],[Cliente]],'BASE DE CLIENTES'!A:E,5,0)</f>
        <v>Águas Lindas de Goiás</v>
      </c>
    </row>
    <row r="193" spans="2:12" x14ac:dyDescent="0.3">
      <c r="B193" s="1" t="s">
        <v>112</v>
      </c>
      <c r="C193" s="4" t="str">
        <f>VLOOKUP(Tabela1[[#This Row],[Cliente]],'BASE DE CLIENTES'!A:E,2,0)</f>
        <v>Brasília</v>
      </c>
      <c r="D193" s="1" t="str">
        <f>VLOOKUP(Tabela1[[#This Row],[Cliente]],'BASE DE CLIENTES'!A:C,3,0)</f>
        <v>DF</v>
      </c>
      <c r="E193" s="4" t="str">
        <f>CONCATENATE(Tabela1[[#This Row],[CIDADE]],",",Tabela1[[#This Row],[UF]])</f>
        <v>Brasília,DF</v>
      </c>
      <c r="F193" s="2">
        <v>45665</v>
      </c>
      <c r="G193" s="17">
        <v>439.2</v>
      </c>
      <c r="H193" s="17">
        <v>645</v>
      </c>
      <c r="I193" s="6">
        <f>Tabela1[[#This Row],[Valor total]]-Tabela1[[#This Row],[Valor custo]]</f>
        <v>205.8</v>
      </c>
      <c r="J193" s="7">
        <f>Tabela1[[#This Row],[MARGEM BRUTA]]/Tabela1[[#This Row],[Valor total]]</f>
        <v>0.3190697674418605</v>
      </c>
      <c r="K193" s="1" t="str">
        <f>VLOOKUP(Tabela1[[#This Row],[Cliente]],'BASE DE CLIENTES'!A:D,4,0)</f>
        <v>SERRALHEIRO</v>
      </c>
      <c r="L193" s="1" t="str">
        <f>VLOOKUP(Tabela1[[#This Row],[Cliente]],'BASE DE CLIENTES'!A:E,5,0)</f>
        <v>RIACHO FUNDO I</v>
      </c>
    </row>
    <row r="194" spans="2:12" x14ac:dyDescent="0.3">
      <c r="B194" s="1" t="s">
        <v>68</v>
      </c>
      <c r="C194" s="4" t="str">
        <f>VLOOKUP(Tabela1[[#This Row],[Cliente]],'BASE DE CLIENTES'!A:E,2,0)</f>
        <v>Brasília</v>
      </c>
      <c r="D194" s="1" t="str">
        <f>VLOOKUP(Tabela1[[#This Row],[Cliente]],'BASE DE CLIENTES'!A:C,3,0)</f>
        <v>DF</v>
      </c>
      <c r="E194" s="4" t="str">
        <f>CONCATENATE(Tabela1[[#This Row],[CIDADE]],",",Tabela1[[#This Row],[UF]])</f>
        <v>Brasília,DF</v>
      </c>
      <c r="F194" s="2">
        <v>45665</v>
      </c>
      <c r="G194" s="17">
        <v>684.55</v>
      </c>
      <c r="H194" s="17">
        <v>1250</v>
      </c>
      <c r="I194" s="6">
        <f>Tabela1[[#This Row],[Valor total]]-Tabela1[[#This Row],[Valor custo]]</f>
        <v>565.45000000000005</v>
      </c>
      <c r="J194" s="7">
        <f>Tabela1[[#This Row],[MARGEM BRUTA]]/Tabela1[[#This Row],[Valor total]]</f>
        <v>0.45236000000000004</v>
      </c>
      <c r="K194" s="1" t="str">
        <f>VLOOKUP(Tabela1[[#This Row],[Cliente]],'BASE DE CLIENTES'!A:D,4,0)</f>
        <v>EMPRESA COM MAQUINA</v>
      </c>
      <c r="L194" s="1" t="str">
        <f>VLOOKUP(Tabela1[[#This Row],[Cliente]],'BASE DE CLIENTES'!A:E,5,0)</f>
        <v>SAMAMBAIA SUL (SAMAMBAIA)</v>
      </c>
    </row>
    <row r="195" spans="2:12" x14ac:dyDescent="0.3">
      <c r="B195" s="1" t="s">
        <v>42</v>
      </c>
      <c r="C195" s="4" t="str">
        <f>VLOOKUP(Tabela1[[#This Row],[Cliente]],'BASE DE CLIENTES'!A:E,2,0)</f>
        <v>Brasília</v>
      </c>
      <c r="D195" s="1" t="str">
        <f>VLOOKUP(Tabela1[[#This Row],[Cliente]],'BASE DE CLIENTES'!A:C,3,0)</f>
        <v>DF</v>
      </c>
      <c r="E195" s="4" t="str">
        <f>CONCATENATE(Tabela1[[#This Row],[CIDADE]],",",Tabela1[[#This Row],[UF]])</f>
        <v>Brasília,DF</v>
      </c>
      <c r="F195" s="2">
        <v>45664</v>
      </c>
      <c r="G195" s="17">
        <v>1854.44</v>
      </c>
      <c r="H195" s="17">
        <v>3184.4</v>
      </c>
      <c r="I195" s="6">
        <f>Tabela1[[#This Row],[Valor total]]-Tabela1[[#This Row],[Valor custo]]</f>
        <v>1329.96</v>
      </c>
      <c r="J195" s="7">
        <f>Tabela1[[#This Row],[MARGEM BRUTA]]/Tabela1[[#This Row],[Valor total]]</f>
        <v>0.41764853661600304</v>
      </c>
      <c r="K195" s="1" t="str">
        <f>VLOOKUP(Tabela1[[#This Row],[Cliente]],'BASE DE CLIENTES'!A:D,4,0)</f>
        <v>EMPRESA SEM MAQUINA</v>
      </c>
      <c r="L195" s="1" t="str">
        <f>VLOOKUP(Tabela1[[#This Row],[Cliente]],'BASE DE CLIENTES'!A:E,5,0)</f>
        <v>SAMAMBAIA</v>
      </c>
    </row>
    <row r="196" spans="2:12" x14ac:dyDescent="0.3">
      <c r="B196" s="1" t="s">
        <v>66</v>
      </c>
      <c r="C196" s="4" t="str">
        <f>VLOOKUP(Tabela1[[#This Row],[Cliente]],'BASE DE CLIENTES'!A:E,2,0)</f>
        <v>Águas Lindas de Goiás</v>
      </c>
      <c r="D196" s="1" t="str">
        <f>VLOOKUP(Tabela1[[#This Row],[Cliente]],'BASE DE CLIENTES'!A:C,3,0)</f>
        <v>GO</v>
      </c>
      <c r="E196" s="4" t="str">
        <f>CONCATENATE(Tabela1[[#This Row],[CIDADE]],",",Tabela1[[#This Row],[UF]])</f>
        <v>Águas Lindas de Goiás,GO</v>
      </c>
      <c r="F196" s="2">
        <v>45763</v>
      </c>
      <c r="G196" s="17">
        <v>584</v>
      </c>
      <c r="H196" s="17">
        <v>900</v>
      </c>
      <c r="I196" s="6">
        <f>Tabela1[[#This Row],[Valor total]]-Tabela1[[#This Row],[Valor custo]]</f>
        <v>316</v>
      </c>
      <c r="J196" s="7">
        <f>Tabela1[[#This Row],[MARGEM BRUTA]]/Tabela1[[#This Row],[Valor total]]</f>
        <v>0.3511111111111111</v>
      </c>
      <c r="K196" s="1" t="str">
        <f>VLOOKUP(Tabela1[[#This Row],[Cliente]],'BASE DE CLIENTES'!A:D,4,0)</f>
        <v>EMPRESA COM MAQUINA</v>
      </c>
      <c r="L196" s="1" t="str">
        <f>VLOOKUP(Tabela1[[#This Row],[Cliente]],'BASE DE CLIENTES'!A:E,5,0)</f>
        <v>Águas Lindas de Goiás</v>
      </c>
    </row>
    <row r="197" spans="2:12" x14ac:dyDescent="0.3">
      <c r="B197" s="1" t="s">
        <v>113</v>
      </c>
      <c r="C197" s="4" t="str">
        <f>VLOOKUP(Tabela1[[#This Row],[Cliente]],'BASE DE CLIENTES'!A:E,2,0)</f>
        <v>Brasília</v>
      </c>
      <c r="D197" s="1" t="str">
        <f>VLOOKUP(Tabela1[[#This Row],[Cliente]],'BASE DE CLIENTES'!A:C,3,0)</f>
        <v>DF</v>
      </c>
      <c r="E197" s="4" t="str">
        <f>CONCATENATE(Tabela1[[#This Row],[CIDADE]],",",Tabela1[[#This Row],[UF]])</f>
        <v>Brasília,DF</v>
      </c>
      <c r="F197" s="2">
        <v>45664</v>
      </c>
      <c r="G197" s="17">
        <v>514.45000000000005</v>
      </c>
      <c r="H197" s="17">
        <v>782.9</v>
      </c>
      <c r="I197" s="6">
        <f>Tabela1[[#This Row],[Valor total]]-Tabela1[[#This Row],[Valor custo]]</f>
        <v>268.44999999999993</v>
      </c>
      <c r="J197" s="7">
        <f>Tabela1[[#This Row],[MARGEM BRUTA]]/Tabela1[[#This Row],[Valor total]]</f>
        <v>0.34289181249201678</v>
      </c>
      <c r="K197" s="1" t="str">
        <f>VLOOKUP(Tabela1[[#This Row],[Cliente]],'BASE DE CLIENTES'!A:D,4,0)</f>
        <v>EMPRESA COM MAQUINA</v>
      </c>
      <c r="L197" s="1" t="str">
        <f>VLOOKUP(Tabela1[[#This Row],[Cliente]],'BASE DE CLIENTES'!A:E,5,0)</f>
        <v>FAZENDA MESTRE D'ARMAS (ETAPA I - PLANALTINA)</v>
      </c>
    </row>
    <row r="198" spans="2:12" x14ac:dyDescent="0.3">
      <c r="B198" s="1" t="s">
        <v>27</v>
      </c>
      <c r="C198" s="4" t="str">
        <f>VLOOKUP(Tabela1[[#This Row],[Cliente]],'BASE DE CLIENTES'!A:E,2,0)</f>
        <v>Brasília</v>
      </c>
      <c r="D198" s="1" t="str">
        <f>VLOOKUP(Tabela1[[#This Row],[Cliente]],'BASE DE CLIENTES'!A:C,3,0)</f>
        <v>DF</v>
      </c>
      <c r="E198" s="4" t="str">
        <f>CONCATENATE(Tabela1[[#This Row],[CIDADE]],",",Tabela1[[#This Row],[UF]])</f>
        <v>Brasília,DF</v>
      </c>
      <c r="F198" s="2">
        <v>45664</v>
      </c>
      <c r="G198" s="17">
        <v>439.2</v>
      </c>
      <c r="H198" s="17">
        <v>645</v>
      </c>
      <c r="I198" s="6">
        <f>Tabela1[[#This Row],[Valor total]]-Tabela1[[#This Row],[Valor custo]]</f>
        <v>205.8</v>
      </c>
      <c r="J198" s="7">
        <f>Tabela1[[#This Row],[MARGEM BRUTA]]/Tabela1[[#This Row],[Valor total]]</f>
        <v>0.3190697674418605</v>
      </c>
      <c r="K198" s="1" t="str">
        <f>VLOOKUP(Tabela1[[#This Row],[Cliente]],'BASE DE CLIENTES'!A:D,4,0)</f>
        <v>EMPRESA SEM MAQUINA</v>
      </c>
      <c r="L198" s="1" t="str">
        <f>VLOOKUP(Tabela1[[#This Row],[Cliente]],'BASE DE CLIENTES'!A:E,5,0)</f>
        <v>RECANTO DAS EMAS</v>
      </c>
    </row>
    <row r="199" spans="2:12" x14ac:dyDescent="0.3">
      <c r="B199" s="1" t="s">
        <v>66</v>
      </c>
      <c r="C199" s="4" t="str">
        <f>VLOOKUP(Tabela1[[#This Row],[Cliente]],'BASE DE CLIENTES'!A:E,2,0)</f>
        <v>Águas Lindas de Goiás</v>
      </c>
      <c r="D199" s="1" t="str">
        <f>VLOOKUP(Tabela1[[#This Row],[Cliente]],'BASE DE CLIENTES'!A:C,3,0)</f>
        <v>GO</v>
      </c>
      <c r="E199" s="4" t="str">
        <f>CONCATENATE(Tabela1[[#This Row],[CIDADE]],",",Tabela1[[#This Row],[UF]])</f>
        <v>Águas Lindas de Goiás,GO</v>
      </c>
      <c r="F199" s="2">
        <v>45761</v>
      </c>
      <c r="G199" s="17">
        <v>894</v>
      </c>
      <c r="H199" s="17">
        <v>1240</v>
      </c>
      <c r="I199" s="6">
        <f>Tabela1[[#This Row],[Valor total]]-Tabela1[[#This Row],[Valor custo]]</f>
        <v>346</v>
      </c>
      <c r="J199" s="7">
        <f>Tabela1[[#This Row],[MARGEM BRUTA]]/Tabela1[[#This Row],[Valor total]]</f>
        <v>0.27903225806451615</v>
      </c>
      <c r="K199" s="1" t="str">
        <f>VLOOKUP(Tabela1[[#This Row],[Cliente]],'BASE DE CLIENTES'!A:D,4,0)</f>
        <v>EMPRESA COM MAQUINA</v>
      </c>
      <c r="L199" s="1" t="str">
        <f>VLOOKUP(Tabela1[[#This Row],[Cliente]],'BASE DE CLIENTES'!A:E,5,0)</f>
        <v>Águas Lindas de Goiás</v>
      </c>
    </row>
    <row r="200" spans="2:12" x14ac:dyDescent="0.3">
      <c r="B200" s="1" t="s">
        <v>66</v>
      </c>
      <c r="C200" s="4" t="str">
        <f>VLOOKUP(Tabela1[[#This Row],[Cliente]],'BASE DE CLIENTES'!A:E,2,0)</f>
        <v>Águas Lindas de Goiás</v>
      </c>
      <c r="D200" s="1" t="str">
        <f>VLOOKUP(Tabela1[[#This Row],[Cliente]],'BASE DE CLIENTES'!A:C,3,0)</f>
        <v>GO</v>
      </c>
      <c r="E200" s="4" t="str">
        <f>CONCATENATE(Tabela1[[#This Row],[CIDADE]],",",Tabela1[[#This Row],[UF]])</f>
        <v>Águas Lindas de Goiás,GO</v>
      </c>
      <c r="F200" s="2">
        <v>45758</v>
      </c>
      <c r="G200" s="17">
        <v>1074</v>
      </c>
      <c r="H200" s="17">
        <v>1440</v>
      </c>
      <c r="I200" s="6">
        <f>Tabela1[[#This Row],[Valor total]]-Tabela1[[#This Row],[Valor custo]]</f>
        <v>366</v>
      </c>
      <c r="J200" s="7">
        <f>Tabela1[[#This Row],[MARGEM BRUTA]]/Tabela1[[#This Row],[Valor total]]</f>
        <v>0.25416666666666665</v>
      </c>
      <c r="K200" s="1" t="str">
        <f>VLOOKUP(Tabela1[[#This Row],[Cliente]],'BASE DE CLIENTES'!A:D,4,0)</f>
        <v>EMPRESA COM MAQUINA</v>
      </c>
      <c r="L200" s="1" t="str">
        <f>VLOOKUP(Tabela1[[#This Row],[Cliente]],'BASE DE CLIENTES'!A:E,5,0)</f>
        <v>Águas Lindas de Goiás</v>
      </c>
    </row>
    <row r="201" spans="2:12" x14ac:dyDescent="0.3">
      <c r="B201" s="1" t="s">
        <v>114</v>
      </c>
      <c r="C201" s="4" t="str">
        <f>VLOOKUP(Tabela1[[#This Row],[Cliente]],'BASE DE CLIENTES'!A:E,2,0)</f>
        <v>Brasília</v>
      </c>
      <c r="D201" s="1" t="str">
        <f>VLOOKUP(Tabela1[[#This Row],[Cliente]],'BASE DE CLIENTES'!A:C,3,0)</f>
        <v>DF</v>
      </c>
      <c r="E201" s="4" t="str">
        <f>CONCATENATE(Tabela1[[#This Row],[CIDADE]],",",Tabela1[[#This Row],[UF]])</f>
        <v>Brasília,DF</v>
      </c>
      <c r="F201" s="2">
        <v>45769</v>
      </c>
      <c r="G201" s="17">
        <v>2235</v>
      </c>
      <c r="H201" s="17">
        <v>3100</v>
      </c>
      <c r="I201" s="6">
        <f>Tabela1[[#This Row],[Valor total]]-Tabela1[[#This Row],[Valor custo]]</f>
        <v>865</v>
      </c>
      <c r="J201" s="7">
        <f>Tabela1[[#This Row],[MARGEM BRUTA]]/Tabela1[[#This Row],[Valor total]]</f>
        <v>0.27903225806451615</v>
      </c>
      <c r="K201" s="1" t="str">
        <f>VLOOKUP(Tabela1[[#This Row],[Cliente]],'BASE DE CLIENTES'!A:D,4,0)</f>
        <v>SEM CLASSIFICAÇÃO</v>
      </c>
      <c r="L201" s="1" t="str">
        <f>VLOOKUP(Tabela1[[#This Row],[Cliente]],'BASE DE CLIENTES'!A:E,5,0)</f>
        <v>ASA NORTE</v>
      </c>
    </row>
    <row r="202" spans="2:12" x14ac:dyDescent="0.3">
      <c r="B202" s="1" t="s">
        <v>70</v>
      </c>
      <c r="C202" s="4" t="str">
        <f>VLOOKUP(Tabela1[[#This Row],[Cliente]],'BASE DE CLIENTES'!A:E,2,0)</f>
        <v>Brasília</v>
      </c>
      <c r="D202" s="1" t="str">
        <f>VLOOKUP(Tabela1[[#This Row],[Cliente]],'BASE DE CLIENTES'!A:C,3,0)</f>
        <v>DF</v>
      </c>
      <c r="E202" s="4" t="str">
        <f>CONCATENATE(Tabela1[[#This Row],[CIDADE]],",",Tabela1[[#This Row],[UF]])</f>
        <v>Brasília,DF</v>
      </c>
      <c r="F202" s="2">
        <v>45664</v>
      </c>
      <c r="G202" s="17">
        <v>531.45000000000005</v>
      </c>
      <c r="H202" s="17">
        <v>650</v>
      </c>
      <c r="I202" s="6">
        <f>Tabela1[[#This Row],[Valor total]]-Tabela1[[#This Row],[Valor custo]]</f>
        <v>118.54999999999995</v>
      </c>
      <c r="J202" s="7">
        <f>Tabela1[[#This Row],[MARGEM BRUTA]]/Tabela1[[#This Row],[Valor total]]</f>
        <v>0.18238461538461531</v>
      </c>
      <c r="K202" s="1" t="str">
        <f>VLOOKUP(Tabela1[[#This Row],[Cliente]],'BASE DE CLIENTES'!A:D,4,0)</f>
        <v>EMPRESA COM MAQUINA</v>
      </c>
      <c r="L202" s="1" t="str">
        <f>VLOOKUP(Tabela1[[#This Row],[Cliente]],'BASE DE CLIENTES'!A:E,5,0)</f>
        <v>TAGUATINGA NORTE (TAGUATINGA)</v>
      </c>
    </row>
    <row r="203" spans="2:12" x14ac:dyDescent="0.3">
      <c r="B203" s="1" t="s">
        <v>107</v>
      </c>
      <c r="C203" s="4" t="str">
        <f>VLOOKUP(Tabela1[[#This Row],[Cliente]],'BASE DE CLIENTES'!A:E,2,0)</f>
        <v>Planaltina</v>
      </c>
      <c r="D203" s="1" t="str">
        <f>VLOOKUP(Tabela1[[#This Row],[Cliente]],'BASE DE CLIENTES'!A:C,3,0)</f>
        <v>DF</v>
      </c>
      <c r="E203" s="4" t="str">
        <f>CONCATENATE(Tabela1[[#This Row],[CIDADE]],",",Tabela1[[#This Row],[UF]])</f>
        <v>Planaltina,DF</v>
      </c>
      <c r="F203" s="2">
        <v>45664</v>
      </c>
      <c r="G203" s="17">
        <v>4747.05</v>
      </c>
      <c r="H203" s="17">
        <v>5343</v>
      </c>
      <c r="I203" s="6">
        <f>Tabela1[[#This Row],[Valor total]]-Tabela1[[#This Row],[Valor custo]]</f>
        <v>595.94999999999982</v>
      </c>
      <c r="J203" s="7">
        <f>Tabela1[[#This Row],[MARGEM BRUTA]]/Tabela1[[#This Row],[Valor total]]</f>
        <v>0.1115384615384615</v>
      </c>
      <c r="K203" s="1" t="str">
        <f>VLOOKUP(Tabela1[[#This Row],[Cliente]],'BASE DE CLIENTES'!A:D,4,0)</f>
        <v>EMPRESA COM MAQUINA</v>
      </c>
      <c r="L203" s="1" t="str">
        <f>VLOOKUP(Tabela1[[#This Row],[Cliente]],'BASE DE CLIENTES'!A:E,5,0)</f>
        <v>SETOR LESTE</v>
      </c>
    </row>
    <row r="204" spans="2:12" x14ac:dyDescent="0.3">
      <c r="B204" s="1" t="s">
        <v>88</v>
      </c>
      <c r="C204" s="4" t="str">
        <f>VLOOKUP(Tabela1[[#This Row],[Cliente]],'BASE DE CLIENTES'!A:E,2,0)</f>
        <v>Brasília</v>
      </c>
      <c r="D204" s="1" t="str">
        <f>VLOOKUP(Tabela1[[#This Row],[Cliente]],'BASE DE CLIENTES'!A:C,3,0)</f>
        <v>DF</v>
      </c>
      <c r="E204" s="4" t="str">
        <f>CONCATENATE(Tabela1[[#This Row],[CIDADE]],",",Tabela1[[#This Row],[UF]])</f>
        <v>Brasília,DF</v>
      </c>
      <c r="F204" s="2">
        <v>45664</v>
      </c>
      <c r="G204" s="17">
        <v>439.2</v>
      </c>
      <c r="H204" s="17">
        <v>645</v>
      </c>
      <c r="I204" s="6">
        <f>Tabela1[[#This Row],[Valor total]]-Tabela1[[#This Row],[Valor custo]]</f>
        <v>205.8</v>
      </c>
      <c r="J204" s="7">
        <f>Tabela1[[#This Row],[MARGEM BRUTA]]/Tabela1[[#This Row],[Valor total]]</f>
        <v>0.3190697674418605</v>
      </c>
      <c r="K204" s="1" t="str">
        <f>VLOOKUP(Tabela1[[#This Row],[Cliente]],'BASE DE CLIENTES'!A:D,4,0)</f>
        <v>SERRALHEIRO</v>
      </c>
      <c r="L204" s="1" t="str">
        <f>VLOOKUP(Tabela1[[#This Row],[Cliente]],'BASE DE CLIENTES'!A:E,5,0)</f>
        <v>RECANTO DAS EMAS</v>
      </c>
    </row>
    <row r="205" spans="2:12" x14ac:dyDescent="0.3">
      <c r="B205" s="1" t="s">
        <v>66</v>
      </c>
      <c r="C205" s="4" t="str">
        <f>VLOOKUP(Tabela1[[#This Row],[Cliente]],'BASE DE CLIENTES'!A:E,2,0)</f>
        <v>Águas Lindas de Goiás</v>
      </c>
      <c r="D205" s="1" t="str">
        <f>VLOOKUP(Tabela1[[#This Row],[Cliente]],'BASE DE CLIENTES'!A:C,3,0)</f>
        <v>GO</v>
      </c>
      <c r="E205" s="4" t="str">
        <f>CONCATENATE(Tabela1[[#This Row],[CIDADE]],",",Tabela1[[#This Row],[UF]])</f>
        <v>Águas Lindas de Goiás,GO</v>
      </c>
      <c r="F205" s="2">
        <v>45757</v>
      </c>
      <c r="G205" s="17">
        <v>1341</v>
      </c>
      <c r="H205" s="17">
        <v>1660</v>
      </c>
      <c r="I205" s="6">
        <f>Tabela1[[#This Row],[Valor total]]-Tabela1[[#This Row],[Valor custo]]</f>
        <v>319</v>
      </c>
      <c r="J205" s="7">
        <f>Tabela1[[#This Row],[MARGEM BRUTA]]/Tabela1[[#This Row],[Valor total]]</f>
        <v>0.19216867469879517</v>
      </c>
      <c r="K205" s="1" t="str">
        <f>VLOOKUP(Tabela1[[#This Row],[Cliente]],'BASE DE CLIENTES'!A:D,4,0)</f>
        <v>EMPRESA COM MAQUINA</v>
      </c>
      <c r="L205" s="1" t="str">
        <f>VLOOKUP(Tabela1[[#This Row],[Cliente]],'BASE DE CLIENTES'!A:E,5,0)</f>
        <v>Águas Lindas de Goiás</v>
      </c>
    </row>
    <row r="206" spans="2:12" x14ac:dyDescent="0.3">
      <c r="B206" s="1" t="s">
        <v>21</v>
      </c>
      <c r="C206" s="4" t="str">
        <f>VLOOKUP(Tabela1[[#This Row],[Cliente]],'BASE DE CLIENTES'!A:E,2,0)</f>
        <v>Brasília</v>
      </c>
      <c r="D206" s="1" t="str">
        <f>VLOOKUP(Tabela1[[#This Row],[Cliente]],'BASE DE CLIENTES'!A:C,3,0)</f>
        <v>DF</v>
      </c>
      <c r="E206" s="4" t="str">
        <f>CONCATENATE(Tabela1[[#This Row],[CIDADE]],",",Tabela1[[#This Row],[UF]])</f>
        <v>Brasília,DF</v>
      </c>
      <c r="F206" s="2">
        <v>45664</v>
      </c>
      <c r="G206" s="17">
        <v>1842.81</v>
      </c>
      <c r="H206" s="17">
        <v>2940</v>
      </c>
      <c r="I206" s="6">
        <f>Tabela1[[#This Row],[Valor total]]-Tabela1[[#This Row],[Valor custo]]</f>
        <v>1097.19</v>
      </c>
      <c r="J206" s="7">
        <f>Tabela1[[#This Row],[MARGEM BRUTA]]/Tabela1[[#This Row],[Valor total]]</f>
        <v>0.3731938775510204</v>
      </c>
      <c r="K206" s="1" t="str">
        <f>VLOOKUP(Tabela1[[#This Row],[Cliente]],'BASE DE CLIENTES'!A:D,4,0)</f>
        <v>EMPRESA COM MAQUINA</v>
      </c>
      <c r="L206" s="1" t="str">
        <f>VLOOKUP(Tabela1[[#This Row],[Cliente]],'BASE DE CLIENTES'!A:E,5,0)</f>
        <v>RIACHO FUNDO II</v>
      </c>
    </row>
    <row r="207" spans="2:12" x14ac:dyDescent="0.3">
      <c r="B207" s="1" t="s">
        <v>68</v>
      </c>
      <c r="C207" s="4" t="str">
        <f>VLOOKUP(Tabela1[[#This Row],[Cliente]],'BASE DE CLIENTES'!A:E,2,0)</f>
        <v>Brasília</v>
      </c>
      <c r="D207" s="1" t="str">
        <f>VLOOKUP(Tabela1[[#This Row],[Cliente]],'BASE DE CLIENTES'!A:C,3,0)</f>
        <v>DF</v>
      </c>
      <c r="E207" s="4" t="str">
        <f>CONCATENATE(Tabela1[[#This Row],[CIDADE]],",",Tabela1[[#This Row],[UF]])</f>
        <v>Brasília,DF</v>
      </c>
      <c r="F207" s="2">
        <v>45664</v>
      </c>
      <c r="G207" s="17">
        <v>803.37</v>
      </c>
      <c r="H207" s="17">
        <v>1444.4</v>
      </c>
      <c r="I207" s="6">
        <f>Tabela1[[#This Row],[Valor total]]-Tabela1[[#This Row],[Valor custo]]</f>
        <v>641.03000000000009</v>
      </c>
      <c r="J207" s="7">
        <f>Tabela1[[#This Row],[MARGEM BRUTA]]/Tabela1[[#This Row],[Valor total]]</f>
        <v>0.44380365549709228</v>
      </c>
      <c r="K207" s="1" t="str">
        <f>VLOOKUP(Tabela1[[#This Row],[Cliente]],'BASE DE CLIENTES'!A:D,4,0)</f>
        <v>EMPRESA COM MAQUINA</v>
      </c>
      <c r="L207" s="1" t="str">
        <f>VLOOKUP(Tabela1[[#This Row],[Cliente]],'BASE DE CLIENTES'!A:E,5,0)</f>
        <v>SAMAMBAIA SUL (SAMAMBAIA)</v>
      </c>
    </row>
    <row r="208" spans="2:12" x14ac:dyDescent="0.3">
      <c r="B208" s="1" t="s">
        <v>96</v>
      </c>
      <c r="C208" s="4" t="str">
        <f>VLOOKUP(Tabela1[[#This Row],[Cliente]],'BASE DE CLIENTES'!A:E,2,0)</f>
        <v>Brasília</v>
      </c>
      <c r="D208" s="1" t="str">
        <f>VLOOKUP(Tabela1[[#This Row],[Cliente]],'BASE DE CLIENTES'!A:C,3,0)</f>
        <v>DF</v>
      </c>
      <c r="E208" s="4" t="str">
        <f>CONCATENATE(Tabela1[[#This Row],[CIDADE]],",",Tabela1[[#This Row],[UF]])</f>
        <v>Brasília,DF</v>
      </c>
      <c r="F208" s="2">
        <v>45664</v>
      </c>
      <c r="G208" s="17">
        <v>125</v>
      </c>
      <c r="H208" s="17">
        <v>165.92</v>
      </c>
      <c r="I208" s="6">
        <f>Tabela1[[#This Row],[Valor total]]-Tabela1[[#This Row],[Valor custo]]</f>
        <v>40.919999999999987</v>
      </c>
      <c r="J208" s="7">
        <f>Tabela1[[#This Row],[MARGEM BRUTA]]/Tabela1[[#This Row],[Valor total]]</f>
        <v>0.24662487945998066</v>
      </c>
      <c r="K208" s="1" t="str">
        <f>VLOOKUP(Tabela1[[#This Row],[Cliente]],'BASE DE CLIENTES'!A:D,4,0)</f>
        <v>EMPRESA SEM MAQUINA</v>
      </c>
      <c r="L208" s="1" t="str">
        <f>VLOOKUP(Tabela1[[#This Row],[Cliente]],'BASE DE CLIENTES'!A:E,5,0)</f>
        <v>CEILANDIA NORTE (CEILANDIA)</v>
      </c>
    </row>
    <row r="209" spans="2:12" x14ac:dyDescent="0.3">
      <c r="B209" s="1" t="s">
        <v>111</v>
      </c>
      <c r="C209" s="4" t="str">
        <f>VLOOKUP(Tabela1[[#This Row],[Cliente]],'BASE DE CLIENTES'!A:E,2,0)</f>
        <v>Brasília</v>
      </c>
      <c r="D209" s="1" t="str">
        <f>VLOOKUP(Tabela1[[#This Row],[Cliente]],'BASE DE CLIENTES'!A:C,3,0)</f>
        <v>DF</v>
      </c>
      <c r="E209" s="4" t="str">
        <f>CONCATENATE(Tabela1[[#This Row],[CIDADE]],",",Tabela1[[#This Row],[UF]])</f>
        <v>Brasília,DF</v>
      </c>
      <c r="F209" s="2">
        <v>45663</v>
      </c>
      <c r="G209" s="17">
        <v>6094.64</v>
      </c>
      <c r="H209" s="17">
        <v>9111</v>
      </c>
      <c r="I209" s="6">
        <f>Tabela1[[#This Row],[Valor total]]-Tabela1[[#This Row],[Valor custo]]</f>
        <v>3016.3599999999997</v>
      </c>
      <c r="J209" s="7">
        <f>Tabela1[[#This Row],[MARGEM BRUTA]]/Tabela1[[#This Row],[Valor total]]</f>
        <v>0.33106793985292499</v>
      </c>
      <c r="K209" s="1" t="str">
        <f>VLOOKUP(Tabela1[[#This Row],[Cliente]],'BASE DE CLIENTES'!A:D,4,0)</f>
        <v>EMPRESA SEM MAQUINA</v>
      </c>
      <c r="L209" s="1" t="str">
        <f>VLOOKUP(Tabela1[[#This Row],[Cliente]],'BASE DE CLIENTES'!A:E,5,0)</f>
        <v>TAGUATINGA SUL (TAGUATINGA)</v>
      </c>
    </row>
    <row r="210" spans="2:12" x14ac:dyDescent="0.3">
      <c r="B210" s="1" t="s">
        <v>111</v>
      </c>
      <c r="C210" s="4" t="str">
        <f>VLOOKUP(Tabela1[[#This Row],[Cliente]],'BASE DE CLIENTES'!A:E,2,0)</f>
        <v>Brasília</v>
      </c>
      <c r="D210" s="1" t="str">
        <f>VLOOKUP(Tabela1[[#This Row],[Cliente]],'BASE DE CLIENTES'!A:C,3,0)</f>
        <v>DF</v>
      </c>
      <c r="E210" s="4" t="str">
        <f>CONCATENATE(Tabela1[[#This Row],[CIDADE]],",",Tabela1[[#This Row],[UF]])</f>
        <v>Brasília,DF</v>
      </c>
      <c r="F210" s="2">
        <v>45663</v>
      </c>
      <c r="G210" s="17">
        <v>155.63999999999999</v>
      </c>
      <c r="H210" s="17">
        <v>238.8</v>
      </c>
      <c r="I210" s="6">
        <f>Tabela1[[#This Row],[Valor total]]-Tabela1[[#This Row],[Valor custo]]</f>
        <v>83.160000000000025</v>
      </c>
      <c r="J210" s="7">
        <f>Tabela1[[#This Row],[MARGEM BRUTA]]/Tabela1[[#This Row],[Valor total]]</f>
        <v>0.34824120603015085</v>
      </c>
      <c r="K210" s="1" t="str">
        <f>VLOOKUP(Tabela1[[#This Row],[Cliente]],'BASE DE CLIENTES'!A:D,4,0)</f>
        <v>EMPRESA SEM MAQUINA</v>
      </c>
      <c r="L210" s="1" t="str">
        <f>VLOOKUP(Tabela1[[#This Row],[Cliente]],'BASE DE CLIENTES'!A:E,5,0)</f>
        <v>TAGUATINGA SUL (TAGUATINGA)</v>
      </c>
    </row>
    <row r="211" spans="2:12" x14ac:dyDescent="0.3">
      <c r="B211" s="1" t="s">
        <v>98</v>
      </c>
      <c r="C211" s="4" t="str">
        <f>VLOOKUP(Tabela1[[#This Row],[Cliente]],'BASE DE CLIENTES'!A:E,2,0)</f>
        <v>Brasília</v>
      </c>
      <c r="D211" s="1" t="str">
        <f>VLOOKUP(Tabela1[[#This Row],[Cliente]],'BASE DE CLIENTES'!A:C,3,0)</f>
        <v>DF</v>
      </c>
      <c r="E211" s="4" t="str">
        <f>CONCATENATE(Tabela1[[#This Row],[CIDADE]],",",Tabela1[[#This Row],[UF]])</f>
        <v>Brasília,DF</v>
      </c>
      <c r="F211" s="2">
        <v>45663</v>
      </c>
      <c r="G211" s="17">
        <v>684.55</v>
      </c>
      <c r="H211" s="17">
        <v>1150</v>
      </c>
      <c r="I211" s="6">
        <f>Tabela1[[#This Row],[Valor total]]-Tabela1[[#This Row],[Valor custo]]</f>
        <v>465.45000000000005</v>
      </c>
      <c r="J211" s="7">
        <f>Tabela1[[#This Row],[MARGEM BRUTA]]/Tabela1[[#This Row],[Valor total]]</f>
        <v>0.40473913043478266</v>
      </c>
      <c r="K211" s="1" t="str">
        <f>VLOOKUP(Tabela1[[#This Row],[Cliente]],'BASE DE CLIENTES'!A:D,4,0)</f>
        <v>SERRALHEIRO</v>
      </c>
      <c r="L211" s="1" t="str">
        <f>VLOOKUP(Tabela1[[#This Row],[Cliente]],'BASE DE CLIENTES'!A:E,5,0)</f>
        <v>SANTA MARIA</v>
      </c>
    </row>
    <row r="212" spans="2:12" x14ac:dyDescent="0.3">
      <c r="B212" s="1" t="s">
        <v>55</v>
      </c>
      <c r="C212" s="4" t="str">
        <f>VLOOKUP(Tabela1[[#This Row],[Cliente]],'BASE DE CLIENTES'!A:E,2,0)</f>
        <v>Brasília</v>
      </c>
      <c r="D212" s="1" t="str">
        <f>VLOOKUP(Tabela1[[#This Row],[Cliente]],'BASE DE CLIENTES'!A:C,3,0)</f>
        <v>DF</v>
      </c>
      <c r="E212" s="4" t="str">
        <f>CONCATENATE(Tabela1[[#This Row],[CIDADE]],",",Tabela1[[#This Row],[UF]])</f>
        <v>Brasília,DF</v>
      </c>
      <c r="F212" s="2">
        <v>45663</v>
      </c>
      <c r="G212" s="17">
        <v>13.69</v>
      </c>
      <c r="H212" s="17">
        <v>120</v>
      </c>
      <c r="I212" s="6">
        <f>Tabela1[[#This Row],[Valor total]]-Tabela1[[#This Row],[Valor custo]]</f>
        <v>106.31</v>
      </c>
      <c r="J212" s="7">
        <f>Tabela1[[#This Row],[MARGEM BRUTA]]/Tabela1[[#This Row],[Valor total]]</f>
        <v>0.88591666666666669</v>
      </c>
      <c r="K212" s="1" t="str">
        <f>VLOOKUP(Tabela1[[#This Row],[Cliente]],'BASE DE CLIENTES'!A:D,4,0)</f>
        <v>EMPRESA SEM MAQUINA</v>
      </c>
      <c r="L212" s="1" t="str">
        <f>VLOOKUP(Tabela1[[#This Row],[Cliente]],'BASE DE CLIENTES'!A:E,5,0)</f>
        <v>RECANTO DAS EMAS</v>
      </c>
    </row>
    <row r="213" spans="2:12" x14ac:dyDescent="0.3">
      <c r="B213" s="1" t="s">
        <v>19</v>
      </c>
      <c r="C213" s="4" t="str">
        <f>VLOOKUP(Tabela1[[#This Row],[Cliente]],'BASE DE CLIENTES'!A:E,2,0)</f>
        <v>Águas Lindas de Goiás</v>
      </c>
      <c r="D213" s="1" t="str">
        <f>VLOOKUP(Tabela1[[#This Row],[Cliente]],'BASE DE CLIENTES'!A:C,3,0)</f>
        <v>GO</v>
      </c>
      <c r="E213" s="4" t="str">
        <f>CONCATENATE(Tabela1[[#This Row],[CIDADE]],",",Tabela1[[#This Row],[UF]])</f>
        <v>Águas Lindas de Goiás,GO</v>
      </c>
      <c r="F213" s="2">
        <v>45756</v>
      </c>
      <c r="G213" s="17">
        <v>894</v>
      </c>
      <c r="H213" s="17">
        <v>1290</v>
      </c>
      <c r="I213" s="6">
        <f>Tabela1[[#This Row],[Valor total]]-Tabela1[[#This Row],[Valor custo]]</f>
        <v>396</v>
      </c>
      <c r="J213" s="7">
        <f>Tabela1[[#This Row],[MARGEM BRUTA]]/Tabela1[[#This Row],[Valor total]]</f>
        <v>0.30697674418604654</v>
      </c>
      <c r="K213" s="1" t="str">
        <f>VLOOKUP(Tabela1[[#This Row],[Cliente]],'BASE DE CLIENTES'!A:D,4,0)</f>
        <v>SERRALHEIRO</v>
      </c>
      <c r="L213" s="1" t="str">
        <f>VLOOKUP(Tabela1[[#This Row],[Cliente]],'BASE DE CLIENTES'!A:E,5,0)</f>
        <v>Águas Lindas de Goiás</v>
      </c>
    </row>
    <row r="214" spans="2:12" x14ac:dyDescent="0.3">
      <c r="B214" s="1" t="s">
        <v>55</v>
      </c>
      <c r="C214" s="4" t="str">
        <f>VLOOKUP(Tabela1[[#This Row],[Cliente]],'BASE DE CLIENTES'!A:E,2,0)</f>
        <v>Brasília</v>
      </c>
      <c r="D214" s="1" t="str">
        <f>VLOOKUP(Tabela1[[#This Row],[Cliente]],'BASE DE CLIENTES'!A:C,3,0)</f>
        <v>DF</v>
      </c>
      <c r="E214" s="4" t="str">
        <f>CONCATENATE(Tabela1[[#This Row],[CIDADE]],",",Tabela1[[#This Row],[UF]])</f>
        <v>Brasília,DF</v>
      </c>
      <c r="F214" s="2">
        <v>45663</v>
      </c>
      <c r="G214" s="17">
        <v>593.83000000000004</v>
      </c>
      <c r="H214" s="17">
        <v>945</v>
      </c>
      <c r="I214" s="6">
        <f>Tabela1[[#This Row],[Valor total]]-Tabela1[[#This Row],[Valor custo]]</f>
        <v>351.16999999999996</v>
      </c>
      <c r="J214" s="7">
        <f>Tabela1[[#This Row],[MARGEM BRUTA]]/Tabela1[[#This Row],[Valor total]]</f>
        <v>0.37160846560846555</v>
      </c>
      <c r="K214" s="1" t="str">
        <f>VLOOKUP(Tabela1[[#This Row],[Cliente]],'BASE DE CLIENTES'!A:D,4,0)</f>
        <v>EMPRESA SEM MAQUINA</v>
      </c>
      <c r="L214" s="1" t="str">
        <f>VLOOKUP(Tabela1[[#This Row],[Cliente]],'BASE DE CLIENTES'!A:E,5,0)</f>
        <v>RECANTO DAS EMAS</v>
      </c>
    </row>
    <row r="215" spans="2:12" x14ac:dyDescent="0.3">
      <c r="B215" s="1" t="s">
        <v>21</v>
      </c>
      <c r="C215" s="4" t="str">
        <f>VLOOKUP(Tabela1[[#This Row],[Cliente]],'BASE DE CLIENTES'!A:E,2,0)</f>
        <v>Brasília</v>
      </c>
      <c r="D215" s="1" t="str">
        <f>VLOOKUP(Tabela1[[#This Row],[Cliente]],'BASE DE CLIENTES'!A:C,3,0)</f>
        <v>DF</v>
      </c>
      <c r="E215" s="4" t="str">
        <f>CONCATENATE(Tabela1[[#This Row],[CIDADE]],",",Tabela1[[#This Row],[UF]])</f>
        <v>Brasília,DF</v>
      </c>
      <c r="F215" s="2">
        <v>45744</v>
      </c>
      <c r="G215" s="17">
        <v>1435</v>
      </c>
      <c r="H215" s="17">
        <v>2600</v>
      </c>
      <c r="I215" s="6">
        <f>Tabela1[[#This Row],[Valor total]]-Tabela1[[#This Row],[Valor custo]]</f>
        <v>1165</v>
      </c>
      <c r="J215" s="7">
        <f>Tabela1[[#This Row],[MARGEM BRUTA]]/Tabela1[[#This Row],[Valor total]]</f>
        <v>0.44807692307692309</v>
      </c>
      <c r="K215" s="1" t="str">
        <f>VLOOKUP(Tabela1[[#This Row],[Cliente]],'BASE DE CLIENTES'!A:D,4,0)</f>
        <v>EMPRESA COM MAQUINA</v>
      </c>
      <c r="L215" s="1" t="str">
        <f>VLOOKUP(Tabela1[[#This Row],[Cliente]],'BASE DE CLIENTES'!A:E,5,0)</f>
        <v>RIACHO FUNDO II</v>
      </c>
    </row>
    <row r="216" spans="2:12" x14ac:dyDescent="0.3">
      <c r="B216" s="1" t="s">
        <v>42</v>
      </c>
      <c r="C216" s="4" t="str">
        <f>VLOOKUP(Tabela1[[#This Row],[Cliente]],'BASE DE CLIENTES'!A:E,2,0)</f>
        <v>Brasília</v>
      </c>
      <c r="D216" s="1" t="str">
        <f>VLOOKUP(Tabela1[[#This Row],[Cliente]],'BASE DE CLIENTES'!A:C,3,0)</f>
        <v>DF</v>
      </c>
      <c r="E216" s="4" t="str">
        <f>CONCATENATE(Tabela1[[#This Row],[CIDADE]],",",Tabela1[[#This Row],[UF]])</f>
        <v>Brasília,DF</v>
      </c>
      <c r="F216" s="2">
        <v>45663</v>
      </c>
      <c r="G216" s="17">
        <v>718.57</v>
      </c>
      <c r="H216" s="17">
        <v>1350</v>
      </c>
      <c r="I216" s="6">
        <f>Tabela1[[#This Row],[Valor total]]-Tabela1[[#This Row],[Valor custo]]</f>
        <v>631.42999999999995</v>
      </c>
      <c r="J216" s="7">
        <f>Tabela1[[#This Row],[MARGEM BRUTA]]/Tabela1[[#This Row],[Valor total]]</f>
        <v>0.46772592592592588</v>
      </c>
      <c r="K216" s="1" t="str">
        <f>VLOOKUP(Tabela1[[#This Row],[Cliente]],'BASE DE CLIENTES'!A:D,4,0)</f>
        <v>EMPRESA SEM MAQUINA</v>
      </c>
      <c r="L216" s="1" t="str">
        <f>VLOOKUP(Tabela1[[#This Row],[Cliente]],'BASE DE CLIENTES'!A:E,5,0)</f>
        <v>SAMAMBAIA</v>
      </c>
    </row>
    <row r="217" spans="2:12" x14ac:dyDescent="0.3">
      <c r="B217" s="1" t="s">
        <v>104</v>
      </c>
      <c r="C217" s="4" t="str">
        <f>VLOOKUP(Tabela1[[#This Row],[Cliente]],'BASE DE CLIENTES'!A:E,2,0)</f>
        <v>Águas Lindas de Goiás</v>
      </c>
      <c r="D217" s="1" t="str">
        <f>VLOOKUP(Tabela1[[#This Row],[Cliente]],'BASE DE CLIENTES'!A:C,3,0)</f>
        <v>GO</v>
      </c>
      <c r="E217" s="4" t="str">
        <f>CONCATENATE(Tabela1[[#This Row],[CIDADE]],",",Tabela1[[#This Row],[UF]])</f>
        <v>Águas Lindas de Goiás,GO</v>
      </c>
      <c r="F217" s="2">
        <v>45756</v>
      </c>
      <c r="G217" s="17">
        <v>1871.13</v>
      </c>
      <c r="H217" s="17">
        <v>2715</v>
      </c>
      <c r="I217" s="6">
        <f>Tabela1[[#This Row],[Valor total]]-Tabela1[[#This Row],[Valor custo]]</f>
        <v>843.86999999999989</v>
      </c>
      <c r="J217" s="7">
        <f>Tabela1[[#This Row],[MARGEM BRUTA]]/Tabela1[[#This Row],[Valor total]]</f>
        <v>0.31081767955801098</v>
      </c>
      <c r="K217" s="1" t="str">
        <f>VLOOKUP(Tabela1[[#This Row],[Cliente]],'BASE DE CLIENTES'!A:D,4,0)</f>
        <v>EMPRESA SEM MAQUINA</v>
      </c>
      <c r="L217" s="1" t="str">
        <f>VLOOKUP(Tabela1[[#This Row],[Cliente]],'BASE DE CLIENTES'!A:E,5,0)</f>
        <v>Águas Lindas de Goiás</v>
      </c>
    </row>
    <row r="218" spans="2:12" x14ac:dyDescent="0.3">
      <c r="B218" s="1" t="s">
        <v>19</v>
      </c>
      <c r="C218" s="4" t="str">
        <f>VLOOKUP(Tabela1[[#This Row],[Cliente]],'BASE DE CLIENTES'!A:E,2,0)</f>
        <v>Águas Lindas de Goiás</v>
      </c>
      <c r="D218" s="1" t="str">
        <f>VLOOKUP(Tabela1[[#This Row],[Cliente]],'BASE DE CLIENTES'!A:C,3,0)</f>
        <v>GO</v>
      </c>
      <c r="E218" s="4" t="str">
        <f>CONCATENATE(Tabela1[[#This Row],[CIDADE]],",",Tabela1[[#This Row],[UF]])</f>
        <v>Águas Lindas de Goiás,GO</v>
      </c>
      <c r="F218" s="2">
        <v>45755</v>
      </c>
      <c r="G218" s="17">
        <v>2249.4</v>
      </c>
      <c r="H218" s="17">
        <v>3421</v>
      </c>
      <c r="I218" s="6">
        <f>Tabela1[[#This Row],[Valor total]]-Tabela1[[#This Row],[Valor custo]]</f>
        <v>1171.5999999999999</v>
      </c>
      <c r="J218" s="7">
        <f>Tabela1[[#This Row],[MARGEM BRUTA]]/Tabela1[[#This Row],[Valor total]]</f>
        <v>0.34247296112247877</v>
      </c>
      <c r="K218" s="1" t="str">
        <f>VLOOKUP(Tabela1[[#This Row],[Cliente]],'BASE DE CLIENTES'!A:D,4,0)</f>
        <v>SERRALHEIRO</v>
      </c>
      <c r="L218" s="1" t="str">
        <f>VLOOKUP(Tabela1[[#This Row],[Cliente]],'BASE DE CLIENTES'!A:E,5,0)</f>
        <v>Águas Lindas de Goiás</v>
      </c>
    </row>
    <row r="219" spans="2:12" x14ac:dyDescent="0.3">
      <c r="B219" s="1" t="s">
        <v>19</v>
      </c>
      <c r="C219" s="4" t="str">
        <f>VLOOKUP(Tabela1[[#This Row],[Cliente]],'BASE DE CLIENTES'!A:E,2,0)</f>
        <v>Águas Lindas de Goiás</v>
      </c>
      <c r="D219" s="1" t="str">
        <f>VLOOKUP(Tabela1[[#This Row],[Cliente]],'BASE DE CLIENTES'!A:C,3,0)</f>
        <v>GO</v>
      </c>
      <c r="E219" s="4" t="str">
        <f>CONCATENATE(Tabela1[[#This Row],[CIDADE]],",",Tabela1[[#This Row],[UF]])</f>
        <v>Águas Lindas de Goiás,GO</v>
      </c>
      <c r="F219" s="2">
        <v>45755</v>
      </c>
      <c r="G219" s="17">
        <v>150</v>
      </c>
      <c r="H219" s="17">
        <v>180</v>
      </c>
      <c r="I219" s="6">
        <f>Tabela1[[#This Row],[Valor total]]-Tabela1[[#This Row],[Valor custo]]</f>
        <v>30</v>
      </c>
      <c r="J219" s="7">
        <f>Tabela1[[#This Row],[MARGEM BRUTA]]/Tabela1[[#This Row],[Valor total]]</f>
        <v>0.16666666666666666</v>
      </c>
      <c r="K219" s="1" t="str">
        <f>VLOOKUP(Tabela1[[#This Row],[Cliente]],'BASE DE CLIENTES'!A:D,4,0)</f>
        <v>SERRALHEIRO</v>
      </c>
      <c r="L219" s="1" t="str">
        <f>VLOOKUP(Tabela1[[#This Row],[Cliente]],'BASE DE CLIENTES'!A:E,5,0)</f>
        <v>Águas Lindas de Goiás</v>
      </c>
    </row>
    <row r="220" spans="2:12" x14ac:dyDescent="0.3">
      <c r="B220" s="1" t="s">
        <v>19</v>
      </c>
      <c r="C220" s="4" t="str">
        <f>VLOOKUP(Tabela1[[#This Row],[Cliente]],'BASE DE CLIENTES'!A:E,2,0)</f>
        <v>Águas Lindas de Goiás</v>
      </c>
      <c r="D220" s="1" t="str">
        <f>VLOOKUP(Tabela1[[#This Row],[Cliente]],'BASE DE CLIENTES'!A:C,3,0)</f>
        <v>GO</v>
      </c>
      <c r="E220" s="4" t="str">
        <f>CONCATENATE(Tabela1[[#This Row],[CIDADE]],",",Tabela1[[#This Row],[UF]])</f>
        <v>Águas Lindas de Goiás,GO</v>
      </c>
      <c r="F220" s="2">
        <v>45754</v>
      </c>
      <c r="G220" s="17">
        <v>894</v>
      </c>
      <c r="H220" s="17">
        <v>1290</v>
      </c>
      <c r="I220" s="6">
        <f>Tabela1[[#This Row],[Valor total]]-Tabela1[[#This Row],[Valor custo]]</f>
        <v>396</v>
      </c>
      <c r="J220" s="7">
        <f>Tabela1[[#This Row],[MARGEM BRUTA]]/Tabela1[[#This Row],[Valor total]]</f>
        <v>0.30697674418604654</v>
      </c>
      <c r="K220" s="1" t="str">
        <f>VLOOKUP(Tabela1[[#This Row],[Cliente]],'BASE DE CLIENTES'!A:D,4,0)</f>
        <v>SERRALHEIRO</v>
      </c>
      <c r="L220" s="1" t="str">
        <f>VLOOKUP(Tabela1[[#This Row],[Cliente]],'BASE DE CLIENTES'!A:E,5,0)</f>
        <v>Águas Lindas de Goiás</v>
      </c>
    </row>
    <row r="221" spans="2:12" x14ac:dyDescent="0.3">
      <c r="B221" s="1" t="s">
        <v>66</v>
      </c>
      <c r="C221" s="4" t="str">
        <f>VLOOKUP(Tabela1[[#This Row],[Cliente]],'BASE DE CLIENTES'!A:E,2,0)</f>
        <v>Águas Lindas de Goiás</v>
      </c>
      <c r="D221" s="1" t="str">
        <f>VLOOKUP(Tabela1[[#This Row],[Cliente]],'BASE DE CLIENTES'!A:C,3,0)</f>
        <v>GO</v>
      </c>
      <c r="E221" s="4" t="str">
        <f>CONCATENATE(Tabela1[[#This Row],[CIDADE]],",",Tabela1[[#This Row],[UF]])</f>
        <v>Águas Lindas de Goiás,GO</v>
      </c>
      <c r="F221" s="2">
        <v>45751</v>
      </c>
      <c r="G221" s="17">
        <v>1172</v>
      </c>
      <c r="H221" s="17">
        <v>1995</v>
      </c>
      <c r="I221" s="6">
        <f>Tabela1[[#This Row],[Valor total]]-Tabela1[[#This Row],[Valor custo]]</f>
        <v>823</v>
      </c>
      <c r="J221" s="7">
        <f>Tabela1[[#This Row],[MARGEM BRUTA]]/Tabela1[[#This Row],[Valor total]]</f>
        <v>0.41253132832080203</v>
      </c>
      <c r="K221" s="1" t="str">
        <f>VLOOKUP(Tabela1[[#This Row],[Cliente]],'BASE DE CLIENTES'!A:D,4,0)</f>
        <v>EMPRESA COM MAQUINA</v>
      </c>
      <c r="L221" s="1" t="str">
        <f>VLOOKUP(Tabela1[[#This Row],[Cliente]],'BASE DE CLIENTES'!A:E,5,0)</f>
        <v>Águas Lindas de Goiás</v>
      </c>
    </row>
    <row r="222" spans="2:12" x14ac:dyDescent="0.3">
      <c r="B222" s="1" t="s">
        <v>21</v>
      </c>
      <c r="C222" s="4" t="str">
        <f>VLOOKUP(Tabela1[[#This Row],[Cliente]],'BASE DE CLIENTES'!A:E,2,0)</f>
        <v>Brasília</v>
      </c>
      <c r="D222" s="1" t="str">
        <f>VLOOKUP(Tabela1[[#This Row],[Cliente]],'BASE DE CLIENTES'!A:C,3,0)</f>
        <v>DF</v>
      </c>
      <c r="E222" s="4" t="str">
        <f>CONCATENATE(Tabela1[[#This Row],[CIDADE]],",",Tabela1[[#This Row],[UF]])</f>
        <v>Brasília,DF</v>
      </c>
      <c r="F222" s="2">
        <v>45733</v>
      </c>
      <c r="G222" s="17">
        <v>1437.14</v>
      </c>
      <c r="H222" s="17">
        <v>2600</v>
      </c>
      <c r="I222" s="6">
        <f>Tabela1[[#This Row],[Valor total]]-Tabela1[[#This Row],[Valor custo]]</f>
        <v>1162.8599999999999</v>
      </c>
      <c r="J222" s="7">
        <f>Tabela1[[#This Row],[MARGEM BRUTA]]/Tabela1[[#This Row],[Valor total]]</f>
        <v>0.44725384615384611</v>
      </c>
      <c r="K222" s="1" t="str">
        <f>VLOOKUP(Tabela1[[#This Row],[Cliente]],'BASE DE CLIENTES'!A:D,4,0)</f>
        <v>EMPRESA COM MAQUINA</v>
      </c>
      <c r="L222" s="1" t="str">
        <f>VLOOKUP(Tabela1[[#This Row],[Cliente]],'BASE DE CLIENTES'!A:E,5,0)</f>
        <v>RIACHO FUNDO II</v>
      </c>
    </row>
    <row r="223" spans="2:12" x14ac:dyDescent="0.3">
      <c r="B223" s="1" t="s">
        <v>27</v>
      </c>
      <c r="C223" s="4" t="str">
        <f>VLOOKUP(Tabela1[[#This Row],[Cliente]],'BASE DE CLIENTES'!A:E,2,0)</f>
        <v>Brasília</v>
      </c>
      <c r="D223" s="1" t="str">
        <f>VLOOKUP(Tabela1[[#This Row],[Cliente]],'BASE DE CLIENTES'!A:C,3,0)</f>
        <v>DF</v>
      </c>
      <c r="E223" s="4" t="str">
        <f>CONCATENATE(Tabela1[[#This Row],[CIDADE]],",",Tabela1[[#This Row],[UF]])</f>
        <v>Brasília,DF</v>
      </c>
      <c r="F223" s="2">
        <v>45660</v>
      </c>
      <c r="G223" s="17">
        <v>3173.28</v>
      </c>
      <c r="H223" s="17">
        <v>4500</v>
      </c>
      <c r="I223" s="6">
        <f>Tabela1[[#This Row],[Valor total]]-Tabela1[[#This Row],[Valor custo]]</f>
        <v>1326.7199999999998</v>
      </c>
      <c r="J223" s="7">
        <f>Tabela1[[#This Row],[MARGEM BRUTA]]/Tabela1[[#This Row],[Valor total]]</f>
        <v>0.29482666666666663</v>
      </c>
      <c r="K223" s="1" t="str">
        <f>VLOOKUP(Tabela1[[#This Row],[Cliente]],'BASE DE CLIENTES'!A:D,4,0)</f>
        <v>EMPRESA SEM MAQUINA</v>
      </c>
      <c r="L223" s="1" t="str">
        <f>VLOOKUP(Tabela1[[#This Row],[Cliente]],'BASE DE CLIENTES'!A:E,5,0)</f>
        <v>RECANTO DAS EMAS</v>
      </c>
    </row>
    <row r="224" spans="2:12" x14ac:dyDescent="0.3">
      <c r="B224" s="1" t="s">
        <v>88</v>
      </c>
      <c r="C224" s="4" t="str">
        <f>VLOOKUP(Tabela1[[#This Row],[Cliente]],'BASE DE CLIENTES'!A:E,2,0)</f>
        <v>Brasília</v>
      </c>
      <c r="D224" s="1" t="str">
        <f>VLOOKUP(Tabela1[[#This Row],[Cliente]],'BASE DE CLIENTES'!A:C,3,0)</f>
        <v>DF</v>
      </c>
      <c r="E224" s="4" t="str">
        <f>CONCATENATE(Tabela1[[#This Row],[CIDADE]],",",Tabela1[[#This Row],[UF]])</f>
        <v>Brasília,DF</v>
      </c>
      <c r="F224" s="2">
        <v>45660</v>
      </c>
      <c r="G224" s="17">
        <v>684.55</v>
      </c>
      <c r="H224" s="17">
        <v>1250</v>
      </c>
      <c r="I224" s="6">
        <f>Tabela1[[#This Row],[Valor total]]-Tabela1[[#This Row],[Valor custo]]</f>
        <v>565.45000000000005</v>
      </c>
      <c r="J224" s="7">
        <f>Tabela1[[#This Row],[MARGEM BRUTA]]/Tabela1[[#This Row],[Valor total]]</f>
        <v>0.45236000000000004</v>
      </c>
      <c r="K224" s="1" t="str">
        <f>VLOOKUP(Tabela1[[#This Row],[Cliente]],'BASE DE CLIENTES'!A:D,4,0)</f>
        <v>SERRALHEIRO</v>
      </c>
      <c r="L224" s="1" t="str">
        <f>VLOOKUP(Tabela1[[#This Row],[Cliente]],'BASE DE CLIENTES'!A:E,5,0)</f>
        <v>RECANTO DAS EMAS</v>
      </c>
    </row>
    <row r="225" spans="2:12" x14ac:dyDescent="0.3">
      <c r="B225" s="1" t="s">
        <v>52</v>
      </c>
      <c r="C225" s="4" t="str">
        <f>VLOOKUP(Tabela1[[#This Row],[Cliente]],'BASE DE CLIENTES'!A:E,2,0)</f>
        <v>Brasília</v>
      </c>
      <c r="D225" s="1" t="str">
        <f>VLOOKUP(Tabela1[[#This Row],[Cliente]],'BASE DE CLIENTES'!A:C,3,0)</f>
        <v>DF</v>
      </c>
      <c r="E225" s="4" t="str">
        <f>CONCATENATE(Tabela1[[#This Row],[CIDADE]],",",Tabela1[[#This Row],[UF]])</f>
        <v>Brasília,DF</v>
      </c>
      <c r="F225" s="2">
        <v>45660</v>
      </c>
      <c r="G225" s="17">
        <v>514.45000000000005</v>
      </c>
      <c r="H225" s="17">
        <v>720</v>
      </c>
      <c r="I225" s="6">
        <f>Tabela1[[#This Row],[Valor total]]-Tabela1[[#This Row],[Valor custo]]</f>
        <v>205.54999999999995</v>
      </c>
      <c r="J225" s="7">
        <f>Tabela1[[#This Row],[MARGEM BRUTA]]/Tabela1[[#This Row],[Valor total]]</f>
        <v>0.28548611111111105</v>
      </c>
      <c r="K225" s="1" t="str">
        <f>VLOOKUP(Tabela1[[#This Row],[Cliente]],'BASE DE CLIENTES'!A:D,4,0)</f>
        <v>SERRALHEIRO</v>
      </c>
      <c r="L225" s="1" t="str">
        <f>VLOOKUP(Tabela1[[#This Row],[Cliente]],'BASE DE CLIENTES'!A:E,5,0)</f>
        <v>Ceilândia Sul (Ceilândia)</v>
      </c>
    </row>
    <row r="226" spans="2:12" x14ac:dyDescent="0.3">
      <c r="B226" s="1" t="s">
        <v>115</v>
      </c>
      <c r="C226" s="4" t="str">
        <f>VLOOKUP(Tabela1[[#This Row],[Cliente]],'BASE DE CLIENTES'!A:E,2,0)</f>
        <v>Brasília</v>
      </c>
      <c r="D226" s="1" t="str">
        <f>VLOOKUP(Tabela1[[#This Row],[Cliente]],'BASE DE CLIENTES'!A:C,3,0)</f>
        <v>DF</v>
      </c>
      <c r="E226" s="4" t="str">
        <f>CONCATENATE(Tabela1[[#This Row],[CIDADE]],",",Tabela1[[#This Row],[UF]])</f>
        <v>Brasília,DF</v>
      </c>
      <c r="F226" s="2">
        <v>45868</v>
      </c>
      <c r="G226" s="17">
        <v>293.13</v>
      </c>
      <c r="H226" s="17">
        <v>390</v>
      </c>
      <c r="I226" s="6">
        <f>Tabela1[[#This Row],[Valor total]]-Tabela1[[#This Row],[Valor custo]]</f>
        <v>96.87</v>
      </c>
      <c r="J226" s="7">
        <f>Tabela1[[#This Row],[MARGEM BRUTA]]/Tabela1[[#This Row],[Valor total]]</f>
        <v>0.2483846153846154</v>
      </c>
      <c r="K226" s="1" t="str">
        <f>VLOOKUP(Tabela1[[#This Row],[Cliente]],'BASE DE CLIENTES'!A:D,4,0)</f>
        <v>CLIENTE FECHADURA</v>
      </c>
      <c r="L226" s="1" t="str">
        <f>VLOOKUP(Tabela1[[#This Row],[Cliente]],'BASE DE CLIENTES'!A:E,5,0)</f>
        <v>NA</v>
      </c>
    </row>
    <row r="227" spans="2:12" x14ac:dyDescent="0.3">
      <c r="B227" s="1" t="s">
        <v>96</v>
      </c>
      <c r="C227" s="4" t="str">
        <f>VLOOKUP(Tabela1[[#This Row],[Cliente]],'BASE DE CLIENTES'!A:E,2,0)</f>
        <v>Brasília</v>
      </c>
      <c r="D227" s="1" t="str">
        <f>VLOOKUP(Tabela1[[#This Row],[Cliente]],'BASE DE CLIENTES'!A:C,3,0)</f>
        <v>DF</v>
      </c>
      <c r="E227" s="4" t="str">
        <f>CONCATENATE(Tabela1[[#This Row],[CIDADE]],",",Tabela1[[#This Row],[UF]])</f>
        <v>Brasília,DF</v>
      </c>
      <c r="F227" s="2">
        <v>45660</v>
      </c>
      <c r="G227" s="17">
        <v>41.07</v>
      </c>
      <c r="H227" s="17">
        <v>436.18</v>
      </c>
      <c r="I227" s="6">
        <f>Tabela1[[#This Row],[Valor total]]-Tabela1[[#This Row],[Valor custo]]</f>
        <v>395.11</v>
      </c>
      <c r="J227" s="7">
        <f>Tabela1[[#This Row],[MARGEM BRUTA]]/Tabela1[[#This Row],[Valor total]]</f>
        <v>0.90584162501719478</v>
      </c>
      <c r="K227" s="1" t="str">
        <f>VLOOKUP(Tabela1[[#This Row],[Cliente]],'BASE DE CLIENTES'!A:D,4,0)</f>
        <v>EMPRESA SEM MAQUINA</v>
      </c>
      <c r="L227" s="1" t="str">
        <f>VLOOKUP(Tabela1[[#This Row],[Cliente]],'BASE DE CLIENTES'!A:E,5,0)</f>
        <v>CEILANDIA NORTE (CEILANDIA)</v>
      </c>
    </row>
    <row r="228" spans="2:12" x14ac:dyDescent="0.3">
      <c r="B228" s="1" t="s">
        <v>116</v>
      </c>
      <c r="C228" s="4" t="str">
        <f>VLOOKUP(Tabela1[[#This Row],[Cliente]],'BASE DE CLIENTES'!A:E,2,0)</f>
        <v>Brasília</v>
      </c>
      <c r="D228" s="1" t="str">
        <f>VLOOKUP(Tabela1[[#This Row],[Cliente]],'BASE DE CLIENTES'!A:C,3,0)</f>
        <v>DF</v>
      </c>
      <c r="E228" s="4" t="str">
        <f>CONCATENATE(Tabela1[[#This Row],[CIDADE]],",",Tabela1[[#This Row],[UF]])</f>
        <v>Brasília,DF</v>
      </c>
      <c r="F228" s="2">
        <v>45771</v>
      </c>
      <c r="G228" s="17">
        <v>1345.02</v>
      </c>
      <c r="H228" s="17">
        <v>2400</v>
      </c>
      <c r="I228" s="6">
        <f>Tabela1[[#This Row],[Valor total]]-Tabela1[[#This Row],[Valor custo]]</f>
        <v>1054.98</v>
      </c>
      <c r="J228" s="7">
        <f>Tabela1[[#This Row],[MARGEM BRUTA]]/Tabela1[[#This Row],[Valor total]]</f>
        <v>0.43957499999999999</v>
      </c>
      <c r="K228" s="1" t="str">
        <f>VLOOKUP(Tabela1[[#This Row],[Cliente]],'BASE DE CLIENTES'!A:D,4,0)</f>
        <v>SEM CLASSIFICAÇÃO</v>
      </c>
      <c r="L228" s="1" t="str">
        <f>VLOOKUP(Tabela1[[#This Row],[Cliente]],'BASE DE CLIENTES'!A:E,5,0)</f>
        <v>VALE DO AMANHECER (PLANALTINA)</v>
      </c>
    </row>
    <row r="229" spans="2:12" x14ac:dyDescent="0.3">
      <c r="B229" s="1" t="s">
        <v>66</v>
      </c>
      <c r="C229" s="4" t="str">
        <f>VLOOKUP(Tabela1[[#This Row],[Cliente]],'BASE DE CLIENTES'!A:E,2,0)</f>
        <v>Águas Lindas de Goiás</v>
      </c>
      <c r="D229" s="1" t="str">
        <f>VLOOKUP(Tabela1[[#This Row],[Cliente]],'BASE DE CLIENTES'!A:C,3,0)</f>
        <v>GO</v>
      </c>
      <c r="E229" s="4" t="str">
        <f>CONCATENATE(Tabela1[[#This Row],[CIDADE]],",",Tabela1[[#This Row],[UF]])</f>
        <v>Águas Lindas de Goiás,GO</v>
      </c>
      <c r="F229" s="2">
        <v>45750</v>
      </c>
      <c r="G229" s="17">
        <v>447</v>
      </c>
      <c r="H229" s="17">
        <v>620</v>
      </c>
      <c r="I229" s="6">
        <f>Tabela1[[#This Row],[Valor total]]-Tabela1[[#This Row],[Valor custo]]</f>
        <v>173</v>
      </c>
      <c r="J229" s="7">
        <f>Tabela1[[#This Row],[MARGEM BRUTA]]/Tabela1[[#This Row],[Valor total]]</f>
        <v>0.27903225806451615</v>
      </c>
      <c r="K229" s="1" t="str">
        <f>VLOOKUP(Tabela1[[#This Row],[Cliente]],'BASE DE CLIENTES'!A:D,4,0)</f>
        <v>EMPRESA COM MAQUINA</v>
      </c>
      <c r="L229" s="1" t="str">
        <f>VLOOKUP(Tabela1[[#This Row],[Cliente]],'BASE DE CLIENTES'!A:E,5,0)</f>
        <v>Águas Lindas de Goiás</v>
      </c>
    </row>
    <row r="230" spans="2:12" x14ac:dyDescent="0.3">
      <c r="B230" s="1" t="s">
        <v>76</v>
      </c>
      <c r="C230" s="4" t="str">
        <f>VLOOKUP(Tabela1[[#This Row],[Cliente]],'BASE DE CLIENTES'!A:E,2,0)</f>
        <v>Brasília</v>
      </c>
      <c r="D230" s="1" t="str">
        <f>VLOOKUP(Tabela1[[#This Row],[Cliente]],'BASE DE CLIENTES'!A:C,3,0)</f>
        <v>DF</v>
      </c>
      <c r="E230" s="4" t="str">
        <f>CONCATENATE(Tabela1[[#This Row],[CIDADE]],",",Tabela1[[#This Row],[UF]])</f>
        <v>Brasília,DF</v>
      </c>
      <c r="F230" s="2">
        <v>45659</v>
      </c>
      <c r="G230" s="17">
        <v>6721.11</v>
      </c>
      <c r="H230" s="17">
        <v>9000</v>
      </c>
      <c r="I230" s="6">
        <f>Tabela1[[#This Row],[Valor total]]-Tabela1[[#This Row],[Valor custo]]</f>
        <v>2278.8900000000003</v>
      </c>
      <c r="J230" s="7">
        <f>Tabela1[[#This Row],[MARGEM BRUTA]]/Tabela1[[#This Row],[Valor total]]</f>
        <v>0.25321000000000005</v>
      </c>
      <c r="K230" s="1" t="str">
        <f>VLOOKUP(Tabela1[[#This Row],[Cliente]],'BASE DE CLIENTES'!A:D,4,0)</f>
        <v>EMPRESA COM MAQUINA</v>
      </c>
      <c r="L230" s="1" t="str">
        <f>VLOOKUP(Tabela1[[#This Row],[Cliente]],'BASE DE CLIENTES'!A:E,5,0)</f>
        <v>Setor Placa da Mercedes (Núcleo Bandeirante)</v>
      </c>
    </row>
    <row r="231" spans="2:12" x14ac:dyDescent="0.3">
      <c r="B231" s="1" t="s">
        <v>109</v>
      </c>
      <c r="C231" s="4" t="str">
        <f>VLOOKUP(Tabela1[[#This Row],[Cliente]],'BASE DE CLIENTES'!A:E,2,0)</f>
        <v>Águas Lindas de Goiás</v>
      </c>
      <c r="D231" s="1" t="str">
        <f>VLOOKUP(Tabela1[[#This Row],[Cliente]],'BASE DE CLIENTES'!A:C,3,0)</f>
        <v>GO</v>
      </c>
      <c r="E231" s="4" t="str">
        <f>CONCATENATE(Tabela1[[#This Row],[CIDADE]],",",Tabela1[[#This Row],[UF]])</f>
        <v>Águas Lindas de Goiás,GO</v>
      </c>
      <c r="F231" s="2">
        <v>45748</v>
      </c>
      <c r="G231" s="17">
        <v>473</v>
      </c>
      <c r="H231" s="17">
        <v>720</v>
      </c>
      <c r="I231" s="6">
        <f>Tabela1[[#This Row],[Valor total]]-Tabela1[[#This Row],[Valor custo]]</f>
        <v>247</v>
      </c>
      <c r="J231" s="7">
        <f>Tabela1[[#This Row],[MARGEM BRUTA]]/Tabela1[[#This Row],[Valor total]]</f>
        <v>0.34305555555555556</v>
      </c>
      <c r="K231" s="1" t="str">
        <f>VLOOKUP(Tabela1[[#This Row],[Cliente]],'BASE DE CLIENTES'!A:D,4,0)</f>
        <v>SERRALHEIRO</v>
      </c>
      <c r="L231" s="1" t="str">
        <f>VLOOKUP(Tabela1[[#This Row],[Cliente]],'BASE DE CLIENTES'!A:E,5,0)</f>
        <v>Águas Lindas de Goiás</v>
      </c>
    </row>
    <row r="232" spans="2:12" x14ac:dyDescent="0.3">
      <c r="B232" s="1" t="s">
        <v>17</v>
      </c>
      <c r="C232" s="4" t="str">
        <f>VLOOKUP(Tabela1[[#This Row],[Cliente]],'BASE DE CLIENTES'!A:E,2,0)</f>
        <v>Águas Lindas de Goiás</v>
      </c>
      <c r="D232" s="1" t="str">
        <f>VLOOKUP(Tabela1[[#This Row],[Cliente]],'BASE DE CLIENTES'!A:C,3,0)</f>
        <v>GO</v>
      </c>
      <c r="E232" s="4" t="str">
        <f>CONCATENATE(Tabela1[[#This Row],[CIDADE]],",",Tabela1[[#This Row],[UF]])</f>
        <v>Águas Lindas de Goiás,GO</v>
      </c>
      <c r="F232" s="2">
        <v>45748</v>
      </c>
      <c r="G232" s="17">
        <v>994</v>
      </c>
      <c r="H232" s="17">
        <v>1570</v>
      </c>
      <c r="I232" s="6">
        <f>Tabela1[[#This Row],[Valor total]]-Tabela1[[#This Row],[Valor custo]]</f>
        <v>576</v>
      </c>
      <c r="J232" s="7">
        <f>Tabela1[[#This Row],[MARGEM BRUTA]]/Tabela1[[#This Row],[Valor total]]</f>
        <v>0.36687898089171972</v>
      </c>
      <c r="K232" s="1" t="str">
        <f>VLOOKUP(Tabela1[[#This Row],[Cliente]],'BASE DE CLIENTES'!A:D,4,0)</f>
        <v>SERRALHEIRO</v>
      </c>
      <c r="L232" s="1" t="str">
        <f>VLOOKUP(Tabela1[[#This Row],[Cliente]],'BASE DE CLIENTES'!A:E,5,0)</f>
        <v>Águas Lindas de Goiás</v>
      </c>
    </row>
    <row r="233" spans="2:12" x14ac:dyDescent="0.3">
      <c r="B233" s="1" t="s">
        <v>66</v>
      </c>
      <c r="C233" s="4" t="str">
        <f>VLOOKUP(Tabela1[[#This Row],[Cliente]],'BASE DE CLIENTES'!A:E,2,0)</f>
        <v>Águas Lindas de Goiás</v>
      </c>
      <c r="D233" s="1" t="str">
        <f>VLOOKUP(Tabela1[[#This Row],[Cliente]],'BASE DE CLIENTES'!A:C,3,0)</f>
        <v>GO</v>
      </c>
      <c r="E233" s="4" t="str">
        <f>CONCATENATE(Tabela1[[#This Row],[CIDADE]],",",Tabela1[[#This Row],[UF]])</f>
        <v>Águas Lindas de Goiás,GO</v>
      </c>
      <c r="F233" s="2">
        <v>45748</v>
      </c>
      <c r="G233" s="17">
        <v>447</v>
      </c>
      <c r="H233" s="17">
        <v>620</v>
      </c>
      <c r="I233" s="6">
        <f>Tabela1[[#This Row],[Valor total]]-Tabela1[[#This Row],[Valor custo]]</f>
        <v>173</v>
      </c>
      <c r="J233" s="7">
        <f>Tabela1[[#This Row],[MARGEM BRUTA]]/Tabela1[[#This Row],[Valor total]]</f>
        <v>0.27903225806451615</v>
      </c>
      <c r="K233" s="1" t="str">
        <f>VLOOKUP(Tabela1[[#This Row],[Cliente]],'BASE DE CLIENTES'!A:D,4,0)</f>
        <v>EMPRESA COM MAQUINA</v>
      </c>
      <c r="L233" s="1" t="str">
        <f>VLOOKUP(Tabela1[[#This Row],[Cliente]],'BASE DE CLIENTES'!A:E,5,0)</f>
        <v>Águas Lindas de Goiás</v>
      </c>
    </row>
    <row r="234" spans="2:12" x14ac:dyDescent="0.3">
      <c r="B234" s="1" t="s">
        <v>97</v>
      </c>
      <c r="C234" s="4" t="str">
        <f>VLOOKUP(Tabela1[[#This Row],[Cliente]],'BASE DE CLIENTES'!A:E,2,0)</f>
        <v>Brasília</v>
      </c>
      <c r="D234" s="1" t="str">
        <f>VLOOKUP(Tabela1[[#This Row],[Cliente]],'BASE DE CLIENTES'!A:C,3,0)</f>
        <v>DF</v>
      </c>
      <c r="E234" s="4" t="str">
        <f>CONCATENATE(Tabela1[[#This Row],[CIDADE]],",",Tabela1[[#This Row],[UF]])</f>
        <v>Brasília,DF</v>
      </c>
      <c r="F234" s="2">
        <v>45659</v>
      </c>
      <c r="G234" s="17">
        <v>496.33</v>
      </c>
      <c r="H234" s="17">
        <v>795</v>
      </c>
      <c r="I234" s="6">
        <f>Tabela1[[#This Row],[Valor total]]-Tabela1[[#This Row],[Valor custo]]</f>
        <v>298.67</v>
      </c>
      <c r="J234" s="7">
        <f>Tabela1[[#This Row],[MARGEM BRUTA]]/Tabela1[[#This Row],[Valor total]]</f>
        <v>0.37568553459119497</v>
      </c>
      <c r="K234" s="1" t="str">
        <f>VLOOKUP(Tabela1[[#This Row],[Cliente]],'BASE DE CLIENTES'!A:D,4,0)</f>
        <v>SERRALHEIRO</v>
      </c>
      <c r="L234" s="1" t="str">
        <f>VLOOKUP(Tabela1[[#This Row],[Cliente]],'BASE DE CLIENTES'!A:E,5,0)</f>
        <v>CEILANDIA NORTE</v>
      </c>
    </row>
    <row r="235" spans="2:12" x14ac:dyDescent="0.3">
      <c r="B235" s="1" t="s">
        <v>49</v>
      </c>
      <c r="C235" s="4" t="str">
        <f>VLOOKUP(Tabela1[[#This Row],[Cliente]],'BASE DE CLIENTES'!A:E,2,0)</f>
        <v>Brasília</v>
      </c>
      <c r="D235" s="1" t="str">
        <f>VLOOKUP(Tabela1[[#This Row],[Cliente]],'BASE DE CLIENTES'!A:C,3,0)</f>
        <v>DF</v>
      </c>
      <c r="E235" s="4" t="str">
        <f>CONCATENATE(Tabela1[[#This Row],[CIDADE]],",",Tabela1[[#This Row],[UF]])</f>
        <v>Brasília,DF</v>
      </c>
      <c r="F235" s="2">
        <v>45659</v>
      </c>
      <c r="G235" s="17">
        <v>571.29999999999995</v>
      </c>
      <c r="H235" s="17">
        <v>1800</v>
      </c>
      <c r="I235" s="6">
        <f>Tabela1[[#This Row],[Valor total]]-Tabela1[[#This Row],[Valor custo]]</f>
        <v>1228.7</v>
      </c>
      <c r="J235" s="7">
        <f>Tabela1[[#This Row],[MARGEM BRUTA]]/Tabela1[[#This Row],[Valor total]]</f>
        <v>0.68261111111111117</v>
      </c>
      <c r="K235" s="1" t="str">
        <f>VLOOKUP(Tabela1[[#This Row],[Cliente]],'BASE DE CLIENTES'!A:D,4,0)</f>
        <v>EMPRESA COM MAQUINA</v>
      </c>
      <c r="L235" s="1" t="str">
        <f>VLOOKUP(Tabela1[[#This Row],[Cliente]],'BASE DE CLIENTES'!A:E,5,0)</f>
        <v>TAGUATINGA</v>
      </c>
    </row>
    <row r="236" spans="2:12" x14ac:dyDescent="0.3">
      <c r="B236" s="1" t="s">
        <v>66</v>
      </c>
      <c r="C236" s="4" t="str">
        <f>VLOOKUP(Tabela1[[#This Row],[Cliente]],'BASE DE CLIENTES'!A:E,2,0)</f>
        <v>Águas Lindas de Goiás</v>
      </c>
      <c r="D236" s="1" t="str">
        <f>VLOOKUP(Tabela1[[#This Row],[Cliente]],'BASE DE CLIENTES'!A:C,3,0)</f>
        <v>GO</v>
      </c>
      <c r="E236" s="4" t="str">
        <f>CONCATENATE(Tabela1[[#This Row],[CIDADE]],",",Tabela1[[#This Row],[UF]])</f>
        <v>Águas Lindas de Goiás,GO</v>
      </c>
      <c r="F236" s="2">
        <v>45748</v>
      </c>
      <c r="G236" s="17">
        <v>894</v>
      </c>
      <c r="H236" s="17">
        <v>1240</v>
      </c>
      <c r="I236" s="6">
        <f>Tabela1[[#This Row],[Valor total]]-Tabela1[[#This Row],[Valor custo]]</f>
        <v>346</v>
      </c>
      <c r="J236" s="7">
        <f>Tabela1[[#This Row],[MARGEM BRUTA]]/Tabela1[[#This Row],[Valor total]]</f>
        <v>0.27903225806451615</v>
      </c>
      <c r="K236" s="1" t="str">
        <f>VLOOKUP(Tabela1[[#This Row],[Cliente]],'BASE DE CLIENTES'!A:D,4,0)</f>
        <v>EMPRESA COM MAQUINA</v>
      </c>
      <c r="L236" s="1" t="str">
        <f>VLOOKUP(Tabela1[[#This Row],[Cliente]],'BASE DE CLIENTES'!A:E,5,0)</f>
        <v>Águas Lindas de Goiás</v>
      </c>
    </row>
    <row r="237" spans="2:12" x14ac:dyDescent="0.3">
      <c r="B237" s="1" t="s">
        <v>66</v>
      </c>
      <c r="C237" s="4" t="str">
        <f>VLOOKUP(Tabela1[[#This Row],[Cliente]],'BASE DE CLIENTES'!A:E,2,0)</f>
        <v>Águas Lindas de Goiás</v>
      </c>
      <c r="D237" s="1" t="str">
        <f>VLOOKUP(Tabela1[[#This Row],[Cliente]],'BASE DE CLIENTES'!A:C,3,0)</f>
        <v>GO</v>
      </c>
      <c r="E237" s="4" t="str">
        <f>CONCATENATE(Tabela1[[#This Row],[CIDADE]],",",Tabela1[[#This Row],[UF]])</f>
        <v>Águas Lindas de Goiás,GO</v>
      </c>
      <c r="F237" s="2">
        <v>45807</v>
      </c>
      <c r="G237" s="17">
        <v>994</v>
      </c>
      <c r="H237" s="17">
        <v>1360</v>
      </c>
      <c r="I237" s="6">
        <f>Tabela1[[#This Row],[Valor total]]-Tabela1[[#This Row],[Valor custo]]</f>
        <v>366</v>
      </c>
      <c r="J237" s="7">
        <f>Tabela1[[#This Row],[MARGEM BRUTA]]/Tabela1[[#This Row],[Valor total]]</f>
        <v>0.26911764705882352</v>
      </c>
      <c r="K237" s="1" t="str">
        <f>VLOOKUP(Tabela1[[#This Row],[Cliente]],'BASE DE CLIENTES'!A:D,4,0)</f>
        <v>EMPRESA COM MAQUINA</v>
      </c>
      <c r="L237" s="1" t="str">
        <f>VLOOKUP(Tabela1[[#This Row],[Cliente]],'BASE DE CLIENTES'!A:E,5,0)</f>
        <v>Águas Lindas de Goiás</v>
      </c>
    </row>
    <row r="238" spans="2:12" x14ac:dyDescent="0.3">
      <c r="B238" s="1" t="s">
        <v>66</v>
      </c>
      <c r="C238" s="4" t="str">
        <f>VLOOKUP(Tabela1[[#This Row],[Cliente]],'BASE DE CLIENTES'!A:E,2,0)</f>
        <v>Águas Lindas de Goiás</v>
      </c>
      <c r="D238" s="1" t="str">
        <f>VLOOKUP(Tabela1[[#This Row],[Cliente]],'BASE DE CLIENTES'!A:C,3,0)</f>
        <v>GO</v>
      </c>
      <c r="E238" s="4" t="str">
        <f>CONCATENATE(Tabela1[[#This Row],[CIDADE]],",",Tabela1[[#This Row],[UF]])</f>
        <v>Águas Lindas de Goiás,GO</v>
      </c>
      <c r="F238" s="2">
        <v>45806</v>
      </c>
      <c r="G238" s="17">
        <v>1341</v>
      </c>
      <c r="H238" s="17">
        <v>1860</v>
      </c>
      <c r="I238" s="6">
        <f>Tabela1[[#This Row],[Valor total]]-Tabela1[[#This Row],[Valor custo]]</f>
        <v>519</v>
      </c>
      <c r="J238" s="7">
        <f>Tabela1[[#This Row],[MARGEM BRUTA]]/Tabela1[[#This Row],[Valor total]]</f>
        <v>0.27903225806451615</v>
      </c>
      <c r="K238" s="1" t="str">
        <f>VLOOKUP(Tabela1[[#This Row],[Cliente]],'BASE DE CLIENTES'!A:D,4,0)</f>
        <v>EMPRESA COM MAQUINA</v>
      </c>
      <c r="L238" s="1" t="str">
        <f>VLOOKUP(Tabela1[[#This Row],[Cliente]],'BASE DE CLIENTES'!A:E,5,0)</f>
        <v>Águas Lindas de Goiás</v>
      </c>
    </row>
    <row r="239" spans="2:12" x14ac:dyDescent="0.3">
      <c r="B239" s="1" t="s">
        <v>113</v>
      </c>
      <c r="C239" s="4" t="str">
        <f>VLOOKUP(Tabela1[[#This Row],[Cliente]],'BASE DE CLIENTES'!A:E,2,0)</f>
        <v>Brasília</v>
      </c>
      <c r="D239" s="1" t="str">
        <f>VLOOKUP(Tabela1[[#This Row],[Cliente]],'BASE DE CLIENTES'!A:C,3,0)</f>
        <v>DF</v>
      </c>
      <c r="E239" s="4" t="str">
        <f>CONCATENATE(Tabela1[[#This Row],[CIDADE]],",",Tabela1[[#This Row],[UF]])</f>
        <v>Brasília,DF</v>
      </c>
      <c r="F239" s="2">
        <v>45659</v>
      </c>
      <c r="G239" s="17">
        <v>514.45000000000005</v>
      </c>
      <c r="H239" s="17">
        <v>720</v>
      </c>
      <c r="I239" s="6">
        <f>Tabela1[[#This Row],[Valor total]]-Tabela1[[#This Row],[Valor custo]]</f>
        <v>205.54999999999995</v>
      </c>
      <c r="J239" s="7">
        <f>Tabela1[[#This Row],[MARGEM BRUTA]]/Tabela1[[#This Row],[Valor total]]</f>
        <v>0.28548611111111105</v>
      </c>
      <c r="K239" s="1" t="str">
        <f>VLOOKUP(Tabela1[[#This Row],[Cliente]],'BASE DE CLIENTES'!A:D,4,0)</f>
        <v>EMPRESA COM MAQUINA</v>
      </c>
      <c r="L239" s="1" t="str">
        <f>VLOOKUP(Tabela1[[#This Row],[Cliente]],'BASE DE CLIENTES'!A:E,5,0)</f>
        <v>FAZENDA MESTRE D'ARMAS (ETAPA I - PLANALTINA)</v>
      </c>
    </row>
    <row r="240" spans="2:12" x14ac:dyDescent="0.3">
      <c r="B240" s="1" t="s">
        <v>66</v>
      </c>
      <c r="C240" s="4" t="str">
        <f>VLOOKUP(Tabela1[[#This Row],[Cliente]],'BASE DE CLIENTES'!A:E,2,0)</f>
        <v>Águas Lindas de Goiás</v>
      </c>
      <c r="D240" s="1" t="str">
        <f>VLOOKUP(Tabela1[[#This Row],[Cliente]],'BASE DE CLIENTES'!A:C,3,0)</f>
        <v>GO</v>
      </c>
      <c r="E240" s="4" t="str">
        <f>CONCATENATE(Tabela1[[#This Row],[CIDADE]],",",Tabela1[[#This Row],[UF]])</f>
        <v>Águas Lindas de Goiás,GO</v>
      </c>
      <c r="F240" s="2">
        <v>45804</v>
      </c>
      <c r="G240" s="17">
        <v>894</v>
      </c>
      <c r="H240" s="17">
        <v>1240</v>
      </c>
      <c r="I240" s="6">
        <f>Tabela1[[#This Row],[Valor total]]-Tabela1[[#This Row],[Valor custo]]</f>
        <v>346</v>
      </c>
      <c r="J240" s="7">
        <f>Tabela1[[#This Row],[MARGEM BRUTA]]/Tabela1[[#This Row],[Valor total]]</f>
        <v>0.27903225806451615</v>
      </c>
      <c r="K240" s="1" t="str">
        <f>VLOOKUP(Tabela1[[#This Row],[Cliente]],'BASE DE CLIENTES'!A:D,4,0)</f>
        <v>EMPRESA COM MAQUINA</v>
      </c>
      <c r="L240" s="1" t="str">
        <f>VLOOKUP(Tabela1[[#This Row],[Cliente]],'BASE DE CLIENTES'!A:E,5,0)</f>
        <v>Águas Lindas de Goiás</v>
      </c>
    </row>
    <row r="241" spans="2:12" x14ac:dyDescent="0.3">
      <c r="B241" s="1" t="s">
        <v>97</v>
      </c>
      <c r="C241" s="4" t="str">
        <f>VLOOKUP(Tabela1[[#This Row],[Cliente]],'BASE DE CLIENTES'!A:E,2,0)</f>
        <v>Brasília</v>
      </c>
      <c r="D241" s="1" t="str">
        <f>VLOOKUP(Tabela1[[#This Row],[Cliente]],'BASE DE CLIENTES'!A:C,3,0)</f>
        <v>DF</v>
      </c>
      <c r="E241" s="4" t="str">
        <f>CONCATENATE(Tabela1[[#This Row],[CIDADE]],",",Tabela1[[#This Row],[UF]])</f>
        <v>Brasília,DF</v>
      </c>
      <c r="F241" s="2">
        <v>45716</v>
      </c>
      <c r="G241" s="17">
        <v>57.13</v>
      </c>
      <c r="H241" s="17">
        <v>180</v>
      </c>
      <c r="I241" s="6">
        <f>Tabela1[[#This Row],[Valor total]]-Tabela1[[#This Row],[Valor custo]]</f>
        <v>122.87</v>
      </c>
      <c r="J241" s="7">
        <f>Tabela1[[#This Row],[MARGEM BRUTA]]/Tabela1[[#This Row],[Valor total]]</f>
        <v>0.68261111111111117</v>
      </c>
      <c r="K241" s="1" t="str">
        <f>VLOOKUP(Tabela1[[#This Row],[Cliente]],'BASE DE CLIENTES'!A:D,4,0)</f>
        <v>SERRALHEIRO</v>
      </c>
      <c r="L241" s="1" t="str">
        <f>VLOOKUP(Tabela1[[#This Row],[Cliente]],'BASE DE CLIENTES'!A:E,5,0)</f>
        <v>CEILANDIA NORTE</v>
      </c>
    </row>
    <row r="242" spans="2:12" x14ac:dyDescent="0.3">
      <c r="B242" s="1" t="s">
        <v>27</v>
      </c>
      <c r="C242" s="4" t="str">
        <f>VLOOKUP(Tabela1[[#This Row],[Cliente]],'BASE DE CLIENTES'!A:E,2,0)</f>
        <v>Brasília</v>
      </c>
      <c r="D242" s="1" t="str">
        <f>VLOOKUP(Tabela1[[#This Row],[Cliente]],'BASE DE CLIENTES'!A:C,3,0)</f>
        <v>DF</v>
      </c>
      <c r="E242" s="4" t="str">
        <f>CONCATENATE(Tabela1[[#This Row],[CIDADE]],",",Tabela1[[#This Row],[UF]])</f>
        <v>Brasília,DF</v>
      </c>
      <c r="F242" s="2">
        <v>45716</v>
      </c>
      <c r="G242" s="17">
        <v>25</v>
      </c>
      <c r="H242" s="17">
        <v>30</v>
      </c>
      <c r="I242" s="6">
        <f>Tabela1[[#This Row],[Valor total]]-Tabela1[[#This Row],[Valor custo]]</f>
        <v>5</v>
      </c>
      <c r="J242" s="7">
        <f>Tabela1[[#This Row],[MARGEM BRUTA]]/Tabela1[[#This Row],[Valor total]]</f>
        <v>0.16666666666666666</v>
      </c>
      <c r="K242" s="1" t="str">
        <f>VLOOKUP(Tabela1[[#This Row],[Cliente]],'BASE DE CLIENTES'!A:D,4,0)</f>
        <v>EMPRESA SEM MAQUINA</v>
      </c>
      <c r="L242" s="1" t="str">
        <f>VLOOKUP(Tabela1[[#This Row],[Cliente]],'BASE DE CLIENTES'!A:E,5,0)</f>
        <v>RECANTO DAS EMAS</v>
      </c>
    </row>
    <row r="243" spans="2:12" x14ac:dyDescent="0.3">
      <c r="B243" s="1" t="s">
        <v>15</v>
      </c>
      <c r="C243" s="4" t="str">
        <f>VLOOKUP(Tabela1[[#This Row],[Cliente]],'BASE DE CLIENTES'!A:E,2,0)</f>
        <v>Brasília</v>
      </c>
      <c r="D243" s="1" t="str">
        <f>VLOOKUP(Tabela1[[#This Row],[Cliente]],'BASE DE CLIENTES'!A:C,3,0)</f>
        <v>DF</v>
      </c>
      <c r="E243" s="4" t="str">
        <f>CONCATENATE(Tabela1[[#This Row],[CIDADE]],",",Tabela1[[#This Row],[UF]])</f>
        <v>Brasília,DF</v>
      </c>
      <c r="F243" s="2">
        <v>45716</v>
      </c>
      <c r="G243" s="17">
        <v>74.28</v>
      </c>
      <c r="H243" s="17">
        <v>107.25</v>
      </c>
      <c r="I243" s="6">
        <f>Tabela1[[#This Row],[Valor total]]-Tabela1[[#This Row],[Valor custo]]</f>
        <v>32.97</v>
      </c>
      <c r="J243" s="7">
        <f>Tabela1[[#This Row],[MARGEM BRUTA]]/Tabela1[[#This Row],[Valor total]]</f>
        <v>0.30741258741258742</v>
      </c>
      <c r="K243" s="1" t="str">
        <f>VLOOKUP(Tabela1[[#This Row],[Cliente]],'BASE DE CLIENTES'!A:D,4,0)</f>
        <v>SERRALHEIRO</v>
      </c>
      <c r="L243" s="1" t="str">
        <f>VLOOKUP(Tabela1[[#This Row],[Cliente]],'BASE DE CLIENTES'!A:E,5,0)</f>
        <v>SETOR HABITACIONAL VICENTE PIRES</v>
      </c>
    </row>
    <row r="244" spans="2:12" x14ac:dyDescent="0.3">
      <c r="B244" s="1" t="s">
        <v>27</v>
      </c>
      <c r="C244" s="4" t="str">
        <f>VLOOKUP(Tabela1[[#This Row],[Cliente]],'BASE DE CLIENTES'!A:E,2,0)</f>
        <v>Brasília</v>
      </c>
      <c r="D244" s="1" t="str">
        <f>VLOOKUP(Tabela1[[#This Row],[Cliente]],'BASE DE CLIENTES'!A:C,3,0)</f>
        <v>DF</v>
      </c>
      <c r="E244" s="4" t="str">
        <f>CONCATENATE(Tabela1[[#This Row],[CIDADE]],",",Tabela1[[#This Row],[UF]])</f>
        <v>Brasília,DF</v>
      </c>
      <c r="F244" s="2">
        <v>45716</v>
      </c>
      <c r="G244" s="17">
        <v>1468.1</v>
      </c>
      <c r="H244" s="17">
        <v>1800</v>
      </c>
      <c r="I244" s="6">
        <f>Tabela1[[#This Row],[Valor total]]-Tabela1[[#This Row],[Valor custo]]</f>
        <v>331.90000000000009</v>
      </c>
      <c r="J244" s="7">
        <f>Tabela1[[#This Row],[MARGEM BRUTA]]/Tabela1[[#This Row],[Valor total]]</f>
        <v>0.18438888888888894</v>
      </c>
      <c r="K244" s="1" t="str">
        <f>VLOOKUP(Tabela1[[#This Row],[Cliente]],'BASE DE CLIENTES'!A:D,4,0)</f>
        <v>EMPRESA SEM MAQUINA</v>
      </c>
      <c r="L244" s="1" t="str">
        <f>VLOOKUP(Tabela1[[#This Row],[Cliente]],'BASE DE CLIENTES'!A:E,5,0)</f>
        <v>RECANTO DAS EMAS</v>
      </c>
    </row>
    <row r="245" spans="2:12" x14ac:dyDescent="0.3">
      <c r="B245" s="1" t="s">
        <v>76</v>
      </c>
      <c r="C245" s="4" t="str">
        <f>VLOOKUP(Tabela1[[#This Row],[Cliente]],'BASE DE CLIENTES'!A:E,2,0)</f>
        <v>Brasília</v>
      </c>
      <c r="D245" s="1" t="str">
        <f>VLOOKUP(Tabela1[[#This Row],[Cliente]],'BASE DE CLIENTES'!A:C,3,0)</f>
        <v>DF</v>
      </c>
      <c r="E245" s="4" t="str">
        <f>CONCATENATE(Tabela1[[#This Row],[CIDADE]],",",Tabela1[[#This Row],[UF]])</f>
        <v>Brasília,DF</v>
      </c>
      <c r="F245" s="2">
        <v>45716</v>
      </c>
      <c r="G245" s="17">
        <v>7165.75</v>
      </c>
      <c r="H245" s="17">
        <v>9490</v>
      </c>
      <c r="I245" s="6">
        <f>Tabela1[[#This Row],[Valor total]]-Tabela1[[#This Row],[Valor custo]]</f>
        <v>2324.25</v>
      </c>
      <c r="J245" s="7">
        <f>Tabela1[[#This Row],[MARGEM BRUTA]]/Tabela1[[#This Row],[Valor total]]</f>
        <v>0.24491570073761854</v>
      </c>
      <c r="K245" s="1" t="str">
        <f>VLOOKUP(Tabela1[[#This Row],[Cliente]],'BASE DE CLIENTES'!A:D,4,0)</f>
        <v>EMPRESA COM MAQUINA</v>
      </c>
      <c r="L245" s="1" t="str">
        <f>VLOOKUP(Tabela1[[#This Row],[Cliente]],'BASE DE CLIENTES'!A:E,5,0)</f>
        <v>Setor Placa da Mercedes (Núcleo Bandeirante)</v>
      </c>
    </row>
    <row r="246" spans="2:12" x14ac:dyDescent="0.3">
      <c r="B246" s="1" t="s">
        <v>102</v>
      </c>
      <c r="C246" s="4" t="str">
        <f>VLOOKUP(Tabela1[[#This Row],[Cliente]],'BASE DE CLIENTES'!A:E,2,0)</f>
        <v>Brasília</v>
      </c>
      <c r="D246" s="1" t="str">
        <f>VLOOKUP(Tabela1[[#This Row],[Cliente]],'BASE DE CLIENTES'!A:C,3,0)</f>
        <v>DF</v>
      </c>
      <c r="E246" s="4" t="str">
        <f>CONCATENATE(Tabela1[[#This Row],[CIDADE]],",",Tabela1[[#This Row],[UF]])</f>
        <v>Brasília,DF</v>
      </c>
      <c r="F246" s="2">
        <v>45716</v>
      </c>
      <c r="G246" s="17">
        <v>548.47</v>
      </c>
      <c r="H246" s="17">
        <v>840</v>
      </c>
      <c r="I246" s="6">
        <f>Tabela1[[#This Row],[Valor total]]-Tabela1[[#This Row],[Valor custo]]</f>
        <v>291.52999999999997</v>
      </c>
      <c r="J246" s="7">
        <f>Tabela1[[#This Row],[MARGEM BRUTA]]/Tabela1[[#This Row],[Valor total]]</f>
        <v>0.34705952380952376</v>
      </c>
      <c r="K246" s="1" t="str">
        <f>VLOOKUP(Tabela1[[#This Row],[Cliente]],'BASE DE CLIENTES'!A:D,4,0)</f>
        <v>SERRALHEIRO</v>
      </c>
      <c r="L246" s="1" t="str">
        <f>VLOOKUP(Tabela1[[#This Row],[Cliente]],'BASE DE CLIENTES'!A:E,5,0)</f>
        <v>Samambaia Norte (Samambaia)</v>
      </c>
    </row>
    <row r="247" spans="2:12" x14ac:dyDescent="0.3">
      <c r="B247" s="1" t="s">
        <v>96</v>
      </c>
      <c r="C247" s="4" t="str">
        <f>VLOOKUP(Tabela1[[#This Row],[Cliente]],'BASE DE CLIENTES'!A:E,2,0)</f>
        <v>Brasília</v>
      </c>
      <c r="D247" s="1" t="str">
        <f>VLOOKUP(Tabela1[[#This Row],[Cliente]],'BASE DE CLIENTES'!A:C,3,0)</f>
        <v>DF</v>
      </c>
      <c r="E247" s="4" t="str">
        <f>CONCATENATE(Tabela1[[#This Row],[CIDADE]],",",Tabela1[[#This Row],[UF]])</f>
        <v>Brasília,DF</v>
      </c>
      <c r="F247" s="2">
        <v>45716</v>
      </c>
      <c r="G247" s="17">
        <v>909.72</v>
      </c>
      <c r="H247" s="17">
        <v>1345</v>
      </c>
      <c r="I247" s="6">
        <f>Tabela1[[#This Row],[Valor total]]-Tabela1[[#This Row],[Valor custo]]</f>
        <v>435.28</v>
      </c>
      <c r="J247" s="7">
        <f>Tabela1[[#This Row],[MARGEM BRUTA]]/Tabela1[[#This Row],[Valor total]]</f>
        <v>0.32362825278810409</v>
      </c>
      <c r="K247" s="1" t="str">
        <f>VLOOKUP(Tabela1[[#This Row],[Cliente]],'BASE DE CLIENTES'!A:D,4,0)</f>
        <v>EMPRESA SEM MAQUINA</v>
      </c>
      <c r="L247" s="1" t="str">
        <f>VLOOKUP(Tabela1[[#This Row],[Cliente]],'BASE DE CLIENTES'!A:E,5,0)</f>
        <v>CEILANDIA NORTE (CEILANDIA)</v>
      </c>
    </row>
    <row r="248" spans="2:12" x14ac:dyDescent="0.3">
      <c r="B248" s="1" t="s">
        <v>68</v>
      </c>
      <c r="C248" s="4" t="str">
        <f>VLOOKUP(Tabela1[[#This Row],[Cliente]],'BASE DE CLIENTES'!A:E,2,0)</f>
        <v>Brasília</v>
      </c>
      <c r="D248" s="1" t="str">
        <f>VLOOKUP(Tabela1[[#This Row],[Cliente]],'BASE DE CLIENTES'!A:C,3,0)</f>
        <v>DF</v>
      </c>
      <c r="E248" s="4" t="str">
        <f>CONCATENATE(Tabela1[[#This Row],[CIDADE]],",",Tabela1[[#This Row],[UF]])</f>
        <v>Brasília,DF</v>
      </c>
      <c r="F248" s="2">
        <v>45716</v>
      </c>
      <c r="G248" s="17">
        <v>268.45999999999998</v>
      </c>
      <c r="H248" s="17">
        <v>550</v>
      </c>
      <c r="I248" s="6">
        <f>Tabela1[[#This Row],[Valor total]]-Tabela1[[#This Row],[Valor custo]]</f>
        <v>281.54000000000002</v>
      </c>
      <c r="J248" s="7">
        <f>Tabela1[[#This Row],[MARGEM BRUTA]]/Tabela1[[#This Row],[Valor total]]</f>
        <v>0.51189090909090917</v>
      </c>
      <c r="K248" s="1" t="str">
        <f>VLOOKUP(Tabela1[[#This Row],[Cliente]],'BASE DE CLIENTES'!A:D,4,0)</f>
        <v>EMPRESA COM MAQUINA</v>
      </c>
      <c r="L248" s="1" t="str">
        <f>VLOOKUP(Tabela1[[#This Row],[Cliente]],'BASE DE CLIENTES'!A:E,5,0)</f>
        <v>SAMAMBAIA SUL (SAMAMBAIA)</v>
      </c>
    </row>
    <row r="249" spans="2:12" x14ac:dyDescent="0.3">
      <c r="B249" s="1" t="s">
        <v>19</v>
      </c>
      <c r="C249" s="4" t="str">
        <f>VLOOKUP(Tabela1[[#This Row],[Cliente]],'BASE DE CLIENTES'!A:E,2,0)</f>
        <v>Águas Lindas de Goiás</v>
      </c>
      <c r="D249" s="1" t="str">
        <f>VLOOKUP(Tabela1[[#This Row],[Cliente]],'BASE DE CLIENTES'!A:C,3,0)</f>
        <v>GO</v>
      </c>
      <c r="E249" s="4" t="str">
        <f>CONCATENATE(Tabela1[[#This Row],[CIDADE]],",",Tabela1[[#This Row],[UF]])</f>
        <v>Águas Lindas de Goiás,GO</v>
      </c>
      <c r="F249" s="2">
        <v>45804</v>
      </c>
      <c r="G249" s="17">
        <v>917.88</v>
      </c>
      <c r="H249" s="17">
        <v>1320</v>
      </c>
      <c r="I249" s="6">
        <f>Tabela1[[#This Row],[Valor total]]-Tabela1[[#This Row],[Valor custo]]</f>
        <v>402.12</v>
      </c>
      <c r="J249" s="7">
        <f>Tabela1[[#This Row],[MARGEM BRUTA]]/Tabela1[[#This Row],[Valor total]]</f>
        <v>0.30463636363636365</v>
      </c>
      <c r="K249" s="1" t="str">
        <f>VLOOKUP(Tabela1[[#This Row],[Cliente]],'BASE DE CLIENTES'!A:D,4,0)</f>
        <v>SERRALHEIRO</v>
      </c>
      <c r="L249" s="1" t="str">
        <f>VLOOKUP(Tabela1[[#This Row],[Cliente]],'BASE DE CLIENTES'!A:E,5,0)</f>
        <v>Águas Lindas de Goiás</v>
      </c>
    </row>
    <row r="250" spans="2:12" x14ac:dyDescent="0.3">
      <c r="B250" s="1" t="s">
        <v>66</v>
      </c>
      <c r="C250" s="4" t="str">
        <f>VLOOKUP(Tabela1[[#This Row],[Cliente]],'BASE DE CLIENTES'!A:E,2,0)</f>
        <v>Águas Lindas de Goiás</v>
      </c>
      <c r="D250" s="1" t="str">
        <f>VLOOKUP(Tabela1[[#This Row],[Cliente]],'BASE DE CLIENTES'!A:C,3,0)</f>
        <v>GO</v>
      </c>
      <c r="E250" s="4" t="str">
        <f>CONCATENATE(Tabela1[[#This Row],[CIDADE]],",",Tabela1[[#This Row],[UF]])</f>
        <v>Águas Lindas de Goiás,GO</v>
      </c>
      <c r="F250" s="2">
        <v>45800</v>
      </c>
      <c r="G250" s="17">
        <v>1473.5</v>
      </c>
      <c r="H250" s="17">
        <v>2105</v>
      </c>
      <c r="I250" s="6">
        <f>Tabela1[[#This Row],[Valor total]]-Tabela1[[#This Row],[Valor custo]]</f>
        <v>631.5</v>
      </c>
      <c r="J250" s="7">
        <f>Tabela1[[#This Row],[MARGEM BRUTA]]/Tabela1[[#This Row],[Valor total]]</f>
        <v>0.3</v>
      </c>
      <c r="K250" s="1" t="str">
        <f>VLOOKUP(Tabela1[[#This Row],[Cliente]],'BASE DE CLIENTES'!A:D,4,0)</f>
        <v>EMPRESA COM MAQUINA</v>
      </c>
      <c r="L250" s="1" t="str">
        <f>VLOOKUP(Tabela1[[#This Row],[Cliente]],'BASE DE CLIENTES'!A:E,5,0)</f>
        <v>Águas Lindas de Goiás</v>
      </c>
    </row>
    <row r="251" spans="2:12" x14ac:dyDescent="0.3">
      <c r="B251" s="1" t="s">
        <v>21</v>
      </c>
      <c r="C251" s="4" t="str">
        <f>VLOOKUP(Tabela1[[#This Row],[Cliente]],'BASE DE CLIENTES'!A:E,2,0)</f>
        <v>Brasília</v>
      </c>
      <c r="D251" s="1" t="str">
        <f>VLOOKUP(Tabela1[[#This Row],[Cliente]],'BASE DE CLIENTES'!A:C,3,0)</f>
        <v>DF</v>
      </c>
      <c r="E251" s="4" t="str">
        <f>CONCATENATE(Tabela1[[#This Row],[CIDADE]],",",Tabela1[[#This Row],[UF]])</f>
        <v>Brasília,DF</v>
      </c>
      <c r="F251" s="2">
        <v>45679</v>
      </c>
      <c r="G251" s="17">
        <v>1492.28</v>
      </c>
      <c r="H251" s="17">
        <v>2220</v>
      </c>
      <c r="I251" s="6">
        <f>Tabela1[[#This Row],[Valor total]]-Tabela1[[#This Row],[Valor custo]]</f>
        <v>727.72</v>
      </c>
      <c r="J251" s="7">
        <f>Tabela1[[#This Row],[MARGEM BRUTA]]/Tabela1[[#This Row],[Valor total]]</f>
        <v>0.3278018018018018</v>
      </c>
      <c r="K251" s="1" t="str">
        <f>VLOOKUP(Tabela1[[#This Row],[Cliente]],'BASE DE CLIENTES'!A:D,4,0)</f>
        <v>EMPRESA COM MAQUINA</v>
      </c>
      <c r="L251" s="1" t="str">
        <f>VLOOKUP(Tabela1[[#This Row],[Cliente]],'BASE DE CLIENTES'!A:E,5,0)</f>
        <v>RIACHO FUNDO II</v>
      </c>
    </row>
    <row r="252" spans="2:12" x14ac:dyDescent="0.3">
      <c r="B252" s="1" t="s">
        <v>97</v>
      </c>
      <c r="C252" s="4" t="str">
        <f>VLOOKUP(Tabela1[[#This Row],[Cliente]],'BASE DE CLIENTES'!A:E,2,0)</f>
        <v>Brasília</v>
      </c>
      <c r="D252" s="1" t="str">
        <f>VLOOKUP(Tabela1[[#This Row],[Cliente]],'BASE DE CLIENTES'!A:C,3,0)</f>
        <v>DF</v>
      </c>
      <c r="E252" s="4" t="str">
        <f>CONCATENATE(Tabela1[[#This Row],[CIDADE]],",",Tabela1[[#This Row],[UF]])</f>
        <v>Brasília,DF</v>
      </c>
      <c r="F252" s="2">
        <v>45716</v>
      </c>
      <c r="G252" s="17">
        <v>547.45000000000005</v>
      </c>
      <c r="H252" s="17">
        <v>870</v>
      </c>
      <c r="I252" s="6">
        <f>Tabela1[[#This Row],[Valor total]]-Tabela1[[#This Row],[Valor custo]]</f>
        <v>322.54999999999995</v>
      </c>
      <c r="J252" s="7">
        <f>Tabela1[[#This Row],[MARGEM BRUTA]]/Tabela1[[#This Row],[Valor total]]</f>
        <v>0.37074712643678154</v>
      </c>
      <c r="K252" s="1" t="str">
        <f>VLOOKUP(Tabela1[[#This Row],[Cliente]],'BASE DE CLIENTES'!A:D,4,0)</f>
        <v>SERRALHEIRO</v>
      </c>
      <c r="L252" s="1" t="str">
        <f>VLOOKUP(Tabela1[[#This Row],[Cliente]],'BASE DE CLIENTES'!A:E,5,0)</f>
        <v>CEILANDIA NORTE</v>
      </c>
    </row>
    <row r="253" spans="2:12" x14ac:dyDescent="0.3">
      <c r="B253" s="1" t="s">
        <v>42</v>
      </c>
      <c r="C253" s="4" t="str">
        <f>VLOOKUP(Tabela1[[#This Row],[Cliente]],'BASE DE CLIENTES'!A:E,2,0)</f>
        <v>Brasília</v>
      </c>
      <c r="D253" s="1" t="str">
        <f>VLOOKUP(Tabela1[[#This Row],[Cliente]],'BASE DE CLIENTES'!A:C,3,0)</f>
        <v>DF</v>
      </c>
      <c r="E253" s="4" t="str">
        <f>CONCATENATE(Tabela1[[#This Row],[CIDADE]],",",Tabela1[[#This Row],[UF]])</f>
        <v>Brasília,DF</v>
      </c>
      <c r="F253" s="2">
        <v>45715</v>
      </c>
      <c r="G253" s="17">
        <v>1982.55</v>
      </c>
      <c r="H253" s="17">
        <v>2690</v>
      </c>
      <c r="I253" s="6">
        <f>Tabela1[[#This Row],[Valor total]]-Tabela1[[#This Row],[Valor custo]]</f>
        <v>707.45</v>
      </c>
      <c r="J253" s="7">
        <f>Tabela1[[#This Row],[MARGEM BRUTA]]/Tabela1[[#This Row],[Valor total]]</f>
        <v>0.26299256505576207</v>
      </c>
      <c r="K253" s="1" t="str">
        <f>VLOOKUP(Tabela1[[#This Row],[Cliente]],'BASE DE CLIENTES'!A:D,4,0)</f>
        <v>EMPRESA SEM MAQUINA</v>
      </c>
      <c r="L253" s="1" t="str">
        <f>VLOOKUP(Tabela1[[#This Row],[Cliente]],'BASE DE CLIENTES'!A:E,5,0)</f>
        <v>SAMAMBAIA</v>
      </c>
    </row>
    <row r="254" spans="2:12" x14ac:dyDescent="0.3">
      <c r="B254" s="1" t="s">
        <v>106</v>
      </c>
      <c r="C254" s="4" t="str">
        <f>VLOOKUP(Tabela1[[#This Row],[Cliente]],'BASE DE CLIENTES'!A:E,2,0)</f>
        <v>Brasília</v>
      </c>
      <c r="D254" s="1" t="str">
        <f>VLOOKUP(Tabela1[[#This Row],[Cliente]],'BASE DE CLIENTES'!A:C,3,0)</f>
        <v>DF</v>
      </c>
      <c r="E254" s="4" t="str">
        <f>CONCATENATE(Tabela1[[#This Row],[CIDADE]],",",Tabela1[[#This Row],[UF]])</f>
        <v>Brasília,DF</v>
      </c>
      <c r="F254" s="2">
        <v>45715</v>
      </c>
      <c r="G254" s="17">
        <v>4632.5</v>
      </c>
      <c r="H254" s="17">
        <v>6520</v>
      </c>
      <c r="I254" s="6">
        <f>Tabela1[[#This Row],[Valor total]]-Tabela1[[#This Row],[Valor custo]]</f>
        <v>1887.5</v>
      </c>
      <c r="J254" s="7">
        <f>Tabela1[[#This Row],[MARGEM BRUTA]]/Tabela1[[#This Row],[Valor total]]</f>
        <v>0.28949386503067487</v>
      </c>
      <c r="K254" s="1" t="str">
        <f>VLOOKUP(Tabela1[[#This Row],[Cliente]],'BASE DE CLIENTES'!A:D,4,0)</f>
        <v>EMPRESA COM MAQUINA</v>
      </c>
      <c r="L254" s="1" t="str">
        <f>VLOOKUP(Tabela1[[#This Row],[Cliente]],'BASE DE CLIENTES'!A:E,5,0)</f>
        <v>26 DE SETEMBRO</v>
      </c>
    </row>
    <row r="255" spans="2:12" x14ac:dyDescent="0.3">
      <c r="B255" s="1" t="s">
        <v>88</v>
      </c>
      <c r="C255" s="4" t="str">
        <f>VLOOKUP(Tabela1[[#This Row],[Cliente]],'BASE DE CLIENTES'!A:E,2,0)</f>
        <v>Brasília</v>
      </c>
      <c r="D255" s="1" t="str">
        <f>VLOOKUP(Tabela1[[#This Row],[Cliente]],'BASE DE CLIENTES'!A:C,3,0)</f>
        <v>DF</v>
      </c>
      <c r="E255" s="4" t="str">
        <f>CONCATENATE(Tabela1[[#This Row],[CIDADE]],",",Tabela1[[#This Row],[UF]])</f>
        <v>Brasília,DF</v>
      </c>
      <c r="F255" s="2">
        <v>45715</v>
      </c>
      <c r="G255" s="17">
        <v>986.65</v>
      </c>
      <c r="H255" s="17">
        <v>1500</v>
      </c>
      <c r="I255" s="6">
        <f>Tabela1[[#This Row],[Valor total]]-Tabela1[[#This Row],[Valor custo]]</f>
        <v>513.35</v>
      </c>
      <c r="J255" s="7">
        <f>Tabela1[[#This Row],[MARGEM BRUTA]]/Tabela1[[#This Row],[Valor total]]</f>
        <v>0.34223333333333333</v>
      </c>
      <c r="K255" s="1" t="str">
        <f>VLOOKUP(Tabela1[[#This Row],[Cliente]],'BASE DE CLIENTES'!A:D,4,0)</f>
        <v>SERRALHEIRO</v>
      </c>
      <c r="L255" s="1" t="str">
        <f>VLOOKUP(Tabela1[[#This Row],[Cliente]],'BASE DE CLIENTES'!A:E,5,0)</f>
        <v>RECANTO DAS EMAS</v>
      </c>
    </row>
    <row r="256" spans="2:12" x14ac:dyDescent="0.3">
      <c r="B256" s="1" t="s">
        <v>19</v>
      </c>
      <c r="C256" s="4" t="str">
        <f>VLOOKUP(Tabela1[[#This Row],[Cliente]],'BASE DE CLIENTES'!A:E,2,0)</f>
        <v>Águas Lindas de Goiás</v>
      </c>
      <c r="D256" s="1" t="str">
        <f>VLOOKUP(Tabela1[[#This Row],[Cliente]],'BASE DE CLIENTES'!A:C,3,0)</f>
        <v>GO</v>
      </c>
      <c r="E256" s="4" t="str">
        <f>CONCATENATE(Tabela1[[#This Row],[CIDADE]],",",Tabela1[[#This Row],[UF]])</f>
        <v>Águas Lindas de Goiás,GO</v>
      </c>
      <c r="F256" s="2">
        <v>45800</v>
      </c>
      <c r="G256" s="17">
        <v>882.87</v>
      </c>
      <c r="H256" s="17">
        <v>1320</v>
      </c>
      <c r="I256" s="6">
        <f>Tabela1[[#This Row],[Valor total]]-Tabela1[[#This Row],[Valor custo]]</f>
        <v>437.13</v>
      </c>
      <c r="J256" s="7">
        <f>Tabela1[[#This Row],[MARGEM BRUTA]]/Tabela1[[#This Row],[Valor total]]</f>
        <v>0.3311590909090909</v>
      </c>
      <c r="K256" s="1" t="str">
        <f>VLOOKUP(Tabela1[[#This Row],[Cliente]],'BASE DE CLIENTES'!A:D,4,0)</f>
        <v>SERRALHEIRO</v>
      </c>
      <c r="L256" s="1" t="str">
        <f>VLOOKUP(Tabela1[[#This Row],[Cliente]],'BASE DE CLIENTES'!A:E,5,0)</f>
        <v>Águas Lindas de Goiás</v>
      </c>
    </row>
    <row r="257" spans="2:12" x14ac:dyDescent="0.3">
      <c r="B257" s="1" t="s">
        <v>38</v>
      </c>
      <c r="C257" s="4" t="str">
        <f>VLOOKUP(Tabela1[[#This Row],[Cliente]],'BASE DE CLIENTES'!A:E,2,0)</f>
        <v>Brasília</v>
      </c>
      <c r="D257" s="1" t="str">
        <f>VLOOKUP(Tabela1[[#This Row],[Cliente]],'BASE DE CLIENTES'!A:C,3,0)</f>
        <v>DF</v>
      </c>
      <c r="E257" s="4" t="str">
        <f>CONCATENATE(Tabela1[[#This Row],[CIDADE]],",",Tabela1[[#This Row],[UF]])</f>
        <v>Brasília,DF</v>
      </c>
      <c r="F257" s="2">
        <v>45715</v>
      </c>
      <c r="G257" s="17">
        <v>268.45999999999998</v>
      </c>
      <c r="H257" s="17">
        <v>550</v>
      </c>
      <c r="I257" s="6">
        <f>Tabela1[[#This Row],[Valor total]]-Tabela1[[#This Row],[Valor custo]]</f>
        <v>281.54000000000002</v>
      </c>
      <c r="J257" s="7">
        <f>Tabela1[[#This Row],[MARGEM BRUTA]]/Tabela1[[#This Row],[Valor total]]</f>
        <v>0.51189090909090917</v>
      </c>
      <c r="K257" s="1" t="str">
        <f>VLOOKUP(Tabela1[[#This Row],[Cliente]],'BASE DE CLIENTES'!A:D,4,0)</f>
        <v>EMPRESA SEM MAQUINA</v>
      </c>
      <c r="L257" s="1" t="str">
        <f>VLOOKUP(Tabela1[[#This Row],[Cliente]],'BASE DE CLIENTES'!A:E,5,0)</f>
        <v>PONTE ALTA NORTE (GAMA)</v>
      </c>
    </row>
    <row r="258" spans="2:12" x14ac:dyDescent="0.3">
      <c r="B258" s="1" t="s">
        <v>27</v>
      </c>
      <c r="C258" s="4" t="str">
        <f>VLOOKUP(Tabela1[[#This Row],[Cliente]],'BASE DE CLIENTES'!A:E,2,0)</f>
        <v>Brasília</v>
      </c>
      <c r="D258" s="1" t="str">
        <f>VLOOKUP(Tabela1[[#This Row],[Cliente]],'BASE DE CLIENTES'!A:C,3,0)</f>
        <v>DF</v>
      </c>
      <c r="E258" s="4" t="str">
        <f>CONCATENATE(Tabela1[[#This Row],[CIDADE]],",",Tabela1[[#This Row],[UF]])</f>
        <v>Brasília,DF</v>
      </c>
      <c r="F258" s="2">
        <v>45715</v>
      </c>
      <c r="G258" s="17">
        <v>707.66</v>
      </c>
      <c r="H258" s="17">
        <v>1545</v>
      </c>
      <c r="I258" s="6">
        <f>Tabela1[[#This Row],[Valor total]]-Tabela1[[#This Row],[Valor custo]]</f>
        <v>837.34</v>
      </c>
      <c r="J258" s="7">
        <f>Tabela1[[#This Row],[MARGEM BRUTA]]/Tabela1[[#This Row],[Valor total]]</f>
        <v>0.54196763754045307</v>
      </c>
      <c r="K258" s="1" t="str">
        <f>VLOOKUP(Tabela1[[#This Row],[Cliente]],'BASE DE CLIENTES'!A:D,4,0)</f>
        <v>EMPRESA SEM MAQUINA</v>
      </c>
      <c r="L258" s="1" t="str">
        <f>VLOOKUP(Tabela1[[#This Row],[Cliente]],'BASE DE CLIENTES'!A:E,5,0)</f>
        <v>RECANTO DAS EMAS</v>
      </c>
    </row>
    <row r="259" spans="2:12" x14ac:dyDescent="0.3">
      <c r="B259" s="1" t="s">
        <v>19</v>
      </c>
      <c r="C259" s="4" t="str">
        <f>VLOOKUP(Tabela1[[#This Row],[Cliente]],'BASE DE CLIENTES'!A:E,2,0)</f>
        <v>Águas Lindas de Goiás</v>
      </c>
      <c r="D259" s="1" t="str">
        <f>VLOOKUP(Tabela1[[#This Row],[Cliente]],'BASE DE CLIENTES'!A:C,3,0)</f>
        <v>GO</v>
      </c>
      <c r="E259" s="4" t="str">
        <f>CONCATENATE(Tabela1[[#This Row],[CIDADE]],",",Tabela1[[#This Row],[UF]])</f>
        <v>Águas Lindas de Goiás,GO</v>
      </c>
      <c r="F259" s="2">
        <v>45799</v>
      </c>
      <c r="G259" s="17">
        <v>1374.74</v>
      </c>
      <c r="H259" s="17">
        <v>2030</v>
      </c>
      <c r="I259" s="6">
        <f>Tabela1[[#This Row],[Valor total]]-Tabela1[[#This Row],[Valor custo]]</f>
        <v>655.26</v>
      </c>
      <c r="J259" s="7">
        <f>Tabela1[[#This Row],[MARGEM BRUTA]]/Tabela1[[#This Row],[Valor total]]</f>
        <v>0.32278817733990145</v>
      </c>
      <c r="K259" s="1" t="str">
        <f>VLOOKUP(Tabela1[[#This Row],[Cliente]],'BASE DE CLIENTES'!A:D,4,0)</f>
        <v>SERRALHEIRO</v>
      </c>
      <c r="L259" s="1" t="str">
        <f>VLOOKUP(Tabela1[[#This Row],[Cliente]],'BASE DE CLIENTES'!A:E,5,0)</f>
        <v>Águas Lindas de Goiás</v>
      </c>
    </row>
    <row r="260" spans="2:12" x14ac:dyDescent="0.3">
      <c r="B260" s="1" t="s">
        <v>106</v>
      </c>
      <c r="C260" s="4" t="str">
        <f>VLOOKUP(Tabela1[[#This Row],[Cliente]],'BASE DE CLIENTES'!A:E,2,0)</f>
        <v>Brasília</v>
      </c>
      <c r="D260" s="1" t="str">
        <f>VLOOKUP(Tabela1[[#This Row],[Cliente]],'BASE DE CLIENTES'!A:C,3,0)</f>
        <v>DF</v>
      </c>
      <c r="E260" s="4" t="str">
        <f>CONCATENATE(Tabela1[[#This Row],[CIDADE]],",",Tabela1[[#This Row],[UF]])</f>
        <v>Brasília,DF</v>
      </c>
      <c r="F260" s="2">
        <v>45715</v>
      </c>
      <c r="G260" s="17">
        <v>180</v>
      </c>
      <c r="H260" s="17">
        <v>400</v>
      </c>
      <c r="I260" s="6">
        <f>Tabela1[[#This Row],[Valor total]]-Tabela1[[#This Row],[Valor custo]]</f>
        <v>220</v>
      </c>
      <c r="J260" s="7">
        <f>Tabela1[[#This Row],[MARGEM BRUTA]]/Tabela1[[#This Row],[Valor total]]</f>
        <v>0.55000000000000004</v>
      </c>
      <c r="K260" s="1" t="str">
        <f>VLOOKUP(Tabela1[[#This Row],[Cliente]],'BASE DE CLIENTES'!A:D,4,0)</f>
        <v>EMPRESA COM MAQUINA</v>
      </c>
      <c r="L260" s="1" t="str">
        <f>VLOOKUP(Tabela1[[#This Row],[Cliente]],'BASE DE CLIENTES'!A:E,5,0)</f>
        <v>26 DE SETEMBRO</v>
      </c>
    </row>
    <row r="261" spans="2:12" x14ac:dyDescent="0.3">
      <c r="B261" s="1" t="s">
        <v>66</v>
      </c>
      <c r="C261" s="4" t="str">
        <f>VLOOKUP(Tabela1[[#This Row],[Cliente]],'BASE DE CLIENTES'!A:E,2,0)</f>
        <v>Águas Lindas de Goiás</v>
      </c>
      <c r="D261" s="1" t="str">
        <f>VLOOKUP(Tabela1[[#This Row],[Cliente]],'BASE DE CLIENTES'!A:C,3,0)</f>
        <v>GO</v>
      </c>
      <c r="E261" s="4" t="str">
        <f>CONCATENATE(Tabela1[[#This Row],[CIDADE]],",",Tabela1[[#This Row],[UF]])</f>
        <v>Águas Lindas de Goiás,GO</v>
      </c>
      <c r="F261" s="2">
        <v>45797</v>
      </c>
      <c r="G261" s="17">
        <v>98.14</v>
      </c>
      <c r="H261" s="17">
        <v>129</v>
      </c>
      <c r="I261" s="6">
        <f>Tabela1[[#This Row],[Valor total]]-Tabela1[[#This Row],[Valor custo]]</f>
        <v>30.86</v>
      </c>
      <c r="J261" s="7">
        <f>Tabela1[[#This Row],[MARGEM BRUTA]]/Tabela1[[#This Row],[Valor total]]</f>
        <v>0.23922480620155037</v>
      </c>
      <c r="K261" s="1" t="str">
        <f>VLOOKUP(Tabela1[[#This Row],[Cliente]],'BASE DE CLIENTES'!A:D,4,0)</f>
        <v>EMPRESA COM MAQUINA</v>
      </c>
      <c r="L261" s="1" t="str">
        <f>VLOOKUP(Tabela1[[#This Row],[Cliente]],'BASE DE CLIENTES'!A:E,5,0)</f>
        <v>Águas Lindas de Goiás</v>
      </c>
    </row>
    <row r="262" spans="2:12" x14ac:dyDescent="0.3">
      <c r="B262" s="1" t="s">
        <v>66</v>
      </c>
      <c r="C262" s="4" t="str">
        <f>VLOOKUP(Tabela1[[#This Row],[Cliente]],'BASE DE CLIENTES'!A:E,2,0)</f>
        <v>Águas Lindas de Goiás</v>
      </c>
      <c r="D262" s="1" t="str">
        <f>VLOOKUP(Tabela1[[#This Row],[Cliente]],'BASE DE CLIENTES'!A:C,3,0)</f>
        <v>GO</v>
      </c>
      <c r="E262" s="4" t="str">
        <f>CONCATENATE(Tabela1[[#This Row],[CIDADE]],",",Tabela1[[#This Row],[UF]])</f>
        <v>Águas Lindas de Goiás,GO</v>
      </c>
      <c r="F262" s="2">
        <v>45797</v>
      </c>
      <c r="G262" s="17">
        <v>894</v>
      </c>
      <c r="H262" s="17">
        <v>1240</v>
      </c>
      <c r="I262" s="6">
        <f>Tabela1[[#This Row],[Valor total]]-Tabela1[[#This Row],[Valor custo]]</f>
        <v>346</v>
      </c>
      <c r="J262" s="7">
        <f>Tabela1[[#This Row],[MARGEM BRUTA]]/Tabela1[[#This Row],[Valor total]]</f>
        <v>0.27903225806451615</v>
      </c>
      <c r="K262" s="1" t="str">
        <f>VLOOKUP(Tabela1[[#This Row],[Cliente]],'BASE DE CLIENTES'!A:D,4,0)</f>
        <v>EMPRESA COM MAQUINA</v>
      </c>
      <c r="L262" s="1" t="str">
        <f>VLOOKUP(Tabela1[[#This Row],[Cliente]],'BASE DE CLIENTES'!A:E,5,0)</f>
        <v>Águas Lindas de Goiás</v>
      </c>
    </row>
    <row r="263" spans="2:12" x14ac:dyDescent="0.3">
      <c r="B263" s="1" t="s">
        <v>104</v>
      </c>
      <c r="C263" s="4" t="str">
        <f>VLOOKUP(Tabela1[[#This Row],[Cliente]],'BASE DE CLIENTES'!A:E,2,0)</f>
        <v>Águas Lindas de Goiás</v>
      </c>
      <c r="D263" s="1" t="str">
        <f>VLOOKUP(Tabela1[[#This Row],[Cliente]],'BASE DE CLIENTES'!A:C,3,0)</f>
        <v>GO</v>
      </c>
      <c r="E263" s="4" t="str">
        <f>CONCATENATE(Tabela1[[#This Row],[CIDADE]],",",Tabela1[[#This Row],[UF]])</f>
        <v>Águas Lindas de Goiás,GO</v>
      </c>
      <c r="F263" s="2">
        <v>45797</v>
      </c>
      <c r="G263" s="17">
        <v>3626</v>
      </c>
      <c r="H263" s="17">
        <v>4640</v>
      </c>
      <c r="I263" s="6">
        <f>Tabela1[[#This Row],[Valor total]]-Tabela1[[#This Row],[Valor custo]]</f>
        <v>1014</v>
      </c>
      <c r="J263" s="7">
        <f>Tabela1[[#This Row],[MARGEM BRUTA]]/Tabela1[[#This Row],[Valor total]]</f>
        <v>0.2185344827586207</v>
      </c>
      <c r="K263" s="1" t="str">
        <f>VLOOKUP(Tabela1[[#This Row],[Cliente]],'BASE DE CLIENTES'!A:D,4,0)</f>
        <v>EMPRESA SEM MAQUINA</v>
      </c>
      <c r="L263" s="1" t="str">
        <f>VLOOKUP(Tabela1[[#This Row],[Cliente]],'BASE DE CLIENTES'!A:E,5,0)</f>
        <v>Águas Lindas de Goiás</v>
      </c>
    </row>
    <row r="264" spans="2:12" x14ac:dyDescent="0.3">
      <c r="B264" s="1" t="s">
        <v>27</v>
      </c>
      <c r="C264" s="4" t="str">
        <f>VLOOKUP(Tabela1[[#This Row],[Cliente]],'BASE DE CLIENTES'!A:E,2,0)</f>
        <v>Brasília</v>
      </c>
      <c r="D264" s="1" t="str">
        <f>VLOOKUP(Tabela1[[#This Row],[Cliente]],'BASE DE CLIENTES'!A:C,3,0)</f>
        <v>DF</v>
      </c>
      <c r="E264" s="4" t="str">
        <f>CONCATENATE(Tabela1[[#This Row],[CIDADE]],",",Tabela1[[#This Row],[UF]])</f>
        <v>Brasília,DF</v>
      </c>
      <c r="F264" s="2">
        <v>45714</v>
      </c>
      <c r="G264" s="17">
        <v>1585.63</v>
      </c>
      <c r="H264" s="17">
        <v>2540</v>
      </c>
      <c r="I264" s="6">
        <f>Tabela1[[#This Row],[Valor total]]-Tabela1[[#This Row],[Valor custo]]</f>
        <v>954.36999999999989</v>
      </c>
      <c r="J264" s="7">
        <f>Tabela1[[#This Row],[MARGEM BRUTA]]/Tabela1[[#This Row],[Valor total]]</f>
        <v>0.37573622047244093</v>
      </c>
      <c r="K264" s="1" t="str">
        <f>VLOOKUP(Tabela1[[#This Row],[Cliente]],'BASE DE CLIENTES'!A:D,4,0)</f>
        <v>EMPRESA SEM MAQUINA</v>
      </c>
      <c r="L264" s="1" t="str">
        <f>VLOOKUP(Tabela1[[#This Row],[Cliente]],'BASE DE CLIENTES'!A:E,5,0)</f>
        <v>RECANTO DAS EMAS</v>
      </c>
    </row>
    <row r="265" spans="2:12" x14ac:dyDescent="0.3">
      <c r="B265" s="1" t="s">
        <v>117</v>
      </c>
      <c r="C265" s="4" t="str">
        <f>VLOOKUP(Tabela1[[#This Row],[Cliente]],'BASE DE CLIENTES'!A:E,2,0)</f>
        <v>Brasília</v>
      </c>
      <c r="D265" s="1" t="str">
        <f>VLOOKUP(Tabela1[[#This Row],[Cliente]],'BASE DE CLIENTES'!A:C,3,0)</f>
        <v>DF</v>
      </c>
      <c r="E265" s="4" t="str">
        <f>CONCATENATE(Tabela1[[#This Row],[CIDADE]],",",Tabela1[[#This Row],[UF]])</f>
        <v>Brasília,DF</v>
      </c>
      <c r="F265" s="2">
        <v>45714</v>
      </c>
      <c r="G265" s="17">
        <v>5428.76</v>
      </c>
      <c r="H265" s="17">
        <v>7900</v>
      </c>
      <c r="I265" s="6">
        <f>Tabela1[[#This Row],[Valor total]]-Tabela1[[#This Row],[Valor custo]]</f>
        <v>2471.2399999999998</v>
      </c>
      <c r="J265" s="7">
        <f>Tabela1[[#This Row],[MARGEM BRUTA]]/Tabela1[[#This Row],[Valor total]]</f>
        <v>0.31281518987341772</v>
      </c>
      <c r="K265" s="1" t="str">
        <f>VLOOKUP(Tabela1[[#This Row],[Cliente]],'BASE DE CLIENTES'!A:D,4,0)</f>
        <v>EMPRESA COM MAQUINA</v>
      </c>
      <c r="L265" s="1" t="str">
        <f>VLOOKUP(Tabela1[[#This Row],[Cliente]],'BASE DE CLIENTES'!A:E,5,0)</f>
        <v>SETOR HABITACIONAL ARNIQUEIRA (AGUAS CLARAS)</v>
      </c>
    </row>
    <row r="266" spans="2:12" x14ac:dyDescent="0.3">
      <c r="B266" s="1" t="s">
        <v>17</v>
      </c>
      <c r="C266" s="4" t="str">
        <f>VLOOKUP(Tabela1[[#This Row],[Cliente]],'BASE DE CLIENTES'!A:E,2,0)</f>
        <v>Águas Lindas de Goiás</v>
      </c>
      <c r="D266" s="1" t="str">
        <f>VLOOKUP(Tabela1[[#This Row],[Cliente]],'BASE DE CLIENTES'!A:C,3,0)</f>
        <v>GO</v>
      </c>
      <c r="E266" s="4" t="str">
        <f>CONCATENATE(Tabela1[[#This Row],[CIDADE]],",",Tabela1[[#This Row],[UF]])</f>
        <v>Águas Lindas de Goiás,GO</v>
      </c>
      <c r="F266" s="2">
        <v>45796</v>
      </c>
      <c r="G266" s="17">
        <v>522.38</v>
      </c>
      <c r="H266" s="17">
        <v>960</v>
      </c>
      <c r="I266" s="6">
        <f>Tabela1[[#This Row],[Valor total]]-Tabela1[[#This Row],[Valor custo]]</f>
        <v>437.62</v>
      </c>
      <c r="J266" s="7">
        <f>Tabela1[[#This Row],[MARGEM BRUTA]]/Tabela1[[#This Row],[Valor total]]</f>
        <v>0.45585416666666667</v>
      </c>
      <c r="K266" s="1" t="str">
        <f>VLOOKUP(Tabela1[[#This Row],[Cliente]],'BASE DE CLIENTES'!A:D,4,0)</f>
        <v>SERRALHEIRO</v>
      </c>
      <c r="L266" s="1" t="str">
        <f>VLOOKUP(Tabela1[[#This Row],[Cliente]],'BASE DE CLIENTES'!A:E,5,0)</f>
        <v>Águas Lindas de Goiás</v>
      </c>
    </row>
    <row r="267" spans="2:12" x14ac:dyDescent="0.3">
      <c r="B267" s="1" t="s">
        <v>27</v>
      </c>
      <c r="C267" s="4" t="str">
        <f>VLOOKUP(Tabela1[[#This Row],[Cliente]],'BASE DE CLIENTES'!A:E,2,0)</f>
        <v>Brasília</v>
      </c>
      <c r="D267" s="1" t="str">
        <f>VLOOKUP(Tabela1[[#This Row],[Cliente]],'BASE DE CLIENTES'!A:C,3,0)</f>
        <v>DF</v>
      </c>
      <c r="E267" s="4" t="str">
        <f>CONCATENATE(Tabela1[[#This Row],[CIDADE]],",",Tabela1[[#This Row],[UF]])</f>
        <v>Brasília,DF</v>
      </c>
      <c r="F267" s="2">
        <v>45714</v>
      </c>
      <c r="G267" s="17">
        <v>548.47</v>
      </c>
      <c r="H267" s="17">
        <v>640</v>
      </c>
      <c r="I267" s="6">
        <f>Tabela1[[#This Row],[Valor total]]-Tabela1[[#This Row],[Valor custo]]</f>
        <v>91.529999999999973</v>
      </c>
      <c r="J267" s="7">
        <f>Tabela1[[#This Row],[MARGEM BRUTA]]/Tabela1[[#This Row],[Valor total]]</f>
        <v>0.14301562499999995</v>
      </c>
      <c r="K267" s="1" t="str">
        <f>VLOOKUP(Tabela1[[#This Row],[Cliente]],'BASE DE CLIENTES'!A:D,4,0)</f>
        <v>EMPRESA SEM MAQUINA</v>
      </c>
      <c r="L267" s="1" t="str">
        <f>VLOOKUP(Tabela1[[#This Row],[Cliente]],'BASE DE CLIENTES'!A:E,5,0)</f>
        <v>RECANTO DAS EMAS</v>
      </c>
    </row>
    <row r="268" spans="2:12" x14ac:dyDescent="0.3">
      <c r="B268" s="1" t="s">
        <v>19</v>
      </c>
      <c r="C268" s="4" t="str">
        <f>VLOOKUP(Tabela1[[#This Row],[Cliente]],'BASE DE CLIENTES'!A:E,2,0)</f>
        <v>Águas Lindas de Goiás</v>
      </c>
      <c r="D268" s="1" t="str">
        <f>VLOOKUP(Tabela1[[#This Row],[Cliente]],'BASE DE CLIENTES'!A:C,3,0)</f>
        <v>GO</v>
      </c>
      <c r="E268" s="4" t="str">
        <f>CONCATENATE(Tabela1[[#This Row],[CIDADE]],",",Tabela1[[#This Row],[UF]])</f>
        <v>Águas Lindas de Goiás,GO</v>
      </c>
      <c r="F268" s="2">
        <v>45793</v>
      </c>
      <c r="G268" s="17">
        <v>1043.1400000000001</v>
      </c>
      <c r="H268" s="17">
        <v>1520</v>
      </c>
      <c r="I268" s="6">
        <f>Tabela1[[#This Row],[Valor total]]-Tabela1[[#This Row],[Valor custo]]</f>
        <v>476.8599999999999</v>
      </c>
      <c r="J268" s="7">
        <f>Tabela1[[#This Row],[MARGEM BRUTA]]/Tabela1[[#This Row],[Valor total]]</f>
        <v>0.31372368421052627</v>
      </c>
      <c r="K268" s="1" t="str">
        <f>VLOOKUP(Tabela1[[#This Row],[Cliente]],'BASE DE CLIENTES'!A:D,4,0)</f>
        <v>SERRALHEIRO</v>
      </c>
      <c r="L268" s="1" t="str">
        <f>VLOOKUP(Tabela1[[#This Row],[Cliente]],'BASE DE CLIENTES'!A:E,5,0)</f>
        <v>Águas Lindas de Goiás</v>
      </c>
    </row>
    <row r="269" spans="2:12" x14ac:dyDescent="0.3">
      <c r="B269" s="1" t="s">
        <v>85</v>
      </c>
      <c r="C269" s="4" t="str">
        <f>VLOOKUP(Tabela1[[#This Row],[Cliente]],'BASE DE CLIENTES'!A:E,2,0)</f>
        <v>Brasília</v>
      </c>
      <c r="D269" s="1" t="str">
        <f>VLOOKUP(Tabela1[[#This Row],[Cliente]],'BASE DE CLIENTES'!A:C,3,0)</f>
        <v>DF</v>
      </c>
      <c r="E269" s="4" t="str">
        <f>CONCATENATE(Tabela1[[#This Row],[CIDADE]],",",Tabela1[[#This Row],[UF]])</f>
        <v>Brasília,DF</v>
      </c>
      <c r="F269" s="2">
        <v>45714</v>
      </c>
      <c r="G269" s="17">
        <v>268.45999999999998</v>
      </c>
      <c r="H269" s="17">
        <v>550</v>
      </c>
      <c r="I269" s="6">
        <f>Tabela1[[#This Row],[Valor total]]-Tabela1[[#This Row],[Valor custo]]</f>
        <v>281.54000000000002</v>
      </c>
      <c r="J269" s="7">
        <f>Tabela1[[#This Row],[MARGEM BRUTA]]/Tabela1[[#This Row],[Valor total]]</f>
        <v>0.51189090909090917</v>
      </c>
      <c r="K269" s="1" t="str">
        <f>VLOOKUP(Tabela1[[#This Row],[Cliente]],'BASE DE CLIENTES'!A:D,4,0)</f>
        <v>SERRALHEIRO</v>
      </c>
      <c r="L269" s="1" t="str">
        <f>VLOOKUP(Tabela1[[#This Row],[Cliente]],'BASE DE CLIENTES'!A:E,5,0)</f>
        <v>SAMAMBAIA NORTE (SAMAMBAIA)</v>
      </c>
    </row>
    <row r="270" spans="2:12" x14ac:dyDescent="0.3">
      <c r="B270" s="1" t="s">
        <v>36</v>
      </c>
      <c r="C270" s="4" t="str">
        <f>VLOOKUP(Tabela1[[#This Row],[Cliente]],'BASE DE CLIENTES'!A:E,2,0)</f>
        <v>Brasília</v>
      </c>
      <c r="D270" s="1" t="str">
        <f>VLOOKUP(Tabela1[[#This Row],[Cliente]],'BASE DE CLIENTES'!A:C,3,0)</f>
        <v>DF</v>
      </c>
      <c r="E270" s="4" t="str">
        <f>CONCATENATE(Tabela1[[#This Row],[CIDADE]],",",Tabela1[[#This Row],[UF]])</f>
        <v>Brasília,DF</v>
      </c>
      <c r="F270" s="2">
        <v>45714</v>
      </c>
      <c r="G270" s="17">
        <v>13.69</v>
      </c>
      <c r="H270" s="17">
        <v>120</v>
      </c>
      <c r="I270" s="6">
        <f>Tabela1[[#This Row],[Valor total]]-Tabela1[[#This Row],[Valor custo]]</f>
        <v>106.31</v>
      </c>
      <c r="J270" s="7">
        <f>Tabela1[[#This Row],[MARGEM BRUTA]]/Tabela1[[#This Row],[Valor total]]</f>
        <v>0.88591666666666669</v>
      </c>
      <c r="K270" s="1" t="str">
        <f>VLOOKUP(Tabela1[[#This Row],[Cliente]],'BASE DE CLIENTES'!A:D,4,0)</f>
        <v>SERRALHEIRO</v>
      </c>
      <c r="L270" s="1" t="str">
        <f>VLOOKUP(Tabela1[[#This Row],[Cliente]],'BASE DE CLIENTES'!A:E,5,0)</f>
        <v>CEILANDIA SUL (CEILANDIA)</v>
      </c>
    </row>
    <row r="271" spans="2:12" x14ac:dyDescent="0.3">
      <c r="B271" s="1" t="s">
        <v>118</v>
      </c>
      <c r="C271" s="4" t="str">
        <f>VLOOKUP(Tabela1[[#This Row],[Cliente]],'BASE DE CLIENTES'!A:E,2,0)</f>
        <v>Brasília</v>
      </c>
      <c r="D271" s="1" t="str">
        <f>VLOOKUP(Tabela1[[#This Row],[Cliente]],'BASE DE CLIENTES'!A:C,3,0)</f>
        <v>DF</v>
      </c>
      <c r="E271" s="4" t="str">
        <f>CONCATENATE(Tabela1[[#This Row],[CIDADE]],",",Tabela1[[#This Row],[UF]])</f>
        <v>Brasília,DF</v>
      </c>
      <c r="F271" s="2">
        <v>45714</v>
      </c>
      <c r="G271" s="17">
        <v>104.4</v>
      </c>
      <c r="H271" s="17">
        <v>350</v>
      </c>
      <c r="I271" s="6">
        <f>Tabela1[[#This Row],[Valor total]]-Tabela1[[#This Row],[Valor custo]]</f>
        <v>245.6</v>
      </c>
      <c r="J271" s="7">
        <f>Tabela1[[#This Row],[MARGEM BRUTA]]/Tabela1[[#This Row],[Valor total]]</f>
        <v>0.70171428571428573</v>
      </c>
      <c r="K271" s="1" t="str">
        <f>VLOOKUP(Tabela1[[#This Row],[Cliente]],'BASE DE CLIENTES'!A:D,4,0)</f>
        <v>OUTROS RAMOS</v>
      </c>
      <c r="L271" s="1" t="str">
        <f>VLOOKUP(Tabela1[[#This Row],[Cliente]],'BASE DE CLIENTES'!A:E,5,0)</f>
        <v>PARANOA</v>
      </c>
    </row>
    <row r="272" spans="2:12" x14ac:dyDescent="0.3">
      <c r="B272" s="1" t="s">
        <v>66</v>
      </c>
      <c r="C272" s="4" t="str">
        <f>VLOOKUP(Tabela1[[#This Row],[Cliente]],'BASE DE CLIENTES'!A:E,2,0)</f>
        <v>Águas Lindas de Goiás</v>
      </c>
      <c r="D272" s="1" t="str">
        <f>VLOOKUP(Tabela1[[#This Row],[Cliente]],'BASE DE CLIENTES'!A:C,3,0)</f>
        <v>GO</v>
      </c>
      <c r="E272" s="4" t="str">
        <f>CONCATENATE(Tabela1[[#This Row],[CIDADE]],",",Tabela1[[#This Row],[UF]])</f>
        <v>Águas Lindas de Goiás,GO</v>
      </c>
      <c r="F272" s="2">
        <v>45792</v>
      </c>
      <c r="G272" s="17">
        <v>477.5</v>
      </c>
      <c r="H272" s="17">
        <v>665</v>
      </c>
      <c r="I272" s="6">
        <f>Tabela1[[#This Row],[Valor total]]-Tabela1[[#This Row],[Valor custo]]</f>
        <v>187.5</v>
      </c>
      <c r="J272" s="7">
        <f>Tabela1[[#This Row],[MARGEM BRUTA]]/Tabela1[[#This Row],[Valor total]]</f>
        <v>0.28195488721804512</v>
      </c>
      <c r="K272" s="1" t="str">
        <f>VLOOKUP(Tabela1[[#This Row],[Cliente]],'BASE DE CLIENTES'!A:D,4,0)</f>
        <v>EMPRESA COM MAQUINA</v>
      </c>
      <c r="L272" s="1" t="str">
        <f>VLOOKUP(Tabela1[[#This Row],[Cliente]],'BASE DE CLIENTES'!A:E,5,0)</f>
        <v>Águas Lindas de Goiás</v>
      </c>
    </row>
    <row r="273" spans="1:12" x14ac:dyDescent="0.3">
      <c r="A273" s="1" t="s">
        <v>119</v>
      </c>
      <c r="B273" s="1" t="s">
        <v>120</v>
      </c>
      <c r="C273" s="4" t="str">
        <f>VLOOKUP(Tabela1[[#This Row],[Cliente]],'BASE DE CLIENTES'!A:E,2,0)</f>
        <v>Brasília</v>
      </c>
      <c r="D273" s="1" t="str">
        <f>VLOOKUP(Tabela1[[#This Row],[Cliente]],'BASE DE CLIENTES'!A:C,3,0)</f>
        <v>DF</v>
      </c>
      <c r="E273" s="4" t="str">
        <f>CONCATENATE(Tabela1[[#This Row],[CIDADE]],",",Tabela1[[#This Row],[UF]])</f>
        <v>Brasília,DF</v>
      </c>
      <c r="F273" s="2">
        <v>45688</v>
      </c>
      <c r="G273" s="17">
        <v>97.82</v>
      </c>
      <c r="H273" s="17">
        <v>151.4</v>
      </c>
      <c r="I273" s="6">
        <f>Tabela1[[#This Row],[Valor total]]-Tabela1[[#This Row],[Valor custo]]</f>
        <v>53.580000000000013</v>
      </c>
      <c r="J273" s="7">
        <f>Tabela1[[#This Row],[MARGEM BRUTA]]/Tabela1[[#This Row],[Valor total]]</f>
        <v>0.35389696169088514</v>
      </c>
      <c r="K273" s="1" t="str">
        <f>VLOOKUP(Tabela1[[#This Row],[Cliente]],'BASE DE CLIENTES'!A:D,4,0)</f>
        <v>EMPRESA SEM MAQUINA</v>
      </c>
      <c r="L273" s="1" t="str">
        <f>VLOOKUP(Tabela1[[#This Row],[Cliente]],'BASE DE CLIENTES'!A:E,5,0)</f>
        <v>SAMAMBAIA</v>
      </c>
    </row>
    <row r="274" spans="1:12" x14ac:dyDescent="0.3">
      <c r="B274" s="1" t="s">
        <v>66</v>
      </c>
      <c r="C274" s="4" t="str">
        <f>VLOOKUP(Tabela1[[#This Row],[Cliente]],'BASE DE CLIENTES'!A:E,2,0)</f>
        <v>Águas Lindas de Goiás</v>
      </c>
      <c r="D274" s="1" t="str">
        <f>VLOOKUP(Tabela1[[#This Row],[Cliente]],'BASE DE CLIENTES'!A:C,3,0)</f>
        <v>GO</v>
      </c>
      <c r="E274" s="4" t="str">
        <f>CONCATENATE(Tabela1[[#This Row],[CIDADE]],",",Tabela1[[#This Row],[UF]])</f>
        <v>Águas Lindas de Goiás,GO</v>
      </c>
      <c r="F274" s="2">
        <v>45790</v>
      </c>
      <c r="G274" s="17">
        <v>1393</v>
      </c>
      <c r="H274" s="17">
        <v>2000</v>
      </c>
      <c r="I274" s="6">
        <f>Tabela1[[#This Row],[Valor total]]-Tabela1[[#This Row],[Valor custo]]</f>
        <v>607</v>
      </c>
      <c r="J274" s="7">
        <f>Tabela1[[#This Row],[MARGEM BRUTA]]/Tabela1[[#This Row],[Valor total]]</f>
        <v>0.30349999999999999</v>
      </c>
      <c r="K274" s="1" t="str">
        <f>VLOOKUP(Tabela1[[#This Row],[Cliente]],'BASE DE CLIENTES'!A:D,4,0)</f>
        <v>EMPRESA COM MAQUINA</v>
      </c>
      <c r="L274" s="1" t="str">
        <f>VLOOKUP(Tabela1[[#This Row],[Cliente]],'BASE DE CLIENTES'!A:E,5,0)</f>
        <v>Águas Lindas de Goiás</v>
      </c>
    </row>
    <row r="275" spans="1:12" x14ac:dyDescent="0.3">
      <c r="B275" s="1" t="s">
        <v>70</v>
      </c>
      <c r="C275" s="4" t="str">
        <f>VLOOKUP(Tabela1[[#This Row],[Cliente]],'BASE DE CLIENTES'!A:E,2,0)</f>
        <v>Brasília</v>
      </c>
      <c r="D275" s="1" t="str">
        <f>VLOOKUP(Tabela1[[#This Row],[Cliente]],'BASE DE CLIENTES'!A:C,3,0)</f>
        <v>DF</v>
      </c>
      <c r="E275" s="4" t="str">
        <f>CONCATENATE(Tabela1[[#This Row],[CIDADE]],",",Tabela1[[#This Row],[UF]])</f>
        <v>Brasília,DF</v>
      </c>
      <c r="F275" s="2">
        <v>45714</v>
      </c>
      <c r="G275" s="17">
        <v>975.69</v>
      </c>
      <c r="H275" s="17">
        <v>1200</v>
      </c>
      <c r="I275" s="6">
        <f>Tabela1[[#This Row],[Valor total]]-Tabela1[[#This Row],[Valor custo]]</f>
        <v>224.30999999999995</v>
      </c>
      <c r="J275" s="7">
        <f>Tabela1[[#This Row],[MARGEM BRUTA]]/Tabela1[[#This Row],[Valor total]]</f>
        <v>0.18692499999999995</v>
      </c>
      <c r="K275" s="1" t="str">
        <f>VLOOKUP(Tabela1[[#This Row],[Cliente]],'BASE DE CLIENTES'!A:D,4,0)</f>
        <v>EMPRESA COM MAQUINA</v>
      </c>
      <c r="L275" s="1" t="str">
        <f>VLOOKUP(Tabela1[[#This Row],[Cliente]],'BASE DE CLIENTES'!A:E,5,0)</f>
        <v>TAGUATINGA NORTE (TAGUATINGA)</v>
      </c>
    </row>
    <row r="276" spans="1:12" x14ac:dyDescent="0.3">
      <c r="B276" s="1" t="s">
        <v>116</v>
      </c>
      <c r="C276" s="4" t="str">
        <f>VLOOKUP(Tabela1[[#This Row],[Cliente]],'BASE DE CLIENTES'!A:E,2,0)</f>
        <v>Brasília</v>
      </c>
      <c r="D276" s="1" t="str">
        <f>VLOOKUP(Tabela1[[#This Row],[Cliente]],'BASE DE CLIENTES'!A:C,3,0)</f>
        <v>DF</v>
      </c>
      <c r="E276" s="4" t="str">
        <f>CONCATENATE(Tabela1[[#This Row],[CIDADE]],",",Tabela1[[#This Row],[UF]])</f>
        <v>Brasília,DF</v>
      </c>
      <c r="F276" s="2">
        <v>45728</v>
      </c>
      <c r="G276" s="17">
        <v>1317.6</v>
      </c>
      <c r="H276" s="17">
        <v>2050</v>
      </c>
      <c r="I276" s="6">
        <f>Tabela1[[#This Row],[Valor total]]-Tabela1[[#This Row],[Valor custo]]</f>
        <v>732.40000000000009</v>
      </c>
      <c r="J276" s="7">
        <f>Tabela1[[#This Row],[MARGEM BRUTA]]/Tabela1[[#This Row],[Valor total]]</f>
        <v>0.35726829268292687</v>
      </c>
      <c r="K276" s="1" t="str">
        <f>VLOOKUP(Tabela1[[#This Row],[Cliente]],'BASE DE CLIENTES'!A:D,4,0)</f>
        <v>SEM CLASSIFICAÇÃO</v>
      </c>
      <c r="L276" s="1" t="str">
        <f>VLOOKUP(Tabela1[[#This Row],[Cliente]],'BASE DE CLIENTES'!A:E,5,0)</f>
        <v>VALE DO AMANHECER (PLANALTINA)</v>
      </c>
    </row>
    <row r="277" spans="1:12" x14ac:dyDescent="0.3">
      <c r="B277" s="1" t="s">
        <v>97</v>
      </c>
      <c r="C277" s="4" t="str">
        <f>VLOOKUP(Tabela1[[#This Row],[Cliente]],'BASE DE CLIENTES'!A:E,2,0)</f>
        <v>Brasília</v>
      </c>
      <c r="D277" s="1" t="str">
        <f>VLOOKUP(Tabela1[[#This Row],[Cliente]],'BASE DE CLIENTES'!A:C,3,0)</f>
        <v>DF</v>
      </c>
      <c r="E277" s="4" t="str">
        <f>CONCATENATE(Tabela1[[#This Row],[CIDADE]],",",Tabela1[[#This Row],[UF]])</f>
        <v>Brasília,DF</v>
      </c>
      <c r="F277" s="2">
        <v>45714</v>
      </c>
      <c r="G277" s="17">
        <v>439.2</v>
      </c>
      <c r="H277" s="17">
        <v>645</v>
      </c>
      <c r="I277" s="6">
        <f>Tabela1[[#This Row],[Valor total]]-Tabela1[[#This Row],[Valor custo]]</f>
        <v>205.8</v>
      </c>
      <c r="J277" s="7">
        <f>Tabela1[[#This Row],[MARGEM BRUTA]]/Tabela1[[#This Row],[Valor total]]</f>
        <v>0.3190697674418605</v>
      </c>
      <c r="K277" s="1" t="str">
        <f>VLOOKUP(Tabela1[[#This Row],[Cliente]],'BASE DE CLIENTES'!A:D,4,0)</f>
        <v>SERRALHEIRO</v>
      </c>
      <c r="L277" s="1" t="str">
        <f>VLOOKUP(Tabela1[[#This Row],[Cliente]],'BASE DE CLIENTES'!A:E,5,0)</f>
        <v>CEILANDIA NORTE</v>
      </c>
    </row>
    <row r="278" spans="1:12" x14ac:dyDescent="0.3">
      <c r="B278" s="1" t="s">
        <v>121</v>
      </c>
      <c r="C278" s="4" t="str">
        <f>VLOOKUP(Tabela1[[#This Row],[Cliente]],'BASE DE CLIENTES'!A:E,2,0)</f>
        <v>Brasília</v>
      </c>
      <c r="D278" s="1" t="str">
        <f>VLOOKUP(Tabela1[[#This Row],[Cliente]],'BASE DE CLIENTES'!A:C,3,0)</f>
        <v>DF</v>
      </c>
      <c r="E278" s="4" t="str">
        <f>CONCATENATE(Tabela1[[#This Row],[CIDADE]],",",Tabela1[[#This Row],[UF]])</f>
        <v>Brasília,DF</v>
      </c>
      <c r="F278" s="2">
        <v>45915</v>
      </c>
      <c r="G278" s="17">
        <v>1076.74</v>
      </c>
      <c r="H278" s="17">
        <v>1860</v>
      </c>
      <c r="I278" s="6">
        <f>Tabela1[[#This Row],[Valor total]]-Tabela1[[#This Row],[Valor custo]]</f>
        <v>783.26</v>
      </c>
      <c r="J278" s="7">
        <f>Tabela1[[#This Row],[MARGEM BRUTA]]/Tabela1[[#This Row],[Valor total]]</f>
        <v>0.42110752688172043</v>
      </c>
      <c r="K278" s="1" t="str">
        <f>VLOOKUP(Tabela1[[#This Row],[Cliente]],'BASE DE CLIENTES'!A:D,4,0)</f>
        <v>SEM CLASSIFICAÇÃO</v>
      </c>
      <c r="L278" s="1" t="str">
        <f>VLOOKUP(Tabela1[[#This Row],[Cliente]],'BASE DE CLIENTES'!A:E,5,0)</f>
        <v>Asa Sul</v>
      </c>
    </row>
    <row r="279" spans="1:12" x14ac:dyDescent="0.3">
      <c r="B279" s="1" t="s">
        <v>19</v>
      </c>
      <c r="C279" s="4" t="str">
        <f>VLOOKUP(Tabela1[[#This Row],[Cliente]],'BASE DE CLIENTES'!A:E,2,0)</f>
        <v>Águas Lindas de Goiás</v>
      </c>
      <c r="D279" s="1" t="str">
        <f>VLOOKUP(Tabela1[[#This Row],[Cliente]],'BASE DE CLIENTES'!A:C,3,0)</f>
        <v>GO</v>
      </c>
      <c r="E279" s="4" t="str">
        <f>CONCATENATE(Tabela1[[#This Row],[CIDADE]],",",Tabela1[[#This Row],[UF]])</f>
        <v>Águas Lindas de Goiás,GO</v>
      </c>
      <c r="F279" s="2">
        <v>45786</v>
      </c>
      <c r="G279" s="17">
        <v>62.19</v>
      </c>
      <c r="H279" s="17">
        <v>78</v>
      </c>
      <c r="I279" s="6">
        <f>Tabela1[[#This Row],[Valor total]]-Tabela1[[#This Row],[Valor custo]]</f>
        <v>15.810000000000002</v>
      </c>
      <c r="J279" s="7">
        <f>Tabela1[[#This Row],[MARGEM BRUTA]]/Tabela1[[#This Row],[Valor total]]</f>
        <v>0.20269230769230773</v>
      </c>
      <c r="K279" s="1" t="str">
        <f>VLOOKUP(Tabela1[[#This Row],[Cliente]],'BASE DE CLIENTES'!A:D,4,0)</f>
        <v>SERRALHEIRO</v>
      </c>
      <c r="L279" s="1" t="str">
        <f>VLOOKUP(Tabela1[[#This Row],[Cliente]],'BASE DE CLIENTES'!A:E,5,0)</f>
        <v>Águas Lindas de Goiás</v>
      </c>
    </row>
    <row r="280" spans="1:12" x14ac:dyDescent="0.3">
      <c r="B280" s="1" t="s">
        <v>70</v>
      </c>
      <c r="C280" s="4" t="str">
        <f>VLOOKUP(Tabela1[[#This Row],[Cliente]],'BASE DE CLIENTES'!A:E,2,0)</f>
        <v>Brasília</v>
      </c>
      <c r="D280" s="1" t="str">
        <f>VLOOKUP(Tabela1[[#This Row],[Cliente]],'BASE DE CLIENTES'!A:C,3,0)</f>
        <v>DF</v>
      </c>
      <c r="E280" s="4" t="str">
        <f>CONCATENATE(Tabela1[[#This Row],[CIDADE]],",",Tabela1[[#This Row],[UF]])</f>
        <v>Brasília,DF</v>
      </c>
      <c r="F280" s="2">
        <v>45713</v>
      </c>
      <c r="G280" s="17">
        <v>707.23</v>
      </c>
      <c r="H280" s="17">
        <v>1300</v>
      </c>
      <c r="I280" s="6">
        <f>Tabela1[[#This Row],[Valor total]]-Tabela1[[#This Row],[Valor custo]]</f>
        <v>592.77</v>
      </c>
      <c r="J280" s="7">
        <f>Tabela1[[#This Row],[MARGEM BRUTA]]/Tabela1[[#This Row],[Valor total]]</f>
        <v>0.45597692307692306</v>
      </c>
      <c r="K280" s="1" t="str">
        <f>VLOOKUP(Tabela1[[#This Row],[Cliente]],'BASE DE CLIENTES'!A:D,4,0)</f>
        <v>EMPRESA COM MAQUINA</v>
      </c>
      <c r="L280" s="1" t="str">
        <f>VLOOKUP(Tabela1[[#This Row],[Cliente]],'BASE DE CLIENTES'!A:E,5,0)</f>
        <v>TAGUATINGA NORTE (TAGUATINGA)</v>
      </c>
    </row>
    <row r="281" spans="1:12" x14ac:dyDescent="0.3">
      <c r="B281" s="1" t="s">
        <v>19</v>
      </c>
      <c r="C281" s="4" t="str">
        <f>VLOOKUP(Tabela1[[#This Row],[Cliente]],'BASE DE CLIENTES'!A:E,2,0)</f>
        <v>Águas Lindas de Goiás</v>
      </c>
      <c r="D281" s="1" t="str">
        <f>VLOOKUP(Tabela1[[#This Row],[Cliente]],'BASE DE CLIENTES'!A:C,3,0)</f>
        <v>GO</v>
      </c>
      <c r="E281" s="4" t="str">
        <f>CONCATENATE(Tabela1[[#This Row],[CIDADE]],",",Tabela1[[#This Row],[UF]])</f>
        <v>Águas Lindas de Goiás,GO</v>
      </c>
      <c r="F281" s="2">
        <v>45786</v>
      </c>
      <c r="G281" s="17">
        <v>2050</v>
      </c>
      <c r="H281" s="17">
        <v>3300</v>
      </c>
      <c r="I281" s="6">
        <f>Tabela1[[#This Row],[Valor total]]-Tabela1[[#This Row],[Valor custo]]</f>
        <v>1250</v>
      </c>
      <c r="J281" s="7">
        <f>Tabela1[[#This Row],[MARGEM BRUTA]]/Tabela1[[#This Row],[Valor total]]</f>
        <v>0.37878787878787878</v>
      </c>
      <c r="K281" s="1" t="str">
        <f>VLOOKUP(Tabela1[[#This Row],[Cliente]],'BASE DE CLIENTES'!A:D,4,0)</f>
        <v>SERRALHEIRO</v>
      </c>
      <c r="L281" s="1" t="str">
        <f>VLOOKUP(Tabela1[[#This Row],[Cliente]],'BASE DE CLIENTES'!A:E,5,0)</f>
        <v>Águas Lindas de Goiás</v>
      </c>
    </row>
    <row r="282" spans="1:12" x14ac:dyDescent="0.3">
      <c r="B282" s="1" t="s">
        <v>111</v>
      </c>
      <c r="C282" s="4" t="str">
        <f>VLOOKUP(Tabela1[[#This Row],[Cliente]],'BASE DE CLIENTES'!A:E,2,0)</f>
        <v>Brasília</v>
      </c>
      <c r="D282" s="1" t="str">
        <f>VLOOKUP(Tabela1[[#This Row],[Cliente]],'BASE DE CLIENTES'!A:C,3,0)</f>
        <v>DF</v>
      </c>
      <c r="E282" s="4" t="str">
        <f>CONCATENATE(Tabela1[[#This Row],[CIDADE]],",",Tabela1[[#This Row],[UF]])</f>
        <v>Brasília,DF</v>
      </c>
      <c r="F282" s="2">
        <v>45713</v>
      </c>
      <c r="G282" s="17">
        <v>4869.6899999999996</v>
      </c>
      <c r="H282" s="17">
        <v>7071</v>
      </c>
      <c r="I282" s="6">
        <f>Tabela1[[#This Row],[Valor total]]-Tabela1[[#This Row],[Valor custo]]</f>
        <v>2201.3100000000004</v>
      </c>
      <c r="J282" s="7">
        <f>Tabela1[[#This Row],[MARGEM BRUTA]]/Tabela1[[#This Row],[Valor total]]</f>
        <v>0.31131523122613497</v>
      </c>
      <c r="K282" s="1" t="str">
        <f>VLOOKUP(Tabela1[[#This Row],[Cliente]],'BASE DE CLIENTES'!A:D,4,0)</f>
        <v>EMPRESA SEM MAQUINA</v>
      </c>
      <c r="L282" s="1" t="str">
        <f>VLOOKUP(Tabela1[[#This Row],[Cliente]],'BASE DE CLIENTES'!A:E,5,0)</f>
        <v>TAGUATINGA SUL (TAGUATINGA)</v>
      </c>
    </row>
    <row r="283" spans="1:12" x14ac:dyDescent="0.3">
      <c r="B283" s="1" t="s">
        <v>52</v>
      </c>
      <c r="C283" s="4" t="str">
        <f>VLOOKUP(Tabela1[[#This Row],[Cliente]],'BASE DE CLIENTES'!A:E,2,0)</f>
        <v>Brasília</v>
      </c>
      <c r="D283" s="1" t="str">
        <f>VLOOKUP(Tabela1[[#This Row],[Cliente]],'BASE DE CLIENTES'!A:C,3,0)</f>
        <v>DF</v>
      </c>
      <c r="E283" s="4" t="str">
        <f>CONCATENATE(Tabela1[[#This Row],[CIDADE]],",",Tabela1[[#This Row],[UF]])</f>
        <v>Brasília,DF</v>
      </c>
      <c r="F283" s="2">
        <v>45713</v>
      </c>
      <c r="G283" s="17">
        <v>90</v>
      </c>
      <c r="H283" s="17">
        <v>200</v>
      </c>
      <c r="I283" s="6">
        <f>Tabela1[[#This Row],[Valor total]]-Tabela1[[#This Row],[Valor custo]]</f>
        <v>110</v>
      </c>
      <c r="J283" s="7">
        <f>Tabela1[[#This Row],[MARGEM BRUTA]]/Tabela1[[#This Row],[Valor total]]</f>
        <v>0.55000000000000004</v>
      </c>
      <c r="K283" s="1" t="str">
        <f>VLOOKUP(Tabela1[[#This Row],[Cliente]],'BASE DE CLIENTES'!A:D,4,0)</f>
        <v>SERRALHEIRO</v>
      </c>
      <c r="L283" s="1" t="str">
        <f>VLOOKUP(Tabela1[[#This Row],[Cliente]],'BASE DE CLIENTES'!A:E,5,0)</f>
        <v>Ceilândia Sul (Ceilândia)</v>
      </c>
    </row>
    <row r="284" spans="1:12" x14ac:dyDescent="0.3">
      <c r="B284" s="1" t="s">
        <v>27</v>
      </c>
      <c r="C284" s="4" t="str">
        <f>VLOOKUP(Tabela1[[#This Row],[Cliente]],'BASE DE CLIENTES'!A:E,2,0)</f>
        <v>Brasília</v>
      </c>
      <c r="D284" s="1" t="str">
        <f>VLOOKUP(Tabela1[[#This Row],[Cliente]],'BASE DE CLIENTES'!A:C,3,0)</f>
        <v>DF</v>
      </c>
      <c r="E284" s="4" t="str">
        <f>CONCATENATE(Tabela1[[#This Row],[CIDADE]],",",Tabela1[[#This Row],[UF]])</f>
        <v>Brasília,DF</v>
      </c>
      <c r="F284" s="2">
        <v>45713</v>
      </c>
      <c r="G284" s="17">
        <v>1756.8</v>
      </c>
      <c r="H284" s="17">
        <v>1680</v>
      </c>
      <c r="I284" s="6">
        <f>Tabela1[[#This Row],[Valor total]]-Tabela1[[#This Row],[Valor custo]]</f>
        <v>-76.799999999999955</v>
      </c>
      <c r="J284" s="7">
        <f>Tabela1[[#This Row],[MARGEM BRUTA]]/Tabela1[[#This Row],[Valor total]]</f>
        <v>-4.5714285714285686E-2</v>
      </c>
      <c r="K284" s="1" t="str">
        <f>VLOOKUP(Tabela1[[#This Row],[Cliente]],'BASE DE CLIENTES'!A:D,4,0)</f>
        <v>EMPRESA SEM MAQUINA</v>
      </c>
      <c r="L284" s="1" t="str">
        <f>VLOOKUP(Tabela1[[#This Row],[Cliente]],'BASE DE CLIENTES'!A:E,5,0)</f>
        <v>RECANTO DAS EMAS</v>
      </c>
    </row>
    <row r="285" spans="1:12" x14ac:dyDescent="0.3">
      <c r="A285" s="1" t="s">
        <v>122</v>
      </c>
      <c r="B285" s="1" t="s">
        <v>120</v>
      </c>
      <c r="C285" s="4" t="str">
        <f>VLOOKUP(Tabela1[[#This Row],[Cliente]],'BASE DE CLIENTES'!A:E,2,0)</f>
        <v>Brasília</v>
      </c>
      <c r="D285" s="1" t="str">
        <f>VLOOKUP(Tabela1[[#This Row],[Cliente]],'BASE DE CLIENTES'!A:C,3,0)</f>
        <v>DF</v>
      </c>
      <c r="E285" s="4" t="str">
        <f>CONCATENATE(Tabela1[[#This Row],[CIDADE]],",",Tabela1[[#This Row],[UF]])</f>
        <v>Brasília,DF</v>
      </c>
      <c r="F285" s="2">
        <v>45685</v>
      </c>
      <c r="G285" s="17">
        <v>490.58</v>
      </c>
      <c r="H285" s="17">
        <v>1130</v>
      </c>
      <c r="I285" s="6">
        <f>Tabela1[[#This Row],[Valor total]]-Tabela1[[#This Row],[Valor custo]]</f>
        <v>639.42000000000007</v>
      </c>
      <c r="J285" s="7">
        <f>Tabela1[[#This Row],[MARGEM BRUTA]]/Tabela1[[#This Row],[Valor total]]</f>
        <v>0.56585840707964608</v>
      </c>
      <c r="K285" s="1" t="str">
        <f>VLOOKUP(Tabela1[[#This Row],[Cliente]],'BASE DE CLIENTES'!A:D,4,0)</f>
        <v>EMPRESA SEM MAQUINA</v>
      </c>
      <c r="L285" s="1" t="str">
        <f>VLOOKUP(Tabela1[[#This Row],[Cliente]],'BASE DE CLIENTES'!A:E,5,0)</f>
        <v>SAMAMBAIA</v>
      </c>
    </row>
    <row r="286" spans="1:12" x14ac:dyDescent="0.3">
      <c r="B286" s="1" t="s">
        <v>30</v>
      </c>
      <c r="C286" s="4" t="str">
        <f>VLOOKUP(Tabela1[[#This Row],[Cliente]],'BASE DE CLIENTES'!A:E,2,0)</f>
        <v>Águas Lindas de Goiás</v>
      </c>
      <c r="D286" s="1" t="str">
        <f>VLOOKUP(Tabela1[[#This Row],[Cliente]],'BASE DE CLIENTES'!A:C,3,0)</f>
        <v>GO</v>
      </c>
      <c r="E286" s="4" t="str">
        <f>CONCATENATE(Tabela1[[#This Row],[CIDADE]],",",Tabela1[[#This Row],[UF]])</f>
        <v>Águas Lindas de Goiás,GO</v>
      </c>
      <c r="F286" s="2">
        <v>45786</v>
      </c>
      <c r="G286" s="17">
        <v>486.5</v>
      </c>
      <c r="H286" s="17">
        <v>860</v>
      </c>
      <c r="I286" s="6">
        <f>Tabela1[[#This Row],[Valor total]]-Tabela1[[#This Row],[Valor custo]]</f>
        <v>373.5</v>
      </c>
      <c r="J286" s="7">
        <f>Tabela1[[#This Row],[MARGEM BRUTA]]/Tabela1[[#This Row],[Valor total]]</f>
        <v>0.43430232558139537</v>
      </c>
      <c r="K286" s="1" t="str">
        <f>VLOOKUP(Tabela1[[#This Row],[Cliente]],'BASE DE CLIENTES'!A:D,4,0)</f>
        <v>SERRALHEIRO</v>
      </c>
      <c r="L286" s="1" t="str">
        <f>VLOOKUP(Tabela1[[#This Row],[Cliente]],'BASE DE CLIENTES'!A:E,5,0)</f>
        <v>Águas Lindas de Goiás</v>
      </c>
    </row>
    <row r="287" spans="1:12" x14ac:dyDescent="0.3">
      <c r="B287" s="1" t="s">
        <v>66</v>
      </c>
      <c r="C287" s="4" t="str">
        <f>VLOOKUP(Tabela1[[#This Row],[Cliente]],'BASE DE CLIENTES'!A:E,2,0)</f>
        <v>Águas Lindas de Goiás</v>
      </c>
      <c r="D287" s="1" t="str">
        <f>VLOOKUP(Tabela1[[#This Row],[Cliente]],'BASE DE CLIENTES'!A:C,3,0)</f>
        <v>GO</v>
      </c>
      <c r="E287" s="4" t="str">
        <f>CONCATENATE(Tabela1[[#This Row],[CIDADE]],",",Tabela1[[#This Row],[UF]])</f>
        <v>Águas Lindas de Goiás,GO</v>
      </c>
      <c r="F287" s="2">
        <v>45785</v>
      </c>
      <c r="G287" s="17">
        <v>946</v>
      </c>
      <c r="H287" s="17">
        <v>1380</v>
      </c>
      <c r="I287" s="6">
        <f>Tabela1[[#This Row],[Valor total]]-Tabela1[[#This Row],[Valor custo]]</f>
        <v>434</v>
      </c>
      <c r="J287" s="7">
        <f>Tabela1[[#This Row],[MARGEM BRUTA]]/Tabela1[[#This Row],[Valor total]]</f>
        <v>0.3144927536231884</v>
      </c>
      <c r="K287" s="1" t="str">
        <f>VLOOKUP(Tabela1[[#This Row],[Cliente]],'BASE DE CLIENTES'!A:D,4,0)</f>
        <v>EMPRESA COM MAQUINA</v>
      </c>
      <c r="L287" s="1" t="str">
        <f>VLOOKUP(Tabela1[[#This Row],[Cliente]],'BASE DE CLIENTES'!A:E,5,0)</f>
        <v>Águas Lindas de Goiás</v>
      </c>
    </row>
    <row r="288" spans="1:12" x14ac:dyDescent="0.3">
      <c r="B288" s="1" t="s">
        <v>121</v>
      </c>
      <c r="C288" s="4" t="str">
        <f>VLOOKUP(Tabela1[[#This Row],[Cliente]],'BASE DE CLIENTES'!A:E,2,0)</f>
        <v>Brasília</v>
      </c>
      <c r="D288" s="1" t="str">
        <f>VLOOKUP(Tabela1[[#This Row],[Cliente]],'BASE DE CLIENTES'!A:C,3,0)</f>
        <v>DF</v>
      </c>
      <c r="E288" s="4" t="str">
        <f>CONCATENATE(Tabela1[[#This Row],[CIDADE]],",",Tabela1[[#This Row],[UF]])</f>
        <v>Brasília,DF</v>
      </c>
      <c r="F288" s="2">
        <v>45871</v>
      </c>
      <c r="G288" s="17">
        <v>975.58</v>
      </c>
      <c r="H288" s="17">
        <v>1780</v>
      </c>
      <c r="I288" s="6">
        <f>Tabela1[[#This Row],[Valor total]]-Tabela1[[#This Row],[Valor custo]]</f>
        <v>804.42</v>
      </c>
      <c r="J288" s="7">
        <f>Tabela1[[#This Row],[MARGEM BRUTA]]/Tabela1[[#This Row],[Valor total]]</f>
        <v>0.45192134831460673</v>
      </c>
      <c r="K288" s="1" t="str">
        <f>VLOOKUP(Tabela1[[#This Row],[Cliente]],'BASE DE CLIENTES'!A:D,4,0)</f>
        <v>SEM CLASSIFICAÇÃO</v>
      </c>
      <c r="L288" s="1" t="str">
        <f>VLOOKUP(Tabela1[[#This Row],[Cliente]],'BASE DE CLIENTES'!A:E,5,0)</f>
        <v>Asa Sul</v>
      </c>
    </row>
    <row r="289" spans="1:12" x14ac:dyDescent="0.3">
      <c r="B289" s="1" t="s">
        <v>68</v>
      </c>
      <c r="C289" s="4" t="str">
        <f>VLOOKUP(Tabela1[[#This Row],[Cliente]],'BASE DE CLIENTES'!A:E,2,0)</f>
        <v>Brasília</v>
      </c>
      <c r="D289" s="1" t="str">
        <f>VLOOKUP(Tabela1[[#This Row],[Cliente]],'BASE DE CLIENTES'!A:C,3,0)</f>
        <v>DF</v>
      </c>
      <c r="E289" s="4" t="str">
        <f>CONCATENATE(Tabela1[[#This Row],[CIDADE]],",",Tabela1[[#This Row],[UF]])</f>
        <v>Brasília,DF</v>
      </c>
      <c r="F289" s="2">
        <v>45713</v>
      </c>
      <c r="G289" s="17">
        <v>247.71</v>
      </c>
      <c r="H289" s="17">
        <v>320</v>
      </c>
      <c r="I289" s="6">
        <f>Tabela1[[#This Row],[Valor total]]-Tabela1[[#This Row],[Valor custo]]</f>
        <v>72.289999999999992</v>
      </c>
      <c r="J289" s="7">
        <f>Tabela1[[#This Row],[MARGEM BRUTA]]/Tabela1[[#This Row],[Valor total]]</f>
        <v>0.22590624999999998</v>
      </c>
      <c r="K289" s="1" t="str">
        <f>VLOOKUP(Tabela1[[#This Row],[Cliente]],'BASE DE CLIENTES'!A:D,4,0)</f>
        <v>EMPRESA COM MAQUINA</v>
      </c>
      <c r="L289" s="1" t="str">
        <f>VLOOKUP(Tabela1[[#This Row],[Cliente]],'BASE DE CLIENTES'!A:E,5,0)</f>
        <v>SAMAMBAIA SUL (SAMAMBAIA)</v>
      </c>
    </row>
    <row r="290" spans="1:12" x14ac:dyDescent="0.3">
      <c r="B290" s="1" t="s">
        <v>76</v>
      </c>
      <c r="C290" s="4" t="str">
        <f>VLOOKUP(Tabela1[[#This Row],[Cliente]],'BASE DE CLIENTES'!A:E,2,0)</f>
        <v>Brasília</v>
      </c>
      <c r="D290" s="1" t="str">
        <f>VLOOKUP(Tabela1[[#This Row],[Cliente]],'BASE DE CLIENTES'!A:C,3,0)</f>
        <v>DF</v>
      </c>
      <c r="E290" s="4" t="str">
        <f>CONCATENATE(Tabela1[[#This Row],[CIDADE]],",",Tabela1[[#This Row],[UF]])</f>
        <v>Brasília,DF</v>
      </c>
      <c r="F290" s="2">
        <v>45712</v>
      </c>
      <c r="G290" s="17">
        <v>2635.2</v>
      </c>
      <c r="H290" s="17">
        <v>3600</v>
      </c>
      <c r="I290" s="6">
        <f>Tabela1[[#This Row],[Valor total]]-Tabela1[[#This Row],[Valor custo]]</f>
        <v>964.80000000000018</v>
      </c>
      <c r="J290" s="7">
        <f>Tabela1[[#This Row],[MARGEM BRUTA]]/Tabela1[[#This Row],[Valor total]]</f>
        <v>0.26800000000000007</v>
      </c>
      <c r="K290" s="1" t="str">
        <f>VLOOKUP(Tabela1[[#This Row],[Cliente]],'BASE DE CLIENTES'!A:D,4,0)</f>
        <v>EMPRESA COM MAQUINA</v>
      </c>
      <c r="L290" s="1" t="str">
        <f>VLOOKUP(Tabela1[[#This Row],[Cliente]],'BASE DE CLIENTES'!A:E,5,0)</f>
        <v>Setor Placa da Mercedes (Núcleo Bandeirante)</v>
      </c>
    </row>
    <row r="291" spans="1:12" x14ac:dyDescent="0.3">
      <c r="B291" s="1" t="s">
        <v>59</v>
      </c>
      <c r="C291" s="4" t="str">
        <f>VLOOKUP(Tabela1[[#This Row],[Cliente]],'BASE DE CLIENTES'!A:E,2,0)</f>
        <v>Brasília</v>
      </c>
      <c r="D291" s="1" t="str">
        <f>VLOOKUP(Tabela1[[#This Row],[Cliente]],'BASE DE CLIENTES'!A:C,3,0)</f>
        <v>DF</v>
      </c>
      <c r="E291" s="4" t="str">
        <f>CONCATENATE(Tabela1[[#This Row],[CIDADE]],",",Tabela1[[#This Row],[UF]])</f>
        <v>Brasília,DF</v>
      </c>
      <c r="F291" s="2">
        <v>45712</v>
      </c>
      <c r="G291" s="17">
        <v>13719.41</v>
      </c>
      <c r="H291" s="17">
        <v>20000</v>
      </c>
      <c r="I291" s="6">
        <f>Tabela1[[#This Row],[Valor total]]-Tabela1[[#This Row],[Valor custo]]</f>
        <v>6280.59</v>
      </c>
      <c r="J291" s="7">
        <f>Tabela1[[#This Row],[MARGEM BRUTA]]/Tabela1[[#This Row],[Valor total]]</f>
        <v>0.31402950000000002</v>
      </c>
      <c r="K291" s="1" t="str">
        <f>VLOOKUP(Tabela1[[#This Row],[Cliente]],'BASE DE CLIENTES'!A:D,4,0)</f>
        <v>EMPRESA COM MAQUINA</v>
      </c>
      <c r="L291" s="1" t="str">
        <f>VLOOKUP(Tabela1[[#This Row],[Cliente]],'BASE DE CLIENTES'!A:E,5,0)</f>
        <v>SETOR HABITACIONAL VICENTE PIRES</v>
      </c>
    </row>
    <row r="292" spans="1:12" x14ac:dyDescent="0.3">
      <c r="B292" s="1" t="s">
        <v>66</v>
      </c>
      <c r="C292" s="4" t="str">
        <f>VLOOKUP(Tabela1[[#This Row],[Cliente]],'BASE DE CLIENTES'!A:E,2,0)</f>
        <v>Águas Lindas de Goiás</v>
      </c>
      <c r="D292" s="1" t="str">
        <f>VLOOKUP(Tabela1[[#This Row],[Cliente]],'BASE DE CLIENTES'!A:C,3,0)</f>
        <v>GO</v>
      </c>
      <c r="E292" s="4" t="str">
        <f>CONCATENATE(Tabela1[[#This Row],[CIDADE]],",",Tabela1[[#This Row],[UF]])</f>
        <v>Águas Lindas de Goiás,GO</v>
      </c>
      <c r="F292" s="2">
        <v>45784</v>
      </c>
      <c r="G292" s="17">
        <v>35</v>
      </c>
      <c r="H292" s="17">
        <v>45</v>
      </c>
      <c r="I292" s="6">
        <f>Tabela1[[#This Row],[Valor total]]-Tabela1[[#This Row],[Valor custo]]</f>
        <v>10</v>
      </c>
      <c r="J292" s="7">
        <f>Tabela1[[#This Row],[MARGEM BRUTA]]/Tabela1[[#This Row],[Valor total]]</f>
        <v>0.22222222222222221</v>
      </c>
      <c r="K292" s="1" t="str">
        <f>VLOOKUP(Tabela1[[#This Row],[Cliente]],'BASE DE CLIENTES'!A:D,4,0)</f>
        <v>EMPRESA COM MAQUINA</v>
      </c>
      <c r="L292" s="1" t="str">
        <f>VLOOKUP(Tabela1[[#This Row],[Cliente]],'BASE DE CLIENTES'!A:E,5,0)</f>
        <v>Águas Lindas de Goiás</v>
      </c>
    </row>
    <row r="293" spans="1:12" x14ac:dyDescent="0.3">
      <c r="B293" s="1" t="s">
        <v>68</v>
      </c>
      <c r="C293" s="4" t="str">
        <f>VLOOKUP(Tabela1[[#This Row],[Cliente]],'BASE DE CLIENTES'!A:E,2,0)</f>
        <v>Brasília</v>
      </c>
      <c r="D293" s="1" t="str">
        <f>VLOOKUP(Tabela1[[#This Row],[Cliente]],'BASE DE CLIENTES'!A:C,3,0)</f>
        <v>DF</v>
      </c>
      <c r="E293" s="4" t="str">
        <f>CONCATENATE(Tabela1[[#This Row],[CIDADE]],",",Tabela1[[#This Row],[UF]])</f>
        <v>Brasília,DF</v>
      </c>
      <c r="F293" s="2">
        <v>45712</v>
      </c>
      <c r="G293" s="17">
        <v>607.02</v>
      </c>
      <c r="H293" s="17">
        <v>1000</v>
      </c>
      <c r="I293" s="6">
        <f>Tabela1[[#This Row],[Valor total]]-Tabela1[[#This Row],[Valor custo]]</f>
        <v>392.98</v>
      </c>
      <c r="J293" s="7">
        <f>Tabela1[[#This Row],[MARGEM BRUTA]]/Tabela1[[#This Row],[Valor total]]</f>
        <v>0.39298</v>
      </c>
      <c r="K293" s="1" t="str">
        <f>VLOOKUP(Tabela1[[#This Row],[Cliente]],'BASE DE CLIENTES'!A:D,4,0)</f>
        <v>EMPRESA COM MAQUINA</v>
      </c>
      <c r="L293" s="1" t="str">
        <f>VLOOKUP(Tabela1[[#This Row],[Cliente]],'BASE DE CLIENTES'!A:E,5,0)</f>
        <v>SAMAMBAIA SUL (SAMAMBAIA)</v>
      </c>
    </row>
    <row r="294" spans="1:12" x14ac:dyDescent="0.3">
      <c r="B294" s="1" t="s">
        <v>123</v>
      </c>
      <c r="C294" s="4" t="str">
        <f>VLOOKUP(Tabela1[[#This Row],[Cliente]],'BASE DE CLIENTES'!A:E,2,0)</f>
        <v>Brasília</v>
      </c>
      <c r="D294" s="1" t="str">
        <f>VLOOKUP(Tabela1[[#This Row],[Cliente]],'BASE DE CLIENTES'!A:C,3,0)</f>
        <v>DF</v>
      </c>
      <c r="E294" s="4" t="str">
        <f>CONCATENATE(Tabela1[[#This Row],[CIDADE]],",",Tabela1[[#This Row],[UF]])</f>
        <v>Brasília,DF</v>
      </c>
      <c r="F294" s="2">
        <v>45712</v>
      </c>
      <c r="G294" s="17">
        <v>49.4</v>
      </c>
      <c r="H294" s="17">
        <v>91.2</v>
      </c>
      <c r="I294" s="6">
        <f>Tabela1[[#This Row],[Valor total]]-Tabela1[[#This Row],[Valor custo]]</f>
        <v>41.800000000000004</v>
      </c>
      <c r="J294" s="7">
        <f>Tabela1[[#This Row],[MARGEM BRUTA]]/Tabela1[[#This Row],[Valor total]]</f>
        <v>0.45833333333333337</v>
      </c>
      <c r="K294" s="1" t="str">
        <f>VLOOKUP(Tabela1[[#This Row],[Cliente]],'BASE DE CLIENTES'!A:D,4,0)</f>
        <v>EMPRESA COM MAQUINA</v>
      </c>
      <c r="L294" s="1" t="str">
        <f>VLOOKUP(Tabela1[[#This Row],[Cliente]],'BASE DE CLIENTES'!A:E,5,0)</f>
        <v>ADE CEILÂNDIA</v>
      </c>
    </row>
    <row r="295" spans="1:12" x14ac:dyDescent="0.3">
      <c r="B295" s="1" t="s">
        <v>55</v>
      </c>
      <c r="C295" s="4" t="str">
        <f>VLOOKUP(Tabela1[[#This Row],[Cliente]],'BASE DE CLIENTES'!A:E,2,0)</f>
        <v>Brasília</v>
      </c>
      <c r="D295" s="1" t="str">
        <f>VLOOKUP(Tabela1[[#This Row],[Cliente]],'BASE DE CLIENTES'!A:C,3,0)</f>
        <v>DF</v>
      </c>
      <c r="E295" s="4" t="str">
        <f>CONCATENATE(Tabela1[[#This Row],[CIDADE]],",",Tabela1[[#This Row],[UF]])</f>
        <v>Brasília,DF</v>
      </c>
      <c r="F295" s="2">
        <v>45712</v>
      </c>
      <c r="G295" s="17">
        <v>1962.93</v>
      </c>
      <c r="H295" s="17">
        <v>3740</v>
      </c>
      <c r="I295" s="6">
        <f>Tabela1[[#This Row],[Valor total]]-Tabela1[[#This Row],[Valor custo]]</f>
        <v>1777.07</v>
      </c>
      <c r="J295" s="7">
        <f>Tabela1[[#This Row],[MARGEM BRUTA]]/Tabela1[[#This Row],[Valor total]]</f>
        <v>0.47515240641711226</v>
      </c>
      <c r="K295" s="1" t="str">
        <f>VLOOKUP(Tabela1[[#This Row],[Cliente]],'BASE DE CLIENTES'!A:D,4,0)</f>
        <v>EMPRESA SEM MAQUINA</v>
      </c>
      <c r="L295" s="1" t="str">
        <f>VLOOKUP(Tabela1[[#This Row],[Cliente]],'BASE DE CLIENTES'!A:E,5,0)</f>
        <v>RECANTO DAS EMAS</v>
      </c>
    </row>
    <row r="296" spans="1:12" x14ac:dyDescent="0.3">
      <c r="A296" s="1" t="s">
        <v>124</v>
      </c>
      <c r="B296" s="1" t="s">
        <v>120</v>
      </c>
      <c r="C296" s="4" t="str">
        <f>VLOOKUP(Tabela1[[#This Row],[Cliente]],'BASE DE CLIENTES'!A:E,2,0)</f>
        <v>Brasília</v>
      </c>
      <c r="D296" s="1" t="str">
        <f>VLOOKUP(Tabela1[[#This Row],[Cliente]],'BASE DE CLIENTES'!A:C,3,0)</f>
        <v>DF</v>
      </c>
      <c r="E296" s="4" t="str">
        <f>CONCATENATE(Tabela1[[#This Row],[CIDADE]],",",Tabela1[[#This Row],[UF]])</f>
        <v>Brasília,DF</v>
      </c>
      <c r="F296" s="2">
        <v>45679</v>
      </c>
      <c r="G296" s="17">
        <v>6116.64</v>
      </c>
      <c r="H296" s="17">
        <v>9190</v>
      </c>
      <c r="I296" s="6">
        <f>Tabela1[[#This Row],[Valor total]]-Tabela1[[#This Row],[Valor custo]]</f>
        <v>3073.3599999999997</v>
      </c>
      <c r="J296" s="7">
        <f>Tabela1[[#This Row],[MARGEM BRUTA]]/Tabela1[[#This Row],[Valor total]]</f>
        <v>0.3344243743199129</v>
      </c>
      <c r="K296" s="1" t="str">
        <f>VLOOKUP(Tabela1[[#This Row],[Cliente]],'BASE DE CLIENTES'!A:D,4,0)</f>
        <v>EMPRESA SEM MAQUINA</v>
      </c>
      <c r="L296" s="1" t="str">
        <f>VLOOKUP(Tabela1[[#This Row],[Cliente]],'BASE DE CLIENTES'!A:E,5,0)</f>
        <v>SAMAMBAIA</v>
      </c>
    </row>
    <row r="297" spans="1:12" x14ac:dyDescent="0.3">
      <c r="B297" s="1" t="s">
        <v>116</v>
      </c>
      <c r="C297" s="4" t="str">
        <f>VLOOKUP(Tabela1[[#This Row],[Cliente]],'BASE DE CLIENTES'!A:E,2,0)</f>
        <v>Brasília</v>
      </c>
      <c r="D297" s="1" t="str">
        <f>VLOOKUP(Tabela1[[#This Row],[Cliente]],'BASE DE CLIENTES'!A:C,3,0)</f>
        <v>DF</v>
      </c>
      <c r="E297" s="4" t="str">
        <f>CONCATENATE(Tabela1[[#This Row],[CIDADE]],",",Tabela1[[#This Row],[UF]])</f>
        <v>Brasília,DF</v>
      </c>
      <c r="F297" s="2">
        <v>45699</v>
      </c>
      <c r="G297" s="17">
        <v>707.23</v>
      </c>
      <c r="H297" s="17">
        <v>1450</v>
      </c>
      <c r="I297" s="6">
        <f>Tabela1[[#This Row],[Valor total]]-Tabela1[[#This Row],[Valor custo]]</f>
        <v>742.77</v>
      </c>
      <c r="J297" s="7">
        <f>Tabela1[[#This Row],[MARGEM BRUTA]]/Tabela1[[#This Row],[Valor total]]</f>
        <v>0.51225517241379304</v>
      </c>
      <c r="K297" s="1" t="str">
        <f>VLOOKUP(Tabela1[[#This Row],[Cliente]],'BASE DE CLIENTES'!A:D,4,0)</f>
        <v>SEM CLASSIFICAÇÃO</v>
      </c>
      <c r="L297" s="1" t="str">
        <f>VLOOKUP(Tabela1[[#This Row],[Cliente]],'BASE DE CLIENTES'!A:E,5,0)</f>
        <v>VALE DO AMANHECER (PLANALTINA)</v>
      </c>
    </row>
    <row r="298" spans="1:12" x14ac:dyDescent="0.3">
      <c r="B298" s="1" t="s">
        <v>66</v>
      </c>
      <c r="C298" s="4" t="str">
        <f>VLOOKUP(Tabela1[[#This Row],[Cliente]],'BASE DE CLIENTES'!A:E,2,0)</f>
        <v>Águas Lindas de Goiás</v>
      </c>
      <c r="D298" s="1" t="str">
        <f>VLOOKUP(Tabela1[[#This Row],[Cliente]],'BASE DE CLIENTES'!A:C,3,0)</f>
        <v>GO</v>
      </c>
      <c r="E298" s="4" t="str">
        <f>CONCATENATE(Tabela1[[#This Row],[CIDADE]],",",Tabela1[[#This Row],[UF]])</f>
        <v>Águas Lindas de Goiás,GO</v>
      </c>
      <c r="F298" s="2">
        <v>45784</v>
      </c>
      <c r="G298" s="17">
        <v>15.8</v>
      </c>
      <c r="H298" s="17">
        <v>60</v>
      </c>
      <c r="I298" s="6">
        <f>Tabela1[[#This Row],[Valor total]]-Tabela1[[#This Row],[Valor custo]]</f>
        <v>44.2</v>
      </c>
      <c r="J298" s="7">
        <f>Tabela1[[#This Row],[MARGEM BRUTA]]/Tabela1[[#This Row],[Valor total]]</f>
        <v>0.73666666666666669</v>
      </c>
      <c r="K298" s="1" t="str">
        <f>VLOOKUP(Tabela1[[#This Row],[Cliente]],'BASE DE CLIENTES'!A:D,4,0)</f>
        <v>EMPRESA COM MAQUINA</v>
      </c>
      <c r="L298" s="1" t="str">
        <f>VLOOKUP(Tabela1[[#This Row],[Cliente]],'BASE DE CLIENTES'!A:E,5,0)</f>
        <v>Águas Lindas de Goiás</v>
      </c>
    </row>
    <row r="299" spans="1:12" x14ac:dyDescent="0.3">
      <c r="B299" s="1" t="s">
        <v>120</v>
      </c>
      <c r="C299" s="4" t="str">
        <f>VLOOKUP(Tabela1[[#This Row],[Cliente]],'BASE DE CLIENTES'!A:E,2,0)</f>
        <v>Brasília</v>
      </c>
      <c r="D299" s="1" t="str">
        <f>VLOOKUP(Tabela1[[#This Row],[Cliente]],'BASE DE CLIENTES'!A:C,3,0)</f>
        <v>DF</v>
      </c>
      <c r="E299" s="4" t="str">
        <f>CONCATENATE(Tabela1[[#This Row],[CIDADE]],",",Tabela1[[#This Row],[UF]])</f>
        <v>Brasília,DF</v>
      </c>
      <c r="F299" s="2">
        <v>45659</v>
      </c>
      <c r="G299" s="17">
        <v>41</v>
      </c>
      <c r="H299" s="17">
        <v>75</v>
      </c>
      <c r="I299" s="6">
        <f>Tabela1[[#This Row],[Valor total]]-Tabela1[[#This Row],[Valor custo]]</f>
        <v>34</v>
      </c>
      <c r="J299" s="7">
        <f>Tabela1[[#This Row],[MARGEM BRUTA]]/Tabela1[[#This Row],[Valor total]]</f>
        <v>0.45333333333333331</v>
      </c>
      <c r="K299" s="1" t="str">
        <f>VLOOKUP(Tabela1[[#This Row],[Cliente]],'BASE DE CLIENTES'!A:D,4,0)</f>
        <v>EMPRESA SEM MAQUINA</v>
      </c>
      <c r="L299" s="1" t="str">
        <f>VLOOKUP(Tabela1[[#This Row],[Cliente]],'BASE DE CLIENTES'!A:E,5,0)</f>
        <v>SAMAMBAIA</v>
      </c>
    </row>
    <row r="300" spans="1:12" x14ac:dyDescent="0.3">
      <c r="B300" s="1" t="s">
        <v>23</v>
      </c>
      <c r="C300" s="4" t="str">
        <f>VLOOKUP(Tabela1[[#This Row],[Cliente]],'BASE DE CLIENTES'!A:E,2,0)</f>
        <v>Brasília</v>
      </c>
      <c r="D300" s="1" t="str">
        <f>VLOOKUP(Tabela1[[#This Row],[Cliente]],'BASE DE CLIENTES'!A:C,3,0)</f>
        <v>DF</v>
      </c>
      <c r="E300" s="4" t="str">
        <f>CONCATENATE(Tabela1[[#This Row],[CIDADE]],",",Tabela1[[#This Row],[UF]])</f>
        <v>Brasília,DF</v>
      </c>
      <c r="F300" s="2">
        <v>45712</v>
      </c>
      <c r="G300" s="17">
        <v>878.4</v>
      </c>
      <c r="H300" s="17">
        <v>1300</v>
      </c>
      <c r="I300" s="6">
        <f>Tabela1[[#This Row],[Valor total]]-Tabela1[[#This Row],[Valor custo]]</f>
        <v>421.6</v>
      </c>
      <c r="J300" s="7">
        <f>Tabela1[[#This Row],[MARGEM BRUTA]]/Tabela1[[#This Row],[Valor total]]</f>
        <v>0.32430769230769235</v>
      </c>
      <c r="K300" s="1" t="str">
        <f>VLOOKUP(Tabela1[[#This Row],[Cliente]],'BASE DE CLIENTES'!A:D,4,0)</f>
        <v>EMPRESA SEM MAQUINA</v>
      </c>
      <c r="L300" s="1" t="str">
        <f>VLOOKUP(Tabela1[[#This Row],[Cliente]],'BASE DE CLIENTES'!A:E,5,0)</f>
        <v>SETOR INDUSTRIAL (TAGUATINGA)</v>
      </c>
    </row>
    <row r="301" spans="1:12" x14ac:dyDescent="0.3">
      <c r="B301" s="1" t="s">
        <v>66</v>
      </c>
      <c r="C301" s="4" t="str">
        <f>VLOOKUP(Tabela1[[#This Row],[Cliente]],'BASE DE CLIENTES'!A:E,2,0)</f>
        <v>Águas Lindas de Goiás</v>
      </c>
      <c r="D301" s="1" t="str">
        <f>VLOOKUP(Tabela1[[#This Row],[Cliente]],'BASE DE CLIENTES'!A:C,3,0)</f>
        <v>GO</v>
      </c>
      <c r="E301" s="4" t="str">
        <f>CONCATENATE(Tabela1[[#This Row],[CIDADE]],",",Tabela1[[#This Row],[UF]])</f>
        <v>Águas Lindas de Goiás,GO</v>
      </c>
      <c r="F301" s="2">
        <v>45784</v>
      </c>
      <c r="G301" s="17">
        <v>447</v>
      </c>
      <c r="H301" s="17">
        <v>620</v>
      </c>
      <c r="I301" s="6">
        <f>Tabela1[[#This Row],[Valor total]]-Tabela1[[#This Row],[Valor custo]]</f>
        <v>173</v>
      </c>
      <c r="J301" s="7">
        <f>Tabela1[[#This Row],[MARGEM BRUTA]]/Tabela1[[#This Row],[Valor total]]</f>
        <v>0.27903225806451615</v>
      </c>
      <c r="K301" s="1" t="str">
        <f>VLOOKUP(Tabela1[[#This Row],[Cliente]],'BASE DE CLIENTES'!A:D,4,0)</f>
        <v>EMPRESA COM MAQUINA</v>
      </c>
      <c r="L301" s="1" t="str">
        <f>VLOOKUP(Tabela1[[#This Row],[Cliente]],'BASE DE CLIENTES'!A:E,5,0)</f>
        <v>Águas Lindas de Goiás</v>
      </c>
    </row>
    <row r="302" spans="1:12" x14ac:dyDescent="0.3">
      <c r="B302" s="1" t="s">
        <v>120</v>
      </c>
      <c r="C302" s="4" t="str">
        <f>VLOOKUP(Tabela1[[#This Row],[Cliente]],'BASE DE CLIENTES'!A:E,2,0)</f>
        <v>Brasília</v>
      </c>
      <c r="D302" s="1" t="str">
        <f>VLOOKUP(Tabela1[[#This Row],[Cliente]],'BASE DE CLIENTES'!A:C,3,0)</f>
        <v>DF</v>
      </c>
      <c r="E302" s="4" t="str">
        <f>CONCATENATE(Tabela1[[#This Row],[CIDADE]],",",Tabela1[[#This Row],[UF]])</f>
        <v>Brasília,DF</v>
      </c>
      <c r="F302" s="2">
        <v>45714</v>
      </c>
      <c r="G302" s="17">
        <v>49.21</v>
      </c>
      <c r="H302" s="17">
        <v>80</v>
      </c>
      <c r="I302" s="6">
        <f>Tabela1[[#This Row],[Valor total]]-Tabela1[[#This Row],[Valor custo]]</f>
        <v>30.79</v>
      </c>
      <c r="J302" s="7">
        <f>Tabela1[[#This Row],[MARGEM BRUTA]]/Tabela1[[#This Row],[Valor total]]</f>
        <v>0.38487499999999997</v>
      </c>
      <c r="K302" s="1" t="str">
        <f>VLOOKUP(Tabela1[[#This Row],[Cliente]],'BASE DE CLIENTES'!A:D,4,0)</f>
        <v>EMPRESA SEM MAQUINA</v>
      </c>
      <c r="L302" s="1" t="str">
        <f>VLOOKUP(Tabela1[[#This Row],[Cliente]],'BASE DE CLIENTES'!A:E,5,0)</f>
        <v>SAMAMBAIA</v>
      </c>
    </row>
    <row r="303" spans="1:12" x14ac:dyDescent="0.3">
      <c r="B303" s="1" t="s">
        <v>111</v>
      </c>
      <c r="C303" s="4" t="str">
        <f>VLOOKUP(Tabela1[[#This Row],[Cliente]],'BASE DE CLIENTES'!A:E,2,0)</f>
        <v>Brasília</v>
      </c>
      <c r="D303" s="1" t="str">
        <f>VLOOKUP(Tabela1[[#This Row],[Cliente]],'BASE DE CLIENTES'!A:C,3,0)</f>
        <v>DF</v>
      </c>
      <c r="E303" s="4" t="str">
        <f>CONCATENATE(Tabela1[[#This Row],[CIDADE]],",",Tabela1[[#This Row],[UF]])</f>
        <v>Brasília,DF</v>
      </c>
      <c r="F303" s="2">
        <v>45709</v>
      </c>
      <c r="G303" s="17">
        <v>3136.49</v>
      </c>
      <c r="H303" s="17">
        <v>5150</v>
      </c>
      <c r="I303" s="6">
        <f>Tabela1[[#This Row],[Valor total]]-Tabela1[[#This Row],[Valor custo]]</f>
        <v>2013.5100000000002</v>
      </c>
      <c r="J303" s="7">
        <f>Tabela1[[#This Row],[MARGEM BRUTA]]/Tabela1[[#This Row],[Valor total]]</f>
        <v>0.39097281553398061</v>
      </c>
      <c r="K303" s="1" t="str">
        <f>VLOOKUP(Tabela1[[#This Row],[Cliente]],'BASE DE CLIENTES'!A:D,4,0)</f>
        <v>EMPRESA SEM MAQUINA</v>
      </c>
      <c r="L303" s="1" t="str">
        <f>VLOOKUP(Tabela1[[#This Row],[Cliente]],'BASE DE CLIENTES'!A:E,5,0)</f>
        <v>TAGUATINGA SUL (TAGUATINGA)</v>
      </c>
    </row>
    <row r="304" spans="1:12" x14ac:dyDescent="0.3">
      <c r="B304" s="1" t="s">
        <v>19</v>
      </c>
      <c r="C304" s="4" t="str">
        <f>VLOOKUP(Tabela1[[#This Row],[Cliente]],'BASE DE CLIENTES'!A:E,2,0)</f>
        <v>Águas Lindas de Goiás</v>
      </c>
      <c r="D304" s="1" t="str">
        <f>VLOOKUP(Tabela1[[#This Row],[Cliente]],'BASE DE CLIENTES'!A:C,3,0)</f>
        <v>GO</v>
      </c>
      <c r="E304" s="4" t="str">
        <f>CONCATENATE(Tabela1[[#This Row],[CIDADE]],",",Tabela1[[#This Row],[UF]])</f>
        <v>Águas Lindas de Goiás,GO</v>
      </c>
      <c r="F304" s="2">
        <v>45784</v>
      </c>
      <c r="G304" s="17">
        <v>489.19</v>
      </c>
      <c r="H304" s="17">
        <v>701</v>
      </c>
      <c r="I304" s="6">
        <f>Tabela1[[#This Row],[Valor total]]-Tabela1[[#This Row],[Valor custo]]</f>
        <v>211.81</v>
      </c>
      <c r="J304" s="7">
        <f>Tabela1[[#This Row],[MARGEM BRUTA]]/Tabela1[[#This Row],[Valor total]]</f>
        <v>0.30215406562054209</v>
      </c>
      <c r="K304" s="1" t="str">
        <f>VLOOKUP(Tabela1[[#This Row],[Cliente]],'BASE DE CLIENTES'!A:D,4,0)</f>
        <v>SERRALHEIRO</v>
      </c>
      <c r="L304" s="1" t="str">
        <f>VLOOKUP(Tabela1[[#This Row],[Cliente]],'BASE DE CLIENTES'!A:E,5,0)</f>
        <v>Águas Lindas de Goiás</v>
      </c>
    </row>
    <row r="305" spans="2:12" x14ac:dyDescent="0.3">
      <c r="B305" s="1" t="s">
        <v>27</v>
      </c>
      <c r="C305" s="4" t="str">
        <f>VLOOKUP(Tabela1[[#This Row],[Cliente]],'BASE DE CLIENTES'!A:E,2,0)</f>
        <v>Brasília</v>
      </c>
      <c r="D305" s="1" t="str">
        <f>VLOOKUP(Tabela1[[#This Row],[Cliente]],'BASE DE CLIENTES'!A:C,3,0)</f>
        <v>DF</v>
      </c>
      <c r="E305" s="4" t="str">
        <f>CONCATENATE(Tabela1[[#This Row],[CIDADE]],",",Tabela1[[#This Row],[UF]])</f>
        <v>Brasília,DF</v>
      </c>
      <c r="F305" s="2">
        <v>45709</v>
      </c>
      <c r="G305" s="17">
        <v>2088.4299999999998</v>
      </c>
      <c r="H305" s="17">
        <v>4440</v>
      </c>
      <c r="I305" s="6">
        <f>Tabela1[[#This Row],[Valor total]]-Tabela1[[#This Row],[Valor custo]]</f>
        <v>2351.5700000000002</v>
      </c>
      <c r="J305" s="7">
        <f>Tabela1[[#This Row],[MARGEM BRUTA]]/Tabela1[[#This Row],[Valor total]]</f>
        <v>0.5296328828828829</v>
      </c>
      <c r="K305" s="1" t="str">
        <f>VLOOKUP(Tabela1[[#This Row],[Cliente]],'BASE DE CLIENTES'!A:D,4,0)</f>
        <v>EMPRESA SEM MAQUINA</v>
      </c>
      <c r="L305" s="1" t="str">
        <f>VLOOKUP(Tabela1[[#This Row],[Cliente]],'BASE DE CLIENTES'!A:E,5,0)</f>
        <v>RECANTO DAS EMAS</v>
      </c>
    </row>
    <row r="306" spans="2:12" x14ac:dyDescent="0.3">
      <c r="B306" s="1" t="s">
        <v>25</v>
      </c>
      <c r="C306" s="4" t="str">
        <f>VLOOKUP(Tabela1[[#This Row],[Cliente]],'BASE DE CLIENTES'!A:E,2,0)</f>
        <v>Brasília</v>
      </c>
      <c r="D306" s="1" t="str">
        <f>VLOOKUP(Tabela1[[#This Row],[Cliente]],'BASE DE CLIENTES'!A:C,3,0)</f>
        <v>DF</v>
      </c>
      <c r="E306" s="4" t="str">
        <f>CONCATENATE(Tabela1[[#This Row],[CIDADE]],",",Tabela1[[#This Row],[UF]])</f>
        <v>Brasília,DF</v>
      </c>
      <c r="F306" s="2">
        <v>45709</v>
      </c>
      <c r="G306" s="17">
        <v>2769.03</v>
      </c>
      <c r="H306" s="17">
        <v>4280</v>
      </c>
      <c r="I306" s="6">
        <f>Tabela1[[#This Row],[Valor total]]-Tabela1[[#This Row],[Valor custo]]</f>
        <v>1510.9699999999998</v>
      </c>
      <c r="J306" s="7">
        <f>Tabela1[[#This Row],[MARGEM BRUTA]]/Tabela1[[#This Row],[Valor total]]</f>
        <v>0.35303037383177566</v>
      </c>
      <c r="K306" s="1" t="str">
        <f>VLOOKUP(Tabela1[[#This Row],[Cliente]],'BASE DE CLIENTES'!A:D,4,0)</f>
        <v>EMPRESA COM MAQUINA</v>
      </c>
      <c r="L306" s="1" t="str">
        <f>VLOOKUP(Tabela1[[#This Row],[Cliente]],'BASE DE CLIENTES'!A:E,5,0)</f>
        <v>CEILANDIA NORTE (CEILANDIA)</v>
      </c>
    </row>
    <row r="307" spans="2:12" x14ac:dyDescent="0.3">
      <c r="B307" s="1" t="s">
        <v>98</v>
      </c>
      <c r="C307" s="4" t="str">
        <f>VLOOKUP(Tabela1[[#This Row],[Cliente]],'BASE DE CLIENTES'!A:E,2,0)</f>
        <v>Brasília</v>
      </c>
      <c r="D307" s="1" t="str">
        <f>VLOOKUP(Tabela1[[#This Row],[Cliente]],'BASE DE CLIENTES'!A:C,3,0)</f>
        <v>DF</v>
      </c>
      <c r="E307" s="4" t="str">
        <f>CONCATENATE(Tabela1[[#This Row],[CIDADE]],",",Tabela1[[#This Row],[UF]])</f>
        <v>Brasília,DF</v>
      </c>
      <c r="F307" s="2">
        <v>45709</v>
      </c>
      <c r="G307" s="17">
        <v>536.91999999999996</v>
      </c>
      <c r="H307" s="17">
        <v>1100</v>
      </c>
      <c r="I307" s="6">
        <f>Tabela1[[#This Row],[Valor total]]-Tabela1[[#This Row],[Valor custo]]</f>
        <v>563.08000000000004</v>
      </c>
      <c r="J307" s="7">
        <f>Tabela1[[#This Row],[MARGEM BRUTA]]/Tabela1[[#This Row],[Valor total]]</f>
        <v>0.51189090909090917</v>
      </c>
      <c r="K307" s="1" t="str">
        <f>VLOOKUP(Tabela1[[#This Row],[Cliente]],'BASE DE CLIENTES'!A:D,4,0)</f>
        <v>SERRALHEIRO</v>
      </c>
      <c r="L307" s="1" t="str">
        <f>VLOOKUP(Tabela1[[#This Row],[Cliente]],'BASE DE CLIENTES'!A:E,5,0)</f>
        <v>SANTA MARIA</v>
      </c>
    </row>
    <row r="308" spans="2:12" x14ac:dyDescent="0.3">
      <c r="B308" s="1" t="s">
        <v>97</v>
      </c>
      <c r="C308" s="4" t="str">
        <f>VLOOKUP(Tabela1[[#This Row],[Cliente]],'BASE DE CLIENTES'!A:E,2,0)</f>
        <v>Brasília</v>
      </c>
      <c r="D308" s="1" t="str">
        <f>VLOOKUP(Tabela1[[#This Row],[Cliente]],'BASE DE CLIENTES'!A:C,3,0)</f>
        <v>DF</v>
      </c>
      <c r="E308" s="4" t="str">
        <f>CONCATENATE(Tabela1[[#This Row],[CIDADE]],",",Tabela1[[#This Row],[UF]])</f>
        <v>Brasília,DF</v>
      </c>
      <c r="F308" s="2">
        <v>45709</v>
      </c>
      <c r="G308" s="17">
        <v>1505.18</v>
      </c>
      <c r="H308" s="17">
        <v>2645</v>
      </c>
      <c r="I308" s="6">
        <f>Tabela1[[#This Row],[Valor total]]-Tabela1[[#This Row],[Valor custo]]</f>
        <v>1139.82</v>
      </c>
      <c r="J308" s="7">
        <f>Tabela1[[#This Row],[MARGEM BRUTA]]/Tabela1[[#This Row],[Valor total]]</f>
        <v>0.43093383742911151</v>
      </c>
      <c r="K308" s="1" t="str">
        <f>VLOOKUP(Tabela1[[#This Row],[Cliente]],'BASE DE CLIENTES'!A:D,4,0)</f>
        <v>SERRALHEIRO</v>
      </c>
      <c r="L308" s="1" t="str">
        <f>VLOOKUP(Tabela1[[#This Row],[Cliente]],'BASE DE CLIENTES'!A:E,5,0)</f>
        <v>CEILANDIA NORTE</v>
      </c>
    </row>
    <row r="309" spans="2:12" x14ac:dyDescent="0.3">
      <c r="B309" s="1" t="s">
        <v>66</v>
      </c>
      <c r="C309" s="4" t="str">
        <f>VLOOKUP(Tabela1[[#This Row],[Cliente]],'BASE DE CLIENTES'!A:E,2,0)</f>
        <v>Águas Lindas de Goiás</v>
      </c>
      <c r="D309" s="1" t="str">
        <f>VLOOKUP(Tabela1[[#This Row],[Cliente]],'BASE DE CLIENTES'!A:C,3,0)</f>
        <v>GO</v>
      </c>
      <c r="E309" s="4" t="str">
        <f>CONCATENATE(Tabela1[[#This Row],[CIDADE]],",",Tabela1[[#This Row],[UF]])</f>
        <v>Águas Lindas de Goiás,GO</v>
      </c>
      <c r="F309" s="2">
        <v>45783</v>
      </c>
      <c r="G309" s="17">
        <v>994</v>
      </c>
      <c r="H309" s="17">
        <v>1500</v>
      </c>
      <c r="I309" s="6">
        <f>Tabela1[[#This Row],[Valor total]]-Tabela1[[#This Row],[Valor custo]]</f>
        <v>506</v>
      </c>
      <c r="J309" s="7">
        <f>Tabela1[[#This Row],[MARGEM BRUTA]]/Tabela1[[#This Row],[Valor total]]</f>
        <v>0.33733333333333332</v>
      </c>
      <c r="K309" s="1" t="str">
        <f>VLOOKUP(Tabela1[[#This Row],[Cliente]],'BASE DE CLIENTES'!A:D,4,0)</f>
        <v>EMPRESA COM MAQUINA</v>
      </c>
      <c r="L309" s="1" t="str">
        <f>VLOOKUP(Tabela1[[#This Row],[Cliente]],'BASE DE CLIENTES'!A:E,5,0)</f>
        <v>Águas Lindas de Goiás</v>
      </c>
    </row>
    <row r="310" spans="2:12" x14ac:dyDescent="0.3">
      <c r="B310" s="1" t="s">
        <v>66</v>
      </c>
      <c r="C310" s="4" t="str">
        <f>VLOOKUP(Tabela1[[#This Row],[Cliente]],'BASE DE CLIENTES'!A:E,2,0)</f>
        <v>Águas Lindas de Goiás</v>
      </c>
      <c r="D310" s="1" t="str">
        <f>VLOOKUP(Tabela1[[#This Row],[Cliente]],'BASE DE CLIENTES'!A:C,3,0)</f>
        <v>GO</v>
      </c>
      <c r="E310" s="4" t="str">
        <f>CONCATENATE(Tabela1[[#This Row],[CIDADE]],",",Tabela1[[#This Row],[UF]])</f>
        <v>Águas Lindas de Goiás,GO</v>
      </c>
      <c r="F310" s="2">
        <v>45779</v>
      </c>
      <c r="G310" s="17">
        <v>473</v>
      </c>
      <c r="H310" s="17">
        <v>690</v>
      </c>
      <c r="I310" s="6">
        <f>Tabela1[[#This Row],[Valor total]]-Tabela1[[#This Row],[Valor custo]]</f>
        <v>217</v>
      </c>
      <c r="J310" s="7">
        <f>Tabela1[[#This Row],[MARGEM BRUTA]]/Tabela1[[#This Row],[Valor total]]</f>
        <v>0.3144927536231884</v>
      </c>
      <c r="K310" s="1" t="str">
        <f>VLOOKUP(Tabela1[[#This Row],[Cliente]],'BASE DE CLIENTES'!A:D,4,0)</f>
        <v>EMPRESA COM MAQUINA</v>
      </c>
      <c r="L310" s="1" t="str">
        <f>VLOOKUP(Tabela1[[#This Row],[Cliente]],'BASE DE CLIENTES'!A:E,5,0)</f>
        <v>Águas Lindas de Goiás</v>
      </c>
    </row>
    <row r="311" spans="2:12" x14ac:dyDescent="0.3">
      <c r="B311" s="1" t="s">
        <v>19</v>
      </c>
      <c r="C311" s="4" t="str">
        <f>VLOOKUP(Tabela1[[#This Row],[Cliente]],'BASE DE CLIENTES'!A:E,2,0)</f>
        <v>Águas Lindas de Goiás</v>
      </c>
      <c r="D311" s="1" t="str">
        <f>VLOOKUP(Tabela1[[#This Row],[Cliente]],'BASE DE CLIENTES'!A:C,3,0)</f>
        <v>GO</v>
      </c>
      <c r="E311" s="4" t="str">
        <f>CONCATENATE(Tabela1[[#This Row],[CIDADE]],",",Tabela1[[#This Row],[UF]])</f>
        <v>Águas Lindas de Goiás,GO</v>
      </c>
      <c r="F311" s="2">
        <v>45779</v>
      </c>
      <c r="G311" s="17">
        <v>10</v>
      </c>
      <c r="H311" s="17">
        <v>16</v>
      </c>
      <c r="I311" s="6">
        <f>Tabela1[[#This Row],[Valor total]]-Tabela1[[#This Row],[Valor custo]]</f>
        <v>6</v>
      </c>
      <c r="J311" s="7">
        <f>Tabela1[[#This Row],[MARGEM BRUTA]]/Tabela1[[#This Row],[Valor total]]</f>
        <v>0.375</v>
      </c>
      <c r="K311" s="1" t="str">
        <f>VLOOKUP(Tabela1[[#This Row],[Cliente]],'BASE DE CLIENTES'!A:D,4,0)</f>
        <v>SERRALHEIRO</v>
      </c>
      <c r="L311" s="1" t="str">
        <f>VLOOKUP(Tabela1[[#This Row],[Cliente]],'BASE DE CLIENTES'!A:E,5,0)</f>
        <v>Águas Lindas de Goiás</v>
      </c>
    </row>
    <row r="312" spans="2:12" x14ac:dyDescent="0.3">
      <c r="B312" s="1" t="s">
        <v>19</v>
      </c>
      <c r="C312" s="4" t="str">
        <f>VLOOKUP(Tabela1[[#This Row],[Cliente]],'BASE DE CLIENTES'!A:E,2,0)</f>
        <v>Águas Lindas de Goiás</v>
      </c>
      <c r="D312" s="1" t="str">
        <f>VLOOKUP(Tabela1[[#This Row],[Cliente]],'BASE DE CLIENTES'!A:C,3,0)</f>
        <v>GO</v>
      </c>
      <c r="E312" s="4" t="str">
        <f>CONCATENATE(Tabela1[[#This Row],[CIDADE]],",",Tabela1[[#This Row],[UF]])</f>
        <v>Águas Lindas de Goiás,GO</v>
      </c>
      <c r="F312" s="2">
        <v>45779</v>
      </c>
      <c r="G312" s="17">
        <v>473</v>
      </c>
      <c r="H312" s="17">
        <v>720</v>
      </c>
      <c r="I312" s="6">
        <f>Tabela1[[#This Row],[Valor total]]-Tabela1[[#This Row],[Valor custo]]</f>
        <v>247</v>
      </c>
      <c r="J312" s="7">
        <f>Tabela1[[#This Row],[MARGEM BRUTA]]/Tabela1[[#This Row],[Valor total]]</f>
        <v>0.34305555555555556</v>
      </c>
      <c r="K312" s="1" t="str">
        <f>VLOOKUP(Tabela1[[#This Row],[Cliente]],'BASE DE CLIENTES'!A:D,4,0)</f>
        <v>SERRALHEIRO</v>
      </c>
      <c r="L312" s="1" t="str">
        <f>VLOOKUP(Tabela1[[#This Row],[Cliente]],'BASE DE CLIENTES'!A:E,5,0)</f>
        <v>Águas Lindas de Goiás</v>
      </c>
    </row>
    <row r="313" spans="2:12" x14ac:dyDescent="0.3">
      <c r="B313" s="1" t="s">
        <v>66</v>
      </c>
      <c r="C313" s="4" t="str">
        <f>VLOOKUP(Tabela1[[#This Row],[Cliente]],'BASE DE CLIENTES'!A:E,2,0)</f>
        <v>Águas Lindas de Goiás</v>
      </c>
      <c r="D313" s="1" t="str">
        <f>VLOOKUP(Tabela1[[#This Row],[Cliente]],'BASE DE CLIENTES'!A:C,3,0)</f>
        <v>GO</v>
      </c>
      <c r="E313" s="4" t="str">
        <f>CONCATENATE(Tabela1[[#This Row],[CIDADE]],",",Tabela1[[#This Row],[UF]])</f>
        <v>Águas Lindas de Goiás,GO</v>
      </c>
      <c r="F313" s="2">
        <v>45835</v>
      </c>
      <c r="G313" s="17">
        <v>61</v>
      </c>
      <c r="H313" s="17">
        <v>80</v>
      </c>
      <c r="I313" s="6">
        <f>Tabela1[[#This Row],[Valor total]]-Tabela1[[#This Row],[Valor custo]]</f>
        <v>19</v>
      </c>
      <c r="J313" s="7">
        <f>Tabela1[[#This Row],[MARGEM BRUTA]]/Tabela1[[#This Row],[Valor total]]</f>
        <v>0.23749999999999999</v>
      </c>
      <c r="K313" s="1" t="str">
        <f>VLOOKUP(Tabela1[[#This Row],[Cliente]],'BASE DE CLIENTES'!A:D,4,0)</f>
        <v>EMPRESA COM MAQUINA</v>
      </c>
      <c r="L313" s="1" t="str">
        <f>VLOOKUP(Tabela1[[#This Row],[Cliente]],'BASE DE CLIENTES'!A:E,5,0)</f>
        <v>Águas Lindas de Goiás</v>
      </c>
    </row>
    <row r="314" spans="2:12" x14ac:dyDescent="0.3">
      <c r="B314" s="1" t="s">
        <v>66</v>
      </c>
      <c r="C314" s="4" t="str">
        <f>VLOOKUP(Tabela1[[#This Row],[Cliente]],'BASE DE CLIENTES'!A:E,2,0)</f>
        <v>Águas Lindas de Goiás</v>
      </c>
      <c r="D314" s="1" t="str">
        <f>VLOOKUP(Tabela1[[#This Row],[Cliente]],'BASE DE CLIENTES'!A:C,3,0)</f>
        <v>GO</v>
      </c>
      <c r="E314" s="4" t="str">
        <f>CONCATENATE(Tabela1[[#This Row],[CIDADE]],",",Tabela1[[#This Row],[UF]])</f>
        <v>Águas Lindas de Goiás,GO</v>
      </c>
      <c r="F314" s="2">
        <v>45835</v>
      </c>
      <c r="G314" s="17">
        <v>1190</v>
      </c>
      <c r="H314" s="17">
        <v>1970</v>
      </c>
      <c r="I314" s="6">
        <f>Tabela1[[#This Row],[Valor total]]-Tabela1[[#This Row],[Valor custo]]</f>
        <v>780</v>
      </c>
      <c r="J314" s="7">
        <f>Tabela1[[#This Row],[MARGEM BRUTA]]/Tabela1[[#This Row],[Valor total]]</f>
        <v>0.39593908629441626</v>
      </c>
      <c r="K314" s="1" t="str">
        <f>VLOOKUP(Tabela1[[#This Row],[Cliente]],'BASE DE CLIENTES'!A:D,4,0)</f>
        <v>EMPRESA COM MAQUINA</v>
      </c>
      <c r="L314" s="1" t="str">
        <f>VLOOKUP(Tabela1[[#This Row],[Cliente]],'BASE DE CLIENTES'!A:E,5,0)</f>
        <v>Águas Lindas de Goiás</v>
      </c>
    </row>
    <row r="315" spans="2:12" x14ac:dyDescent="0.3">
      <c r="B315" s="1" t="s">
        <v>111</v>
      </c>
      <c r="C315" s="4" t="str">
        <f>VLOOKUP(Tabela1[[#This Row],[Cliente]],'BASE DE CLIENTES'!A:E,2,0)</f>
        <v>Brasília</v>
      </c>
      <c r="D315" s="1" t="str">
        <f>VLOOKUP(Tabela1[[#This Row],[Cliente]],'BASE DE CLIENTES'!A:C,3,0)</f>
        <v>DF</v>
      </c>
      <c r="E315" s="4" t="str">
        <f>CONCATENATE(Tabela1[[#This Row],[CIDADE]],",",Tabela1[[#This Row],[UF]])</f>
        <v>Brasília,DF</v>
      </c>
      <c r="F315" s="2">
        <v>45708</v>
      </c>
      <c r="G315" s="17">
        <v>251</v>
      </c>
      <c r="H315" s="17">
        <v>260</v>
      </c>
      <c r="I315" s="6">
        <f>Tabela1[[#This Row],[Valor total]]-Tabela1[[#This Row],[Valor custo]]</f>
        <v>9</v>
      </c>
      <c r="J315" s="7">
        <f>Tabela1[[#This Row],[MARGEM BRUTA]]/Tabela1[[#This Row],[Valor total]]</f>
        <v>3.4615384615384617E-2</v>
      </c>
      <c r="K315" s="1" t="str">
        <f>VLOOKUP(Tabela1[[#This Row],[Cliente]],'BASE DE CLIENTES'!A:D,4,0)</f>
        <v>EMPRESA SEM MAQUINA</v>
      </c>
      <c r="L315" s="1" t="str">
        <f>VLOOKUP(Tabela1[[#This Row],[Cliente]],'BASE DE CLIENTES'!A:E,5,0)</f>
        <v>TAGUATINGA SUL (TAGUATINGA)</v>
      </c>
    </row>
    <row r="316" spans="2:12" x14ac:dyDescent="0.3">
      <c r="B316" s="1" t="s">
        <v>27</v>
      </c>
      <c r="C316" s="4" t="str">
        <f>VLOOKUP(Tabela1[[#This Row],[Cliente]],'BASE DE CLIENTES'!A:E,2,0)</f>
        <v>Brasília</v>
      </c>
      <c r="D316" s="1" t="str">
        <f>VLOOKUP(Tabela1[[#This Row],[Cliente]],'BASE DE CLIENTES'!A:C,3,0)</f>
        <v>DF</v>
      </c>
      <c r="E316" s="4" t="str">
        <f>CONCATENATE(Tabela1[[#This Row],[CIDADE]],",",Tabela1[[#This Row],[UF]])</f>
        <v>Brasília,DF</v>
      </c>
      <c r="F316" s="2">
        <v>45708</v>
      </c>
      <c r="G316" s="17">
        <v>1317.6</v>
      </c>
      <c r="H316" s="17">
        <v>1860</v>
      </c>
      <c r="I316" s="6">
        <f>Tabela1[[#This Row],[Valor total]]-Tabela1[[#This Row],[Valor custo]]</f>
        <v>542.40000000000009</v>
      </c>
      <c r="J316" s="7">
        <f>Tabela1[[#This Row],[MARGEM BRUTA]]/Tabela1[[#This Row],[Valor total]]</f>
        <v>0.29161290322580652</v>
      </c>
      <c r="K316" s="1" t="str">
        <f>VLOOKUP(Tabela1[[#This Row],[Cliente]],'BASE DE CLIENTES'!A:D,4,0)</f>
        <v>EMPRESA SEM MAQUINA</v>
      </c>
      <c r="L316" s="1" t="str">
        <f>VLOOKUP(Tabela1[[#This Row],[Cliente]],'BASE DE CLIENTES'!A:E,5,0)</f>
        <v>RECANTO DAS EMAS</v>
      </c>
    </row>
    <row r="317" spans="2:12" x14ac:dyDescent="0.3">
      <c r="B317" s="1" t="s">
        <v>111</v>
      </c>
      <c r="C317" s="4" t="str">
        <f>VLOOKUP(Tabela1[[#This Row],[Cliente]],'BASE DE CLIENTES'!A:E,2,0)</f>
        <v>Brasília</v>
      </c>
      <c r="D317" s="1" t="str">
        <f>VLOOKUP(Tabela1[[#This Row],[Cliente]],'BASE DE CLIENTES'!A:C,3,0)</f>
        <v>DF</v>
      </c>
      <c r="E317" s="4" t="str">
        <f>CONCATENATE(Tabela1[[#This Row],[CIDADE]],",",Tabela1[[#This Row],[UF]])</f>
        <v>Brasília,DF</v>
      </c>
      <c r="F317" s="2">
        <v>45708</v>
      </c>
      <c r="G317" s="17">
        <v>528.14</v>
      </c>
      <c r="H317" s="17">
        <v>200</v>
      </c>
      <c r="I317" s="6">
        <f>Tabela1[[#This Row],[Valor total]]-Tabela1[[#This Row],[Valor custo]]</f>
        <v>-328.14</v>
      </c>
      <c r="J317" s="7">
        <f>Tabela1[[#This Row],[MARGEM BRUTA]]/Tabela1[[#This Row],[Valor total]]</f>
        <v>-1.6406999999999998</v>
      </c>
      <c r="K317" s="1" t="str">
        <f>VLOOKUP(Tabela1[[#This Row],[Cliente]],'BASE DE CLIENTES'!A:D,4,0)</f>
        <v>EMPRESA SEM MAQUINA</v>
      </c>
      <c r="L317" s="1" t="str">
        <f>VLOOKUP(Tabela1[[#This Row],[Cliente]],'BASE DE CLIENTES'!A:E,5,0)</f>
        <v>TAGUATINGA SUL (TAGUATINGA)</v>
      </c>
    </row>
    <row r="318" spans="2:12" x14ac:dyDescent="0.3">
      <c r="B318" s="1" t="s">
        <v>17</v>
      </c>
      <c r="C318" s="4" t="str">
        <f>VLOOKUP(Tabela1[[#This Row],[Cliente]],'BASE DE CLIENTES'!A:E,2,0)</f>
        <v>Águas Lindas de Goiás</v>
      </c>
      <c r="D318" s="1" t="str">
        <f>VLOOKUP(Tabela1[[#This Row],[Cliente]],'BASE DE CLIENTES'!A:C,3,0)</f>
        <v>GO</v>
      </c>
      <c r="E318" s="4" t="str">
        <f>CONCATENATE(Tabela1[[#This Row],[CIDADE]],",",Tabela1[[#This Row],[UF]])</f>
        <v>Águas Lindas de Goiás,GO</v>
      </c>
      <c r="F318" s="2">
        <v>45835</v>
      </c>
      <c r="G318" s="17">
        <v>473</v>
      </c>
      <c r="H318" s="17">
        <v>720</v>
      </c>
      <c r="I318" s="6">
        <f>Tabela1[[#This Row],[Valor total]]-Tabela1[[#This Row],[Valor custo]]</f>
        <v>247</v>
      </c>
      <c r="J318" s="7">
        <f>Tabela1[[#This Row],[MARGEM BRUTA]]/Tabela1[[#This Row],[Valor total]]</f>
        <v>0.34305555555555556</v>
      </c>
      <c r="K318" s="1" t="str">
        <f>VLOOKUP(Tabela1[[#This Row],[Cliente]],'BASE DE CLIENTES'!A:D,4,0)</f>
        <v>SERRALHEIRO</v>
      </c>
      <c r="L318" s="1" t="str">
        <f>VLOOKUP(Tabela1[[#This Row],[Cliente]],'BASE DE CLIENTES'!A:E,5,0)</f>
        <v>Águas Lindas de Goiás</v>
      </c>
    </row>
    <row r="319" spans="2:12" x14ac:dyDescent="0.3">
      <c r="B319" s="1" t="s">
        <v>78</v>
      </c>
      <c r="C319" s="4" t="str">
        <f>VLOOKUP(Tabela1[[#This Row],[Cliente]],'BASE DE CLIENTES'!A:E,2,0)</f>
        <v>Brasília</v>
      </c>
      <c r="D319" s="1" t="str">
        <f>VLOOKUP(Tabela1[[#This Row],[Cliente]],'BASE DE CLIENTES'!A:C,3,0)</f>
        <v>DF</v>
      </c>
      <c r="E319" s="4" t="str">
        <f>CONCATENATE(Tabela1[[#This Row],[CIDADE]],",",Tabela1[[#This Row],[UF]])</f>
        <v>Brasília,DF</v>
      </c>
      <c r="F319" s="2">
        <v>45708</v>
      </c>
      <c r="G319" s="17">
        <v>1543.35</v>
      </c>
      <c r="H319" s="17">
        <v>2160</v>
      </c>
      <c r="I319" s="6">
        <f>Tabela1[[#This Row],[Valor total]]-Tabela1[[#This Row],[Valor custo]]</f>
        <v>616.65000000000009</v>
      </c>
      <c r="J319" s="7">
        <f>Tabela1[[#This Row],[MARGEM BRUTA]]/Tabela1[[#This Row],[Valor total]]</f>
        <v>0.28548611111111116</v>
      </c>
      <c r="K319" s="1" t="str">
        <f>VLOOKUP(Tabela1[[#This Row],[Cliente]],'BASE DE CLIENTES'!A:D,4,0)</f>
        <v>SERRALHEIRO</v>
      </c>
      <c r="L319" s="1" t="str">
        <f>VLOOKUP(Tabela1[[#This Row],[Cliente]],'BASE DE CLIENTES'!A:E,5,0)</f>
        <v>Vila do Boa (São Sebastião)</v>
      </c>
    </row>
    <row r="320" spans="2:12" x14ac:dyDescent="0.3">
      <c r="B320" s="1" t="s">
        <v>108</v>
      </c>
      <c r="C320" s="4" t="str">
        <f>VLOOKUP(Tabela1[[#This Row],[Cliente]],'BASE DE CLIENTES'!A:E,2,0)</f>
        <v>Brasília</v>
      </c>
      <c r="D320" s="1" t="str">
        <f>VLOOKUP(Tabela1[[#This Row],[Cliente]],'BASE DE CLIENTES'!A:C,3,0)</f>
        <v>DF</v>
      </c>
      <c r="E320" s="4" t="str">
        <f>CONCATENATE(Tabela1[[#This Row],[CIDADE]],",",Tabela1[[#This Row],[UF]])</f>
        <v>Brasília,DF</v>
      </c>
      <c r="F320" s="2">
        <v>45708</v>
      </c>
      <c r="G320" s="17">
        <v>728.11</v>
      </c>
      <c r="H320" s="17">
        <v>1410</v>
      </c>
      <c r="I320" s="6">
        <f>Tabela1[[#This Row],[Valor total]]-Tabela1[[#This Row],[Valor custo]]</f>
        <v>681.89</v>
      </c>
      <c r="J320" s="7">
        <f>Tabela1[[#This Row],[MARGEM BRUTA]]/Tabela1[[#This Row],[Valor total]]</f>
        <v>0.4836099290780142</v>
      </c>
      <c r="K320" s="1" t="str">
        <f>VLOOKUP(Tabela1[[#This Row],[Cliente]],'BASE DE CLIENTES'!A:D,4,0)</f>
        <v>SERRALHEIRO</v>
      </c>
      <c r="L320" s="1" t="str">
        <f>VLOOKUP(Tabela1[[#This Row],[Cliente]],'BASE DE CLIENTES'!A:E,5,0)</f>
        <v>Vila Planalto</v>
      </c>
    </row>
    <row r="321" spans="2:12" x14ac:dyDescent="0.3">
      <c r="B321" s="1" t="s">
        <v>66</v>
      </c>
      <c r="C321" s="4" t="str">
        <f>VLOOKUP(Tabela1[[#This Row],[Cliente]],'BASE DE CLIENTES'!A:E,2,0)</f>
        <v>Águas Lindas de Goiás</v>
      </c>
      <c r="D321" s="1" t="str">
        <f>VLOOKUP(Tabela1[[#This Row],[Cliente]],'BASE DE CLIENTES'!A:C,3,0)</f>
        <v>GO</v>
      </c>
      <c r="E321" s="4" t="str">
        <f>CONCATENATE(Tabela1[[#This Row],[CIDADE]],",",Tabela1[[#This Row],[UF]])</f>
        <v>Águas Lindas de Goiás,GO</v>
      </c>
      <c r="F321" s="2">
        <v>45834</v>
      </c>
      <c r="G321" s="17">
        <v>447</v>
      </c>
      <c r="H321" s="17">
        <v>615</v>
      </c>
      <c r="I321" s="6">
        <f>Tabela1[[#This Row],[Valor total]]-Tabela1[[#This Row],[Valor custo]]</f>
        <v>168</v>
      </c>
      <c r="J321" s="7">
        <f>Tabela1[[#This Row],[MARGEM BRUTA]]/Tabela1[[#This Row],[Valor total]]</f>
        <v>0.27317073170731709</v>
      </c>
      <c r="K321" s="1" t="str">
        <f>VLOOKUP(Tabela1[[#This Row],[Cliente]],'BASE DE CLIENTES'!A:D,4,0)</f>
        <v>EMPRESA COM MAQUINA</v>
      </c>
      <c r="L321" s="1" t="str">
        <f>VLOOKUP(Tabela1[[#This Row],[Cliente]],'BASE DE CLIENTES'!A:E,5,0)</f>
        <v>Águas Lindas de Goiás</v>
      </c>
    </row>
    <row r="322" spans="2:12" x14ac:dyDescent="0.3">
      <c r="B322" s="1" t="s">
        <v>66</v>
      </c>
      <c r="C322" s="4" t="str">
        <f>VLOOKUP(Tabela1[[#This Row],[Cliente]],'BASE DE CLIENTES'!A:E,2,0)</f>
        <v>Águas Lindas de Goiás</v>
      </c>
      <c r="D322" s="1" t="str">
        <f>VLOOKUP(Tabela1[[#This Row],[Cliente]],'BASE DE CLIENTES'!A:C,3,0)</f>
        <v>GO</v>
      </c>
      <c r="E322" s="4" t="str">
        <f>CONCATENATE(Tabela1[[#This Row],[CIDADE]],",",Tabela1[[#This Row],[UF]])</f>
        <v>Águas Lindas de Goiás,GO</v>
      </c>
      <c r="F322" s="2">
        <v>45834</v>
      </c>
      <c r="G322" s="17">
        <v>1062.8699999999999</v>
      </c>
      <c r="H322" s="17">
        <v>1875</v>
      </c>
      <c r="I322" s="6">
        <f>Tabela1[[#This Row],[Valor total]]-Tabela1[[#This Row],[Valor custo]]</f>
        <v>812.13000000000011</v>
      </c>
      <c r="J322" s="7">
        <f>Tabela1[[#This Row],[MARGEM BRUTA]]/Tabela1[[#This Row],[Valor total]]</f>
        <v>0.43313600000000008</v>
      </c>
      <c r="K322" s="1" t="str">
        <f>VLOOKUP(Tabela1[[#This Row],[Cliente]],'BASE DE CLIENTES'!A:D,4,0)</f>
        <v>EMPRESA COM MAQUINA</v>
      </c>
      <c r="L322" s="1" t="str">
        <f>VLOOKUP(Tabela1[[#This Row],[Cliente]],'BASE DE CLIENTES'!A:E,5,0)</f>
        <v>Águas Lindas de Goiás</v>
      </c>
    </row>
    <row r="323" spans="2:12" x14ac:dyDescent="0.3">
      <c r="B323" s="1" t="s">
        <v>125</v>
      </c>
      <c r="C323" s="4" t="str">
        <f>VLOOKUP(Tabela1[[#This Row],[Cliente]],'BASE DE CLIENTES'!A:E,2,0)</f>
        <v>Águas Lindas de Goiás</v>
      </c>
      <c r="D323" s="1" t="str">
        <f>VLOOKUP(Tabela1[[#This Row],[Cliente]],'BASE DE CLIENTES'!A:C,3,0)</f>
        <v>GO</v>
      </c>
      <c r="E323" s="4" t="str">
        <f>CONCATENATE(Tabela1[[#This Row],[CIDADE]],",",Tabela1[[#This Row],[UF]])</f>
        <v>Águas Lindas de Goiás,GO</v>
      </c>
      <c r="F323" s="2">
        <v>45833</v>
      </c>
      <c r="G323" s="17">
        <v>79</v>
      </c>
      <c r="H323" s="17">
        <v>270</v>
      </c>
      <c r="I323" s="6">
        <f>Tabela1[[#This Row],[Valor total]]-Tabela1[[#This Row],[Valor custo]]</f>
        <v>191</v>
      </c>
      <c r="J323" s="7">
        <f>Tabela1[[#This Row],[MARGEM BRUTA]]/Tabela1[[#This Row],[Valor total]]</f>
        <v>0.70740740740740737</v>
      </c>
      <c r="K323" s="1" t="str">
        <f>VLOOKUP(Tabela1[[#This Row],[Cliente]],'BASE DE CLIENTES'!A:D,4,0)</f>
        <v>SEM CLASSIFICAÇÃO</v>
      </c>
      <c r="L323" s="1" t="str">
        <f>VLOOKUP(Tabela1[[#This Row],[Cliente]],'BASE DE CLIENTES'!A:E,5,0)</f>
        <v>Águas Lindas de Goiás</v>
      </c>
    </row>
    <row r="324" spans="2:12" x14ac:dyDescent="0.3">
      <c r="B324" s="1" t="s">
        <v>19</v>
      </c>
      <c r="C324" s="4" t="str">
        <f>VLOOKUP(Tabela1[[#This Row],[Cliente]],'BASE DE CLIENTES'!A:E,2,0)</f>
        <v>Águas Lindas de Goiás</v>
      </c>
      <c r="D324" s="1" t="str">
        <f>VLOOKUP(Tabela1[[#This Row],[Cliente]],'BASE DE CLIENTES'!A:C,3,0)</f>
        <v>GO</v>
      </c>
      <c r="E324" s="4" t="str">
        <f>CONCATENATE(Tabela1[[#This Row],[CIDADE]],",",Tabela1[[#This Row],[UF]])</f>
        <v>Águas Lindas de Goiás,GO</v>
      </c>
      <c r="F324" s="2">
        <v>45833</v>
      </c>
      <c r="G324" s="17">
        <v>2269.7399999999998</v>
      </c>
      <c r="H324" s="17">
        <v>3900</v>
      </c>
      <c r="I324" s="6">
        <f>Tabela1[[#This Row],[Valor total]]-Tabela1[[#This Row],[Valor custo]]</f>
        <v>1630.2600000000002</v>
      </c>
      <c r="J324" s="7">
        <f>Tabela1[[#This Row],[MARGEM BRUTA]]/Tabela1[[#This Row],[Valor total]]</f>
        <v>0.41801538461538468</v>
      </c>
      <c r="K324" s="1" t="str">
        <f>VLOOKUP(Tabela1[[#This Row],[Cliente]],'BASE DE CLIENTES'!A:D,4,0)</f>
        <v>SERRALHEIRO</v>
      </c>
      <c r="L324" s="1" t="str">
        <f>VLOOKUP(Tabela1[[#This Row],[Cliente]],'BASE DE CLIENTES'!A:E,5,0)</f>
        <v>Águas Lindas de Goiás</v>
      </c>
    </row>
    <row r="325" spans="2:12" x14ac:dyDescent="0.3">
      <c r="B325" s="1" t="s">
        <v>19</v>
      </c>
      <c r="C325" s="4" t="str">
        <f>VLOOKUP(Tabela1[[#This Row],[Cliente]],'BASE DE CLIENTES'!A:E,2,0)</f>
        <v>Águas Lindas de Goiás</v>
      </c>
      <c r="D325" s="1" t="str">
        <f>VLOOKUP(Tabela1[[#This Row],[Cliente]],'BASE DE CLIENTES'!A:C,3,0)</f>
        <v>GO</v>
      </c>
      <c r="E325" s="4" t="str">
        <f>CONCATENATE(Tabela1[[#This Row],[CIDADE]],",",Tabela1[[#This Row],[UF]])</f>
        <v>Águas Lindas de Goiás,GO</v>
      </c>
      <c r="F325" s="2">
        <v>45832</v>
      </c>
      <c r="G325" s="17">
        <v>2145</v>
      </c>
      <c r="H325" s="17">
        <v>3800</v>
      </c>
      <c r="I325" s="6">
        <f>Tabela1[[#This Row],[Valor total]]-Tabela1[[#This Row],[Valor custo]]</f>
        <v>1655</v>
      </c>
      <c r="J325" s="7">
        <f>Tabela1[[#This Row],[MARGEM BRUTA]]/Tabela1[[#This Row],[Valor total]]</f>
        <v>0.43552631578947371</v>
      </c>
      <c r="K325" s="1" t="str">
        <f>VLOOKUP(Tabela1[[#This Row],[Cliente]],'BASE DE CLIENTES'!A:D,4,0)</f>
        <v>SERRALHEIRO</v>
      </c>
      <c r="L325" s="1" t="str">
        <f>VLOOKUP(Tabela1[[#This Row],[Cliente]],'BASE DE CLIENTES'!A:E,5,0)</f>
        <v>Águas Lindas de Goiás</v>
      </c>
    </row>
    <row r="326" spans="2:12" x14ac:dyDescent="0.3">
      <c r="B326" s="1" t="s">
        <v>66</v>
      </c>
      <c r="C326" s="4" t="str">
        <f>VLOOKUP(Tabela1[[#This Row],[Cliente]],'BASE DE CLIENTES'!A:E,2,0)</f>
        <v>Águas Lindas de Goiás</v>
      </c>
      <c r="D326" s="1" t="str">
        <f>VLOOKUP(Tabela1[[#This Row],[Cliente]],'BASE DE CLIENTES'!A:C,3,0)</f>
        <v>GO</v>
      </c>
      <c r="E326" s="4" t="str">
        <f>CONCATENATE(Tabela1[[#This Row],[CIDADE]],",",Tabela1[[#This Row],[UF]])</f>
        <v>Águas Lindas de Goiás,GO</v>
      </c>
      <c r="F326" s="2">
        <v>45831</v>
      </c>
      <c r="G326" s="17">
        <v>993.95</v>
      </c>
      <c r="H326" s="17">
        <v>1400</v>
      </c>
      <c r="I326" s="6">
        <f>Tabela1[[#This Row],[Valor total]]-Tabela1[[#This Row],[Valor custo]]</f>
        <v>406.04999999999995</v>
      </c>
      <c r="J326" s="7">
        <f>Tabela1[[#This Row],[MARGEM BRUTA]]/Tabela1[[#This Row],[Valor total]]</f>
        <v>0.29003571428571423</v>
      </c>
      <c r="K326" s="1" t="str">
        <f>VLOOKUP(Tabela1[[#This Row],[Cliente]],'BASE DE CLIENTES'!A:D,4,0)</f>
        <v>EMPRESA COM MAQUINA</v>
      </c>
      <c r="L326" s="1" t="str">
        <f>VLOOKUP(Tabela1[[#This Row],[Cliente]],'BASE DE CLIENTES'!A:E,5,0)</f>
        <v>Águas Lindas de Goiás</v>
      </c>
    </row>
    <row r="327" spans="2:12" x14ac:dyDescent="0.3">
      <c r="B327" s="1" t="s">
        <v>23</v>
      </c>
      <c r="C327" s="4" t="str">
        <f>VLOOKUP(Tabela1[[#This Row],[Cliente]],'BASE DE CLIENTES'!A:E,2,0)</f>
        <v>Brasília</v>
      </c>
      <c r="D327" s="1" t="str">
        <f>VLOOKUP(Tabela1[[#This Row],[Cliente]],'BASE DE CLIENTES'!A:C,3,0)</f>
        <v>DF</v>
      </c>
      <c r="E327" s="4" t="str">
        <f>CONCATENATE(Tabela1[[#This Row],[CIDADE]],",",Tabela1[[#This Row],[UF]])</f>
        <v>Brasília,DF</v>
      </c>
      <c r="F327" s="2">
        <v>45707</v>
      </c>
      <c r="G327" s="17">
        <v>439.2</v>
      </c>
      <c r="H327" s="17">
        <v>660</v>
      </c>
      <c r="I327" s="6">
        <f>Tabela1[[#This Row],[Valor total]]-Tabela1[[#This Row],[Valor custo]]</f>
        <v>220.8</v>
      </c>
      <c r="J327" s="7">
        <f>Tabela1[[#This Row],[MARGEM BRUTA]]/Tabela1[[#This Row],[Valor total]]</f>
        <v>0.33454545454545459</v>
      </c>
      <c r="K327" s="1" t="str">
        <f>VLOOKUP(Tabela1[[#This Row],[Cliente]],'BASE DE CLIENTES'!A:D,4,0)</f>
        <v>EMPRESA SEM MAQUINA</v>
      </c>
      <c r="L327" s="1" t="str">
        <f>VLOOKUP(Tabela1[[#This Row],[Cliente]],'BASE DE CLIENTES'!A:E,5,0)</f>
        <v>SETOR INDUSTRIAL (TAGUATINGA)</v>
      </c>
    </row>
    <row r="328" spans="2:12" x14ac:dyDescent="0.3">
      <c r="B328" s="1" t="s">
        <v>96</v>
      </c>
      <c r="C328" s="4" t="str">
        <f>VLOOKUP(Tabela1[[#This Row],[Cliente]],'BASE DE CLIENTES'!A:E,2,0)</f>
        <v>Brasília</v>
      </c>
      <c r="D328" s="1" t="str">
        <f>VLOOKUP(Tabela1[[#This Row],[Cliente]],'BASE DE CLIENTES'!A:C,3,0)</f>
        <v>DF</v>
      </c>
      <c r="E328" s="4" t="str">
        <f>CONCATENATE(Tabela1[[#This Row],[CIDADE]],",",Tabela1[[#This Row],[UF]])</f>
        <v>Brasília,DF</v>
      </c>
      <c r="F328" s="2">
        <v>45707</v>
      </c>
      <c r="G328" s="17">
        <v>911.35</v>
      </c>
      <c r="H328" s="17">
        <v>750</v>
      </c>
      <c r="I328" s="6">
        <f>Tabela1[[#This Row],[Valor total]]-Tabela1[[#This Row],[Valor custo]]</f>
        <v>-161.35000000000002</v>
      </c>
      <c r="J328" s="7">
        <f>Tabela1[[#This Row],[MARGEM BRUTA]]/Tabela1[[#This Row],[Valor total]]</f>
        <v>-0.21513333333333337</v>
      </c>
      <c r="K328" s="1" t="str">
        <f>VLOOKUP(Tabela1[[#This Row],[Cliente]],'BASE DE CLIENTES'!A:D,4,0)</f>
        <v>EMPRESA SEM MAQUINA</v>
      </c>
      <c r="L328" s="1" t="str">
        <f>VLOOKUP(Tabela1[[#This Row],[Cliente]],'BASE DE CLIENTES'!A:E,5,0)</f>
        <v>CEILANDIA NORTE (CEILANDIA)</v>
      </c>
    </row>
    <row r="329" spans="2:12" x14ac:dyDescent="0.3">
      <c r="B329" s="1" t="s">
        <v>96</v>
      </c>
      <c r="C329" s="4" t="str">
        <f>VLOOKUP(Tabela1[[#This Row],[Cliente]],'BASE DE CLIENTES'!A:E,2,0)</f>
        <v>Brasília</v>
      </c>
      <c r="D329" s="1" t="str">
        <f>VLOOKUP(Tabela1[[#This Row],[Cliente]],'BASE DE CLIENTES'!A:C,3,0)</f>
        <v>DF</v>
      </c>
      <c r="E329" s="4" t="str">
        <f>CONCATENATE(Tabela1[[#This Row],[CIDADE]],",",Tabela1[[#This Row],[UF]])</f>
        <v>Brasília,DF</v>
      </c>
      <c r="F329" s="2">
        <v>45707</v>
      </c>
      <c r="G329" s="17">
        <v>439.2</v>
      </c>
      <c r="H329" s="17">
        <v>620</v>
      </c>
      <c r="I329" s="6">
        <f>Tabela1[[#This Row],[Valor total]]-Tabela1[[#This Row],[Valor custo]]</f>
        <v>180.8</v>
      </c>
      <c r="J329" s="7">
        <f>Tabela1[[#This Row],[MARGEM BRUTA]]/Tabela1[[#This Row],[Valor total]]</f>
        <v>0.29161290322580646</v>
      </c>
      <c r="K329" s="1" t="str">
        <f>VLOOKUP(Tabela1[[#This Row],[Cliente]],'BASE DE CLIENTES'!A:D,4,0)</f>
        <v>EMPRESA SEM MAQUINA</v>
      </c>
      <c r="L329" s="1" t="str">
        <f>VLOOKUP(Tabela1[[#This Row],[Cliente]],'BASE DE CLIENTES'!A:E,5,0)</f>
        <v>CEILANDIA NORTE (CEILANDIA)</v>
      </c>
    </row>
    <row r="330" spans="2:12" x14ac:dyDescent="0.3">
      <c r="B330" s="1" t="s">
        <v>15</v>
      </c>
      <c r="C330" s="4" t="str">
        <f>VLOOKUP(Tabela1[[#This Row],[Cliente]],'BASE DE CLIENTES'!A:E,2,0)</f>
        <v>Brasília</v>
      </c>
      <c r="D330" s="1" t="str">
        <f>VLOOKUP(Tabela1[[#This Row],[Cliente]],'BASE DE CLIENTES'!A:C,3,0)</f>
        <v>DF</v>
      </c>
      <c r="E330" s="4" t="str">
        <f>CONCATENATE(Tabela1[[#This Row],[CIDADE]],",",Tabela1[[#This Row],[UF]])</f>
        <v>Brasília,DF</v>
      </c>
      <c r="F330" s="2">
        <v>45707</v>
      </c>
      <c r="G330" s="17">
        <v>180</v>
      </c>
      <c r="H330" s="17">
        <v>500</v>
      </c>
      <c r="I330" s="6">
        <f>Tabela1[[#This Row],[Valor total]]-Tabela1[[#This Row],[Valor custo]]</f>
        <v>320</v>
      </c>
      <c r="J330" s="7">
        <f>Tabela1[[#This Row],[MARGEM BRUTA]]/Tabela1[[#This Row],[Valor total]]</f>
        <v>0.64</v>
      </c>
      <c r="K330" s="1" t="str">
        <f>VLOOKUP(Tabela1[[#This Row],[Cliente]],'BASE DE CLIENTES'!A:D,4,0)</f>
        <v>SERRALHEIRO</v>
      </c>
      <c r="L330" s="1" t="str">
        <f>VLOOKUP(Tabela1[[#This Row],[Cliente]],'BASE DE CLIENTES'!A:E,5,0)</f>
        <v>SETOR HABITACIONAL VICENTE PIRES</v>
      </c>
    </row>
    <row r="331" spans="2:12" x14ac:dyDescent="0.3">
      <c r="B331" s="1" t="s">
        <v>17</v>
      </c>
      <c r="C331" s="4" t="str">
        <f>VLOOKUP(Tabela1[[#This Row],[Cliente]],'BASE DE CLIENTES'!A:E,2,0)</f>
        <v>Águas Lindas de Goiás</v>
      </c>
      <c r="D331" s="1" t="str">
        <f>VLOOKUP(Tabela1[[#This Row],[Cliente]],'BASE DE CLIENTES'!A:C,3,0)</f>
        <v>GO</v>
      </c>
      <c r="E331" s="4" t="str">
        <f>CONCATENATE(Tabela1[[#This Row],[CIDADE]],",",Tabela1[[#This Row],[UF]])</f>
        <v>Águas Lindas de Goiás,GO</v>
      </c>
      <c r="F331" s="2">
        <v>45828</v>
      </c>
      <c r="G331" s="17">
        <v>473</v>
      </c>
      <c r="H331" s="17">
        <v>700</v>
      </c>
      <c r="I331" s="6">
        <f>Tabela1[[#This Row],[Valor total]]-Tabela1[[#This Row],[Valor custo]]</f>
        <v>227</v>
      </c>
      <c r="J331" s="7">
        <f>Tabela1[[#This Row],[MARGEM BRUTA]]/Tabela1[[#This Row],[Valor total]]</f>
        <v>0.32428571428571429</v>
      </c>
      <c r="K331" s="1" t="str">
        <f>VLOOKUP(Tabela1[[#This Row],[Cliente]],'BASE DE CLIENTES'!A:D,4,0)</f>
        <v>SERRALHEIRO</v>
      </c>
      <c r="L331" s="1" t="str">
        <f>VLOOKUP(Tabela1[[#This Row],[Cliente]],'BASE DE CLIENTES'!A:E,5,0)</f>
        <v>Águas Lindas de Goiás</v>
      </c>
    </row>
    <row r="332" spans="2:12" x14ac:dyDescent="0.3">
      <c r="B332" s="1" t="s">
        <v>126</v>
      </c>
      <c r="C332" s="4" t="str">
        <f>VLOOKUP(Tabela1[[#This Row],[Cliente]],'BASE DE CLIENTES'!A:E,2,0)</f>
        <v>Brasília</v>
      </c>
      <c r="D332" s="1" t="str">
        <f>VLOOKUP(Tabela1[[#This Row],[Cliente]],'BASE DE CLIENTES'!A:C,3,0)</f>
        <v>DF</v>
      </c>
      <c r="E332" s="4" t="str">
        <f>CONCATENATE(Tabela1[[#This Row],[CIDADE]],",",Tabela1[[#This Row],[UF]])</f>
        <v>Brasília,DF</v>
      </c>
      <c r="F332" s="2">
        <v>45793</v>
      </c>
      <c r="G332" s="17">
        <v>993</v>
      </c>
      <c r="H332" s="17">
        <v>1400</v>
      </c>
      <c r="I332" s="6">
        <f>Tabela1[[#This Row],[Valor total]]-Tabela1[[#This Row],[Valor custo]]</f>
        <v>407</v>
      </c>
      <c r="J332" s="7">
        <f>Tabela1[[#This Row],[MARGEM BRUTA]]/Tabela1[[#This Row],[Valor total]]</f>
        <v>0.2907142857142857</v>
      </c>
      <c r="K332" s="1" t="str">
        <f>VLOOKUP(Tabela1[[#This Row],[Cliente]],'BASE DE CLIENTES'!A:D,4,0)</f>
        <v>SEM CLASSIFICAÇÃO</v>
      </c>
      <c r="L332" s="1" t="str">
        <f>VLOOKUP(Tabela1[[#This Row],[Cliente]],'BASE DE CLIENTES'!A:E,5,0)</f>
        <v>SETOR HABITACIONAL ARNIQUEIRA (AGUAS CLARAS)</v>
      </c>
    </row>
    <row r="333" spans="2:12" x14ac:dyDescent="0.3">
      <c r="B333" s="1" t="s">
        <v>23</v>
      </c>
      <c r="C333" s="4" t="str">
        <f>VLOOKUP(Tabela1[[#This Row],[Cliente]],'BASE DE CLIENTES'!A:E,2,0)</f>
        <v>Brasília</v>
      </c>
      <c r="D333" s="1" t="str">
        <f>VLOOKUP(Tabela1[[#This Row],[Cliente]],'BASE DE CLIENTES'!A:C,3,0)</f>
        <v>DF</v>
      </c>
      <c r="E333" s="4" t="str">
        <f>CONCATENATE(Tabela1[[#This Row],[CIDADE]],",",Tabela1[[#This Row],[UF]])</f>
        <v>Brasília,DF</v>
      </c>
      <c r="F333" s="2">
        <v>45707</v>
      </c>
      <c r="G333" s="17">
        <v>62.75</v>
      </c>
      <c r="H333" s="17">
        <v>70</v>
      </c>
      <c r="I333" s="6">
        <f>Tabela1[[#This Row],[Valor total]]-Tabela1[[#This Row],[Valor custo]]</f>
        <v>7.25</v>
      </c>
      <c r="J333" s="7">
        <f>Tabela1[[#This Row],[MARGEM BRUTA]]/Tabela1[[#This Row],[Valor total]]</f>
        <v>0.10357142857142858</v>
      </c>
      <c r="K333" s="1" t="str">
        <f>VLOOKUP(Tabela1[[#This Row],[Cliente]],'BASE DE CLIENTES'!A:D,4,0)</f>
        <v>EMPRESA SEM MAQUINA</v>
      </c>
      <c r="L333" s="1" t="str">
        <f>VLOOKUP(Tabela1[[#This Row],[Cliente]],'BASE DE CLIENTES'!A:E,5,0)</f>
        <v>SETOR INDUSTRIAL (TAGUATINGA)</v>
      </c>
    </row>
    <row r="334" spans="2:12" x14ac:dyDescent="0.3">
      <c r="B334" s="1" t="s">
        <v>23</v>
      </c>
      <c r="C334" s="4" t="str">
        <f>VLOOKUP(Tabela1[[#This Row],[Cliente]],'BASE DE CLIENTES'!A:E,2,0)</f>
        <v>Brasília</v>
      </c>
      <c r="D334" s="1" t="str">
        <f>VLOOKUP(Tabela1[[#This Row],[Cliente]],'BASE DE CLIENTES'!A:C,3,0)</f>
        <v>DF</v>
      </c>
      <c r="E334" s="4" t="str">
        <f>CONCATENATE(Tabela1[[#This Row],[CIDADE]],",",Tabela1[[#This Row],[UF]])</f>
        <v>Brasília,DF</v>
      </c>
      <c r="F334" s="2">
        <v>45707</v>
      </c>
      <c r="G334" s="17">
        <v>514.45000000000005</v>
      </c>
      <c r="H334" s="17">
        <v>757</v>
      </c>
      <c r="I334" s="6">
        <f>Tabela1[[#This Row],[Valor total]]-Tabela1[[#This Row],[Valor custo]]</f>
        <v>242.54999999999995</v>
      </c>
      <c r="J334" s="7">
        <f>Tabela1[[#This Row],[MARGEM BRUTA]]/Tabela1[[#This Row],[Valor total]]</f>
        <v>0.32040951122853362</v>
      </c>
      <c r="K334" s="1" t="str">
        <f>VLOOKUP(Tabela1[[#This Row],[Cliente]],'BASE DE CLIENTES'!A:D,4,0)</f>
        <v>EMPRESA SEM MAQUINA</v>
      </c>
      <c r="L334" s="1" t="str">
        <f>VLOOKUP(Tabela1[[#This Row],[Cliente]],'BASE DE CLIENTES'!A:E,5,0)</f>
        <v>SETOR INDUSTRIAL (TAGUATINGA)</v>
      </c>
    </row>
    <row r="335" spans="2:12" x14ac:dyDescent="0.3">
      <c r="B335" s="1" t="s">
        <v>66</v>
      </c>
      <c r="C335" s="4" t="str">
        <f>VLOOKUP(Tabela1[[#This Row],[Cliente]],'BASE DE CLIENTES'!A:E,2,0)</f>
        <v>Águas Lindas de Goiás</v>
      </c>
      <c r="D335" s="1" t="str">
        <f>VLOOKUP(Tabela1[[#This Row],[Cliente]],'BASE DE CLIENTES'!A:C,3,0)</f>
        <v>GO</v>
      </c>
      <c r="E335" s="4" t="str">
        <f>CONCATENATE(Tabela1[[#This Row],[CIDADE]],",",Tabela1[[#This Row],[UF]])</f>
        <v>Águas Lindas de Goiás,GO</v>
      </c>
      <c r="F335" s="2">
        <v>45827</v>
      </c>
      <c r="G335" s="17">
        <v>862.61</v>
      </c>
      <c r="H335" s="17">
        <v>1145</v>
      </c>
      <c r="I335" s="6">
        <f>Tabela1[[#This Row],[Valor total]]-Tabela1[[#This Row],[Valor custo]]</f>
        <v>282.39</v>
      </c>
      <c r="J335" s="7">
        <f>Tabela1[[#This Row],[MARGEM BRUTA]]/Tabela1[[#This Row],[Valor total]]</f>
        <v>0.24662882096069869</v>
      </c>
      <c r="K335" s="1" t="str">
        <f>VLOOKUP(Tabela1[[#This Row],[Cliente]],'BASE DE CLIENTES'!A:D,4,0)</f>
        <v>EMPRESA COM MAQUINA</v>
      </c>
      <c r="L335" s="1" t="str">
        <f>VLOOKUP(Tabela1[[#This Row],[Cliente]],'BASE DE CLIENTES'!A:E,5,0)</f>
        <v>Águas Lindas de Goiás</v>
      </c>
    </row>
    <row r="336" spans="2:12" x14ac:dyDescent="0.3">
      <c r="B336" s="1" t="s">
        <v>44</v>
      </c>
      <c r="C336" s="4" t="str">
        <f>VLOOKUP(Tabela1[[#This Row],[Cliente]],'BASE DE CLIENTES'!A:E,2,0)</f>
        <v>Brasília</v>
      </c>
      <c r="D336" s="1" t="str">
        <f>VLOOKUP(Tabela1[[#This Row],[Cliente]],'BASE DE CLIENTES'!A:C,3,0)</f>
        <v>DF</v>
      </c>
      <c r="E336" s="4" t="str">
        <f>CONCATENATE(Tabela1[[#This Row],[CIDADE]],",",Tabela1[[#This Row],[UF]])</f>
        <v>Brasília,DF</v>
      </c>
      <c r="F336" s="2">
        <v>45707</v>
      </c>
      <c r="G336" s="17">
        <v>1096.94</v>
      </c>
      <c r="H336" s="17">
        <v>1600</v>
      </c>
      <c r="I336" s="6">
        <f>Tabela1[[#This Row],[Valor total]]-Tabela1[[#This Row],[Valor custo]]</f>
        <v>503.05999999999995</v>
      </c>
      <c r="J336" s="7">
        <f>Tabela1[[#This Row],[MARGEM BRUTA]]/Tabela1[[#This Row],[Valor total]]</f>
        <v>0.31441249999999998</v>
      </c>
      <c r="K336" s="1" t="str">
        <f>VLOOKUP(Tabela1[[#This Row],[Cliente]],'BASE DE CLIENTES'!A:D,4,0)</f>
        <v>EMPRESA SEM MAQUINA</v>
      </c>
      <c r="L336" s="1" t="str">
        <f>VLOOKUP(Tabela1[[#This Row],[Cliente]],'BASE DE CLIENTES'!A:E,5,0)</f>
        <v>SETOR HABITACIONAL VICENTE PIRES</v>
      </c>
    </row>
    <row r="337" spans="2:12" x14ac:dyDescent="0.3">
      <c r="B337" s="1" t="s">
        <v>108</v>
      </c>
      <c r="C337" s="4" t="str">
        <f>VLOOKUP(Tabela1[[#This Row],[Cliente]],'BASE DE CLIENTES'!A:E,2,0)</f>
        <v>Brasília</v>
      </c>
      <c r="D337" s="1" t="str">
        <f>VLOOKUP(Tabela1[[#This Row],[Cliente]],'BASE DE CLIENTES'!A:C,3,0)</f>
        <v>DF</v>
      </c>
      <c r="E337" s="4" t="str">
        <f>CONCATENATE(Tabela1[[#This Row],[CIDADE]],",",Tabela1[[#This Row],[UF]])</f>
        <v>Brasília,DF</v>
      </c>
      <c r="F337" s="2">
        <v>45707</v>
      </c>
      <c r="G337" s="17">
        <v>601.63</v>
      </c>
      <c r="H337" s="17">
        <v>975</v>
      </c>
      <c r="I337" s="6">
        <f>Tabela1[[#This Row],[Valor total]]-Tabela1[[#This Row],[Valor custo]]</f>
        <v>373.37</v>
      </c>
      <c r="J337" s="7">
        <f>Tabela1[[#This Row],[MARGEM BRUTA]]/Tabela1[[#This Row],[Valor total]]</f>
        <v>0.38294358974358977</v>
      </c>
      <c r="K337" s="1" t="str">
        <f>VLOOKUP(Tabela1[[#This Row],[Cliente]],'BASE DE CLIENTES'!A:D,4,0)</f>
        <v>SERRALHEIRO</v>
      </c>
      <c r="L337" s="1" t="str">
        <f>VLOOKUP(Tabela1[[#This Row],[Cliente]],'BASE DE CLIENTES'!A:E,5,0)</f>
        <v>Vila Planalto</v>
      </c>
    </row>
    <row r="338" spans="2:12" x14ac:dyDescent="0.3">
      <c r="B338" s="1" t="s">
        <v>106</v>
      </c>
      <c r="C338" s="4" t="str">
        <f>VLOOKUP(Tabela1[[#This Row],[Cliente]],'BASE DE CLIENTES'!A:E,2,0)</f>
        <v>Brasília</v>
      </c>
      <c r="D338" s="1" t="str">
        <f>VLOOKUP(Tabela1[[#This Row],[Cliente]],'BASE DE CLIENTES'!A:C,3,0)</f>
        <v>DF</v>
      </c>
      <c r="E338" s="4" t="str">
        <f>CONCATENATE(Tabela1[[#This Row],[CIDADE]],",",Tabela1[[#This Row],[UF]])</f>
        <v>Brasília,DF</v>
      </c>
      <c r="F338" s="2">
        <v>45707</v>
      </c>
      <c r="G338" s="17">
        <v>2196</v>
      </c>
      <c r="H338" s="17">
        <v>3100</v>
      </c>
      <c r="I338" s="6">
        <f>Tabela1[[#This Row],[Valor total]]-Tabela1[[#This Row],[Valor custo]]</f>
        <v>904</v>
      </c>
      <c r="J338" s="7">
        <f>Tabela1[[#This Row],[MARGEM BRUTA]]/Tabela1[[#This Row],[Valor total]]</f>
        <v>0.29161290322580646</v>
      </c>
      <c r="K338" s="1" t="str">
        <f>VLOOKUP(Tabela1[[#This Row],[Cliente]],'BASE DE CLIENTES'!A:D,4,0)</f>
        <v>EMPRESA COM MAQUINA</v>
      </c>
      <c r="L338" s="1" t="str">
        <f>VLOOKUP(Tabela1[[#This Row],[Cliente]],'BASE DE CLIENTES'!A:E,5,0)</f>
        <v>26 DE SETEMBRO</v>
      </c>
    </row>
    <row r="339" spans="2:12" x14ac:dyDescent="0.3">
      <c r="B339" s="1" t="s">
        <v>27</v>
      </c>
      <c r="C339" s="4" t="str">
        <f>VLOOKUP(Tabela1[[#This Row],[Cliente]],'BASE DE CLIENTES'!A:E,2,0)</f>
        <v>Brasília</v>
      </c>
      <c r="D339" s="1" t="str">
        <f>VLOOKUP(Tabela1[[#This Row],[Cliente]],'BASE DE CLIENTES'!A:C,3,0)</f>
        <v>DF</v>
      </c>
      <c r="E339" s="4" t="str">
        <f>CONCATENATE(Tabela1[[#This Row],[CIDADE]],",",Tabela1[[#This Row],[UF]])</f>
        <v>Brasília,DF</v>
      </c>
      <c r="F339" s="2">
        <v>45707</v>
      </c>
      <c r="G339" s="17">
        <v>1187.9000000000001</v>
      </c>
      <c r="H339" s="17">
        <v>1650</v>
      </c>
      <c r="I339" s="6">
        <f>Tabela1[[#This Row],[Valor total]]-Tabela1[[#This Row],[Valor custo]]</f>
        <v>462.09999999999991</v>
      </c>
      <c r="J339" s="7">
        <f>Tabela1[[#This Row],[MARGEM BRUTA]]/Tabela1[[#This Row],[Valor total]]</f>
        <v>0.28006060606060601</v>
      </c>
      <c r="K339" s="1" t="str">
        <f>VLOOKUP(Tabela1[[#This Row],[Cliente]],'BASE DE CLIENTES'!A:D,4,0)</f>
        <v>EMPRESA SEM MAQUINA</v>
      </c>
      <c r="L339" s="1" t="str">
        <f>VLOOKUP(Tabela1[[#This Row],[Cliente]],'BASE DE CLIENTES'!A:E,5,0)</f>
        <v>RECANTO DAS EMAS</v>
      </c>
    </row>
    <row r="340" spans="2:12" x14ac:dyDescent="0.3">
      <c r="B340" s="1" t="s">
        <v>19</v>
      </c>
      <c r="C340" s="4" t="str">
        <f>VLOOKUP(Tabela1[[#This Row],[Cliente]],'BASE DE CLIENTES'!A:E,2,0)</f>
        <v>Águas Lindas de Goiás</v>
      </c>
      <c r="D340" s="1" t="str">
        <f>VLOOKUP(Tabela1[[#This Row],[Cliente]],'BASE DE CLIENTES'!A:C,3,0)</f>
        <v>GO</v>
      </c>
      <c r="E340" s="4" t="str">
        <f>CONCATENATE(Tabela1[[#This Row],[CIDADE]],",",Tabela1[[#This Row],[UF]])</f>
        <v>Águas Lindas de Goiás,GO</v>
      </c>
      <c r="F340" s="2">
        <v>45826</v>
      </c>
      <c r="G340" s="17">
        <v>270</v>
      </c>
      <c r="H340" s="17">
        <v>760</v>
      </c>
      <c r="I340" s="6">
        <f>Tabela1[[#This Row],[Valor total]]-Tabela1[[#This Row],[Valor custo]]</f>
        <v>490</v>
      </c>
      <c r="J340" s="7">
        <f>Tabela1[[#This Row],[MARGEM BRUTA]]/Tabela1[[#This Row],[Valor total]]</f>
        <v>0.64473684210526316</v>
      </c>
      <c r="K340" s="1" t="str">
        <f>VLOOKUP(Tabela1[[#This Row],[Cliente]],'BASE DE CLIENTES'!A:D,4,0)</f>
        <v>SERRALHEIRO</v>
      </c>
      <c r="L340" s="1" t="str">
        <f>VLOOKUP(Tabela1[[#This Row],[Cliente]],'BASE DE CLIENTES'!A:E,5,0)</f>
        <v>Águas Lindas de Goiás</v>
      </c>
    </row>
    <row r="341" spans="2:12" x14ac:dyDescent="0.3">
      <c r="B341" s="1" t="s">
        <v>36</v>
      </c>
      <c r="C341" s="4" t="str">
        <f>VLOOKUP(Tabela1[[#This Row],[Cliente]],'BASE DE CLIENTES'!A:E,2,0)</f>
        <v>Brasília</v>
      </c>
      <c r="D341" s="1" t="str">
        <f>VLOOKUP(Tabela1[[#This Row],[Cliente]],'BASE DE CLIENTES'!A:C,3,0)</f>
        <v>DF</v>
      </c>
      <c r="E341" s="4" t="str">
        <f>CONCATENATE(Tabela1[[#This Row],[CIDADE]],",",Tabela1[[#This Row],[UF]])</f>
        <v>Brasília,DF</v>
      </c>
      <c r="F341" s="2">
        <v>45706</v>
      </c>
      <c r="G341" s="17">
        <v>684.55</v>
      </c>
      <c r="H341" s="17">
        <v>1160</v>
      </c>
      <c r="I341" s="6">
        <f>Tabela1[[#This Row],[Valor total]]-Tabela1[[#This Row],[Valor custo]]</f>
        <v>475.45000000000005</v>
      </c>
      <c r="J341" s="7">
        <f>Tabela1[[#This Row],[MARGEM BRUTA]]/Tabela1[[#This Row],[Valor total]]</f>
        <v>0.40987068965517243</v>
      </c>
      <c r="K341" s="1" t="str">
        <f>VLOOKUP(Tabela1[[#This Row],[Cliente]],'BASE DE CLIENTES'!A:D,4,0)</f>
        <v>SERRALHEIRO</v>
      </c>
      <c r="L341" s="1" t="str">
        <f>VLOOKUP(Tabela1[[#This Row],[Cliente]],'BASE DE CLIENTES'!A:E,5,0)</f>
        <v>CEILANDIA SUL (CEILANDIA)</v>
      </c>
    </row>
    <row r="342" spans="2:12" x14ac:dyDescent="0.3">
      <c r="B342" s="1" t="s">
        <v>55</v>
      </c>
      <c r="C342" s="4" t="str">
        <f>VLOOKUP(Tabela1[[#This Row],[Cliente]],'BASE DE CLIENTES'!A:E,2,0)</f>
        <v>Brasília</v>
      </c>
      <c r="D342" s="1" t="str">
        <f>VLOOKUP(Tabela1[[#This Row],[Cliente]],'BASE DE CLIENTES'!A:C,3,0)</f>
        <v>DF</v>
      </c>
      <c r="E342" s="4" t="str">
        <f>CONCATENATE(Tabela1[[#This Row],[CIDADE]],",",Tabela1[[#This Row],[UF]])</f>
        <v>Brasília,DF</v>
      </c>
      <c r="F342" s="2">
        <v>45706</v>
      </c>
      <c r="G342" s="17">
        <v>561.94000000000005</v>
      </c>
      <c r="H342" s="17">
        <v>825</v>
      </c>
      <c r="I342" s="6">
        <f>Tabela1[[#This Row],[Valor total]]-Tabela1[[#This Row],[Valor custo]]</f>
        <v>263.05999999999995</v>
      </c>
      <c r="J342" s="7">
        <f>Tabela1[[#This Row],[MARGEM BRUTA]]/Tabela1[[#This Row],[Valor total]]</f>
        <v>0.31886060606060601</v>
      </c>
      <c r="K342" s="1" t="str">
        <f>VLOOKUP(Tabela1[[#This Row],[Cliente]],'BASE DE CLIENTES'!A:D,4,0)</f>
        <v>EMPRESA SEM MAQUINA</v>
      </c>
      <c r="L342" s="1" t="str">
        <f>VLOOKUP(Tabela1[[#This Row],[Cliente]],'BASE DE CLIENTES'!A:E,5,0)</f>
        <v>RECANTO DAS EMAS</v>
      </c>
    </row>
    <row r="343" spans="2:12" x14ac:dyDescent="0.3">
      <c r="B343" s="1" t="s">
        <v>85</v>
      </c>
      <c r="C343" s="4" t="str">
        <f>VLOOKUP(Tabela1[[#This Row],[Cliente]],'BASE DE CLIENTES'!A:E,2,0)</f>
        <v>Brasília</v>
      </c>
      <c r="D343" s="1" t="str">
        <f>VLOOKUP(Tabela1[[#This Row],[Cliente]],'BASE DE CLIENTES'!A:C,3,0)</f>
        <v>DF</v>
      </c>
      <c r="E343" s="4" t="str">
        <f>CONCATENATE(Tabela1[[#This Row],[CIDADE]],",",Tabela1[[#This Row],[UF]])</f>
        <v>Brasília,DF</v>
      </c>
      <c r="F343" s="2">
        <v>45706</v>
      </c>
      <c r="G343" s="17">
        <v>356.89</v>
      </c>
      <c r="H343" s="17">
        <v>670</v>
      </c>
      <c r="I343" s="6">
        <f>Tabela1[[#This Row],[Valor total]]-Tabela1[[#This Row],[Valor custo]]</f>
        <v>313.11</v>
      </c>
      <c r="J343" s="7">
        <f>Tabela1[[#This Row],[MARGEM BRUTA]]/Tabela1[[#This Row],[Valor total]]</f>
        <v>0.46732835820895524</v>
      </c>
      <c r="K343" s="1" t="str">
        <f>VLOOKUP(Tabela1[[#This Row],[Cliente]],'BASE DE CLIENTES'!A:D,4,0)</f>
        <v>SERRALHEIRO</v>
      </c>
      <c r="L343" s="1" t="str">
        <f>VLOOKUP(Tabela1[[#This Row],[Cliente]],'BASE DE CLIENTES'!A:E,5,0)</f>
        <v>SAMAMBAIA NORTE (SAMAMBAIA)</v>
      </c>
    </row>
    <row r="344" spans="2:12" x14ac:dyDescent="0.3">
      <c r="B344" s="1" t="s">
        <v>19</v>
      </c>
      <c r="C344" s="4" t="str">
        <f>VLOOKUP(Tabela1[[#This Row],[Cliente]],'BASE DE CLIENTES'!A:E,2,0)</f>
        <v>Águas Lindas de Goiás</v>
      </c>
      <c r="D344" s="1" t="str">
        <f>VLOOKUP(Tabela1[[#This Row],[Cliente]],'BASE DE CLIENTES'!A:C,3,0)</f>
        <v>GO</v>
      </c>
      <c r="E344" s="4" t="str">
        <f>CONCATENATE(Tabela1[[#This Row],[CIDADE]],",",Tabela1[[#This Row],[UF]])</f>
        <v>Águas Lindas de Goiás,GO</v>
      </c>
      <c r="F344" s="2">
        <v>45826</v>
      </c>
      <c r="G344" s="17">
        <v>773</v>
      </c>
      <c r="H344" s="17">
        <v>1600</v>
      </c>
      <c r="I344" s="6">
        <f>Tabela1[[#This Row],[Valor total]]-Tabela1[[#This Row],[Valor custo]]</f>
        <v>827</v>
      </c>
      <c r="J344" s="7">
        <f>Tabela1[[#This Row],[MARGEM BRUTA]]/Tabela1[[#This Row],[Valor total]]</f>
        <v>0.51687499999999997</v>
      </c>
      <c r="K344" s="1" t="str">
        <f>VLOOKUP(Tabela1[[#This Row],[Cliente]],'BASE DE CLIENTES'!A:D,4,0)</f>
        <v>SERRALHEIRO</v>
      </c>
      <c r="L344" s="1" t="str">
        <f>VLOOKUP(Tabela1[[#This Row],[Cliente]],'BASE DE CLIENTES'!A:E,5,0)</f>
        <v>Águas Lindas de Goiás</v>
      </c>
    </row>
    <row r="345" spans="2:12" x14ac:dyDescent="0.3">
      <c r="B345" s="1" t="s">
        <v>85</v>
      </c>
      <c r="C345" s="4" t="str">
        <f>VLOOKUP(Tabela1[[#This Row],[Cliente]],'BASE DE CLIENTES'!A:E,2,0)</f>
        <v>Brasília</v>
      </c>
      <c r="D345" s="1" t="str">
        <f>VLOOKUP(Tabela1[[#This Row],[Cliente]],'BASE DE CLIENTES'!A:C,3,0)</f>
        <v>DF</v>
      </c>
      <c r="E345" s="4" t="str">
        <f>CONCATENATE(Tabela1[[#This Row],[CIDADE]],",",Tabela1[[#This Row],[UF]])</f>
        <v>Brasília,DF</v>
      </c>
      <c r="F345" s="2">
        <v>45706</v>
      </c>
      <c r="G345" s="17">
        <v>0</v>
      </c>
      <c r="H345" s="17">
        <v>550</v>
      </c>
      <c r="I345" s="6">
        <f>Tabela1[[#This Row],[Valor total]]-Tabela1[[#This Row],[Valor custo]]</f>
        <v>550</v>
      </c>
      <c r="J345" s="7">
        <f>Tabela1[[#This Row],[MARGEM BRUTA]]/Tabela1[[#This Row],[Valor total]]</f>
        <v>1</v>
      </c>
      <c r="K345" s="1" t="str">
        <f>VLOOKUP(Tabela1[[#This Row],[Cliente]],'BASE DE CLIENTES'!A:D,4,0)</f>
        <v>SERRALHEIRO</v>
      </c>
      <c r="L345" s="1" t="str">
        <f>VLOOKUP(Tabela1[[#This Row],[Cliente]],'BASE DE CLIENTES'!A:E,5,0)</f>
        <v>SAMAMBAIA NORTE (SAMAMBAIA)</v>
      </c>
    </row>
    <row r="346" spans="2:12" x14ac:dyDescent="0.3">
      <c r="B346" s="1" t="s">
        <v>120</v>
      </c>
      <c r="C346" s="4" t="str">
        <f>VLOOKUP(Tabela1[[#This Row],[Cliente]],'BASE DE CLIENTES'!A:E,2,0)</f>
        <v>Brasília</v>
      </c>
      <c r="D346" s="1" t="str">
        <f>VLOOKUP(Tabela1[[#This Row],[Cliente]],'BASE DE CLIENTES'!A:C,3,0)</f>
        <v>DF</v>
      </c>
      <c r="E346" s="4" t="str">
        <f>CONCATENATE(Tabela1[[#This Row],[CIDADE]],",",Tabela1[[#This Row],[UF]])</f>
        <v>Brasília,DF</v>
      </c>
      <c r="F346" s="2">
        <v>45713</v>
      </c>
      <c r="G346" s="17">
        <v>150</v>
      </c>
      <c r="H346" s="17">
        <v>180</v>
      </c>
      <c r="I346" s="6">
        <f>Tabela1[[#This Row],[Valor total]]-Tabela1[[#This Row],[Valor custo]]</f>
        <v>30</v>
      </c>
      <c r="J346" s="7">
        <f>Tabela1[[#This Row],[MARGEM BRUTA]]/Tabela1[[#This Row],[Valor total]]</f>
        <v>0.16666666666666666</v>
      </c>
      <c r="K346" s="1" t="str">
        <f>VLOOKUP(Tabela1[[#This Row],[Cliente]],'BASE DE CLIENTES'!A:D,4,0)</f>
        <v>EMPRESA SEM MAQUINA</v>
      </c>
      <c r="L346" s="1" t="str">
        <f>VLOOKUP(Tabela1[[#This Row],[Cliente]],'BASE DE CLIENTES'!A:E,5,0)</f>
        <v>SAMAMBAIA</v>
      </c>
    </row>
    <row r="347" spans="2:12" x14ac:dyDescent="0.3">
      <c r="B347" s="1" t="s">
        <v>104</v>
      </c>
      <c r="C347" s="4" t="str">
        <f>VLOOKUP(Tabela1[[#This Row],[Cliente]],'BASE DE CLIENTES'!A:E,2,0)</f>
        <v>Águas Lindas de Goiás</v>
      </c>
      <c r="D347" s="1" t="str">
        <f>VLOOKUP(Tabela1[[#This Row],[Cliente]],'BASE DE CLIENTES'!A:C,3,0)</f>
        <v>GO</v>
      </c>
      <c r="E347" s="4" t="str">
        <f>CONCATENATE(Tabela1[[#This Row],[CIDADE]],",",Tabela1[[#This Row],[UF]])</f>
        <v>Águas Lindas de Goiás,GO</v>
      </c>
      <c r="F347" s="2">
        <v>45825</v>
      </c>
      <c r="G347" s="17">
        <v>710</v>
      </c>
      <c r="H347" s="17">
        <v>1200</v>
      </c>
      <c r="I347" s="6">
        <f>Tabela1[[#This Row],[Valor total]]-Tabela1[[#This Row],[Valor custo]]</f>
        <v>490</v>
      </c>
      <c r="J347" s="7">
        <f>Tabela1[[#This Row],[MARGEM BRUTA]]/Tabela1[[#This Row],[Valor total]]</f>
        <v>0.40833333333333333</v>
      </c>
      <c r="K347" s="1" t="str">
        <f>VLOOKUP(Tabela1[[#This Row],[Cliente]],'BASE DE CLIENTES'!A:D,4,0)</f>
        <v>EMPRESA SEM MAQUINA</v>
      </c>
      <c r="L347" s="1" t="str">
        <f>VLOOKUP(Tabela1[[#This Row],[Cliente]],'BASE DE CLIENTES'!A:E,5,0)</f>
        <v>Águas Lindas de Goiás</v>
      </c>
    </row>
    <row r="348" spans="2:12" x14ac:dyDescent="0.3">
      <c r="B348" s="1" t="s">
        <v>109</v>
      </c>
      <c r="C348" s="4" t="str">
        <f>VLOOKUP(Tabela1[[#This Row],[Cliente]],'BASE DE CLIENTES'!A:E,2,0)</f>
        <v>Águas Lindas de Goiás</v>
      </c>
      <c r="D348" s="1" t="str">
        <f>VLOOKUP(Tabela1[[#This Row],[Cliente]],'BASE DE CLIENTES'!A:C,3,0)</f>
        <v>GO</v>
      </c>
      <c r="E348" s="4" t="str">
        <f>CONCATENATE(Tabela1[[#This Row],[CIDADE]],",",Tabela1[[#This Row],[UF]])</f>
        <v>Águas Lindas de Goiás,GO</v>
      </c>
      <c r="F348" s="2">
        <v>45824</v>
      </c>
      <c r="G348" s="17">
        <v>1419</v>
      </c>
      <c r="H348" s="17">
        <v>2100</v>
      </c>
      <c r="I348" s="6">
        <f>Tabela1[[#This Row],[Valor total]]-Tabela1[[#This Row],[Valor custo]]</f>
        <v>681</v>
      </c>
      <c r="J348" s="7">
        <f>Tabela1[[#This Row],[MARGEM BRUTA]]/Tabela1[[#This Row],[Valor total]]</f>
        <v>0.32428571428571429</v>
      </c>
      <c r="K348" s="1" t="str">
        <f>VLOOKUP(Tabela1[[#This Row],[Cliente]],'BASE DE CLIENTES'!A:D,4,0)</f>
        <v>SERRALHEIRO</v>
      </c>
      <c r="L348" s="1" t="str">
        <f>VLOOKUP(Tabela1[[#This Row],[Cliente]],'BASE DE CLIENTES'!A:E,5,0)</f>
        <v>Águas Lindas de Goiás</v>
      </c>
    </row>
    <row r="349" spans="2:12" x14ac:dyDescent="0.3">
      <c r="B349" s="1" t="s">
        <v>19</v>
      </c>
      <c r="C349" s="4" t="str">
        <f>VLOOKUP(Tabela1[[#This Row],[Cliente]],'BASE DE CLIENTES'!A:E,2,0)</f>
        <v>Águas Lindas de Goiás</v>
      </c>
      <c r="D349" s="1" t="str">
        <f>VLOOKUP(Tabela1[[#This Row],[Cliente]],'BASE DE CLIENTES'!A:C,3,0)</f>
        <v>GO</v>
      </c>
      <c r="E349" s="4" t="str">
        <f>CONCATENATE(Tabela1[[#This Row],[CIDADE]],",",Tabela1[[#This Row],[UF]])</f>
        <v>Águas Lindas de Goiás,GO</v>
      </c>
      <c r="F349" s="2">
        <v>45824</v>
      </c>
      <c r="G349" s="17">
        <v>1278</v>
      </c>
      <c r="H349" s="17">
        <v>2390</v>
      </c>
      <c r="I349" s="6">
        <f>Tabela1[[#This Row],[Valor total]]-Tabela1[[#This Row],[Valor custo]]</f>
        <v>1112</v>
      </c>
      <c r="J349" s="7">
        <f>Tabela1[[#This Row],[MARGEM BRUTA]]/Tabela1[[#This Row],[Valor total]]</f>
        <v>0.46527196652719666</v>
      </c>
      <c r="K349" s="1" t="str">
        <f>VLOOKUP(Tabela1[[#This Row],[Cliente]],'BASE DE CLIENTES'!A:D,4,0)</f>
        <v>SERRALHEIRO</v>
      </c>
      <c r="L349" s="1" t="str">
        <f>VLOOKUP(Tabela1[[#This Row],[Cliente]],'BASE DE CLIENTES'!A:E,5,0)</f>
        <v>Águas Lindas de Goiás</v>
      </c>
    </row>
    <row r="350" spans="2:12" x14ac:dyDescent="0.3">
      <c r="B350" s="1" t="s">
        <v>68</v>
      </c>
      <c r="C350" s="4" t="str">
        <f>VLOOKUP(Tabela1[[#This Row],[Cliente]],'BASE DE CLIENTES'!A:E,2,0)</f>
        <v>Brasília</v>
      </c>
      <c r="D350" s="1" t="str">
        <f>VLOOKUP(Tabela1[[#This Row],[Cliente]],'BASE DE CLIENTES'!A:C,3,0)</f>
        <v>DF</v>
      </c>
      <c r="E350" s="4" t="str">
        <f>CONCATENATE(Tabela1[[#This Row],[CIDADE]],",",Tabela1[[#This Row],[UF]])</f>
        <v>Brasília,DF</v>
      </c>
      <c r="F350" s="2">
        <v>45706</v>
      </c>
      <c r="G350" s="17">
        <v>125</v>
      </c>
      <c r="H350" s="17">
        <v>150</v>
      </c>
      <c r="I350" s="6">
        <f>Tabela1[[#This Row],[Valor total]]-Tabela1[[#This Row],[Valor custo]]</f>
        <v>25</v>
      </c>
      <c r="J350" s="7">
        <f>Tabela1[[#This Row],[MARGEM BRUTA]]/Tabela1[[#This Row],[Valor total]]</f>
        <v>0.16666666666666666</v>
      </c>
      <c r="K350" s="1" t="str">
        <f>VLOOKUP(Tabela1[[#This Row],[Cliente]],'BASE DE CLIENTES'!A:D,4,0)</f>
        <v>EMPRESA COM MAQUINA</v>
      </c>
      <c r="L350" s="1" t="str">
        <f>VLOOKUP(Tabela1[[#This Row],[Cliente]],'BASE DE CLIENTES'!A:E,5,0)</f>
        <v>SAMAMBAIA SUL (SAMAMBAIA)</v>
      </c>
    </row>
    <row r="351" spans="2:12" x14ac:dyDescent="0.3">
      <c r="B351" s="1" t="s">
        <v>66</v>
      </c>
      <c r="C351" s="4" t="str">
        <f>VLOOKUP(Tabela1[[#This Row],[Cliente]],'BASE DE CLIENTES'!A:E,2,0)</f>
        <v>Águas Lindas de Goiás</v>
      </c>
      <c r="D351" s="1" t="str">
        <f>VLOOKUP(Tabela1[[#This Row],[Cliente]],'BASE DE CLIENTES'!A:C,3,0)</f>
        <v>GO</v>
      </c>
      <c r="E351" s="4" t="str">
        <f>CONCATENATE(Tabela1[[#This Row],[CIDADE]],",",Tabela1[[#This Row],[UF]])</f>
        <v>Águas Lindas de Goiás,GO</v>
      </c>
      <c r="F351" s="2">
        <v>45820</v>
      </c>
      <c r="G351" s="17">
        <v>946</v>
      </c>
      <c r="H351" s="17">
        <v>1240</v>
      </c>
      <c r="I351" s="6">
        <f>Tabela1[[#This Row],[Valor total]]-Tabela1[[#This Row],[Valor custo]]</f>
        <v>294</v>
      </c>
      <c r="J351" s="7">
        <f>Tabela1[[#This Row],[MARGEM BRUTA]]/Tabela1[[#This Row],[Valor total]]</f>
        <v>0.23709677419354838</v>
      </c>
      <c r="K351" s="1" t="str">
        <f>VLOOKUP(Tabela1[[#This Row],[Cliente]],'BASE DE CLIENTES'!A:D,4,0)</f>
        <v>EMPRESA COM MAQUINA</v>
      </c>
      <c r="L351" s="1" t="str">
        <f>VLOOKUP(Tabela1[[#This Row],[Cliente]],'BASE DE CLIENTES'!A:E,5,0)</f>
        <v>Águas Lindas de Goiás</v>
      </c>
    </row>
    <row r="352" spans="2:12" x14ac:dyDescent="0.3">
      <c r="B352" s="1" t="s">
        <v>66</v>
      </c>
      <c r="C352" s="4" t="str">
        <f>VLOOKUP(Tabela1[[#This Row],[Cliente]],'BASE DE CLIENTES'!A:E,2,0)</f>
        <v>Águas Lindas de Goiás</v>
      </c>
      <c r="D352" s="1" t="str">
        <f>VLOOKUP(Tabela1[[#This Row],[Cliente]],'BASE DE CLIENTES'!A:C,3,0)</f>
        <v>GO</v>
      </c>
      <c r="E352" s="4" t="str">
        <f>CONCATENATE(Tabela1[[#This Row],[CIDADE]],",",Tabela1[[#This Row],[UF]])</f>
        <v>Águas Lindas de Goiás,GO</v>
      </c>
      <c r="F352" s="2">
        <v>45819</v>
      </c>
      <c r="G352" s="17">
        <v>650.85</v>
      </c>
      <c r="H352" s="17">
        <v>866</v>
      </c>
      <c r="I352" s="6">
        <f>Tabela1[[#This Row],[Valor total]]-Tabela1[[#This Row],[Valor custo]]</f>
        <v>215.14999999999998</v>
      </c>
      <c r="J352" s="7">
        <f>Tabela1[[#This Row],[MARGEM BRUTA]]/Tabela1[[#This Row],[Valor total]]</f>
        <v>0.24844110854503462</v>
      </c>
      <c r="K352" s="1" t="str">
        <f>VLOOKUP(Tabela1[[#This Row],[Cliente]],'BASE DE CLIENTES'!A:D,4,0)</f>
        <v>EMPRESA COM MAQUINA</v>
      </c>
      <c r="L352" s="1" t="str">
        <f>VLOOKUP(Tabela1[[#This Row],[Cliente]],'BASE DE CLIENTES'!A:E,5,0)</f>
        <v>Águas Lindas de Goiás</v>
      </c>
    </row>
    <row r="353" spans="2:12" x14ac:dyDescent="0.3">
      <c r="B353" s="1" t="s">
        <v>106</v>
      </c>
      <c r="C353" s="4" t="str">
        <f>VLOOKUP(Tabela1[[#This Row],[Cliente]],'BASE DE CLIENTES'!A:E,2,0)</f>
        <v>Brasília</v>
      </c>
      <c r="D353" s="1" t="str">
        <f>VLOOKUP(Tabela1[[#This Row],[Cliente]],'BASE DE CLIENTES'!A:C,3,0)</f>
        <v>DF</v>
      </c>
      <c r="E353" s="4" t="str">
        <f>CONCATENATE(Tabela1[[#This Row],[CIDADE]],",",Tabela1[[#This Row],[UF]])</f>
        <v>Brasília,DF</v>
      </c>
      <c r="F353" s="2">
        <v>45705</v>
      </c>
      <c r="G353" s="17">
        <v>90</v>
      </c>
      <c r="H353" s="17">
        <v>180</v>
      </c>
      <c r="I353" s="6">
        <f>Tabela1[[#This Row],[Valor total]]-Tabela1[[#This Row],[Valor custo]]</f>
        <v>90</v>
      </c>
      <c r="J353" s="7">
        <f>Tabela1[[#This Row],[MARGEM BRUTA]]/Tabela1[[#This Row],[Valor total]]</f>
        <v>0.5</v>
      </c>
      <c r="K353" s="1" t="str">
        <f>VLOOKUP(Tabela1[[#This Row],[Cliente]],'BASE DE CLIENTES'!A:D,4,0)</f>
        <v>EMPRESA COM MAQUINA</v>
      </c>
      <c r="L353" s="1" t="str">
        <f>VLOOKUP(Tabela1[[#This Row],[Cliente]],'BASE DE CLIENTES'!A:E,5,0)</f>
        <v>26 DE SETEMBRO</v>
      </c>
    </row>
    <row r="354" spans="2:12" x14ac:dyDescent="0.3">
      <c r="B354" s="1" t="s">
        <v>19</v>
      </c>
      <c r="C354" s="4" t="str">
        <f>VLOOKUP(Tabela1[[#This Row],[Cliente]],'BASE DE CLIENTES'!A:E,2,0)</f>
        <v>Águas Lindas de Goiás</v>
      </c>
      <c r="D354" s="1" t="str">
        <f>VLOOKUP(Tabela1[[#This Row],[Cliente]],'BASE DE CLIENTES'!A:C,3,0)</f>
        <v>GO</v>
      </c>
      <c r="E354" s="4" t="str">
        <f>CONCATENATE(Tabela1[[#This Row],[CIDADE]],",",Tabela1[[#This Row],[UF]])</f>
        <v>Águas Lindas de Goiás,GO</v>
      </c>
      <c r="F354" s="2">
        <v>45819</v>
      </c>
      <c r="G354" s="17">
        <v>163.69</v>
      </c>
      <c r="H354" s="17">
        <v>290</v>
      </c>
      <c r="I354" s="6">
        <f>Tabela1[[#This Row],[Valor total]]-Tabela1[[#This Row],[Valor custo]]</f>
        <v>126.31</v>
      </c>
      <c r="J354" s="7">
        <f>Tabela1[[#This Row],[MARGEM BRUTA]]/Tabela1[[#This Row],[Valor total]]</f>
        <v>0.43555172413793103</v>
      </c>
      <c r="K354" s="1" t="str">
        <f>VLOOKUP(Tabela1[[#This Row],[Cliente]],'BASE DE CLIENTES'!A:D,4,0)</f>
        <v>SERRALHEIRO</v>
      </c>
      <c r="L354" s="1" t="str">
        <f>VLOOKUP(Tabela1[[#This Row],[Cliente]],'BASE DE CLIENTES'!A:E,5,0)</f>
        <v>Águas Lindas de Goiás</v>
      </c>
    </row>
    <row r="355" spans="2:12" x14ac:dyDescent="0.3">
      <c r="B355" s="1" t="s">
        <v>25</v>
      </c>
      <c r="C355" s="4" t="str">
        <f>VLOOKUP(Tabela1[[#This Row],[Cliente]],'BASE DE CLIENTES'!A:E,2,0)</f>
        <v>Brasília</v>
      </c>
      <c r="D355" s="1" t="str">
        <f>VLOOKUP(Tabela1[[#This Row],[Cliente]],'BASE DE CLIENTES'!A:C,3,0)</f>
        <v>DF</v>
      </c>
      <c r="E355" s="4" t="str">
        <f>CONCATENATE(Tabela1[[#This Row],[CIDADE]],",",Tabela1[[#This Row],[UF]])</f>
        <v>Brasília,DF</v>
      </c>
      <c r="F355" s="2">
        <v>45705</v>
      </c>
      <c r="G355" s="17">
        <v>1236.43</v>
      </c>
      <c r="H355" s="17">
        <v>2195</v>
      </c>
      <c r="I355" s="6">
        <f>Tabela1[[#This Row],[Valor total]]-Tabela1[[#This Row],[Valor custo]]</f>
        <v>958.56999999999994</v>
      </c>
      <c r="J355" s="7">
        <f>Tabela1[[#This Row],[MARGEM BRUTA]]/Tabela1[[#This Row],[Valor total]]</f>
        <v>0.43670615034168564</v>
      </c>
      <c r="K355" s="1" t="str">
        <f>VLOOKUP(Tabela1[[#This Row],[Cliente]],'BASE DE CLIENTES'!A:D,4,0)</f>
        <v>EMPRESA COM MAQUINA</v>
      </c>
      <c r="L355" s="1" t="str">
        <f>VLOOKUP(Tabela1[[#This Row],[Cliente]],'BASE DE CLIENTES'!A:E,5,0)</f>
        <v>CEILANDIA NORTE (CEILANDIA)</v>
      </c>
    </row>
    <row r="356" spans="2:12" x14ac:dyDescent="0.3">
      <c r="B356" s="1" t="s">
        <v>66</v>
      </c>
      <c r="C356" s="4" t="str">
        <f>VLOOKUP(Tabela1[[#This Row],[Cliente]],'BASE DE CLIENTES'!A:E,2,0)</f>
        <v>Águas Lindas de Goiás</v>
      </c>
      <c r="D356" s="1" t="str">
        <f>VLOOKUP(Tabela1[[#This Row],[Cliente]],'BASE DE CLIENTES'!A:C,3,0)</f>
        <v>GO</v>
      </c>
      <c r="E356" s="4" t="str">
        <f>CONCATENATE(Tabela1[[#This Row],[CIDADE]],",",Tabela1[[#This Row],[UF]])</f>
        <v>Águas Lindas de Goiás,GO</v>
      </c>
      <c r="F356" s="2">
        <v>45818</v>
      </c>
      <c r="G356" s="17">
        <v>409.87</v>
      </c>
      <c r="H356" s="17">
        <v>585</v>
      </c>
      <c r="I356" s="6">
        <f>Tabela1[[#This Row],[Valor total]]-Tabela1[[#This Row],[Valor custo]]</f>
        <v>175.13</v>
      </c>
      <c r="J356" s="7">
        <f>Tabela1[[#This Row],[MARGEM BRUTA]]/Tabela1[[#This Row],[Valor total]]</f>
        <v>0.29936752136752137</v>
      </c>
      <c r="K356" s="1" t="str">
        <f>VLOOKUP(Tabela1[[#This Row],[Cliente]],'BASE DE CLIENTES'!A:D,4,0)</f>
        <v>EMPRESA COM MAQUINA</v>
      </c>
      <c r="L356" s="1" t="str">
        <f>VLOOKUP(Tabela1[[#This Row],[Cliente]],'BASE DE CLIENTES'!A:E,5,0)</f>
        <v>Águas Lindas de Goiás</v>
      </c>
    </row>
    <row r="357" spans="2:12" x14ac:dyDescent="0.3">
      <c r="B357" s="1" t="s">
        <v>120</v>
      </c>
      <c r="C357" s="4" t="str">
        <f>VLOOKUP(Tabela1[[#This Row],[Cliente]],'BASE DE CLIENTES'!A:E,2,0)</f>
        <v>Brasília</v>
      </c>
      <c r="D357" s="1" t="str">
        <f>VLOOKUP(Tabela1[[#This Row],[Cliente]],'BASE DE CLIENTES'!A:C,3,0)</f>
        <v>DF</v>
      </c>
      <c r="E357" s="4" t="str">
        <f>CONCATENATE(Tabela1[[#This Row],[CIDADE]],",",Tabela1[[#This Row],[UF]])</f>
        <v>Brasília,DF</v>
      </c>
      <c r="F357" s="2">
        <v>45712</v>
      </c>
      <c r="G357" s="17">
        <v>1753.13</v>
      </c>
      <c r="H357" s="17">
        <v>2740</v>
      </c>
      <c r="I357" s="6">
        <f>Tabela1[[#This Row],[Valor total]]-Tabela1[[#This Row],[Valor custo]]</f>
        <v>986.86999999999989</v>
      </c>
      <c r="J357" s="7">
        <f>Tabela1[[#This Row],[MARGEM BRUTA]]/Tabela1[[#This Row],[Valor total]]</f>
        <v>0.36017153284671527</v>
      </c>
      <c r="K357" s="1" t="str">
        <f>VLOOKUP(Tabela1[[#This Row],[Cliente]],'BASE DE CLIENTES'!A:D,4,0)</f>
        <v>EMPRESA SEM MAQUINA</v>
      </c>
      <c r="L357" s="1" t="str">
        <f>VLOOKUP(Tabela1[[#This Row],[Cliente]],'BASE DE CLIENTES'!A:E,5,0)</f>
        <v>SAMAMBAIA</v>
      </c>
    </row>
    <row r="358" spans="2:12" x14ac:dyDescent="0.3">
      <c r="B358" s="1" t="s">
        <v>96</v>
      </c>
      <c r="C358" s="4" t="str">
        <f>VLOOKUP(Tabela1[[#This Row],[Cliente]],'BASE DE CLIENTES'!A:E,2,0)</f>
        <v>Brasília</v>
      </c>
      <c r="D358" s="1" t="str">
        <f>VLOOKUP(Tabela1[[#This Row],[Cliente]],'BASE DE CLIENTES'!A:C,3,0)</f>
        <v>DF</v>
      </c>
      <c r="E358" s="4" t="str">
        <f>CONCATENATE(Tabela1[[#This Row],[CIDADE]],",",Tabela1[[#This Row],[UF]])</f>
        <v>Brasília,DF</v>
      </c>
      <c r="F358" s="2">
        <v>45705</v>
      </c>
      <c r="G358" s="17">
        <v>1586.06</v>
      </c>
      <c r="H358" s="17">
        <v>2185</v>
      </c>
      <c r="I358" s="6">
        <f>Tabela1[[#This Row],[Valor total]]-Tabela1[[#This Row],[Valor custo]]</f>
        <v>598.94000000000005</v>
      </c>
      <c r="J358" s="7">
        <f>Tabela1[[#This Row],[MARGEM BRUTA]]/Tabela1[[#This Row],[Valor total]]</f>
        <v>0.27411441647597257</v>
      </c>
      <c r="K358" s="1" t="str">
        <f>VLOOKUP(Tabela1[[#This Row],[Cliente]],'BASE DE CLIENTES'!A:D,4,0)</f>
        <v>EMPRESA SEM MAQUINA</v>
      </c>
      <c r="L358" s="1" t="str">
        <f>VLOOKUP(Tabela1[[#This Row],[Cliente]],'BASE DE CLIENTES'!A:E,5,0)</f>
        <v>CEILANDIA NORTE (CEILANDIA)</v>
      </c>
    </row>
    <row r="359" spans="2:12" x14ac:dyDescent="0.3">
      <c r="B359" s="1" t="s">
        <v>38</v>
      </c>
      <c r="C359" s="4" t="str">
        <f>VLOOKUP(Tabela1[[#This Row],[Cliente]],'BASE DE CLIENTES'!A:E,2,0)</f>
        <v>Brasília</v>
      </c>
      <c r="D359" s="1" t="str">
        <f>VLOOKUP(Tabela1[[#This Row],[Cliente]],'BASE DE CLIENTES'!A:C,3,0)</f>
        <v>DF</v>
      </c>
      <c r="E359" s="4" t="str">
        <f>CONCATENATE(Tabela1[[#This Row],[CIDADE]],",",Tabela1[[#This Row],[UF]])</f>
        <v>Brasília,DF</v>
      </c>
      <c r="F359" s="2">
        <v>45705</v>
      </c>
      <c r="G359" s="17">
        <v>1790.56</v>
      </c>
      <c r="H359" s="17">
        <v>2860</v>
      </c>
      <c r="I359" s="6">
        <f>Tabela1[[#This Row],[Valor total]]-Tabela1[[#This Row],[Valor custo]]</f>
        <v>1069.44</v>
      </c>
      <c r="J359" s="7">
        <f>Tabela1[[#This Row],[MARGEM BRUTA]]/Tabela1[[#This Row],[Valor total]]</f>
        <v>0.37393006993006994</v>
      </c>
      <c r="K359" s="1" t="str">
        <f>VLOOKUP(Tabela1[[#This Row],[Cliente]],'BASE DE CLIENTES'!A:D,4,0)</f>
        <v>EMPRESA SEM MAQUINA</v>
      </c>
      <c r="L359" s="1" t="str">
        <f>VLOOKUP(Tabela1[[#This Row],[Cliente]],'BASE DE CLIENTES'!A:E,5,0)</f>
        <v>PONTE ALTA NORTE (GAMA)</v>
      </c>
    </row>
    <row r="360" spans="2:12" x14ac:dyDescent="0.3">
      <c r="B360" s="1" t="s">
        <v>19</v>
      </c>
      <c r="C360" s="4" t="str">
        <f>VLOOKUP(Tabela1[[#This Row],[Cliente]],'BASE DE CLIENTES'!A:E,2,0)</f>
        <v>Águas Lindas de Goiás</v>
      </c>
      <c r="D360" s="1" t="str">
        <f>VLOOKUP(Tabela1[[#This Row],[Cliente]],'BASE DE CLIENTES'!A:C,3,0)</f>
        <v>GO</v>
      </c>
      <c r="E360" s="4" t="str">
        <f>CONCATENATE(Tabela1[[#This Row],[CIDADE]],",",Tabela1[[#This Row],[UF]])</f>
        <v>Águas Lindas de Goiás,GO</v>
      </c>
      <c r="F360" s="2">
        <v>45817</v>
      </c>
      <c r="G360" s="17">
        <v>894</v>
      </c>
      <c r="H360" s="17">
        <v>1290</v>
      </c>
      <c r="I360" s="6">
        <f>Tabela1[[#This Row],[Valor total]]-Tabela1[[#This Row],[Valor custo]]</f>
        <v>396</v>
      </c>
      <c r="J360" s="7">
        <f>Tabela1[[#This Row],[MARGEM BRUTA]]/Tabela1[[#This Row],[Valor total]]</f>
        <v>0.30697674418604654</v>
      </c>
      <c r="K360" s="1" t="str">
        <f>VLOOKUP(Tabela1[[#This Row],[Cliente]],'BASE DE CLIENTES'!A:D,4,0)</f>
        <v>SERRALHEIRO</v>
      </c>
      <c r="L360" s="1" t="str">
        <f>VLOOKUP(Tabela1[[#This Row],[Cliente]],'BASE DE CLIENTES'!A:E,5,0)</f>
        <v>Águas Lindas de Goiás</v>
      </c>
    </row>
    <row r="361" spans="2:12" x14ac:dyDescent="0.3">
      <c r="B361" s="1" t="s">
        <v>66</v>
      </c>
      <c r="C361" s="4" t="str">
        <f>VLOOKUP(Tabela1[[#This Row],[Cliente]],'BASE DE CLIENTES'!A:E,2,0)</f>
        <v>Águas Lindas de Goiás</v>
      </c>
      <c r="D361" s="1" t="str">
        <f>VLOOKUP(Tabela1[[#This Row],[Cliente]],'BASE DE CLIENTES'!A:C,3,0)</f>
        <v>GO</v>
      </c>
      <c r="E361" s="4" t="str">
        <f>CONCATENATE(Tabela1[[#This Row],[CIDADE]],",",Tabela1[[#This Row],[UF]])</f>
        <v>Águas Lindas de Goiás,GO</v>
      </c>
      <c r="F361" s="2">
        <v>45814</v>
      </c>
      <c r="G361" s="17">
        <v>507.3</v>
      </c>
      <c r="H361" s="17">
        <v>699</v>
      </c>
      <c r="I361" s="6">
        <f>Tabela1[[#This Row],[Valor total]]-Tabela1[[#This Row],[Valor custo]]</f>
        <v>191.7</v>
      </c>
      <c r="J361" s="7">
        <f>Tabela1[[#This Row],[MARGEM BRUTA]]/Tabela1[[#This Row],[Valor total]]</f>
        <v>0.27424892703862658</v>
      </c>
      <c r="K361" s="1" t="str">
        <f>VLOOKUP(Tabela1[[#This Row],[Cliente]],'BASE DE CLIENTES'!A:D,4,0)</f>
        <v>EMPRESA COM MAQUINA</v>
      </c>
      <c r="L361" s="1" t="str">
        <f>VLOOKUP(Tabela1[[#This Row],[Cliente]],'BASE DE CLIENTES'!A:E,5,0)</f>
        <v>Águas Lindas de Goiás</v>
      </c>
    </row>
    <row r="362" spans="2:12" x14ac:dyDescent="0.3">
      <c r="B362" s="1" t="s">
        <v>78</v>
      </c>
      <c r="C362" s="4" t="str">
        <f>VLOOKUP(Tabela1[[#This Row],[Cliente]],'BASE DE CLIENTES'!A:E,2,0)</f>
        <v>Brasília</v>
      </c>
      <c r="D362" s="1" t="str">
        <f>VLOOKUP(Tabela1[[#This Row],[Cliente]],'BASE DE CLIENTES'!A:C,3,0)</f>
        <v>DF</v>
      </c>
      <c r="E362" s="4" t="str">
        <f>CONCATENATE(Tabela1[[#This Row],[CIDADE]],",",Tabela1[[#This Row],[UF]])</f>
        <v>Brasília,DF</v>
      </c>
      <c r="F362" s="2">
        <v>45705</v>
      </c>
      <c r="G362" s="17">
        <v>2129.9699999999998</v>
      </c>
      <c r="H362" s="17">
        <v>3250</v>
      </c>
      <c r="I362" s="6">
        <f>Tabela1[[#This Row],[Valor total]]-Tabela1[[#This Row],[Valor custo]]</f>
        <v>1120.0300000000002</v>
      </c>
      <c r="J362" s="7">
        <f>Tabela1[[#This Row],[MARGEM BRUTA]]/Tabela1[[#This Row],[Valor total]]</f>
        <v>0.34462461538461547</v>
      </c>
      <c r="K362" s="1" t="str">
        <f>VLOOKUP(Tabela1[[#This Row],[Cliente]],'BASE DE CLIENTES'!A:D,4,0)</f>
        <v>SERRALHEIRO</v>
      </c>
      <c r="L362" s="1" t="str">
        <f>VLOOKUP(Tabela1[[#This Row],[Cliente]],'BASE DE CLIENTES'!A:E,5,0)</f>
        <v>Vila do Boa (São Sebastião)</v>
      </c>
    </row>
    <row r="363" spans="2:12" x14ac:dyDescent="0.3">
      <c r="B363" s="1" t="s">
        <v>98</v>
      </c>
      <c r="C363" s="4" t="str">
        <f>VLOOKUP(Tabela1[[#This Row],[Cliente]],'BASE DE CLIENTES'!A:E,2,0)</f>
        <v>Brasília</v>
      </c>
      <c r="D363" s="1" t="str">
        <f>VLOOKUP(Tabela1[[#This Row],[Cliente]],'BASE DE CLIENTES'!A:C,3,0)</f>
        <v>DF</v>
      </c>
      <c r="E363" s="4" t="str">
        <f>CONCATENATE(Tabela1[[#This Row],[CIDADE]],",",Tabela1[[#This Row],[UF]])</f>
        <v>Brasília,DF</v>
      </c>
      <c r="F363" s="2">
        <v>45705</v>
      </c>
      <c r="G363" s="17">
        <v>439.2</v>
      </c>
      <c r="H363" s="17">
        <v>545</v>
      </c>
      <c r="I363" s="6">
        <f>Tabela1[[#This Row],[Valor total]]-Tabela1[[#This Row],[Valor custo]]</f>
        <v>105.80000000000001</v>
      </c>
      <c r="J363" s="7">
        <f>Tabela1[[#This Row],[MARGEM BRUTA]]/Tabela1[[#This Row],[Valor total]]</f>
        <v>0.19412844036697249</v>
      </c>
      <c r="K363" s="1" t="str">
        <f>VLOOKUP(Tabela1[[#This Row],[Cliente]],'BASE DE CLIENTES'!A:D,4,0)</f>
        <v>SERRALHEIRO</v>
      </c>
      <c r="L363" s="1" t="str">
        <f>VLOOKUP(Tabela1[[#This Row],[Cliente]],'BASE DE CLIENTES'!A:E,5,0)</f>
        <v>SANTA MARIA</v>
      </c>
    </row>
    <row r="364" spans="2:12" x14ac:dyDescent="0.3">
      <c r="B364" s="1" t="s">
        <v>27</v>
      </c>
      <c r="C364" s="4" t="str">
        <f>VLOOKUP(Tabela1[[#This Row],[Cliente]],'BASE DE CLIENTES'!A:E,2,0)</f>
        <v>Brasília</v>
      </c>
      <c r="D364" s="1" t="str">
        <f>VLOOKUP(Tabela1[[#This Row],[Cliente]],'BASE DE CLIENTES'!A:C,3,0)</f>
        <v>DF</v>
      </c>
      <c r="E364" s="4" t="str">
        <f>CONCATENATE(Tabela1[[#This Row],[CIDADE]],",",Tabela1[[#This Row],[UF]])</f>
        <v>Brasília,DF</v>
      </c>
      <c r="F364" s="2">
        <v>45705</v>
      </c>
      <c r="G364" s="17">
        <v>1317.6</v>
      </c>
      <c r="H364" s="17">
        <v>1860</v>
      </c>
      <c r="I364" s="6">
        <f>Tabela1[[#This Row],[Valor total]]-Tabela1[[#This Row],[Valor custo]]</f>
        <v>542.40000000000009</v>
      </c>
      <c r="J364" s="7">
        <f>Tabela1[[#This Row],[MARGEM BRUTA]]/Tabela1[[#This Row],[Valor total]]</f>
        <v>0.29161290322580652</v>
      </c>
      <c r="K364" s="1" t="str">
        <f>VLOOKUP(Tabela1[[#This Row],[Cliente]],'BASE DE CLIENTES'!A:D,4,0)</f>
        <v>EMPRESA SEM MAQUINA</v>
      </c>
      <c r="L364" s="1" t="str">
        <f>VLOOKUP(Tabela1[[#This Row],[Cliente]],'BASE DE CLIENTES'!A:E,5,0)</f>
        <v>RECANTO DAS EMAS</v>
      </c>
    </row>
    <row r="365" spans="2:12" x14ac:dyDescent="0.3">
      <c r="B365" s="1" t="s">
        <v>76</v>
      </c>
      <c r="C365" s="4" t="str">
        <f>VLOOKUP(Tabela1[[#This Row],[Cliente]],'BASE DE CLIENTES'!A:E,2,0)</f>
        <v>Brasília</v>
      </c>
      <c r="D365" s="1" t="str">
        <f>VLOOKUP(Tabela1[[#This Row],[Cliente]],'BASE DE CLIENTES'!A:C,3,0)</f>
        <v>DF</v>
      </c>
      <c r="E365" s="4" t="str">
        <f>CONCATENATE(Tabela1[[#This Row],[CIDADE]],",",Tabela1[[#This Row],[UF]])</f>
        <v>Brasília,DF</v>
      </c>
      <c r="F365" s="2">
        <v>45705</v>
      </c>
      <c r="G365" s="17">
        <v>4311.42</v>
      </c>
      <c r="H365" s="17">
        <v>7200</v>
      </c>
      <c r="I365" s="6">
        <f>Tabela1[[#This Row],[Valor total]]-Tabela1[[#This Row],[Valor custo]]</f>
        <v>2888.58</v>
      </c>
      <c r="J365" s="7">
        <f>Tabela1[[#This Row],[MARGEM BRUTA]]/Tabela1[[#This Row],[Valor total]]</f>
        <v>0.40119166666666667</v>
      </c>
      <c r="K365" s="1" t="str">
        <f>VLOOKUP(Tabela1[[#This Row],[Cliente]],'BASE DE CLIENTES'!A:D,4,0)</f>
        <v>EMPRESA COM MAQUINA</v>
      </c>
      <c r="L365" s="1" t="str">
        <f>VLOOKUP(Tabela1[[#This Row],[Cliente]],'BASE DE CLIENTES'!A:E,5,0)</f>
        <v>Setor Placa da Mercedes (Núcleo Bandeirante)</v>
      </c>
    </row>
    <row r="366" spans="2:12" x14ac:dyDescent="0.3">
      <c r="B366" s="1" t="s">
        <v>104</v>
      </c>
      <c r="C366" s="4" t="str">
        <f>VLOOKUP(Tabela1[[#This Row],[Cliente]],'BASE DE CLIENTES'!A:E,2,0)</f>
        <v>Águas Lindas de Goiás</v>
      </c>
      <c r="D366" s="1" t="str">
        <f>VLOOKUP(Tabela1[[#This Row],[Cliente]],'BASE DE CLIENTES'!A:C,3,0)</f>
        <v>GO</v>
      </c>
      <c r="E366" s="4" t="str">
        <f>CONCATENATE(Tabela1[[#This Row],[CIDADE]],",",Tabela1[[#This Row],[UF]])</f>
        <v>Águas Lindas de Goiás,GO</v>
      </c>
      <c r="F366" s="2">
        <v>45813</v>
      </c>
      <c r="G366" s="17">
        <v>57.13</v>
      </c>
      <c r="H366" s="17">
        <v>180</v>
      </c>
      <c r="I366" s="6">
        <f>Tabela1[[#This Row],[Valor total]]-Tabela1[[#This Row],[Valor custo]]</f>
        <v>122.87</v>
      </c>
      <c r="J366" s="7">
        <f>Tabela1[[#This Row],[MARGEM BRUTA]]/Tabela1[[#This Row],[Valor total]]</f>
        <v>0.68261111111111117</v>
      </c>
      <c r="K366" s="1" t="str">
        <f>VLOOKUP(Tabela1[[#This Row],[Cliente]],'BASE DE CLIENTES'!A:D,4,0)</f>
        <v>EMPRESA SEM MAQUINA</v>
      </c>
      <c r="L366" s="1" t="str">
        <f>VLOOKUP(Tabela1[[#This Row],[Cliente]],'BASE DE CLIENTES'!A:E,5,0)</f>
        <v>Águas Lindas de Goiás</v>
      </c>
    </row>
    <row r="367" spans="2:12" x14ac:dyDescent="0.3">
      <c r="B367" s="1" t="s">
        <v>66</v>
      </c>
      <c r="C367" s="4" t="str">
        <f>VLOOKUP(Tabela1[[#This Row],[Cliente]],'BASE DE CLIENTES'!A:E,2,0)</f>
        <v>Águas Lindas de Goiás</v>
      </c>
      <c r="D367" s="1" t="str">
        <f>VLOOKUP(Tabela1[[#This Row],[Cliente]],'BASE DE CLIENTES'!A:C,3,0)</f>
        <v>GO</v>
      </c>
      <c r="E367" s="4" t="str">
        <f>CONCATENATE(Tabela1[[#This Row],[CIDADE]],",",Tabela1[[#This Row],[UF]])</f>
        <v>Águas Lindas de Goiás,GO</v>
      </c>
      <c r="F367" s="2">
        <v>45812</v>
      </c>
      <c r="G367" s="17">
        <v>819.74</v>
      </c>
      <c r="H367" s="17">
        <v>1170</v>
      </c>
      <c r="I367" s="6">
        <f>Tabela1[[#This Row],[Valor total]]-Tabela1[[#This Row],[Valor custo]]</f>
        <v>350.26</v>
      </c>
      <c r="J367" s="7">
        <f>Tabela1[[#This Row],[MARGEM BRUTA]]/Tabela1[[#This Row],[Valor total]]</f>
        <v>0.29936752136752137</v>
      </c>
      <c r="K367" s="1" t="str">
        <f>VLOOKUP(Tabela1[[#This Row],[Cliente]],'BASE DE CLIENTES'!A:D,4,0)</f>
        <v>EMPRESA COM MAQUINA</v>
      </c>
      <c r="L367" s="1" t="str">
        <f>VLOOKUP(Tabela1[[#This Row],[Cliente]],'BASE DE CLIENTES'!A:E,5,0)</f>
        <v>Águas Lindas de Goiás</v>
      </c>
    </row>
    <row r="368" spans="2:12" x14ac:dyDescent="0.3">
      <c r="B368" s="1" t="s">
        <v>19</v>
      </c>
      <c r="C368" s="4" t="str">
        <f>VLOOKUP(Tabela1[[#This Row],[Cliente]],'BASE DE CLIENTES'!A:E,2,0)</f>
        <v>Águas Lindas de Goiás</v>
      </c>
      <c r="D368" s="1" t="str">
        <f>VLOOKUP(Tabela1[[#This Row],[Cliente]],'BASE DE CLIENTES'!A:C,3,0)</f>
        <v>GO</v>
      </c>
      <c r="E368" s="4" t="str">
        <f>CONCATENATE(Tabela1[[#This Row],[CIDADE]],",",Tabela1[[#This Row],[UF]])</f>
        <v>Águas Lindas de Goiás,GO</v>
      </c>
      <c r="F368" s="2">
        <v>45812</v>
      </c>
      <c r="G368" s="17">
        <v>970</v>
      </c>
      <c r="H368" s="17">
        <v>1425</v>
      </c>
      <c r="I368" s="6">
        <f>Tabela1[[#This Row],[Valor total]]-Tabela1[[#This Row],[Valor custo]]</f>
        <v>455</v>
      </c>
      <c r="J368" s="7">
        <f>Tabela1[[#This Row],[MARGEM BRUTA]]/Tabela1[[#This Row],[Valor total]]</f>
        <v>0.31929824561403508</v>
      </c>
      <c r="K368" s="1" t="str">
        <f>VLOOKUP(Tabela1[[#This Row],[Cliente]],'BASE DE CLIENTES'!A:D,4,0)</f>
        <v>SERRALHEIRO</v>
      </c>
      <c r="L368" s="1" t="str">
        <f>VLOOKUP(Tabela1[[#This Row],[Cliente]],'BASE DE CLIENTES'!A:E,5,0)</f>
        <v>Águas Lindas de Goiás</v>
      </c>
    </row>
    <row r="369" spans="2:12" x14ac:dyDescent="0.3">
      <c r="B369" s="1" t="s">
        <v>66</v>
      </c>
      <c r="C369" s="4" t="str">
        <f>VLOOKUP(Tabela1[[#This Row],[Cliente]],'BASE DE CLIENTES'!A:E,2,0)</f>
        <v>Águas Lindas de Goiás</v>
      </c>
      <c r="D369" s="1" t="str">
        <f>VLOOKUP(Tabela1[[#This Row],[Cliente]],'BASE DE CLIENTES'!A:C,3,0)</f>
        <v>GO</v>
      </c>
      <c r="E369" s="4" t="str">
        <f>CONCATENATE(Tabela1[[#This Row],[CIDADE]],",",Tabela1[[#This Row],[UF]])</f>
        <v>Águas Lindas de Goiás,GO</v>
      </c>
      <c r="F369" s="2">
        <v>45811</v>
      </c>
      <c r="G369" s="17">
        <v>409.87</v>
      </c>
      <c r="H369" s="17">
        <v>585</v>
      </c>
      <c r="I369" s="6">
        <f>Tabela1[[#This Row],[Valor total]]-Tabela1[[#This Row],[Valor custo]]</f>
        <v>175.13</v>
      </c>
      <c r="J369" s="7">
        <f>Tabela1[[#This Row],[MARGEM BRUTA]]/Tabela1[[#This Row],[Valor total]]</f>
        <v>0.29936752136752137</v>
      </c>
      <c r="K369" s="1" t="str">
        <f>VLOOKUP(Tabela1[[#This Row],[Cliente]],'BASE DE CLIENTES'!A:D,4,0)</f>
        <v>EMPRESA COM MAQUINA</v>
      </c>
      <c r="L369" s="1" t="str">
        <f>VLOOKUP(Tabela1[[#This Row],[Cliente]],'BASE DE CLIENTES'!A:E,5,0)</f>
        <v>Águas Lindas de Goiás</v>
      </c>
    </row>
    <row r="370" spans="2:12" x14ac:dyDescent="0.3">
      <c r="B370" s="1" t="s">
        <v>55</v>
      </c>
      <c r="C370" s="4" t="str">
        <f>VLOOKUP(Tabela1[[#This Row],[Cliente]],'BASE DE CLIENTES'!A:E,2,0)</f>
        <v>Brasília</v>
      </c>
      <c r="D370" s="1" t="str">
        <f>VLOOKUP(Tabela1[[#This Row],[Cliente]],'BASE DE CLIENTES'!A:C,3,0)</f>
        <v>DF</v>
      </c>
      <c r="E370" s="4" t="str">
        <f>CONCATENATE(Tabela1[[#This Row],[CIDADE]],",",Tabela1[[#This Row],[UF]])</f>
        <v>Brasília,DF</v>
      </c>
      <c r="F370" s="2">
        <v>45702</v>
      </c>
      <c r="G370" s="17">
        <v>439.2</v>
      </c>
      <c r="H370" s="17">
        <v>645</v>
      </c>
      <c r="I370" s="6">
        <f>Tabela1[[#This Row],[Valor total]]-Tabela1[[#This Row],[Valor custo]]</f>
        <v>205.8</v>
      </c>
      <c r="J370" s="7">
        <f>Tabela1[[#This Row],[MARGEM BRUTA]]/Tabela1[[#This Row],[Valor total]]</f>
        <v>0.3190697674418605</v>
      </c>
      <c r="K370" s="1" t="str">
        <f>VLOOKUP(Tabela1[[#This Row],[Cliente]],'BASE DE CLIENTES'!A:D,4,0)</f>
        <v>EMPRESA SEM MAQUINA</v>
      </c>
      <c r="L370" s="1" t="str">
        <f>VLOOKUP(Tabela1[[#This Row],[Cliente]],'BASE DE CLIENTES'!A:E,5,0)</f>
        <v>RECANTO DAS EMAS</v>
      </c>
    </row>
    <row r="371" spans="2:12" x14ac:dyDescent="0.3">
      <c r="B371" s="1" t="s">
        <v>76</v>
      </c>
      <c r="C371" s="4" t="str">
        <f>VLOOKUP(Tabela1[[#This Row],[Cliente]],'BASE DE CLIENTES'!A:E,2,0)</f>
        <v>Brasília</v>
      </c>
      <c r="D371" s="1" t="str">
        <f>VLOOKUP(Tabela1[[#This Row],[Cliente]],'BASE DE CLIENTES'!A:C,3,0)</f>
        <v>DF</v>
      </c>
      <c r="E371" s="4" t="str">
        <f>CONCATENATE(Tabela1[[#This Row],[CIDADE]],",",Tabela1[[#This Row],[UF]])</f>
        <v>Brasília,DF</v>
      </c>
      <c r="F371" s="2">
        <v>45702</v>
      </c>
      <c r="G371" s="17">
        <v>2572.25</v>
      </c>
      <c r="H371" s="17">
        <v>3346.5</v>
      </c>
      <c r="I371" s="6">
        <f>Tabela1[[#This Row],[Valor total]]-Tabela1[[#This Row],[Valor custo]]</f>
        <v>774.25</v>
      </c>
      <c r="J371" s="7">
        <f>Tabela1[[#This Row],[MARGEM BRUTA]]/Tabela1[[#This Row],[Valor total]]</f>
        <v>0.23136112356193037</v>
      </c>
      <c r="K371" s="1" t="str">
        <f>VLOOKUP(Tabela1[[#This Row],[Cliente]],'BASE DE CLIENTES'!A:D,4,0)</f>
        <v>EMPRESA COM MAQUINA</v>
      </c>
      <c r="L371" s="1" t="str">
        <f>VLOOKUP(Tabela1[[#This Row],[Cliente]],'BASE DE CLIENTES'!A:E,5,0)</f>
        <v>Setor Placa da Mercedes (Núcleo Bandeirante)</v>
      </c>
    </row>
    <row r="372" spans="2:12" x14ac:dyDescent="0.3">
      <c r="B372" s="1" t="s">
        <v>68</v>
      </c>
      <c r="C372" s="4" t="str">
        <f>VLOOKUP(Tabela1[[#This Row],[Cliente]],'BASE DE CLIENTES'!A:E,2,0)</f>
        <v>Brasília</v>
      </c>
      <c r="D372" s="1" t="str">
        <f>VLOOKUP(Tabela1[[#This Row],[Cliente]],'BASE DE CLIENTES'!A:C,3,0)</f>
        <v>DF</v>
      </c>
      <c r="E372" s="4" t="str">
        <f>CONCATENATE(Tabela1[[#This Row],[CIDADE]],",",Tabela1[[#This Row],[UF]])</f>
        <v>Brasília,DF</v>
      </c>
      <c r="F372" s="2">
        <v>45702</v>
      </c>
      <c r="G372" s="17">
        <v>2828.92</v>
      </c>
      <c r="H372" s="17">
        <v>5800</v>
      </c>
      <c r="I372" s="6">
        <f>Tabela1[[#This Row],[Valor total]]-Tabela1[[#This Row],[Valor custo]]</f>
        <v>2971.08</v>
      </c>
      <c r="J372" s="7">
        <f>Tabela1[[#This Row],[MARGEM BRUTA]]/Tabela1[[#This Row],[Valor total]]</f>
        <v>0.51225517241379304</v>
      </c>
      <c r="K372" s="1" t="str">
        <f>VLOOKUP(Tabela1[[#This Row],[Cliente]],'BASE DE CLIENTES'!A:D,4,0)</f>
        <v>EMPRESA COM MAQUINA</v>
      </c>
      <c r="L372" s="1" t="str">
        <f>VLOOKUP(Tabela1[[#This Row],[Cliente]],'BASE DE CLIENTES'!A:E,5,0)</f>
        <v>SAMAMBAIA SUL (SAMAMBAIA)</v>
      </c>
    </row>
    <row r="373" spans="2:12" x14ac:dyDescent="0.3">
      <c r="B373" s="1" t="s">
        <v>127</v>
      </c>
      <c r="C373" s="4" t="str">
        <f>VLOOKUP(Tabela1[[#This Row],[Cliente]],'BASE DE CLIENTES'!A:E,2,0)</f>
        <v>Brasília</v>
      </c>
      <c r="D373" s="1" t="str">
        <f>VLOOKUP(Tabela1[[#This Row],[Cliente]],'BASE DE CLIENTES'!A:C,3,0)</f>
        <v>DF</v>
      </c>
      <c r="E373" s="4" t="str">
        <f>CONCATENATE(Tabela1[[#This Row],[CIDADE]],",",Tabela1[[#This Row],[UF]])</f>
        <v>Brasília,DF</v>
      </c>
      <c r="F373" s="2">
        <v>45702</v>
      </c>
      <c r="G373" s="17">
        <v>531.45000000000005</v>
      </c>
      <c r="H373" s="17">
        <v>785</v>
      </c>
      <c r="I373" s="6">
        <f>Tabela1[[#This Row],[Valor total]]-Tabela1[[#This Row],[Valor custo]]</f>
        <v>253.54999999999995</v>
      </c>
      <c r="J373" s="7">
        <f>Tabela1[[#This Row],[MARGEM BRUTA]]/Tabela1[[#This Row],[Valor total]]</f>
        <v>0.32299363057324837</v>
      </c>
      <c r="K373" s="1" t="str">
        <f>VLOOKUP(Tabela1[[#This Row],[Cliente]],'BASE DE CLIENTES'!A:D,4,0)</f>
        <v>EMPRESA COM MAQUINA</v>
      </c>
      <c r="L373" s="1" t="str">
        <f>VLOOKUP(Tabela1[[#This Row],[Cliente]],'BASE DE CLIENTES'!A:E,5,0)</f>
        <v>CEILANDIA SUL (CEILANDIA)</v>
      </c>
    </row>
    <row r="374" spans="2:12" x14ac:dyDescent="0.3">
      <c r="B374" s="1" t="s">
        <v>27</v>
      </c>
      <c r="C374" s="4" t="str">
        <f>VLOOKUP(Tabela1[[#This Row],[Cliente]],'BASE DE CLIENTES'!A:E,2,0)</f>
        <v>Brasília</v>
      </c>
      <c r="D374" s="1" t="str">
        <f>VLOOKUP(Tabela1[[#This Row],[Cliente]],'BASE DE CLIENTES'!A:C,3,0)</f>
        <v>DF</v>
      </c>
      <c r="E374" s="4" t="str">
        <f>CONCATENATE(Tabela1[[#This Row],[CIDADE]],",",Tabela1[[#This Row],[UF]])</f>
        <v>Brasília,DF</v>
      </c>
      <c r="F374" s="2">
        <v>45702</v>
      </c>
      <c r="G374" s="17">
        <v>100</v>
      </c>
      <c r="H374" s="17">
        <v>120</v>
      </c>
      <c r="I374" s="6">
        <f>Tabela1[[#This Row],[Valor total]]-Tabela1[[#This Row],[Valor custo]]</f>
        <v>20</v>
      </c>
      <c r="J374" s="7">
        <f>Tabela1[[#This Row],[MARGEM BRUTA]]/Tabela1[[#This Row],[Valor total]]</f>
        <v>0.16666666666666666</v>
      </c>
      <c r="K374" s="1" t="str">
        <f>VLOOKUP(Tabela1[[#This Row],[Cliente]],'BASE DE CLIENTES'!A:D,4,0)</f>
        <v>EMPRESA SEM MAQUINA</v>
      </c>
      <c r="L374" s="1" t="str">
        <f>VLOOKUP(Tabela1[[#This Row],[Cliente]],'BASE DE CLIENTES'!A:E,5,0)</f>
        <v>RECANTO DAS EMAS</v>
      </c>
    </row>
    <row r="375" spans="2:12" x14ac:dyDescent="0.3">
      <c r="B375" s="1" t="s">
        <v>27</v>
      </c>
      <c r="C375" s="4" t="str">
        <f>VLOOKUP(Tabela1[[#This Row],[Cliente]],'BASE DE CLIENTES'!A:E,2,0)</f>
        <v>Brasília</v>
      </c>
      <c r="D375" s="1" t="str">
        <f>VLOOKUP(Tabela1[[#This Row],[Cliente]],'BASE DE CLIENTES'!A:C,3,0)</f>
        <v>DF</v>
      </c>
      <c r="E375" s="4" t="str">
        <f>CONCATENATE(Tabela1[[#This Row],[CIDADE]],",",Tabela1[[#This Row],[UF]])</f>
        <v>Brasília,DF</v>
      </c>
      <c r="F375" s="2">
        <v>45702</v>
      </c>
      <c r="G375" s="17">
        <v>3229.97</v>
      </c>
      <c r="H375" s="17">
        <v>5290</v>
      </c>
      <c r="I375" s="6">
        <f>Tabela1[[#This Row],[Valor total]]-Tabela1[[#This Row],[Valor custo]]</f>
        <v>2060.0300000000002</v>
      </c>
      <c r="J375" s="7">
        <f>Tabela1[[#This Row],[MARGEM BRUTA]]/Tabela1[[#This Row],[Valor total]]</f>
        <v>0.38941965973534975</v>
      </c>
      <c r="K375" s="1" t="str">
        <f>VLOOKUP(Tabela1[[#This Row],[Cliente]],'BASE DE CLIENTES'!A:D,4,0)</f>
        <v>EMPRESA SEM MAQUINA</v>
      </c>
      <c r="L375" s="1" t="str">
        <f>VLOOKUP(Tabela1[[#This Row],[Cliente]],'BASE DE CLIENTES'!A:E,5,0)</f>
        <v>RECANTO DAS EMAS</v>
      </c>
    </row>
    <row r="376" spans="2:12" x14ac:dyDescent="0.3">
      <c r="B376" s="1" t="s">
        <v>66</v>
      </c>
      <c r="C376" s="4" t="str">
        <f>VLOOKUP(Tabela1[[#This Row],[Cliente]],'BASE DE CLIENTES'!A:E,2,0)</f>
        <v>Águas Lindas de Goiás</v>
      </c>
      <c r="D376" s="1" t="str">
        <f>VLOOKUP(Tabela1[[#This Row],[Cliente]],'BASE DE CLIENTES'!A:C,3,0)</f>
        <v>GO</v>
      </c>
      <c r="E376" s="4" t="str">
        <f>CONCATENATE(Tabela1[[#This Row],[CIDADE]],",",Tabela1[[#This Row],[UF]])</f>
        <v>Águas Lindas de Goiás,GO</v>
      </c>
      <c r="F376" s="2">
        <v>45811</v>
      </c>
      <c r="G376" s="17">
        <v>447</v>
      </c>
      <c r="H376" s="17">
        <v>620</v>
      </c>
      <c r="I376" s="6">
        <f>Tabela1[[#This Row],[Valor total]]-Tabela1[[#This Row],[Valor custo]]</f>
        <v>173</v>
      </c>
      <c r="J376" s="7">
        <f>Tabela1[[#This Row],[MARGEM BRUTA]]/Tabela1[[#This Row],[Valor total]]</f>
        <v>0.27903225806451615</v>
      </c>
      <c r="K376" s="1" t="str">
        <f>VLOOKUP(Tabela1[[#This Row],[Cliente]],'BASE DE CLIENTES'!A:D,4,0)</f>
        <v>EMPRESA COM MAQUINA</v>
      </c>
      <c r="L376" s="1" t="str">
        <f>VLOOKUP(Tabela1[[#This Row],[Cliente]],'BASE DE CLIENTES'!A:E,5,0)</f>
        <v>Águas Lindas de Goiás</v>
      </c>
    </row>
    <row r="377" spans="2:12" x14ac:dyDescent="0.3">
      <c r="B377" s="1" t="s">
        <v>55</v>
      </c>
      <c r="C377" s="4" t="str">
        <f>VLOOKUP(Tabela1[[#This Row],[Cliente]],'BASE DE CLIENTES'!A:E,2,0)</f>
        <v>Brasília</v>
      </c>
      <c r="D377" s="1" t="str">
        <f>VLOOKUP(Tabela1[[#This Row],[Cliente]],'BASE DE CLIENTES'!A:C,3,0)</f>
        <v>DF</v>
      </c>
      <c r="E377" s="4" t="str">
        <f>CONCATENATE(Tabela1[[#This Row],[CIDADE]],",",Tabela1[[#This Row],[UF]])</f>
        <v>Brasília,DF</v>
      </c>
      <c r="F377" s="2">
        <v>45702</v>
      </c>
      <c r="G377" s="17">
        <v>668.11</v>
      </c>
      <c r="H377" s="17">
        <v>1035</v>
      </c>
      <c r="I377" s="6">
        <f>Tabela1[[#This Row],[Valor total]]-Tabela1[[#This Row],[Valor custo]]</f>
        <v>366.89</v>
      </c>
      <c r="J377" s="7">
        <f>Tabela1[[#This Row],[MARGEM BRUTA]]/Tabela1[[#This Row],[Valor total]]</f>
        <v>0.35448309178743959</v>
      </c>
      <c r="K377" s="1" t="str">
        <f>VLOOKUP(Tabela1[[#This Row],[Cliente]],'BASE DE CLIENTES'!A:D,4,0)</f>
        <v>EMPRESA SEM MAQUINA</v>
      </c>
      <c r="L377" s="1" t="str">
        <f>VLOOKUP(Tabela1[[#This Row],[Cliente]],'BASE DE CLIENTES'!A:E,5,0)</f>
        <v>RECANTO DAS EMAS</v>
      </c>
    </row>
    <row r="378" spans="2:12" x14ac:dyDescent="0.3">
      <c r="B378" s="1" t="s">
        <v>76</v>
      </c>
      <c r="C378" s="4" t="str">
        <f>VLOOKUP(Tabela1[[#This Row],[Cliente]],'BASE DE CLIENTES'!A:E,2,0)</f>
        <v>Brasília</v>
      </c>
      <c r="D378" s="1" t="str">
        <f>VLOOKUP(Tabela1[[#This Row],[Cliente]],'BASE DE CLIENTES'!A:C,3,0)</f>
        <v>DF</v>
      </c>
      <c r="E378" s="4" t="str">
        <f>CONCATENATE(Tabela1[[#This Row],[CIDADE]],",",Tabela1[[#This Row],[UF]])</f>
        <v>Brasília,DF</v>
      </c>
      <c r="F378" s="2">
        <v>45702</v>
      </c>
      <c r="G378" s="17">
        <v>2196</v>
      </c>
      <c r="H378" s="17">
        <v>2950</v>
      </c>
      <c r="I378" s="6">
        <f>Tabela1[[#This Row],[Valor total]]-Tabela1[[#This Row],[Valor custo]]</f>
        <v>754</v>
      </c>
      <c r="J378" s="7">
        <f>Tabela1[[#This Row],[MARGEM BRUTA]]/Tabela1[[#This Row],[Valor total]]</f>
        <v>0.25559322033898307</v>
      </c>
      <c r="K378" s="1" t="str">
        <f>VLOOKUP(Tabela1[[#This Row],[Cliente]],'BASE DE CLIENTES'!A:D,4,0)</f>
        <v>EMPRESA COM MAQUINA</v>
      </c>
      <c r="L378" s="1" t="str">
        <f>VLOOKUP(Tabela1[[#This Row],[Cliente]],'BASE DE CLIENTES'!A:E,5,0)</f>
        <v>Setor Placa da Mercedes (Núcleo Bandeirante)</v>
      </c>
    </row>
    <row r="379" spans="2:12" x14ac:dyDescent="0.3">
      <c r="B379" s="1" t="s">
        <v>104</v>
      </c>
      <c r="C379" s="4" t="str">
        <f>VLOOKUP(Tabela1[[#This Row],[Cliente]],'BASE DE CLIENTES'!A:E,2,0)</f>
        <v>Águas Lindas de Goiás</v>
      </c>
      <c r="D379" s="1" t="str">
        <f>VLOOKUP(Tabela1[[#This Row],[Cliente]],'BASE DE CLIENTES'!A:C,3,0)</f>
        <v>GO</v>
      </c>
      <c r="E379" s="4" t="str">
        <f>CONCATENATE(Tabela1[[#This Row],[CIDADE]],",",Tabela1[[#This Row],[UF]])</f>
        <v>Águas Lindas de Goiás,GO</v>
      </c>
      <c r="F379" s="2">
        <v>45811</v>
      </c>
      <c r="G379" s="17">
        <v>8092.48</v>
      </c>
      <c r="H379" s="17">
        <v>10500</v>
      </c>
      <c r="I379" s="6">
        <f>Tabela1[[#This Row],[Valor total]]-Tabela1[[#This Row],[Valor custo]]</f>
        <v>2407.5200000000004</v>
      </c>
      <c r="J379" s="7">
        <f>Tabela1[[#This Row],[MARGEM BRUTA]]/Tabela1[[#This Row],[Valor total]]</f>
        <v>0.2292876190476191</v>
      </c>
      <c r="K379" s="1" t="str">
        <f>VLOOKUP(Tabela1[[#This Row],[Cliente]],'BASE DE CLIENTES'!A:D,4,0)</f>
        <v>EMPRESA SEM MAQUINA</v>
      </c>
      <c r="L379" s="1" t="str">
        <f>VLOOKUP(Tabela1[[#This Row],[Cliente]],'BASE DE CLIENTES'!A:E,5,0)</f>
        <v>Águas Lindas de Goiás</v>
      </c>
    </row>
    <row r="380" spans="2:12" x14ac:dyDescent="0.3">
      <c r="B380" s="1" t="s">
        <v>19</v>
      </c>
      <c r="C380" s="4" t="str">
        <f>VLOOKUP(Tabela1[[#This Row],[Cliente]],'BASE DE CLIENTES'!A:E,2,0)</f>
        <v>Águas Lindas de Goiás</v>
      </c>
      <c r="D380" s="1" t="str">
        <f>VLOOKUP(Tabela1[[#This Row],[Cliente]],'BASE DE CLIENTES'!A:C,3,0)</f>
        <v>GO</v>
      </c>
      <c r="E380" s="4" t="str">
        <f>CONCATENATE(Tabela1[[#This Row],[CIDADE]],",",Tabela1[[#This Row],[UF]])</f>
        <v>Águas Lindas de Goiás,GO</v>
      </c>
      <c r="F380" s="2">
        <v>45811</v>
      </c>
      <c r="G380" s="17">
        <v>473</v>
      </c>
      <c r="H380" s="17">
        <v>720</v>
      </c>
      <c r="I380" s="6">
        <f>Tabela1[[#This Row],[Valor total]]-Tabela1[[#This Row],[Valor custo]]</f>
        <v>247</v>
      </c>
      <c r="J380" s="7">
        <f>Tabela1[[#This Row],[MARGEM BRUTA]]/Tabela1[[#This Row],[Valor total]]</f>
        <v>0.34305555555555556</v>
      </c>
      <c r="K380" s="1" t="str">
        <f>VLOOKUP(Tabela1[[#This Row],[Cliente]],'BASE DE CLIENTES'!A:D,4,0)</f>
        <v>SERRALHEIRO</v>
      </c>
      <c r="L380" s="1" t="str">
        <f>VLOOKUP(Tabela1[[#This Row],[Cliente]],'BASE DE CLIENTES'!A:E,5,0)</f>
        <v>Águas Lindas de Goiás</v>
      </c>
    </row>
    <row r="381" spans="2:12" x14ac:dyDescent="0.3">
      <c r="B381" s="1" t="s">
        <v>106</v>
      </c>
      <c r="C381" s="4" t="str">
        <f>VLOOKUP(Tabela1[[#This Row],[Cliente]],'BASE DE CLIENTES'!A:E,2,0)</f>
        <v>Brasília</v>
      </c>
      <c r="D381" s="1" t="str">
        <f>VLOOKUP(Tabela1[[#This Row],[Cliente]],'BASE DE CLIENTES'!A:C,3,0)</f>
        <v>DF</v>
      </c>
      <c r="E381" s="4" t="str">
        <f>CONCATENATE(Tabela1[[#This Row],[CIDADE]],",",Tabela1[[#This Row],[UF]])</f>
        <v>Brasília,DF</v>
      </c>
      <c r="F381" s="2">
        <v>45701</v>
      </c>
      <c r="G381" s="17">
        <v>707.23</v>
      </c>
      <c r="H381" s="17">
        <v>1100</v>
      </c>
      <c r="I381" s="6">
        <f>Tabela1[[#This Row],[Valor total]]-Tabela1[[#This Row],[Valor custo]]</f>
        <v>392.77</v>
      </c>
      <c r="J381" s="7">
        <f>Tabela1[[#This Row],[MARGEM BRUTA]]/Tabela1[[#This Row],[Valor total]]</f>
        <v>0.35706363636363636</v>
      </c>
      <c r="K381" s="1" t="str">
        <f>VLOOKUP(Tabela1[[#This Row],[Cliente]],'BASE DE CLIENTES'!A:D,4,0)</f>
        <v>EMPRESA COM MAQUINA</v>
      </c>
      <c r="L381" s="1" t="str">
        <f>VLOOKUP(Tabela1[[#This Row],[Cliente]],'BASE DE CLIENTES'!A:E,5,0)</f>
        <v>26 DE SETEMBRO</v>
      </c>
    </row>
    <row r="382" spans="2:12" x14ac:dyDescent="0.3">
      <c r="B382" s="1" t="s">
        <v>120</v>
      </c>
      <c r="C382" s="4" t="str">
        <f>VLOOKUP(Tabela1[[#This Row],[Cliente]],'BASE DE CLIENTES'!A:E,2,0)</f>
        <v>Brasília</v>
      </c>
      <c r="D382" s="1" t="str">
        <f>VLOOKUP(Tabela1[[#This Row],[Cliente]],'BASE DE CLIENTES'!A:C,3,0)</f>
        <v>DF</v>
      </c>
      <c r="E382" s="4" t="str">
        <f>CONCATENATE(Tabela1[[#This Row],[CIDADE]],",",Tabela1[[#This Row],[UF]])</f>
        <v>Brasília,DF</v>
      </c>
      <c r="F382" s="2">
        <v>45705</v>
      </c>
      <c r="G382" s="17">
        <v>1756.8</v>
      </c>
      <c r="H382" s="17">
        <v>2480</v>
      </c>
      <c r="I382" s="6">
        <f>Tabela1[[#This Row],[Valor total]]-Tabela1[[#This Row],[Valor custo]]</f>
        <v>723.2</v>
      </c>
      <c r="J382" s="7">
        <f>Tabela1[[#This Row],[MARGEM BRUTA]]/Tabela1[[#This Row],[Valor total]]</f>
        <v>0.29161290322580646</v>
      </c>
      <c r="K382" s="1" t="str">
        <f>VLOOKUP(Tabela1[[#This Row],[Cliente]],'BASE DE CLIENTES'!A:D,4,0)</f>
        <v>EMPRESA SEM MAQUINA</v>
      </c>
      <c r="L382" s="1" t="str">
        <f>VLOOKUP(Tabela1[[#This Row],[Cliente]],'BASE DE CLIENTES'!A:E,5,0)</f>
        <v>SAMAMBAIA</v>
      </c>
    </row>
    <row r="383" spans="2:12" x14ac:dyDescent="0.3">
      <c r="B383" s="1" t="s">
        <v>96</v>
      </c>
      <c r="C383" s="4" t="str">
        <f>VLOOKUP(Tabela1[[#This Row],[Cliente]],'BASE DE CLIENTES'!A:E,2,0)</f>
        <v>Brasília</v>
      </c>
      <c r="D383" s="1" t="str">
        <f>VLOOKUP(Tabela1[[#This Row],[Cliente]],'BASE DE CLIENTES'!A:C,3,0)</f>
        <v>DF</v>
      </c>
      <c r="E383" s="4" t="str">
        <f>CONCATENATE(Tabela1[[#This Row],[CIDADE]],",",Tabela1[[#This Row],[UF]])</f>
        <v>Brasília,DF</v>
      </c>
      <c r="F383" s="2">
        <v>45701</v>
      </c>
      <c r="G383" s="17">
        <v>564.20000000000005</v>
      </c>
      <c r="H383" s="17">
        <v>695</v>
      </c>
      <c r="I383" s="6">
        <f>Tabela1[[#This Row],[Valor total]]-Tabela1[[#This Row],[Valor custo]]</f>
        <v>130.79999999999995</v>
      </c>
      <c r="J383" s="7">
        <f>Tabela1[[#This Row],[MARGEM BRUTA]]/Tabela1[[#This Row],[Valor total]]</f>
        <v>0.18820143884892079</v>
      </c>
      <c r="K383" s="1" t="str">
        <f>VLOOKUP(Tabela1[[#This Row],[Cliente]],'BASE DE CLIENTES'!A:D,4,0)</f>
        <v>EMPRESA SEM MAQUINA</v>
      </c>
      <c r="L383" s="1" t="str">
        <f>VLOOKUP(Tabela1[[#This Row],[Cliente]],'BASE DE CLIENTES'!A:E,5,0)</f>
        <v>CEILANDIA NORTE (CEILANDIA)</v>
      </c>
    </row>
    <row r="384" spans="2:12" x14ac:dyDescent="0.3">
      <c r="B384" s="1" t="s">
        <v>97</v>
      </c>
      <c r="C384" s="4" t="str">
        <f>VLOOKUP(Tabela1[[#This Row],[Cliente]],'BASE DE CLIENTES'!A:E,2,0)</f>
        <v>Brasília</v>
      </c>
      <c r="D384" s="1" t="str">
        <f>VLOOKUP(Tabela1[[#This Row],[Cliente]],'BASE DE CLIENTES'!A:C,3,0)</f>
        <v>DF</v>
      </c>
      <c r="E384" s="4" t="str">
        <f>CONCATENATE(Tabela1[[#This Row],[CIDADE]],",",Tabela1[[#This Row],[UF]])</f>
        <v>Brasília,DF</v>
      </c>
      <c r="F384" s="2">
        <v>45701</v>
      </c>
      <c r="G384" s="17">
        <v>102</v>
      </c>
      <c r="H384" s="17">
        <v>140</v>
      </c>
      <c r="I384" s="6">
        <f>Tabela1[[#This Row],[Valor total]]-Tabela1[[#This Row],[Valor custo]]</f>
        <v>38</v>
      </c>
      <c r="J384" s="7">
        <f>Tabela1[[#This Row],[MARGEM BRUTA]]/Tabela1[[#This Row],[Valor total]]</f>
        <v>0.27142857142857141</v>
      </c>
      <c r="K384" s="1" t="str">
        <f>VLOOKUP(Tabela1[[#This Row],[Cliente]],'BASE DE CLIENTES'!A:D,4,0)</f>
        <v>SERRALHEIRO</v>
      </c>
      <c r="L384" s="1" t="str">
        <f>VLOOKUP(Tabela1[[#This Row],[Cliente]],'BASE DE CLIENTES'!A:E,5,0)</f>
        <v>CEILANDIA NORTE</v>
      </c>
    </row>
    <row r="385" spans="2:12" x14ac:dyDescent="0.3">
      <c r="B385" s="1" t="s">
        <v>19</v>
      </c>
      <c r="C385" s="4" t="str">
        <f>VLOOKUP(Tabela1[[#This Row],[Cliente]],'BASE DE CLIENTES'!A:E,2,0)</f>
        <v>Águas Lindas de Goiás</v>
      </c>
      <c r="D385" s="1" t="str">
        <f>VLOOKUP(Tabela1[[#This Row],[Cliente]],'BASE DE CLIENTES'!A:C,3,0)</f>
        <v>GO</v>
      </c>
      <c r="E385" s="4" t="str">
        <f>CONCATENATE(Tabela1[[#This Row],[CIDADE]],",",Tabela1[[#This Row],[UF]])</f>
        <v>Águas Lindas de Goiás,GO</v>
      </c>
      <c r="F385" s="2">
        <v>45810</v>
      </c>
      <c r="G385" s="17">
        <v>171.95</v>
      </c>
      <c r="H385" s="17">
        <v>250</v>
      </c>
      <c r="I385" s="6">
        <f>Tabela1[[#This Row],[Valor total]]-Tabela1[[#This Row],[Valor custo]]</f>
        <v>78.050000000000011</v>
      </c>
      <c r="J385" s="7">
        <f>Tabela1[[#This Row],[MARGEM BRUTA]]/Tabela1[[#This Row],[Valor total]]</f>
        <v>0.31220000000000003</v>
      </c>
      <c r="K385" s="1" t="str">
        <f>VLOOKUP(Tabela1[[#This Row],[Cliente]],'BASE DE CLIENTES'!A:D,4,0)</f>
        <v>SERRALHEIRO</v>
      </c>
      <c r="L385" s="1" t="str">
        <f>VLOOKUP(Tabela1[[#This Row],[Cliente]],'BASE DE CLIENTES'!A:E,5,0)</f>
        <v>Águas Lindas de Goiás</v>
      </c>
    </row>
    <row r="386" spans="2:12" x14ac:dyDescent="0.3">
      <c r="B386" s="1" t="s">
        <v>19</v>
      </c>
      <c r="C386" s="4" t="str">
        <f>VLOOKUP(Tabela1[[#This Row],[Cliente]],'BASE DE CLIENTES'!A:E,2,0)</f>
        <v>Águas Lindas de Goiás</v>
      </c>
      <c r="D386" s="1" t="str">
        <f>VLOOKUP(Tabela1[[#This Row],[Cliente]],'BASE DE CLIENTES'!A:C,3,0)</f>
        <v>GO</v>
      </c>
      <c r="E386" s="4" t="str">
        <f>CONCATENATE(Tabela1[[#This Row],[CIDADE]],",",Tabela1[[#This Row],[UF]])</f>
        <v>Águas Lindas de Goiás,GO</v>
      </c>
      <c r="F386" s="2">
        <v>45869</v>
      </c>
      <c r="G386" s="17">
        <v>1225.71</v>
      </c>
      <c r="H386" s="17">
        <v>1995</v>
      </c>
      <c r="I386" s="6">
        <f>Tabela1[[#This Row],[Valor total]]-Tabela1[[#This Row],[Valor custo]]</f>
        <v>769.29</v>
      </c>
      <c r="J386" s="7">
        <f>Tabela1[[#This Row],[MARGEM BRUTA]]/Tabela1[[#This Row],[Valor total]]</f>
        <v>0.38560902255639096</v>
      </c>
      <c r="K386" s="1" t="str">
        <f>VLOOKUP(Tabela1[[#This Row],[Cliente]],'BASE DE CLIENTES'!A:D,4,0)</f>
        <v>SERRALHEIRO</v>
      </c>
      <c r="L386" s="1" t="str">
        <f>VLOOKUP(Tabela1[[#This Row],[Cliente]],'BASE DE CLIENTES'!A:E,5,0)</f>
        <v>Águas Lindas de Goiás</v>
      </c>
    </row>
    <row r="387" spans="2:12" x14ac:dyDescent="0.3">
      <c r="B387" s="1" t="s">
        <v>66</v>
      </c>
      <c r="C387" s="4" t="str">
        <f>VLOOKUP(Tabela1[[#This Row],[Cliente]],'BASE DE CLIENTES'!A:E,2,0)</f>
        <v>Águas Lindas de Goiás</v>
      </c>
      <c r="D387" s="1" t="str">
        <f>VLOOKUP(Tabela1[[#This Row],[Cliente]],'BASE DE CLIENTES'!A:C,3,0)</f>
        <v>GO</v>
      </c>
      <c r="E387" s="4" t="str">
        <f>CONCATENATE(Tabela1[[#This Row],[CIDADE]],",",Tabela1[[#This Row],[UF]])</f>
        <v>Águas Lindas de Goiás,GO</v>
      </c>
      <c r="F387" s="2">
        <v>45869</v>
      </c>
      <c r="G387" s="17">
        <v>1068</v>
      </c>
      <c r="H387" s="17">
        <v>1740</v>
      </c>
      <c r="I387" s="6">
        <f>Tabela1[[#This Row],[Valor total]]-Tabela1[[#This Row],[Valor custo]]</f>
        <v>672</v>
      </c>
      <c r="J387" s="7">
        <f>Tabela1[[#This Row],[MARGEM BRUTA]]/Tabela1[[#This Row],[Valor total]]</f>
        <v>0.38620689655172413</v>
      </c>
      <c r="K387" s="1" t="str">
        <f>VLOOKUP(Tabela1[[#This Row],[Cliente]],'BASE DE CLIENTES'!A:D,4,0)</f>
        <v>EMPRESA COM MAQUINA</v>
      </c>
      <c r="L387" s="1" t="str">
        <f>VLOOKUP(Tabela1[[#This Row],[Cliente]],'BASE DE CLIENTES'!A:E,5,0)</f>
        <v>Águas Lindas de Goiás</v>
      </c>
    </row>
    <row r="388" spans="2:12" x14ac:dyDescent="0.3">
      <c r="B388" s="1" t="s">
        <v>66</v>
      </c>
      <c r="C388" s="4" t="str">
        <f>VLOOKUP(Tabela1[[#This Row],[Cliente]],'BASE DE CLIENTES'!A:E,2,0)</f>
        <v>Águas Lindas de Goiás</v>
      </c>
      <c r="D388" s="1" t="str">
        <f>VLOOKUP(Tabela1[[#This Row],[Cliente]],'BASE DE CLIENTES'!A:C,3,0)</f>
        <v>GO</v>
      </c>
      <c r="E388" s="4" t="str">
        <f>CONCATENATE(Tabela1[[#This Row],[CIDADE]],",",Tabela1[[#This Row],[UF]])</f>
        <v>Águas Lindas de Goiás,GO</v>
      </c>
      <c r="F388" s="2">
        <v>45868</v>
      </c>
      <c r="G388" s="17">
        <v>491</v>
      </c>
      <c r="H388" s="17">
        <v>650</v>
      </c>
      <c r="I388" s="6">
        <f>Tabela1[[#This Row],[Valor total]]-Tabela1[[#This Row],[Valor custo]]</f>
        <v>159</v>
      </c>
      <c r="J388" s="7">
        <f>Tabela1[[#This Row],[MARGEM BRUTA]]/Tabela1[[#This Row],[Valor total]]</f>
        <v>0.24461538461538462</v>
      </c>
      <c r="K388" s="1" t="str">
        <f>VLOOKUP(Tabela1[[#This Row],[Cliente]],'BASE DE CLIENTES'!A:D,4,0)</f>
        <v>EMPRESA COM MAQUINA</v>
      </c>
      <c r="L388" s="1" t="str">
        <f>VLOOKUP(Tabela1[[#This Row],[Cliente]],'BASE DE CLIENTES'!A:E,5,0)</f>
        <v>Águas Lindas de Goiás</v>
      </c>
    </row>
    <row r="389" spans="2:12" x14ac:dyDescent="0.3">
      <c r="B389" s="1" t="s">
        <v>104</v>
      </c>
      <c r="C389" s="4" t="str">
        <f>VLOOKUP(Tabela1[[#This Row],[Cliente]],'BASE DE CLIENTES'!A:E,2,0)</f>
        <v>Águas Lindas de Goiás</v>
      </c>
      <c r="D389" s="1" t="str">
        <f>VLOOKUP(Tabela1[[#This Row],[Cliente]],'BASE DE CLIENTES'!A:C,3,0)</f>
        <v>GO</v>
      </c>
      <c r="E389" s="4" t="str">
        <f>CONCATENATE(Tabela1[[#This Row],[CIDADE]],",",Tabela1[[#This Row],[UF]])</f>
        <v>Águas Lindas de Goiás,GO</v>
      </c>
      <c r="F389" s="2">
        <v>45867</v>
      </c>
      <c r="G389" s="17">
        <v>382.3</v>
      </c>
      <c r="H389" s="17">
        <v>655</v>
      </c>
      <c r="I389" s="6">
        <f>Tabela1[[#This Row],[Valor total]]-Tabela1[[#This Row],[Valor custo]]</f>
        <v>272.7</v>
      </c>
      <c r="J389" s="7">
        <f>Tabela1[[#This Row],[MARGEM BRUTA]]/Tabela1[[#This Row],[Valor total]]</f>
        <v>0.4163358778625954</v>
      </c>
      <c r="K389" s="1" t="str">
        <f>VLOOKUP(Tabela1[[#This Row],[Cliente]],'BASE DE CLIENTES'!A:D,4,0)</f>
        <v>EMPRESA SEM MAQUINA</v>
      </c>
      <c r="L389" s="1" t="str">
        <f>VLOOKUP(Tabela1[[#This Row],[Cliente]],'BASE DE CLIENTES'!A:E,5,0)</f>
        <v>Águas Lindas de Goiás</v>
      </c>
    </row>
    <row r="390" spans="2:12" x14ac:dyDescent="0.3">
      <c r="B390" s="1" t="s">
        <v>23</v>
      </c>
      <c r="C390" s="4" t="str">
        <f>VLOOKUP(Tabela1[[#This Row],[Cliente]],'BASE DE CLIENTES'!A:E,2,0)</f>
        <v>Brasília</v>
      </c>
      <c r="D390" s="1" t="str">
        <f>VLOOKUP(Tabela1[[#This Row],[Cliente]],'BASE DE CLIENTES'!A:C,3,0)</f>
        <v>DF</v>
      </c>
      <c r="E390" s="4" t="str">
        <f>CONCATENATE(Tabela1[[#This Row],[CIDADE]],",",Tabela1[[#This Row],[UF]])</f>
        <v>Brasília,DF</v>
      </c>
      <c r="F390" s="2">
        <v>45700</v>
      </c>
      <c r="G390" s="17">
        <v>439.2</v>
      </c>
      <c r="H390" s="17">
        <v>580</v>
      </c>
      <c r="I390" s="6">
        <f>Tabela1[[#This Row],[Valor total]]-Tabela1[[#This Row],[Valor custo]]</f>
        <v>140.80000000000001</v>
      </c>
      <c r="J390" s="7">
        <f>Tabela1[[#This Row],[MARGEM BRUTA]]/Tabela1[[#This Row],[Valor total]]</f>
        <v>0.2427586206896552</v>
      </c>
      <c r="K390" s="1" t="str">
        <f>VLOOKUP(Tabela1[[#This Row],[Cliente]],'BASE DE CLIENTES'!A:D,4,0)</f>
        <v>EMPRESA SEM MAQUINA</v>
      </c>
      <c r="L390" s="1" t="str">
        <f>VLOOKUP(Tabela1[[#This Row],[Cliente]],'BASE DE CLIENTES'!A:E,5,0)</f>
        <v>SETOR INDUSTRIAL (TAGUATINGA)</v>
      </c>
    </row>
    <row r="391" spans="2:12" x14ac:dyDescent="0.3">
      <c r="B391" s="1" t="s">
        <v>27</v>
      </c>
      <c r="C391" s="4" t="str">
        <f>VLOOKUP(Tabela1[[#This Row],[Cliente]],'BASE DE CLIENTES'!A:E,2,0)</f>
        <v>Brasília</v>
      </c>
      <c r="D391" s="1" t="str">
        <f>VLOOKUP(Tabela1[[#This Row],[Cliente]],'BASE DE CLIENTES'!A:C,3,0)</f>
        <v>DF</v>
      </c>
      <c r="E391" s="4" t="str">
        <f>CONCATENATE(Tabela1[[#This Row],[CIDADE]],",",Tabela1[[#This Row],[UF]])</f>
        <v>Brasília,DF</v>
      </c>
      <c r="F391" s="2">
        <v>45700</v>
      </c>
      <c r="G391" s="17">
        <v>629.20000000000005</v>
      </c>
      <c r="H391" s="17">
        <v>1045</v>
      </c>
      <c r="I391" s="6">
        <f>Tabela1[[#This Row],[Valor total]]-Tabela1[[#This Row],[Valor custo]]</f>
        <v>415.79999999999995</v>
      </c>
      <c r="J391" s="7">
        <f>Tabela1[[#This Row],[MARGEM BRUTA]]/Tabela1[[#This Row],[Valor total]]</f>
        <v>0.39789473684210525</v>
      </c>
      <c r="K391" s="1" t="str">
        <f>VLOOKUP(Tabela1[[#This Row],[Cliente]],'BASE DE CLIENTES'!A:D,4,0)</f>
        <v>EMPRESA SEM MAQUINA</v>
      </c>
      <c r="L391" s="1" t="str">
        <f>VLOOKUP(Tabela1[[#This Row],[Cliente]],'BASE DE CLIENTES'!A:E,5,0)</f>
        <v>RECANTO DAS EMAS</v>
      </c>
    </row>
    <row r="392" spans="2:12" x14ac:dyDescent="0.3">
      <c r="B392" s="1" t="s">
        <v>19</v>
      </c>
      <c r="C392" s="4" t="str">
        <f>VLOOKUP(Tabela1[[#This Row],[Cliente]],'BASE DE CLIENTES'!A:E,2,0)</f>
        <v>Águas Lindas de Goiás</v>
      </c>
      <c r="D392" s="1" t="str">
        <f>VLOOKUP(Tabela1[[#This Row],[Cliente]],'BASE DE CLIENTES'!A:C,3,0)</f>
        <v>GO</v>
      </c>
      <c r="E392" s="4" t="str">
        <f>CONCATENATE(Tabela1[[#This Row],[CIDADE]],",",Tabela1[[#This Row],[UF]])</f>
        <v>Águas Lindas de Goiás,GO</v>
      </c>
      <c r="F392" s="2">
        <v>45863</v>
      </c>
      <c r="G392" s="17">
        <v>1941</v>
      </c>
      <c r="H392" s="17">
        <v>3040</v>
      </c>
      <c r="I392" s="6">
        <f>Tabela1[[#This Row],[Valor total]]-Tabela1[[#This Row],[Valor custo]]</f>
        <v>1099</v>
      </c>
      <c r="J392" s="7">
        <f>Tabela1[[#This Row],[MARGEM BRUTA]]/Tabela1[[#This Row],[Valor total]]</f>
        <v>0.36151315789473687</v>
      </c>
      <c r="K392" s="1" t="str">
        <f>VLOOKUP(Tabela1[[#This Row],[Cliente]],'BASE DE CLIENTES'!A:D,4,0)</f>
        <v>SERRALHEIRO</v>
      </c>
      <c r="L392" s="1" t="str">
        <f>VLOOKUP(Tabela1[[#This Row],[Cliente]],'BASE DE CLIENTES'!A:E,5,0)</f>
        <v>Águas Lindas de Goiás</v>
      </c>
    </row>
    <row r="393" spans="2:12" x14ac:dyDescent="0.3">
      <c r="B393" s="1" t="s">
        <v>66</v>
      </c>
      <c r="C393" s="4" t="str">
        <f>VLOOKUP(Tabela1[[#This Row],[Cliente]],'BASE DE CLIENTES'!A:E,2,0)</f>
        <v>Águas Lindas de Goiás</v>
      </c>
      <c r="D393" s="1" t="str">
        <f>VLOOKUP(Tabela1[[#This Row],[Cliente]],'BASE DE CLIENTES'!A:C,3,0)</f>
        <v>GO</v>
      </c>
      <c r="E393" s="4" t="str">
        <f>CONCATENATE(Tabela1[[#This Row],[CIDADE]],",",Tabela1[[#This Row],[UF]])</f>
        <v>Águas Lindas de Goiás,GO</v>
      </c>
      <c r="F393" s="2">
        <v>45863</v>
      </c>
      <c r="G393" s="17">
        <v>2705.78</v>
      </c>
      <c r="H393" s="17">
        <v>4150</v>
      </c>
      <c r="I393" s="6">
        <f>Tabela1[[#This Row],[Valor total]]-Tabela1[[#This Row],[Valor custo]]</f>
        <v>1444.2199999999998</v>
      </c>
      <c r="J393" s="7">
        <f>Tabela1[[#This Row],[MARGEM BRUTA]]/Tabela1[[#This Row],[Valor total]]</f>
        <v>0.34800481927710841</v>
      </c>
      <c r="K393" s="1" t="str">
        <f>VLOOKUP(Tabela1[[#This Row],[Cliente]],'BASE DE CLIENTES'!A:D,4,0)</f>
        <v>EMPRESA COM MAQUINA</v>
      </c>
      <c r="L393" s="1" t="str">
        <f>VLOOKUP(Tabela1[[#This Row],[Cliente]],'BASE DE CLIENTES'!A:E,5,0)</f>
        <v>Águas Lindas de Goiás</v>
      </c>
    </row>
    <row r="394" spans="2:12" x14ac:dyDescent="0.3">
      <c r="B394" s="1" t="s">
        <v>55</v>
      </c>
      <c r="C394" s="4" t="str">
        <f>VLOOKUP(Tabela1[[#This Row],[Cliente]],'BASE DE CLIENTES'!A:E,2,0)</f>
        <v>Brasília</v>
      </c>
      <c r="D394" s="1" t="str">
        <f>VLOOKUP(Tabela1[[#This Row],[Cliente]],'BASE DE CLIENTES'!A:C,3,0)</f>
        <v>DF</v>
      </c>
      <c r="E394" s="4" t="str">
        <f>CONCATENATE(Tabela1[[#This Row],[CIDADE]],",",Tabela1[[#This Row],[UF]])</f>
        <v>Brasília,DF</v>
      </c>
      <c r="F394" s="2">
        <v>45700</v>
      </c>
      <c r="G394" s="17">
        <v>1473.02</v>
      </c>
      <c r="H394" s="17">
        <v>3000</v>
      </c>
      <c r="I394" s="6">
        <f>Tabela1[[#This Row],[Valor total]]-Tabela1[[#This Row],[Valor custo]]</f>
        <v>1526.98</v>
      </c>
      <c r="J394" s="7">
        <f>Tabela1[[#This Row],[MARGEM BRUTA]]/Tabela1[[#This Row],[Valor total]]</f>
        <v>0.5089933333333333</v>
      </c>
      <c r="K394" s="1" t="str">
        <f>VLOOKUP(Tabela1[[#This Row],[Cliente]],'BASE DE CLIENTES'!A:D,4,0)</f>
        <v>EMPRESA SEM MAQUINA</v>
      </c>
      <c r="L394" s="1" t="str">
        <f>VLOOKUP(Tabela1[[#This Row],[Cliente]],'BASE DE CLIENTES'!A:E,5,0)</f>
        <v>RECANTO DAS EMAS</v>
      </c>
    </row>
    <row r="395" spans="2:12" x14ac:dyDescent="0.3">
      <c r="B395" s="1" t="s">
        <v>110</v>
      </c>
      <c r="C395" s="4" t="str">
        <f>VLOOKUP(Tabela1[[#This Row],[Cliente]],'BASE DE CLIENTES'!A:E,2,0)</f>
        <v>Brasília</v>
      </c>
      <c r="D395" s="1" t="str">
        <f>VLOOKUP(Tabela1[[#This Row],[Cliente]],'BASE DE CLIENTES'!A:C,3,0)</f>
        <v>DF</v>
      </c>
      <c r="E395" s="4" t="str">
        <f>CONCATENATE(Tabela1[[#This Row],[CIDADE]],",",Tabela1[[#This Row],[UF]])</f>
        <v>Brasília,DF</v>
      </c>
      <c r="F395" s="2">
        <v>45700</v>
      </c>
      <c r="G395" s="17">
        <v>62.75</v>
      </c>
      <c r="H395" s="17">
        <v>70</v>
      </c>
      <c r="I395" s="6">
        <f>Tabela1[[#This Row],[Valor total]]-Tabela1[[#This Row],[Valor custo]]</f>
        <v>7.25</v>
      </c>
      <c r="J395" s="7">
        <f>Tabela1[[#This Row],[MARGEM BRUTA]]/Tabela1[[#This Row],[Valor total]]</f>
        <v>0.10357142857142858</v>
      </c>
      <c r="K395" s="1" t="str">
        <f>VLOOKUP(Tabela1[[#This Row],[Cliente]],'BASE DE CLIENTES'!A:D,4,0)</f>
        <v>SERRALHEIRO</v>
      </c>
      <c r="L395" s="1" t="str">
        <f>VLOOKUP(Tabela1[[#This Row],[Cliente]],'BASE DE CLIENTES'!A:E,5,0)</f>
        <v>Taguatinga sul</v>
      </c>
    </row>
    <row r="396" spans="2:12" x14ac:dyDescent="0.3">
      <c r="B396" s="1" t="s">
        <v>106</v>
      </c>
      <c r="C396" s="4" t="str">
        <f>VLOOKUP(Tabela1[[#This Row],[Cliente]],'BASE DE CLIENTES'!A:E,2,0)</f>
        <v>Brasília</v>
      </c>
      <c r="D396" s="1" t="str">
        <f>VLOOKUP(Tabela1[[#This Row],[Cliente]],'BASE DE CLIENTES'!A:C,3,0)</f>
        <v>DF</v>
      </c>
      <c r="E396" s="4" t="str">
        <f>CONCATENATE(Tabela1[[#This Row],[CIDADE]],",",Tabela1[[#This Row],[UF]])</f>
        <v>Brasília,DF</v>
      </c>
      <c r="F396" s="2">
        <v>45700</v>
      </c>
      <c r="G396" s="17">
        <v>957.68</v>
      </c>
      <c r="H396" s="17">
        <v>1119.8</v>
      </c>
      <c r="I396" s="6">
        <f>Tabela1[[#This Row],[Valor total]]-Tabela1[[#This Row],[Valor custo]]</f>
        <v>162.12</v>
      </c>
      <c r="J396" s="7">
        <f>Tabela1[[#This Row],[MARGEM BRUTA]]/Tabela1[[#This Row],[Valor total]]</f>
        <v>0.14477585283086267</v>
      </c>
      <c r="K396" s="1" t="str">
        <f>VLOOKUP(Tabela1[[#This Row],[Cliente]],'BASE DE CLIENTES'!A:D,4,0)</f>
        <v>EMPRESA COM MAQUINA</v>
      </c>
      <c r="L396" s="1" t="str">
        <f>VLOOKUP(Tabela1[[#This Row],[Cliente]],'BASE DE CLIENTES'!A:E,5,0)</f>
        <v>26 DE SETEMBRO</v>
      </c>
    </row>
    <row r="397" spans="2:12" x14ac:dyDescent="0.3">
      <c r="B397" s="1" t="s">
        <v>66</v>
      </c>
      <c r="C397" s="4" t="str">
        <f>VLOOKUP(Tabela1[[#This Row],[Cliente]],'BASE DE CLIENTES'!A:E,2,0)</f>
        <v>Águas Lindas de Goiás</v>
      </c>
      <c r="D397" s="1" t="str">
        <f>VLOOKUP(Tabela1[[#This Row],[Cliente]],'BASE DE CLIENTES'!A:C,3,0)</f>
        <v>GO</v>
      </c>
      <c r="E397" s="4" t="str">
        <f>CONCATENATE(Tabela1[[#This Row],[CIDADE]],",",Tabela1[[#This Row],[UF]])</f>
        <v>Águas Lindas de Goiás,GO</v>
      </c>
      <c r="F397" s="2">
        <v>45861</v>
      </c>
      <c r="G397" s="17">
        <v>764.6</v>
      </c>
      <c r="H397" s="17">
        <v>1230</v>
      </c>
      <c r="I397" s="6">
        <f>Tabela1[[#This Row],[Valor total]]-Tabela1[[#This Row],[Valor custo]]</f>
        <v>465.4</v>
      </c>
      <c r="J397" s="7">
        <f>Tabela1[[#This Row],[MARGEM BRUTA]]/Tabela1[[#This Row],[Valor total]]</f>
        <v>0.37837398373983738</v>
      </c>
      <c r="K397" s="1" t="str">
        <f>VLOOKUP(Tabela1[[#This Row],[Cliente]],'BASE DE CLIENTES'!A:D,4,0)</f>
        <v>EMPRESA COM MAQUINA</v>
      </c>
      <c r="L397" s="1" t="str">
        <f>VLOOKUP(Tabela1[[#This Row],[Cliente]],'BASE DE CLIENTES'!A:E,5,0)</f>
        <v>Águas Lindas de Goiás</v>
      </c>
    </row>
    <row r="398" spans="2:12" x14ac:dyDescent="0.3">
      <c r="B398" s="1" t="s">
        <v>19</v>
      </c>
      <c r="C398" s="4" t="str">
        <f>VLOOKUP(Tabela1[[#This Row],[Cliente]],'BASE DE CLIENTES'!A:E,2,0)</f>
        <v>Águas Lindas de Goiás</v>
      </c>
      <c r="D398" s="1" t="str">
        <f>VLOOKUP(Tabela1[[#This Row],[Cliente]],'BASE DE CLIENTES'!A:C,3,0)</f>
        <v>GO</v>
      </c>
      <c r="E398" s="4" t="str">
        <f>CONCATENATE(Tabela1[[#This Row],[CIDADE]],",",Tabela1[[#This Row],[UF]])</f>
        <v>Águas Lindas de Goiás,GO</v>
      </c>
      <c r="F398" s="2">
        <v>45861</v>
      </c>
      <c r="G398" s="17">
        <v>122.74</v>
      </c>
      <c r="H398" s="17">
        <v>180</v>
      </c>
      <c r="I398" s="6">
        <f>Tabela1[[#This Row],[Valor total]]-Tabela1[[#This Row],[Valor custo]]</f>
        <v>57.260000000000005</v>
      </c>
      <c r="J398" s="7">
        <f>Tabela1[[#This Row],[MARGEM BRUTA]]/Tabela1[[#This Row],[Valor total]]</f>
        <v>0.31811111111111112</v>
      </c>
      <c r="K398" s="1" t="str">
        <f>VLOOKUP(Tabela1[[#This Row],[Cliente]],'BASE DE CLIENTES'!A:D,4,0)</f>
        <v>SERRALHEIRO</v>
      </c>
      <c r="L398" s="1" t="str">
        <f>VLOOKUP(Tabela1[[#This Row],[Cliente]],'BASE DE CLIENTES'!A:E,5,0)</f>
        <v>Águas Lindas de Goiás</v>
      </c>
    </row>
    <row r="399" spans="2:12" x14ac:dyDescent="0.3">
      <c r="B399" s="1" t="s">
        <v>120</v>
      </c>
      <c r="C399" s="4" t="str">
        <f>VLOOKUP(Tabela1[[#This Row],[Cliente]],'BASE DE CLIENTES'!A:E,2,0)</f>
        <v>Brasília</v>
      </c>
      <c r="D399" s="1" t="str">
        <f>VLOOKUP(Tabela1[[#This Row],[Cliente]],'BASE DE CLIENTES'!A:C,3,0)</f>
        <v>DF</v>
      </c>
      <c r="E399" s="4" t="str">
        <f>CONCATENATE(Tabela1[[#This Row],[CIDADE]],",",Tabela1[[#This Row],[UF]])</f>
        <v>Brasília,DF</v>
      </c>
      <c r="F399" s="2">
        <v>45699</v>
      </c>
      <c r="G399" s="17">
        <v>0</v>
      </c>
      <c r="H399" s="17">
        <v>270</v>
      </c>
      <c r="I399" s="6">
        <f>Tabela1[[#This Row],[Valor total]]-Tabela1[[#This Row],[Valor custo]]</f>
        <v>270</v>
      </c>
      <c r="J399" s="7">
        <f>Tabela1[[#This Row],[MARGEM BRUTA]]/Tabela1[[#This Row],[Valor total]]</f>
        <v>1</v>
      </c>
      <c r="K399" s="1" t="str">
        <f>VLOOKUP(Tabela1[[#This Row],[Cliente]],'BASE DE CLIENTES'!A:D,4,0)</f>
        <v>EMPRESA SEM MAQUINA</v>
      </c>
      <c r="L399" s="1" t="str">
        <f>VLOOKUP(Tabela1[[#This Row],[Cliente]],'BASE DE CLIENTES'!A:E,5,0)</f>
        <v>SAMAMBAIA</v>
      </c>
    </row>
    <row r="400" spans="2:12" x14ac:dyDescent="0.3">
      <c r="B400" s="1" t="s">
        <v>128</v>
      </c>
      <c r="C400" s="4" t="str">
        <f>VLOOKUP(Tabela1[[#This Row],[Cliente]],'BASE DE CLIENTES'!A:E,2,0)</f>
        <v>Brasília</v>
      </c>
      <c r="D400" s="1" t="str">
        <f>VLOOKUP(Tabela1[[#This Row],[Cliente]],'BASE DE CLIENTES'!A:C,3,0)</f>
        <v>DF</v>
      </c>
      <c r="E400" s="4" t="str">
        <f>CONCATENATE(Tabela1[[#This Row],[CIDADE]],",",Tabela1[[#This Row],[UF]])</f>
        <v>Brasília,DF</v>
      </c>
      <c r="F400" s="2">
        <v>45699</v>
      </c>
      <c r="G400" s="17">
        <v>0</v>
      </c>
      <c r="H400" s="17">
        <v>135</v>
      </c>
      <c r="I400" s="6">
        <f>Tabela1[[#This Row],[Valor total]]-Tabela1[[#This Row],[Valor custo]]</f>
        <v>135</v>
      </c>
      <c r="J400" s="7">
        <f>Tabela1[[#This Row],[MARGEM BRUTA]]/Tabela1[[#This Row],[Valor total]]</f>
        <v>1</v>
      </c>
      <c r="K400" s="1" t="str">
        <f>VLOOKUP(Tabela1[[#This Row],[Cliente]],'BASE DE CLIENTES'!A:D,4,0)</f>
        <v>SERRALHEIRO</v>
      </c>
      <c r="L400" s="1" t="str">
        <f>VLOOKUP(Tabela1[[#This Row],[Cliente]],'BASE DE CLIENTES'!A:E,5,0)</f>
        <v>TAGUATINGA NORTE</v>
      </c>
    </row>
    <row r="401" spans="2:12" x14ac:dyDescent="0.3">
      <c r="B401" s="1" t="s">
        <v>17</v>
      </c>
      <c r="C401" s="4" t="str">
        <f>VLOOKUP(Tabela1[[#This Row],[Cliente]],'BASE DE CLIENTES'!A:E,2,0)</f>
        <v>Águas Lindas de Goiás</v>
      </c>
      <c r="D401" s="1" t="str">
        <f>VLOOKUP(Tabela1[[#This Row],[Cliente]],'BASE DE CLIENTES'!A:C,3,0)</f>
        <v>GO</v>
      </c>
      <c r="E401" s="4" t="str">
        <f>CONCATENATE(Tabela1[[#This Row],[CIDADE]],",",Tabela1[[#This Row],[UF]])</f>
        <v>Águas Lindas de Goiás,GO</v>
      </c>
      <c r="F401" s="2">
        <v>45860</v>
      </c>
      <c r="G401" s="17">
        <v>932</v>
      </c>
      <c r="H401" s="17">
        <v>1590</v>
      </c>
      <c r="I401" s="6">
        <f>Tabela1[[#This Row],[Valor total]]-Tabela1[[#This Row],[Valor custo]]</f>
        <v>658</v>
      </c>
      <c r="J401" s="7">
        <f>Tabela1[[#This Row],[MARGEM BRUTA]]/Tabela1[[#This Row],[Valor total]]</f>
        <v>0.4138364779874214</v>
      </c>
      <c r="K401" s="1" t="str">
        <f>VLOOKUP(Tabela1[[#This Row],[Cliente]],'BASE DE CLIENTES'!A:D,4,0)</f>
        <v>SERRALHEIRO</v>
      </c>
      <c r="L401" s="1" t="str">
        <f>VLOOKUP(Tabela1[[#This Row],[Cliente]],'BASE DE CLIENTES'!A:E,5,0)</f>
        <v>Águas Lindas de Goiás</v>
      </c>
    </row>
    <row r="402" spans="2:12" x14ac:dyDescent="0.3">
      <c r="B402" s="1" t="s">
        <v>19</v>
      </c>
      <c r="C402" s="4" t="str">
        <f>VLOOKUP(Tabela1[[#This Row],[Cliente]],'BASE DE CLIENTES'!A:E,2,0)</f>
        <v>Águas Lindas de Goiás</v>
      </c>
      <c r="D402" s="1" t="str">
        <f>VLOOKUP(Tabela1[[#This Row],[Cliente]],'BASE DE CLIENTES'!A:C,3,0)</f>
        <v>GO</v>
      </c>
      <c r="E402" s="4" t="str">
        <f>CONCATENATE(Tabela1[[#This Row],[CIDADE]],",",Tabela1[[#This Row],[UF]])</f>
        <v>Águas Lindas de Goiás,GO</v>
      </c>
      <c r="F402" s="2">
        <v>45859</v>
      </c>
      <c r="G402" s="17">
        <v>952</v>
      </c>
      <c r="H402" s="17">
        <v>1570</v>
      </c>
      <c r="I402" s="6">
        <f>Tabela1[[#This Row],[Valor total]]-Tabela1[[#This Row],[Valor custo]]</f>
        <v>618</v>
      </c>
      <c r="J402" s="7">
        <f>Tabela1[[#This Row],[MARGEM BRUTA]]/Tabela1[[#This Row],[Valor total]]</f>
        <v>0.39363057324840767</v>
      </c>
      <c r="K402" s="1" t="str">
        <f>VLOOKUP(Tabela1[[#This Row],[Cliente]],'BASE DE CLIENTES'!A:D,4,0)</f>
        <v>SERRALHEIRO</v>
      </c>
      <c r="L402" s="1" t="str">
        <f>VLOOKUP(Tabela1[[#This Row],[Cliente]],'BASE DE CLIENTES'!A:E,5,0)</f>
        <v>Águas Lindas de Goiás</v>
      </c>
    </row>
    <row r="403" spans="2:12" x14ac:dyDescent="0.3">
      <c r="B403" s="1" t="s">
        <v>129</v>
      </c>
      <c r="C403" s="4" t="str">
        <f>VLOOKUP(Tabela1[[#This Row],[Cliente]],'BASE DE CLIENTES'!A:E,2,0)</f>
        <v>Brasília</v>
      </c>
      <c r="D403" s="1" t="str">
        <f>VLOOKUP(Tabela1[[#This Row],[Cliente]],'BASE DE CLIENTES'!A:C,3,0)</f>
        <v>DF</v>
      </c>
      <c r="E403" s="4" t="str">
        <f>CONCATENATE(Tabela1[[#This Row],[CIDADE]],",",Tabela1[[#This Row],[UF]])</f>
        <v>Brasília,DF</v>
      </c>
      <c r="F403" s="2">
        <v>45868</v>
      </c>
      <c r="G403" s="17">
        <v>559.69000000000005</v>
      </c>
      <c r="H403" s="17">
        <v>1340</v>
      </c>
      <c r="I403" s="6">
        <f>Tabela1[[#This Row],[Valor total]]-Tabela1[[#This Row],[Valor custo]]</f>
        <v>780.31</v>
      </c>
      <c r="J403" s="7">
        <f>Tabela1[[#This Row],[MARGEM BRUTA]]/Tabela1[[#This Row],[Valor total]]</f>
        <v>0.58232089552238797</v>
      </c>
      <c r="K403" s="1" t="str">
        <f>VLOOKUP(Tabela1[[#This Row],[Cliente]],'BASE DE CLIENTES'!A:D,4,0)</f>
        <v>SEM CLASSIFICAÇÃO</v>
      </c>
      <c r="L403" s="1" t="str">
        <f>VLOOKUP(Tabela1[[#This Row],[Cliente]],'BASE DE CLIENTES'!A:E,5,0)</f>
        <v>ZONA INDUSTRIAL (GUARA)</v>
      </c>
    </row>
    <row r="404" spans="2:12" x14ac:dyDescent="0.3">
      <c r="B404" s="1" t="s">
        <v>99</v>
      </c>
      <c r="C404" s="4" t="str">
        <f>VLOOKUP(Tabela1[[#This Row],[Cliente]],'BASE DE CLIENTES'!A:E,2,0)</f>
        <v>Brasília</v>
      </c>
      <c r="D404" s="1" t="str">
        <f>VLOOKUP(Tabela1[[#This Row],[Cliente]],'BASE DE CLIENTES'!A:C,3,0)</f>
        <v>DF</v>
      </c>
      <c r="E404" s="4" t="str">
        <f>CONCATENATE(Tabela1[[#This Row],[CIDADE]],",",Tabela1[[#This Row],[UF]])</f>
        <v>Brasília,DF</v>
      </c>
      <c r="F404" s="2">
        <v>45699</v>
      </c>
      <c r="G404" s="17">
        <v>4378.99</v>
      </c>
      <c r="H404" s="17">
        <v>7050</v>
      </c>
      <c r="I404" s="6">
        <f>Tabela1[[#This Row],[Valor total]]-Tabela1[[#This Row],[Valor custo]]</f>
        <v>2671.01</v>
      </c>
      <c r="J404" s="7">
        <f>Tabela1[[#This Row],[MARGEM BRUTA]]/Tabela1[[#This Row],[Valor total]]</f>
        <v>0.37886666666666668</v>
      </c>
      <c r="K404" s="1" t="str">
        <f>VLOOKUP(Tabela1[[#This Row],[Cliente]],'BASE DE CLIENTES'!A:D,4,0)</f>
        <v>EMPRESA COM MAQUINA</v>
      </c>
      <c r="L404" s="1" t="str">
        <f>VLOOKUP(Tabela1[[#This Row],[Cliente]],'BASE DE CLIENTES'!A:E,5,0)</f>
        <v>ARAPOANGA (PLANALTINA)</v>
      </c>
    </row>
    <row r="405" spans="2:12" x14ac:dyDescent="0.3">
      <c r="B405" s="1" t="s">
        <v>23</v>
      </c>
      <c r="C405" s="4" t="str">
        <f>VLOOKUP(Tabela1[[#This Row],[Cliente]],'BASE DE CLIENTES'!A:E,2,0)</f>
        <v>Brasília</v>
      </c>
      <c r="D405" s="1" t="str">
        <f>VLOOKUP(Tabela1[[#This Row],[Cliente]],'BASE DE CLIENTES'!A:C,3,0)</f>
        <v>DF</v>
      </c>
      <c r="E405" s="4" t="str">
        <f>CONCATENATE(Tabela1[[#This Row],[CIDADE]],",",Tabela1[[#This Row],[UF]])</f>
        <v>Brasília,DF</v>
      </c>
      <c r="F405" s="2">
        <v>45699</v>
      </c>
      <c r="G405" s="17">
        <v>531.45000000000005</v>
      </c>
      <c r="H405" s="17">
        <v>741.6</v>
      </c>
      <c r="I405" s="6">
        <f>Tabela1[[#This Row],[Valor total]]-Tabela1[[#This Row],[Valor custo]]</f>
        <v>210.14999999999998</v>
      </c>
      <c r="J405" s="7">
        <f>Tabela1[[#This Row],[MARGEM BRUTA]]/Tabela1[[#This Row],[Valor total]]</f>
        <v>0.28337378640776695</v>
      </c>
      <c r="K405" s="1" t="str">
        <f>VLOOKUP(Tabela1[[#This Row],[Cliente]],'BASE DE CLIENTES'!A:D,4,0)</f>
        <v>EMPRESA SEM MAQUINA</v>
      </c>
      <c r="L405" s="1" t="str">
        <f>VLOOKUP(Tabela1[[#This Row],[Cliente]],'BASE DE CLIENTES'!A:E,5,0)</f>
        <v>SETOR INDUSTRIAL (TAGUATINGA)</v>
      </c>
    </row>
    <row r="406" spans="2:12" x14ac:dyDescent="0.3">
      <c r="B406" s="1" t="s">
        <v>96</v>
      </c>
      <c r="C406" s="4" t="str">
        <f>VLOOKUP(Tabela1[[#This Row],[Cliente]],'BASE DE CLIENTES'!A:E,2,0)</f>
        <v>Brasília</v>
      </c>
      <c r="D406" s="1" t="str">
        <f>VLOOKUP(Tabela1[[#This Row],[Cliente]],'BASE DE CLIENTES'!A:C,3,0)</f>
        <v>DF</v>
      </c>
      <c r="E406" s="4" t="str">
        <f>CONCATENATE(Tabela1[[#This Row],[CIDADE]],",",Tabela1[[#This Row],[UF]])</f>
        <v>Brasília,DF</v>
      </c>
      <c r="F406" s="2">
        <v>45698</v>
      </c>
      <c r="G406" s="17">
        <v>911.35</v>
      </c>
      <c r="H406" s="17">
        <v>1213.9000000000001</v>
      </c>
      <c r="I406" s="6">
        <f>Tabela1[[#This Row],[Valor total]]-Tabela1[[#This Row],[Valor custo]]</f>
        <v>302.55000000000007</v>
      </c>
      <c r="J406" s="7">
        <f>Tabela1[[#This Row],[MARGEM BRUTA]]/Tabela1[[#This Row],[Valor total]]</f>
        <v>0.24923799324491314</v>
      </c>
      <c r="K406" s="1" t="str">
        <f>VLOOKUP(Tabela1[[#This Row],[Cliente]],'BASE DE CLIENTES'!A:D,4,0)</f>
        <v>EMPRESA SEM MAQUINA</v>
      </c>
      <c r="L406" s="1" t="str">
        <f>VLOOKUP(Tabela1[[#This Row],[Cliente]],'BASE DE CLIENTES'!A:E,5,0)</f>
        <v>CEILANDIA NORTE (CEILANDIA)</v>
      </c>
    </row>
    <row r="407" spans="2:12" x14ac:dyDescent="0.3">
      <c r="B407" s="1" t="s">
        <v>88</v>
      </c>
      <c r="C407" s="4" t="str">
        <f>VLOOKUP(Tabela1[[#This Row],[Cliente]],'BASE DE CLIENTES'!A:E,2,0)</f>
        <v>Brasília</v>
      </c>
      <c r="D407" s="1" t="str">
        <f>VLOOKUP(Tabela1[[#This Row],[Cliente]],'BASE DE CLIENTES'!A:C,3,0)</f>
        <v>DF</v>
      </c>
      <c r="E407" s="4" t="str">
        <f>CONCATENATE(Tabela1[[#This Row],[CIDADE]],",",Tabela1[[#This Row],[UF]])</f>
        <v>Brasília,DF</v>
      </c>
      <c r="F407" s="2">
        <v>45698</v>
      </c>
      <c r="G407" s="17">
        <v>1918.35</v>
      </c>
      <c r="H407" s="17">
        <v>2600</v>
      </c>
      <c r="I407" s="6">
        <f>Tabela1[[#This Row],[Valor total]]-Tabela1[[#This Row],[Valor custo]]</f>
        <v>681.65000000000009</v>
      </c>
      <c r="J407" s="7">
        <f>Tabela1[[#This Row],[MARGEM BRUTA]]/Tabela1[[#This Row],[Valor total]]</f>
        <v>0.26217307692307695</v>
      </c>
      <c r="K407" s="1" t="str">
        <f>VLOOKUP(Tabela1[[#This Row],[Cliente]],'BASE DE CLIENTES'!A:D,4,0)</f>
        <v>SERRALHEIRO</v>
      </c>
      <c r="L407" s="1" t="str">
        <f>VLOOKUP(Tabela1[[#This Row],[Cliente]],'BASE DE CLIENTES'!A:E,5,0)</f>
        <v>RECANTO DAS EMAS</v>
      </c>
    </row>
    <row r="408" spans="2:12" x14ac:dyDescent="0.3">
      <c r="B408" s="1" t="s">
        <v>120</v>
      </c>
      <c r="C408" s="4" t="str">
        <f>VLOOKUP(Tabela1[[#This Row],[Cliente]],'BASE DE CLIENTES'!A:E,2,0)</f>
        <v>Brasília</v>
      </c>
      <c r="D408" s="1" t="str">
        <f>VLOOKUP(Tabela1[[#This Row],[Cliente]],'BASE DE CLIENTES'!A:C,3,0)</f>
        <v>DF</v>
      </c>
      <c r="E408" s="4" t="str">
        <f>CONCATENATE(Tabela1[[#This Row],[CIDADE]],",",Tabela1[[#This Row],[UF]])</f>
        <v>Brasília,DF</v>
      </c>
      <c r="F408" s="2">
        <v>45698</v>
      </c>
      <c r="G408" s="17">
        <v>1045.9000000000001</v>
      </c>
      <c r="H408" s="17">
        <v>1440</v>
      </c>
      <c r="I408" s="6">
        <f>Tabela1[[#This Row],[Valor total]]-Tabela1[[#This Row],[Valor custo]]</f>
        <v>394.09999999999991</v>
      </c>
      <c r="J408" s="7">
        <f>Tabela1[[#This Row],[MARGEM BRUTA]]/Tabela1[[#This Row],[Valor total]]</f>
        <v>0.27368055555555548</v>
      </c>
      <c r="K408" s="1" t="str">
        <f>VLOOKUP(Tabela1[[#This Row],[Cliente]],'BASE DE CLIENTES'!A:D,4,0)</f>
        <v>EMPRESA SEM MAQUINA</v>
      </c>
      <c r="L408" s="1" t="str">
        <f>VLOOKUP(Tabela1[[#This Row],[Cliente]],'BASE DE CLIENTES'!A:E,5,0)</f>
        <v>SAMAMBAIA</v>
      </c>
    </row>
    <row r="409" spans="2:12" x14ac:dyDescent="0.3">
      <c r="B409" s="1" t="s">
        <v>100</v>
      </c>
      <c r="C409" s="4" t="str">
        <f>VLOOKUP(Tabela1[[#This Row],[Cliente]],'BASE DE CLIENTES'!A:E,2,0)</f>
        <v>Águas Lindas de Goiás</v>
      </c>
      <c r="D409" s="1" t="str">
        <f>VLOOKUP(Tabela1[[#This Row],[Cliente]],'BASE DE CLIENTES'!A:C,3,0)</f>
        <v>GO</v>
      </c>
      <c r="E409" s="4" t="str">
        <f>CONCATENATE(Tabela1[[#This Row],[CIDADE]],",",Tabela1[[#This Row],[UF]])</f>
        <v>Águas Lindas de Goiás,GO</v>
      </c>
      <c r="F409" s="2">
        <v>45698</v>
      </c>
      <c r="G409" s="17">
        <v>878.4</v>
      </c>
      <c r="H409" s="17">
        <v>1200</v>
      </c>
      <c r="I409" s="6">
        <f>Tabela1[[#This Row],[Valor total]]-Tabela1[[#This Row],[Valor custo]]</f>
        <v>321.60000000000002</v>
      </c>
      <c r="J409" s="7">
        <f>Tabela1[[#This Row],[MARGEM BRUTA]]/Tabela1[[#This Row],[Valor total]]</f>
        <v>0.26800000000000002</v>
      </c>
      <c r="K409" s="1" t="str">
        <f>VLOOKUP(Tabela1[[#This Row],[Cliente]],'BASE DE CLIENTES'!A:D,4,0)</f>
        <v>EMPRESA SEM MAQUINA</v>
      </c>
      <c r="L409" s="1" t="str">
        <f>VLOOKUP(Tabela1[[#This Row],[Cliente]],'BASE DE CLIENTES'!A:E,5,0)</f>
        <v>Águas Lindas de Goiás</v>
      </c>
    </row>
    <row r="410" spans="2:12" x14ac:dyDescent="0.3">
      <c r="B410" s="1" t="s">
        <v>19</v>
      </c>
      <c r="C410" s="4" t="str">
        <f>VLOOKUP(Tabela1[[#This Row],[Cliente]],'BASE DE CLIENTES'!A:E,2,0)</f>
        <v>Águas Lindas de Goiás</v>
      </c>
      <c r="D410" s="1" t="str">
        <f>VLOOKUP(Tabela1[[#This Row],[Cliente]],'BASE DE CLIENTES'!A:C,3,0)</f>
        <v>GO</v>
      </c>
      <c r="E410" s="4" t="str">
        <f>CONCATENATE(Tabela1[[#This Row],[CIDADE]],",",Tabela1[[#This Row],[UF]])</f>
        <v>Águas Lindas de Goiás,GO</v>
      </c>
      <c r="F410" s="2">
        <v>45856</v>
      </c>
      <c r="G410" s="17">
        <v>79</v>
      </c>
      <c r="H410" s="17">
        <v>300</v>
      </c>
      <c r="I410" s="6">
        <f>Tabela1[[#This Row],[Valor total]]-Tabela1[[#This Row],[Valor custo]]</f>
        <v>221</v>
      </c>
      <c r="J410" s="7">
        <f>Tabela1[[#This Row],[MARGEM BRUTA]]/Tabela1[[#This Row],[Valor total]]</f>
        <v>0.73666666666666669</v>
      </c>
      <c r="K410" s="1" t="str">
        <f>VLOOKUP(Tabela1[[#This Row],[Cliente]],'BASE DE CLIENTES'!A:D,4,0)</f>
        <v>SERRALHEIRO</v>
      </c>
      <c r="L410" s="1" t="str">
        <f>VLOOKUP(Tabela1[[#This Row],[Cliente]],'BASE DE CLIENTES'!A:E,5,0)</f>
        <v>Águas Lindas de Goiás</v>
      </c>
    </row>
    <row r="411" spans="2:12" x14ac:dyDescent="0.3">
      <c r="B411" s="1" t="s">
        <v>111</v>
      </c>
      <c r="C411" s="4" t="str">
        <f>VLOOKUP(Tabela1[[#This Row],[Cliente]],'BASE DE CLIENTES'!A:E,2,0)</f>
        <v>Brasília</v>
      </c>
      <c r="D411" s="1" t="str">
        <f>VLOOKUP(Tabela1[[#This Row],[Cliente]],'BASE DE CLIENTES'!A:C,3,0)</f>
        <v>DF</v>
      </c>
      <c r="E411" s="4" t="str">
        <f>CONCATENATE(Tabela1[[#This Row],[CIDADE]],",",Tabela1[[#This Row],[UF]])</f>
        <v>Brasília,DF</v>
      </c>
      <c r="F411" s="2">
        <v>45698</v>
      </c>
      <c r="G411" s="17">
        <v>5957.9</v>
      </c>
      <c r="H411" s="17">
        <v>9810</v>
      </c>
      <c r="I411" s="6">
        <f>Tabela1[[#This Row],[Valor total]]-Tabela1[[#This Row],[Valor custo]]</f>
        <v>3852.1000000000004</v>
      </c>
      <c r="J411" s="7">
        <f>Tabela1[[#This Row],[MARGEM BRUTA]]/Tabela1[[#This Row],[Valor total]]</f>
        <v>0.39267074413863406</v>
      </c>
      <c r="K411" s="1" t="str">
        <f>VLOOKUP(Tabela1[[#This Row],[Cliente]],'BASE DE CLIENTES'!A:D,4,0)</f>
        <v>EMPRESA SEM MAQUINA</v>
      </c>
      <c r="L411" s="1" t="str">
        <f>VLOOKUP(Tabela1[[#This Row],[Cliente]],'BASE DE CLIENTES'!A:E,5,0)</f>
        <v>TAGUATINGA SUL (TAGUATINGA)</v>
      </c>
    </row>
    <row r="412" spans="2:12" x14ac:dyDescent="0.3">
      <c r="B412" s="1" t="s">
        <v>42</v>
      </c>
      <c r="C412" s="4" t="str">
        <f>VLOOKUP(Tabela1[[#This Row],[Cliente]],'BASE DE CLIENTES'!A:E,2,0)</f>
        <v>Brasília</v>
      </c>
      <c r="D412" s="1" t="str">
        <f>VLOOKUP(Tabela1[[#This Row],[Cliente]],'BASE DE CLIENTES'!A:C,3,0)</f>
        <v>DF</v>
      </c>
      <c r="E412" s="4" t="str">
        <f>CONCATENATE(Tabela1[[#This Row],[CIDADE]],",",Tabela1[[#This Row],[UF]])</f>
        <v>Brasília,DF</v>
      </c>
      <c r="F412" s="2">
        <v>45698</v>
      </c>
      <c r="G412" s="17">
        <v>3747.83</v>
      </c>
      <c r="H412" s="17">
        <v>5550</v>
      </c>
      <c r="I412" s="6">
        <f>Tabela1[[#This Row],[Valor total]]-Tabela1[[#This Row],[Valor custo]]</f>
        <v>1802.17</v>
      </c>
      <c r="J412" s="7">
        <f>Tabela1[[#This Row],[MARGEM BRUTA]]/Tabela1[[#This Row],[Valor total]]</f>
        <v>0.32471531531531533</v>
      </c>
      <c r="K412" s="1" t="str">
        <f>VLOOKUP(Tabela1[[#This Row],[Cliente]],'BASE DE CLIENTES'!A:D,4,0)</f>
        <v>EMPRESA SEM MAQUINA</v>
      </c>
      <c r="L412" s="1" t="str">
        <f>VLOOKUP(Tabela1[[#This Row],[Cliente]],'BASE DE CLIENTES'!A:E,5,0)</f>
        <v>SAMAMBAIA</v>
      </c>
    </row>
    <row r="413" spans="2:12" x14ac:dyDescent="0.3">
      <c r="B413" s="1" t="s">
        <v>66</v>
      </c>
      <c r="C413" s="4" t="str">
        <f>VLOOKUP(Tabela1[[#This Row],[Cliente]],'BASE DE CLIENTES'!A:E,2,0)</f>
        <v>Águas Lindas de Goiás</v>
      </c>
      <c r="D413" s="1" t="str">
        <f>VLOOKUP(Tabela1[[#This Row],[Cliente]],'BASE DE CLIENTES'!A:C,3,0)</f>
        <v>GO</v>
      </c>
      <c r="E413" s="4" t="str">
        <f>CONCATENATE(Tabela1[[#This Row],[CIDADE]],",",Tabela1[[#This Row],[UF]])</f>
        <v>Águas Lindas de Goiás,GO</v>
      </c>
      <c r="F413" s="2">
        <v>45856</v>
      </c>
      <c r="G413" s="17">
        <v>806.6</v>
      </c>
      <c r="H413" s="17">
        <v>1268</v>
      </c>
      <c r="I413" s="6">
        <f>Tabela1[[#This Row],[Valor total]]-Tabela1[[#This Row],[Valor custo]]</f>
        <v>461.4</v>
      </c>
      <c r="J413" s="7">
        <f>Tabela1[[#This Row],[MARGEM BRUTA]]/Tabela1[[#This Row],[Valor total]]</f>
        <v>0.36388012618296528</v>
      </c>
      <c r="K413" s="1" t="str">
        <f>VLOOKUP(Tabela1[[#This Row],[Cliente]],'BASE DE CLIENTES'!A:D,4,0)</f>
        <v>EMPRESA COM MAQUINA</v>
      </c>
      <c r="L413" s="1" t="str">
        <f>VLOOKUP(Tabela1[[#This Row],[Cliente]],'BASE DE CLIENTES'!A:E,5,0)</f>
        <v>Águas Lindas de Goiás</v>
      </c>
    </row>
    <row r="414" spans="2:12" x14ac:dyDescent="0.3">
      <c r="B414" s="1" t="s">
        <v>68</v>
      </c>
      <c r="C414" s="4" t="str">
        <f>VLOOKUP(Tabela1[[#This Row],[Cliente]],'BASE DE CLIENTES'!A:E,2,0)</f>
        <v>Brasília</v>
      </c>
      <c r="D414" s="1" t="str">
        <f>VLOOKUP(Tabela1[[#This Row],[Cliente]],'BASE DE CLIENTES'!A:C,3,0)</f>
        <v>DF</v>
      </c>
      <c r="E414" s="4" t="str">
        <f>CONCATENATE(Tabela1[[#This Row],[CIDADE]],",",Tabela1[[#This Row],[UF]])</f>
        <v>Brasília,DF</v>
      </c>
      <c r="F414" s="2">
        <v>45698</v>
      </c>
      <c r="G414" s="17">
        <v>394.04</v>
      </c>
      <c r="H414" s="17">
        <v>500</v>
      </c>
      <c r="I414" s="6">
        <f>Tabela1[[#This Row],[Valor total]]-Tabela1[[#This Row],[Valor custo]]</f>
        <v>105.95999999999998</v>
      </c>
      <c r="J414" s="7">
        <f>Tabela1[[#This Row],[MARGEM BRUTA]]/Tabela1[[#This Row],[Valor total]]</f>
        <v>0.21191999999999997</v>
      </c>
      <c r="K414" s="1" t="str">
        <f>VLOOKUP(Tabela1[[#This Row],[Cliente]],'BASE DE CLIENTES'!A:D,4,0)</f>
        <v>EMPRESA COM MAQUINA</v>
      </c>
      <c r="L414" s="1" t="str">
        <f>VLOOKUP(Tabela1[[#This Row],[Cliente]],'BASE DE CLIENTES'!A:E,5,0)</f>
        <v>SAMAMBAIA SUL (SAMAMBAIA)</v>
      </c>
    </row>
    <row r="415" spans="2:12" x14ac:dyDescent="0.3">
      <c r="B415" s="1" t="s">
        <v>106</v>
      </c>
      <c r="C415" s="4" t="str">
        <f>VLOOKUP(Tabela1[[#This Row],[Cliente]],'BASE DE CLIENTES'!A:E,2,0)</f>
        <v>Brasília</v>
      </c>
      <c r="D415" s="1" t="str">
        <f>VLOOKUP(Tabela1[[#This Row],[Cliente]],'BASE DE CLIENTES'!A:C,3,0)</f>
        <v>DF</v>
      </c>
      <c r="E415" s="4" t="str">
        <f>CONCATENATE(Tabela1[[#This Row],[CIDADE]],",",Tabela1[[#This Row],[UF]])</f>
        <v>Brasília,DF</v>
      </c>
      <c r="F415" s="2">
        <v>45695</v>
      </c>
      <c r="G415" s="17">
        <v>439.2</v>
      </c>
      <c r="H415" s="17">
        <v>620</v>
      </c>
      <c r="I415" s="6">
        <f>Tabela1[[#This Row],[Valor total]]-Tabela1[[#This Row],[Valor custo]]</f>
        <v>180.8</v>
      </c>
      <c r="J415" s="7">
        <f>Tabela1[[#This Row],[MARGEM BRUTA]]/Tabela1[[#This Row],[Valor total]]</f>
        <v>0.29161290322580646</v>
      </c>
      <c r="K415" s="1" t="str">
        <f>VLOOKUP(Tabela1[[#This Row],[Cliente]],'BASE DE CLIENTES'!A:D,4,0)</f>
        <v>EMPRESA COM MAQUINA</v>
      </c>
      <c r="L415" s="1" t="str">
        <f>VLOOKUP(Tabela1[[#This Row],[Cliente]],'BASE DE CLIENTES'!A:E,5,0)</f>
        <v>26 DE SETEMBRO</v>
      </c>
    </row>
    <row r="416" spans="2:12" x14ac:dyDescent="0.3">
      <c r="B416" s="1" t="s">
        <v>52</v>
      </c>
      <c r="C416" s="4" t="str">
        <f>VLOOKUP(Tabela1[[#This Row],[Cliente]],'BASE DE CLIENTES'!A:E,2,0)</f>
        <v>Brasília</v>
      </c>
      <c r="D416" s="1" t="str">
        <f>VLOOKUP(Tabela1[[#This Row],[Cliente]],'BASE DE CLIENTES'!A:C,3,0)</f>
        <v>DF</v>
      </c>
      <c r="E416" s="4" t="str">
        <f>CONCATENATE(Tabela1[[#This Row],[CIDADE]],",",Tabela1[[#This Row],[UF]])</f>
        <v>Brasília,DF</v>
      </c>
      <c r="F416" s="2">
        <v>45695</v>
      </c>
      <c r="G416" s="17">
        <v>1028.9000000000001</v>
      </c>
      <c r="H416" s="17">
        <v>1440</v>
      </c>
      <c r="I416" s="6">
        <f>Tabela1[[#This Row],[Valor total]]-Tabela1[[#This Row],[Valor custo]]</f>
        <v>411.09999999999991</v>
      </c>
      <c r="J416" s="7">
        <f>Tabela1[[#This Row],[MARGEM BRUTA]]/Tabela1[[#This Row],[Valor total]]</f>
        <v>0.28548611111111105</v>
      </c>
      <c r="K416" s="1" t="str">
        <f>VLOOKUP(Tabela1[[#This Row],[Cliente]],'BASE DE CLIENTES'!A:D,4,0)</f>
        <v>SERRALHEIRO</v>
      </c>
      <c r="L416" s="1" t="str">
        <f>VLOOKUP(Tabela1[[#This Row],[Cliente]],'BASE DE CLIENTES'!A:E,5,0)</f>
        <v>Ceilândia Sul (Ceilândia)</v>
      </c>
    </row>
    <row r="417" spans="2:12" x14ac:dyDescent="0.3">
      <c r="B417" s="1" t="s">
        <v>38</v>
      </c>
      <c r="C417" s="4" t="str">
        <f>VLOOKUP(Tabela1[[#This Row],[Cliente]],'BASE DE CLIENTES'!A:E,2,0)</f>
        <v>Brasília</v>
      </c>
      <c r="D417" s="1" t="str">
        <f>VLOOKUP(Tabela1[[#This Row],[Cliente]],'BASE DE CLIENTES'!A:C,3,0)</f>
        <v>DF</v>
      </c>
      <c r="E417" s="4" t="str">
        <f>CONCATENATE(Tabela1[[#This Row],[CIDADE]],",",Tabela1[[#This Row],[UF]])</f>
        <v>Brasília,DF</v>
      </c>
      <c r="F417" s="2">
        <v>45695</v>
      </c>
      <c r="G417" s="17">
        <v>57.13</v>
      </c>
      <c r="H417" s="17">
        <v>200</v>
      </c>
      <c r="I417" s="6">
        <f>Tabela1[[#This Row],[Valor total]]-Tabela1[[#This Row],[Valor custo]]</f>
        <v>142.87</v>
      </c>
      <c r="J417" s="7">
        <f>Tabela1[[#This Row],[MARGEM BRUTA]]/Tabela1[[#This Row],[Valor total]]</f>
        <v>0.71435000000000004</v>
      </c>
      <c r="K417" s="1" t="str">
        <f>VLOOKUP(Tabela1[[#This Row],[Cliente]],'BASE DE CLIENTES'!A:D,4,0)</f>
        <v>EMPRESA SEM MAQUINA</v>
      </c>
      <c r="L417" s="1" t="str">
        <f>VLOOKUP(Tabela1[[#This Row],[Cliente]],'BASE DE CLIENTES'!A:E,5,0)</f>
        <v>PONTE ALTA NORTE (GAMA)</v>
      </c>
    </row>
    <row r="418" spans="2:12" x14ac:dyDescent="0.3">
      <c r="B418" s="1" t="s">
        <v>130</v>
      </c>
      <c r="C418" s="4" t="str">
        <f>VLOOKUP(Tabela1[[#This Row],[Cliente]],'BASE DE CLIENTES'!A:E,2,0)</f>
        <v>Brasília</v>
      </c>
      <c r="D418" s="1" t="str">
        <f>VLOOKUP(Tabela1[[#This Row],[Cliente]],'BASE DE CLIENTES'!A:C,3,0)</f>
        <v>DF</v>
      </c>
      <c r="E418" s="4" t="str">
        <f>CONCATENATE(Tabela1[[#This Row],[CIDADE]],",",Tabela1[[#This Row],[UF]])</f>
        <v>Brasília,DF</v>
      </c>
      <c r="F418" s="2">
        <v>45695</v>
      </c>
      <c r="G418" s="17">
        <v>439.2</v>
      </c>
      <c r="H418" s="17">
        <v>645</v>
      </c>
      <c r="I418" s="6">
        <f>Tabela1[[#This Row],[Valor total]]-Tabela1[[#This Row],[Valor custo]]</f>
        <v>205.8</v>
      </c>
      <c r="J418" s="7">
        <f>Tabela1[[#This Row],[MARGEM BRUTA]]/Tabela1[[#This Row],[Valor total]]</f>
        <v>0.3190697674418605</v>
      </c>
      <c r="K418" s="1" t="str">
        <f>VLOOKUP(Tabela1[[#This Row],[Cliente]],'BASE DE CLIENTES'!A:D,4,0)</f>
        <v>EMPRESA SEM MAQUINA</v>
      </c>
      <c r="L418" s="1" t="str">
        <f>VLOOKUP(Tabela1[[#This Row],[Cliente]],'BASE DE CLIENTES'!A:E,5,0)</f>
        <v>CEILANDIA NORTE (CEILANDIA)</v>
      </c>
    </row>
    <row r="419" spans="2:12" x14ac:dyDescent="0.3">
      <c r="B419" s="1" t="s">
        <v>27</v>
      </c>
      <c r="C419" s="4" t="str">
        <f>VLOOKUP(Tabela1[[#This Row],[Cliente]],'BASE DE CLIENTES'!A:E,2,0)</f>
        <v>Brasília</v>
      </c>
      <c r="D419" s="1" t="str">
        <f>VLOOKUP(Tabela1[[#This Row],[Cliente]],'BASE DE CLIENTES'!A:C,3,0)</f>
        <v>DF</v>
      </c>
      <c r="E419" s="4" t="str">
        <f>CONCATENATE(Tabela1[[#This Row],[CIDADE]],",",Tabela1[[#This Row],[UF]])</f>
        <v>Brasília,DF</v>
      </c>
      <c r="F419" s="2">
        <v>45695</v>
      </c>
      <c r="G419" s="17">
        <v>978.65</v>
      </c>
      <c r="H419" s="17">
        <v>1340</v>
      </c>
      <c r="I419" s="6">
        <f>Tabela1[[#This Row],[Valor total]]-Tabela1[[#This Row],[Valor custo]]</f>
        <v>361.35</v>
      </c>
      <c r="J419" s="7">
        <f>Tabela1[[#This Row],[MARGEM BRUTA]]/Tabela1[[#This Row],[Valor total]]</f>
        <v>0.26966417910447765</v>
      </c>
      <c r="K419" s="1" t="str">
        <f>VLOOKUP(Tabela1[[#This Row],[Cliente]],'BASE DE CLIENTES'!A:D,4,0)</f>
        <v>EMPRESA SEM MAQUINA</v>
      </c>
      <c r="L419" s="1" t="str">
        <f>VLOOKUP(Tabela1[[#This Row],[Cliente]],'BASE DE CLIENTES'!A:E,5,0)</f>
        <v>RECANTO DAS EMAS</v>
      </c>
    </row>
    <row r="420" spans="2:12" x14ac:dyDescent="0.3">
      <c r="B420" s="1" t="s">
        <v>17</v>
      </c>
      <c r="C420" s="4" t="str">
        <f>VLOOKUP(Tabela1[[#This Row],[Cliente]],'BASE DE CLIENTES'!A:E,2,0)</f>
        <v>Águas Lindas de Goiás</v>
      </c>
      <c r="D420" s="1" t="str">
        <f>VLOOKUP(Tabela1[[#This Row],[Cliente]],'BASE DE CLIENTES'!A:C,3,0)</f>
        <v>GO</v>
      </c>
      <c r="E420" s="4" t="str">
        <f>CONCATENATE(Tabela1[[#This Row],[CIDADE]],",",Tabela1[[#This Row],[UF]])</f>
        <v>Águas Lindas de Goiás,GO</v>
      </c>
      <c r="F420" s="2">
        <v>45855</v>
      </c>
      <c r="G420" s="17">
        <v>515.5</v>
      </c>
      <c r="H420" s="17">
        <v>935</v>
      </c>
      <c r="I420" s="6">
        <f>Tabela1[[#This Row],[Valor total]]-Tabela1[[#This Row],[Valor custo]]</f>
        <v>419.5</v>
      </c>
      <c r="J420" s="7">
        <f>Tabela1[[#This Row],[MARGEM BRUTA]]/Tabela1[[#This Row],[Valor total]]</f>
        <v>0.44866310160427808</v>
      </c>
      <c r="K420" s="1" t="str">
        <f>VLOOKUP(Tabela1[[#This Row],[Cliente]],'BASE DE CLIENTES'!A:D,4,0)</f>
        <v>SERRALHEIRO</v>
      </c>
      <c r="L420" s="1" t="str">
        <f>VLOOKUP(Tabela1[[#This Row],[Cliente]],'BASE DE CLIENTES'!A:E,5,0)</f>
        <v>Águas Lindas de Goiás</v>
      </c>
    </row>
    <row r="421" spans="2:12" x14ac:dyDescent="0.3">
      <c r="B421" s="1" t="s">
        <v>127</v>
      </c>
      <c r="C421" s="4" t="str">
        <f>VLOOKUP(Tabela1[[#This Row],[Cliente]],'BASE DE CLIENTES'!A:E,2,0)</f>
        <v>Brasília</v>
      </c>
      <c r="D421" s="1" t="str">
        <f>VLOOKUP(Tabela1[[#This Row],[Cliente]],'BASE DE CLIENTES'!A:C,3,0)</f>
        <v>DF</v>
      </c>
      <c r="E421" s="4" t="str">
        <f>CONCATENATE(Tabela1[[#This Row],[CIDADE]],",",Tabela1[[#This Row],[UF]])</f>
        <v>Brasília,DF</v>
      </c>
      <c r="F421" s="2">
        <v>45695</v>
      </c>
      <c r="G421" s="17">
        <v>1414.46</v>
      </c>
      <c r="H421" s="17">
        <v>600</v>
      </c>
      <c r="I421" s="6">
        <f>Tabela1[[#This Row],[Valor total]]-Tabela1[[#This Row],[Valor custo]]</f>
        <v>-814.46</v>
      </c>
      <c r="J421" s="7">
        <f>Tabela1[[#This Row],[MARGEM BRUTA]]/Tabela1[[#This Row],[Valor total]]</f>
        <v>-1.3574333333333335</v>
      </c>
      <c r="K421" s="1" t="str">
        <f>VLOOKUP(Tabela1[[#This Row],[Cliente]],'BASE DE CLIENTES'!A:D,4,0)</f>
        <v>EMPRESA COM MAQUINA</v>
      </c>
      <c r="L421" s="1" t="str">
        <f>VLOOKUP(Tabela1[[#This Row],[Cliente]],'BASE DE CLIENTES'!A:E,5,0)</f>
        <v>CEILANDIA SUL (CEILANDIA)</v>
      </c>
    </row>
    <row r="422" spans="2:12" x14ac:dyDescent="0.3">
      <c r="B422" s="1" t="s">
        <v>107</v>
      </c>
      <c r="C422" s="4" t="str">
        <f>VLOOKUP(Tabela1[[#This Row],[Cliente]],'BASE DE CLIENTES'!A:E,2,0)</f>
        <v>Planaltina</v>
      </c>
      <c r="D422" s="1" t="str">
        <f>VLOOKUP(Tabela1[[#This Row],[Cliente]],'BASE DE CLIENTES'!A:C,3,0)</f>
        <v>DF</v>
      </c>
      <c r="E422" s="4" t="str">
        <f>CONCATENATE(Tabela1[[#This Row],[CIDADE]],",",Tabela1[[#This Row],[UF]])</f>
        <v>Planaltina,DF</v>
      </c>
      <c r="F422" s="2">
        <v>45695</v>
      </c>
      <c r="G422" s="17">
        <v>531.45000000000005</v>
      </c>
      <c r="H422" s="17">
        <v>785</v>
      </c>
      <c r="I422" s="6">
        <f>Tabela1[[#This Row],[Valor total]]-Tabela1[[#This Row],[Valor custo]]</f>
        <v>253.54999999999995</v>
      </c>
      <c r="J422" s="7">
        <f>Tabela1[[#This Row],[MARGEM BRUTA]]/Tabela1[[#This Row],[Valor total]]</f>
        <v>0.32299363057324837</v>
      </c>
      <c r="K422" s="1" t="str">
        <f>VLOOKUP(Tabela1[[#This Row],[Cliente]],'BASE DE CLIENTES'!A:D,4,0)</f>
        <v>EMPRESA COM MAQUINA</v>
      </c>
      <c r="L422" s="1" t="str">
        <f>VLOOKUP(Tabela1[[#This Row],[Cliente]],'BASE DE CLIENTES'!A:E,5,0)</f>
        <v>SETOR LESTE</v>
      </c>
    </row>
    <row r="423" spans="2:12" x14ac:dyDescent="0.3">
      <c r="B423" s="1" t="s">
        <v>68</v>
      </c>
      <c r="C423" s="4" t="str">
        <f>VLOOKUP(Tabela1[[#This Row],[Cliente]],'BASE DE CLIENTES'!A:E,2,0)</f>
        <v>Brasília</v>
      </c>
      <c r="D423" s="1" t="str">
        <f>VLOOKUP(Tabela1[[#This Row],[Cliente]],'BASE DE CLIENTES'!A:C,3,0)</f>
        <v>DF</v>
      </c>
      <c r="E423" s="4" t="str">
        <f>CONCATENATE(Tabela1[[#This Row],[CIDADE]],",",Tabela1[[#This Row],[UF]])</f>
        <v>Brasília,DF</v>
      </c>
      <c r="F423" s="2">
        <v>45695</v>
      </c>
      <c r="G423" s="17">
        <v>707.23</v>
      </c>
      <c r="H423" s="17">
        <v>1250</v>
      </c>
      <c r="I423" s="6">
        <f>Tabela1[[#This Row],[Valor total]]-Tabela1[[#This Row],[Valor custo]]</f>
        <v>542.77</v>
      </c>
      <c r="J423" s="7">
        <f>Tabela1[[#This Row],[MARGEM BRUTA]]/Tabela1[[#This Row],[Valor total]]</f>
        <v>0.43421599999999999</v>
      </c>
      <c r="K423" s="1" t="str">
        <f>VLOOKUP(Tabela1[[#This Row],[Cliente]],'BASE DE CLIENTES'!A:D,4,0)</f>
        <v>EMPRESA COM MAQUINA</v>
      </c>
      <c r="L423" s="1" t="str">
        <f>VLOOKUP(Tabela1[[#This Row],[Cliente]],'BASE DE CLIENTES'!A:E,5,0)</f>
        <v>SAMAMBAIA SUL (SAMAMBAIA)</v>
      </c>
    </row>
    <row r="424" spans="2:12" x14ac:dyDescent="0.3">
      <c r="B424" s="1" t="s">
        <v>52</v>
      </c>
      <c r="C424" s="4" t="str">
        <f>VLOOKUP(Tabela1[[#This Row],[Cliente]],'BASE DE CLIENTES'!A:E,2,0)</f>
        <v>Brasília</v>
      </c>
      <c r="D424" s="1" t="str">
        <f>VLOOKUP(Tabela1[[#This Row],[Cliente]],'BASE DE CLIENTES'!A:C,3,0)</f>
        <v>DF</v>
      </c>
      <c r="E424" s="4" t="str">
        <f>CONCATENATE(Tabela1[[#This Row],[CIDADE]],",",Tabela1[[#This Row],[UF]])</f>
        <v>Brasília,DF</v>
      </c>
      <c r="F424" s="2">
        <v>45695</v>
      </c>
      <c r="G424" s="17">
        <v>569.53</v>
      </c>
      <c r="H424" s="17">
        <v>794.9</v>
      </c>
      <c r="I424" s="6">
        <f>Tabela1[[#This Row],[Valor total]]-Tabela1[[#This Row],[Valor custo]]</f>
        <v>225.37</v>
      </c>
      <c r="J424" s="7">
        <f>Tabela1[[#This Row],[MARGEM BRUTA]]/Tabela1[[#This Row],[Valor total]]</f>
        <v>0.28351993961504596</v>
      </c>
      <c r="K424" s="1" t="str">
        <f>VLOOKUP(Tabela1[[#This Row],[Cliente]],'BASE DE CLIENTES'!A:D,4,0)</f>
        <v>SERRALHEIRO</v>
      </c>
      <c r="L424" s="1" t="str">
        <f>VLOOKUP(Tabela1[[#This Row],[Cliente]],'BASE DE CLIENTES'!A:E,5,0)</f>
        <v>Ceilândia Sul (Ceilândia)</v>
      </c>
    </row>
    <row r="425" spans="2:12" x14ac:dyDescent="0.3">
      <c r="B425" s="1" t="s">
        <v>25</v>
      </c>
      <c r="C425" s="4" t="str">
        <f>VLOOKUP(Tabela1[[#This Row],[Cliente]],'BASE DE CLIENTES'!A:E,2,0)</f>
        <v>Brasília</v>
      </c>
      <c r="D425" s="1" t="str">
        <f>VLOOKUP(Tabela1[[#This Row],[Cliente]],'BASE DE CLIENTES'!A:C,3,0)</f>
        <v>DF</v>
      </c>
      <c r="E425" s="4" t="str">
        <f>CONCATENATE(Tabela1[[#This Row],[CIDADE]],",",Tabela1[[#This Row],[UF]])</f>
        <v>Brasília,DF</v>
      </c>
      <c r="F425" s="2">
        <v>45695</v>
      </c>
      <c r="G425" s="17">
        <v>2196</v>
      </c>
      <c r="H425" s="17">
        <v>3225</v>
      </c>
      <c r="I425" s="6">
        <f>Tabela1[[#This Row],[Valor total]]-Tabela1[[#This Row],[Valor custo]]</f>
        <v>1029</v>
      </c>
      <c r="J425" s="7">
        <f>Tabela1[[#This Row],[MARGEM BRUTA]]/Tabela1[[#This Row],[Valor total]]</f>
        <v>0.31906976744186044</v>
      </c>
      <c r="K425" s="1" t="str">
        <f>VLOOKUP(Tabela1[[#This Row],[Cliente]],'BASE DE CLIENTES'!A:D,4,0)</f>
        <v>EMPRESA COM MAQUINA</v>
      </c>
      <c r="L425" s="1" t="str">
        <f>VLOOKUP(Tabela1[[#This Row],[Cliente]],'BASE DE CLIENTES'!A:E,5,0)</f>
        <v>CEILANDIA NORTE (CEILANDIA)</v>
      </c>
    </row>
    <row r="426" spans="2:12" x14ac:dyDescent="0.3">
      <c r="B426" s="1" t="s">
        <v>23</v>
      </c>
      <c r="C426" s="4" t="str">
        <f>VLOOKUP(Tabela1[[#This Row],[Cliente]],'BASE DE CLIENTES'!A:E,2,0)</f>
        <v>Brasília</v>
      </c>
      <c r="D426" s="1" t="str">
        <f>VLOOKUP(Tabela1[[#This Row],[Cliente]],'BASE DE CLIENTES'!A:C,3,0)</f>
        <v>DF</v>
      </c>
      <c r="E426" s="4" t="str">
        <f>CONCATENATE(Tabela1[[#This Row],[CIDADE]],",",Tabela1[[#This Row],[UF]])</f>
        <v>Brasília,DF</v>
      </c>
      <c r="F426" s="2">
        <v>45695</v>
      </c>
      <c r="G426" s="17">
        <v>439.2</v>
      </c>
      <c r="H426" s="17">
        <v>580</v>
      </c>
      <c r="I426" s="6">
        <f>Tabela1[[#This Row],[Valor total]]-Tabela1[[#This Row],[Valor custo]]</f>
        <v>140.80000000000001</v>
      </c>
      <c r="J426" s="7">
        <f>Tabela1[[#This Row],[MARGEM BRUTA]]/Tabela1[[#This Row],[Valor total]]</f>
        <v>0.2427586206896552</v>
      </c>
      <c r="K426" s="1" t="str">
        <f>VLOOKUP(Tabela1[[#This Row],[Cliente]],'BASE DE CLIENTES'!A:D,4,0)</f>
        <v>EMPRESA SEM MAQUINA</v>
      </c>
      <c r="L426" s="1" t="str">
        <f>VLOOKUP(Tabela1[[#This Row],[Cliente]],'BASE DE CLIENTES'!A:E,5,0)</f>
        <v>SETOR INDUSTRIAL (TAGUATINGA)</v>
      </c>
    </row>
    <row r="427" spans="2:12" x14ac:dyDescent="0.3">
      <c r="B427" s="1" t="s">
        <v>66</v>
      </c>
      <c r="C427" s="4" t="str">
        <f>VLOOKUP(Tabela1[[#This Row],[Cliente]],'BASE DE CLIENTES'!A:E,2,0)</f>
        <v>Águas Lindas de Goiás</v>
      </c>
      <c r="D427" s="1" t="str">
        <f>VLOOKUP(Tabela1[[#This Row],[Cliente]],'BASE DE CLIENTES'!A:C,3,0)</f>
        <v>GO</v>
      </c>
      <c r="E427" s="4" t="str">
        <f>CONCATENATE(Tabela1[[#This Row],[CIDADE]],",",Tabela1[[#This Row],[UF]])</f>
        <v>Águas Lindas de Goiás,GO</v>
      </c>
      <c r="F427" s="2">
        <v>45855</v>
      </c>
      <c r="G427" s="17">
        <v>1020</v>
      </c>
      <c r="H427" s="17">
        <v>1520</v>
      </c>
      <c r="I427" s="6">
        <f>Tabela1[[#This Row],[Valor total]]-Tabela1[[#This Row],[Valor custo]]</f>
        <v>500</v>
      </c>
      <c r="J427" s="7">
        <f>Tabela1[[#This Row],[MARGEM BRUTA]]/Tabela1[[#This Row],[Valor total]]</f>
        <v>0.32894736842105265</v>
      </c>
      <c r="K427" s="1" t="str">
        <f>VLOOKUP(Tabela1[[#This Row],[Cliente]],'BASE DE CLIENTES'!A:D,4,0)</f>
        <v>EMPRESA COM MAQUINA</v>
      </c>
      <c r="L427" s="1" t="str">
        <f>VLOOKUP(Tabela1[[#This Row],[Cliente]],'BASE DE CLIENTES'!A:E,5,0)</f>
        <v>Águas Lindas de Goiás</v>
      </c>
    </row>
    <row r="428" spans="2:12" x14ac:dyDescent="0.3">
      <c r="B428" s="1" t="s">
        <v>17</v>
      </c>
      <c r="C428" s="4" t="str">
        <f>VLOOKUP(Tabela1[[#This Row],[Cliente]],'BASE DE CLIENTES'!A:E,2,0)</f>
        <v>Águas Lindas de Goiás</v>
      </c>
      <c r="D428" s="1" t="str">
        <f>VLOOKUP(Tabela1[[#This Row],[Cliente]],'BASE DE CLIENTES'!A:C,3,0)</f>
        <v>GO</v>
      </c>
      <c r="E428" s="4" t="str">
        <f>CONCATENATE(Tabela1[[#This Row],[CIDADE]],",",Tabela1[[#This Row],[UF]])</f>
        <v>Águas Lindas de Goiás,GO</v>
      </c>
      <c r="F428" s="2">
        <v>45855</v>
      </c>
      <c r="G428" s="17">
        <v>770</v>
      </c>
      <c r="H428" s="17">
        <v>1230</v>
      </c>
      <c r="I428" s="6">
        <f>Tabela1[[#This Row],[Valor total]]-Tabela1[[#This Row],[Valor custo]]</f>
        <v>460</v>
      </c>
      <c r="J428" s="7">
        <f>Tabela1[[#This Row],[MARGEM BRUTA]]/Tabela1[[#This Row],[Valor total]]</f>
        <v>0.37398373983739835</v>
      </c>
      <c r="K428" s="1" t="str">
        <f>VLOOKUP(Tabela1[[#This Row],[Cliente]],'BASE DE CLIENTES'!A:D,4,0)</f>
        <v>SERRALHEIRO</v>
      </c>
      <c r="L428" s="1" t="str">
        <f>VLOOKUP(Tabela1[[#This Row],[Cliente]],'BASE DE CLIENTES'!A:E,5,0)</f>
        <v>Águas Lindas de Goiás</v>
      </c>
    </row>
    <row r="429" spans="2:12" x14ac:dyDescent="0.3">
      <c r="B429" s="1" t="s">
        <v>19</v>
      </c>
      <c r="C429" s="4" t="str">
        <f>VLOOKUP(Tabela1[[#This Row],[Cliente]],'BASE DE CLIENTES'!A:E,2,0)</f>
        <v>Águas Lindas de Goiás</v>
      </c>
      <c r="D429" s="1" t="str">
        <f>VLOOKUP(Tabela1[[#This Row],[Cliente]],'BASE DE CLIENTES'!A:C,3,0)</f>
        <v>GO</v>
      </c>
      <c r="E429" s="4" t="str">
        <f>CONCATENATE(Tabela1[[#This Row],[CIDADE]],",",Tabela1[[#This Row],[UF]])</f>
        <v>Águas Lindas de Goiás,GO</v>
      </c>
      <c r="F429" s="2">
        <v>45854</v>
      </c>
      <c r="G429" s="17">
        <v>342.5</v>
      </c>
      <c r="H429" s="17">
        <v>785</v>
      </c>
      <c r="I429" s="6">
        <f>Tabela1[[#This Row],[Valor total]]-Tabela1[[#This Row],[Valor custo]]</f>
        <v>442.5</v>
      </c>
      <c r="J429" s="7">
        <f>Tabela1[[#This Row],[MARGEM BRUTA]]/Tabela1[[#This Row],[Valor total]]</f>
        <v>0.56369426751592355</v>
      </c>
      <c r="K429" s="1" t="str">
        <f>VLOOKUP(Tabela1[[#This Row],[Cliente]],'BASE DE CLIENTES'!A:D,4,0)</f>
        <v>SERRALHEIRO</v>
      </c>
      <c r="L429" s="1" t="str">
        <f>VLOOKUP(Tabela1[[#This Row],[Cliente]],'BASE DE CLIENTES'!A:E,5,0)</f>
        <v>Águas Lindas de Goiás</v>
      </c>
    </row>
    <row r="430" spans="2:12" x14ac:dyDescent="0.3">
      <c r="B430" s="1" t="s">
        <v>27</v>
      </c>
      <c r="C430" s="4" t="str">
        <f>VLOOKUP(Tabela1[[#This Row],[Cliente]],'BASE DE CLIENTES'!A:E,2,0)</f>
        <v>Brasília</v>
      </c>
      <c r="D430" s="1" t="str">
        <f>VLOOKUP(Tabela1[[#This Row],[Cliente]],'BASE DE CLIENTES'!A:C,3,0)</f>
        <v>DF</v>
      </c>
      <c r="E430" s="4" t="str">
        <f>CONCATENATE(Tabela1[[#This Row],[CIDADE]],",",Tabela1[[#This Row],[UF]])</f>
        <v>Brasília,DF</v>
      </c>
      <c r="F430" s="2">
        <v>45694</v>
      </c>
      <c r="G430" s="17">
        <v>531.45000000000005</v>
      </c>
      <c r="H430" s="17">
        <v>750</v>
      </c>
      <c r="I430" s="6">
        <f>Tabela1[[#This Row],[Valor total]]-Tabela1[[#This Row],[Valor custo]]</f>
        <v>218.54999999999995</v>
      </c>
      <c r="J430" s="7">
        <f>Tabela1[[#This Row],[MARGEM BRUTA]]/Tabela1[[#This Row],[Valor total]]</f>
        <v>0.29139999999999994</v>
      </c>
      <c r="K430" s="1" t="str">
        <f>VLOOKUP(Tabela1[[#This Row],[Cliente]],'BASE DE CLIENTES'!A:D,4,0)</f>
        <v>EMPRESA SEM MAQUINA</v>
      </c>
      <c r="L430" s="1" t="str">
        <f>VLOOKUP(Tabela1[[#This Row],[Cliente]],'BASE DE CLIENTES'!A:E,5,0)</f>
        <v>RECANTO DAS EMAS</v>
      </c>
    </row>
    <row r="431" spans="2:12" x14ac:dyDescent="0.3">
      <c r="B431" s="1" t="s">
        <v>19</v>
      </c>
      <c r="C431" s="4" t="str">
        <f>VLOOKUP(Tabela1[[#This Row],[Cliente]],'BASE DE CLIENTES'!A:E,2,0)</f>
        <v>Águas Lindas de Goiás</v>
      </c>
      <c r="D431" s="1" t="str">
        <f>VLOOKUP(Tabela1[[#This Row],[Cliente]],'BASE DE CLIENTES'!A:C,3,0)</f>
        <v>GO</v>
      </c>
      <c r="E431" s="4" t="str">
        <f>CONCATENATE(Tabela1[[#This Row],[CIDADE]],",",Tabela1[[#This Row],[UF]])</f>
        <v>Águas Lindas de Goiás,GO</v>
      </c>
      <c r="F431" s="2">
        <v>45852</v>
      </c>
      <c r="G431" s="17">
        <v>1604</v>
      </c>
      <c r="H431" s="17">
        <v>2540</v>
      </c>
      <c r="I431" s="6">
        <f>Tabela1[[#This Row],[Valor total]]-Tabela1[[#This Row],[Valor custo]]</f>
        <v>936</v>
      </c>
      <c r="J431" s="7">
        <f>Tabela1[[#This Row],[MARGEM BRUTA]]/Tabela1[[#This Row],[Valor total]]</f>
        <v>0.36850393700787404</v>
      </c>
      <c r="K431" s="1" t="str">
        <f>VLOOKUP(Tabela1[[#This Row],[Cliente]],'BASE DE CLIENTES'!A:D,4,0)</f>
        <v>SERRALHEIRO</v>
      </c>
      <c r="L431" s="1" t="str">
        <f>VLOOKUP(Tabela1[[#This Row],[Cliente]],'BASE DE CLIENTES'!A:E,5,0)</f>
        <v>Águas Lindas de Goiás</v>
      </c>
    </row>
    <row r="432" spans="2:12" x14ac:dyDescent="0.3">
      <c r="B432" s="1" t="s">
        <v>96</v>
      </c>
      <c r="C432" s="4" t="str">
        <f>VLOOKUP(Tabela1[[#This Row],[Cliente]],'BASE DE CLIENTES'!A:E,2,0)</f>
        <v>Brasília</v>
      </c>
      <c r="D432" s="1" t="str">
        <f>VLOOKUP(Tabela1[[#This Row],[Cliente]],'BASE DE CLIENTES'!A:C,3,0)</f>
        <v>DF</v>
      </c>
      <c r="E432" s="4" t="str">
        <f>CONCATENATE(Tabela1[[#This Row],[CIDADE]],",",Tabela1[[#This Row],[UF]])</f>
        <v>Brasília,DF</v>
      </c>
      <c r="F432" s="2">
        <v>45694</v>
      </c>
      <c r="G432" s="17">
        <v>104.4</v>
      </c>
      <c r="H432" s="17">
        <v>350</v>
      </c>
      <c r="I432" s="6">
        <f>Tabela1[[#This Row],[Valor total]]-Tabela1[[#This Row],[Valor custo]]</f>
        <v>245.6</v>
      </c>
      <c r="J432" s="7">
        <f>Tabela1[[#This Row],[MARGEM BRUTA]]/Tabela1[[#This Row],[Valor total]]</f>
        <v>0.70171428571428573</v>
      </c>
      <c r="K432" s="1" t="str">
        <f>VLOOKUP(Tabela1[[#This Row],[Cliente]],'BASE DE CLIENTES'!A:D,4,0)</f>
        <v>EMPRESA SEM MAQUINA</v>
      </c>
      <c r="L432" s="1" t="str">
        <f>VLOOKUP(Tabela1[[#This Row],[Cliente]],'BASE DE CLIENTES'!A:E,5,0)</f>
        <v>CEILANDIA NORTE (CEILANDIA)</v>
      </c>
    </row>
    <row r="433" spans="2:12" x14ac:dyDescent="0.3">
      <c r="B433" s="1" t="s">
        <v>70</v>
      </c>
      <c r="C433" s="4" t="str">
        <f>VLOOKUP(Tabela1[[#This Row],[Cliente]],'BASE DE CLIENTES'!A:E,2,0)</f>
        <v>Brasília</v>
      </c>
      <c r="D433" s="1" t="str">
        <f>VLOOKUP(Tabela1[[#This Row],[Cliente]],'BASE DE CLIENTES'!A:C,3,0)</f>
        <v>DF</v>
      </c>
      <c r="E433" s="4" t="str">
        <f>CONCATENATE(Tabela1[[#This Row],[CIDADE]],",",Tabela1[[#This Row],[UF]])</f>
        <v>Brasília,DF</v>
      </c>
      <c r="F433" s="2">
        <v>45694</v>
      </c>
      <c r="G433" s="17">
        <v>1233.02</v>
      </c>
      <c r="H433" s="17">
        <v>1940</v>
      </c>
      <c r="I433" s="6">
        <f>Tabela1[[#This Row],[Valor total]]-Tabela1[[#This Row],[Valor custo]]</f>
        <v>706.98</v>
      </c>
      <c r="J433" s="7">
        <f>Tabela1[[#This Row],[MARGEM BRUTA]]/Tabela1[[#This Row],[Valor total]]</f>
        <v>0.36442268041237114</v>
      </c>
      <c r="K433" s="1" t="str">
        <f>VLOOKUP(Tabela1[[#This Row],[Cliente]],'BASE DE CLIENTES'!A:D,4,0)</f>
        <v>EMPRESA COM MAQUINA</v>
      </c>
      <c r="L433" s="1" t="str">
        <f>VLOOKUP(Tabela1[[#This Row],[Cliente]],'BASE DE CLIENTES'!A:E,5,0)</f>
        <v>TAGUATINGA NORTE (TAGUATINGA)</v>
      </c>
    </row>
    <row r="434" spans="2:12" x14ac:dyDescent="0.3">
      <c r="B434" s="1" t="s">
        <v>123</v>
      </c>
      <c r="C434" s="4" t="str">
        <f>VLOOKUP(Tabela1[[#This Row],[Cliente]],'BASE DE CLIENTES'!A:E,2,0)</f>
        <v>Brasília</v>
      </c>
      <c r="D434" s="1" t="str">
        <f>VLOOKUP(Tabela1[[#This Row],[Cliente]],'BASE DE CLIENTES'!A:C,3,0)</f>
        <v>DF</v>
      </c>
      <c r="E434" s="4" t="str">
        <f>CONCATENATE(Tabela1[[#This Row],[CIDADE]],",",Tabela1[[#This Row],[UF]])</f>
        <v>Brasília,DF</v>
      </c>
      <c r="F434" s="2">
        <v>45694</v>
      </c>
      <c r="G434" s="17">
        <v>32.5</v>
      </c>
      <c r="H434" s="17">
        <v>60</v>
      </c>
      <c r="I434" s="6">
        <f>Tabela1[[#This Row],[Valor total]]-Tabela1[[#This Row],[Valor custo]]</f>
        <v>27.5</v>
      </c>
      <c r="J434" s="7">
        <f>Tabela1[[#This Row],[MARGEM BRUTA]]/Tabela1[[#This Row],[Valor total]]</f>
        <v>0.45833333333333331</v>
      </c>
      <c r="K434" s="1" t="str">
        <f>VLOOKUP(Tabela1[[#This Row],[Cliente]],'BASE DE CLIENTES'!A:D,4,0)</f>
        <v>EMPRESA COM MAQUINA</v>
      </c>
      <c r="L434" s="1" t="str">
        <f>VLOOKUP(Tabela1[[#This Row],[Cliente]],'BASE DE CLIENTES'!A:E,5,0)</f>
        <v>ADE CEILÂNDIA</v>
      </c>
    </row>
    <row r="435" spans="2:12" x14ac:dyDescent="0.3">
      <c r="B435" s="1" t="s">
        <v>25</v>
      </c>
      <c r="C435" s="4" t="str">
        <f>VLOOKUP(Tabela1[[#This Row],[Cliente]],'BASE DE CLIENTES'!A:E,2,0)</f>
        <v>Brasília</v>
      </c>
      <c r="D435" s="1" t="str">
        <f>VLOOKUP(Tabela1[[#This Row],[Cliente]],'BASE DE CLIENTES'!A:C,3,0)</f>
        <v>DF</v>
      </c>
      <c r="E435" s="4" t="str">
        <f>CONCATENATE(Tabela1[[#This Row],[CIDADE]],",",Tabela1[[#This Row],[UF]])</f>
        <v>Brasília,DF</v>
      </c>
      <c r="F435" s="2">
        <v>45694</v>
      </c>
      <c r="G435" s="17">
        <v>41.76</v>
      </c>
      <c r="H435" s="17">
        <v>160</v>
      </c>
      <c r="I435" s="6">
        <f>Tabela1[[#This Row],[Valor total]]-Tabela1[[#This Row],[Valor custo]]</f>
        <v>118.24000000000001</v>
      </c>
      <c r="J435" s="7">
        <f>Tabela1[[#This Row],[MARGEM BRUTA]]/Tabela1[[#This Row],[Valor total]]</f>
        <v>0.7390000000000001</v>
      </c>
      <c r="K435" s="1" t="str">
        <f>VLOOKUP(Tabela1[[#This Row],[Cliente]],'BASE DE CLIENTES'!A:D,4,0)</f>
        <v>EMPRESA COM MAQUINA</v>
      </c>
      <c r="L435" s="1" t="str">
        <f>VLOOKUP(Tabela1[[#This Row],[Cliente]],'BASE DE CLIENTES'!A:E,5,0)</f>
        <v>CEILANDIA NORTE (CEILANDIA)</v>
      </c>
    </row>
    <row r="436" spans="2:12" x14ac:dyDescent="0.3">
      <c r="B436" s="1" t="s">
        <v>25</v>
      </c>
      <c r="C436" s="4" t="str">
        <f>VLOOKUP(Tabela1[[#This Row],[Cliente]],'BASE DE CLIENTES'!A:E,2,0)</f>
        <v>Brasília</v>
      </c>
      <c r="D436" s="1" t="str">
        <f>VLOOKUP(Tabela1[[#This Row],[Cliente]],'BASE DE CLIENTES'!A:C,3,0)</f>
        <v>DF</v>
      </c>
      <c r="E436" s="4" t="str">
        <f>CONCATENATE(Tabela1[[#This Row],[CIDADE]],",",Tabela1[[#This Row],[UF]])</f>
        <v>Brasília,DF</v>
      </c>
      <c r="F436" s="2">
        <v>45694</v>
      </c>
      <c r="G436" s="17">
        <v>439.2</v>
      </c>
      <c r="H436" s="17">
        <v>645</v>
      </c>
      <c r="I436" s="6">
        <f>Tabela1[[#This Row],[Valor total]]-Tabela1[[#This Row],[Valor custo]]</f>
        <v>205.8</v>
      </c>
      <c r="J436" s="7">
        <f>Tabela1[[#This Row],[MARGEM BRUTA]]/Tabela1[[#This Row],[Valor total]]</f>
        <v>0.3190697674418605</v>
      </c>
      <c r="K436" s="1" t="str">
        <f>VLOOKUP(Tabela1[[#This Row],[Cliente]],'BASE DE CLIENTES'!A:D,4,0)</f>
        <v>EMPRESA COM MAQUINA</v>
      </c>
      <c r="L436" s="1" t="str">
        <f>VLOOKUP(Tabela1[[#This Row],[Cliente]],'BASE DE CLIENTES'!A:E,5,0)</f>
        <v>CEILANDIA NORTE (CEILANDIA)</v>
      </c>
    </row>
    <row r="437" spans="2:12" x14ac:dyDescent="0.3">
      <c r="B437" s="1" t="s">
        <v>23</v>
      </c>
      <c r="C437" s="4" t="str">
        <f>VLOOKUP(Tabela1[[#This Row],[Cliente]],'BASE DE CLIENTES'!A:E,2,0)</f>
        <v>Brasília</v>
      </c>
      <c r="D437" s="1" t="str">
        <f>VLOOKUP(Tabela1[[#This Row],[Cliente]],'BASE DE CLIENTES'!A:C,3,0)</f>
        <v>DF</v>
      </c>
      <c r="E437" s="4" t="str">
        <f>CONCATENATE(Tabela1[[#This Row],[CIDADE]],",",Tabela1[[#This Row],[UF]])</f>
        <v>Brasília,DF</v>
      </c>
      <c r="F437" s="2">
        <v>45694</v>
      </c>
      <c r="G437" s="17">
        <v>439.2</v>
      </c>
      <c r="H437" s="17">
        <v>660</v>
      </c>
      <c r="I437" s="6">
        <f>Tabela1[[#This Row],[Valor total]]-Tabela1[[#This Row],[Valor custo]]</f>
        <v>220.8</v>
      </c>
      <c r="J437" s="7">
        <f>Tabela1[[#This Row],[MARGEM BRUTA]]/Tabela1[[#This Row],[Valor total]]</f>
        <v>0.33454545454545459</v>
      </c>
      <c r="K437" s="1" t="str">
        <f>VLOOKUP(Tabela1[[#This Row],[Cliente]],'BASE DE CLIENTES'!A:D,4,0)</f>
        <v>EMPRESA SEM MAQUINA</v>
      </c>
      <c r="L437" s="1" t="str">
        <f>VLOOKUP(Tabela1[[#This Row],[Cliente]],'BASE DE CLIENTES'!A:E,5,0)</f>
        <v>SETOR INDUSTRIAL (TAGUATINGA)</v>
      </c>
    </row>
    <row r="438" spans="2:12" x14ac:dyDescent="0.3">
      <c r="B438" s="1" t="s">
        <v>66</v>
      </c>
      <c r="C438" s="4" t="str">
        <f>VLOOKUP(Tabela1[[#This Row],[Cliente]],'BASE DE CLIENTES'!A:E,2,0)</f>
        <v>Águas Lindas de Goiás</v>
      </c>
      <c r="D438" s="1" t="str">
        <f>VLOOKUP(Tabela1[[#This Row],[Cliente]],'BASE DE CLIENTES'!A:C,3,0)</f>
        <v>GO</v>
      </c>
      <c r="E438" s="4" t="str">
        <f>CONCATENATE(Tabela1[[#This Row],[CIDADE]],",",Tabela1[[#This Row],[UF]])</f>
        <v>Águas Lindas de Goiás,GO</v>
      </c>
      <c r="F438" s="2">
        <v>45852</v>
      </c>
      <c r="G438" s="17">
        <v>447</v>
      </c>
      <c r="H438" s="17">
        <v>615</v>
      </c>
      <c r="I438" s="6">
        <f>Tabela1[[#This Row],[Valor total]]-Tabela1[[#This Row],[Valor custo]]</f>
        <v>168</v>
      </c>
      <c r="J438" s="7">
        <f>Tabela1[[#This Row],[MARGEM BRUTA]]/Tabela1[[#This Row],[Valor total]]</f>
        <v>0.27317073170731709</v>
      </c>
      <c r="K438" s="1" t="str">
        <f>VLOOKUP(Tabela1[[#This Row],[Cliente]],'BASE DE CLIENTES'!A:D,4,0)</f>
        <v>EMPRESA COM MAQUINA</v>
      </c>
      <c r="L438" s="1" t="str">
        <f>VLOOKUP(Tabela1[[#This Row],[Cliente]],'BASE DE CLIENTES'!A:E,5,0)</f>
        <v>Águas Lindas de Goiás</v>
      </c>
    </row>
    <row r="439" spans="2:12" x14ac:dyDescent="0.3">
      <c r="B439" s="1" t="s">
        <v>66</v>
      </c>
      <c r="C439" s="4" t="str">
        <f>VLOOKUP(Tabela1[[#This Row],[Cliente]],'BASE DE CLIENTES'!A:E,2,0)</f>
        <v>Águas Lindas de Goiás</v>
      </c>
      <c r="D439" s="1" t="str">
        <f>VLOOKUP(Tabela1[[#This Row],[Cliente]],'BASE DE CLIENTES'!A:C,3,0)</f>
        <v>GO</v>
      </c>
      <c r="E439" s="4" t="str">
        <f>CONCATENATE(Tabela1[[#This Row],[CIDADE]],",",Tabela1[[#This Row],[UF]])</f>
        <v>Águas Lindas de Goiás,GO</v>
      </c>
      <c r="F439" s="2">
        <v>45852</v>
      </c>
      <c r="G439" s="17">
        <v>894</v>
      </c>
      <c r="H439" s="17">
        <v>1230</v>
      </c>
      <c r="I439" s="6">
        <f>Tabela1[[#This Row],[Valor total]]-Tabela1[[#This Row],[Valor custo]]</f>
        <v>336</v>
      </c>
      <c r="J439" s="7">
        <f>Tabela1[[#This Row],[MARGEM BRUTA]]/Tabela1[[#This Row],[Valor total]]</f>
        <v>0.27317073170731709</v>
      </c>
      <c r="K439" s="1" t="str">
        <f>VLOOKUP(Tabela1[[#This Row],[Cliente]],'BASE DE CLIENTES'!A:D,4,0)</f>
        <v>EMPRESA COM MAQUINA</v>
      </c>
      <c r="L439" s="1" t="str">
        <f>VLOOKUP(Tabela1[[#This Row],[Cliente]],'BASE DE CLIENTES'!A:E,5,0)</f>
        <v>Águas Lindas de Goiás</v>
      </c>
    </row>
    <row r="440" spans="2:12" x14ac:dyDescent="0.3">
      <c r="B440" s="1" t="s">
        <v>66</v>
      </c>
      <c r="C440" s="4" t="str">
        <f>VLOOKUP(Tabela1[[#This Row],[Cliente]],'BASE DE CLIENTES'!A:E,2,0)</f>
        <v>Águas Lindas de Goiás</v>
      </c>
      <c r="D440" s="1" t="str">
        <f>VLOOKUP(Tabela1[[#This Row],[Cliente]],'BASE DE CLIENTES'!A:C,3,0)</f>
        <v>GO</v>
      </c>
      <c r="E440" s="4" t="str">
        <f>CONCATENATE(Tabela1[[#This Row],[CIDADE]],",",Tabela1[[#This Row],[UF]])</f>
        <v>Águas Lindas de Goiás,GO</v>
      </c>
      <c r="F440" s="2">
        <v>45849</v>
      </c>
      <c r="G440" s="17">
        <v>61</v>
      </c>
      <c r="H440" s="17">
        <v>80</v>
      </c>
      <c r="I440" s="6">
        <f>Tabela1[[#This Row],[Valor total]]-Tabela1[[#This Row],[Valor custo]]</f>
        <v>19</v>
      </c>
      <c r="J440" s="7">
        <f>Tabela1[[#This Row],[MARGEM BRUTA]]/Tabela1[[#This Row],[Valor total]]</f>
        <v>0.23749999999999999</v>
      </c>
      <c r="K440" s="1" t="str">
        <f>VLOOKUP(Tabela1[[#This Row],[Cliente]],'BASE DE CLIENTES'!A:D,4,0)</f>
        <v>EMPRESA COM MAQUINA</v>
      </c>
      <c r="L440" s="1" t="str">
        <f>VLOOKUP(Tabela1[[#This Row],[Cliente]],'BASE DE CLIENTES'!A:E,5,0)</f>
        <v>Águas Lindas de Goiás</v>
      </c>
    </row>
    <row r="441" spans="2:12" x14ac:dyDescent="0.3">
      <c r="B441" s="1" t="s">
        <v>66</v>
      </c>
      <c r="C441" s="4" t="str">
        <f>VLOOKUP(Tabela1[[#This Row],[Cliente]],'BASE DE CLIENTES'!A:E,2,0)</f>
        <v>Águas Lindas de Goiás</v>
      </c>
      <c r="D441" s="1" t="str">
        <f>VLOOKUP(Tabela1[[#This Row],[Cliente]],'BASE DE CLIENTES'!A:C,3,0)</f>
        <v>GO</v>
      </c>
      <c r="E441" s="4" t="str">
        <f>CONCATENATE(Tabela1[[#This Row],[CIDADE]],",",Tabela1[[#This Row],[UF]])</f>
        <v>Águas Lindas de Goiás,GO</v>
      </c>
      <c r="F441" s="2">
        <v>45849</v>
      </c>
      <c r="G441" s="17">
        <v>447</v>
      </c>
      <c r="H441" s="17">
        <v>615</v>
      </c>
      <c r="I441" s="6">
        <f>Tabela1[[#This Row],[Valor total]]-Tabela1[[#This Row],[Valor custo]]</f>
        <v>168</v>
      </c>
      <c r="J441" s="7">
        <f>Tabela1[[#This Row],[MARGEM BRUTA]]/Tabela1[[#This Row],[Valor total]]</f>
        <v>0.27317073170731709</v>
      </c>
      <c r="K441" s="1" t="str">
        <f>VLOOKUP(Tabela1[[#This Row],[Cliente]],'BASE DE CLIENTES'!A:D,4,0)</f>
        <v>EMPRESA COM MAQUINA</v>
      </c>
      <c r="L441" s="1" t="str">
        <f>VLOOKUP(Tabela1[[#This Row],[Cliente]],'BASE DE CLIENTES'!A:E,5,0)</f>
        <v>Águas Lindas de Goiás</v>
      </c>
    </row>
    <row r="442" spans="2:12" x14ac:dyDescent="0.3">
      <c r="B442" s="1" t="s">
        <v>17</v>
      </c>
      <c r="C442" s="4" t="str">
        <f>VLOOKUP(Tabela1[[#This Row],[Cliente]],'BASE DE CLIENTES'!A:E,2,0)</f>
        <v>Águas Lindas de Goiás</v>
      </c>
      <c r="D442" s="1" t="str">
        <f>VLOOKUP(Tabela1[[#This Row],[Cliente]],'BASE DE CLIENTES'!A:C,3,0)</f>
        <v>GO</v>
      </c>
      <c r="E442" s="4" t="str">
        <f>CONCATENATE(Tabela1[[#This Row],[CIDADE]],",",Tabela1[[#This Row],[UF]])</f>
        <v>Águas Lindas de Goiás,GO</v>
      </c>
      <c r="F442" s="2">
        <v>45849</v>
      </c>
      <c r="G442" s="17">
        <v>447</v>
      </c>
      <c r="H442" s="17">
        <v>500</v>
      </c>
      <c r="I442" s="6">
        <f>Tabela1[[#This Row],[Valor total]]-Tabela1[[#This Row],[Valor custo]]</f>
        <v>53</v>
      </c>
      <c r="J442" s="7">
        <f>Tabela1[[#This Row],[MARGEM BRUTA]]/Tabela1[[#This Row],[Valor total]]</f>
        <v>0.106</v>
      </c>
      <c r="K442" s="1" t="str">
        <f>VLOOKUP(Tabela1[[#This Row],[Cliente]],'BASE DE CLIENTES'!A:D,4,0)</f>
        <v>SERRALHEIRO</v>
      </c>
      <c r="L442" s="1" t="str">
        <f>VLOOKUP(Tabela1[[#This Row],[Cliente]],'BASE DE CLIENTES'!A:E,5,0)</f>
        <v>Águas Lindas de Goiás</v>
      </c>
    </row>
    <row r="443" spans="2:12" x14ac:dyDescent="0.3">
      <c r="B443" s="1" t="s">
        <v>66</v>
      </c>
      <c r="C443" s="4" t="str">
        <f>VLOOKUP(Tabela1[[#This Row],[Cliente]],'BASE DE CLIENTES'!A:E,2,0)</f>
        <v>Águas Lindas de Goiás</v>
      </c>
      <c r="D443" s="1" t="str">
        <f>VLOOKUP(Tabela1[[#This Row],[Cliente]],'BASE DE CLIENTES'!A:C,3,0)</f>
        <v>GO</v>
      </c>
      <c r="E443" s="4" t="str">
        <f>CONCATENATE(Tabela1[[#This Row],[CIDADE]],",",Tabela1[[#This Row],[UF]])</f>
        <v>Águas Lindas de Goiás,GO</v>
      </c>
      <c r="F443" s="2">
        <v>45847</v>
      </c>
      <c r="G443" s="17">
        <v>447</v>
      </c>
      <c r="H443" s="17">
        <v>615</v>
      </c>
      <c r="I443" s="6">
        <f>Tabela1[[#This Row],[Valor total]]-Tabela1[[#This Row],[Valor custo]]</f>
        <v>168</v>
      </c>
      <c r="J443" s="7">
        <f>Tabela1[[#This Row],[MARGEM BRUTA]]/Tabela1[[#This Row],[Valor total]]</f>
        <v>0.27317073170731709</v>
      </c>
      <c r="K443" s="1" t="str">
        <f>VLOOKUP(Tabela1[[#This Row],[Cliente]],'BASE DE CLIENTES'!A:D,4,0)</f>
        <v>EMPRESA COM MAQUINA</v>
      </c>
      <c r="L443" s="1" t="str">
        <f>VLOOKUP(Tabela1[[#This Row],[Cliente]],'BASE DE CLIENTES'!A:E,5,0)</f>
        <v>Águas Lindas de Goiás</v>
      </c>
    </row>
    <row r="444" spans="2:12" x14ac:dyDescent="0.3">
      <c r="B444" s="1" t="s">
        <v>98</v>
      </c>
      <c r="C444" s="4" t="str">
        <f>VLOOKUP(Tabela1[[#This Row],[Cliente]],'BASE DE CLIENTES'!A:E,2,0)</f>
        <v>Brasília</v>
      </c>
      <c r="D444" s="1" t="str">
        <f>VLOOKUP(Tabela1[[#This Row],[Cliente]],'BASE DE CLIENTES'!A:C,3,0)</f>
        <v>DF</v>
      </c>
      <c r="E444" s="4" t="str">
        <f>CONCATENATE(Tabela1[[#This Row],[CIDADE]],",",Tabela1[[#This Row],[UF]])</f>
        <v>Brasília,DF</v>
      </c>
      <c r="F444" s="2">
        <v>45693</v>
      </c>
      <c r="G444" s="17">
        <v>40</v>
      </c>
      <c r="H444" s="17">
        <v>90</v>
      </c>
      <c r="I444" s="6">
        <f>Tabela1[[#This Row],[Valor total]]-Tabela1[[#This Row],[Valor custo]]</f>
        <v>50</v>
      </c>
      <c r="J444" s="7">
        <f>Tabela1[[#This Row],[MARGEM BRUTA]]/Tabela1[[#This Row],[Valor total]]</f>
        <v>0.55555555555555558</v>
      </c>
      <c r="K444" s="1" t="str">
        <f>VLOOKUP(Tabela1[[#This Row],[Cliente]],'BASE DE CLIENTES'!A:D,4,0)</f>
        <v>SERRALHEIRO</v>
      </c>
      <c r="L444" s="1" t="str">
        <f>VLOOKUP(Tabela1[[#This Row],[Cliente]],'BASE DE CLIENTES'!A:E,5,0)</f>
        <v>SANTA MARIA</v>
      </c>
    </row>
    <row r="445" spans="2:12" x14ac:dyDescent="0.3">
      <c r="B445" s="1" t="s">
        <v>19</v>
      </c>
      <c r="C445" s="4" t="str">
        <f>VLOOKUP(Tabela1[[#This Row],[Cliente]],'BASE DE CLIENTES'!A:E,2,0)</f>
        <v>Águas Lindas de Goiás</v>
      </c>
      <c r="D445" s="1" t="str">
        <f>VLOOKUP(Tabela1[[#This Row],[Cliente]],'BASE DE CLIENTES'!A:C,3,0)</f>
        <v>GO</v>
      </c>
      <c r="E445" s="4" t="str">
        <f>CONCATENATE(Tabela1[[#This Row],[CIDADE]],",",Tabela1[[#This Row],[UF]])</f>
        <v>Águas Lindas de Goiás,GO</v>
      </c>
      <c r="F445" s="2">
        <v>45847</v>
      </c>
      <c r="G445" s="17">
        <v>25</v>
      </c>
      <c r="H445" s="17">
        <v>30</v>
      </c>
      <c r="I445" s="6">
        <f>Tabela1[[#This Row],[Valor total]]-Tabela1[[#This Row],[Valor custo]]</f>
        <v>5</v>
      </c>
      <c r="J445" s="7">
        <f>Tabela1[[#This Row],[MARGEM BRUTA]]/Tabela1[[#This Row],[Valor total]]</f>
        <v>0.16666666666666666</v>
      </c>
      <c r="K445" s="1" t="str">
        <f>VLOOKUP(Tabela1[[#This Row],[Cliente]],'BASE DE CLIENTES'!A:D,4,0)</f>
        <v>SERRALHEIRO</v>
      </c>
      <c r="L445" s="1" t="str">
        <f>VLOOKUP(Tabela1[[#This Row],[Cliente]],'BASE DE CLIENTES'!A:E,5,0)</f>
        <v>Águas Lindas de Goiás</v>
      </c>
    </row>
    <row r="446" spans="2:12" x14ac:dyDescent="0.3">
      <c r="B446" s="1" t="s">
        <v>19</v>
      </c>
      <c r="C446" s="4" t="str">
        <f>VLOOKUP(Tabela1[[#This Row],[Cliente]],'BASE DE CLIENTES'!A:E,2,0)</f>
        <v>Águas Lindas de Goiás</v>
      </c>
      <c r="D446" s="1" t="str">
        <f>VLOOKUP(Tabela1[[#This Row],[Cliente]],'BASE DE CLIENTES'!A:C,3,0)</f>
        <v>GO</v>
      </c>
      <c r="E446" s="4" t="str">
        <f>CONCATENATE(Tabela1[[#This Row],[CIDADE]],",",Tabela1[[#This Row],[UF]])</f>
        <v>Águas Lindas de Goiás,GO</v>
      </c>
      <c r="F446" s="2">
        <v>45847</v>
      </c>
      <c r="G446" s="17">
        <v>497</v>
      </c>
      <c r="H446" s="17">
        <v>785</v>
      </c>
      <c r="I446" s="6">
        <f>Tabela1[[#This Row],[Valor total]]-Tabela1[[#This Row],[Valor custo]]</f>
        <v>288</v>
      </c>
      <c r="J446" s="7">
        <f>Tabela1[[#This Row],[MARGEM BRUTA]]/Tabela1[[#This Row],[Valor total]]</f>
        <v>0.36687898089171972</v>
      </c>
      <c r="K446" s="1" t="str">
        <f>VLOOKUP(Tabela1[[#This Row],[Cliente]],'BASE DE CLIENTES'!A:D,4,0)</f>
        <v>SERRALHEIRO</v>
      </c>
      <c r="L446" s="1" t="str">
        <f>VLOOKUP(Tabela1[[#This Row],[Cliente]],'BASE DE CLIENTES'!A:E,5,0)</f>
        <v>Águas Lindas de Goiás</v>
      </c>
    </row>
    <row r="447" spans="2:12" x14ac:dyDescent="0.3">
      <c r="B447" s="1" t="s">
        <v>76</v>
      </c>
      <c r="C447" s="4" t="str">
        <f>VLOOKUP(Tabela1[[#This Row],[Cliente]],'BASE DE CLIENTES'!A:E,2,0)</f>
        <v>Brasília</v>
      </c>
      <c r="D447" s="1" t="str">
        <f>VLOOKUP(Tabela1[[#This Row],[Cliente]],'BASE DE CLIENTES'!A:C,3,0)</f>
        <v>DF</v>
      </c>
      <c r="E447" s="4" t="str">
        <f>CONCATENATE(Tabela1[[#This Row],[CIDADE]],",",Tabela1[[#This Row],[UF]])</f>
        <v>Brasília,DF</v>
      </c>
      <c r="F447" s="2">
        <v>45693</v>
      </c>
      <c r="G447" s="17">
        <v>3239.76</v>
      </c>
      <c r="H447" s="17">
        <v>4680</v>
      </c>
      <c r="I447" s="6">
        <f>Tabela1[[#This Row],[Valor total]]-Tabela1[[#This Row],[Valor custo]]</f>
        <v>1440.2399999999998</v>
      </c>
      <c r="J447" s="7">
        <f>Tabela1[[#This Row],[MARGEM BRUTA]]/Tabela1[[#This Row],[Valor total]]</f>
        <v>0.30774358974358967</v>
      </c>
      <c r="K447" s="1" t="str">
        <f>VLOOKUP(Tabela1[[#This Row],[Cliente]],'BASE DE CLIENTES'!A:D,4,0)</f>
        <v>EMPRESA COM MAQUINA</v>
      </c>
      <c r="L447" s="1" t="str">
        <f>VLOOKUP(Tabela1[[#This Row],[Cliente]],'BASE DE CLIENTES'!A:E,5,0)</f>
        <v>Setor Placa da Mercedes (Núcleo Bandeirante)</v>
      </c>
    </row>
    <row r="448" spans="2:12" x14ac:dyDescent="0.3">
      <c r="B448" s="1" t="s">
        <v>19</v>
      </c>
      <c r="C448" s="4" t="str">
        <f>VLOOKUP(Tabela1[[#This Row],[Cliente]],'BASE DE CLIENTES'!A:E,2,0)</f>
        <v>Águas Lindas de Goiás</v>
      </c>
      <c r="D448" s="1" t="str">
        <f>VLOOKUP(Tabela1[[#This Row],[Cliente]],'BASE DE CLIENTES'!A:C,3,0)</f>
        <v>GO</v>
      </c>
      <c r="E448" s="4" t="str">
        <f>CONCATENATE(Tabela1[[#This Row],[CIDADE]],",",Tabela1[[#This Row],[UF]])</f>
        <v>Águas Lindas de Goiás,GO</v>
      </c>
      <c r="F448" s="2">
        <v>45846</v>
      </c>
      <c r="G448" s="17">
        <v>447</v>
      </c>
      <c r="H448" s="17">
        <v>645</v>
      </c>
      <c r="I448" s="6">
        <f>Tabela1[[#This Row],[Valor total]]-Tabela1[[#This Row],[Valor custo]]</f>
        <v>198</v>
      </c>
      <c r="J448" s="7">
        <f>Tabela1[[#This Row],[MARGEM BRUTA]]/Tabela1[[#This Row],[Valor total]]</f>
        <v>0.30697674418604654</v>
      </c>
      <c r="K448" s="1" t="str">
        <f>VLOOKUP(Tabela1[[#This Row],[Cliente]],'BASE DE CLIENTES'!A:D,4,0)</f>
        <v>SERRALHEIRO</v>
      </c>
      <c r="L448" s="1" t="str">
        <f>VLOOKUP(Tabela1[[#This Row],[Cliente]],'BASE DE CLIENTES'!A:E,5,0)</f>
        <v>Águas Lindas de Goiás</v>
      </c>
    </row>
    <row r="449" spans="2:12" x14ac:dyDescent="0.3">
      <c r="B449" s="1" t="s">
        <v>120</v>
      </c>
      <c r="C449" s="4" t="str">
        <f>VLOOKUP(Tabela1[[#This Row],[Cliente]],'BASE DE CLIENTES'!A:E,2,0)</f>
        <v>Brasília</v>
      </c>
      <c r="D449" s="1" t="str">
        <f>VLOOKUP(Tabela1[[#This Row],[Cliente]],'BASE DE CLIENTES'!A:C,3,0)</f>
        <v>DF</v>
      </c>
      <c r="E449" s="4" t="str">
        <f>CONCATENATE(Tabela1[[#This Row],[CIDADE]],",",Tabela1[[#This Row],[UF]])</f>
        <v>Brasília,DF</v>
      </c>
      <c r="F449" s="2">
        <v>45693</v>
      </c>
      <c r="G449" s="17">
        <v>439.2</v>
      </c>
      <c r="H449" s="17">
        <v>645</v>
      </c>
      <c r="I449" s="6">
        <f>Tabela1[[#This Row],[Valor total]]-Tabela1[[#This Row],[Valor custo]]</f>
        <v>205.8</v>
      </c>
      <c r="J449" s="7">
        <f>Tabela1[[#This Row],[MARGEM BRUTA]]/Tabela1[[#This Row],[Valor total]]</f>
        <v>0.3190697674418605</v>
      </c>
      <c r="K449" s="1" t="str">
        <f>VLOOKUP(Tabela1[[#This Row],[Cliente]],'BASE DE CLIENTES'!A:D,4,0)</f>
        <v>EMPRESA SEM MAQUINA</v>
      </c>
      <c r="L449" s="1" t="str">
        <f>VLOOKUP(Tabela1[[#This Row],[Cliente]],'BASE DE CLIENTES'!A:E,5,0)</f>
        <v>SAMAMBAIA</v>
      </c>
    </row>
    <row r="450" spans="2:12" x14ac:dyDescent="0.3">
      <c r="B450" s="1" t="s">
        <v>131</v>
      </c>
      <c r="C450" s="4" t="str">
        <f>VLOOKUP(Tabela1[[#This Row],[Cliente]],'BASE DE CLIENTES'!A:E,2,0)</f>
        <v>Águas Lindas de Goiás</v>
      </c>
      <c r="D450" s="1" t="str">
        <f>VLOOKUP(Tabela1[[#This Row],[Cliente]],'BASE DE CLIENTES'!A:C,3,0)</f>
        <v>GO</v>
      </c>
      <c r="E450" s="4" t="str">
        <f>CONCATENATE(Tabela1[[#This Row],[CIDADE]],",",Tabela1[[#This Row],[UF]])</f>
        <v>Águas Lindas de Goiás,GO</v>
      </c>
      <c r="F450" s="2">
        <v>45846</v>
      </c>
      <c r="G450" s="17">
        <v>122.74</v>
      </c>
      <c r="H450" s="17">
        <v>200</v>
      </c>
      <c r="I450" s="6">
        <f>Tabela1[[#This Row],[Valor total]]-Tabela1[[#This Row],[Valor custo]]</f>
        <v>77.260000000000005</v>
      </c>
      <c r="J450" s="7">
        <f>Tabela1[[#This Row],[MARGEM BRUTA]]/Tabela1[[#This Row],[Valor total]]</f>
        <v>0.38630000000000003</v>
      </c>
      <c r="K450" s="1" t="str">
        <f>VLOOKUP(Tabela1[[#This Row],[Cliente]],'BASE DE CLIENTES'!A:D,4,0)</f>
        <v>SERRALHEIRO</v>
      </c>
      <c r="L450" s="1" t="str">
        <f>VLOOKUP(Tabela1[[#This Row],[Cliente]],'BASE DE CLIENTES'!A:E,5,0)</f>
        <v>Águas Lindas de Goiás</v>
      </c>
    </row>
    <row r="451" spans="2:12" x14ac:dyDescent="0.3">
      <c r="B451" s="1" t="s">
        <v>66</v>
      </c>
      <c r="C451" s="4" t="str">
        <f>VLOOKUP(Tabela1[[#This Row],[Cliente]],'BASE DE CLIENTES'!A:E,2,0)</f>
        <v>Águas Lindas de Goiás</v>
      </c>
      <c r="D451" s="1" t="str">
        <f>VLOOKUP(Tabela1[[#This Row],[Cliente]],'BASE DE CLIENTES'!A:C,3,0)</f>
        <v>GO</v>
      </c>
      <c r="E451" s="4" t="str">
        <f>CONCATENATE(Tabela1[[#This Row],[CIDADE]],",",Tabela1[[#This Row],[UF]])</f>
        <v>Águas Lindas de Goiás,GO</v>
      </c>
      <c r="F451" s="2">
        <v>45846</v>
      </c>
      <c r="G451" s="17">
        <v>447</v>
      </c>
      <c r="H451" s="17">
        <v>615</v>
      </c>
      <c r="I451" s="6">
        <f>Tabela1[[#This Row],[Valor total]]-Tabela1[[#This Row],[Valor custo]]</f>
        <v>168</v>
      </c>
      <c r="J451" s="7">
        <f>Tabela1[[#This Row],[MARGEM BRUTA]]/Tabela1[[#This Row],[Valor total]]</f>
        <v>0.27317073170731709</v>
      </c>
      <c r="K451" s="1" t="str">
        <f>VLOOKUP(Tabela1[[#This Row],[Cliente]],'BASE DE CLIENTES'!A:D,4,0)</f>
        <v>EMPRESA COM MAQUINA</v>
      </c>
      <c r="L451" s="1" t="str">
        <f>VLOOKUP(Tabela1[[#This Row],[Cliente]],'BASE DE CLIENTES'!A:E,5,0)</f>
        <v>Águas Lindas de Goiás</v>
      </c>
    </row>
    <row r="452" spans="2:12" x14ac:dyDescent="0.3">
      <c r="B452" s="1" t="s">
        <v>120</v>
      </c>
      <c r="C452" s="4" t="str">
        <f>VLOOKUP(Tabela1[[#This Row],[Cliente]],'BASE DE CLIENTES'!A:E,2,0)</f>
        <v>Brasília</v>
      </c>
      <c r="D452" s="1" t="str">
        <f>VLOOKUP(Tabela1[[#This Row],[Cliente]],'BASE DE CLIENTES'!A:C,3,0)</f>
        <v>DF</v>
      </c>
      <c r="E452" s="4" t="str">
        <f>CONCATENATE(Tabela1[[#This Row],[CIDADE]],",",Tabela1[[#This Row],[UF]])</f>
        <v>Brasília,DF</v>
      </c>
      <c r="F452" s="2">
        <v>45744</v>
      </c>
      <c r="G452" s="17">
        <v>920.02</v>
      </c>
      <c r="H452" s="17">
        <v>2150</v>
      </c>
      <c r="I452" s="6">
        <f>Tabela1[[#This Row],[Valor total]]-Tabela1[[#This Row],[Valor custo]]</f>
        <v>1229.98</v>
      </c>
      <c r="J452" s="7">
        <f>Tabela1[[#This Row],[MARGEM BRUTA]]/Tabela1[[#This Row],[Valor total]]</f>
        <v>0.57208372093023252</v>
      </c>
      <c r="K452" s="1" t="str">
        <f>VLOOKUP(Tabela1[[#This Row],[Cliente]],'BASE DE CLIENTES'!A:D,4,0)</f>
        <v>EMPRESA SEM MAQUINA</v>
      </c>
      <c r="L452" s="1" t="str">
        <f>VLOOKUP(Tabela1[[#This Row],[Cliente]],'BASE DE CLIENTES'!A:E,5,0)</f>
        <v>SAMAMBAIA</v>
      </c>
    </row>
    <row r="453" spans="2:12" x14ac:dyDescent="0.3">
      <c r="B453" s="1" t="s">
        <v>96</v>
      </c>
      <c r="C453" s="4" t="str">
        <f>VLOOKUP(Tabela1[[#This Row],[Cliente]],'BASE DE CLIENTES'!A:E,2,0)</f>
        <v>Brasília</v>
      </c>
      <c r="D453" s="1" t="str">
        <f>VLOOKUP(Tabela1[[#This Row],[Cliente]],'BASE DE CLIENTES'!A:C,3,0)</f>
        <v>DF</v>
      </c>
      <c r="E453" s="4" t="str">
        <f>CONCATENATE(Tabela1[[#This Row],[CIDADE]],",",Tabela1[[#This Row],[UF]])</f>
        <v>Brasília,DF</v>
      </c>
      <c r="F453" s="2">
        <v>45692</v>
      </c>
      <c r="G453" s="17">
        <v>57.13</v>
      </c>
      <c r="H453" s="17">
        <v>200</v>
      </c>
      <c r="I453" s="6">
        <f>Tabela1[[#This Row],[Valor total]]-Tabela1[[#This Row],[Valor custo]]</f>
        <v>142.87</v>
      </c>
      <c r="J453" s="7">
        <f>Tabela1[[#This Row],[MARGEM BRUTA]]/Tabela1[[#This Row],[Valor total]]</f>
        <v>0.71435000000000004</v>
      </c>
      <c r="K453" s="1" t="str">
        <f>VLOOKUP(Tabela1[[#This Row],[Cliente]],'BASE DE CLIENTES'!A:D,4,0)</f>
        <v>EMPRESA SEM MAQUINA</v>
      </c>
      <c r="L453" s="1" t="str">
        <f>VLOOKUP(Tabela1[[#This Row],[Cliente]],'BASE DE CLIENTES'!A:E,5,0)</f>
        <v>CEILANDIA NORTE (CEILANDIA)</v>
      </c>
    </row>
    <row r="454" spans="2:12" x14ac:dyDescent="0.3">
      <c r="B454" s="1" t="s">
        <v>97</v>
      </c>
      <c r="C454" s="4" t="str">
        <f>VLOOKUP(Tabela1[[#This Row],[Cliente]],'BASE DE CLIENTES'!A:E,2,0)</f>
        <v>Brasília</v>
      </c>
      <c r="D454" s="1" t="str">
        <f>VLOOKUP(Tabela1[[#This Row],[Cliente]],'BASE DE CLIENTES'!A:C,3,0)</f>
        <v>DF</v>
      </c>
      <c r="E454" s="4" t="str">
        <f>CONCATENATE(Tabela1[[#This Row],[CIDADE]],",",Tabela1[[#This Row],[UF]])</f>
        <v>Brasília,DF</v>
      </c>
      <c r="F454" s="2">
        <v>45692</v>
      </c>
      <c r="G454" s="17">
        <v>518.9</v>
      </c>
      <c r="H454" s="17">
        <v>770</v>
      </c>
      <c r="I454" s="6">
        <f>Tabela1[[#This Row],[Valor total]]-Tabela1[[#This Row],[Valor custo]]</f>
        <v>251.10000000000002</v>
      </c>
      <c r="J454" s="7">
        <f>Tabela1[[#This Row],[MARGEM BRUTA]]/Tabela1[[#This Row],[Valor total]]</f>
        <v>0.32610389610389612</v>
      </c>
      <c r="K454" s="1" t="str">
        <f>VLOOKUP(Tabela1[[#This Row],[Cliente]],'BASE DE CLIENTES'!A:D,4,0)</f>
        <v>SERRALHEIRO</v>
      </c>
      <c r="L454" s="1" t="str">
        <f>VLOOKUP(Tabela1[[#This Row],[Cliente]],'BASE DE CLIENTES'!A:E,5,0)</f>
        <v>CEILANDIA NORTE</v>
      </c>
    </row>
    <row r="455" spans="2:12" x14ac:dyDescent="0.3">
      <c r="B455" s="1" t="s">
        <v>66</v>
      </c>
      <c r="C455" s="4" t="str">
        <f>VLOOKUP(Tabela1[[#This Row],[Cliente]],'BASE DE CLIENTES'!A:E,2,0)</f>
        <v>Águas Lindas de Goiás</v>
      </c>
      <c r="D455" s="1" t="str">
        <f>VLOOKUP(Tabela1[[#This Row],[Cliente]],'BASE DE CLIENTES'!A:C,3,0)</f>
        <v>GO</v>
      </c>
      <c r="E455" s="4" t="str">
        <f>CONCATENATE(Tabela1[[#This Row],[CIDADE]],",",Tabela1[[#This Row],[UF]])</f>
        <v>Águas Lindas de Goiás,GO</v>
      </c>
      <c r="F455" s="2">
        <v>45842</v>
      </c>
      <c r="G455" s="17">
        <v>1332.6</v>
      </c>
      <c r="H455" s="17">
        <v>1848</v>
      </c>
      <c r="I455" s="6">
        <f>Tabela1[[#This Row],[Valor total]]-Tabela1[[#This Row],[Valor custo]]</f>
        <v>515.40000000000009</v>
      </c>
      <c r="J455" s="7">
        <f>Tabela1[[#This Row],[MARGEM BRUTA]]/Tabela1[[#This Row],[Valor total]]</f>
        <v>0.27889610389610392</v>
      </c>
      <c r="K455" s="1" t="str">
        <f>VLOOKUP(Tabela1[[#This Row],[Cliente]],'BASE DE CLIENTES'!A:D,4,0)</f>
        <v>EMPRESA COM MAQUINA</v>
      </c>
      <c r="L455" s="1" t="str">
        <f>VLOOKUP(Tabela1[[#This Row],[Cliente]],'BASE DE CLIENTES'!A:E,5,0)</f>
        <v>Águas Lindas de Goiás</v>
      </c>
    </row>
    <row r="456" spans="2:12" x14ac:dyDescent="0.3">
      <c r="B456" s="1" t="s">
        <v>96</v>
      </c>
      <c r="C456" s="4" t="str">
        <f>VLOOKUP(Tabela1[[#This Row],[Cliente]],'BASE DE CLIENTES'!A:E,2,0)</f>
        <v>Brasília</v>
      </c>
      <c r="D456" s="1" t="str">
        <f>VLOOKUP(Tabela1[[#This Row],[Cliente]],'BASE DE CLIENTES'!A:C,3,0)</f>
        <v>DF</v>
      </c>
      <c r="E456" s="4" t="str">
        <f>CONCATENATE(Tabela1[[#This Row],[CIDADE]],",",Tabela1[[#This Row],[UF]])</f>
        <v>Brasília,DF</v>
      </c>
      <c r="F456" s="2">
        <v>45692</v>
      </c>
      <c r="G456" s="17">
        <v>568.24</v>
      </c>
      <c r="H456" s="17">
        <v>1200</v>
      </c>
      <c r="I456" s="6">
        <f>Tabela1[[#This Row],[Valor total]]-Tabela1[[#This Row],[Valor custo]]</f>
        <v>631.76</v>
      </c>
      <c r="J456" s="7">
        <f>Tabela1[[#This Row],[MARGEM BRUTA]]/Tabela1[[#This Row],[Valor total]]</f>
        <v>0.52646666666666664</v>
      </c>
      <c r="K456" s="1" t="str">
        <f>VLOOKUP(Tabela1[[#This Row],[Cliente]],'BASE DE CLIENTES'!A:D,4,0)</f>
        <v>EMPRESA SEM MAQUINA</v>
      </c>
      <c r="L456" s="1" t="str">
        <f>VLOOKUP(Tabela1[[#This Row],[Cliente]],'BASE DE CLIENTES'!A:E,5,0)</f>
        <v>CEILANDIA NORTE (CEILANDIA)</v>
      </c>
    </row>
    <row r="457" spans="2:12" x14ac:dyDescent="0.3">
      <c r="B457" s="1" t="s">
        <v>106</v>
      </c>
      <c r="C457" s="4" t="str">
        <f>VLOOKUP(Tabela1[[#This Row],[Cliente]],'BASE DE CLIENTES'!A:E,2,0)</f>
        <v>Brasília</v>
      </c>
      <c r="D457" s="1" t="str">
        <f>VLOOKUP(Tabela1[[#This Row],[Cliente]],'BASE DE CLIENTES'!A:C,3,0)</f>
        <v>DF</v>
      </c>
      <c r="E457" s="4" t="str">
        <f>CONCATENATE(Tabela1[[#This Row],[CIDADE]],",",Tabela1[[#This Row],[UF]])</f>
        <v>Brasília,DF</v>
      </c>
      <c r="F457" s="2">
        <v>45692</v>
      </c>
      <c r="G457" s="17">
        <v>1596.97</v>
      </c>
      <c r="H457" s="17">
        <v>2440</v>
      </c>
      <c r="I457" s="6">
        <f>Tabela1[[#This Row],[Valor total]]-Tabela1[[#This Row],[Valor custo]]</f>
        <v>843.03</v>
      </c>
      <c r="J457" s="7">
        <f>Tabela1[[#This Row],[MARGEM BRUTA]]/Tabela1[[#This Row],[Valor total]]</f>
        <v>0.34550409836065571</v>
      </c>
      <c r="K457" s="1" t="str">
        <f>VLOOKUP(Tabela1[[#This Row],[Cliente]],'BASE DE CLIENTES'!A:D,4,0)</f>
        <v>EMPRESA COM MAQUINA</v>
      </c>
      <c r="L457" s="1" t="str">
        <f>VLOOKUP(Tabela1[[#This Row],[Cliente]],'BASE DE CLIENTES'!A:E,5,0)</f>
        <v>26 DE SETEMBRO</v>
      </c>
    </row>
    <row r="458" spans="2:12" x14ac:dyDescent="0.3">
      <c r="B458" s="1" t="s">
        <v>68</v>
      </c>
      <c r="C458" s="4" t="str">
        <f>VLOOKUP(Tabela1[[#This Row],[Cliente]],'BASE DE CLIENTES'!A:E,2,0)</f>
        <v>Brasília</v>
      </c>
      <c r="D458" s="1" t="str">
        <f>VLOOKUP(Tabela1[[#This Row],[Cliente]],'BASE DE CLIENTES'!A:C,3,0)</f>
        <v>DF</v>
      </c>
      <c r="E458" s="4" t="str">
        <f>CONCATENATE(Tabela1[[#This Row],[CIDADE]],",",Tabela1[[#This Row],[UF]])</f>
        <v>Brasília,DF</v>
      </c>
      <c r="F458" s="2">
        <v>45692</v>
      </c>
      <c r="G458" s="17">
        <v>5125.54</v>
      </c>
      <c r="H458" s="17">
        <v>7540</v>
      </c>
      <c r="I458" s="6">
        <f>Tabela1[[#This Row],[Valor total]]-Tabela1[[#This Row],[Valor custo]]</f>
        <v>2414.46</v>
      </c>
      <c r="J458" s="7">
        <f>Tabela1[[#This Row],[MARGEM BRUTA]]/Tabela1[[#This Row],[Valor total]]</f>
        <v>0.32022015915119362</v>
      </c>
      <c r="K458" s="1" t="str">
        <f>VLOOKUP(Tabela1[[#This Row],[Cliente]],'BASE DE CLIENTES'!A:D,4,0)</f>
        <v>EMPRESA COM MAQUINA</v>
      </c>
      <c r="L458" s="1" t="str">
        <f>VLOOKUP(Tabela1[[#This Row],[Cliente]],'BASE DE CLIENTES'!A:E,5,0)</f>
        <v>SAMAMBAIA SUL (SAMAMBAIA)</v>
      </c>
    </row>
    <row r="459" spans="2:12" x14ac:dyDescent="0.3">
      <c r="B459" s="1" t="s">
        <v>66</v>
      </c>
      <c r="C459" s="4" t="str">
        <f>VLOOKUP(Tabela1[[#This Row],[Cliente]],'BASE DE CLIENTES'!A:E,2,0)</f>
        <v>Águas Lindas de Goiás</v>
      </c>
      <c r="D459" s="1" t="str">
        <f>VLOOKUP(Tabela1[[#This Row],[Cliente]],'BASE DE CLIENTES'!A:C,3,0)</f>
        <v>GO</v>
      </c>
      <c r="E459" s="4" t="str">
        <f>CONCATENATE(Tabela1[[#This Row],[CIDADE]],",",Tabela1[[#This Row],[UF]])</f>
        <v>Águas Lindas de Goiás,GO</v>
      </c>
      <c r="F459" s="2">
        <v>45841</v>
      </c>
      <c r="G459" s="17">
        <v>3901</v>
      </c>
      <c r="H459" s="17">
        <v>6600</v>
      </c>
      <c r="I459" s="6">
        <f>Tabela1[[#This Row],[Valor total]]-Tabela1[[#This Row],[Valor custo]]</f>
        <v>2699</v>
      </c>
      <c r="J459" s="7">
        <f>Tabela1[[#This Row],[MARGEM BRUTA]]/Tabela1[[#This Row],[Valor total]]</f>
        <v>0.40893939393939394</v>
      </c>
      <c r="K459" s="1" t="str">
        <f>VLOOKUP(Tabela1[[#This Row],[Cliente]],'BASE DE CLIENTES'!A:D,4,0)</f>
        <v>EMPRESA COM MAQUINA</v>
      </c>
      <c r="L459" s="1" t="str">
        <f>VLOOKUP(Tabela1[[#This Row],[Cliente]],'BASE DE CLIENTES'!A:E,5,0)</f>
        <v>Águas Lindas de Goiás</v>
      </c>
    </row>
    <row r="460" spans="2:12" x14ac:dyDescent="0.3">
      <c r="B460" s="1" t="s">
        <v>19</v>
      </c>
      <c r="C460" s="4" t="str">
        <f>VLOOKUP(Tabela1[[#This Row],[Cliente]],'BASE DE CLIENTES'!A:E,2,0)</f>
        <v>Águas Lindas de Goiás</v>
      </c>
      <c r="D460" s="1" t="str">
        <f>VLOOKUP(Tabela1[[#This Row],[Cliente]],'BASE DE CLIENTES'!A:C,3,0)</f>
        <v>GO</v>
      </c>
      <c r="E460" s="4" t="str">
        <f>CONCATENATE(Tabela1[[#This Row],[CIDADE]],",",Tabela1[[#This Row],[UF]])</f>
        <v>Águas Lindas de Goiás,GO</v>
      </c>
      <c r="F460" s="2">
        <v>45839</v>
      </c>
      <c r="G460" s="17">
        <v>447</v>
      </c>
      <c r="H460" s="17">
        <v>645</v>
      </c>
      <c r="I460" s="6">
        <f>Tabela1[[#This Row],[Valor total]]-Tabela1[[#This Row],[Valor custo]]</f>
        <v>198</v>
      </c>
      <c r="J460" s="7">
        <f>Tabela1[[#This Row],[MARGEM BRUTA]]/Tabela1[[#This Row],[Valor total]]</f>
        <v>0.30697674418604654</v>
      </c>
      <c r="K460" s="1" t="str">
        <f>VLOOKUP(Tabela1[[#This Row],[Cliente]],'BASE DE CLIENTES'!A:D,4,0)</f>
        <v>SERRALHEIRO</v>
      </c>
      <c r="L460" s="1" t="str">
        <f>VLOOKUP(Tabela1[[#This Row],[Cliente]],'BASE DE CLIENTES'!A:E,5,0)</f>
        <v>Águas Lindas de Goiás</v>
      </c>
    </row>
    <row r="461" spans="2:12" x14ac:dyDescent="0.3">
      <c r="B461" s="1" t="s">
        <v>52</v>
      </c>
      <c r="C461" s="4" t="str">
        <f>VLOOKUP(Tabela1[[#This Row],[Cliente]],'BASE DE CLIENTES'!A:E,2,0)</f>
        <v>Brasília</v>
      </c>
      <c r="D461" s="1" t="str">
        <f>VLOOKUP(Tabela1[[#This Row],[Cliente]],'BASE DE CLIENTES'!A:C,3,0)</f>
        <v>DF</v>
      </c>
      <c r="E461" s="4" t="str">
        <f>CONCATENATE(Tabela1[[#This Row],[CIDADE]],",",Tabela1[[#This Row],[UF]])</f>
        <v>Brasília,DF</v>
      </c>
      <c r="F461" s="2">
        <v>45691</v>
      </c>
      <c r="G461" s="17">
        <v>13.69</v>
      </c>
      <c r="H461" s="17">
        <v>120</v>
      </c>
      <c r="I461" s="6">
        <f>Tabela1[[#This Row],[Valor total]]-Tabela1[[#This Row],[Valor custo]]</f>
        <v>106.31</v>
      </c>
      <c r="J461" s="7">
        <f>Tabela1[[#This Row],[MARGEM BRUTA]]/Tabela1[[#This Row],[Valor total]]</f>
        <v>0.88591666666666669</v>
      </c>
      <c r="K461" s="1" t="str">
        <f>VLOOKUP(Tabela1[[#This Row],[Cliente]],'BASE DE CLIENTES'!A:D,4,0)</f>
        <v>SERRALHEIRO</v>
      </c>
      <c r="L461" s="1" t="str">
        <f>VLOOKUP(Tabela1[[#This Row],[Cliente]],'BASE DE CLIENTES'!A:E,5,0)</f>
        <v>Ceilândia Sul (Ceilândia)</v>
      </c>
    </row>
    <row r="462" spans="2:12" x14ac:dyDescent="0.3">
      <c r="B462" s="1" t="s">
        <v>130</v>
      </c>
      <c r="C462" s="4" t="str">
        <f>VLOOKUP(Tabela1[[#This Row],[Cliente]],'BASE DE CLIENTES'!A:E,2,0)</f>
        <v>Brasília</v>
      </c>
      <c r="D462" s="1" t="str">
        <f>VLOOKUP(Tabela1[[#This Row],[Cliente]],'BASE DE CLIENTES'!A:C,3,0)</f>
        <v>DF</v>
      </c>
      <c r="E462" s="4" t="str">
        <f>CONCATENATE(Tabela1[[#This Row],[CIDADE]],",",Tabela1[[#This Row],[UF]])</f>
        <v>Brasília,DF</v>
      </c>
      <c r="F462" s="2">
        <v>45691</v>
      </c>
      <c r="G462" s="17">
        <v>13.69</v>
      </c>
      <c r="H462" s="17">
        <v>110</v>
      </c>
      <c r="I462" s="6">
        <f>Tabela1[[#This Row],[Valor total]]-Tabela1[[#This Row],[Valor custo]]</f>
        <v>96.31</v>
      </c>
      <c r="J462" s="7">
        <f>Tabela1[[#This Row],[MARGEM BRUTA]]/Tabela1[[#This Row],[Valor total]]</f>
        <v>0.87554545454545452</v>
      </c>
      <c r="K462" s="1" t="str">
        <f>VLOOKUP(Tabela1[[#This Row],[Cliente]],'BASE DE CLIENTES'!A:D,4,0)</f>
        <v>EMPRESA SEM MAQUINA</v>
      </c>
      <c r="L462" s="1" t="str">
        <f>VLOOKUP(Tabela1[[#This Row],[Cliente]],'BASE DE CLIENTES'!A:E,5,0)</f>
        <v>CEILANDIA NORTE (CEILANDIA)</v>
      </c>
    </row>
    <row r="463" spans="2:12" x14ac:dyDescent="0.3">
      <c r="B463" s="1" t="s">
        <v>66</v>
      </c>
      <c r="C463" s="4" t="str">
        <f>VLOOKUP(Tabela1[[#This Row],[Cliente]],'BASE DE CLIENTES'!A:E,2,0)</f>
        <v>Águas Lindas de Goiás</v>
      </c>
      <c r="D463" s="1" t="str">
        <f>VLOOKUP(Tabela1[[#This Row],[Cliente]],'BASE DE CLIENTES'!A:C,3,0)</f>
        <v>GO</v>
      </c>
      <c r="E463" s="4" t="str">
        <f>CONCATENATE(Tabela1[[#This Row],[CIDADE]],",",Tabela1[[#This Row],[UF]])</f>
        <v>Águas Lindas de Goiás,GO</v>
      </c>
      <c r="F463" s="2">
        <v>45899</v>
      </c>
      <c r="G463" s="17">
        <v>909</v>
      </c>
      <c r="H463" s="17">
        <v>1350</v>
      </c>
      <c r="I463" s="6">
        <f>Tabela1[[#This Row],[Valor total]]-Tabela1[[#This Row],[Valor custo]]</f>
        <v>441</v>
      </c>
      <c r="J463" s="7">
        <f>Tabela1[[#This Row],[MARGEM BRUTA]]/Tabela1[[#This Row],[Valor total]]</f>
        <v>0.32666666666666666</v>
      </c>
      <c r="K463" s="1" t="str">
        <f>VLOOKUP(Tabela1[[#This Row],[Cliente]],'BASE DE CLIENTES'!A:D,4,0)</f>
        <v>EMPRESA COM MAQUINA</v>
      </c>
      <c r="L463" s="1" t="str">
        <f>VLOOKUP(Tabela1[[#This Row],[Cliente]],'BASE DE CLIENTES'!A:E,5,0)</f>
        <v>Águas Lindas de Goiás</v>
      </c>
    </row>
    <row r="464" spans="2:12" x14ac:dyDescent="0.3">
      <c r="B464" s="1" t="s">
        <v>42</v>
      </c>
      <c r="C464" s="4" t="str">
        <f>VLOOKUP(Tabela1[[#This Row],[Cliente]],'BASE DE CLIENTES'!A:E,2,0)</f>
        <v>Brasília</v>
      </c>
      <c r="D464" s="1" t="str">
        <f>VLOOKUP(Tabela1[[#This Row],[Cliente]],'BASE DE CLIENTES'!A:C,3,0)</f>
        <v>DF</v>
      </c>
      <c r="E464" s="4" t="str">
        <f>CONCATENATE(Tabela1[[#This Row],[CIDADE]],",",Tabela1[[#This Row],[UF]])</f>
        <v>Brasília,DF</v>
      </c>
      <c r="F464" s="2">
        <v>45691</v>
      </c>
      <c r="G464" s="17">
        <v>1906.33</v>
      </c>
      <c r="H464" s="17">
        <v>2646</v>
      </c>
      <c r="I464" s="6">
        <f>Tabela1[[#This Row],[Valor total]]-Tabela1[[#This Row],[Valor custo]]</f>
        <v>739.67000000000007</v>
      </c>
      <c r="J464" s="7">
        <f>Tabela1[[#This Row],[MARGEM BRUTA]]/Tabela1[[#This Row],[Valor total]]</f>
        <v>0.27954270597127745</v>
      </c>
      <c r="K464" s="1" t="str">
        <f>VLOOKUP(Tabela1[[#This Row],[Cliente]],'BASE DE CLIENTES'!A:D,4,0)</f>
        <v>EMPRESA SEM MAQUINA</v>
      </c>
      <c r="L464" s="1" t="str">
        <f>VLOOKUP(Tabela1[[#This Row],[Cliente]],'BASE DE CLIENTES'!A:E,5,0)</f>
        <v>SAMAMBAIA</v>
      </c>
    </row>
    <row r="465" spans="2:12" x14ac:dyDescent="0.3">
      <c r="B465" s="1" t="s">
        <v>19</v>
      </c>
      <c r="C465" s="4" t="str">
        <f>VLOOKUP(Tabela1[[#This Row],[Cliente]],'BASE DE CLIENTES'!A:E,2,0)</f>
        <v>Águas Lindas de Goiás</v>
      </c>
      <c r="D465" s="1" t="str">
        <f>VLOOKUP(Tabela1[[#This Row],[Cliente]],'BASE DE CLIENTES'!A:C,3,0)</f>
        <v>GO</v>
      </c>
      <c r="E465" s="4" t="str">
        <f>CONCATENATE(Tabela1[[#This Row],[CIDADE]],",",Tabela1[[#This Row],[UF]])</f>
        <v>Águas Lindas de Goiás,GO</v>
      </c>
      <c r="F465" s="2">
        <v>45898</v>
      </c>
      <c r="G465" s="17">
        <v>382.3</v>
      </c>
      <c r="H465" s="17">
        <v>650</v>
      </c>
      <c r="I465" s="6">
        <f>Tabela1[[#This Row],[Valor total]]-Tabela1[[#This Row],[Valor custo]]</f>
        <v>267.7</v>
      </c>
      <c r="J465" s="7">
        <f>Tabela1[[#This Row],[MARGEM BRUTA]]/Tabela1[[#This Row],[Valor total]]</f>
        <v>0.41184615384615381</v>
      </c>
      <c r="K465" s="1" t="str">
        <f>VLOOKUP(Tabela1[[#This Row],[Cliente]],'BASE DE CLIENTES'!A:D,4,0)</f>
        <v>SERRALHEIRO</v>
      </c>
      <c r="L465" s="1" t="str">
        <f>VLOOKUP(Tabela1[[#This Row],[Cliente]],'BASE DE CLIENTES'!A:E,5,0)</f>
        <v>Águas Lindas de Goiás</v>
      </c>
    </row>
    <row r="466" spans="2:12" x14ac:dyDescent="0.3">
      <c r="B466" s="1" t="s">
        <v>66</v>
      </c>
      <c r="C466" s="4" t="str">
        <f>VLOOKUP(Tabela1[[#This Row],[Cliente]],'BASE DE CLIENTES'!A:E,2,0)</f>
        <v>Águas Lindas de Goiás</v>
      </c>
      <c r="D466" s="1" t="str">
        <f>VLOOKUP(Tabela1[[#This Row],[Cliente]],'BASE DE CLIENTES'!A:C,3,0)</f>
        <v>GO</v>
      </c>
      <c r="E466" s="4" t="str">
        <f>CONCATENATE(Tabela1[[#This Row],[CIDADE]],",",Tabela1[[#This Row],[UF]])</f>
        <v>Águas Lindas de Goiás,GO</v>
      </c>
      <c r="F466" s="2">
        <v>45897</v>
      </c>
      <c r="G466" s="17">
        <v>382.3</v>
      </c>
      <c r="H466" s="17">
        <v>620</v>
      </c>
      <c r="I466" s="6">
        <f>Tabela1[[#This Row],[Valor total]]-Tabela1[[#This Row],[Valor custo]]</f>
        <v>237.7</v>
      </c>
      <c r="J466" s="7">
        <f>Tabela1[[#This Row],[MARGEM BRUTA]]/Tabela1[[#This Row],[Valor total]]</f>
        <v>0.38338709677419353</v>
      </c>
      <c r="K466" s="1" t="str">
        <f>VLOOKUP(Tabela1[[#This Row],[Cliente]],'BASE DE CLIENTES'!A:D,4,0)</f>
        <v>EMPRESA COM MAQUINA</v>
      </c>
      <c r="L466" s="1" t="str">
        <f>VLOOKUP(Tabela1[[#This Row],[Cliente]],'BASE DE CLIENTES'!A:E,5,0)</f>
        <v>Águas Lindas de Goiás</v>
      </c>
    </row>
    <row r="467" spans="2:12" x14ac:dyDescent="0.3">
      <c r="B467" s="1" t="s">
        <v>98</v>
      </c>
      <c r="C467" s="4" t="str">
        <f>VLOOKUP(Tabela1[[#This Row],[Cliente]],'BASE DE CLIENTES'!A:E,2,0)</f>
        <v>Brasília</v>
      </c>
      <c r="D467" s="1" t="str">
        <f>VLOOKUP(Tabela1[[#This Row],[Cliente]],'BASE DE CLIENTES'!A:C,3,0)</f>
        <v>DF</v>
      </c>
      <c r="E467" s="4" t="str">
        <f>CONCATENATE(Tabela1[[#This Row],[CIDADE]],",",Tabela1[[#This Row],[UF]])</f>
        <v>Brasília,DF</v>
      </c>
      <c r="F467" s="2">
        <v>45691</v>
      </c>
      <c r="G467" s="17">
        <v>273.45999999999998</v>
      </c>
      <c r="H467" s="17">
        <v>558</v>
      </c>
      <c r="I467" s="6">
        <f>Tabela1[[#This Row],[Valor total]]-Tabela1[[#This Row],[Valor custo]]</f>
        <v>284.54000000000002</v>
      </c>
      <c r="J467" s="7">
        <f>Tabela1[[#This Row],[MARGEM BRUTA]]/Tabela1[[#This Row],[Valor total]]</f>
        <v>0.50992831541218642</v>
      </c>
      <c r="K467" s="1" t="str">
        <f>VLOOKUP(Tabela1[[#This Row],[Cliente]],'BASE DE CLIENTES'!A:D,4,0)</f>
        <v>SERRALHEIRO</v>
      </c>
      <c r="L467" s="1" t="str">
        <f>VLOOKUP(Tabela1[[#This Row],[Cliente]],'BASE DE CLIENTES'!A:E,5,0)</f>
        <v>SANTA MARIA</v>
      </c>
    </row>
    <row r="468" spans="2:12" x14ac:dyDescent="0.3">
      <c r="B468" s="1" t="s">
        <v>98</v>
      </c>
      <c r="C468" s="4" t="str">
        <f>VLOOKUP(Tabela1[[#This Row],[Cliente]],'BASE DE CLIENTES'!A:E,2,0)</f>
        <v>Brasília</v>
      </c>
      <c r="D468" s="1" t="str">
        <f>VLOOKUP(Tabela1[[#This Row],[Cliente]],'BASE DE CLIENTES'!A:C,3,0)</f>
        <v>DF</v>
      </c>
      <c r="E468" s="4" t="str">
        <f>CONCATENATE(Tabela1[[#This Row],[CIDADE]],",",Tabela1[[#This Row],[UF]])</f>
        <v>Brasília,DF</v>
      </c>
      <c r="F468" s="2">
        <v>45691</v>
      </c>
      <c r="G468" s="17">
        <v>650</v>
      </c>
      <c r="H468" s="17">
        <v>765</v>
      </c>
      <c r="I468" s="6">
        <f>Tabela1[[#This Row],[Valor total]]-Tabela1[[#This Row],[Valor custo]]</f>
        <v>115</v>
      </c>
      <c r="J468" s="7">
        <f>Tabela1[[#This Row],[MARGEM BRUTA]]/Tabela1[[#This Row],[Valor total]]</f>
        <v>0.15032679738562091</v>
      </c>
      <c r="K468" s="1" t="str">
        <f>VLOOKUP(Tabela1[[#This Row],[Cliente]],'BASE DE CLIENTES'!A:D,4,0)</f>
        <v>SERRALHEIRO</v>
      </c>
      <c r="L468" s="1" t="str">
        <f>VLOOKUP(Tabela1[[#This Row],[Cliente]],'BASE DE CLIENTES'!A:E,5,0)</f>
        <v>SANTA MARIA</v>
      </c>
    </row>
    <row r="469" spans="2:12" x14ac:dyDescent="0.3">
      <c r="B469" s="1" t="s">
        <v>25</v>
      </c>
      <c r="C469" s="4" t="str">
        <f>VLOOKUP(Tabela1[[#This Row],[Cliente]],'BASE DE CLIENTES'!A:E,2,0)</f>
        <v>Brasília</v>
      </c>
      <c r="D469" s="1" t="str">
        <f>VLOOKUP(Tabela1[[#This Row],[Cliente]],'BASE DE CLIENTES'!A:C,3,0)</f>
        <v>DF</v>
      </c>
      <c r="E469" s="4" t="str">
        <f>CONCATENATE(Tabela1[[#This Row],[CIDADE]],",",Tabela1[[#This Row],[UF]])</f>
        <v>Brasília,DF</v>
      </c>
      <c r="F469" s="2">
        <v>45691</v>
      </c>
      <c r="G469" s="17">
        <v>1913.25</v>
      </c>
      <c r="H469" s="17">
        <v>2980</v>
      </c>
      <c r="I469" s="6">
        <f>Tabela1[[#This Row],[Valor total]]-Tabela1[[#This Row],[Valor custo]]</f>
        <v>1066.75</v>
      </c>
      <c r="J469" s="7">
        <f>Tabela1[[#This Row],[MARGEM BRUTA]]/Tabela1[[#This Row],[Valor total]]</f>
        <v>0.35796979865771811</v>
      </c>
      <c r="K469" s="1" t="str">
        <f>VLOOKUP(Tabela1[[#This Row],[Cliente]],'BASE DE CLIENTES'!A:D,4,0)</f>
        <v>EMPRESA COM MAQUINA</v>
      </c>
      <c r="L469" s="1" t="str">
        <f>VLOOKUP(Tabela1[[#This Row],[Cliente]],'BASE DE CLIENTES'!A:E,5,0)</f>
        <v>CEILANDIA NORTE (CEILANDIA)</v>
      </c>
    </row>
    <row r="470" spans="2:12" x14ac:dyDescent="0.3">
      <c r="B470" s="1" t="s">
        <v>17</v>
      </c>
      <c r="C470" s="4" t="str">
        <f>VLOOKUP(Tabela1[[#This Row],[Cliente]],'BASE DE CLIENTES'!A:E,2,0)</f>
        <v>Águas Lindas de Goiás</v>
      </c>
      <c r="D470" s="1" t="str">
        <f>VLOOKUP(Tabela1[[#This Row],[Cliente]],'BASE DE CLIENTES'!A:C,3,0)</f>
        <v>GO</v>
      </c>
      <c r="E470" s="4" t="str">
        <f>CONCATENATE(Tabela1[[#This Row],[CIDADE]],",",Tabela1[[#This Row],[UF]])</f>
        <v>Águas Lindas de Goiás,GO</v>
      </c>
      <c r="F470" s="2">
        <v>45897</v>
      </c>
      <c r="G470" s="17">
        <v>432.79</v>
      </c>
      <c r="H470" s="17">
        <v>655</v>
      </c>
      <c r="I470" s="6">
        <f>Tabela1[[#This Row],[Valor total]]-Tabela1[[#This Row],[Valor custo]]</f>
        <v>222.20999999999998</v>
      </c>
      <c r="J470" s="7">
        <f>Tabela1[[#This Row],[MARGEM BRUTA]]/Tabela1[[#This Row],[Valor total]]</f>
        <v>0.33925190839694652</v>
      </c>
      <c r="K470" s="1" t="str">
        <f>VLOOKUP(Tabela1[[#This Row],[Cliente]],'BASE DE CLIENTES'!A:D,4,0)</f>
        <v>SERRALHEIRO</v>
      </c>
      <c r="L470" s="1" t="str">
        <f>VLOOKUP(Tabela1[[#This Row],[Cliente]],'BASE DE CLIENTES'!A:E,5,0)</f>
        <v>Águas Lindas de Goiás</v>
      </c>
    </row>
    <row r="471" spans="2:12" x14ac:dyDescent="0.3">
      <c r="B471" s="1" t="s">
        <v>55</v>
      </c>
      <c r="C471" s="4" t="str">
        <f>VLOOKUP(Tabela1[[#This Row],[Cliente]],'BASE DE CLIENTES'!A:E,2,0)</f>
        <v>Brasília</v>
      </c>
      <c r="D471" s="1" t="str">
        <f>VLOOKUP(Tabela1[[#This Row],[Cliente]],'BASE DE CLIENTES'!A:C,3,0)</f>
        <v>DF</v>
      </c>
      <c r="E471" s="4" t="str">
        <f>CONCATENATE(Tabela1[[#This Row],[CIDADE]],",",Tabela1[[#This Row],[UF]])</f>
        <v>Brasília,DF</v>
      </c>
      <c r="F471" s="2">
        <v>45691</v>
      </c>
      <c r="G471" s="17">
        <v>40.49</v>
      </c>
      <c r="H471" s="17">
        <v>61</v>
      </c>
      <c r="I471" s="6">
        <f>Tabela1[[#This Row],[Valor total]]-Tabela1[[#This Row],[Valor custo]]</f>
        <v>20.509999999999998</v>
      </c>
      <c r="J471" s="7">
        <f>Tabela1[[#This Row],[MARGEM BRUTA]]/Tabela1[[#This Row],[Valor total]]</f>
        <v>0.33622950819672126</v>
      </c>
      <c r="K471" s="1" t="str">
        <f>VLOOKUP(Tabela1[[#This Row],[Cliente]],'BASE DE CLIENTES'!A:D,4,0)</f>
        <v>EMPRESA SEM MAQUINA</v>
      </c>
      <c r="L471" s="1" t="str">
        <f>VLOOKUP(Tabela1[[#This Row],[Cliente]],'BASE DE CLIENTES'!A:E,5,0)</f>
        <v>RECANTO DAS EMAS</v>
      </c>
    </row>
    <row r="472" spans="2:12" x14ac:dyDescent="0.3">
      <c r="B472" s="1" t="s">
        <v>55</v>
      </c>
      <c r="C472" s="4" t="str">
        <f>VLOOKUP(Tabela1[[#This Row],[Cliente]],'BASE DE CLIENTES'!A:E,2,0)</f>
        <v>Brasília</v>
      </c>
      <c r="D472" s="1" t="str">
        <f>VLOOKUP(Tabela1[[#This Row],[Cliente]],'BASE DE CLIENTES'!A:C,3,0)</f>
        <v>DF</v>
      </c>
      <c r="E472" s="4" t="str">
        <f>CONCATENATE(Tabela1[[#This Row],[CIDADE]],",",Tabela1[[#This Row],[UF]])</f>
        <v>Brasília,DF</v>
      </c>
      <c r="F472" s="2">
        <v>45691</v>
      </c>
      <c r="G472" s="17">
        <v>2761.93</v>
      </c>
      <c r="H472" s="17">
        <v>5113</v>
      </c>
      <c r="I472" s="6">
        <f>Tabela1[[#This Row],[Valor total]]-Tabela1[[#This Row],[Valor custo]]</f>
        <v>2351.0700000000002</v>
      </c>
      <c r="J472" s="7">
        <f>Tabela1[[#This Row],[MARGEM BRUTA]]/Tabela1[[#This Row],[Valor total]]</f>
        <v>0.45982202229610797</v>
      </c>
      <c r="K472" s="1" t="str">
        <f>VLOOKUP(Tabela1[[#This Row],[Cliente]],'BASE DE CLIENTES'!A:D,4,0)</f>
        <v>EMPRESA SEM MAQUINA</v>
      </c>
      <c r="L472" s="1" t="str">
        <f>VLOOKUP(Tabela1[[#This Row],[Cliente]],'BASE DE CLIENTES'!A:E,5,0)</f>
        <v>RECANTO DAS EMAS</v>
      </c>
    </row>
    <row r="473" spans="2:12" x14ac:dyDescent="0.3">
      <c r="B473" s="1" t="s">
        <v>123</v>
      </c>
      <c r="C473" s="4" t="str">
        <f>VLOOKUP(Tabela1[[#This Row],[Cliente]],'BASE DE CLIENTES'!A:E,2,0)</f>
        <v>Brasília</v>
      </c>
      <c r="D473" s="1" t="str">
        <f>VLOOKUP(Tabela1[[#This Row],[Cliente]],'BASE DE CLIENTES'!A:C,3,0)</f>
        <v>DF</v>
      </c>
      <c r="E473" s="4" t="str">
        <f>CONCATENATE(Tabela1[[#This Row],[CIDADE]],",",Tabela1[[#This Row],[UF]])</f>
        <v>Brasília,DF</v>
      </c>
      <c r="F473" s="2">
        <v>45691</v>
      </c>
      <c r="G473" s="17">
        <v>514.45000000000005</v>
      </c>
      <c r="H473" s="17">
        <v>0</v>
      </c>
      <c r="I473" s="6">
        <f>Tabela1[[#This Row],[Valor total]]-Tabela1[[#This Row],[Valor custo]]</f>
        <v>-514.45000000000005</v>
      </c>
      <c r="J473" s="7" t="e">
        <f>Tabela1[[#This Row],[MARGEM BRUTA]]/Tabela1[[#This Row],[Valor total]]</f>
        <v>#DIV/0!</v>
      </c>
      <c r="K473" s="1" t="str">
        <f>VLOOKUP(Tabela1[[#This Row],[Cliente]],'BASE DE CLIENTES'!A:D,4,0)</f>
        <v>EMPRESA COM MAQUINA</v>
      </c>
      <c r="L473" s="1" t="str">
        <f>VLOOKUP(Tabela1[[#This Row],[Cliente]],'BASE DE CLIENTES'!A:E,5,0)</f>
        <v>ADE CEILÂNDIA</v>
      </c>
    </row>
    <row r="474" spans="2:12" x14ac:dyDescent="0.3">
      <c r="B474" s="1" t="s">
        <v>17</v>
      </c>
      <c r="C474" s="4" t="str">
        <f>VLOOKUP(Tabela1[[#This Row],[Cliente]],'BASE DE CLIENTES'!A:E,2,0)</f>
        <v>Águas Lindas de Goiás</v>
      </c>
      <c r="D474" s="1" t="str">
        <f>VLOOKUP(Tabela1[[#This Row],[Cliente]],'BASE DE CLIENTES'!A:C,3,0)</f>
        <v>GO</v>
      </c>
      <c r="E474" s="4" t="str">
        <f>CONCATENATE(Tabela1[[#This Row],[CIDADE]],",",Tabela1[[#This Row],[UF]])</f>
        <v>Águas Lindas de Goiás,GO</v>
      </c>
      <c r="F474" s="2">
        <v>45896</v>
      </c>
      <c r="G474" s="17">
        <v>28.84</v>
      </c>
      <c r="H474" s="17">
        <v>140</v>
      </c>
      <c r="I474" s="6">
        <f>Tabela1[[#This Row],[Valor total]]-Tabela1[[#This Row],[Valor custo]]</f>
        <v>111.16</v>
      </c>
      <c r="J474" s="7">
        <f>Tabela1[[#This Row],[MARGEM BRUTA]]/Tabela1[[#This Row],[Valor total]]</f>
        <v>0.79399999999999993</v>
      </c>
      <c r="K474" s="1" t="str">
        <f>VLOOKUP(Tabela1[[#This Row],[Cliente]],'BASE DE CLIENTES'!A:D,4,0)</f>
        <v>SERRALHEIRO</v>
      </c>
      <c r="L474" s="1" t="str">
        <f>VLOOKUP(Tabela1[[#This Row],[Cliente]],'BASE DE CLIENTES'!A:E,5,0)</f>
        <v>Águas Lindas de Goiás</v>
      </c>
    </row>
    <row r="475" spans="2:12" x14ac:dyDescent="0.3">
      <c r="B475" s="1" t="s">
        <v>19</v>
      </c>
      <c r="C475" s="4" t="str">
        <f>VLOOKUP(Tabela1[[#This Row],[Cliente]],'BASE DE CLIENTES'!A:E,2,0)</f>
        <v>Águas Lindas de Goiás</v>
      </c>
      <c r="D475" s="1" t="str">
        <f>VLOOKUP(Tabela1[[#This Row],[Cliente]],'BASE DE CLIENTES'!A:C,3,0)</f>
        <v>GO</v>
      </c>
      <c r="E475" s="4" t="str">
        <f>CONCATENATE(Tabela1[[#This Row],[CIDADE]],",",Tabela1[[#This Row],[UF]])</f>
        <v>Águas Lindas de Goiás,GO</v>
      </c>
      <c r="F475" s="2">
        <v>45896</v>
      </c>
      <c r="G475" s="17">
        <v>1021.1</v>
      </c>
      <c r="H475" s="17">
        <v>1910</v>
      </c>
      <c r="I475" s="6">
        <f>Tabela1[[#This Row],[Valor total]]-Tabela1[[#This Row],[Valor custo]]</f>
        <v>888.9</v>
      </c>
      <c r="J475" s="7">
        <f>Tabela1[[#This Row],[MARGEM BRUTA]]/Tabela1[[#This Row],[Valor total]]</f>
        <v>0.46539267015706803</v>
      </c>
      <c r="K475" s="1" t="str">
        <f>VLOOKUP(Tabela1[[#This Row],[Cliente]],'BASE DE CLIENTES'!A:D,4,0)</f>
        <v>SERRALHEIRO</v>
      </c>
      <c r="L475" s="1" t="str">
        <f>VLOOKUP(Tabela1[[#This Row],[Cliente]],'BASE DE CLIENTES'!A:E,5,0)</f>
        <v>Águas Lindas de Goiás</v>
      </c>
    </row>
    <row r="476" spans="2:12" x14ac:dyDescent="0.3">
      <c r="B476" s="1" t="s">
        <v>66</v>
      </c>
      <c r="C476" s="4" t="str">
        <f>VLOOKUP(Tabela1[[#This Row],[Cliente]],'BASE DE CLIENTES'!A:E,2,0)</f>
        <v>Águas Lindas de Goiás</v>
      </c>
      <c r="D476" s="1" t="str">
        <f>VLOOKUP(Tabela1[[#This Row],[Cliente]],'BASE DE CLIENTES'!A:C,3,0)</f>
        <v>GO</v>
      </c>
      <c r="E476" s="4" t="str">
        <f>CONCATENATE(Tabela1[[#This Row],[CIDADE]],",",Tabela1[[#This Row],[UF]])</f>
        <v>Águas Lindas de Goiás,GO</v>
      </c>
      <c r="F476" s="2">
        <v>45895</v>
      </c>
      <c r="G476" s="17">
        <v>764.6</v>
      </c>
      <c r="H476" s="17">
        <v>1240</v>
      </c>
      <c r="I476" s="6">
        <f>Tabela1[[#This Row],[Valor total]]-Tabela1[[#This Row],[Valor custo]]</f>
        <v>475.4</v>
      </c>
      <c r="J476" s="7">
        <f>Tabela1[[#This Row],[MARGEM BRUTA]]/Tabela1[[#This Row],[Valor total]]</f>
        <v>0.38338709677419353</v>
      </c>
      <c r="K476" s="1" t="str">
        <f>VLOOKUP(Tabela1[[#This Row],[Cliente]],'BASE DE CLIENTES'!A:D,4,0)</f>
        <v>EMPRESA COM MAQUINA</v>
      </c>
      <c r="L476" s="1" t="str">
        <f>VLOOKUP(Tabela1[[#This Row],[Cliente]],'BASE DE CLIENTES'!A:E,5,0)</f>
        <v>Águas Lindas de Goiás</v>
      </c>
    </row>
    <row r="477" spans="2:12" x14ac:dyDescent="0.3">
      <c r="B477" s="1" t="s">
        <v>106</v>
      </c>
      <c r="C477" s="4" t="str">
        <f>VLOOKUP(Tabela1[[#This Row],[Cliente]],'BASE DE CLIENTES'!A:E,2,0)</f>
        <v>Brasília</v>
      </c>
      <c r="D477" s="1" t="str">
        <f>VLOOKUP(Tabela1[[#This Row],[Cliente]],'BASE DE CLIENTES'!A:C,3,0)</f>
        <v>DF</v>
      </c>
      <c r="E477" s="4" t="str">
        <f>CONCATENATE(Tabela1[[#This Row],[CIDADE]],",",Tabela1[[#This Row],[UF]])</f>
        <v>Brasília,DF</v>
      </c>
      <c r="F477" s="2">
        <v>45747</v>
      </c>
      <c r="G477" s="17">
        <v>122.74</v>
      </c>
      <c r="H477" s="17">
        <v>170</v>
      </c>
      <c r="I477" s="6">
        <f>Tabela1[[#This Row],[Valor total]]-Tabela1[[#This Row],[Valor custo]]</f>
        <v>47.260000000000005</v>
      </c>
      <c r="J477" s="7">
        <f>Tabela1[[#This Row],[MARGEM BRUTA]]/Tabela1[[#This Row],[Valor total]]</f>
        <v>0.27800000000000002</v>
      </c>
      <c r="K477" s="1" t="str">
        <f>VLOOKUP(Tabela1[[#This Row],[Cliente]],'BASE DE CLIENTES'!A:D,4,0)</f>
        <v>EMPRESA COM MAQUINA</v>
      </c>
      <c r="L477" s="1" t="str">
        <f>VLOOKUP(Tabela1[[#This Row],[Cliente]],'BASE DE CLIENTES'!A:E,5,0)</f>
        <v>26 DE SETEMBRO</v>
      </c>
    </row>
    <row r="478" spans="2:12" x14ac:dyDescent="0.3">
      <c r="B478" s="1" t="s">
        <v>104</v>
      </c>
      <c r="C478" s="4" t="str">
        <f>VLOOKUP(Tabela1[[#This Row],[Cliente]],'BASE DE CLIENTES'!A:E,2,0)</f>
        <v>Águas Lindas de Goiás</v>
      </c>
      <c r="D478" s="1" t="str">
        <f>VLOOKUP(Tabela1[[#This Row],[Cliente]],'BASE DE CLIENTES'!A:C,3,0)</f>
        <v>GO</v>
      </c>
      <c r="E478" s="4" t="str">
        <f>CONCATENATE(Tabela1[[#This Row],[CIDADE]],",",Tabela1[[#This Row],[UF]])</f>
        <v>Águas Lindas de Goiás,GO</v>
      </c>
      <c r="F478" s="2">
        <v>45895</v>
      </c>
      <c r="G478" s="17">
        <v>664</v>
      </c>
      <c r="H478" s="17">
        <v>1325</v>
      </c>
      <c r="I478" s="6">
        <f>Tabela1[[#This Row],[Valor total]]-Tabela1[[#This Row],[Valor custo]]</f>
        <v>661</v>
      </c>
      <c r="J478" s="7">
        <f>Tabela1[[#This Row],[MARGEM BRUTA]]/Tabela1[[#This Row],[Valor total]]</f>
        <v>0.49886792452830186</v>
      </c>
      <c r="K478" s="1" t="str">
        <f>VLOOKUP(Tabela1[[#This Row],[Cliente]],'BASE DE CLIENTES'!A:D,4,0)</f>
        <v>EMPRESA SEM MAQUINA</v>
      </c>
      <c r="L478" s="1" t="str">
        <f>VLOOKUP(Tabela1[[#This Row],[Cliente]],'BASE DE CLIENTES'!A:E,5,0)</f>
        <v>Águas Lindas de Goiás</v>
      </c>
    </row>
    <row r="479" spans="2:12" x14ac:dyDescent="0.3">
      <c r="B479" s="1" t="s">
        <v>70</v>
      </c>
      <c r="C479" s="4" t="str">
        <f>VLOOKUP(Tabela1[[#This Row],[Cliente]],'BASE DE CLIENTES'!A:E,2,0)</f>
        <v>Brasília</v>
      </c>
      <c r="D479" s="1" t="str">
        <f>VLOOKUP(Tabela1[[#This Row],[Cliente]],'BASE DE CLIENTES'!A:C,3,0)</f>
        <v>DF</v>
      </c>
      <c r="E479" s="4" t="str">
        <f>CONCATENATE(Tabela1[[#This Row],[CIDADE]],",",Tabela1[[#This Row],[UF]])</f>
        <v>Brasília,DF</v>
      </c>
      <c r="F479" s="2">
        <v>45747</v>
      </c>
      <c r="G479" s="17">
        <v>497</v>
      </c>
      <c r="H479" s="17">
        <v>650</v>
      </c>
      <c r="I479" s="6">
        <f>Tabela1[[#This Row],[Valor total]]-Tabela1[[#This Row],[Valor custo]]</f>
        <v>153</v>
      </c>
      <c r="J479" s="7">
        <f>Tabela1[[#This Row],[MARGEM BRUTA]]/Tabela1[[#This Row],[Valor total]]</f>
        <v>0.23538461538461539</v>
      </c>
      <c r="K479" s="1" t="str">
        <f>VLOOKUP(Tabela1[[#This Row],[Cliente]],'BASE DE CLIENTES'!A:D,4,0)</f>
        <v>EMPRESA COM MAQUINA</v>
      </c>
      <c r="L479" s="1" t="str">
        <f>VLOOKUP(Tabela1[[#This Row],[Cliente]],'BASE DE CLIENTES'!A:E,5,0)</f>
        <v>TAGUATINGA NORTE (TAGUATINGA)</v>
      </c>
    </row>
    <row r="480" spans="2:12" x14ac:dyDescent="0.3">
      <c r="B480" s="1" t="s">
        <v>96</v>
      </c>
      <c r="C480" s="4" t="str">
        <f>VLOOKUP(Tabela1[[#This Row],[Cliente]],'BASE DE CLIENTES'!A:E,2,0)</f>
        <v>Brasília</v>
      </c>
      <c r="D480" s="1" t="str">
        <f>VLOOKUP(Tabela1[[#This Row],[Cliente]],'BASE DE CLIENTES'!A:C,3,0)</f>
        <v>DF</v>
      </c>
      <c r="E480" s="4" t="str">
        <f>CONCATENATE(Tabela1[[#This Row],[CIDADE]],",",Tabela1[[#This Row],[UF]])</f>
        <v>Brasília,DF</v>
      </c>
      <c r="F480" s="2">
        <v>45747</v>
      </c>
      <c r="G480" s="17">
        <v>993</v>
      </c>
      <c r="H480" s="17">
        <v>1350</v>
      </c>
      <c r="I480" s="6">
        <f>Tabela1[[#This Row],[Valor total]]-Tabela1[[#This Row],[Valor custo]]</f>
        <v>357</v>
      </c>
      <c r="J480" s="7">
        <f>Tabela1[[#This Row],[MARGEM BRUTA]]/Tabela1[[#This Row],[Valor total]]</f>
        <v>0.26444444444444443</v>
      </c>
      <c r="K480" s="1" t="str">
        <f>VLOOKUP(Tabela1[[#This Row],[Cliente]],'BASE DE CLIENTES'!A:D,4,0)</f>
        <v>EMPRESA SEM MAQUINA</v>
      </c>
      <c r="L480" s="1" t="str">
        <f>VLOOKUP(Tabela1[[#This Row],[Cliente]],'BASE DE CLIENTES'!A:E,5,0)</f>
        <v>CEILANDIA NORTE (CEILANDIA)</v>
      </c>
    </row>
    <row r="481" spans="2:12" x14ac:dyDescent="0.3">
      <c r="B481" s="1" t="s">
        <v>52</v>
      </c>
      <c r="C481" s="4" t="str">
        <f>VLOOKUP(Tabela1[[#This Row],[Cliente]],'BASE DE CLIENTES'!A:E,2,0)</f>
        <v>Brasília</v>
      </c>
      <c r="D481" s="1" t="str">
        <f>VLOOKUP(Tabela1[[#This Row],[Cliente]],'BASE DE CLIENTES'!A:C,3,0)</f>
        <v>DF</v>
      </c>
      <c r="E481" s="4" t="str">
        <f>CONCATENATE(Tabela1[[#This Row],[CIDADE]],",",Tabela1[[#This Row],[UF]])</f>
        <v>Brasília,DF</v>
      </c>
      <c r="F481" s="2">
        <v>45747</v>
      </c>
      <c r="G481" s="17">
        <v>447</v>
      </c>
      <c r="H481" s="17">
        <v>645</v>
      </c>
      <c r="I481" s="6">
        <f>Tabela1[[#This Row],[Valor total]]-Tabela1[[#This Row],[Valor custo]]</f>
        <v>198</v>
      </c>
      <c r="J481" s="7">
        <f>Tabela1[[#This Row],[MARGEM BRUTA]]/Tabela1[[#This Row],[Valor total]]</f>
        <v>0.30697674418604654</v>
      </c>
      <c r="K481" s="1" t="str">
        <f>VLOOKUP(Tabela1[[#This Row],[Cliente]],'BASE DE CLIENTES'!A:D,4,0)</f>
        <v>SERRALHEIRO</v>
      </c>
      <c r="L481" s="1" t="str">
        <f>VLOOKUP(Tabela1[[#This Row],[Cliente]],'BASE DE CLIENTES'!A:E,5,0)</f>
        <v>Ceilândia Sul (Ceilândia)</v>
      </c>
    </row>
    <row r="482" spans="2:12" x14ac:dyDescent="0.3">
      <c r="B482" s="1" t="s">
        <v>104</v>
      </c>
      <c r="C482" s="4" t="str">
        <f>VLOOKUP(Tabela1[[#This Row],[Cliente]],'BASE DE CLIENTES'!A:E,2,0)</f>
        <v>Águas Lindas de Goiás</v>
      </c>
      <c r="D482" s="1" t="str">
        <f>VLOOKUP(Tabela1[[#This Row],[Cliente]],'BASE DE CLIENTES'!A:C,3,0)</f>
        <v>GO</v>
      </c>
      <c r="E482" s="4" t="str">
        <f>CONCATENATE(Tabela1[[#This Row],[CIDADE]],",",Tabela1[[#This Row],[UF]])</f>
        <v>Águas Lindas de Goiás,GO</v>
      </c>
      <c r="F482" s="2">
        <v>45895</v>
      </c>
      <c r="G482" s="17">
        <v>939.6</v>
      </c>
      <c r="H482" s="17">
        <v>1500</v>
      </c>
      <c r="I482" s="6">
        <f>Tabela1[[#This Row],[Valor total]]-Tabela1[[#This Row],[Valor custo]]</f>
        <v>560.4</v>
      </c>
      <c r="J482" s="7">
        <f>Tabela1[[#This Row],[MARGEM BRUTA]]/Tabela1[[#This Row],[Valor total]]</f>
        <v>0.37359999999999999</v>
      </c>
      <c r="K482" s="1" t="str">
        <f>VLOOKUP(Tabela1[[#This Row],[Cliente]],'BASE DE CLIENTES'!A:D,4,0)</f>
        <v>EMPRESA SEM MAQUINA</v>
      </c>
      <c r="L482" s="1" t="str">
        <f>VLOOKUP(Tabela1[[#This Row],[Cliente]],'BASE DE CLIENTES'!A:E,5,0)</f>
        <v>Águas Lindas de Goiás</v>
      </c>
    </row>
    <row r="483" spans="2:12" x14ac:dyDescent="0.3">
      <c r="B483" s="1" t="s">
        <v>128</v>
      </c>
      <c r="C483" s="4" t="str">
        <f>VLOOKUP(Tabela1[[#This Row],[Cliente]],'BASE DE CLIENTES'!A:E,2,0)</f>
        <v>Brasília</v>
      </c>
      <c r="D483" s="1" t="str">
        <f>VLOOKUP(Tabela1[[#This Row],[Cliente]],'BASE DE CLIENTES'!A:C,3,0)</f>
        <v>DF</v>
      </c>
      <c r="E483" s="4" t="str">
        <f>CONCATENATE(Tabela1[[#This Row],[CIDADE]],",",Tabela1[[#This Row],[UF]])</f>
        <v>Brasília,DF</v>
      </c>
      <c r="F483" s="2">
        <v>45747</v>
      </c>
      <c r="G483" s="17">
        <v>710</v>
      </c>
      <c r="H483" s="17">
        <v>1275</v>
      </c>
      <c r="I483" s="6">
        <f>Tabela1[[#This Row],[Valor total]]-Tabela1[[#This Row],[Valor custo]]</f>
        <v>565</v>
      </c>
      <c r="J483" s="7">
        <f>Tabela1[[#This Row],[MARGEM BRUTA]]/Tabela1[[#This Row],[Valor total]]</f>
        <v>0.44313725490196076</v>
      </c>
      <c r="K483" s="1" t="str">
        <f>VLOOKUP(Tabela1[[#This Row],[Cliente]],'BASE DE CLIENTES'!A:D,4,0)</f>
        <v>SERRALHEIRO</v>
      </c>
      <c r="L483" s="1" t="str">
        <f>VLOOKUP(Tabela1[[#This Row],[Cliente]],'BASE DE CLIENTES'!A:E,5,0)</f>
        <v>TAGUATINGA NORTE</v>
      </c>
    </row>
    <row r="484" spans="2:12" x14ac:dyDescent="0.3">
      <c r="B484" s="1" t="s">
        <v>66</v>
      </c>
      <c r="C484" s="4" t="str">
        <f>VLOOKUP(Tabela1[[#This Row],[Cliente]],'BASE DE CLIENTES'!A:E,2,0)</f>
        <v>Águas Lindas de Goiás</v>
      </c>
      <c r="D484" s="1" t="str">
        <f>VLOOKUP(Tabela1[[#This Row],[Cliente]],'BASE DE CLIENTES'!A:C,3,0)</f>
        <v>GO</v>
      </c>
      <c r="E484" s="4" t="str">
        <f>CONCATENATE(Tabela1[[#This Row],[CIDADE]],",",Tabela1[[#This Row],[UF]])</f>
        <v>Águas Lindas de Goiás,GO</v>
      </c>
      <c r="F484" s="2">
        <v>45894</v>
      </c>
      <c r="G484" s="17">
        <v>1529.2</v>
      </c>
      <c r="H484" s="17">
        <v>2460</v>
      </c>
      <c r="I484" s="6">
        <f>Tabela1[[#This Row],[Valor total]]-Tabela1[[#This Row],[Valor custo]]</f>
        <v>930.8</v>
      </c>
      <c r="J484" s="7">
        <f>Tabela1[[#This Row],[MARGEM BRUTA]]/Tabela1[[#This Row],[Valor total]]</f>
        <v>0.37837398373983738</v>
      </c>
      <c r="K484" s="1" t="str">
        <f>VLOOKUP(Tabela1[[#This Row],[Cliente]],'BASE DE CLIENTES'!A:D,4,0)</f>
        <v>EMPRESA COM MAQUINA</v>
      </c>
      <c r="L484" s="1" t="str">
        <f>VLOOKUP(Tabela1[[#This Row],[Cliente]],'BASE DE CLIENTES'!A:E,5,0)</f>
        <v>Águas Lindas de Goiás</v>
      </c>
    </row>
    <row r="485" spans="2:12" x14ac:dyDescent="0.3">
      <c r="B485" s="1" t="s">
        <v>36</v>
      </c>
      <c r="C485" s="4" t="str">
        <f>VLOOKUP(Tabela1[[#This Row],[Cliente]],'BASE DE CLIENTES'!A:E,2,0)</f>
        <v>Brasília</v>
      </c>
      <c r="D485" s="1" t="str">
        <f>VLOOKUP(Tabela1[[#This Row],[Cliente]],'BASE DE CLIENTES'!A:C,3,0)</f>
        <v>DF</v>
      </c>
      <c r="E485" s="4" t="str">
        <f>CONCATENATE(Tabela1[[#This Row],[CIDADE]],",",Tabela1[[#This Row],[UF]])</f>
        <v>Brasília,DF</v>
      </c>
      <c r="F485" s="2">
        <v>45747</v>
      </c>
      <c r="G485" s="17">
        <v>725</v>
      </c>
      <c r="H485" s="17">
        <v>1450</v>
      </c>
      <c r="I485" s="6">
        <f>Tabela1[[#This Row],[Valor total]]-Tabela1[[#This Row],[Valor custo]]</f>
        <v>725</v>
      </c>
      <c r="J485" s="7">
        <f>Tabela1[[#This Row],[MARGEM BRUTA]]/Tabela1[[#This Row],[Valor total]]</f>
        <v>0.5</v>
      </c>
      <c r="K485" s="1" t="str">
        <f>VLOOKUP(Tabela1[[#This Row],[Cliente]],'BASE DE CLIENTES'!A:D,4,0)</f>
        <v>SERRALHEIRO</v>
      </c>
      <c r="L485" s="1" t="str">
        <f>VLOOKUP(Tabela1[[#This Row],[Cliente]],'BASE DE CLIENTES'!A:E,5,0)</f>
        <v>CEILANDIA SUL (CEILANDIA)</v>
      </c>
    </row>
    <row r="486" spans="2:12" x14ac:dyDescent="0.3">
      <c r="B486" s="1" t="s">
        <v>97</v>
      </c>
      <c r="C486" s="4" t="str">
        <f>VLOOKUP(Tabela1[[#This Row],[Cliente]],'BASE DE CLIENTES'!A:E,2,0)</f>
        <v>Brasília</v>
      </c>
      <c r="D486" s="1" t="str">
        <f>VLOOKUP(Tabela1[[#This Row],[Cliente]],'BASE DE CLIENTES'!A:C,3,0)</f>
        <v>DF</v>
      </c>
      <c r="E486" s="4" t="str">
        <f>CONCATENATE(Tabela1[[#This Row],[CIDADE]],",",Tabela1[[#This Row],[UF]])</f>
        <v>Brasília,DF</v>
      </c>
      <c r="F486" s="2">
        <v>45747</v>
      </c>
      <c r="G486" s="17">
        <v>473</v>
      </c>
      <c r="H486" s="17">
        <v>690</v>
      </c>
      <c r="I486" s="6">
        <f>Tabela1[[#This Row],[Valor total]]-Tabela1[[#This Row],[Valor custo]]</f>
        <v>217</v>
      </c>
      <c r="J486" s="7">
        <f>Tabela1[[#This Row],[MARGEM BRUTA]]/Tabela1[[#This Row],[Valor total]]</f>
        <v>0.3144927536231884</v>
      </c>
      <c r="K486" s="1" t="str">
        <f>VLOOKUP(Tabela1[[#This Row],[Cliente]],'BASE DE CLIENTES'!A:D,4,0)</f>
        <v>SERRALHEIRO</v>
      </c>
      <c r="L486" s="1" t="str">
        <f>VLOOKUP(Tabela1[[#This Row],[Cliente]],'BASE DE CLIENTES'!A:E,5,0)</f>
        <v>CEILANDIA NORTE</v>
      </c>
    </row>
    <row r="487" spans="2:12" x14ac:dyDescent="0.3">
      <c r="B487" s="1" t="s">
        <v>132</v>
      </c>
      <c r="C487" s="4" t="str">
        <f>VLOOKUP(Tabela1[[#This Row],[Cliente]],'BASE DE CLIENTES'!A:E,2,0)</f>
        <v>Águas Lindas de Goiás</v>
      </c>
      <c r="D487" s="1" t="str">
        <f>VLOOKUP(Tabela1[[#This Row],[Cliente]],'BASE DE CLIENTES'!A:C,3,0)</f>
        <v>GO</v>
      </c>
      <c r="E487" s="4" t="str">
        <f>CONCATENATE(Tabela1[[#This Row],[CIDADE]],",",Tabela1[[#This Row],[UF]])</f>
        <v>Águas Lindas de Goiás,GO</v>
      </c>
      <c r="F487" s="2">
        <v>45891</v>
      </c>
      <c r="G487" s="17">
        <v>73.14</v>
      </c>
      <c r="H487" s="17">
        <v>90</v>
      </c>
      <c r="I487" s="6">
        <f>Tabela1[[#This Row],[Valor total]]-Tabela1[[#This Row],[Valor custo]]</f>
        <v>16.86</v>
      </c>
      <c r="J487" s="7">
        <f>Tabela1[[#This Row],[MARGEM BRUTA]]/Tabela1[[#This Row],[Valor total]]</f>
        <v>0.18733333333333332</v>
      </c>
      <c r="K487" s="1" t="str">
        <f>VLOOKUP(Tabela1[[#This Row],[Cliente]],'BASE DE CLIENTES'!A:D,4,0)</f>
        <v>SERRALHEIRO</v>
      </c>
      <c r="L487" s="1" t="str">
        <f>VLOOKUP(Tabela1[[#This Row],[Cliente]],'BASE DE CLIENTES'!A:E,5,0)</f>
        <v>Águas Lindas de Goiás</v>
      </c>
    </row>
    <row r="488" spans="2:12" x14ac:dyDescent="0.3">
      <c r="B488" s="1" t="s">
        <v>27</v>
      </c>
      <c r="C488" s="4" t="str">
        <f>VLOOKUP(Tabela1[[#This Row],[Cliente]],'BASE DE CLIENTES'!A:E,2,0)</f>
        <v>Brasília</v>
      </c>
      <c r="D488" s="1" t="str">
        <f>VLOOKUP(Tabela1[[#This Row],[Cliente]],'BASE DE CLIENTES'!A:C,3,0)</f>
        <v>DF</v>
      </c>
      <c r="E488" s="4" t="str">
        <f>CONCATENATE(Tabela1[[#This Row],[CIDADE]],",",Tabela1[[#This Row],[UF]])</f>
        <v>Brasília,DF</v>
      </c>
      <c r="F488" s="2">
        <v>45747</v>
      </c>
      <c r="G488" s="17">
        <v>90</v>
      </c>
      <c r="H488" s="17">
        <v>180</v>
      </c>
      <c r="I488" s="6">
        <f>Tabela1[[#This Row],[Valor total]]-Tabela1[[#This Row],[Valor custo]]</f>
        <v>90</v>
      </c>
      <c r="J488" s="7">
        <f>Tabela1[[#This Row],[MARGEM BRUTA]]/Tabela1[[#This Row],[Valor total]]</f>
        <v>0.5</v>
      </c>
      <c r="K488" s="1" t="str">
        <f>VLOOKUP(Tabela1[[#This Row],[Cliente]],'BASE DE CLIENTES'!A:D,4,0)</f>
        <v>EMPRESA SEM MAQUINA</v>
      </c>
      <c r="L488" s="1" t="str">
        <f>VLOOKUP(Tabela1[[#This Row],[Cliente]],'BASE DE CLIENTES'!A:E,5,0)</f>
        <v>RECANTO DAS EMAS</v>
      </c>
    </row>
    <row r="489" spans="2:12" x14ac:dyDescent="0.3">
      <c r="B489" s="1" t="s">
        <v>52</v>
      </c>
      <c r="C489" s="4" t="str">
        <f>VLOOKUP(Tabela1[[#This Row],[Cliente]],'BASE DE CLIENTES'!A:E,2,0)</f>
        <v>Brasília</v>
      </c>
      <c r="D489" s="1" t="str">
        <f>VLOOKUP(Tabela1[[#This Row],[Cliente]],'BASE DE CLIENTES'!A:C,3,0)</f>
        <v>DF</v>
      </c>
      <c r="E489" s="4" t="str">
        <f>CONCATENATE(Tabela1[[#This Row],[CIDADE]],",",Tabela1[[#This Row],[UF]])</f>
        <v>Brasília,DF</v>
      </c>
      <c r="F489" s="2">
        <v>45747</v>
      </c>
      <c r="G489" s="17">
        <v>213.3</v>
      </c>
      <c r="H489" s="17">
        <v>810</v>
      </c>
      <c r="I489" s="6">
        <f>Tabela1[[#This Row],[Valor total]]-Tabela1[[#This Row],[Valor custo]]</f>
        <v>596.70000000000005</v>
      </c>
      <c r="J489" s="7">
        <f>Tabela1[[#This Row],[MARGEM BRUTA]]/Tabela1[[#This Row],[Valor total]]</f>
        <v>0.73666666666666669</v>
      </c>
      <c r="K489" s="1" t="str">
        <f>VLOOKUP(Tabela1[[#This Row],[Cliente]],'BASE DE CLIENTES'!A:D,4,0)</f>
        <v>SERRALHEIRO</v>
      </c>
      <c r="L489" s="1" t="str">
        <f>VLOOKUP(Tabela1[[#This Row],[Cliente]],'BASE DE CLIENTES'!A:E,5,0)</f>
        <v>Ceilândia Sul (Ceilândia)</v>
      </c>
    </row>
    <row r="490" spans="2:12" x14ac:dyDescent="0.3">
      <c r="B490" s="1" t="s">
        <v>133</v>
      </c>
      <c r="C490" s="4" t="str">
        <f>VLOOKUP(Tabela1[[#This Row],[Cliente]],'BASE DE CLIENTES'!A:E,2,0)</f>
        <v>Brasília</v>
      </c>
      <c r="D490" s="1" t="str">
        <f>VLOOKUP(Tabela1[[#This Row],[Cliente]],'BASE DE CLIENTES'!A:C,3,0)</f>
        <v>DF</v>
      </c>
      <c r="E490" s="4" t="str">
        <f>CONCATENATE(Tabela1[[#This Row],[CIDADE]],",",Tabela1[[#This Row],[UF]])</f>
        <v>Brasília,DF</v>
      </c>
      <c r="F490" s="2">
        <v>45747</v>
      </c>
      <c r="G490" s="17">
        <v>1892</v>
      </c>
      <c r="H490" s="17">
        <v>2800</v>
      </c>
      <c r="I490" s="6">
        <f>Tabela1[[#This Row],[Valor total]]-Tabela1[[#This Row],[Valor custo]]</f>
        <v>908</v>
      </c>
      <c r="J490" s="7">
        <f>Tabela1[[#This Row],[MARGEM BRUTA]]/Tabela1[[#This Row],[Valor total]]</f>
        <v>0.32428571428571429</v>
      </c>
      <c r="K490" s="1" t="str">
        <f>VLOOKUP(Tabela1[[#This Row],[Cliente]],'BASE DE CLIENTES'!A:D,4,0)</f>
        <v>SERRALHEIRO</v>
      </c>
      <c r="L490" s="1" t="str">
        <f>VLOOKUP(Tabela1[[#This Row],[Cliente]],'BASE DE CLIENTES'!A:E,5,0)</f>
        <v>RECANTO DAS EMAS</v>
      </c>
    </row>
    <row r="491" spans="2:12" x14ac:dyDescent="0.3">
      <c r="B491" s="1" t="s">
        <v>68</v>
      </c>
      <c r="C491" s="4" t="str">
        <f>VLOOKUP(Tabela1[[#This Row],[Cliente]],'BASE DE CLIENTES'!A:E,2,0)</f>
        <v>Brasília</v>
      </c>
      <c r="D491" s="1" t="str">
        <f>VLOOKUP(Tabela1[[#This Row],[Cliente]],'BASE DE CLIENTES'!A:C,3,0)</f>
        <v>DF</v>
      </c>
      <c r="E491" s="4" t="str">
        <f>CONCATENATE(Tabela1[[#This Row],[CIDADE]],",",Tabela1[[#This Row],[UF]])</f>
        <v>Brasília,DF</v>
      </c>
      <c r="F491" s="2">
        <v>45747</v>
      </c>
      <c r="G491" s="17">
        <v>758.56</v>
      </c>
      <c r="H491" s="17">
        <v>1435</v>
      </c>
      <c r="I491" s="6">
        <f>Tabela1[[#This Row],[Valor total]]-Tabela1[[#This Row],[Valor custo]]</f>
        <v>676.44</v>
      </c>
      <c r="J491" s="7">
        <f>Tabela1[[#This Row],[MARGEM BRUTA]]/Tabela1[[#This Row],[Valor total]]</f>
        <v>0.47138675958188159</v>
      </c>
      <c r="K491" s="1" t="str">
        <f>VLOOKUP(Tabela1[[#This Row],[Cliente]],'BASE DE CLIENTES'!A:D,4,0)</f>
        <v>EMPRESA COM MAQUINA</v>
      </c>
      <c r="L491" s="1" t="str">
        <f>VLOOKUP(Tabela1[[#This Row],[Cliente]],'BASE DE CLIENTES'!A:E,5,0)</f>
        <v>SAMAMBAIA SUL (SAMAMBAIA)</v>
      </c>
    </row>
    <row r="492" spans="2:12" x14ac:dyDescent="0.3">
      <c r="B492" s="1" t="s">
        <v>15</v>
      </c>
      <c r="C492" s="4" t="str">
        <f>VLOOKUP(Tabela1[[#This Row],[Cliente]],'BASE DE CLIENTES'!A:E,2,0)</f>
        <v>Brasília</v>
      </c>
      <c r="D492" s="1" t="str">
        <f>VLOOKUP(Tabela1[[#This Row],[Cliente]],'BASE DE CLIENTES'!A:C,3,0)</f>
        <v>DF</v>
      </c>
      <c r="E492" s="4" t="str">
        <f>CONCATENATE(Tabela1[[#This Row],[CIDADE]],",",Tabela1[[#This Row],[UF]])</f>
        <v>Brasília,DF</v>
      </c>
      <c r="F492" s="2">
        <v>45745</v>
      </c>
      <c r="G492" s="17">
        <v>79</v>
      </c>
      <c r="H492" s="17">
        <v>350</v>
      </c>
      <c r="I492" s="6">
        <f>Tabela1[[#This Row],[Valor total]]-Tabela1[[#This Row],[Valor custo]]</f>
        <v>271</v>
      </c>
      <c r="J492" s="7">
        <f>Tabela1[[#This Row],[MARGEM BRUTA]]/Tabela1[[#This Row],[Valor total]]</f>
        <v>0.77428571428571424</v>
      </c>
      <c r="K492" s="1" t="str">
        <f>VLOOKUP(Tabela1[[#This Row],[Cliente]],'BASE DE CLIENTES'!A:D,4,0)</f>
        <v>SERRALHEIRO</v>
      </c>
      <c r="L492" s="1" t="str">
        <f>VLOOKUP(Tabela1[[#This Row],[Cliente]],'BASE DE CLIENTES'!A:E,5,0)</f>
        <v>SETOR HABITACIONAL VICENTE PIRES</v>
      </c>
    </row>
    <row r="493" spans="2:12" x14ac:dyDescent="0.3">
      <c r="B493" s="1" t="s">
        <v>15</v>
      </c>
      <c r="C493" s="4" t="str">
        <f>VLOOKUP(Tabela1[[#This Row],[Cliente]],'BASE DE CLIENTES'!A:E,2,0)</f>
        <v>Brasília</v>
      </c>
      <c r="D493" s="1" t="str">
        <f>VLOOKUP(Tabela1[[#This Row],[Cliente]],'BASE DE CLIENTES'!A:C,3,0)</f>
        <v>DF</v>
      </c>
      <c r="E493" s="4" t="str">
        <f>CONCATENATE(Tabela1[[#This Row],[CIDADE]],",",Tabela1[[#This Row],[UF]])</f>
        <v>Brasília,DF</v>
      </c>
      <c r="F493" s="2">
        <v>45745</v>
      </c>
      <c r="G493" s="17">
        <v>79</v>
      </c>
      <c r="H493" s="17">
        <v>350</v>
      </c>
      <c r="I493" s="6">
        <f>Tabela1[[#This Row],[Valor total]]-Tabela1[[#This Row],[Valor custo]]</f>
        <v>271</v>
      </c>
      <c r="J493" s="7">
        <f>Tabela1[[#This Row],[MARGEM BRUTA]]/Tabela1[[#This Row],[Valor total]]</f>
        <v>0.77428571428571424</v>
      </c>
      <c r="K493" s="1" t="str">
        <f>VLOOKUP(Tabela1[[#This Row],[Cliente]],'BASE DE CLIENTES'!A:D,4,0)</f>
        <v>SERRALHEIRO</v>
      </c>
      <c r="L493" s="1" t="str">
        <f>VLOOKUP(Tabela1[[#This Row],[Cliente]],'BASE DE CLIENTES'!A:E,5,0)</f>
        <v>SETOR HABITACIONAL VICENTE PIRES</v>
      </c>
    </row>
    <row r="494" spans="2:12" x14ac:dyDescent="0.3">
      <c r="B494" s="1" t="s">
        <v>70</v>
      </c>
      <c r="C494" s="4" t="str">
        <f>VLOOKUP(Tabela1[[#This Row],[Cliente]],'BASE DE CLIENTES'!A:E,2,0)</f>
        <v>Brasília</v>
      </c>
      <c r="D494" s="1" t="str">
        <f>VLOOKUP(Tabela1[[#This Row],[Cliente]],'BASE DE CLIENTES'!A:C,3,0)</f>
        <v>DF</v>
      </c>
      <c r="E494" s="4" t="str">
        <f>CONCATENATE(Tabela1[[#This Row],[CIDADE]],",",Tabela1[[#This Row],[UF]])</f>
        <v>Brasília,DF</v>
      </c>
      <c r="F494" s="2">
        <v>45745</v>
      </c>
      <c r="G494" s="17">
        <v>4574</v>
      </c>
      <c r="H494" s="17">
        <v>6300</v>
      </c>
      <c r="I494" s="6">
        <f>Tabela1[[#This Row],[Valor total]]-Tabela1[[#This Row],[Valor custo]]</f>
        <v>1726</v>
      </c>
      <c r="J494" s="7">
        <f>Tabela1[[#This Row],[MARGEM BRUTA]]/Tabela1[[#This Row],[Valor total]]</f>
        <v>0.27396825396825397</v>
      </c>
      <c r="K494" s="1" t="str">
        <f>VLOOKUP(Tabela1[[#This Row],[Cliente]],'BASE DE CLIENTES'!A:D,4,0)</f>
        <v>EMPRESA COM MAQUINA</v>
      </c>
      <c r="L494" s="1" t="str">
        <f>VLOOKUP(Tabela1[[#This Row],[Cliente]],'BASE DE CLIENTES'!A:E,5,0)</f>
        <v>TAGUATINGA NORTE (TAGUATINGA)</v>
      </c>
    </row>
    <row r="495" spans="2:12" x14ac:dyDescent="0.3">
      <c r="B495" s="1" t="s">
        <v>132</v>
      </c>
      <c r="C495" s="4" t="str">
        <f>VLOOKUP(Tabela1[[#This Row],[Cliente]],'BASE DE CLIENTES'!A:E,2,0)</f>
        <v>Águas Lindas de Goiás</v>
      </c>
      <c r="D495" s="1" t="str">
        <f>VLOOKUP(Tabela1[[#This Row],[Cliente]],'BASE DE CLIENTES'!A:C,3,0)</f>
        <v>GO</v>
      </c>
      <c r="E495" s="4" t="str">
        <f>CONCATENATE(Tabela1[[#This Row],[CIDADE]],",",Tabela1[[#This Row],[UF]])</f>
        <v>Águas Lindas de Goiás,GO</v>
      </c>
      <c r="F495" s="2">
        <v>45891</v>
      </c>
      <c r="G495" s="17">
        <v>1251.9000000000001</v>
      </c>
      <c r="H495" s="17">
        <v>2100</v>
      </c>
      <c r="I495" s="6">
        <f>Tabela1[[#This Row],[Valor total]]-Tabela1[[#This Row],[Valor custo]]</f>
        <v>848.09999999999991</v>
      </c>
      <c r="J495" s="7">
        <f>Tabela1[[#This Row],[MARGEM BRUTA]]/Tabela1[[#This Row],[Valor total]]</f>
        <v>0.4038571428571428</v>
      </c>
      <c r="K495" s="1" t="str">
        <f>VLOOKUP(Tabela1[[#This Row],[Cliente]],'BASE DE CLIENTES'!A:D,4,0)</f>
        <v>SERRALHEIRO</v>
      </c>
      <c r="L495" s="1" t="str">
        <f>VLOOKUP(Tabela1[[#This Row],[Cliente]],'BASE DE CLIENTES'!A:E,5,0)</f>
        <v>Águas Lindas de Goiás</v>
      </c>
    </row>
    <row r="496" spans="2:12" x14ac:dyDescent="0.3">
      <c r="B496" s="1" t="s">
        <v>19</v>
      </c>
      <c r="C496" s="4" t="str">
        <f>VLOOKUP(Tabela1[[#This Row],[Cliente]],'BASE DE CLIENTES'!A:E,2,0)</f>
        <v>Águas Lindas de Goiás</v>
      </c>
      <c r="D496" s="1" t="str">
        <f>VLOOKUP(Tabela1[[#This Row],[Cliente]],'BASE DE CLIENTES'!A:C,3,0)</f>
        <v>GO</v>
      </c>
      <c r="E496" s="4" t="str">
        <f>CONCATENATE(Tabela1[[#This Row],[CIDADE]],",",Tabela1[[#This Row],[UF]])</f>
        <v>Águas Lindas de Goiás,GO</v>
      </c>
      <c r="F496" s="2">
        <v>45890</v>
      </c>
      <c r="G496" s="17">
        <v>1031.3</v>
      </c>
      <c r="H496" s="17">
        <v>1895</v>
      </c>
      <c r="I496" s="6">
        <f>Tabela1[[#This Row],[Valor total]]-Tabela1[[#This Row],[Valor custo]]</f>
        <v>863.7</v>
      </c>
      <c r="J496" s="7">
        <f>Tabela1[[#This Row],[MARGEM BRUTA]]/Tabela1[[#This Row],[Valor total]]</f>
        <v>0.45577836411609501</v>
      </c>
      <c r="K496" s="1" t="str">
        <f>VLOOKUP(Tabela1[[#This Row],[Cliente]],'BASE DE CLIENTES'!A:D,4,0)</f>
        <v>SERRALHEIRO</v>
      </c>
      <c r="L496" s="1" t="str">
        <f>VLOOKUP(Tabela1[[#This Row],[Cliente]],'BASE DE CLIENTES'!A:E,5,0)</f>
        <v>Águas Lindas de Goiás</v>
      </c>
    </row>
    <row r="497" spans="1:12" x14ac:dyDescent="0.3">
      <c r="B497" s="1" t="s">
        <v>120</v>
      </c>
      <c r="C497" s="4" t="str">
        <f>VLOOKUP(Tabela1[[#This Row],[Cliente]],'BASE DE CLIENTES'!A:E,2,0)</f>
        <v>Brasília</v>
      </c>
      <c r="D497" s="1" t="str">
        <f>VLOOKUP(Tabela1[[#This Row],[Cliente]],'BASE DE CLIENTES'!A:C,3,0)</f>
        <v>DF</v>
      </c>
      <c r="E497" s="4" t="str">
        <f>CONCATENATE(Tabela1[[#This Row],[CIDADE]],",",Tabela1[[#This Row],[UF]])</f>
        <v>Brasília,DF</v>
      </c>
      <c r="F497" s="2">
        <v>45744</v>
      </c>
      <c r="G497" s="17">
        <v>497</v>
      </c>
      <c r="H497" s="17">
        <v>750</v>
      </c>
      <c r="I497" s="6">
        <f>Tabela1[[#This Row],[Valor total]]-Tabela1[[#This Row],[Valor custo]]</f>
        <v>253</v>
      </c>
      <c r="J497" s="7">
        <f>Tabela1[[#This Row],[MARGEM BRUTA]]/Tabela1[[#This Row],[Valor total]]</f>
        <v>0.33733333333333332</v>
      </c>
      <c r="K497" s="1" t="str">
        <f>VLOOKUP(Tabela1[[#This Row],[Cliente]],'BASE DE CLIENTES'!A:D,4,0)</f>
        <v>EMPRESA SEM MAQUINA</v>
      </c>
      <c r="L497" s="1" t="str">
        <f>VLOOKUP(Tabela1[[#This Row],[Cliente]],'BASE DE CLIENTES'!A:E,5,0)</f>
        <v>SAMAMBAIA</v>
      </c>
    </row>
    <row r="498" spans="1:12" x14ac:dyDescent="0.3">
      <c r="B498" s="1" t="s">
        <v>120</v>
      </c>
      <c r="C498" s="4" t="str">
        <f>VLOOKUP(Tabela1[[#This Row],[Cliente]],'BASE DE CLIENTES'!A:E,2,0)</f>
        <v>Brasília</v>
      </c>
      <c r="D498" s="1" t="str">
        <f>VLOOKUP(Tabela1[[#This Row],[Cliente]],'BASE DE CLIENTES'!A:C,3,0)</f>
        <v>DF</v>
      </c>
      <c r="E498" s="4" t="str">
        <f>CONCATENATE(Tabela1[[#This Row],[CIDADE]],",",Tabela1[[#This Row],[UF]])</f>
        <v>Brasília,DF</v>
      </c>
      <c r="F498" s="2">
        <v>45740</v>
      </c>
      <c r="G498" s="17">
        <v>439.2</v>
      </c>
      <c r="H498" s="17">
        <v>635</v>
      </c>
      <c r="I498" s="6">
        <f>Tabela1[[#This Row],[Valor total]]-Tabela1[[#This Row],[Valor custo]]</f>
        <v>195.8</v>
      </c>
      <c r="J498" s="7">
        <f>Tabela1[[#This Row],[MARGEM BRUTA]]/Tabela1[[#This Row],[Valor total]]</f>
        <v>0.30834645669291338</v>
      </c>
      <c r="K498" s="1" t="str">
        <f>VLOOKUP(Tabela1[[#This Row],[Cliente]],'BASE DE CLIENTES'!A:D,4,0)</f>
        <v>EMPRESA SEM MAQUINA</v>
      </c>
      <c r="L498" s="1" t="str">
        <f>VLOOKUP(Tabela1[[#This Row],[Cliente]],'BASE DE CLIENTES'!A:E,5,0)</f>
        <v>SAMAMBAIA</v>
      </c>
    </row>
    <row r="499" spans="1:12" x14ac:dyDescent="0.3">
      <c r="B499" s="1" t="s">
        <v>19</v>
      </c>
      <c r="C499" s="4" t="str">
        <f>VLOOKUP(Tabela1[[#This Row],[Cliente]],'BASE DE CLIENTES'!A:E,2,0)</f>
        <v>Águas Lindas de Goiás</v>
      </c>
      <c r="D499" s="1" t="str">
        <f>VLOOKUP(Tabela1[[#This Row],[Cliente]],'BASE DE CLIENTES'!A:C,3,0)</f>
        <v>GO</v>
      </c>
      <c r="E499" s="4" t="str">
        <f>CONCATENATE(Tabela1[[#This Row],[CIDADE]],",",Tabela1[[#This Row],[UF]])</f>
        <v>Águas Lindas de Goiás,GO</v>
      </c>
      <c r="F499" s="2">
        <v>45890</v>
      </c>
      <c r="G499" s="17">
        <v>432.79</v>
      </c>
      <c r="H499" s="17">
        <v>75</v>
      </c>
      <c r="I499" s="6">
        <f>Tabela1[[#This Row],[Valor total]]-Tabela1[[#This Row],[Valor custo]]</f>
        <v>-357.79</v>
      </c>
      <c r="J499" s="7">
        <f>Tabela1[[#This Row],[MARGEM BRUTA]]/Tabela1[[#This Row],[Valor total]]</f>
        <v>-4.7705333333333337</v>
      </c>
      <c r="K499" s="1" t="str">
        <f>VLOOKUP(Tabela1[[#This Row],[Cliente]],'BASE DE CLIENTES'!A:D,4,0)</f>
        <v>SERRALHEIRO</v>
      </c>
      <c r="L499" s="1" t="str">
        <f>VLOOKUP(Tabela1[[#This Row],[Cliente]],'BASE DE CLIENTES'!A:E,5,0)</f>
        <v>Águas Lindas de Goiás</v>
      </c>
    </row>
    <row r="500" spans="1:12" x14ac:dyDescent="0.3">
      <c r="B500" s="1" t="s">
        <v>66</v>
      </c>
      <c r="C500" s="4" t="str">
        <f>VLOOKUP(Tabela1[[#This Row],[Cliente]],'BASE DE CLIENTES'!A:E,2,0)</f>
        <v>Águas Lindas de Goiás</v>
      </c>
      <c r="D500" s="1" t="str">
        <f>VLOOKUP(Tabela1[[#This Row],[Cliente]],'BASE DE CLIENTES'!A:C,3,0)</f>
        <v>GO</v>
      </c>
      <c r="E500" s="4" t="str">
        <f>CONCATENATE(Tabela1[[#This Row],[CIDADE]],",",Tabela1[[#This Row],[UF]])</f>
        <v>Águas Lindas de Goiás,GO</v>
      </c>
      <c r="F500" s="2">
        <v>45890</v>
      </c>
      <c r="G500" s="17">
        <v>1041.3</v>
      </c>
      <c r="H500" s="17">
        <v>1640</v>
      </c>
      <c r="I500" s="6">
        <f>Tabela1[[#This Row],[Valor total]]-Tabela1[[#This Row],[Valor custo]]</f>
        <v>598.70000000000005</v>
      </c>
      <c r="J500" s="7">
        <f>Tabela1[[#This Row],[MARGEM BRUTA]]/Tabela1[[#This Row],[Valor total]]</f>
        <v>0.36506097560975614</v>
      </c>
      <c r="K500" s="1" t="str">
        <f>VLOOKUP(Tabela1[[#This Row],[Cliente]],'BASE DE CLIENTES'!A:D,4,0)</f>
        <v>EMPRESA COM MAQUINA</v>
      </c>
      <c r="L500" s="1" t="str">
        <f>VLOOKUP(Tabela1[[#This Row],[Cliente]],'BASE DE CLIENTES'!A:E,5,0)</f>
        <v>Águas Lindas de Goiás</v>
      </c>
    </row>
    <row r="501" spans="1:12" x14ac:dyDescent="0.3">
      <c r="B501" s="1" t="s">
        <v>66</v>
      </c>
      <c r="C501" s="4" t="str">
        <f>VLOOKUP(Tabela1[[#This Row],[Cliente]],'BASE DE CLIENTES'!A:E,2,0)</f>
        <v>Águas Lindas de Goiás</v>
      </c>
      <c r="D501" s="1" t="str">
        <f>VLOOKUP(Tabela1[[#This Row],[Cliente]],'BASE DE CLIENTES'!A:C,3,0)</f>
        <v>GO</v>
      </c>
      <c r="E501" s="4" t="str">
        <f>CONCATENATE(Tabela1[[#This Row],[CIDADE]],",",Tabela1[[#This Row],[UF]])</f>
        <v>Águas Lindas de Goiás,GO</v>
      </c>
      <c r="F501" s="2">
        <v>45889</v>
      </c>
      <c r="G501" s="17">
        <v>382.3</v>
      </c>
      <c r="H501" s="17">
        <v>615</v>
      </c>
      <c r="I501" s="6">
        <f>Tabela1[[#This Row],[Valor total]]-Tabela1[[#This Row],[Valor custo]]</f>
        <v>232.7</v>
      </c>
      <c r="J501" s="7">
        <f>Tabela1[[#This Row],[MARGEM BRUTA]]/Tabela1[[#This Row],[Valor total]]</f>
        <v>0.37837398373983738</v>
      </c>
      <c r="K501" s="1" t="str">
        <f>VLOOKUP(Tabela1[[#This Row],[Cliente]],'BASE DE CLIENTES'!A:D,4,0)</f>
        <v>EMPRESA COM MAQUINA</v>
      </c>
      <c r="L501" s="1" t="str">
        <f>VLOOKUP(Tabela1[[#This Row],[Cliente]],'BASE DE CLIENTES'!A:E,5,0)</f>
        <v>Águas Lindas de Goiás</v>
      </c>
    </row>
    <row r="502" spans="1:12" x14ac:dyDescent="0.3">
      <c r="B502" s="1" t="s">
        <v>23</v>
      </c>
      <c r="C502" s="4" t="str">
        <f>VLOOKUP(Tabela1[[#This Row],[Cliente]],'BASE DE CLIENTES'!A:E,2,0)</f>
        <v>Brasília</v>
      </c>
      <c r="D502" s="1" t="str">
        <f>VLOOKUP(Tabela1[[#This Row],[Cliente]],'BASE DE CLIENTES'!A:C,3,0)</f>
        <v>DF</v>
      </c>
      <c r="E502" s="4" t="str">
        <f>CONCATENATE(Tabela1[[#This Row],[CIDADE]],",",Tabela1[[#This Row],[UF]])</f>
        <v>Brasília,DF</v>
      </c>
      <c r="F502" s="2">
        <v>45744</v>
      </c>
      <c r="G502" s="17">
        <v>906.2</v>
      </c>
      <c r="H502" s="17">
        <v>1318</v>
      </c>
      <c r="I502" s="6">
        <f>Tabela1[[#This Row],[Valor total]]-Tabela1[[#This Row],[Valor custo]]</f>
        <v>411.79999999999995</v>
      </c>
      <c r="J502" s="7">
        <f>Tabela1[[#This Row],[MARGEM BRUTA]]/Tabela1[[#This Row],[Valor total]]</f>
        <v>0.31244309559939298</v>
      </c>
      <c r="K502" s="1" t="str">
        <f>VLOOKUP(Tabela1[[#This Row],[Cliente]],'BASE DE CLIENTES'!A:D,4,0)</f>
        <v>EMPRESA SEM MAQUINA</v>
      </c>
      <c r="L502" s="1" t="str">
        <f>VLOOKUP(Tabela1[[#This Row],[Cliente]],'BASE DE CLIENTES'!A:E,5,0)</f>
        <v>SETOR INDUSTRIAL (TAGUATINGA)</v>
      </c>
    </row>
    <row r="503" spans="1:12" x14ac:dyDescent="0.3">
      <c r="A503" s="1" t="s">
        <v>134</v>
      </c>
      <c r="B503" s="1" t="s">
        <v>135</v>
      </c>
      <c r="C503" s="4" t="str">
        <f>VLOOKUP(Tabela1[[#This Row],[Cliente]],'BASE DE CLIENTES'!A:E,2,0)</f>
        <v>Brasília</v>
      </c>
      <c r="D503" s="1" t="str">
        <f>VLOOKUP(Tabela1[[#This Row],[Cliente]],'BASE DE CLIENTES'!A:C,3,0)</f>
        <v>DF</v>
      </c>
      <c r="E503" s="4" t="str">
        <f>CONCATENATE(Tabela1[[#This Row],[CIDADE]],",",Tabela1[[#This Row],[UF]])</f>
        <v>Brasília,DF</v>
      </c>
      <c r="F503" s="2">
        <v>45680</v>
      </c>
      <c r="G503" s="17">
        <v>588.58000000000004</v>
      </c>
      <c r="H503" s="17">
        <v>965</v>
      </c>
      <c r="I503" s="6">
        <f>Tabela1[[#This Row],[Valor total]]-Tabela1[[#This Row],[Valor custo]]</f>
        <v>376.41999999999996</v>
      </c>
      <c r="J503" s="7">
        <f>Tabela1[[#This Row],[MARGEM BRUTA]]/Tabela1[[#This Row],[Valor total]]</f>
        <v>0.39007253886010357</v>
      </c>
      <c r="K503" s="1" t="str">
        <f>VLOOKUP(Tabela1[[#This Row],[Cliente]],'BASE DE CLIENTES'!A:D,4,0)</f>
        <v>SEM CLASSIFICAÇÃO</v>
      </c>
      <c r="L503" s="1" t="str">
        <f>VLOOKUP(Tabela1[[#This Row],[Cliente]],'BASE DE CLIENTES'!A:E,5,0)</f>
        <v>Santa Maria</v>
      </c>
    </row>
    <row r="504" spans="1:12" x14ac:dyDescent="0.3">
      <c r="B504" s="1" t="s">
        <v>38</v>
      </c>
      <c r="C504" s="4" t="str">
        <f>VLOOKUP(Tabela1[[#This Row],[Cliente]],'BASE DE CLIENTES'!A:E,2,0)</f>
        <v>Brasília</v>
      </c>
      <c r="D504" s="1" t="str">
        <f>VLOOKUP(Tabela1[[#This Row],[Cliente]],'BASE DE CLIENTES'!A:C,3,0)</f>
        <v>DF</v>
      </c>
      <c r="E504" s="4" t="str">
        <f>CONCATENATE(Tabela1[[#This Row],[CIDADE]],",",Tabela1[[#This Row],[UF]])</f>
        <v>Brasília,DF</v>
      </c>
      <c r="F504" s="2">
        <v>45744</v>
      </c>
      <c r="G504" s="17">
        <v>631</v>
      </c>
      <c r="H504" s="17">
        <v>1420</v>
      </c>
      <c r="I504" s="6">
        <f>Tabela1[[#This Row],[Valor total]]-Tabela1[[#This Row],[Valor custo]]</f>
        <v>789</v>
      </c>
      <c r="J504" s="7">
        <f>Tabela1[[#This Row],[MARGEM BRUTA]]/Tabela1[[#This Row],[Valor total]]</f>
        <v>0.55563380281690145</v>
      </c>
      <c r="K504" s="1" t="str">
        <f>VLOOKUP(Tabela1[[#This Row],[Cliente]],'BASE DE CLIENTES'!A:D,4,0)</f>
        <v>EMPRESA SEM MAQUINA</v>
      </c>
      <c r="L504" s="1" t="str">
        <f>VLOOKUP(Tabela1[[#This Row],[Cliente]],'BASE DE CLIENTES'!A:E,5,0)</f>
        <v>PONTE ALTA NORTE (GAMA)</v>
      </c>
    </row>
    <row r="505" spans="1:12" x14ac:dyDescent="0.3">
      <c r="B505" s="1" t="s">
        <v>19</v>
      </c>
      <c r="C505" s="4" t="str">
        <f>VLOOKUP(Tabela1[[#This Row],[Cliente]],'BASE DE CLIENTES'!A:E,2,0)</f>
        <v>Águas Lindas de Goiás</v>
      </c>
      <c r="D505" s="1" t="str">
        <f>VLOOKUP(Tabela1[[#This Row],[Cliente]],'BASE DE CLIENTES'!A:C,3,0)</f>
        <v>GO</v>
      </c>
      <c r="E505" s="4" t="str">
        <f>CONCATENATE(Tabela1[[#This Row],[CIDADE]],",",Tabela1[[#This Row],[UF]])</f>
        <v>Águas Lindas de Goiás,GO</v>
      </c>
      <c r="F505" s="2">
        <v>45889</v>
      </c>
      <c r="G505" s="17">
        <v>1725.78</v>
      </c>
      <c r="H505" s="17">
        <v>2850</v>
      </c>
      <c r="I505" s="6">
        <f>Tabela1[[#This Row],[Valor total]]-Tabela1[[#This Row],[Valor custo]]</f>
        <v>1124.22</v>
      </c>
      <c r="J505" s="7">
        <f>Tabela1[[#This Row],[MARGEM BRUTA]]/Tabela1[[#This Row],[Valor total]]</f>
        <v>0.39446315789473685</v>
      </c>
      <c r="K505" s="1" t="str">
        <f>VLOOKUP(Tabela1[[#This Row],[Cliente]],'BASE DE CLIENTES'!A:D,4,0)</f>
        <v>SERRALHEIRO</v>
      </c>
      <c r="L505" s="1" t="str">
        <f>VLOOKUP(Tabela1[[#This Row],[Cliente]],'BASE DE CLIENTES'!A:E,5,0)</f>
        <v>Águas Lindas de Goiás</v>
      </c>
    </row>
    <row r="506" spans="1:12" x14ac:dyDescent="0.3">
      <c r="B506" s="1" t="s">
        <v>52</v>
      </c>
      <c r="C506" s="4" t="str">
        <f>VLOOKUP(Tabela1[[#This Row],[Cliente]],'BASE DE CLIENTES'!A:E,2,0)</f>
        <v>Brasília</v>
      </c>
      <c r="D506" s="1" t="str">
        <f>VLOOKUP(Tabela1[[#This Row],[Cliente]],'BASE DE CLIENTES'!A:C,3,0)</f>
        <v>DF</v>
      </c>
      <c r="E506" s="4" t="str">
        <f>CONCATENATE(Tabela1[[#This Row],[CIDADE]],",",Tabela1[[#This Row],[UF]])</f>
        <v>Brasília,DF</v>
      </c>
      <c r="F506" s="2">
        <v>45744</v>
      </c>
      <c r="G506" s="17">
        <v>473</v>
      </c>
      <c r="H506" s="17">
        <v>720</v>
      </c>
      <c r="I506" s="6">
        <f>Tabela1[[#This Row],[Valor total]]-Tabela1[[#This Row],[Valor custo]]</f>
        <v>247</v>
      </c>
      <c r="J506" s="7">
        <f>Tabela1[[#This Row],[MARGEM BRUTA]]/Tabela1[[#This Row],[Valor total]]</f>
        <v>0.34305555555555556</v>
      </c>
      <c r="K506" s="1" t="str">
        <f>VLOOKUP(Tabela1[[#This Row],[Cliente]],'BASE DE CLIENTES'!A:D,4,0)</f>
        <v>SERRALHEIRO</v>
      </c>
      <c r="L506" s="1" t="str">
        <f>VLOOKUP(Tabela1[[#This Row],[Cliente]],'BASE DE CLIENTES'!A:E,5,0)</f>
        <v>Ceilândia Sul (Ceilândia)</v>
      </c>
    </row>
    <row r="507" spans="1:12" x14ac:dyDescent="0.3">
      <c r="B507" s="1" t="s">
        <v>97</v>
      </c>
      <c r="C507" s="4" t="str">
        <f>VLOOKUP(Tabela1[[#This Row],[Cliente]],'BASE DE CLIENTES'!A:E,2,0)</f>
        <v>Brasília</v>
      </c>
      <c r="D507" s="1" t="str">
        <f>VLOOKUP(Tabela1[[#This Row],[Cliente]],'BASE DE CLIENTES'!A:C,3,0)</f>
        <v>DF</v>
      </c>
      <c r="E507" s="4" t="str">
        <f>CONCATENATE(Tabela1[[#This Row],[CIDADE]],",",Tabela1[[#This Row],[UF]])</f>
        <v>Brasília,DF</v>
      </c>
      <c r="F507" s="2">
        <v>45744</v>
      </c>
      <c r="G507" s="17">
        <v>506</v>
      </c>
      <c r="H507" s="17">
        <v>870</v>
      </c>
      <c r="I507" s="6">
        <f>Tabela1[[#This Row],[Valor total]]-Tabela1[[#This Row],[Valor custo]]</f>
        <v>364</v>
      </c>
      <c r="J507" s="7">
        <f>Tabela1[[#This Row],[MARGEM BRUTA]]/Tabela1[[#This Row],[Valor total]]</f>
        <v>0.41839080459770117</v>
      </c>
      <c r="K507" s="1" t="str">
        <f>VLOOKUP(Tabela1[[#This Row],[Cliente]],'BASE DE CLIENTES'!A:D,4,0)</f>
        <v>SERRALHEIRO</v>
      </c>
      <c r="L507" s="1" t="str">
        <f>VLOOKUP(Tabela1[[#This Row],[Cliente]],'BASE DE CLIENTES'!A:E,5,0)</f>
        <v>CEILANDIA NORTE</v>
      </c>
    </row>
    <row r="508" spans="1:12" x14ac:dyDescent="0.3">
      <c r="B508" s="1" t="s">
        <v>104</v>
      </c>
      <c r="C508" s="4" t="str">
        <f>VLOOKUP(Tabela1[[#This Row],[Cliente]],'BASE DE CLIENTES'!A:E,2,0)</f>
        <v>Águas Lindas de Goiás</v>
      </c>
      <c r="D508" s="1" t="str">
        <f>VLOOKUP(Tabela1[[#This Row],[Cliente]],'BASE DE CLIENTES'!A:C,3,0)</f>
        <v>GO</v>
      </c>
      <c r="E508" s="4" t="str">
        <f>CONCATENATE(Tabela1[[#This Row],[CIDADE]],",",Tabela1[[#This Row],[UF]])</f>
        <v>Águas Lindas de Goiás,GO</v>
      </c>
      <c r="F508" s="2">
        <v>45889</v>
      </c>
      <c r="G508" s="17">
        <v>815.09</v>
      </c>
      <c r="H508" s="17">
        <v>1340</v>
      </c>
      <c r="I508" s="6">
        <f>Tabela1[[#This Row],[Valor total]]-Tabela1[[#This Row],[Valor custo]]</f>
        <v>524.91</v>
      </c>
      <c r="J508" s="7">
        <f>Tabela1[[#This Row],[MARGEM BRUTA]]/Tabela1[[#This Row],[Valor total]]</f>
        <v>0.39172388059701491</v>
      </c>
      <c r="K508" s="1" t="str">
        <f>VLOOKUP(Tabela1[[#This Row],[Cliente]],'BASE DE CLIENTES'!A:D,4,0)</f>
        <v>EMPRESA SEM MAQUINA</v>
      </c>
      <c r="L508" s="1" t="str">
        <f>VLOOKUP(Tabela1[[#This Row],[Cliente]],'BASE DE CLIENTES'!A:E,5,0)</f>
        <v>Águas Lindas de Goiás</v>
      </c>
    </row>
    <row r="509" spans="1:12" x14ac:dyDescent="0.3">
      <c r="B509" s="1" t="s">
        <v>19</v>
      </c>
      <c r="C509" s="4" t="str">
        <f>VLOOKUP(Tabela1[[#This Row],[Cliente]],'BASE DE CLIENTES'!A:E,2,0)</f>
        <v>Águas Lindas de Goiás</v>
      </c>
      <c r="D509" s="1" t="str">
        <f>VLOOKUP(Tabela1[[#This Row],[Cliente]],'BASE DE CLIENTES'!A:C,3,0)</f>
        <v>GO</v>
      </c>
      <c r="E509" s="4" t="str">
        <f>CONCATENATE(Tabela1[[#This Row],[CIDADE]],",",Tabela1[[#This Row],[UF]])</f>
        <v>Águas Lindas de Goiás,GO</v>
      </c>
      <c r="F509" s="2">
        <v>45888</v>
      </c>
      <c r="G509" s="17">
        <v>25</v>
      </c>
      <c r="H509" s="17">
        <v>30</v>
      </c>
      <c r="I509" s="6">
        <f>Tabela1[[#This Row],[Valor total]]-Tabela1[[#This Row],[Valor custo]]</f>
        <v>5</v>
      </c>
      <c r="J509" s="7">
        <f>Tabela1[[#This Row],[MARGEM BRUTA]]/Tabela1[[#This Row],[Valor total]]</f>
        <v>0.16666666666666666</v>
      </c>
      <c r="K509" s="1" t="str">
        <f>VLOOKUP(Tabela1[[#This Row],[Cliente]],'BASE DE CLIENTES'!A:D,4,0)</f>
        <v>SERRALHEIRO</v>
      </c>
      <c r="L509" s="1" t="str">
        <f>VLOOKUP(Tabela1[[#This Row],[Cliente]],'BASE DE CLIENTES'!A:E,5,0)</f>
        <v>Águas Lindas de Goiás</v>
      </c>
    </row>
    <row r="510" spans="1:12" x14ac:dyDescent="0.3">
      <c r="B510" s="1" t="s">
        <v>111</v>
      </c>
      <c r="C510" s="4" t="str">
        <f>VLOOKUP(Tabela1[[#This Row],[Cliente]],'BASE DE CLIENTES'!A:E,2,0)</f>
        <v>Brasília</v>
      </c>
      <c r="D510" s="1" t="str">
        <f>VLOOKUP(Tabela1[[#This Row],[Cliente]],'BASE DE CLIENTES'!A:C,3,0)</f>
        <v>DF</v>
      </c>
      <c r="E510" s="4" t="str">
        <f>CONCATENATE(Tabela1[[#This Row],[CIDADE]],",",Tabela1[[#This Row],[UF]])</f>
        <v>Brasília,DF</v>
      </c>
      <c r="F510" s="2">
        <v>45744</v>
      </c>
      <c r="G510" s="17">
        <v>31.6</v>
      </c>
      <c r="H510" s="17">
        <v>160</v>
      </c>
      <c r="I510" s="6">
        <f>Tabela1[[#This Row],[Valor total]]-Tabela1[[#This Row],[Valor custo]]</f>
        <v>128.4</v>
      </c>
      <c r="J510" s="7">
        <f>Tabela1[[#This Row],[MARGEM BRUTA]]/Tabela1[[#This Row],[Valor total]]</f>
        <v>0.80249999999999999</v>
      </c>
      <c r="K510" s="1" t="str">
        <f>VLOOKUP(Tabela1[[#This Row],[Cliente]],'BASE DE CLIENTES'!A:D,4,0)</f>
        <v>EMPRESA SEM MAQUINA</v>
      </c>
      <c r="L510" s="1" t="str">
        <f>VLOOKUP(Tabela1[[#This Row],[Cliente]],'BASE DE CLIENTES'!A:E,5,0)</f>
        <v>TAGUATINGA SUL (TAGUATINGA)</v>
      </c>
    </row>
    <row r="511" spans="1:12" x14ac:dyDescent="0.3">
      <c r="B511" s="1" t="s">
        <v>19</v>
      </c>
      <c r="C511" s="4" t="str">
        <f>VLOOKUP(Tabela1[[#This Row],[Cliente]],'BASE DE CLIENTES'!A:E,2,0)</f>
        <v>Águas Lindas de Goiás</v>
      </c>
      <c r="D511" s="1" t="str">
        <f>VLOOKUP(Tabela1[[#This Row],[Cliente]],'BASE DE CLIENTES'!A:C,3,0)</f>
        <v>GO</v>
      </c>
      <c r="E511" s="4" t="str">
        <f>CONCATENATE(Tabela1[[#This Row],[CIDADE]],",",Tabela1[[#This Row],[UF]])</f>
        <v>Águas Lindas de Goiás,GO</v>
      </c>
      <c r="F511" s="2">
        <v>45888</v>
      </c>
      <c r="G511" s="17">
        <v>1031.3</v>
      </c>
      <c r="H511" s="17">
        <v>1895</v>
      </c>
      <c r="I511" s="6">
        <f>Tabela1[[#This Row],[Valor total]]-Tabela1[[#This Row],[Valor custo]]</f>
        <v>863.7</v>
      </c>
      <c r="J511" s="7">
        <f>Tabela1[[#This Row],[MARGEM BRUTA]]/Tabela1[[#This Row],[Valor total]]</f>
        <v>0.45577836411609501</v>
      </c>
      <c r="K511" s="1" t="str">
        <f>VLOOKUP(Tabela1[[#This Row],[Cliente]],'BASE DE CLIENTES'!A:D,4,0)</f>
        <v>SERRALHEIRO</v>
      </c>
      <c r="L511" s="1" t="str">
        <f>VLOOKUP(Tabela1[[#This Row],[Cliente]],'BASE DE CLIENTES'!A:E,5,0)</f>
        <v>Águas Lindas de Goiás</v>
      </c>
    </row>
    <row r="512" spans="1:12" x14ac:dyDescent="0.3">
      <c r="B512" s="1" t="s">
        <v>120</v>
      </c>
      <c r="C512" s="4" t="str">
        <f>VLOOKUP(Tabela1[[#This Row],[Cliente]],'BASE DE CLIENTES'!A:E,2,0)</f>
        <v>Brasília</v>
      </c>
      <c r="D512" s="1" t="str">
        <f>VLOOKUP(Tabela1[[#This Row],[Cliente]],'BASE DE CLIENTES'!A:C,3,0)</f>
        <v>DF</v>
      </c>
      <c r="E512" s="4" t="str">
        <f>CONCATENATE(Tabela1[[#This Row],[CIDADE]],",",Tabela1[[#This Row],[UF]])</f>
        <v>Brasília,DF</v>
      </c>
      <c r="F512" s="2">
        <v>45733</v>
      </c>
      <c r="G512" s="17">
        <v>2591.98</v>
      </c>
      <c r="H512" s="17">
        <v>3580</v>
      </c>
      <c r="I512" s="6">
        <f>Tabela1[[#This Row],[Valor total]]-Tabela1[[#This Row],[Valor custo]]</f>
        <v>988.02</v>
      </c>
      <c r="J512" s="7">
        <f>Tabela1[[#This Row],[MARGEM BRUTA]]/Tabela1[[#This Row],[Valor total]]</f>
        <v>0.27598324022346366</v>
      </c>
      <c r="K512" s="1" t="str">
        <f>VLOOKUP(Tabela1[[#This Row],[Cliente]],'BASE DE CLIENTES'!A:D,4,0)</f>
        <v>EMPRESA SEM MAQUINA</v>
      </c>
      <c r="L512" s="1" t="str">
        <f>VLOOKUP(Tabela1[[#This Row],[Cliente]],'BASE DE CLIENTES'!A:E,5,0)</f>
        <v>SAMAMBAIA</v>
      </c>
    </row>
    <row r="513" spans="2:12" x14ac:dyDescent="0.3">
      <c r="B513" s="1" t="s">
        <v>68</v>
      </c>
      <c r="C513" s="4" t="str">
        <f>VLOOKUP(Tabela1[[#This Row],[Cliente]],'BASE DE CLIENTES'!A:E,2,0)</f>
        <v>Brasília</v>
      </c>
      <c r="D513" s="1" t="str">
        <f>VLOOKUP(Tabela1[[#This Row],[Cliente]],'BASE DE CLIENTES'!A:C,3,0)</f>
        <v>DF</v>
      </c>
      <c r="E513" s="4" t="str">
        <f>CONCATENATE(Tabela1[[#This Row],[CIDADE]],",",Tabela1[[#This Row],[UF]])</f>
        <v>Brasília,DF</v>
      </c>
      <c r="F513" s="2">
        <v>45744</v>
      </c>
      <c r="G513" s="17">
        <v>1040.94</v>
      </c>
      <c r="H513" s="17">
        <v>1570</v>
      </c>
      <c r="I513" s="6">
        <f>Tabela1[[#This Row],[Valor total]]-Tabela1[[#This Row],[Valor custo]]</f>
        <v>529.05999999999995</v>
      </c>
      <c r="J513" s="7">
        <f>Tabela1[[#This Row],[MARGEM BRUTA]]/Tabela1[[#This Row],[Valor total]]</f>
        <v>0.33698089171974521</v>
      </c>
      <c r="K513" s="1" t="str">
        <f>VLOOKUP(Tabela1[[#This Row],[Cliente]],'BASE DE CLIENTES'!A:D,4,0)</f>
        <v>EMPRESA COM MAQUINA</v>
      </c>
      <c r="L513" s="1" t="str">
        <f>VLOOKUP(Tabela1[[#This Row],[Cliente]],'BASE DE CLIENTES'!A:E,5,0)</f>
        <v>SAMAMBAIA SUL (SAMAMBAIA)</v>
      </c>
    </row>
    <row r="514" spans="2:12" x14ac:dyDescent="0.3">
      <c r="B514" s="1" t="s">
        <v>66</v>
      </c>
      <c r="C514" s="4" t="str">
        <f>VLOOKUP(Tabela1[[#This Row],[Cliente]],'BASE DE CLIENTES'!A:E,2,0)</f>
        <v>Águas Lindas de Goiás</v>
      </c>
      <c r="D514" s="1" t="str">
        <f>VLOOKUP(Tabela1[[#This Row],[Cliente]],'BASE DE CLIENTES'!A:C,3,0)</f>
        <v>GO</v>
      </c>
      <c r="E514" s="4" t="str">
        <f>CONCATENATE(Tabela1[[#This Row],[CIDADE]],",",Tabela1[[#This Row],[UF]])</f>
        <v>Águas Lindas de Goiás,GO</v>
      </c>
      <c r="F514" s="2">
        <v>45888</v>
      </c>
      <c r="G514" s="17">
        <v>764.6</v>
      </c>
      <c r="H514" s="17">
        <v>1230</v>
      </c>
      <c r="I514" s="6">
        <f>Tabela1[[#This Row],[Valor total]]-Tabela1[[#This Row],[Valor custo]]</f>
        <v>465.4</v>
      </c>
      <c r="J514" s="7">
        <f>Tabela1[[#This Row],[MARGEM BRUTA]]/Tabela1[[#This Row],[Valor total]]</f>
        <v>0.37837398373983738</v>
      </c>
      <c r="K514" s="1" t="str">
        <f>VLOOKUP(Tabela1[[#This Row],[Cliente]],'BASE DE CLIENTES'!A:D,4,0)</f>
        <v>EMPRESA COM MAQUINA</v>
      </c>
      <c r="L514" s="1" t="str">
        <f>VLOOKUP(Tabela1[[#This Row],[Cliente]],'BASE DE CLIENTES'!A:E,5,0)</f>
        <v>Águas Lindas de Goiás</v>
      </c>
    </row>
    <row r="515" spans="2:12" x14ac:dyDescent="0.3">
      <c r="B515" s="1" t="s">
        <v>30</v>
      </c>
      <c r="C515" s="4" t="str">
        <f>VLOOKUP(Tabela1[[#This Row],[Cliente]],'BASE DE CLIENTES'!A:E,2,0)</f>
        <v>Águas Lindas de Goiás</v>
      </c>
      <c r="D515" s="1" t="str">
        <f>VLOOKUP(Tabela1[[#This Row],[Cliente]],'BASE DE CLIENTES'!A:C,3,0)</f>
        <v>GO</v>
      </c>
      <c r="E515" s="4" t="str">
        <f>CONCATENATE(Tabela1[[#This Row],[CIDADE]],",",Tabela1[[#This Row],[UF]])</f>
        <v>Águas Lindas de Goiás,GO</v>
      </c>
      <c r="F515" s="2">
        <v>45887</v>
      </c>
      <c r="G515" s="17">
        <v>289</v>
      </c>
      <c r="H515" s="17">
        <v>600</v>
      </c>
      <c r="I515" s="6">
        <f>Tabela1[[#This Row],[Valor total]]-Tabela1[[#This Row],[Valor custo]]</f>
        <v>311</v>
      </c>
      <c r="J515" s="7">
        <f>Tabela1[[#This Row],[MARGEM BRUTA]]/Tabela1[[#This Row],[Valor total]]</f>
        <v>0.51833333333333331</v>
      </c>
      <c r="K515" s="1" t="str">
        <f>VLOOKUP(Tabela1[[#This Row],[Cliente]],'BASE DE CLIENTES'!A:D,4,0)</f>
        <v>SERRALHEIRO</v>
      </c>
      <c r="L515" s="1" t="str">
        <f>VLOOKUP(Tabela1[[#This Row],[Cliente]],'BASE DE CLIENTES'!A:E,5,0)</f>
        <v>Águas Lindas de Goiás</v>
      </c>
    </row>
    <row r="516" spans="2:12" x14ac:dyDescent="0.3">
      <c r="B516" s="1" t="s">
        <v>66</v>
      </c>
      <c r="C516" s="4" t="str">
        <f>VLOOKUP(Tabela1[[#This Row],[Cliente]],'BASE DE CLIENTES'!A:E,2,0)</f>
        <v>Águas Lindas de Goiás</v>
      </c>
      <c r="D516" s="1" t="str">
        <f>VLOOKUP(Tabela1[[#This Row],[Cliente]],'BASE DE CLIENTES'!A:C,3,0)</f>
        <v>GO</v>
      </c>
      <c r="E516" s="4" t="str">
        <f>CONCATENATE(Tabela1[[#This Row],[CIDADE]],",",Tabela1[[#This Row],[UF]])</f>
        <v>Águas Lindas de Goiás,GO</v>
      </c>
      <c r="F516" s="2">
        <v>45887</v>
      </c>
      <c r="G516" s="17">
        <v>865.58</v>
      </c>
      <c r="H516" s="17">
        <v>1310</v>
      </c>
      <c r="I516" s="6">
        <f>Tabela1[[#This Row],[Valor total]]-Tabela1[[#This Row],[Valor custo]]</f>
        <v>444.41999999999996</v>
      </c>
      <c r="J516" s="7">
        <f>Tabela1[[#This Row],[MARGEM BRUTA]]/Tabela1[[#This Row],[Valor total]]</f>
        <v>0.33925190839694652</v>
      </c>
      <c r="K516" s="1" t="str">
        <f>VLOOKUP(Tabela1[[#This Row],[Cliente]],'BASE DE CLIENTES'!A:D,4,0)</f>
        <v>EMPRESA COM MAQUINA</v>
      </c>
      <c r="L516" s="1" t="str">
        <f>VLOOKUP(Tabela1[[#This Row],[Cliente]],'BASE DE CLIENTES'!A:E,5,0)</f>
        <v>Águas Lindas de Goiás</v>
      </c>
    </row>
    <row r="517" spans="2:12" x14ac:dyDescent="0.3">
      <c r="B517" s="1" t="s">
        <v>30</v>
      </c>
      <c r="C517" s="4" t="str">
        <f>VLOOKUP(Tabela1[[#This Row],[Cliente]],'BASE DE CLIENTES'!A:E,2,0)</f>
        <v>Águas Lindas de Goiás</v>
      </c>
      <c r="D517" s="1" t="str">
        <f>VLOOKUP(Tabela1[[#This Row],[Cliente]],'BASE DE CLIENTES'!A:C,3,0)</f>
        <v>GO</v>
      </c>
      <c r="E517" s="4" t="str">
        <f>CONCATENATE(Tabela1[[#This Row],[CIDADE]],",",Tabela1[[#This Row],[UF]])</f>
        <v>Águas Lindas de Goiás,GO</v>
      </c>
      <c r="F517" s="2">
        <v>45887</v>
      </c>
      <c r="G517" s="17">
        <v>1184.0999999999999</v>
      </c>
      <c r="H517" s="17">
        <v>1966</v>
      </c>
      <c r="I517" s="6">
        <f>Tabela1[[#This Row],[Valor total]]-Tabela1[[#This Row],[Valor custo]]</f>
        <v>781.90000000000009</v>
      </c>
      <c r="J517" s="7">
        <f>Tabela1[[#This Row],[MARGEM BRUTA]]/Tabela1[[#This Row],[Valor total]]</f>
        <v>0.39771108850457787</v>
      </c>
      <c r="K517" s="1" t="str">
        <f>VLOOKUP(Tabela1[[#This Row],[Cliente]],'BASE DE CLIENTES'!A:D,4,0)</f>
        <v>SERRALHEIRO</v>
      </c>
      <c r="L517" s="1" t="str">
        <f>VLOOKUP(Tabela1[[#This Row],[Cliente]],'BASE DE CLIENTES'!A:E,5,0)</f>
        <v>Águas Lindas de Goiás</v>
      </c>
    </row>
    <row r="518" spans="2:12" x14ac:dyDescent="0.3">
      <c r="B518" s="1" t="s">
        <v>19</v>
      </c>
      <c r="C518" s="4" t="str">
        <f>VLOOKUP(Tabela1[[#This Row],[Cliente]],'BASE DE CLIENTES'!A:E,2,0)</f>
        <v>Águas Lindas de Goiás</v>
      </c>
      <c r="D518" s="1" t="str">
        <f>VLOOKUP(Tabela1[[#This Row],[Cliente]],'BASE DE CLIENTES'!A:C,3,0)</f>
        <v>GO</v>
      </c>
      <c r="E518" s="4" t="str">
        <f>CONCATENATE(Tabela1[[#This Row],[CIDADE]],",",Tabela1[[#This Row],[UF]])</f>
        <v>Águas Lindas de Goiás,GO</v>
      </c>
      <c r="F518" s="2">
        <v>45887</v>
      </c>
      <c r="G518" s="17">
        <v>532.29999999999995</v>
      </c>
      <c r="H518" s="17">
        <v>825</v>
      </c>
      <c r="I518" s="6">
        <f>Tabela1[[#This Row],[Valor total]]-Tabela1[[#This Row],[Valor custo]]</f>
        <v>292.70000000000005</v>
      </c>
      <c r="J518" s="7">
        <f>Tabela1[[#This Row],[MARGEM BRUTA]]/Tabela1[[#This Row],[Valor total]]</f>
        <v>0.35478787878787882</v>
      </c>
      <c r="K518" s="1" t="str">
        <f>VLOOKUP(Tabela1[[#This Row],[Cliente]],'BASE DE CLIENTES'!A:D,4,0)</f>
        <v>SERRALHEIRO</v>
      </c>
      <c r="L518" s="1" t="str">
        <f>VLOOKUP(Tabela1[[#This Row],[Cliente]],'BASE DE CLIENTES'!A:E,5,0)</f>
        <v>Águas Lindas de Goiás</v>
      </c>
    </row>
    <row r="519" spans="2:12" x14ac:dyDescent="0.3">
      <c r="B519" s="1" t="s">
        <v>85</v>
      </c>
      <c r="C519" s="4" t="str">
        <f>VLOOKUP(Tabela1[[#This Row],[Cliente]],'BASE DE CLIENTES'!A:E,2,0)</f>
        <v>Brasília</v>
      </c>
      <c r="D519" s="1" t="str">
        <f>VLOOKUP(Tabela1[[#This Row],[Cliente]],'BASE DE CLIENTES'!A:C,3,0)</f>
        <v>DF</v>
      </c>
      <c r="E519" s="4" t="str">
        <f>CONCATENATE(Tabela1[[#This Row],[CIDADE]],",",Tabela1[[#This Row],[UF]])</f>
        <v>Brasília,DF</v>
      </c>
      <c r="F519" s="2">
        <v>45743</v>
      </c>
      <c r="G519" s="17">
        <v>514.45000000000005</v>
      </c>
      <c r="H519" s="17">
        <v>620</v>
      </c>
      <c r="I519" s="6">
        <f>Tabela1[[#This Row],[Valor total]]-Tabela1[[#This Row],[Valor custo]]</f>
        <v>105.54999999999995</v>
      </c>
      <c r="J519" s="7">
        <f>Tabela1[[#This Row],[MARGEM BRUTA]]/Tabela1[[#This Row],[Valor total]]</f>
        <v>0.1702419354838709</v>
      </c>
      <c r="K519" s="1" t="str">
        <f>VLOOKUP(Tabela1[[#This Row],[Cliente]],'BASE DE CLIENTES'!A:D,4,0)</f>
        <v>SERRALHEIRO</v>
      </c>
      <c r="L519" s="1" t="str">
        <f>VLOOKUP(Tabela1[[#This Row],[Cliente]],'BASE DE CLIENTES'!A:E,5,0)</f>
        <v>SAMAMBAIA NORTE (SAMAMBAIA)</v>
      </c>
    </row>
    <row r="520" spans="2:12" x14ac:dyDescent="0.3">
      <c r="B520" s="1" t="s">
        <v>59</v>
      </c>
      <c r="C520" s="4" t="str">
        <f>VLOOKUP(Tabela1[[#This Row],[Cliente]],'BASE DE CLIENTES'!A:E,2,0)</f>
        <v>Brasília</v>
      </c>
      <c r="D520" s="1" t="str">
        <f>VLOOKUP(Tabela1[[#This Row],[Cliente]],'BASE DE CLIENTES'!A:C,3,0)</f>
        <v>DF</v>
      </c>
      <c r="E520" s="4" t="str">
        <f>CONCATENATE(Tabela1[[#This Row],[CIDADE]],",",Tabela1[[#This Row],[UF]])</f>
        <v>Brasília,DF</v>
      </c>
      <c r="F520" s="2">
        <v>45743</v>
      </c>
      <c r="G520" s="17">
        <v>0</v>
      </c>
      <c r="H520" s="17">
        <v>450</v>
      </c>
      <c r="I520" s="6">
        <f>Tabela1[[#This Row],[Valor total]]-Tabela1[[#This Row],[Valor custo]]</f>
        <v>450</v>
      </c>
      <c r="J520" s="7">
        <f>Tabela1[[#This Row],[MARGEM BRUTA]]/Tabela1[[#This Row],[Valor total]]</f>
        <v>1</v>
      </c>
      <c r="K520" s="1" t="str">
        <f>VLOOKUP(Tabela1[[#This Row],[Cliente]],'BASE DE CLIENTES'!A:D,4,0)</f>
        <v>EMPRESA COM MAQUINA</v>
      </c>
      <c r="L520" s="1" t="str">
        <f>VLOOKUP(Tabela1[[#This Row],[Cliente]],'BASE DE CLIENTES'!A:E,5,0)</f>
        <v>SETOR HABITACIONAL VICENTE PIRES</v>
      </c>
    </row>
    <row r="521" spans="2:12" x14ac:dyDescent="0.3">
      <c r="B521" s="1" t="s">
        <v>66</v>
      </c>
      <c r="C521" s="4" t="str">
        <f>VLOOKUP(Tabela1[[#This Row],[Cliente]],'BASE DE CLIENTES'!A:E,2,0)</f>
        <v>Águas Lindas de Goiás</v>
      </c>
      <c r="D521" s="1" t="str">
        <f>VLOOKUP(Tabela1[[#This Row],[Cliente]],'BASE DE CLIENTES'!A:C,3,0)</f>
        <v>GO</v>
      </c>
      <c r="E521" s="4" t="str">
        <f>CONCATENATE(Tabela1[[#This Row],[CIDADE]],",",Tabela1[[#This Row],[UF]])</f>
        <v>Águas Lindas de Goiás,GO</v>
      </c>
      <c r="F521" s="2">
        <v>45887</v>
      </c>
      <c r="G521" s="17">
        <v>1590.2</v>
      </c>
      <c r="H521" s="17">
        <v>2520</v>
      </c>
      <c r="I521" s="6">
        <f>Tabela1[[#This Row],[Valor total]]-Tabela1[[#This Row],[Valor custo]]</f>
        <v>929.8</v>
      </c>
      <c r="J521" s="7">
        <f>Tabela1[[#This Row],[MARGEM BRUTA]]/Tabela1[[#This Row],[Valor total]]</f>
        <v>0.36896825396825395</v>
      </c>
      <c r="K521" s="1" t="str">
        <f>VLOOKUP(Tabela1[[#This Row],[Cliente]],'BASE DE CLIENTES'!A:D,4,0)</f>
        <v>EMPRESA COM MAQUINA</v>
      </c>
      <c r="L521" s="1" t="str">
        <f>VLOOKUP(Tabela1[[#This Row],[Cliente]],'BASE DE CLIENTES'!A:E,5,0)</f>
        <v>Águas Lindas de Goiás</v>
      </c>
    </row>
    <row r="522" spans="2:12" x14ac:dyDescent="0.3">
      <c r="B522" s="1" t="s">
        <v>109</v>
      </c>
      <c r="C522" s="4" t="str">
        <f>VLOOKUP(Tabela1[[#This Row],[Cliente]],'BASE DE CLIENTES'!A:E,2,0)</f>
        <v>Águas Lindas de Goiás</v>
      </c>
      <c r="D522" s="1" t="str">
        <f>VLOOKUP(Tabela1[[#This Row],[Cliente]],'BASE DE CLIENTES'!A:C,3,0)</f>
        <v>GO</v>
      </c>
      <c r="E522" s="4" t="str">
        <f>CONCATENATE(Tabela1[[#This Row],[CIDADE]],",",Tabela1[[#This Row],[UF]])</f>
        <v>Águas Lindas de Goiás,GO</v>
      </c>
      <c r="F522" s="2">
        <v>45883</v>
      </c>
      <c r="G522" s="17">
        <v>1680.9</v>
      </c>
      <c r="H522" s="17">
        <v>2865</v>
      </c>
      <c r="I522" s="6">
        <f>Tabela1[[#This Row],[Valor total]]-Tabela1[[#This Row],[Valor custo]]</f>
        <v>1184.0999999999999</v>
      </c>
      <c r="J522" s="7">
        <f>Tabela1[[#This Row],[MARGEM BRUTA]]/Tabela1[[#This Row],[Valor total]]</f>
        <v>0.41329842931937172</v>
      </c>
      <c r="K522" s="1" t="str">
        <f>VLOOKUP(Tabela1[[#This Row],[Cliente]],'BASE DE CLIENTES'!A:D,4,0)</f>
        <v>SERRALHEIRO</v>
      </c>
      <c r="L522" s="1" t="str">
        <f>VLOOKUP(Tabela1[[#This Row],[Cliente]],'BASE DE CLIENTES'!A:E,5,0)</f>
        <v>Águas Lindas de Goiás</v>
      </c>
    </row>
    <row r="523" spans="2:12" x14ac:dyDescent="0.3">
      <c r="B523" s="1" t="s">
        <v>17</v>
      </c>
      <c r="C523" s="4" t="str">
        <f>VLOOKUP(Tabela1[[#This Row],[Cliente]],'BASE DE CLIENTES'!A:E,2,0)</f>
        <v>Águas Lindas de Goiás</v>
      </c>
      <c r="D523" s="1" t="str">
        <f>VLOOKUP(Tabela1[[#This Row],[Cliente]],'BASE DE CLIENTES'!A:C,3,0)</f>
        <v>GO</v>
      </c>
      <c r="E523" s="4" t="str">
        <f>CONCATENATE(Tabela1[[#This Row],[CIDADE]],",",Tabela1[[#This Row],[UF]])</f>
        <v>Águas Lindas de Goiás,GO</v>
      </c>
      <c r="F523" s="2">
        <v>45883</v>
      </c>
      <c r="G523" s="17">
        <v>403.93</v>
      </c>
      <c r="H523" s="17">
        <v>735</v>
      </c>
      <c r="I523" s="6">
        <f>Tabela1[[#This Row],[Valor total]]-Tabela1[[#This Row],[Valor custo]]</f>
        <v>331.07</v>
      </c>
      <c r="J523" s="7">
        <f>Tabela1[[#This Row],[MARGEM BRUTA]]/Tabela1[[#This Row],[Valor total]]</f>
        <v>0.45043537414965984</v>
      </c>
      <c r="K523" s="1" t="str">
        <f>VLOOKUP(Tabela1[[#This Row],[Cliente]],'BASE DE CLIENTES'!A:D,4,0)</f>
        <v>SERRALHEIRO</v>
      </c>
      <c r="L523" s="1" t="str">
        <f>VLOOKUP(Tabela1[[#This Row],[Cliente]],'BASE DE CLIENTES'!A:E,5,0)</f>
        <v>Águas Lindas de Goiás</v>
      </c>
    </row>
    <row r="524" spans="2:12" x14ac:dyDescent="0.3">
      <c r="B524" s="1" t="s">
        <v>66</v>
      </c>
      <c r="C524" s="4" t="str">
        <f>VLOOKUP(Tabela1[[#This Row],[Cliente]],'BASE DE CLIENTES'!A:E,2,0)</f>
        <v>Águas Lindas de Goiás</v>
      </c>
      <c r="D524" s="1" t="str">
        <f>VLOOKUP(Tabela1[[#This Row],[Cliente]],'BASE DE CLIENTES'!A:C,3,0)</f>
        <v>GO</v>
      </c>
      <c r="E524" s="4" t="str">
        <f>CONCATENATE(Tabela1[[#This Row],[CIDADE]],",",Tabela1[[#This Row],[UF]])</f>
        <v>Águas Lindas de Goiás,GO</v>
      </c>
      <c r="F524" s="2">
        <v>45882</v>
      </c>
      <c r="G524" s="17">
        <v>764.6</v>
      </c>
      <c r="H524" s="17">
        <v>1230</v>
      </c>
      <c r="I524" s="6">
        <f>Tabela1[[#This Row],[Valor total]]-Tabela1[[#This Row],[Valor custo]]</f>
        <v>465.4</v>
      </c>
      <c r="J524" s="7">
        <f>Tabela1[[#This Row],[MARGEM BRUTA]]/Tabela1[[#This Row],[Valor total]]</f>
        <v>0.37837398373983738</v>
      </c>
      <c r="K524" s="1" t="str">
        <f>VLOOKUP(Tabela1[[#This Row],[Cliente]],'BASE DE CLIENTES'!A:D,4,0)</f>
        <v>EMPRESA COM MAQUINA</v>
      </c>
      <c r="L524" s="1" t="str">
        <f>VLOOKUP(Tabela1[[#This Row],[Cliente]],'BASE DE CLIENTES'!A:E,5,0)</f>
        <v>Águas Lindas de Goiás</v>
      </c>
    </row>
    <row r="525" spans="2:12" x14ac:dyDescent="0.3">
      <c r="B525" s="1" t="s">
        <v>19</v>
      </c>
      <c r="C525" s="4" t="str">
        <f>VLOOKUP(Tabela1[[#This Row],[Cliente]],'BASE DE CLIENTES'!A:E,2,0)</f>
        <v>Águas Lindas de Goiás</v>
      </c>
      <c r="D525" s="1" t="str">
        <f>VLOOKUP(Tabela1[[#This Row],[Cliente]],'BASE DE CLIENTES'!A:C,3,0)</f>
        <v>GO</v>
      </c>
      <c r="E525" s="4" t="str">
        <f>CONCATENATE(Tabela1[[#This Row],[CIDADE]],",",Tabela1[[#This Row],[UF]])</f>
        <v>Águas Lindas de Goiás,GO</v>
      </c>
      <c r="F525" s="2">
        <v>45882</v>
      </c>
      <c r="G525" s="17">
        <v>2099.7399999999998</v>
      </c>
      <c r="H525" s="17">
        <v>4120</v>
      </c>
      <c r="I525" s="6">
        <f>Tabela1[[#This Row],[Valor total]]-Tabela1[[#This Row],[Valor custo]]</f>
        <v>2020.2600000000002</v>
      </c>
      <c r="J525" s="7">
        <f>Tabela1[[#This Row],[MARGEM BRUTA]]/Tabela1[[#This Row],[Valor total]]</f>
        <v>0.49035436893203888</v>
      </c>
      <c r="K525" s="1" t="str">
        <f>VLOOKUP(Tabela1[[#This Row],[Cliente]],'BASE DE CLIENTES'!A:D,4,0)</f>
        <v>SERRALHEIRO</v>
      </c>
      <c r="L525" s="1" t="str">
        <f>VLOOKUP(Tabela1[[#This Row],[Cliente]],'BASE DE CLIENTES'!A:E,5,0)</f>
        <v>Águas Lindas de Goiás</v>
      </c>
    </row>
    <row r="526" spans="2:12" x14ac:dyDescent="0.3">
      <c r="B526" s="1" t="s">
        <v>55</v>
      </c>
      <c r="C526" s="4" t="str">
        <f>VLOOKUP(Tabela1[[#This Row],[Cliente]],'BASE DE CLIENTES'!A:E,2,0)</f>
        <v>Brasília</v>
      </c>
      <c r="D526" s="1" t="str">
        <f>VLOOKUP(Tabela1[[#This Row],[Cliente]],'BASE DE CLIENTES'!A:C,3,0)</f>
        <v>DF</v>
      </c>
      <c r="E526" s="4" t="str">
        <f>CONCATENATE(Tabela1[[#This Row],[CIDADE]],",",Tabela1[[#This Row],[UF]])</f>
        <v>Brasília,DF</v>
      </c>
      <c r="F526" s="2">
        <v>45743</v>
      </c>
      <c r="G526" s="17">
        <v>718.57</v>
      </c>
      <c r="H526" s="17">
        <v>1350</v>
      </c>
      <c r="I526" s="6">
        <f>Tabela1[[#This Row],[Valor total]]-Tabela1[[#This Row],[Valor custo]]</f>
        <v>631.42999999999995</v>
      </c>
      <c r="J526" s="7">
        <f>Tabela1[[#This Row],[MARGEM BRUTA]]/Tabela1[[#This Row],[Valor total]]</f>
        <v>0.46772592592592588</v>
      </c>
      <c r="K526" s="1" t="str">
        <f>VLOOKUP(Tabela1[[#This Row],[Cliente]],'BASE DE CLIENTES'!A:D,4,0)</f>
        <v>EMPRESA SEM MAQUINA</v>
      </c>
      <c r="L526" s="1" t="str">
        <f>VLOOKUP(Tabela1[[#This Row],[Cliente]],'BASE DE CLIENTES'!A:E,5,0)</f>
        <v>RECANTO DAS EMAS</v>
      </c>
    </row>
    <row r="527" spans="2:12" x14ac:dyDescent="0.3">
      <c r="B527" s="1" t="s">
        <v>106</v>
      </c>
      <c r="C527" s="4" t="str">
        <f>VLOOKUP(Tabela1[[#This Row],[Cliente]],'BASE DE CLIENTES'!A:E,2,0)</f>
        <v>Brasília</v>
      </c>
      <c r="D527" s="1" t="str">
        <f>VLOOKUP(Tabela1[[#This Row],[Cliente]],'BASE DE CLIENTES'!A:C,3,0)</f>
        <v>DF</v>
      </c>
      <c r="E527" s="4" t="str">
        <f>CONCATENATE(Tabela1[[#This Row],[CIDADE]],",",Tabela1[[#This Row],[UF]])</f>
        <v>Brasília,DF</v>
      </c>
      <c r="F527" s="2">
        <v>45743</v>
      </c>
      <c r="G527" s="17">
        <v>548.47</v>
      </c>
      <c r="H527" s="17">
        <v>725</v>
      </c>
      <c r="I527" s="6">
        <f>Tabela1[[#This Row],[Valor total]]-Tabela1[[#This Row],[Valor custo]]</f>
        <v>176.52999999999997</v>
      </c>
      <c r="J527" s="7">
        <f>Tabela1[[#This Row],[MARGEM BRUTA]]/Tabela1[[#This Row],[Valor total]]</f>
        <v>0.24348965517241375</v>
      </c>
      <c r="K527" s="1" t="str">
        <f>VLOOKUP(Tabela1[[#This Row],[Cliente]],'BASE DE CLIENTES'!A:D,4,0)</f>
        <v>EMPRESA COM MAQUINA</v>
      </c>
      <c r="L527" s="1" t="str">
        <f>VLOOKUP(Tabela1[[#This Row],[Cliente]],'BASE DE CLIENTES'!A:E,5,0)</f>
        <v>26 DE SETEMBRO</v>
      </c>
    </row>
    <row r="528" spans="2:12" x14ac:dyDescent="0.3">
      <c r="B528" s="1" t="s">
        <v>104</v>
      </c>
      <c r="C528" s="4" t="str">
        <f>VLOOKUP(Tabela1[[#This Row],[Cliente]],'BASE DE CLIENTES'!A:E,2,0)</f>
        <v>Águas Lindas de Goiás</v>
      </c>
      <c r="D528" s="1" t="str">
        <f>VLOOKUP(Tabela1[[#This Row],[Cliente]],'BASE DE CLIENTES'!A:C,3,0)</f>
        <v>GO</v>
      </c>
      <c r="E528" s="4" t="str">
        <f>CONCATENATE(Tabela1[[#This Row],[CIDADE]],",",Tabela1[[#This Row],[UF]])</f>
        <v>Águas Lindas de Goiás,GO</v>
      </c>
      <c r="F528" s="2">
        <v>45881</v>
      </c>
      <c r="G528" s="17">
        <v>432.79</v>
      </c>
      <c r="H528" s="17">
        <v>636</v>
      </c>
      <c r="I528" s="6">
        <f>Tabela1[[#This Row],[Valor total]]-Tabela1[[#This Row],[Valor custo]]</f>
        <v>203.20999999999998</v>
      </c>
      <c r="J528" s="7">
        <f>Tabela1[[#This Row],[MARGEM BRUTA]]/Tabela1[[#This Row],[Valor total]]</f>
        <v>0.31951257861635218</v>
      </c>
      <c r="K528" s="1" t="str">
        <f>VLOOKUP(Tabela1[[#This Row],[Cliente]],'BASE DE CLIENTES'!A:D,4,0)</f>
        <v>EMPRESA SEM MAQUINA</v>
      </c>
      <c r="L528" s="1" t="str">
        <f>VLOOKUP(Tabela1[[#This Row],[Cliente]],'BASE DE CLIENTES'!A:E,5,0)</f>
        <v>Águas Lindas de Goiás</v>
      </c>
    </row>
    <row r="529" spans="2:12" x14ac:dyDescent="0.3">
      <c r="B529" s="1" t="s">
        <v>19</v>
      </c>
      <c r="C529" s="4" t="str">
        <f>VLOOKUP(Tabela1[[#This Row],[Cliente]],'BASE DE CLIENTES'!A:E,2,0)</f>
        <v>Águas Lindas de Goiás</v>
      </c>
      <c r="D529" s="1" t="str">
        <f>VLOOKUP(Tabela1[[#This Row],[Cliente]],'BASE DE CLIENTES'!A:C,3,0)</f>
        <v>GO</v>
      </c>
      <c r="E529" s="4" t="str">
        <f>CONCATENATE(Tabela1[[#This Row],[CIDADE]],",",Tabela1[[#This Row],[UF]])</f>
        <v>Águas Lindas de Goiás,GO</v>
      </c>
      <c r="F529" s="2">
        <v>45881</v>
      </c>
      <c r="G529" s="17">
        <v>32.5</v>
      </c>
      <c r="H529" s="17">
        <v>50</v>
      </c>
      <c r="I529" s="6">
        <f>Tabela1[[#This Row],[Valor total]]-Tabela1[[#This Row],[Valor custo]]</f>
        <v>17.5</v>
      </c>
      <c r="J529" s="7">
        <f>Tabela1[[#This Row],[MARGEM BRUTA]]/Tabela1[[#This Row],[Valor total]]</f>
        <v>0.35</v>
      </c>
      <c r="K529" s="1" t="str">
        <f>VLOOKUP(Tabela1[[#This Row],[Cliente]],'BASE DE CLIENTES'!A:D,4,0)</f>
        <v>SERRALHEIRO</v>
      </c>
      <c r="L529" s="1" t="str">
        <f>VLOOKUP(Tabela1[[#This Row],[Cliente]],'BASE DE CLIENTES'!A:E,5,0)</f>
        <v>Águas Lindas de Goiás</v>
      </c>
    </row>
    <row r="530" spans="2:12" x14ac:dyDescent="0.3">
      <c r="B530" s="1" t="s">
        <v>88</v>
      </c>
      <c r="C530" s="4" t="str">
        <f>VLOOKUP(Tabela1[[#This Row],[Cliente]],'BASE DE CLIENTES'!A:E,2,0)</f>
        <v>Brasília</v>
      </c>
      <c r="D530" s="1" t="str">
        <f>VLOOKUP(Tabela1[[#This Row],[Cliente]],'BASE DE CLIENTES'!A:C,3,0)</f>
        <v>DF</v>
      </c>
      <c r="E530" s="4" t="str">
        <f>CONCATENATE(Tabela1[[#This Row],[CIDADE]],",",Tabela1[[#This Row],[UF]])</f>
        <v>Brasília,DF</v>
      </c>
      <c r="F530" s="2">
        <v>45743</v>
      </c>
      <c r="G530" s="17">
        <v>707.23</v>
      </c>
      <c r="H530" s="17">
        <v>665</v>
      </c>
      <c r="I530" s="6">
        <f>Tabela1[[#This Row],[Valor total]]-Tabela1[[#This Row],[Valor custo]]</f>
        <v>-42.230000000000018</v>
      </c>
      <c r="J530" s="7">
        <f>Tabela1[[#This Row],[MARGEM BRUTA]]/Tabela1[[#This Row],[Valor total]]</f>
        <v>-6.3503759398496271E-2</v>
      </c>
      <c r="K530" s="1" t="str">
        <f>VLOOKUP(Tabela1[[#This Row],[Cliente]],'BASE DE CLIENTES'!A:D,4,0)</f>
        <v>SERRALHEIRO</v>
      </c>
      <c r="L530" s="1" t="str">
        <f>VLOOKUP(Tabela1[[#This Row],[Cliente]],'BASE DE CLIENTES'!A:E,5,0)</f>
        <v>RECANTO DAS EMAS</v>
      </c>
    </row>
    <row r="531" spans="2:12" x14ac:dyDescent="0.3">
      <c r="B531" s="1" t="s">
        <v>70</v>
      </c>
      <c r="C531" s="4" t="str">
        <f>VLOOKUP(Tabela1[[#This Row],[Cliente]],'BASE DE CLIENTES'!A:E,2,0)</f>
        <v>Brasília</v>
      </c>
      <c r="D531" s="1" t="str">
        <f>VLOOKUP(Tabela1[[#This Row],[Cliente]],'BASE DE CLIENTES'!A:C,3,0)</f>
        <v>DF</v>
      </c>
      <c r="E531" s="4" t="str">
        <f>CONCATENATE(Tabela1[[#This Row],[CIDADE]],",",Tabela1[[#This Row],[UF]])</f>
        <v>Brasília,DF</v>
      </c>
      <c r="F531" s="2">
        <v>45743</v>
      </c>
      <c r="G531" s="17">
        <v>514.45000000000005</v>
      </c>
      <c r="H531" s="17">
        <v>660</v>
      </c>
      <c r="I531" s="6">
        <f>Tabela1[[#This Row],[Valor total]]-Tabela1[[#This Row],[Valor custo]]</f>
        <v>145.54999999999995</v>
      </c>
      <c r="J531" s="7">
        <f>Tabela1[[#This Row],[MARGEM BRUTA]]/Tabela1[[#This Row],[Valor total]]</f>
        <v>0.22053030303030297</v>
      </c>
      <c r="K531" s="1" t="str">
        <f>VLOOKUP(Tabela1[[#This Row],[Cliente]],'BASE DE CLIENTES'!A:D,4,0)</f>
        <v>EMPRESA COM MAQUINA</v>
      </c>
      <c r="L531" s="1" t="str">
        <f>VLOOKUP(Tabela1[[#This Row],[Cliente]],'BASE DE CLIENTES'!A:E,5,0)</f>
        <v>TAGUATINGA NORTE (TAGUATINGA)</v>
      </c>
    </row>
    <row r="532" spans="2:12" x14ac:dyDescent="0.3">
      <c r="B532" s="1" t="s">
        <v>36</v>
      </c>
      <c r="C532" s="4" t="str">
        <f>VLOOKUP(Tabela1[[#This Row],[Cliente]],'BASE DE CLIENTES'!A:E,2,0)</f>
        <v>Brasília</v>
      </c>
      <c r="D532" s="1" t="str">
        <f>VLOOKUP(Tabela1[[#This Row],[Cliente]],'BASE DE CLIENTES'!A:C,3,0)</f>
        <v>DF</v>
      </c>
      <c r="E532" s="4" t="str">
        <f>CONCATENATE(Tabela1[[#This Row],[CIDADE]],",",Tabela1[[#This Row],[UF]])</f>
        <v>Brasília,DF</v>
      </c>
      <c r="F532" s="2">
        <v>45743</v>
      </c>
      <c r="G532" s="17">
        <v>41.07</v>
      </c>
      <c r="H532" s="17">
        <v>330</v>
      </c>
      <c r="I532" s="6">
        <f>Tabela1[[#This Row],[Valor total]]-Tabela1[[#This Row],[Valor custo]]</f>
        <v>288.93</v>
      </c>
      <c r="J532" s="7">
        <f>Tabela1[[#This Row],[MARGEM BRUTA]]/Tabela1[[#This Row],[Valor total]]</f>
        <v>0.87554545454545452</v>
      </c>
      <c r="K532" s="1" t="str">
        <f>VLOOKUP(Tabela1[[#This Row],[Cliente]],'BASE DE CLIENTES'!A:D,4,0)</f>
        <v>SERRALHEIRO</v>
      </c>
      <c r="L532" s="1" t="str">
        <f>VLOOKUP(Tabela1[[#This Row],[Cliente]],'BASE DE CLIENTES'!A:E,5,0)</f>
        <v>CEILANDIA SUL (CEILANDIA)</v>
      </c>
    </row>
    <row r="533" spans="2:12" x14ac:dyDescent="0.3">
      <c r="B533" s="1" t="s">
        <v>99</v>
      </c>
      <c r="C533" s="4" t="str">
        <f>VLOOKUP(Tabela1[[#This Row],[Cliente]],'BASE DE CLIENTES'!A:E,2,0)</f>
        <v>Brasília</v>
      </c>
      <c r="D533" s="1" t="str">
        <f>VLOOKUP(Tabela1[[#This Row],[Cliente]],'BASE DE CLIENTES'!A:C,3,0)</f>
        <v>DF</v>
      </c>
      <c r="E533" s="4" t="str">
        <f>CONCATENATE(Tabela1[[#This Row],[CIDADE]],",",Tabela1[[#This Row],[UF]])</f>
        <v>Brasília,DF</v>
      </c>
      <c r="F533" s="2">
        <v>45743</v>
      </c>
      <c r="G533" s="17">
        <v>1786.31</v>
      </c>
      <c r="H533" s="17">
        <v>2710</v>
      </c>
      <c r="I533" s="6">
        <f>Tabela1[[#This Row],[Valor total]]-Tabela1[[#This Row],[Valor custo]]</f>
        <v>923.69</v>
      </c>
      <c r="J533" s="7">
        <f>Tabela1[[#This Row],[MARGEM BRUTA]]/Tabela1[[#This Row],[Valor total]]</f>
        <v>0.3408450184501845</v>
      </c>
      <c r="K533" s="1" t="str">
        <f>VLOOKUP(Tabela1[[#This Row],[Cliente]],'BASE DE CLIENTES'!A:D,4,0)</f>
        <v>EMPRESA COM MAQUINA</v>
      </c>
      <c r="L533" s="1" t="str">
        <f>VLOOKUP(Tabela1[[#This Row],[Cliente]],'BASE DE CLIENTES'!A:E,5,0)</f>
        <v>ARAPOANGA (PLANALTINA)</v>
      </c>
    </row>
    <row r="534" spans="2:12" x14ac:dyDescent="0.3">
      <c r="B534" s="1" t="s">
        <v>57</v>
      </c>
      <c r="C534" s="4" t="str">
        <f>VLOOKUP(Tabela1[[#This Row],[Cliente]],'BASE DE CLIENTES'!A:E,2,0)</f>
        <v>Brasília</v>
      </c>
      <c r="D534" s="1" t="str">
        <f>VLOOKUP(Tabela1[[#This Row],[Cliente]],'BASE DE CLIENTES'!A:C,3,0)</f>
        <v>DF</v>
      </c>
      <c r="E534" s="4" t="str">
        <f>CONCATENATE(Tabela1[[#This Row],[CIDADE]],",",Tabela1[[#This Row],[UF]])</f>
        <v>Brasília,DF</v>
      </c>
      <c r="F534" s="2">
        <v>45743</v>
      </c>
      <c r="G534" s="17">
        <v>449.64</v>
      </c>
      <c r="H534" s="17">
        <v>685</v>
      </c>
      <c r="I534" s="6">
        <f>Tabela1[[#This Row],[Valor total]]-Tabela1[[#This Row],[Valor custo]]</f>
        <v>235.36</v>
      </c>
      <c r="J534" s="7">
        <f>Tabela1[[#This Row],[MARGEM BRUTA]]/Tabela1[[#This Row],[Valor total]]</f>
        <v>0.34359124087591242</v>
      </c>
      <c r="K534" s="1" t="str">
        <f>VLOOKUP(Tabela1[[#This Row],[Cliente]],'BASE DE CLIENTES'!A:D,4,0)</f>
        <v>SERRALHEIRO</v>
      </c>
      <c r="L534" s="1" t="str">
        <f>VLOOKUP(Tabela1[[#This Row],[Cliente]],'BASE DE CLIENTES'!A:E,5,0)</f>
        <v>ARAPOANGA (PLANALTINA)</v>
      </c>
    </row>
    <row r="535" spans="2:12" x14ac:dyDescent="0.3">
      <c r="B535" s="1" t="s">
        <v>111</v>
      </c>
      <c r="C535" s="4" t="str">
        <f>VLOOKUP(Tabela1[[#This Row],[Cliente]],'BASE DE CLIENTES'!A:E,2,0)</f>
        <v>Brasília</v>
      </c>
      <c r="D535" s="1" t="str">
        <f>VLOOKUP(Tabela1[[#This Row],[Cliente]],'BASE DE CLIENTES'!A:C,3,0)</f>
        <v>DF</v>
      </c>
      <c r="E535" s="4" t="str">
        <f>CONCATENATE(Tabela1[[#This Row],[CIDADE]],",",Tabela1[[#This Row],[UF]])</f>
        <v>Brasília,DF</v>
      </c>
      <c r="F535" s="2">
        <v>45743</v>
      </c>
      <c r="G535" s="17">
        <v>1260.4000000000001</v>
      </c>
      <c r="H535" s="17">
        <v>2240</v>
      </c>
      <c r="I535" s="6">
        <f>Tabela1[[#This Row],[Valor total]]-Tabela1[[#This Row],[Valor custo]]</f>
        <v>979.59999999999991</v>
      </c>
      <c r="J535" s="7">
        <f>Tabela1[[#This Row],[MARGEM BRUTA]]/Tabela1[[#This Row],[Valor total]]</f>
        <v>0.43732142857142853</v>
      </c>
      <c r="K535" s="1" t="str">
        <f>VLOOKUP(Tabela1[[#This Row],[Cliente]],'BASE DE CLIENTES'!A:D,4,0)</f>
        <v>EMPRESA SEM MAQUINA</v>
      </c>
      <c r="L535" s="1" t="str">
        <f>VLOOKUP(Tabela1[[#This Row],[Cliente]],'BASE DE CLIENTES'!A:E,5,0)</f>
        <v>TAGUATINGA SUL (TAGUATINGA)</v>
      </c>
    </row>
    <row r="536" spans="2:12" x14ac:dyDescent="0.3">
      <c r="B536" s="1" t="s">
        <v>25</v>
      </c>
      <c r="C536" s="4" t="str">
        <f>VLOOKUP(Tabela1[[#This Row],[Cliente]],'BASE DE CLIENTES'!A:E,2,0)</f>
        <v>Brasília</v>
      </c>
      <c r="D536" s="1" t="str">
        <f>VLOOKUP(Tabela1[[#This Row],[Cliente]],'BASE DE CLIENTES'!A:C,3,0)</f>
        <v>DF</v>
      </c>
      <c r="E536" s="4" t="str">
        <f>CONCATENATE(Tabela1[[#This Row],[CIDADE]],",",Tabela1[[#This Row],[UF]])</f>
        <v>Brasília,DF</v>
      </c>
      <c r="F536" s="2">
        <v>45743</v>
      </c>
      <c r="G536" s="17">
        <v>1123.75</v>
      </c>
      <c r="H536" s="17">
        <v>1895</v>
      </c>
      <c r="I536" s="6">
        <f>Tabela1[[#This Row],[Valor total]]-Tabela1[[#This Row],[Valor custo]]</f>
        <v>771.25</v>
      </c>
      <c r="J536" s="7">
        <f>Tabela1[[#This Row],[MARGEM BRUTA]]/Tabela1[[#This Row],[Valor total]]</f>
        <v>0.40699208443271767</v>
      </c>
      <c r="K536" s="1" t="str">
        <f>VLOOKUP(Tabela1[[#This Row],[Cliente]],'BASE DE CLIENTES'!A:D,4,0)</f>
        <v>EMPRESA COM MAQUINA</v>
      </c>
      <c r="L536" s="1" t="str">
        <f>VLOOKUP(Tabela1[[#This Row],[Cliente]],'BASE DE CLIENTES'!A:E,5,0)</f>
        <v>CEILANDIA NORTE (CEILANDIA)</v>
      </c>
    </row>
    <row r="537" spans="2:12" x14ac:dyDescent="0.3">
      <c r="B537" s="1" t="s">
        <v>105</v>
      </c>
      <c r="C537" s="4" t="str">
        <f>VLOOKUP(Tabela1[[#This Row],[Cliente]],'BASE DE CLIENTES'!A:E,2,0)</f>
        <v>Brasília</v>
      </c>
      <c r="D537" s="1" t="str">
        <f>VLOOKUP(Tabela1[[#This Row],[Cliente]],'BASE DE CLIENTES'!A:C,3,0)</f>
        <v>DF</v>
      </c>
      <c r="E537" s="4" t="str">
        <f>CONCATENATE(Tabela1[[#This Row],[CIDADE]],",",Tabela1[[#This Row],[UF]])</f>
        <v>Brasília,DF</v>
      </c>
      <c r="F537" s="2">
        <v>45743</v>
      </c>
      <c r="G537" s="17">
        <v>8894.56</v>
      </c>
      <c r="H537" s="17">
        <v>12850</v>
      </c>
      <c r="I537" s="6">
        <f>Tabela1[[#This Row],[Valor total]]-Tabela1[[#This Row],[Valor custo]]</f>
        <v>3955.4400000000005</v>
      </c>
      <c r="J537" s="7">
        <f>Tabela1[[#This Row],[MARGEM BRUTA]]/Tabela1[[#This Row],[Valor total]]</f>
        <v>0.30781634241245143</v>
      </c>
      <c r="K537" s="1" t="str">
        <f>VLOOKUP(Tabela1[[#This Row],[Cliente]],'BASE DE CLIENTES'!A:D,4,0)</f>
        <v>EMPRESA COM MAQUINA</v>
      </c>
      <c r="L537" s="1" t="str">
        <f>VLOOKUP(Tabela1[[#This Row],[Cliente]],'BASE DE CLIENTES'!A:E,5,0)</f>
        <v>PLANALTINA</v>
      </c>
    </row>
    <row r="538" spans="2:12" x14ac:dyDescent="0.3">
      <c r="B538" s="1" t="s">
        <v>52</v>
      </c>
      <c r="C538" s="4" t="str">
        <f>VLOOKUP(Tabela1[[#This Row],[Cliente]],'BASE DE CLIENTES'!A:E,2,0)</f>
        <v>Brasília</v>
      </c>
      <c r="D538" s="1" t="str">
        <f>VLOOKUP(Tabela1[[#This Row],[Cliente]],'BASE DE CLIENTES'!A:C,3,0)</f>
        <v>DF</v>
      </c>
      <c r="E538" s="4" t="str">
        <f>CONCATENATE(Tabela1[[#This Row],[CIDADE]],",",Tabela1[[#This Row],[UF]])</f>
        <v>Brasília,DF</v>
      </c>
      <c r="F538" s="2">
        <v>45742</v>
      </c>
      <c r="G538" s="17">
        <v>268.45999999999998</v>
      </c>
      <c r="H538" s="17">
        <v>550</v>
      </c>
      <c r="I538" s="6">
        <f>Tabela1[[#This Row],[Valor total]]-Tabela1[[#This Row],[Valor custo]]</f>
        <v>281.54000000000002</v>
      </c>
      <c r="J538" s="7">
        <f>Tabela1[[#This Row],[MARGEM BRUTA]]/Tabela1[[#This Row],[Valor total]]</f>
        <v>0.51189090909090917</v>
      </c>
      <c r="K538" s="1" t="str">
        <f>VLOOKUP(Tabela1[[#This Row],[Cliente]],'BASE DE CLIENTES'!A:D,4,0)</f>
        <v>SERRALHEIRO</v>
      </c>
      <c r="L538" s="1" t="str">
        <f>VLOOKUP(Tabela1[[#This Row],[Cliente]],'BASE DE CLIENTES'!A:E,5,0)</f>
        <v>Ceilândia Sul (Ceilândia)</v>
      </c>
    </row>
    <row r="539" spans="2:12" x14ac:dyDescent="0.3">
      <c r="B539" s="1" t="s">
        <v>66</v>
      </c>
      <c r="C539" s="4" t="str">
        <f>VLOOKUP(Tabela1[[#This Row],[Cliente]],'BASE DE CLIENTES'!A:E,2,0)</f>
        <v>Águas Lindas de Goiás</v>
      </c>
      <c r="D539" s="1" t="str">
        <f>VLOOKUP(Tabela1[[#This Row],[Cliente]],'BASE DE CLIENTES'!A:C,3,0)</f>
        <v>GO</v>
      </c>
      <c r="E539" s="4" t="str">
        <f>CONCATENATE(Tabela1[[#This Row],[CIDADE]],",",Tabela1[[#This Row],[UF]])</f>
        <v>Águas Lindas de Goiás,GO</v>
      </c>
      <c r="F539" s="2">
        <v>45880</v>
      </c>
      <c r="G539" s="17">
        <v>382.3</v>
      </c>
      <c r="H539" s="17">
        <v>620</v>
      </c>
      <c r="I539" s="6">
        <f>Tabela1[[#This Row],[Valor total]]-Tabela1[[#This Row],[Valor custo]]</f>
        <v>237.7</v>
      </c>
      <c r="J539" s="7">
        <f>Tabela1[[#This Row],[MARGEM BRUTA]]/Tabela1[[#This Row],[Valor total]]</f>
        <v>0.38338709677419353</v>
      </c>
      <c r="K539" s="1" t="str">
        <f>VLOOKUP(Tabela1[[#This Row],[Cliente]],'BASE DE CLIENTES'!A:D,4,0)</f>
        <v>EMPRESA COM MAQUINA</v>
      </c>
      <c r="L539" s="1" t="str">
        <f>VLOOKUP(Tabela1[[#This Row],[Cliente]],'BASE DE CLIENTES'!A:E,5,0)</f>
        <v>Águas Lindas de Goiás</v>
      </c>
    </row>
    <row r="540" spans="2:12" x14ac:dyDescent="0.3">
      <c r="B540" s="1" t="s">
        <v>66</v>
      </c>
      <c r="C540" s="4" t="str">
        <f>VLOOKUP(Tabela1[[#This Row],[Cliente]],'BASE DE CLIENTES'!A:E,2,0)</f>
        <v>Águas Lindas de Goiás</v>
      </c>
      <c r="D540" s="1" t="str">
        <f>VLOOKUP(Tabela1[[#This Row],[Cliente]],'BASE DE CLIENTES'!A:C,3,0)</f>
        <v>GO</v>
      </c>
      <c r="E540" s="4" t="str">
        <f>CONCATENATE(Tabela1[[#This Row],[CIDADE]],",",Tabela1[[#This Row],[UF]])</f>
        <v>Águas Lindas de Goiás,GO</v>
      </c>
      <c r="F540" s="2">
        <v>45877</v>
      </c>
      <c r="G540" s="17">
        <v>382.3</v>
      </c>
      <c r="H540" s="17">
        <v>620</v>
      </c>
      <c r="I540" s="6">
        <f>Tabela1[[#This Row],[Valor total]]-Tabela1[[#This Row],[Valor custo]]</f>
        <v>237.7</v>
      </c>
      <c r="J540" s="7">
        <f>Tabela1[[#This Row],[MARGEM BRUTA]]/Tabela1[[#This Row],[Valor total]]</f>
        <v>0.38338709677419353</v>
      </c>
      <c r="K540" s="1" t="str">
        <f>VLOOKUP(Tabela1[[#This Row],[Cliente]],'BASE DE CLIENTES'!A:D,4,0)</f>
        <v>EMPRESA COM MAQUINA</v>
      </c>
      <c r="L540" s="1" t="str">
        <f>VLOOKUP(Tabela1[[#This Row],[Cliente]],'BASE DE CLIENTES'!A:E,5,0)</f>
        <v>Águas Lindas de Goiás</v>
      </c>
    </row>
    <row r="541" spans="2:12" x14ac:dyDescent="0.3">
      <c r="B541" s="1" t="s">
        <v>104</v>
      </c>
      <c r="C541" s="4" t="str">
        <f>VLOOKUP(Tabela1[[#This Row],[Cliente]],'BASE DE CLIENTES'!A:E,2,0)</f>
        <v>Águas Lindas de Goiás</v>
      </c>
      <c r="D541" s="1" t="str">
        <f>VLOOKUP(Tabela1[[#This Row],[Cliente]],'BASE DE CLIENTES'!A:C,3,0)</f>
        <v>GO</v>
      </c>
      <c r="E541" s="4" t="str">
        <f>CONCATENATE(Tabela1[[#This Row],[CIDADE]],",",Tabela1[[#This Row],[UF]])</f>
        <v>Águas Lindas de Goiás,GO</v>
      </c>
      <c r="F541" s="2">
        <v>45877</v>
      </c>
      <c r="G541" s="17">
        <v>382.3</v>
      </c>
      <c r="H541" s="17">
        <v>545</v>
      </c>
      <c r="I541" s="6">
        <f>Tabela1[[#This Row],[Valor total]]-Tabela1[[#This Row],[Valor custo]]</f>
        <v>162.69999999999999</v>
      </c>
      <c r="J541" s="7">
        <f>Tabela1[[#This Row],[MARGEM BRUTA]]/Tabela1[[#This Row],[Valor total]]</f>
        <v>0.29853211009174307</v>
      </c>
      <c r="K541" s="1" t="str">
        <f>VLOOKUP(Tabela1[[#This Row],[Cliente]],'BASE DE CLIENTES'!A:D,4,0)</f>
        <v>EMPRESA SEM MAQUINA</v>
      </c>
      <c r="L541" s="1" t="str">
        <f>VLOOKUP(Tabela1[[#This Row],[Cliente]],'BASE DE CLIENTES'!A:E,5,0)</f>
        <v>Águas Lindas de Goiás</v>
      </c>
    </row>
    <row r="542" spans="2:12" x14ac:dyDescent="0.3">
      <c r="B542" s="1" t="s">
        <v>17</v>
      </c>
      <c r="C542" s="4" t="str">
        <f>VLOOKUP(Tabela1[[#This Row],[Cliente]],'BASE DE CLIENTES'!A:E,2,0)</f>
        <v>Águas Lindas de Goiás</v>
      </c>
      <c r="D542" s="1" t="str">
        <f>VLOOKUP(Tabela1[[#This Row],[Cliente]],'BASE DE CLIENTES'!A:C,3,0)</f>
        <v>GO</v>
      </c>
      <c r="E542" s="4" t="str">
        <f>CONCATENATE(Tabela1[[#This Row],[CIDADE]],",",Tabela1[[#This Row],[UF]])</f>
        <v>Águas Lindas de Goiás,GO</v>
      </c>
      <c r="F542" s="2">
        <v>45877</v>
      </c>
      <c r="G542" s="17">
        <v>455</v>
      </c>
      <c r="H542" s="17">
        <v>785</v>
      </c>
      <c r="I542" s="6">
        <f>Tabela1[[#This Row],[Valor total]]-Tabela1[[#This Row],[Valor custo]]</f>
        <v>330</v>
      </c>
      <c r="J542" s="7">
        <f>Tabela1[[#This Row],[MARGEM BRUTA]]/Tabela1[[#This Row],[Valor total]]</f>
        <v>0.42038216560509556</v>
      </c>
      <c r="K542" s="1" t="str">
        <f>VLOOKUP(Tabela1[[#This Row],[Cliente]],'BASE DE CLIENTES'!A:D,4,0)</f>
        <v>SERRALHEIRO</v>
      </c>
      <c r="L542" s="1" t="str">
        <f>VLOOKUP(Tabela1[[#This Row],[Cliente]],'BASE DE CLIENTES'!A:E,5,0)</f>
        <v>Águas Lindas de Goiás</v>
      </c>
    </row>
    <row r="543" spans="2:12" x14ac:dyDescent="0.3">
      <c r="B543" s="1" t="s">
        <v>66</v>
      </c>
      <c r="C543" s="4" t="str">
        <f>VLOOKUP(Tabela1[[#This Row],[Cliente]],'BASE DE CLIENTES'!A:E,2,0)</f>
        <v>Águas Lindas de Goiás</v>
      </c>
      <c r="D543" s="1" t="str">
        <f>VLOOKUP(Tabela1[[#This Row],[Cliente]],'BASE DE CLIENTES'!A:C,3,0)</f>
        <v>GO</v>
      </c>
      <c r="E543" s="4" t="str">
        <f>CONCATENATE(Tabela1[[#This Row],[CIDADE]],",",Tabela1[[#This Row],[UF]])</f>
        <v>Águas Lindas de Goiás,GO</v>
      </c>
      <c r="F543" s="2">
        <v>45876</v>
      </c>
      <c r="G543" s="17">
        <v>1832.6</v>
      </c>
      <c r="H543" s="17">
        <v>3000</v>
      </c>
      <c r="I543" s="6">
        <f>Tabela1[[#This Row],[Valor total]]-Tabela1[[#This Row],[Valor custo]]</f>
        <v>1167.4000000000001</v>
      </c>
      <c r="J543" s="7">
        <f>Tabela1[[#This Row],[MARGEM BRUTA]]/Tabela1[[#This Row],[Valor total]]</f>
        <v>0.38913333333333339</v>
      </c>
      <c r="K543" s="1" t="str">
        <f>VLOOKUP(Tabela1[[#This Row],[Cliente]],'BASE DE CLIENTES'!A:D,4,0)</f>
        <v>EMPRESA COM MAQUINA</v>
      </c>
      <c r="L543" s="1" t="str">
        <f>VLOOKUP(Tabela1[[#This Row],[Cliente]],'BASE DE CLIENTES'!A:E,5,0)</f>
        <v>Águas Lindas de Goiás</v>
      </c>
    </row>
    <row r="544" spans="2:12" x14ac:dyDescent="0.3">
      <c r="B544" s="1" t="s">
        <v>113</v>
      </c>
      <c r="C544" s="4" t="str">
        <f>VLOOKUP(Tabela1[[#This Row],[Cliente]],'BASE DE CLIENTES'!A:E,2,0)</f>
        <v>Brasília</v>
      </c>
      <c r="D544" s="1" t="str">
        <f>VLOOKUP(Tabela1[[#This Row],[Cliente]],'BASE DE CLIENTES'!A:C,3,0)</f>
        <v>DF</v>
      </c>
      <c r="E544" s="4" t="str">
        <f>CONCATENATE(Tabela1[[#This Row],[CIDADE]],",",Tabela1[[#This Row],[UF]])</f>
        <v>Brasília,DF</v>
      </c>
      <c r="F544" s="2">
        <v>45742</v>
      </c>
      <c r="G544" s="17">
        <v>3120.7</v>
      </c>
      <c r="H544" s="17">
        <v>4320</v>
      </c>
      <c r="I544" s="6">
        <f>Tabela1[[#This Row],[Valor total]]-Tabela1[[#This Row],[Valor custo]]</f>
        <v>1199.3000000000002</v>
      </c>
      <c r="J544" s="7">
        <f>Tabela1[[#This Row],[MARGEM BRUTA]]/Tabela1[[#This Row],[Valor total]]</f>
        <v>0.2776157407407408</v>
      </c>
      <c r="K544" s="1" t="str">
        <f>VLOOKUP(Tabela1[[#This Row],[Cliente]],'BASE DE CLIENTES'!A:D,4,0)</f>
        <v>EMPRESA COM MAQUINA</v>
      </c>
      <c r="L544" s="1" t="str">
        <f>VLOOKUP(Tabela1[[#This Row],[Cliente]],'BASE DE CLIENTES'!A:E,5,0)</f>
        <v>FAZENDA MESTRE D'ARMAS (ETAPA I - PLANALTINA)</v>
      </c>
    </row>
    <row r="545" spans="2:12" x14ac:dyDescent="0.3">
      <c r="B545" s="1" t="s">
        <v>66</v>
      </c>
      <c r="C545" s="4" t="str">
        <f>VLOOKUP(Tabela1[[#This Row],[Cliente]],'BASE DE CLIENTES'!A:E,2,0)</f>
        <v>Águas Lindas de Goiás</v>
      </c>
      <c r="D545" s="1" t="str">
        <f>VLOOKUP(Tabela1[[#This Row],[Cliente]],'BASE DE CLIENTES'!A:C,3,0)</f>
        <v>GO</v>
      </c>
      <c r="E545" s="4" t="str">
        <f>CONCATENATE(Tabela1[[#This Row],[CIDADE]],",",Tabela1[[#This Row],[UF]])</f>
        <v>Águas Lindas de Goiás,GO</v>
      </c>
      <c r="F545" s="2">
        <v>45874</v>
      </c>
      <c r="G545" s="17">
        <v>649</v>
      </c>
      <c r="H545" s="17">
        <v>1200</v>
      </c>
      <c r="I545" s="6">
        <f>Tabela1[[#This Row],[Valor total]]-Tabela1[[#This Row],[Valor custo]]</f>
        <v>551</v>
      </c>
      <c r="J545" s="7">
        <f>Tabela1[[#This Row],[MARGEM BRUTA]]/Tabela1[[#This Row],[Valor total]]</f>
        <v>0.45916666666666667</v>
      </c>
      <c r="K545" s="1" t="str">
        <f>VLOOKUP(Tabela1[[#This Row],[Cliente]],'BASE DE CLIENTES'!A:D,4,0)</f>
        <v>EMPRESA COM MAQUINA</v>
      </c>
      <c r="L545" s="1" t="str">
        <f>VLOOKUP(Tabela1[[#This Row],[Cliente]],'BASE DE CLIENTES'!A:E,5,0)</f>
        <v>Águas Lindas de Goiás</v>
      </c>
    </row>
    <row r="546" spans="2:12" x14ac:dyDescent="0.3">
      <c r="B546" s="1" t="s">
        <v>127</v>
      </c>
      <c r="C546" s="4" t="str">
        <f>VLOOKUP(Tabela1[[#This Row],[Cliente]],'BASE DE CLIENTES'!A:E,2,0)</f>
        <v>Brasília</v>
      </c>
      <c r="D546" s="1" t="str">
        <f>VLOOKUP(Tabela1[[#This Row],[Cliente]],'BASE DE CLIENTES'!A:C,3,0)</f>
        <v>DF</v>
      </c>
      <c r="E546" s="4" t="str">
        <f>CONCATENATE(Tabela1[[#This Row],[CIDADE]],",",Tabela1[[#This Row],[UF]])</f>
        <v>Brasília,DF</v>
      </c>
      <c r="F546" s="2">
        <v>45742</v>
      </c>
      <c r="G546" s="17">
        <v>1414.46</v>
      </c>
      <c r="H546" s="17">
        <v>2850</v>
      </c>
      <c r="I546" s="6">
        <f>Tabela1[[#This Row],[Valor total]]-Tabela1[[#This Row],[Valor custo]]</f>
        <v>1435.54</v>
      </c>
      <c r="J546" s="7">
        <f>Tabela1[[#This Row],[MARGEM BRUTA]]/Tabela1[[#This Row],[Valor total]]</f>
        <v>0.50369824561403509</v>
      </c>
      <c r="K546" s="1" t="str">
        <f>VLOOKUP(Tabela1[[#This Row],[Cliente]],'BASE DE CLIENTES'!A:D,4,0)</f>
        <v>EMPRESA COM MAQUINA</v>
      </c>
      <c r="L546" s="1" t="str">
        <f>VLOOKUP(Tabela1[[#This Row],[Cliente]],'BASE DE CLIENTES'!A:E,5,0)</f>
        <v>CEILANDIA SUL (CEILANDIA)</v>
      </c>
    </row>
    <row r="547" spans="2:12" x14ac:dyDescent="0.3">
      <c r="B547" s="1" t="s">
        <v>55</v>
      </c>
      <c r="C547" s="4" t="str">
        <f>VLOOKUP(Tabela1[[#This Row],[Cliente]],'BASE DE CLIENTES'!A:E,2,0)</f>
        <v>Brasília</v>
      </c>
      <c r="D547" s="1" t="str">
        <f>VLOOKUP(Tabela1[[#This Row],[Cliente]],'BASE DE CLIENTES'!A:C,3,0)</f>
        <v>DF</v>
      </c>
      <c r="E547" s="4" t="str">
        <f>CONCATENATE(Tabela1[[#This Row],[CIDADE]],",",Tabela1[[#This Row],[UF]])</f>
        <v>Brasília,DF</v>
      </c>
      <c r="F547" s="2">
        <v>45742</v>
      </c>
      <c r="G547" s="17">
        <v>439.2</v>
      </c>
      <c r="H547" s="17">
        <v>645</v>
      </c>
      <c r="I547" s="6">
        <f>Tabela1[[#This Row],[Valor total]]-Tabela1[[#This Row],[Valor custo]]</f>
        <v>205.8</v>
      </c>
      <c r="J547" s="7">
        <f>Tabela1[[#This Row],[MARGEM BRUTA]]/Tabela1[[#This Row],[Valor total]]</f>
        <v>0.3190697674418605</v>
      </c>
      <c r="K547" s="1" t="str">
        <f>VLOOKUP(Tabela1[[#This Row],[Cliente]],'BASE DE CLIENTES'!A:D,4,0)</f>
        <v>EMPRESA SEM MAQUINA</v>
      </c>
      <c r="L547" s="1" t="str">
        <f>VLOOKUP(Tabela1[[#This Row],[Cliente]],'BASE DE CLIENTES'!A:E,5,0)</f>
        <v>RECANTO DAS EMAS</v>
      </c>
    </row>
    <row r="548" spans="2:12" x14ac:dyDescent="0.3">
      <c r="B548" s="1" t="s">
        <v>17</v>
      </c>
      <c r="C548" s="4" t="str">
        <f>VLOOKUP(Tabela1[[#This Row],[Cliente]],'BASE DE CLIENTES'!A:E,2,0)</f>
        <v>Águas Lindas de Goiás</v>
      </c>
      <c r="D548" s="1" t="str">
        <f>VLOOKUP(Tabela1[[#This Row],[Cliente]],'BASE DE CLIENTES'!A:C,3,0)</f>
        <v>GO</v>
      </c>
      <c r="E548" s="4" t="str">
        <f>CONCATENATE(Tabela1[[#This Row],[CIDADE]],",",Tabela1[[#This Row],[UF]])</f>
        <v>Águas Lindas de Goiás,GO</v>
      </c>
      <c r="F548" s="2">
        <v>45873</v>
      </c>
      <c r="G548" s="17">
        <v>477</v>
      </c>
      <c r="H548" s="17">
        <v>840</v>
      </c>
      <c r="I548" s="6">
        <f>Tabela1[[#This Row],[Valor total]]-Tabela1[[#This Row],[Valor custo]]</f>
        <v>363</v>
      </c>
      <c r="J548" s="7">
        <f>Tabela1[[#This Row],[MARGEM BRUTA]]/Tabela1[[#This Row],[Valor total]]</f>
        <v>0.43214285714285716</v>
      </c>
      <c r="K548" s="1" t="str">
        <f>VLOOKUP(Tabela1[[#This Row],[Cliente]],'BASE DE CLIENTES'!A:D,4,0)</f>
        <v>SERRALHEIRO</v>
      </c>
      <c r="L548" s="1" t="str">
        <f>VLOOKUP(Tabela1[[#This Row],[Cliente]],'BASE DE CLIENTES'!A:E,5,0)</f>
        <v>Águas Lindas de Goiás</v>
      </c>
    </row>
    <row r="549" spans="2:12" x14ac:dyDescent="0.3">
      <c r="B549" s="1" t="s">
        <v>27</v>
      </c>
      <c r="C549" s="4" t="str">
        <f>VLOOKUP(Tabela1[[#This Row],[Cliente]],'BASE DE CLIENTES'!A:E,2,0)</f>
        <v>Brasília</v>
      </c>
      <c r="D549" s="1" t="str">
        <f>VLOOKUP(Tabela1[[#This Row],[Cliente]],'BASE DE CLIENTES'!A:C,3,0)</f>
        <v>DF</v>
      </c>
      <c r="E549" s="4" t="str">
        <f>CONCATENATE(Tabela1[[#This Row],[CIDADE]],",",Tabela1[[#This Row],[UF]])</f>
        <v>Brasília,DF</v>
      </c>
      <c r="F549" s="2">
        <v>45742</v>
      </c>
      <c r="G549" s="17">
        <v>953.65</v>
      </c>
      <c r="H549" s="17">
        <v>1310</v>
      </c>
      <c r="I549" s="6">
        <f>Tabela1[[#This Row],[Valor total]]-Tabela1[[#This Row],[Valor custo]]</f>
        <v>356.35</v>
      </c>
      <c r="J549" s="7">
        <f>Tabela1[[#This Row],[MARGEM BRUTA]]/Tabela1[[#This Row],[Valor total]]</f>
        <v>0.27202290076335878</v>
      </c>
      <c r="K549" s="1" t="str">
        <f>VLOOKUP(Tabela1[[#This Row],[Cliente]],'BASE DE CLIENTES'!A:D,4,0)</f>
        <v>EMPRESA SEM MAQUINA</v>
      </c>
      <c r="L549" s="1" t="str">
        <f>VLOOKUP(Tabela1[[#This Row],[Cliente]],'BASE DE CLIENTES'!A:E,5,0)</f>
        <v>RECANTO DAS EMAS</v>
      </c>
    </row>
    <row r="550" spans="2:12" x14ac:dyDescent="0.3">
      <c r="B550" s="1" t="s">
        <v>19</v>
      </c>
      <c r="C550" s="4" t="str">
        <f>VLOOKUP(Tabela1[[#This Row],[Cliente]],'BASE DE CLIENTES'!A:E,2,0)</f>
        <v>Águas Lindas de Goiás</v>
      </c>
      <c r="D550" s="1" t="str">
        <f>VLOOKUP(Tabela1[[#This Row],[Cliente]],'BASE DE CLIENTES'!A:C,3,0)</f>
        <v>GO</v>
      </c>
      <c r="E550" s="4" t="str">
        <f>CONCATENATE(Tabela1[[#This Row],[CIDADE]],",",Tabela1[[#This Row],[UF]])</f>
        <v>Águas Lindas de Goiás,GO</v>
      </c>
      <c r="F550" s="2">
        <v>45873</v>
      </c>
      <c r="G550" s="17">
        <v>50</v>
      </c>
      <c r="H550" s="17">
        <v>60</v>
      </c>
      <c r="I550" s="6">
        <f>Tabela1[[#This Row],[Valor total]]-Tabela1[[#This Row],[Valor custo]]</f>
        <v>10</v>
      </c>
      <c r="J550" s="7">
        <f>Tabela1[[#This Row],[MARGEM BRUTA]]/Tabela1[[#This Row],[Valor total]]</f>
        <v>0.16666666666666666</v>
      </c>
      <c r="K550" s="1" t="str">
        <f>VLOOKUP(Tabela1[[#This Row],[Cliente]],'BASE DE CLIENTES'!A:D,4,0)</f>
        <v>SERRALHEIRO</v>
      </c>
      <c r="L550" s="1" t="str">
        <f>VLOOKUP(Tabela1[[#This Row],[Cliente]],'BASE DE CLIENTES'!A:E,5,0)</f>
        <v>Águas Lindas de Goiás</v>
      </c>
    </row>
    <row r="551" spans="2:12" x14ac:dyDescent="0.3">
      <c r="B551" s="1" t="s">
        <v>68</v>
      </c>
      <c r="C551" s="4" t="str">
        <f>VLOOKUP(Tabela1[[#This Row],[Cliente]],'BASE DE CLIENTES'!A:E,2,0)</f>
        <v>Brasília</v>
      </c>
      <c r="D551" s="1" t="str">
        <f>VLOOKUP(Tabela1[[#This Row],[Cliente]],'BASE DE CLIENTES'!A:C,3,0)</f>
        <v>DF</v>
      </c>
      <c r="E551" s="4" t="str">
        <f>CONCATENATE(Tabela1[[#This Row],[CIDADE]],",",Tabela1[[#This Row],[UF]])</f>
        <v>Brasília,DF</v>
      </c>
      <c r="F551" s="2">
        <v>45742</v>
      </c>
      <c r="G551" s="17">
        <v>718.57</v>
      </c>
      <c r="H551" s="17">
        <v>1350</v>
      </c>
      <c r="I551" s="6">
        <f>Tabela1[[#This Row],[Valor total]]-Tabela1[[#This Row],[Valor custo]]</f>
        <v>631.42999999999995</v>
      </c>
      <c r="J551" s="7">
        <f>Tabela1[[#This Row],[MARGEM BRUTA]]/Tabela1[[#This Row],[Valor total]]</f>
        <v>0.46772592592592588</v>
      </c>
      <c r="K551" s="1" t="str">
        <f>VLOOKUP(Tabela1[[#This Row],[Cliente]],'BASE DE CLIENTES'!A:D,4,0)</f>
        <v>EMPRESA COM MAQUINA</v>
      </c>
      <c r="L551" s="1" t="str">
        <f>VLOOKUP(Tabela1[[#This Row],[Cliente]],'BASE DE CLIENTES'!A:E,5,0)</f>
        <v>SAMAMBAIA SUL (SAMAMBAIA)</v>
      </c>
    </row>
    <row r="552" spans="2:12" x14ac:dyDescent="0.3">
      <c r="B552" s="1" t="s">
        <v>19</v>
      </c>
      <c r="C552" s="4" t="str">
        <f>VLOOKUP(Tabela1[[#This Row],[Cliente]],'BASE DE CLIENTES'!A:E,2,0)</f>
        <v>Águas Lindas de Goiás</v>
      </c>
      <c r="D552" s="1" t="str">
        <f>VLOOKUP(Tabela1[[#This Row],[Cliente]],'BASE DE CLIENTES'!A:C,3,0)</f>
        <v>GO</v>
      </c>
      <c r="E552" s="4" t="str">
        <f>CONCATENATE(Tabela1[[#This Row],[CIDADE]],",",Tabela1[[#This Row],[UF]])</f>
        <v>Águas Lindas de Goiás,GO</v>
      </c>
      <c r="F552" s="2">
        <v>45873</v>
      </c>
      <c r="G552" s="17">
        <v>379.86</v>
      </c>
      <c r="H552" s="17">
        <v>770</v>
      </c>
      <c r="I552" s="6">
        <f>Tabela1[[#This Row],[Valor total]]-Tabela1[[#This Row],[Valor custo]]</f>
        <v>390.14</v>
      </c>
      <c r="J552" s="7">
        <f>Tabela1[[#This Row],[MARGEM BRUTA]]/Tabela1[[#This Row],[Valor total]]</f>
        <v>0.50667532467532461</v>
      </c>
      <c r="K552" s="1" t="str">
        <f>VLOOKUP(Tabela1[[#This Row],[Cliente]],'BASE DE CLIENTES'!A:D,4,0)</f>
        <v>SERRALHEIRO</v>
      </c>
      <c r="L552" s="1" t="str">
        <f>VLOOKUP(Tabela1[[#This Row],[Cliente]],'BASE DE CLIENTES'!A:E,5,0)</f>
        <v>Águas Lindas de Goiás</v>
      </c>
    </row>
    <row r="553" spans="2:12" x14ac:dyDescent="0.3">
      <c r="B553" s="1" t="s">
        <v>68</v>
      </c>
      <c r="C553" s="4" t="str">
        <f>VLOOKUP(Tabela1[[#This Row],[Cliente]],'BASE DE CLIENTES'!A:E,2,0)</f>
        <v>Brasília</v>
      </c>
      <c r="D553" s="1" t="str">
        <f>VLOOKUP(Tabela1[[#This Row],[Cliente]],'BASE DE CLIENTES'!A:C,3,0)</f>
        <v>DF</v>
      </c>
      <c r="E553" s="4" t="str">
        <f>CONCATENATE(Tabela1[[#This Row],[CIDADE]],",",Tabela1[[#This Row],[UF]])</f>
        <v>Brasília,DF</v>
      </c>
      <c r="F553" s="2">
        <v>45742</v>
      </c>
      <c r="G553" s="17">
        <v>409.87</v>
      </c>
      <c r="H553" s="17">
        <v>585</v>
      </c>
      <c r="I553" s="6">
        <f>Tabela1[[#This Row],[Valor total]]-Tabela1[[#This Row],[Valor custo]]</f>
        <v>175.13</v>
      </c>
      <c r="J553" s="7">
        <f>Tabela1[[#This Row],[MARGEM BRUTA]]/Tabela1[[#This Row],[Valor total]]</f>
        <v>0.29936752136752137</v>
      </c>
      <c r="K553" s="1" t="str">
        <f>VLOOKUP(Tabela1[[#This Row],[Cliente]],'BASE DE CLIENTES'!A:D,4,0)</f>
        <v>EMPRESA COM MAQUINA</v>
      </c>
      <c r="L553" s="1" t="str">
        <f>VLOOKUP(Tabela1[[#This Row],[Cliente]],'BASE DE CLIENTES'!A:E,5,0)</f>
        <v>SAMAMBAIA SUL (SAMAMBAIA)</v>
      </c>
    </row>
    <row r="554" spans="2:12" x14ac:dyDescent="0.3">
      <c r="B554" s="1" t="s">
        <v>104</v>
      </c>
      <c r="C554" s="4" t="str">
        <f>VLOOKUP(Tabela1[[#This Row],[Cliente]],'BASE DE CLIENTES'!A:E,2,0)</f>
        <v>Águas Lindas de Goiás</v>
      </c>
      <c r="D554" s="1" t="str">
        <f>VLOOKUP(Tabela1[[#This Row],[Cliente]],'BASE DE CLIENTES'!A:C,3,0)</f>
        <v>GO</v>
      </c>
      <c r="E554" s="4" t="str">
        <f>CONCATENATE(Tabela1[[#This Row],[CIDADE]],",",Tabela1[[#This Row],[UF]])</f>
        <v>Águas Lindas de Goiás,GO</v>
      </c>
      <c r="F554" s="2">
        <v>45870</v>
      </c>
      <c r="G554" s="17">
        <v>40</v>
      </c>
      <c r="H554" s="17">
        <v>90</v>
      </c>
      <c r="I554" s="6">
        <f>Tabela1[[#This Row],[Valor total]]-Tabela1[[#This Row],[Valor custo]]</f>
        <v>50</v>
      </c>
      <c r="J554" s="7">
        <f>Tabela1[[#This Row],[MARGEM BRUTA]]/Tabela1[[#This Row],[Valor total]]</f>
        <v>0.55555555555555558</v>
      </c>
      <c r="K554" s="1" t="str">
        <f>VLOOKUP(Tabela1[[#This Row],[Cliente]],'BASE DE CLIENTES'!A:D,4,0)</f>
        <v>EMPRESA SEM MAQUINA</v>
      </c>
      <c r="L554" s="1" t="str">
        <f>VLOOKUP(Tabela1[[#This Row],[Cliente]],'BASE DE CLIENTES'!A:E,5,0)</f>
        <v>Águas Lindas de Goiás</v>
      </c>
    </row>
    <row r="555" spans="2:12" x14ac:dyDescent="0.3">
      <c r="B555" s="1" t="s">
        <v>136</v>
      </c>
      <c r="C555" s="4" t="str">
        <f>VLOOKUP(Tabela1[[#This Row],[Cliente]],'BASE DE CLIENTES'!A:E,2,0)</f>
        <v>Brasília</v>
      </c>
      <c r="D555" s="1" t="str">
        <f>VLOOKUP(Tabela1[[#This Row],[Cliente]],'BASE DE CLIENTES'!A:C,3,0)</f>
        <v>DF</v>
      </c>
      <c r="E555" s="4" t="str">
        <f>CONCATENATE(Tabela1[[#This Row],[CIDADE]],",",Tabela1[[#This Row],[UF]])</f>
        <v>Brasília,DF</v>
      </c>
      <c r="F555" s="2">
        <v>45831</v>
      </c>
      <c r="G555" s="17">
        <v>691.26</v>
      </c>
      <c r="H555" s="17">
        <v>920</v>
      </c>
      <c r="I555" s="6">
        <f>Tabela1[[#This Row],[Valor total]]-Tabela1[[#This Row],[Valor custo]]</f>
        <v>228.74</v>
      </c>
      <c r="J555" s="7">
        <f>Tabela1[[#This Row],[MARGEM BRUTA]]/Tabela1[[#This Row],[Valor total]]</f>
        <v>0.24863043478260871</v>
      </c>
      <c r="K555" s="1" t="str">
        <f>VLOOKUP(Tabela1[[#This Row],[Cliente]],'BASE DE CLIENTES'!A:D,4,0)</f>
        <v>SEM CLASSIFICAÇÃO</v>
      </c>
      <c r="L555" s="1" t="str">
        <f>VLOOKUP(Tabela1[[#This Row],[Cliente]],'BASE DE CLIENTES'!A:E,5,0)</f>
        <v>SAMAMBAIA NORTE (SAMAMBAIA)</v>
      </c>
    </row>
    <row r="556" spans="2:12" x14ac:dyDescent="0.3">
      <c r="B556" s="1" t="s">
        <v>66</v>
      </c>
      <c r="C556" s="4" t="str">
        <f>VLOOKUP(Tabela1[[#This Row],[Cliente]],'BASE DE CLIENTES'!A:E,2,0)</f>
        <v>Águas Lindas de Goiás</v>
      </c>
      <c r="D556" s="1" t="str">
        <f>VLOOKUP(Tabela1[[#This Row],[Cliente]],'BASE DE CLIENTES'!A:C,3,0)</f>
        <v>GO</v>
      </c>
      <c r="E556" s="4" t="str">
        <f>CONCATENATE(Tabela1[[#This Row],[CIDADE]],",",Tabela1[[#This Row],[UF]])</f>
        <v>Águas Lindas de Goiás,GO</v>
      </c>
      <c r="F556" s="2">
        <v>45870</v>
      </c>
      <c r="G556" s="17">
        <v>382.3</v>
      </c>
      <c r="H556" s="17">
        <v>615</v>
      </c>
      <c r="I556" s="6">
        <f>Tabela1[[#This Row],[Valor total]]-Tabela1[[#This Row],[Valor custo]]</f>
        <v>232.7</v>
      </c>
      <c r="J556" s="7">
        <f>Tabela1[[#This Row],[MARGEM BRUTA]]/Tabela1[[#This Row],[Valor total]]</f>
        <v>0.37837398373983738</v>
      </c>
      <c r="K556" s="1" t="str">
        <f>VLOOKUP(Tabela1[[#This Row],[Cliente]],'BASE DE CLIENTES'!A:D,4,0)</f>
        <v>EMPRESA COM MAQUINA</v>
      </c>
      <c r="L556" s="1" t="str">
        <f>VLOOKUP(Tabela1[[#This Row],[Cliente]],'BASE DE CLIENTES'!A:E,5,0)</f>
        <v>Águas Lindas de Goiás</v>
      </c>
    </row>
    <row r="557" spans="2:12" x14ac:dyDescent="0.3">
      <c r="B557" s="1" t="s">
        <v>66</v>
      </c>
      <c r="C557" s="4" t="str">
        <f>VLOOKUP(Tabela1[[#This Row],[Cliente]],'BASE DE CLIENTES'!A:E,2,0)</f>
        <v>Águas Lindas de Goiás</v>
      </c>
      <c r="D557" s="1" t="str">
        <f>VLOOKUP(Tabela1[[#This Row],[Cliente]],'BASE DE CLIENTES'!A:C,3,0)</f>
        <v>GO</v>
      </c>
      <c r="E557" s="4" t="str">
        <f>CONCATENATE(Tabela1[[#This Row],[CIDADE]],",",Tabela1[[#This Row],[UF]])</f>
        <v>Águas Lindas de Goiás,GO</v>
      </c>
      <c r="F557" s="2">
        <v>45870</v>
      </c>
      <c r="G557" s="17">
        <v>382.3</v>
      </c>
      <c r="H557" s="17">
        <v>615</v>
      </c>
      <c r="I557" s="6">
        <f>Tabela1[[#This Row],[Valor total]]-Tabela1[[#This Row],[Valor custo]]</f>
        <v>232.7</v>
      </c>
      <c r="J557" s="7">
        <f>Tabela1[[#This Row],[MARGEM BRUTA]]/Tabela1[[#This Row],[Valor total]]</f>
        <v>0.37837398373983738</v>
      </c>
      <c r="K557" s="1" t="str">
        <f>VLOOKUP(Tabela1[[#This Row],[Cliente]],'BASE DE CLIENTES'!A:D,4,0)</f>
        <v>EMPRESA COM MAQUINA</v>
      </c>
      <c r="L557" s="1" t="str">
        <f>VLOOKUP(Tabela1[[#This Row],[Cliente]],'BASE DE CLIENTES'!A:E,5,0)</f>
        <v>Águas Lindas de Goiás</v>
      </c>
    </row>
    <row r="558" spans="2:12" x14ac:dyDescent="0.3">
      <c r="B558" s="1" t="s">
        <v>76</v>
      </c>
      <c r="C558" s="4" t="str">
        <f>VLOOKUP(Tabela1[[#This Row],[Cliente]],'BASE DE CLIENTES'!A:E,2,0)</f>
        <v>Brasília</v>
      </c>
      <c r="D558" s="1" t="str">
        <f>VLOOKUP(Tabela1[[#This Row],[Cliente]],'BASE DE CLIENTES'!A:C,3,0)</f>
        <v>DF</v>
      </c>
      <c r="E558" s="4" t="str">
        <f>CONCATENATE(Tabela1[[#This Row],[CIDADE]],",",Tabela1[[#This Row],[UF]])</f>
        <v>Brasília,DF</v>
      </c>
      <c r="F558" s="2">
        <v>45741</v>
      </c>
      <c r="G558" s="17">
        <v>1317.6</v>
      </c>
      <c r="H558" s="17">
        <v>1845</v>
      </c>
      <c r="I558" s="6">
        <f>Tabela1[[#This Row],[Valor total]]-Tabela1[[#This Row],[Valor custo]]</f>
        <v>527.40000000000009</v>
      </c>
      <c r="J558" s="7">
        <f>Tabela1[[#This Row],[MARGEM BRUTA]]/Tabela1[[#This Row],[Valor total]]</f>
        <v>0.2858536585365854</v>
      </c>
      <c r="K558" s="1" t="str">
        <f>VLOOKUP(Tabela1[[#This Row],[Cliente]],'BASE DE CLIENTES'!A:D,4,0)</f>
        <v>EMPRESA COM MAQUINA</v>
      </c>
      <c r="L558" s="1" t="str">
        <f>VLOOKUP(Tabela1[[#This Row],[Cliente]],'BASE DE CLIENTES'!A:E,5,0)</f>
        <v>Setor Placa da Mercedes (Núcleo Bandeirante)</v>
      </c>
    </row>
    <row r="559" spans="2:12" x14ac:dyDescent="0.3">
      <c r="B559" s="1" t="s">
        <v>85</v>
      </c>
      <c r="C559" s="4" t="str">
        <f>VLOOKUP(Tabela1[[#This Row],[Cliente]],'BASE DE CLIENTES'!A:E,2,0)</f>
        <v>Brasília</v>
      </c>
      <c r="D559" s="1" t="str">
        <f>VLOOKUP(Tabela1[[#This Row],[Cliente]],'BASE DE CLIENTES'!A:C,3,0)</f>
        <v>DF</v>
      </c>
      <c r="E559" s="4" t="str">
        <f>CONCATENATE(Tabela1[[#This Row],[CIDADE]],",",Tabela1[[#This Row],[UF]])</f>
        <v>Brasília,DF</v>
      </c>
      <c r="F559" s="2">
        <v>45741</v>
      </c>
      <c r="G559" s="17">
        <v>104.4</v>
      </c>
      <c r="H559" s="17">
        <v>350</v>
      </c>
      <c r="I559" s="6">
        <f>Tabela1[[#This Row],[Valor total]]-Tabela1[[#This Row],[Valor custo]]</f>
        <v>245.6</v>
      </c>
      <c r="J559" s="7">
        <f>Tabela1[[#This Row],[MARGEM BRUTA]]/Tabela1[[#This Row],[Valor total]]</f>
        <v>0.70171428571428573</v>
      </c>
      <c r="K559" s="1" t="str">
        <f>VLOOKUP(Tabela1[[#This Row],[Cliente]],'BASE DE CLIENTES'!A:D,4,0)</f>
        <v>SERRALHEIRO</v>
      </c>
      <c r="L559" s="1" t="str">
        <f>VLOOKUP(Tabela1[[#This Row],[Cliente]],'BASE DE CLIENTES'!A:E,5,0)</f>
        <v>SAMAMBAIA NORTE (SAMAMBAIA)</v>
      </c>
    </row>
    <row r="560" spans="2:12" x14ac:dyDescent="0.3">
      <c r="B560" s="1" t="s">
        <v>127</v>
      </c>
      <c r="C560" s="4" t="str">
        <f>VLOOKUP(Tabela1[[#This Row],[Cliente]],'BASE DE CLIENTES'!A:E,2,0)</f>
        <v>Brasília</v>
      </c>
      <c r="D560" s="1" t="str">
        <f>VLOOKUP(Tabela1[[#This Row],[Cliente]],'BASE DE CLIENTES'!A:C,3,0)</f>
        <v>DF</v>
      </c>
      <c r="E560" s="4" t="str">
        <f>CONCATENATE(Tabela1[[#This Row],[CIDADE]],",",Tabela1[[#This Row],[UF]])</f>
        <v>Brasília,DF</v>
      </c>
      <c r="F560" s="2">
        <v>45741</v>
      </c>
      <c r="G560" s="17">
        <v>439.2</v>
      </c>
      <c r="H560" s="17">
        <v>645</v>
      </c>
      <c r="I560" s="6">
        <f>Tabela1[[#This Row],[Valor total]]-Tabela1[[#This Row],[Valor custo]]</f>
        <v>205.8</v>
      </c>
      <c r="J560" s="7">
        <f>Tabela1[[#This Row],[MARGEM BRUTA]]/Tabela1[[#This Row],[Valor total]]</f>
        <v>0.3190697674418605</v>
      </c>
      <c r="K560" s="1" t="str">
        <f>VLOOKUP(Tabela1[[#This Row],[Cliente]],'BASE DE CLIENTES'!A:D,4,0)</f>
        <v>EMPRESA COM MAQUINA</v>
      </c>
      <c r="L560" s="1" t="str">
        <f>VLOOKUP(Tabela1[[#This Row],[Cliente]],'BASE DE CLIENTES'!A:E,5,0)</f>
        <v>CEILANDIA SUL (CEILANDIA)</v>
      </c>
    </row>
    <row r="561" spans="2:12" x14ac:dyDescent="0.3">
      <c r="B561" s="1" t="s">
        <v>55</v>
      </c>
      <c r="C561" s="4" t="str">
        <f>VLOOKUP(Tabela1[[#This Row],[Cliente]],'BASE DE CLIENTES'!A:E,2,0)</f>
        <v>Brasília</v>
      </c>
      <c r="D561" s="1" t="str">
        <f>VLOOKUP(Tabela1[[#This Row],[Cliente]],'BASE DE CLIENTES'!A:C,3,0)</f>
        <v>DF</v>
      </c>
      <c r="E561" s="4" t="str">
        <f>CONCATENATE(Tabela1[[#This Row],[CIDADE]],",",Tabela1[[#This Row],[UF]])</f>
        <v>Brasília,DF</v>
      </c>
      <c r="F561" s="2">
        <v>45741</v>
      </c>
      <c r="G561" s="17">
        <v>3.53</v>
      </c>
      <c r="H561" s="17">
        <v>8</v>
      </c>
      <c r="I561" s="6">
        <f>Tabela1[[#This Row],[Valor total]]-Tabela1[[#This Row],[Valor custo]]</f>
        <v>4.4700000000000006</v>
      </c>
      <c r="J561" s="7">
        <f>Tabela1[[#This Row],[MARGEM BRUTA]]/Tabela1[[#This Row],[Valor total]]</f>
        <v>0.55875000000000008</v>
      </c>
      <c r="K561" s="1" t="str">
        <f>VLOOKUP(Tabela1[[#This Row],[Cliente]],'BASE DE CLIENTES'!A:D,4,0)</f>
        <v>EMPRESA SEM MAQUINA</v>
      </c>
      <c r="L561" s="1" t="str">
        <f>VLOOKUP(Tabela1[[#This Row],[Cliente]],'BASE DE CLIENTES'!A:E,5,0)</f>
        <v>RECANTO DAS EMAS</v>
      </c>
    </row>
    <row r="562" spans="2:12" x14ac:dyDescent="0.3">
      <c r="B562" s="1" t="s">
        <v>55</v>
      </c>
      <c r="C562" s="4" t="str">
        <f>VLOOKUP(Tabela1[[#This Row],[Cliente]],'BASE DE CLIENTES'!A:E,2,0)</f>
        <v>Brasília</v>
      </c>
      <c r="D562" s="1" t="str">
        <f>VLOOKUP(Tabela1[[#This Row],[Cliente]],'BASE DE CLIENTES'!A:C,3,0)</f>
        <v>DF</v>
      </c>
      <c r="E562" s="4" t="str">
        <f>CONCATENATE(Tabela1[[#This Row],[CIDADE]],",",Tabela1[[#This Row],[UF]])</f>
        <v>Brasília,DF</v>
      </c>
      <c r="F562" s="2">
        <v>45741</v>
      </c>
      <c r="G562" s="17">
        <v>57.13</v>
      </c>
      <c r="H562" s="17">
        <v>220</v>
      </c>
      <c r="I562" s="6">
        <f>Tabela1[[#This Row],[Valor total]]-Tabela1[[#This Row],[Valor custo]]</f>
        <v>162.87</v>
      </c>
      <c r="J562" s="7">
        <f>Tabela1[[#This Row],[MARGEM BRUTA]]/Tabela1[[#This Row],[Valor total]]</f>
        <v>0.74031818181818188</v>
      </c>
      <c r="K562" s="1" t="str">
        <f>VLOOKUP(Tabela1[[#This Row],[Cliente]],'BASE DE CLIENTES'!A:D,4,0)</f>
        <v>EMPRESA SEM MAQUINA</v>
      </c>
      <c r="L562" s="1" t="str">
        <f>VLOOKUP(Tabela1[[#This Row],[Cliente]],'BASE DE CLIENTES'!A:E,5,0)</f>
        <v>RECANTO DAS EMAS</v>
      </c>
    </row>
    <row r="563" spans="2:12" x14ac:dyDescent="0.3">
      <c r="B563" s="1" t="s">
        <v>27</v>
      </c>
      <c r="C563" s="4" t="str">
        <f>VLOOKUP(Tabela1[[#This Row],[Cliente]],'BASE DE CLIENTES'!A:E,2,0)</f>
        <v>Brasília</v>
      </c>
      <c r="D563" s="1" t="str">
        <f>VLOOKUP(Tabela1[[#This Row],[Cliente]],'BASE DE CLIENTES'!A:C,3,0)</f>
        <v>DF</v>
      </c>
      <c r="E563" s="4" t="str">
        <f>CONCATENATE(Tabela1[[#This Row],[CIDADE]],",",Tabela1[[#This Row],[UF]])</f>
        <v>Brasília,DF</v>
      </c>
      <c r="F563" s="2">
        <v>45741</v>
      </c>
      <c r="G563" s="17">
        <v>1493.1</v>
      </c>
      <c r="H563" s="17">
        <v>2030</v>
      </c>
      <c r="I563" s="6">
        <f>Tabela1[[#This Row],[Valor total]]-Tabela1[[#This Row],[Valor custo]]</f>
        <v>536.90000000000009</v>
      </c>
      <c r="J563" s="7">
        <f>Tabela1[[#This Row],[MARGEM BRUTA]]/Tabela1[[#This Row],[Valor total]]</f>
        <v>0.26448275862068971</v>
      </c>
      <c r="K563" s="1" t="str">
        <f>VLOOKUP(Tabela1[[#This Row],[Cliente]],'BASE DE CLIENTES'!A:D,4,0)</f>
        <v>EMPRESA SEM MAQUINA</v>
      </c>
      <c r="L563" s="1" t="str">
        <f>VLOOKUP(Tabela1[[#This Row],[Cliente]],'BASE DE CLIENTES'!A:E,5,0)</f>
        <v>RECANTO DAS EMAS</v>
      </c>
    </row>
    <row r="564" spans="2:12" x14ac:dyDescent="0.3">
      <c r="B564" s="1" t="s">
        <v>137</v>
      </c>
      <c r="C564" s="4" t="str">
        <f>VLOOKUP(Tabela1[[#This Row],[Cliente]],'BASE DE CLIENTES'!A:E,2,0)</f>
        <v>Brasília</v>
      </c>
      <c r="D564" s="1" t="str">
        <f>VLOOKUP(Tabela1[[#This Row],[Cliente]],'BASE DE CLIENTES'!A:C,3,0)</f>
        <v>DF</v>
      </c>
      <c r="E564" s="4" t="str">
        <f>CONCATENATE(Tabela1[[#This Row],[CIDADE]],",",Tabela1[[#This Row],[UF]])</f>
        <v>Brasília,DF</v>
      </c>
      <c r="F564" s="2">
        <v>45741</v>
      </c>
      <c r="G564" s="17">
        <v>25.92</v>
      </c>
      <c r="H564" s="17">
        <v>38</v>
      </c>
      <c r="I564" s="6">
        <f>Tabela1[[#This Row],[Valor total]]-Tabela1[[#This Row],[Valor custo]]</f>
        <v>12.079999999999998</v>
      </c>
      <c r="J564" s="7">
        <f>Tabela1[[#This Row],[MARGEM BRUTA]]/Tabela1[[#This Row],[Valor total]]</f>
        <v>0.31789473684210523</v>
      </c>
      <c r="K564" s="1" t="str">
        <f>VLOOKUP(Tabela1[[#This Row],[Cliente]],'BASE DE CLIENTES'!A:D,4,0)</f>
        <v>SÓCIO</v>
      </c>
      <c r="L564" s="1" t="str">
        <f>VLOOKUP(Tabela1[[#This Row],[Cliente]],'BASE DE CLIENTES'!A:E,5,0)</f>
        <v>Taguatinga Sul (Taguatinga)</v>
      </c>
    </row>
    <row r="565" spans="2:12" x14ac:dyDescent="0.3">
      <c r="B565" s="1" t="s">
        <v>104</v>
      </c>
      <c r="C565" s="4" t="str">
        <f>VLOOKUP(Tabela1[[#This Row],[Cliente]],'BASE DE CLIENTES'!A:E,2,0)</f>
        <v>Águas Lindas de Goiás</v>
      </c>
      <c r="D565" s="1" t="str">
        <f>VLOOKUP(Tabela1[[#This Row],[Cliente]],'BASE DE CLIENTES'!A:C,3,0)</f>
        <v>GO</v>
      </c>
      <c r="E565" s="4" t="str">
        <f>CONCATENATE(Tabela1[[#This Row],[CIDADE]],",",Tabela1[[#This Row],[UF]])</f>
        <v>Águas Lindas de Goiás,GO</v>
      </c>
      <c r="F565" s="2">
        <v>45870</v>
      </c>
      <c r="G565" s="17">
        <v>454.4</v>
      </c>
      <c r="H565" s="17">
        <v>965</v>
      </c>
      <c r="I565" s="6">
        <f>Tabela1[[#This Row],[Valor total]]-Tabela1[[#This Row],[Valor custo]]</f>
        <v>510.6</v>
      </c>
      <c r="J565" s="7">
        <f>Tabela1[[#This Row],[MARGEM BRUTA]]/Tabela1[[#This Row],[Valor total]]</f>
        <v>0.52911917098445593</v>
      </c>
      <c r="K565" s="1" t="str">
        <f>VLOOKUP(Tabela1[[#This Row],[Cliente]],'BASE DE CLIENTES'!A:D,4,0)</f>
        <v>EMPRESA SEM MAQUINA</v>
      </c>
      <c r="L565" s="1" t="str">
        <f>VLOOKUP(Tabela1[[#This Row],[Cliente]],'BASE DE CLIENTES'!A:E,5,0)</f>
        <v>Águas Lindas de Goiás</v>
      </c>
    </row>
    <row r="566" spans="2:12" x14ac:dyDescent="0.3">
      <c r="B566" s="1" t="s">
        <v>19</v>
      </c>
      <c r="C566" s="4" t="str">
        <f>VLOOKUP(Tabela1[[#This Row],[Cliente]],'BASE DE CLIENTES'!A:E,2,0)</f>
        <v>Águas Lindas de Goiás</v>
      </c>
      <c r="D566" s="1" t="str">
        <f>VLOOKUP(Tabela1[[#This Row],[Cliente]],'BASE DE CLIENTES'!A:C,3,0)</f>
        <v>GO</v>
      </c>
      <c r="E566" s="4" t="str">
        <f>CONCATENATE(Tabela1[[#This Row],[CIDADE]],",",Tabela1[[#This Row],[UF]])</f>
        <v>Águas Lindas de Goiás,GO</v>
      </c>
      <c r="F566" s="2">
        <v>45930</v>
      </c>
      <c r="G566" s="17">
        <v>147.12</v>
      </c>
      <c r="H566" s="17">
        <v>200</v>
      </c>
      <c r="I566" s="6">
        <f>Tabela1[[#This Row],[Valor total]]-Tabela1[[#This Row],[Valor custo]]</f>
        <v>52.879999999999995</v>
      </c>
      <c r="J566" s="7">
        <f>Tabela1[[#This Row],[MARGEM BRUTA]]/Tabela1[[#This Row],[Valor total]]</f>
        <v>0.26439999999999997</v>
      </c>
      <c r="K566" s="1" t="str">
        <f>VLOOKUP(Tabela1[[#This Row],[Cliente]],'BASE DE CLIENTES'!A:D,4,0)</f>
        <v>SERRALHEIRO</v>
      </c>
      <c r="L566" s="1" t="str">
        <f>VLOOKUP(Tabela1[[#This Row],[Cliente]],'BASE DE CLIENTES'!A:E,5,0)</f>
        <v>Águas Lindas de Goiás</v>
      </c>
    </row>
    <row r="567" spans="2:12" x14ac:dyDescent="0.3">
      <c r="B567" s="1" t="s">
        <v>17</v>
      </c>
      <c r="C567" s="4" t="str">
        <f>VLOOKUP(Tabela1[[#This Row],[Cliente]],'BASE DE CLIENTES'!A:E,2,0)</f>
        <v>Águas Lindas de Goiás</v>
      </c>
      <c r="D567" s="1" t="str">
        <f>VLOOKUP(Tabela1[[#This Row],[Cliente]],'BASE DE CLIENTES'!A:C,3,0)</f>
        <v>GO</v>
      </c>
      <c r="E567" s="4" t="str">
        <f>CONCATENATE(Tabela1[[#This Row],[CIDADE]],",",Tabela1[[#This Row],[UF]])</f>
        <v>Águas Lindas de Goiás,GO</v>
      </c>
      <c r="F567" s="2">
        <v>45929</v>
      </c>
      <c r="G567" s="17">
        <v>54.43</v>
      </c>
      <c r="H567" s="17">
        <v>55</v>
      </c>
      <c r="I567" s="6">
        <f>Tabela1[[#This Row],[Valor total]]-Tabela1[[#This Row],[Valor custo]]</f>
        <v>0.57000000000000028</v>
      </c>
      <c r="J567" s="7">
        <f>Tabela1[[#This Row],[MARGEM BRUTA]]/Tabela1[[#This Row],[Valor total]]</f>
        <v>1.0363636363636368E-2</v>
      </c>
      <c r="K567" s="1" t="str">
        <f>VLOOKUP(Tabela1[[#This Row],[Cliente]],'BASE DE CLIENTES'!A:D,4,0)</f>
        <v>SERRALHEIRO</v>
      </c>
      <c r="L567" s="1" t="str">
        <f>VLOOKUP(Tabela1[[#This Row],[Cliente]],'BASE DE CLIENTES'!A:E,5,0)</f>
        <v>Águas Lindas de Goiás</v>
      </c>
    </row>
    <row r="568" spans="2:12" x14ac:dyDescent="0.3">
      <c r="B568" s="1" t="s">
        <v>19</v>
      </c>
      <c r="C568" s="4" t="str">
        <f>VLOOKUP(Tabela1[[#This Row],[Cliente]],'BASE DE CLIENTES'!A:E,2,0)</f>
        <v>Águas Lindas de Goiás</v>
      </c>
      <c r="D568" s="1" t="str">
        <f>VLOOKUP(Tabela1[[#This Row],[Cliente]],'BASE DE CLIENTES'!A:C,3,0)</f>
        <v>GO</v>
      </c>
      <c r="E568" s="4" t="str">
        <f>CONCATENATE(Tabela1[[#This Row],[CIDADE]],",",Tabela1[[#This Row],[UF]])</f>
        <v>Águas Lindas de Goiás,GO</v>
      </c>
      <c r="F568" s="2">
        <v>45926</v>
      </c>
      <c r="G568" s="17">
        <v>1335.21</v>
      </c>
      <c r="H568" s="17">
        <v>2700</v>
      </c>
      <c r="I568" s="6">
        <f>Tabela1[[#This Row],[Valor total]]-Tabela1[[#This Row],[Valor custo]]</f>
        <v>1364.79</v>
      </c>
      <c r="J568" s="7">
        <f>Tabela1[[#This Row],[MARGEM BRUTA]]/Tabela1[[#This Row],[Valor total]]</f>
        <v>0.5054777777777778</v>
      </c>
      <c r="K568" s="1" t="str">
        <f>VLOOKUP(Tabela1[[#This Row],[Cliente]],'BASE DE CLIENTES'!A:D,4,0)</f>
        <v>SERRALHEIRO</v>
      </c>
      <c r="L568" s="1" t="str">
        <f>VLOOKUP(Tabela1[[#This Row],[Cliente]],'BASE DE CLIENTES'!A:E,5,0)</f>
        <v>Águas Lindas de Goiás</v>
      </c>
    </row>
    <row r="569" spans="2:12" x14ac:dyDescent="0.3">
      <c r="B569" s="1" t="s">
        <v>27</v>
      </c>
      <c r="C569" s="4" t="str">
        <f>VLOOKUP(Tabela1[[#This Row],[Cliente]],'BASE DE CLIENTES'!A:E,2,0)</f>
        <v>Brasília</v>
      </c>
      <c r="D569" s="1" t="str">
        <f>VLOOKUP(Tabela1[[#This Row],[Cliente]],'BASE DE CLIENTES'!A:C,3,0)</f>
        <v>DF</v>
      </c>
      <c r="E569" s="4" t="str">
        <f>CONCATENATE(Tabela1[[#This Row],[CIDADE]],",",Tabela1[[#This Row],[UF]])</f>
        <v>Brasília,DF</v>
      </c>
      <c r="F569" s="2">
        <v>45741</v>
      </c>
      <c r="G569" s="17">
        <v>62.64</v>
      </c>
      <c r="H569" s="17">
        <v>210</v>
      </c>
      <c r="I569" s="6">
        <f>Tabela1[[#This Row],[Valor total]]-Tabela1[[#This Row],[Valor custo]]</f>
        <v>147.36000000000001</v>
      </c>
      <c r="J569" s="7">
        <f>Tabela1[[#This Row],[MARGEM BRUTA]]/Tabela1[[#This Row],[Valor total]]</f>
        <v>0.70171428571428573</v>
      </c>
      <c r="K569" s="1" t="str">
        <f>VLOOKUP(Tabela1[[#This Row],[Cliente]],'BASE DE CLIENTES'!A:D,4,0)</f>
        <v>EMPRESA SEM MAQUINA</v>
      </c>
      <c r="L569" s="1" t="str">
        <f>VLOOKUP(Tabela1[[#This Row],[Cliente]],'BASE DE CLIENTES'!A:E,5,0)</f>
        <v>RECANTO DAS EMAS</v>
      </c>
    </row>
    <row r="570" spans="2:12" x14ac:dyDescent="0.3">
      <c r="B570" s="1" t="s">
        <v>66</v>
      </c>
      <c r="C570" s="4" t="str">
        <f>VLOOKUP(Tabela1[[#This Row],[Cliente]],'BASE DE CLIENTES'!A:E,2,0)</f>
        <v>Águas Lindas de Goiás</v>
      </c>
      <c r="D570" s="1" t="str">
        <f>VLOOKUP(Tabela1[[#This Row],[Cliente]],'BASE DE CLIENTES'!A:C,3,0)</f>
        <v>GO</v>
      </c>
      <c r="E570" s="4" t="str">
        <f>CONCATENATE(Tabela1[[#This Row],[CIDADE]],",",Tabela1[[#This Row],[UF]])</f>
        <v>Águas Lindas de Goiás,GO</v>
      </c>
      <c r="F570" s="2">
        <v>45926</v>
      </c>
      <c r="G570" s="17">
        <v>764.6</v>
      </c>
      <c r="H570" s="17">
        <v>1240</v>
      </c>
      <c r="I570" s="6">
        <f>Tabela1[[#This Row],[Valor total]]-Tabela1[[#This Row],[Valor custo]]</f>
        <v>475.4</v>
      </c>
      <c r="J570" s="7">
        <f>Tabela1[[#This Row],[MARGEM BRUTA]]/Tabela1[[#This Row],[Valor total]]</f>
        <v>0.38338709677419353</v>
      </c>
      <c r="K570" s="1" t="str">
        <f>VLOOKUP(Tabela1[[#This Row],[Cliente]],'BASE DE CLIENTES'!A:D,4,0)</f>
        <v>EMPRESA COM MAQUINA</v>
      </c>
      <c r="L570" s="1" t="str">
        <f>VLOOKUP(Tabela1[[#This Row],[Cliente]],'BASE DE CLIENTES'!A:E,5,0)</f>
        <v>Águas Lindas de Goiás</v>
      </c>
    </row>
    <row r="571" spans="2:12" x14ac:dyDescent="0.3">
      <c r="B571" s="1" t="s">
        <v>76</v>
      </c>
      <c r="C571" s="4" t="str">
        <f>VLOOKUP(Tabela1[[#This Row],[Cliente]],'BASE DE CLIENTES'!A:E,2,0)</f>
        <v>Brasília</v>
      </c>
      <c r="D571" s="1" t="str">
        <f>VLOOKUP(Tabela1[[#This Row],[Cliente]],'BASE DE CLIENTES'!A:C,3,0)</f>
        <v>DF</v>
      </c>
      <c r="E571" s="4" t="str">
        <f>CONCATENATE(Tabela1[[#This Row],[CIDADE]],",",Tabela1[[#This Row],[UF]])</f>
        <v>Brasília,DF</v>
      </c>
      <c r="F571" s="2">
        <v>45741</v>
      </c>
      <c r="G571" s="17">
        <v>1000</v>
      </c>
      <c r="H571" s="17">
        <v>1160</v>
      </c>
      <c r="I571" s="6">
        <f>Tabela1[[#This Row],[Valor total]]-Tabela1[[#This Row],[Valor custo]]</f>
        <v>160</v>
      </c>
      <c r="J571" s="7">
        <f>Tabela1[[#This Row],[MARGEM BRUTA]]/Tabela1[[#This Row],[Valor total]]</f>
        <v>0.13793103448275862</v>
      </c>
      <c r="K571" s="1" t="str">
        <f>VLOOKUP(Tabela1[[#This Row],[Cliente]],'BASE DE CLIENTES'!A:D,4,0)</f>
        <v>EMPRESA COM MAQUINA</v>
      </c>
      <c r="L571" s="1" t="str">
        <f>VLOOKUP(Tabela1[[#This Row],[Cliente]],'BASE DE CLIENTES'!A:E,5,0)</f>
        <v>Setor Placa da Mercedes (Núcleo Bandeirante)</v>
      </c>
    </row>
    <row r="572" spans="2:12" x14ac:dyDescent="0.3">
      <c r="B572" s="1" t="s">
        <v>111</v>
      </c>
      <c r="C572" s="4" t="str">
        <f>VLOOKUP(Tabela1[[#This Row],[Cliente]],'BASE DE CLIENTES'!A:E,2,0)</f>
        <v>Brasília</v>
      </c>
      <c r="D572" s="1" t="str">
        <f>VLOOKUP(Tabela1[[#This Row],[Cliente]],'BASE DE CLIENTES'!A:C,3,0)</f>
        <v>DF</v>
      </c>
      <c r="E572" s="4" t="str">
        <f>CONCATENATE(Tabela1[[#This Row],[CIDADE]],",",Tabela1[[#This Row],[UF]])</f>
        <v>Brasília,DF</v>
      </c>
      <c r="F572" s="2">
        <v>45741</v>
      </c>
      <c r="G572" s="17">
        <v>1030.22</v>
      </c>
      <c r="H572" s="17">
        <v>1535</v>
      </c>
      <c r="I572" s="6">
        <f>Tabela1[[#This Row],[Valor total]]-Tabela1[[#This Row],[Valor custo]]</f>
        <v>504.78</v>
      </c>
      <c r="J572" s="7">
        <f>Tabela1[[#This Row],[MARGEM BRUTA]]/Tabela1[[#This Row],[Valor total]]</f>
        <v>0.32884690553745927</v>
      </c>
      <c r="K572" s="1" t="str">
        <f>VLOOKUP(Tabela1[[#This Row],[Cliente]],'BASE DE CLIENTES'!A:D,4,0)</f>
        <v>EMPRESA SEM MAQUINA</v>
      </c>
      <c r="L572" s="1" t="str">
        <f>VLOOKUP(Tabela1[[#This Row],[Cliente]],'BASE DE CLIENTES'!A:E,5,0)</f>
        <v>TAGUATINGA SUL (TAGUATINGA)</v>
      </c>
    </row>
    <row r="573" spans="2:12" x14ac:dyDescent="0.3">
      <c r="B573" s="1" t="s">
        <v>68</v>
      </c>
      <c r="C573" s="4" t="str">
        <f>VLOOKUP(Tabela1[[#This Row],[Cliente]],'BASE DE CLIENTES'!A:E,2,0)</f>
        <v>Brasília</v>
      </c>
      <c r="D573" s="1" t="str">
        <f>VLOOKUP(Tabela1[[#This Row],[Cliente]],'BASE DE CLIENTES'!A:C,3,0)</f>
        <v>DF</v>
      </c>
      <c r="E573" s="4" t="str">
        <f>CONCATENATE(Tabela1[[#This Row],[CIDADE]],",",Tabela1[[#This Row],[UF]])</f>
        <v>Brasília,DF</v>
      </c>
      <c r="F573" s="2">
        <v>45740</v>
      </c>
      <c r="G573" s="17">
        <v>252</v>
      </c>
      <c r="H573" s="17">
        <v>330</v>
      </c>
      <c r="I573" s="6">
        <f>Tabela1[[#This Row],[Valor total]]-Tabela1[[#This Row],[Valor custo]]</f>
        <v>78</v>
      </c>
      <c r="J573" s="7">
        <f>Tabela1[[#This Row],[MARGEM BRUTA]]/Tabela1[[#This Row],[Valor total]]</f>
        <v>0.23636363636363636</v>
      </c>
      <c r="K573" s="1" t="str">
        <f>VLOOKUP(Tabela1[[#This Row],[Cliente]],'BASE DE CLIENTES'!A:D,4,0)</f>
        <v>EMPRESA COM MAQUINA</v>
      </c>
      <c r="L573" s="1" t="str">
        <f>VLOOKUP(Tabela1[[#This Row],[Cliente]],'BASE DE CLIENTES'!A:E,5,0)</f>
        <v>SAMAMBAIA SUL (SAMAMBAIA)</v>
      </c>
    </row>
    <row r="574" spans="2:12" x14ac:dyDescent="0.3">
      <c r="B574" s="1" t="s">
        <v>17</v>
      </c>
      <c r="C574" s="4" t="str">
        <f>VLOOKUP(Tabela1[[#This Row],[Cliente]],'BASE DE CLIENTES'!A:E,2,0)</f>
        <v>Águas Lindas de Goiás</v>
      </c>
      <c r="D574" s="1" t="str">
        <f>VLOOKUP(Tabela1[[#This Row],[Cliente]],'BASE DE CLIENTES'!A:C,3,0)</f>
        <v>GO</v>
      </c>
      <c r="E574" s="4" t="str">
        <f>CONCATENATE(Tabela1[[#This Row],[CIDADE]],",",Tabela1[[#This Row],[UF]])</f>
        <v>Águas Lindas de Goiás,GO</v>
      </c>
      <c r="F574" s="2">
        <v>45925</v>
      </c>
      <c r="G574" s="17">
        <v>125</v>
      </c>
      <c r="H574" s="17">
        <v>150</v>
      </c>
      <c r="I574" s="6">
        <f>Tabela1[[#This Row],[Valor total]]-Tabela1[[#This Row],[Valor custo]]</f>
        <v>25</v>
      </c>
      <c r="J574" s="7">
        <f>Tabela1[[#This Row],[MARGEM BRUTA]]/Tabela1[[#This Row],[Valor total]]</f>
        <v>0.16666666666666666</v>
      </c>
      <c r="K574" s="1" t="str">
        <f>VLOOKUP(Tabela1[[#This Row],[Cliente]],'BASE DE CLIENTES'!A:D,4,0)</f>
        <v>SERRALHEIRO</v>
      </c>
      <c r="L574" s="1" t="str">
        <f>VLOOKUP(Tabela1[[#This Row],[Cliente]],'BASE DE CLIENTES'!A:E,5,0)</f>
        <v>Águas Lindas de Goiás</v>
      </c>
    </row>
    <row r="575" spans="2:12" x14ac:dyDescent="0.3">
      <c r="B575" s="1" t="s">
        <v>25</v>
      </c>
      <c r="C575" s="4" t="str">
        <f>VLOOKUP(Tabela1[[#This Row],[Cliente]],'BASE DE CLIENTES'!A:E,2,0)</f>
        <v>Brasília</v>
      </c>
      <c r="D575" s="1" t="str">
        <f>VLOOKUP(Tabela1[[#This Row],[Cliente]],'BASE DE CLIENTES'!A:C,3,0)</f>
        <v>DF</v>
      </c>
      <c r="E575" s="4" t="str">
        <f>CONCATENATE(Tabela1[[#This Row],[CIDADE]],",",Tabela1[[#This Row],[UF]])</f>
        <v>Brasília,DF</v>
      </c>
      <c r="F575" s="2">
        <v>45740</v>
      </c>
      <c r="G575" s="17">
        <v>122.74</v>
      </c>
      <c r="H575" s="17">
        <v>170</v>
      </c>
      <c r="I575" s="6">
        <f>Tabela1[[#This Row],[Valor total]]-Tabela1[[#This Row],[Valor custo]]</f>
        <v>47.260000000000005</v>
      </c>
      <c r="J575" s="7">
        <f>Tabela1[[#This Row],[MARGEM BRUTA]]/Tabela1[[#This Row],[Valor total]]</f>
        <v>0.27800000000000002</v>
      </c>
      <c r="K575" s="1" t="str">
        <f>VLOOKUP(Tabela1[[#This Row],[Cliente]],'BASE DE CLIENTES'!A:D,4,0)</f>
        <v>EMPRESA COM MAQUINA</v>
      </c>
      <c r="L575" s="1" t="str">
        <f>VLOOKUP(Tabela1[[#This Row],[Cliente]],'BASE DE CLIENTES'!A:E,5,0)</f>
        <v>CEILANDIA NORTE (CEILANDIA)</v>
      </c>
    </row>
    <row r="576" spans="2:12" x14ac:dyDescent="0.3">
      <c r="B576" s="1" t="s">
        <v>120</v>
      </c>
      <c r="C576" s="4" t="str">
        <f>VLOOKUP(Tabela1[[#This Row],[Cliente]],'BASE DE CLIENTES'!A:E,2,0)</f>
        <v>Brasília</v>
      </c>
      <c r="D576" s="1" t="str">
        <f>VLOOKUP(Tabela1[[#This Row],[Cliente]],'BASE DE CLIENTES'!A:C,3,0)</f>
        <v>DF</v>
      </c>
      <c r="E576" s="4" t="str">
        <f>CONCATENATE(Tabela1[[#This Row],[CIDADE]],",",Tabela1[[#This Row],[UF]])</f>
        <v>Brasília,DF</v>
      </c>
      <c r="F576" s="2">
        <v>45726</v>
      </c>
      <c r="G576" s="17">
        <v>531.45000000000005</v>
      </c>
      <c r="H576" s="17">
        <v>750</v>
      </c>
      <c r="I576" s="6">
        <f>Tabela1[[#This Row],[Valor total]]-Tabela1[[#This Row],[Valor custo]]</f>
        <v>218.54999999999995</v>
      </c>
      <c r="J576" s="7">
        <f>Tabela1[[#This Row],[MARGEM BRUTA]]/Tabela1[[#This Row],[Valor total]]</f>
        <v>0.29139999999999994</v>
      </c>
      <c r="K576" s="1" t="str">
        <f>VLOOKUP(Tabela1[[#This Row],[Cliente]],'BASE DE CLIENTES'!A:D,4,0)</f>
        <v>EMPRESA SEM MAQUINA</v>
      </c>
      <c r="L576" s="1" t="str">
        <f>VLOOKUP(Tabela1[[#This Row],[Cliente]],'BASE DE CLIENTES'!A:E,5,0)</f>
        <v>SAMAMBAIA</v>
      </c>
    </row>
    <row r="577" spans="2:12" x14ac:dyDescent="0.3">
      <c r="B577" s="1" t="s">
        <v>76</v>
      </c>
      <c r="C577" s="4" t="str">
        <f>VLOOKUP(Tabela1[[#This Row],[Cliente]],'BASE DE CLIENTES'!A:E,2,0)</f>
        <v>Brasília</v>
      </c>
      <c r="D577" s="1" t="str">
        <f>VLOOKUP(Tabela1[[#This Row],[Cliente]],'BASE DE CLIENTES'!A:C,3,0)</f>
        <v>DF</v>
      </c>
      <c r="E577" s="4" t="str">
        <f>CONCATENATE(Tabela1[[#This Row],[CIDADE]],",",Tabela1[[#This Row],[UF]])</f>
        <v>Brasília,DF</v>
      </c>
      <c r="F577" s="2">
        <v>45740</v>
      </c>
      <c r="G577" s="17">
        <v>3616.55</v>
      </c>
      <c r="H577" s="17">
        <v>5400</v>
      </c>
      <c r="I577" s="6">
        <f>Tabela1[[#This Row],[Valor total]]-Tabela1[[#This Row],[Valor custo]]</f>
        <v>1783.4499999999998</v>
      </c>
      <c r="J577" s="7">
        <f>Tabela1[[#This Row],[MARGEM BRUTA]]/Tabela1[[#This Row],[Valor total]]</f>
        <v>0.33026851851851846</v>
      </c>
      <c r="K577" s="1" t="str">
        <f>VLOOKUP(Tabela1[[#This Row],[Cliente]],'BASE DE CLIENTES'!A:D,4,0)</f>
        <v>EMPRESA COM MAQUINA</v>
      </c>
      <c r="L577" s="1" t="str">
        <f>VLOOKUP(Tabela1[[#This Row],[Cliente]],'BASE DE CLIENTES'!A:E,5,0)</f>
        <v>Setor Placa da Mercedes (Núcleo Bandeirante)</v>
      </c>
    </row>
    <row r="578" spans="2:12" x14ac:dyDescent="0.3">
      <c r="B578" s="1" t="s">
        <v>138</v>
      </c>
      <c r="C578" s="4" t="str">
        <f>VLOOKUP(Tabela1[[#This Row],[Cliente]],'BASE DE CLIENTES'!A:E,2,0)</f>
        <v>Brasília</v>
      </c>
      <c r="D578" s="1" t="str">
        <f>VLOOKUP(Tabela1[[#This Row],[Cliente]],'BASE DE CLIENTES'!A:C,3,0)</f>
        <v>DF</v>
      </c>
      <c r="E578" s="4" t="str">
        <f>CONCATENATE(Tabela1[[#This Row],[CIDADE]],",",Tabela1[[#This Row],[UF]])</f>
        <v>Brasília,DF</v>
      </c>
      <c r="F578" s="2">
        <v>45740</v>
      </c>
      <c r="G578" s="17">
        <v>104.4</v>
      </c>
      <c r="H578" s="17">
        <v>0</v>
      </c>
      <c r="I578" s="6">
        <f>Tabela1[[#This Row],[Valor total]]-Tabela1[[#This Row],[Valor custo]]</f>
        <v>-104.4</v>
      </c>
      <c r="J578" s="7" t="e">
        <f>Tabela1[[#This Row],[MARGEM BRUTA]]/Tabela1[[#This Row],[Valor total]]</f>
        <v>#DIV/0!</v>
      </c>
      <c r="K578" s="1" t="str">
        <f>VLOOKUP(Tabela1[[#This Row],[Cliente]],'BASE DE CLIENTES'!A:D,4,0)</f>
        <v>OUTROS RAMOS</v>
      </c>
      <c r="L578" s="1" t="str">
        <f>VLOOKUP(Tabela1[[#This Row],[Cliente]],'BASE DE CLIENTES'!A:E,5,0)</f>
        <v>CEILANDIA NORTE (CEILANDIA)</v>
      </c>
    </row>
    <row r="579" spans="2:12" x14ac:dyDescent="0.3">
      <c r="B579" s="1" t="s">
        <v>17</v>
      </c>
      <c r="C579" s="4" t="str">
        <f>VLOOKUP(Tabela1[[#This Row],[Cliente]],'BASE DE CLIENTES'!A:E,2,0)</f>
        <v>Águas Lindas de Goiás</v>
      </c>
      <c r="D579" s="1" t="str">
        <f>VLOOKUP(Tabela1[[#This Row],[Cliente]],'BASE DE CLIENTES'!A:C,3,0)</f>
        <v>GO</v>
      </c>
      <c r="E579" s="4" t="str">
        <f>CONCATENATE(Tabela1[[#This Row],[CIDADE]],",",Tabela1[[#This Row],[UF]])</f>
        <v>Águas Lindas de Goiás,GO</v>
      </c>
      <c r="F579" s="2">
        <v>45925</v>
      </c>
      <c r="G579" s="17">
        <v>815.09</v>
      </c>
      <c r="H579" s="17">
        <v>1365</v>
      </c>
      <c r="I579" s="6">
        <f>Tabela1[[#This Row],[Valor total]]-Tabela1[[#This Row],[Valor custo]]</f>
        <v>549.91</v>
      </c>
      <c r="J579" s="7">
        <f>Tabela1[[#This Row],[MARGEM BRUTA]]/Tabela1[[#This Row],[Valor total]]</f>
        <v>0.40286446886446886</v>
      </c>
      <c r="K579" s="1" t="str">
        <f>VLOOKUP(Tabela1[[#This Row],[Cliente]],'BASE DE CLIENTES'!A:D,4,0)</f>
        <v>SERRALHEIRO</v>
      </c>
      <c r="L579" s="1" t="str">
        <f>VLOOKUP(Tabela1[[#This Row],[Cliente]],'BASE DE CLIENTES'!A:E,5,0)</f>
        <v>Águas Lindas de Goiás</v>
      </c>
    </row>
    <row r="580" spans="2:12" x14ac:dyDescent="0.3">
      <c r="B580" s="1" t="s">
        <v>27</v>
      </c>
      <c r="C580" s="4" t="str">
        <f>VLOOKUP(Tabela1[[#This Row],[Cliente]],'BASE DE CLIENTES'!A:E,2,0)</f>
        <v>Brasília</v>
      </c>
      <c r="D580" s="1" t="str">
        <f>VLOOKUP(Tabela1[[#This Row],[Cliente]],'BASE DE CLIENTES'!A:C,3,0)</f>
        <v>DF</v>
      </c>
      <c r="E580" s="4" t="str">
        <f>CONCATENATE(Tabela1[[#This Row],[CIDADE]],",",Tabela1[[#This Row],[UF]])</f>
        <v>Brasília,DF</v>
      </c>
      <c r="F580" s="2">
        <v>45740</v>
      </c>
      <c r="G580" s="17">
        <v>175</v>
      </c>
      <c r="H580" s="17">
        <v>210</v>
      </c>
      <c r="I580" s="6">
        <f>Tabela1[[#This Row],[Valor total]]-Tabela1[[#This Row],[Valor custo]]</f>
        <v>35</v>
      </c>
      <c r="J580" s="7">
        <f>Tabela1[[#This Row],[MARGEM BRUTA]]/Tabela1[[#This Row],[Valor total]]</f>
        <v>0.16666666666666666</v>
      </c>
      <c r="K580" s="1" t="str">
        <f>VLOOKUP(Tabela1[[#This Row],[Cliente]],'BASE DE CLIENTES'!A:D,4,0)</f>
        <v>EMPRESA SEM MAQUINA</v>
      </c>
      <c r="L580" s="1" t="str">
        <f>VLOOKUP(Tabela1[[#This Row],[Cliente]],'BASE DE CLIENTES'!A:E,5,0)</f>
        <v>RECANTO DAS EMAS</v>
      </c>
    </row>
    <row r="581" spans="2:12" x14ac:dyDescent="0.3">
      <c r="B581" s="1" t="s">
        <v>120</v>
      </c>
      <c r="C581" s="4" t="str">
        <f>VLOOKUP(Tabela1[[#This Row],[Cliente]],'BASE DE CLIENTES'!A:E,2,0)</f>
        <v>Brasília</v>
      </c>
      <c r="D581" s="1" t="str">
        <f>VLOOKUP(Tabela1[[#This Row],[Cliente]],'BASE DE CLIENTES'!A:C,3,0)</f>
        <v>DF</v>
      </c>
      <c r="E581" s="4" t="str">
        <f>CONCATENATE(Tabela1[[#This Row],[CIDADE]],",",Tabela1[[#This Row],[UF]])</f>
        <v>Brasília,DF</v>
      </c>
      <c r="F581" s="2">
        <v>45722</v>
      </c>
      <c r="G581" s="17">
        <v>27.38</v>
      </c>
      <c r="H581" s="17">
        <v>200</v>
      </c>
      <c r="I581" s="6">
        <f>Tabela1[[#This Row],[Valor total]]-Tabela1[[#This Row],[Valor custo]]</f>
        <v>172.62</v>
      </c>
      <c r="J581" s="7">
        <f>Tabela1[[#This Row],[MARGEM BRUTA]]/Tabela1[[#This Row],[Valor total]]</f>
        <v>0.86309999999999998</v>
      </c>
      <c r="K581" s="1" t="str">
        <f>VLOOKUP(Tabela1[[#This Row],[Cliente]],'BASE DE CLIENTES'!A:D,4,0)</f>
        <v>EMPRESA SEM MAQUINA</v>
      </c>
      <c r="L581" s="1" t="str">
        <f>VLOOKUP(Tabela1[[#This Row],[Cliente]],'BASE DE CLIENTES'!A:E,5,0)</f>
        <v>SAMAMBAIA</v>
      </c>
    </row>
    <row r="582" spans="2:12" x14ac:dyDescent="0.3">
      <c r="B582" s="1" t="s">
        <v>104</v>
      </c>
      <c r="C582" s="4" t="str">
        <f>VLOOKUP(Tabela1[[#This Row],[Cliente]],'BASE DE CLIENTES'!A:E,2,0)</f>
        <v>Águas Lindas de Goiás</v>
      </c>
      <c r="D582" s="1" t="str">
        <f>VLOOKUP(Tabela1[[#This Row],[Cliente]],'BASE DE CLIENTES'!A:C,3,0)</f>
        <v>GO</v>
      </c>
      <c r="E582" s="4" t="str">
        <f>CONCATENATE(Tabela1[[#This Row],[CIDADE]],",",Tabela1[[#This Row],[UF]])</f>
        <v>Águas Lindas de Goiás,GO</v>
      </c>
      <c r="F582" s="2">
        <v>45924</v>
      </c>
      <c r="G582" s="17">
        <v>479.39</v>
      </c>
      <c r="H582" s="17">
        <v>782</v>
      </c>
      <c r="I582" s="6">
        <f>Tabela1[[#This Row],[Valor total]]-Tabela1[[#This Row],[Valor custo]]</f>
        <v>302.61</v>
      </c>
      <c r="J582" s="7">
        <f>Tabela1[[#This Row],[MARGEM BRUTA]]/Tabela1[[#This Row],[Valor total]]</f>
        <v>0.38696930946291563</v>
      </c>
      <c r="K582" s="1" t="str">
        <f>VLOOKUP(Tabela1[[#This Row],[Cliente]],'BASE DE CLIENTES'!A:D,4,0)</f>
        <v>EMPRESA SEM MAQUINA</v>
      </c>
      <c r="L582" s="1" t="str">
        <f>VLOOKUP(Tabela1[[#This Row],[Cliente]],'BASE DE CLIENTES'!A:E,5,0)</f>
        <v>Águas Lindas de Goiás</v>
      </c>
    </row>
    <row r="583" spans="2:12" x14ac:dyDescent="0.3">
      <c r="B583" s="1" t="s">
        <v>139</v>
      </c>
      <c r="C583" s="4" t="str">
        <f>VLOOKUP(Tabela1[[#This Row],[Cliente]],'BASE DE CLIENTES'!A:E,2,0)</f>
        <v>Brasília</v>
      </c>
      <c r="D583" s="1" t="str">
        <f>VLOOKUP(Tabela1[[#This Row],[Cliente]],'BASE DE CLIENTES'!A:C,3,0)</f>
        <v>DF</v>
      </c>
      <c r="E583" s="4" t="str">
        <f>CONCATENATE(Tabela1[[#This Row],[CIDADE]],",",Tabela1[[#This Row],[UF]])</f>
        <v>Brasília,DF</v>
      </c>
      <c r="F583" s="2">
        <v>45811</v>
      </c>
      <c r="G583" s="17">
        <v>497</v>
      </c>
      <c r="H583" s="17">
        <v>820</v>
      </c>
      <c r="I583" s="6">
        <f>Tabela1[[#This Row],[Valor total]]-Tabela1[[#This Row],[Valor custo]]</f>
        <v>323</v>
      </c>
      <c r="J583" s="7">
        <f>Tabela1[[#This Row],[MARGEM BRUTA]]/Tabela1[[#This Row],[Valor total]]</f>
        <v>0.39390243902439026</v>
      </c>
      <c r="K583" s="1" t="str">
        <f>VLOOKUP(Tabela1[[#This Row],[Cliente]],'BASE DE CLIENTES'!A:D,4,0)</f>
        <v>SEM CLASSIFICAÇÃO</v>
      </c>
      <c r="L583" s="1" t="str">
        <f>VLOOKUP(Tabela1[[#This Row],[Cliente]],'BASE DE CLIENTES'!A:E,5,0)</f>
        <v>AREAL (AGUAS CLARAS)</v>
      </c>
    </row>
    <row r="584" spans="2:12" x14ac:dyDescent="0.3">
      <c r="B584" s="1" t="s">
        <v>19</v>
      </c>
      <c r="C584" s="4" t="str">
        <f>VLOOKUP(Tabela1[[#This Row],[Cliente]],'BASE DE CLIENTES'!A:E,2,0)</f>
        <v>Águas Lindas de Goiás</v>
      </c>
      <c r="D584" s="1" t="str">
        <f>VLOOKUP(Tabela1[[#This Row],[Cliente]],'BASE DE CLIENTES'!A:C,3,0)</f>
        <v>GO</v>
      </c>
      <c r="E584" s="4" t="str">
        <f>CONCATENATE(Tabela1[[#This Row],[CIDADE]],",",Tabela1[[#This Row],[UF]])</f>
        <v>Águas Lindas de Goiás,GO</v>
      </c>
      <c r="F584" s="2">
        <v>45924</v>
      </c>
      <c r="G584" s="17">
        <v>532.29999999999995</v>
      </c>
      <c r="H584" s="17">
        <v>800</v>
      </c>
      <c r="I584" s="6">
        <f>Tabela1[[#This Row],[Valor total]]-Tabela1[[#This Row],[Valor custo]]</f>
        <v>267.70000000000005</v>
      </c>
      <c r="J584" s="7">
        <f>Tabela1[[#This Row],[MARGEM BRUTA]]/Tabela1[[#This Row],[Valor total]]</f>
        <v>0.33462500000000006</v>
      </c>
      <c r="K584" s="1" t="str">
        <f>VLOOKUP(Tabela1[[#This Row],[Cliente]],'BASE DE CLIENTES'!A:D,4,0)</f>
        <v>SERRALHEIRO</v>
      </c>
      <c r="L584" s="1" t="str">
        <f>VLOOKUP(Tabela1[[#This Row],[Cliente]],'BASE DE CLIENTES'!A:E,5,0)</f>
        <v>Águas Lindas de Goiás</v>
      </c>
    </row>
    <row r="585" spans="2:12" x14ac:dyDescent="0.3">
      <c r="B585" s="1" t="s">
        <v>55</v>
      </c>
      <c r="C585" s="4" t="str">
        <f>VLOOKUP(Tabela1[[#This Row],[Cliente]],'BASE DE CLIENTES'!A:E,2,0)</f>
        <v>Brasília</v>
      </c>
      <c r="D585" s="1" t="str">
        <f>VLOOKUP(Tabela1[[#This Row],[Cliente]],'BASE DE CLIENTES'!A:C,3,0)</f>
        <v>DF</v>
      </c>
      <c r="E585" s="4" t="str">
        <f>CONCATENATE(Tabela1[[#This Row],[CIDADE]],",",Tabela1[[#This Row],[UF]])</f>
        <v>Brasília,DF</v>
      </c>
      <c r="F585" s="2">
        <v>45740</v>
      </c>
      <c r="G585" s="17">
        <v>0</v>
      </c>
      <c r="H585" s="17">
        <v>350</v>
      </c>
      <c r="I585" s="6">
        <f>Tabela1[[#This Row],[Valor total]]-Tabela1[[#This Row],[Valor custo]]</f>
        <v>350</v>
      </c>
      <c r="J585" s="7">
        <f>Tabela1[[#This Row],[MARGEM BRUTA]]/Tabela1[[#This Row],[Valor total]]</f>
        <v>1</v>
      </c>
      <c r="K585" s="1" t="str">
        <f>VLOOKUP(Tabela1[[#This Row],[Cliente]],'BASE DE CLIENTES'!A:D,4,0)</f>
        <v>EMPRESA SEM MAQUINA</v>
      </c>
      <c r="L585" s="1" t="str">
        <f>VLOOKUP(Tabela1[[#This Row],[Cliente]],'BASE DE CLIENTES'!A:E,5,0)</f>
        <v>RECANTO DAS EMAS</v>
      </c>
    </row>
    <row r="586" spans="2:12" x14ac:dyDescent="0.3">
      <c r="B586" s="1" t="s">
        <v>66</v>
      </c>
      <c r="C586" s="4" t="str">
        <f>VLOOKUP(Tabela1[[#This Row],[Cliente]],'BASE DE CLIENTES'!A:E,2,0)</f>
        <v>Águas Lindas de Goiás</v>
      </c>
      <c r="D586" s="1" t="str">
        <f>VLOOKUP(Tabela1[[#This Row],[Cliente]],'BASE DE CLIENTES'!A:C,3,0)</f>
        <v>GO</v>
      </c>
      <c r="E586" s="4" t="str">
        <f>CONCATENATE(Tabela1[[#This Row],[CIDADE]],",",Tabela1[[#This Row],[UF]])</f>
        <v>Águas Lindas de Goiás,GO</v>
      </c>
      <c r="F586" s="2">
        <v>45923</v>
      </c>
      <c r="G586" s="17">
        <v>2035.1</v>
      </c>
      <c r="H586" s="17">
        <v>3106</v>
      </c>
      <c r="I586" s="6">
        <f>Tabela1[[#This Row],[Valor total]]-Tabela1[[#This Row],[Valor custo]]</f>
        <v>1070.9000000000001</v>
      </c>
      <c r="J586" s="7">
        <f>Tabela1[[#This Row],[MARGEM BRUTA]]/Tabela1[[#This Row],[Valor total]]</f>
        <v>0.34478428847392145</v>
      </c>
      <c r="K586" s="1" t="str">
        <f>VLOOKUP(Tabela1[[#This Row],[Cliente]],'BASE DE CLIENTES'!A:D,4,0)</f>
        <v>EMPRESA COM MAQUINA</v>
      </c>
      <c r="L586" s="1" t="str">
        <f>VLOOKUP(Tabela1[[#This Row],[Cliente]],'BASE DE CLIENTES'!A:E,5,0)</f>
        <v>Águas Lindas de Goiás</v>
      </c>
    </row>
    <row r="587" spans="2:12" x14ac:dyDescent="0.3">
      <c r="B587" s="1" t="s">
        <v>140</v>
      </c>
      <c r="C587" s="4" t="str">
        <f>VLOOKUP(Tabela1[[#This Row],[Cliente]],'BASE DE CLIENTES'!A:E,2,0)</f>
        <v>Brasília</v>
      </c>
      <c r="D587" s="1" t="str">
        <f>VLOOKUP(Tabela1[[#This Row],[Cliente]],'BASE DE CLIENTES'!A:C,3,0)</f>
        <v>DF</v>
      </c>
      <c r="E587" s="4" t="str">
        <f>CONCATENATE(Tabela1[[#This Row],[CIDADE]],",",Tabela1[[#This Row],[UF]])</f>
        <v>Brasília,DF</v>
      </c>
      <c r="F587" s="2">
        <v>45740</v>
      </c>
      <c r="G587" s="17">
        <v>140</v>
      </c>
      <c r="H587" s="17">
        <v>220</v>
      </c>
      <c r="I587" s="6">
        <f>Tabela1[[#This Row],[Valor total]]-Tabela1[[#This Row],[Valor custo]]</f>
        <v>80</v>
      </c>
      <c r="J587" s="7">
        <f>Tabela1[[#This Row],[MARGEM BRUTA]]/Tabela1[[#This Row],[Valor total]]</f>
        <v>0.36363636363636365</v>
      </c>
      <c r="K587" s="1" t="str">
        <f>VLOOKUP(Tabela1[[#This Row],[Cliente]],'BASE DE CLIENTES'!A:D,4,0)</f>
        <v>EMPRESA COM MAQUINA</v>
      </c>
      <c r="L587" s="1" t="str">
        <f>VLOOKUP(Tabela1[[#This Row],[Cliente]],'BASE DE CLIENTES'!A:E,5,0)</f>
        <v>RECANTO DAS EMAS</v>
      </c>
    </row>
    <row r="588" spans="2:12" x14ac:dyDescent="0.3">
      <c r="B588" s="1" t="s">
        <v>104</v>
      </c>
      <c r="C588" s="4" t="str">
        <f>VLOOKUP(Tabela1[[#This Row],[Cliente]],'BASE DE CLIENTES'!A:E,2,0)</f>
        <v>Águas Lindas de Goiás</v>
      </c>
      <c r="D588" s="1" t="str">
        <f>VLOOKUP(Tabela1[[#This Row],[Cliente]],'BASE DE CLIENTES'!A:C,3,0)</f>
        <v>GO</v>
      </c>
      <c r="E588" s="4" t="str">
        <f>CONCATENATE(Tabela1[[#This Row],[CIDADE]],",",Tabela1[[#This Row],[UF]])</f>
        <v>Águas Lindas de Goiás,GO</v>
      </c>
      <c r="F588" s="2">
        <v>45922</v>
      </c>
      <c r="G588" s="17">
        <v>1262.3</v>
      </c>
      <c r="H588" s="17">
        <v>1910</v>
      </c>
      <c r="I588" s="6">
        <f>Tabela1[[#This Row],[Valor total]]-Tabela1[[#This Row],[Valor custo]]</f>
        <v>647.70000000000005</v>
      </c>
      <c r="J588" s="7">
        <f>Tabela1[[#This Row],[MARGEM BRUTA]]/Tabela1[[#This Row],[Valor total]]</f>
        <v>0.33910994764397906</v>
      </c>
      <c r="K588" s="1" t="str">
        <f>VLOOKUP(Tabela1[[#This Row],[Cliente]],'BASE DE CLIENTES'!A:D,4,0)</f>
        <v>EMPRESA SEM MAQUINA</v>
      </c>
      <c r="L588" s="1" t="str">
        <f>VLOOKUP(Tabela1[[#This Row],[Cliente]],'BASE DE CLIENTES'!A:E,5,0)</f>
        <v>Águas Lindas de Goiás</v>
      </c>
    </row>
    <row r="589" spans="2:12" x14ac:dyDescent="0.3">
      <c r="B589" s="1" t="s">
        <v>96</v>
      </c>
      <c r="C589" s="4" t="str">
        <f>VLOOKUP(Tabela1[[#This Row],[Cliente]],'BASE DE CLIENTES'!A:E,2,0)</f>
        <v>Brasília</v>
      </c>
      <c r="D589" s="1" t="str">
        <f>VLOOKUP(Tabela1[[#This Row],[Cliente]],'BASE DE CLIENTES'!A:C,3,0)</f>
        <v>DF</v>
      </c>
      <c r="E589" s="4" t="str">
        <f>CONCATENATE(Tabela1[[#This Row],[CIDADE]],",",Tabela1[[#This Row],[UF]])</f>
        <v>Brasília,DF</v>
      </c>
      <c r="F589" s="2">
        <v>45740</v>
      </c>
      <c r="G589" s="17">
        <v>496.33</v>
      </c>
      <c r="H589" s="17">
        <v>820</v>
      </c>
      <c r="I589" s="6">
        <f>Tabela1[[#This Row],[Valor total]]-Tabela1[[#This Row],[Valor custo]]</f>
        <v>323.67</v>
      </c>
      <c r="J589" s="7">
        <f>Tabela1[[#This Row],[MARGEM BRUTA]]/Tabela1[[#This Row],[Valor total]]</f>
        <v>0.39471951219512197</v>
      </c>
      <c r="K589" s="1" t="str">
        <f>VLOOKUP(Tabela1[[#This Row],[Cliente]],'BASE DE CLIENTES'!A:D,4,0)</f>
        <v>EMPRESA SEM MAQUINA</v>
      </c>
      <c r="L589" s="1" t="str">
        <f>VLOOKUP(Tabela1[[#This Row],[Cliente]],'BASE DE CLIENTES'!A:E,5,0)</f>
        <v>CEILANDIA NORTE (CEILANDIA)</v>
      </c>
    </row>
    <row r="590" spans="2:12" x14ac:dyDescent="0.3">
      <c r="B590" s="1" t="s">
        <v>141</v>
      </c>
      <c r="C590" s="4" t="str">
        <f>VLOOKUP(Tabela1[[#This Row],[Cliente]],'BASE DE CLIENTES'!A:E,2,0)</f>
        <v>Brasília</v>
      </c>
      <c r="D590" s="1" t="str">
        <f>VLOOKUP(Tabela1[[#This Row],[Cliente]],'BASE DE CLIENTES'!A:C,3,0)</f>
        <v>DF</v>
      </c>
      <c r="E590" s="4" t="str">
        <f>CONCATENATE(Tabela1[[#This Row],[CIDADE]],",",Tabela1[[#This Row],[UF]])</f>
        <v>Brasília,DF</v>
      </c>
      <c r="F590" s="2">
        <v>45740</v>
      </c>
      <c r="G590" s="17">
        <v>1025.56</v>
      </c>
      <c r="H590" s="17">
        <v>2650</v>
      </c>
      <c r="I590" s="6">
        <f>Tabela1[[#This Row],[Valor total]]-Tabela1[[#This Row],[Valor custo]]</f>
        <v>1624.44</v>
      </c>
      <c r="J590" s="7">
        <f>Tabela1[[#This Row],[MARGEM BRUTA]]/Tabela1[[#This Row],[Valor total]]</f>
        <v>0.61299622641509433</v>
      </c>
      <c r="K590" s="1" t="str">
        <f>VLOOKUP(Tabela1[[#This Row],[Cliente]],'BASE DE CLIENTES'!A:D,4,0)</f>
        <v>EMPRESA COM MAQUINA</v>
      </c>
      <c r="L590" s="1" t="str">
        <f>VLOOKUP(Tabela1[[#This Row],[Cliente]],'BASE DE CLIENTES'!A:E,5,0)</f>
        <v>TAGUATINGA</v>
      </c>
    </row>
    <row r="591" spans="2:12" x14ac:dyDescent="0.3">
      <c r="B591" s="1" t="s">
        <v>68</v>
      </c>
      <c r="C591" s="4" t="str">
        <f>VLOOKUP(Tabela1[[#This Row],[Cliente]],'BASE DE CLIENTES'!A:E,2,0)</f>
        <v>Brasília</v>
      </c>
      <c r="D591" s="1" t="str">
        <f>VLOOKUP(Tabela1[[#This Row],[Cliente]],'BASE DE CLIENTES'!A:C,3,0)</f>
        <v>DF</v>
      </c>
      <c r="E591" s="4" t="str">
        <f>CONCATENATE(Tabela1[[#This Row],[CIDADE]],",",Tabela1[[#This Row],[UF]])</f>
        <v>Brasília,DF</v>
      </c>
      <c r="F591" s="2">
        <v>45740</v>
      </c>
      <c r="G591" s="17">
        <v>1652.4</v>
      </c>
      <c r="H591" s="17">
        <v>2920</v>
      </c>
      <c r="I591" s="6">
        <f>Tabela1[[#This Row],[Valor total]]-Tabela1[[#This Row],[Valor custo]]</f>
        <v>1267.5999999999999</v>
      </c>
      <c r="J591" s="7">
        <f>Tabela1[[#This Row],[MARGEM BRUTA]]/Tabela1[[#This Row],[Valor total]]</f>
        <v>0.43410958904109587</v>
      </c>
      <c r="K591" s="1" t="str">
        <f>VLOOKUP(Tabela1[[#This Row],[Cliente]],'BASE DE CLIENTES'!A:D,4,0)</f>
        <v>EMPRESA COM MAQUINA</v>
      </c>
      <c r="L591" s="1" t="str">
        <f>VLOOKUP(Tabela1[[#This Row],[Cliente]],'BASE DE CLIENTES'!A:E,5,0)</f>
        <v>SAMAMBAIA SUL (SAMAMBAIA)</v>
      </c>
    </row>
    <row r="592" spans="2:12" x14ac:dyDescent="0.3">
      <c r="B592" s="1" t="s">
        <v>42</v>
      </c>
      <c r="C592" s="4" t="str">
        <f>VLOOKUP(Tabela1[[#This Row],[Cliente]],'BASE DE CLIENTES'!A:E,2,0)</f>
        <v>Brasília</v>
      </c>
      <c r="D592" s="1" t="str">
        <f>VLOOKUP(Tabela1[[#This Row],[Cliente]],'BASE DE CLIENTES'!A:C,3,0)</f>
        <v>DF</v>
      </c>
      <c r="E592" s="4" t="str">
        <f>CONCATENATE(Tabela1[[#This Row],[CIDADE]],",",Tabela1[[#This Row],[UF]])</f>
        <v>Brasília,DF</v>
      </c>
      <c r="F592" s="2">
        <v>45740</v>
      </c>
      <c r="G592" s="17">
        <v>250</v>
      </c>
      <c r="H592" s="17">
        <v>300</v>
      </c>
      <c r="I592" s="6">
        <f>Tabela1[[#This Row],[Valor total]]-Tabela1[[#This Row],[Valor custo]]</f>
        <v>50</v>
      </c>
      <c r="J592" s="7">
        <f>Tabela1[[#This Row],[MARGEM BRUTA]]/Tabela1[[#This Row],[Valor total]]</f>
        <v>0.16666666666666666</v>
      </c>
      <c r="K592" s="1" t="str">
        <f>VLOOKUP(Tabela1[[#This Row],[Cliente]],'BASE DE CLIENTES'!A:D,4,0)</f>
        <v>EMPRESA SEM MAQUINA</v>
      </c>
      <c r="L592" s="1" t="str">
        <f>VLOOKUP(Tabela1[[#This Row],[Cliente]],'BASE DE CLIENTES'!A:E,5,0)</f>
        <v>SAMAMBAIA</v>
      </c>
    </row>
    <row r="593" spans="2:12" x14ac:dyDescent="0.3">
      <c r="B593" s="1" t="s">
        <v>66</v>
      </c>
      <c r="C593" s="4" t="str">
        <f>VLOOKUP(Tabela1[[#This Row],[Cliente]],'BASE DE CLIENTES'!A:E,2,0)</f>
        <v>Águas Lindas de Goiás</v>
      </c>
      <c r="D593" s="1" t="str">
        <f>VLOOKUP(Tabela1[[#This Row],[Cliente]],'BASE DE CLIENTES'!A:C,3,0)</f>
        <v>GO</v>
      </c>
      <c r="E593" s="4" t="str">
        <f>CONCATENATE(Tabela1[[#This Row],[CIDADE]],",",Tabela1[[#This Row],[UF]])</f>
        <v>Águas Lindas de Goiás,GO</v>
      </c>
      <c r="F593" s="2">
        <v>45919</v>
      </c>
      <c r="G593" s="17">
        <v>1648.48</v>
      </c>
      <c r="H593" s="17">
        <v>2174</v>
      </c>
      <c r="I593" s="6">
        <f>Tabela1[[#This Row],[Valor total]]-Tabela1[[#This Row],[Valor custo]]</f>
        <v>525.52</v>
      </c>
      <c r="J593" s="7">
        <f>Tabela1[[#This Row],[MARGEM BRUTA]]/Tabela1[[#This Row],[Valor total]]</f>
        <v>0.24172953081876725</v>
      </c>
      <c r="K593" s="1" t="str">
        <f>VLOOKUP(Tabela1[[#This Row],[Cliente]],'BASE DE CLIENTES'!A:D,4,0)</f>
        <v>EMPRESA COM MAQUINA</v>
      </c>
      <c r="L593" s="1" t="str">
        <f>VLOOKUP(Tabela1[[#This Row],[Cliente]],'BASE DE CLIENTES'!A:E,5,0)</f>
        <v>Águas Lindas de Goiás</v>
      </c>
    </row>
    <row r="594" spans="2:12" x14ac:dyDescent="0.3">
      <c r="B594" s="1" t="s">
        <v>19</v>
      </c>
      <c r="C594" s="4" t="str">
        <f>VLOOKUP(Tabela1[[#This Row],[Cliente]],'BASE DE CLIENTES'!A:E,2,0)</f>
        <v>Águas Lindas de Goiás</v>
      </c>
      <c r="D594" s="1" t="str">
        <f>VLOOKUP(Tabela1[[#This Row],[Cliente]],'BASE DE CLIENTES'!A:C,3,0)</f>
        <v>GO</v>
      </c>
      <c r="E594" s="4" t="str">
        <f>CONCATENATE(Tabela1[[#This Row],[CIDADE]],",",Tabela1[[#This Row],[UF]])</f>
        <v>Águas Lindas de Goiás,GO</v>
      </c>
      <c r="F594" s="2">
        <v>45919</v>
      </c>
      <c r="G594" s="17">
        <v>150</v>
      </c>
      <c r="H594" s="17">
        <v>180</v>
      </c>
      <c r="I594" s="6">
        <f>Tabela1[[#This Row],[Valor total]]-Tabela1[[#This Row],[Valor custo]]</f>
        <v>30</v>
      </c>
      <c r="J594" s="7">
        <f>Tabela1[[#This Row],[MARGEM BRUTA]]/Tabela1[[#This Row],[Valor total]]</f>
        <v>0.16666666666666666</v>
      </c>
      <c r="K594" s="1" t="str">
        <f>VLOOKUP(Tabela1[[#This Row],[Cliente]],'BASE DE CLIENTES'!A:D,4,0)</f>
        <v>SERRALHEIRO</v>
      </c>
      <c r="L594" s="1" t="str">
        <f>VLOOKUP(Tabela1[[#This Row],[Cliente]],'BASE DE CLIENTES'!A:E,5,0)</f>
        <v>Águas Lindas de Goiás</v>
      </c>
    </row>
    <row r="595" spans="2:12" x14ac:dyDescent="0.3">
      <c r="B595" s="1" t="s">
        <v>70</v>
      </c>
      <c r="C595" s="4" t="str">
        <f>VLOOKUP(Tabela1[[#This Row],[Cliente]],'BASE DE CLIENTES'!A:E,2,0)</f>
        <v>Brasília</v>
      </c>
      <c r="D595" s="1" t="str">
        <f>VLOOKUP(Tabela1[[#This Row],[Cliente]],'BASE DE CLIENTES'!A:C,3,0)</f>
        <v>DF</v>
      </c>
      <c r="E595" s="4" t="str">
        <f>CONCATENATE(Tabela1[[#This Row],[CIDADE]],",",Tabela1[[#This Row],[UF]])</f>
        <v>Brasília,DF</v>
      </c>
      <c r="F595" s="2">
        <v>45737</v>
      </c>
      <c r="G595" s="17">
        <v>878.4</v>
      </c>
      <c r="H595" s="17">
        <v>1240</v>
      </c>
      <c r="I595" s="6">
        <f>Tabela1[[#This Row],[Valor total]]-Tabela1[[#This Row],[Valor custo]]</f>
        <v>361.6</v>
      </c>
      <c r="J595" s="7">
        <f>Tabela1[[#This Row],[MARGEM BRUTA]]/Tabela1[[#This Row],[Valor total]]</f>
        <v>0.29161290322580646</v>
      </c>
      <c r="K595" s="1" t="str">
        <f>VLOOKUP(Tabela1[[#This Row],[Cliente]],'BASE DE CLIENTES'!A:D,4,0)</f>
        <v>EMPRESA COM MAQUINA</v>
      </c>
      <c r="L595" s="1" t="str">
        <f>VLOOKUP(Tabela1[[#This Row],[Cliente]],'BASE DE CLIENTES'!A:E,5,0)</f>
        <v>TAGUATINGA NORTE (TAGUATINGA)</v>
      </c>
    </row>
    <row r="596" spans="2:12" x14ac:dyDescent="0.3">
      <c r="B596" s="1" t="s">
        <v>99</v>
      </c>
      <c r="C596" s="4" t="str">
        <f>VLOOKUP(Tabela1[[#This Row],[Cliente]],'BASE DE CLIENTES'!A:E,2,0)</f>
        <v>Brasília</v>
      </c>
      <c r="D596" s="1" t="str">
        <f>VLOOKUP(Tabela1[[#This Row],[Cliente]],'BASE DE CLIENTES'!A:C,3,0)</f>
        <v>DF</v>
      </c>
      <c r="E596" s="4" t="str">
        <f>CONCATENATE(Tabela1[[#This Row],[CIDADE]],",",Tabela1[[#This Row],[UF]])</f>
        <v>Brasília,DF</v>
      </c>
      <c r="F596" s="2">
        <v>45737</v>
      </c>
      <c r="G596" s="17">
        <v>1562.95</v>
      </c>
      <c r="H596" s="17">
        <v>2540</v>
      </c>
      <c r="I596" s="6">
        <f>Tabela1[[#This Row],[Valor total]]-Tabela1[[#This Row],[Valor custo]]</f>
        <v>977.05</v>
      </c>
      <c r="J596" s="7">
        <f>Tabela1[[#This Row],[MARGEM BRUTA]]/Tabela1[[#This Row],[Valor total]]</f>
        <v>0.38466535433070864</v>
      </c>
      <c r="K596" s="1" t="str">
        <f>VLOOKUP(Tabela1[[#This Row],[Cliente]],'BASE DE CLIENTES'!A:D,4,0)</f>
        <v>EMPRESA COM MAQUINA</v>
      </c>
      <c r="L596" s="1" t="str">
        <f>VLOOKUP(Tabela1[[#This Row],[Cliente]],'BASE DE CLIENTES'!A:E,5,0)</f>
        <v>ARAPOANGA (PLANALTINA)</v>
      </c>
    </row>
    <row r="597" spans="2:12" x14ac:dyDescent="0.3">
      <c r="B597" s="1" t="s">
        <v>19</v>
      </c>
      <c r="C597" s="4" t="str">
        <f>VLOOKUP(Tabela1[[#This Row],[Cliente]],'BASE DE CLIENTES'!A:E,2,0)</f>
        <v>Águas Lindas de Goiás</v>
      </c>
      <c r="D597" s="1" t="str">
        <f>VLOOKUP(Tabela1[[#This Row],[Cliente]],'BASE DE CLIENTES'!A:C,3,0)</f>
        <v>GO</v>
      </c>
      <c r="E597" s="4" t="str">
        <f>CONCATENATE(Tabela1[[#This Row],[CIDADE]],",",Tabela1[[#This Row],[UF]])</f>
        <v>Águas Lindas de Goiás,GO</v>
      </c>
      <c r="F597" s="2">
        <v>45918</v>
      </c>
      <c r="G597" s="17">
        <v>2531.44</v>
      </c>
      <c r="H597" s="17">
        <v>4500</v>
      </c>
      <c r="I597" s="6">
        <f>Tabela1[[#This Row],[Valor total]]-Tabela1[[#This Row],[Valor custo]]</f>
        <v>1968.56</v>
      </c>
      <c r="J597" s="7">
        <f>Tabela1[[#This Row],[MARGEM BRUTA]]/Tabela1[[#This Row],[Valor total]]</f>
        <v>0.43745777777777778</v>
      </c>
      <c r="K597" s="1" t="str">
        <f>VLOOKUP(Tabela1[[#This Row],[Cliente]],'BASE DE CLIENTES'!A:D,4,0)</f>
        <v>SERRALHEIRO</v>
      </c>
      <c r="L597" s="1" t="str">
        <f>VLOOKUP(Tabela1[[#This Row],[Cliente]],'BASE DE CLIENTES'!A:E,5,0)</f>
        <v>Águas Lindas de Goiás</v>
      </c>
    </row>
    <row r="598" spans="2:12" x14ac:dyDescent="0.3">
      <c r="B598" s="1" t="s">
        <v>17</v>
      </c>
      <c r="C598" s="4" t="str">
        <f>VLOOKUP(Tabela1[[#This Row],[Cliente]],'BASE DE CLIENTES'!A:E,2,0)</f>
        <v>Águas Lindas de Goiás</v>
      </c>
      <c r="D598" s="1" t="str">
        <f>VLOOKUP(Tabela1[[#This Row],[Cliente]],'BASE DE CLIENTES'!A:C,3,0)</f>
        <v>GO</v>
      </c>
      <c r="E598" s="4" t="str">
        <f>CONCATENATE(Tabela1[[#This Row],[CIDADE]],",",Tabela1[[#This Row],[UF]])</f>
        <v>Águas Lindas de Goiás,GO</v>
      </c>
      <c r="F598" s="2">
        <v>45918</v>
      </c>
      <c r="G598" s="17">
        <v>2881.3</v>
      </c>
      <c r="H598" s="17">
        <v>5400</v>
      </c>
      <c r="I598" s="6">
        <f>Tabela1[[#This Row],[Valor total]]-Tabela1[[#This Row],[Valor custo]]</f>
        <v>2518.6999999999998</v>
      </c>
      <c r="J598" s="7">
        <f>Tabela1[[#This Row],[MARGEM BRUTA]]/Tabela1[[#This Row],[Valor total]]</f>
        <v>0.46642592592592591</v>
      </c>
      <c r="K598" s="1" t="str">
        <f>VLOOKUP(Tabela1[[#This Row],[Cliente]],'BASE DE CLIENTES'!A:D,4,0)</f>
        <v>SERRALHEIRO</v>
      </c>
      <c r="L598" s="1" t="str">
        <f>VLOOKUP(Tabela1[[#This Row],[Cliente]],'BASE DE CLIENTES'!A:E,5,0)</f>
        <v>Águas Lindas de Goiás</v>
      </c>
    </row>
    <row r="599" spans="2:12" x14ac:dyDescent="0.3">
      <c r="B599" s="1" t="s">
        <v>19</v>
      </c>
      <c r="C599" s="4" t="str">
        <f>VLOOKUP(Tabela1[[#This Row],[Cliente]],'BASE DE CLIENTES'!A:E,2,0)</f>
        <v>Águas Lindas de Goiás</v>
      </c>
      <c r="D599" s="1" t="str">
        <f>VLOOKUP(Tabela1[[#This Row],[Cliente]],'BASE DE CLIENTES'!A:C,3,0)</f>
        <v>GO</v>
      </c>
      <c r="E599" s="4" t="str">
        <f>CONCATENATE(Tabela1[[#This Row],[CIDADE]],",",Tabela1[[#This Row],[UF]])</f>
        <v>Águas Lindas de Goiás,GO</v>
      </c>
      <c r="F599" s="2">
        <v>45917</v>
      </c>
      <c r="G599" s="17">
        <v>845.09</v>
      </c>
      <c r="H599" s="17">
        <v>1390</v>
      </c>
      <c r="I599" s="6">
        <f>Tabela1[[#This Row],[Valor total]]-Tabela1[[#This Row],[Valor custo]]</f>
        <v>544.91</v>
      </c>
      <c r="J599" s="7">
        <f>Tabela1[[#This Row],[MARGEM BRUTA]]/Tabela1[[#This Row],[Valor total]]</f>
        <v>0.39202158273381293</v>
      </c>
      <c r="K599" s="1" t="str">
        <f>VLOOKUP(Tabela1[[#This Row],[Cliente]],'BASE DE CLIENTES'!A:D,4,0)</f>
        <v>SERRALHEIRO</v>
      </c>
      <c r="L599" s="1" t="str">
        <f>VLOOKUP(Tabela1[[#This Row],[Cliente]],'BASE DE CLIENTES'!A:E,5,0)</f>
        <v>Águas Lindas de Goiás</v>
      </c>
    </row>
    <row r="600" spans="2:12" x14ac:dyDescent="0.3">
      <c r="B600" s="1" t="s">
        <v>66</v>
      </c>
      <c r="C600" s="4" t="str">
        <f>VLOOKUP(Tabela1[[#This Row],[Cliente]],'BASE DE CLIENTES'!A:E,2,0)</f>
        <v>Águas Lindas de Goiás</v>
      </c>
      <c r="D600" s="1" t="str">
        <f>VLOOKUP(Tabela1[[#This Row],[Cliente]],'BASE DE CLIENTES'!A:C,3,0)</f>
        <v>GO</v>
      </c>
      <c r="E600" s="4" t="str">
        <f>CONCATENATE(Tabela1[[#This Row],[CIDADE]],",",Tabela1[[#This Row],[UF]])</f>
        <v>Águas Lindas de Goiás,GO</v>
      </c>
      <c r="F600" s="2">
        <v>45916</v>
      </c>
      <c r="G600" s="17">
        <v>764.6</v>
      </c>
      <c r="H600" s="17">
        <v>1240</v>
      </c>
      <c r="I600" s="6">
        <f>Tabela1[[#This Row],[Valor total]]-Tabela1[[#This Row],[Valor custo]]</f>
        <v>475.4</v>
      </c>
      <c r="J600" s="7">
        <f>Tabela1[[#This Row],[MARGEM BRUTA]]/Tabela1[[#This Row],[Valor total]]</f>
        <v>0.38338709677419353</v>
      </c>
      <c r="K600" s="1" t="str">
        <f>VLOOKUP(Tabela1[[#This Row],[Cliente]],'BASE DE CLIENTES'!A:D,4,0)</f>
        <v>EMPRESA COM MAQUINA</v>
      </c>
      <c r="L600" s="1" t="str">
        <f>VLOOKUP(Tabela1[[#This Row],[Cliente]],'BASE DE CLIENTES'!A:E,5,0)</f>
        <v>Águas Lindas de Goiás</v>
      </c>
    </row>
    <row r="601" spans="2:12" x14ac:dyDescent="0.3">
      <c r="B601" s="1" t="s">
        <v>52</v>
      </c>
      <c r="C601" s="4" t="str">
        <f>VLOOKUP(Tabela1[[#This Row],[Cliente]],'BASE DE CLIENTES'!A:E,2,0)</f>
        <v>Brasília</v>
      </c>
      <c r="D601" s="1" t="str">
        <f>VLOOKUP(Tabela1[[#This Row],[Cliente]],'BASE DE CLIENTES'!A:C,3,0)</f>
        <v>DF</v>
      </c>
      <c r="E601" s="4" t="str">
        <f>CONCATENATE(Tabela1[[#This Row],[CIDADE]],",",Tabela1[[#This Row],[UF]])</f>
        <v>Brasília,DF</v>
      </c>
      <c r="F601" s="2">
        <v>45737</v>
      </c>
      <c r="G601" s="17">
        <v>514.45000000000005</v>
      </c>
      <c r="H601" s="17">
        <v>720</v>
      </c>
      <c r="I601" s="6">
        <f>Tabela1[[#This Row],[Valor total]]-Tabela1[[#This Row],[Valor custo]]</f>
        <v>205.54999999999995</v>
      </c>
      <c r="J601" s="7">
        <f>Tabela1[[#This Row],[MARGEM BRUTA]]/Tabela1[[#This Row],[Valor total]]</f>
        <v>0.28548611111111105</v>
      </c>
      <c r="K601" s="1" t="str">
        <f>VLOOKUP(Tabela1[[#This Row],[Cliente]],'BASE DE CLIENTES'!A:D,4,0)</f>
        <v>SERRALHEIRO</v>
      </c>
      <c r="L601" s="1" t="str">
        <f>VLOOKUP(Tabela1[[#This Row],[Cliente]],'BASE DE CLIENTES'!A:E,5,0)</f>
        <v>Ceilândia Sul (Ceilândia)</v>
      </c>
    </row>
    <row r="602" spans="2:12" x14ac:dyDescent="0.3">
      <c r="B602" s="1" t="s">
        <v>108</v>
      </c>
      <c r="C602" s="4" t="str">
        <f>VLOOKUP(Tabela1[[#This Row],[Cliente]],'BASE DE CLIENTES'!A:E,2,0)</f>
        <v>Brasília</v>
      </c>
      <c r="D602" s="1" t="str">
        <f>VLOOKUP(Tabela1[[#This Row],[Cliente]],'BASE DE CLIENTES'!A:C,3,0)</f>
        <v>DF</v>
      </c>
      <c r="E602" s="4" t="str">
        <f>CONCATENATE(Tabela1[[#This Row],[CIDADE]],",",Tabela1[[#This Row],[UF]])</f>
        <v>Brasília,DF</v>
      </c>
      <c r="F602" s="2">
        <v>45737</v>
      </c>
      <c r="G602" s="17">
        <v>637.19000000000005</v>
      </c>
      <c r="H602" s="17">
        <v>730</v>
      </c>
      <c r="I602" s="6">
        <f>Tabela1[[#This Row],[Valor total]]-Tabela1[[#This Row],[Valor custo]]</f>
        <v>92.809999999999945</v>
      </c>
      <c r="J602" s="7">
        <f>Tabela1[[#This Row],[MARGEM BRUTA]]/Tabela1[[#This Row],[Valor total]]</f>
        <v>0.1271369863013698</v>
      </c>
      <c r="K602" s="1" t="str">
        <f>VLOOKUP(Tabela1[[#This Row],[Cliente]],'BASE DE CLIENTES'!A:D,4,0)</f>
        <v>SERRALHEIRO</v>
      </c>
      <c r="L602" s="1" t="str">
        <f>VLOOKUP(Tabela1[[#This Row],[Cliente]],'BASE DE CLIENTES'!A:E,5,0)</f>
        <v>Vila Planalto</v>
      </c>
    </row>
    <row r="603" spans="2:12" x14ac:dyDescent="0.3">
      <c r="B603" s="1" t="s">
        <v>19</v>
      </c>
      <c r="C603" s="4" t="str">
        <f>VLOOKUP(Tabela1[[#This Row],[Cliente]],'BASE DE CLIENTES'!A:E,2,0)</f>
        <v>Águas Lindas de Goiás</v>
      </c>
      <c r="D603" s="1" t="str">
        <f>VLOOKUP(Tabela1[[#This Row],[Cliente]],'BASE DE CLIENTES'!A:C,3,0)</f>
        <v>GO</v>
      </c>
      <c r="E603" s="4" t="str">
        <f>CONCATENATE(Tabela1[[#This Row],[CIDADE]],",",Tabela1[[#This Row],[UF]])</f>
        <v>Águas Lindas de Goiás,GO</v>
      </c>
      <c r="F603" s="2">
        <v>45916</v>
      </c>
      <c r="G603" s="17">
        <v>1453</v>
      </c>
      <c r="H603" s="17">
        <v>2800</v>
      </c>
      <c r="I603" s="6">
        <f>Tabela1[[#This Row],[Valor total]]-Tabela1[[#This Row],[Valor custo]]</f>
        <v>1347</v>
      </c>
      <c r="J603" s="7">
        <f>Tabela1[[#This Row],[MARGEM BRUTA]]/Tabela1[[#This Row],[Valor total]]</f>
        <v>0.48107142857142859</v>
      </c>
      <c r="K603" s="1" t="str">
        <f>VLOOKUP(Tabela1[[#This Row],[Cliente]],'BASE DE CLIENTES'!A:D,4,0)</f>
        <v>SERRALHEIRO</v>
      </c>
      <c r="L603" s="1" t="str">
        <f>VLOOKUP(Tabela1[[#This Row],[Cliente]],'BASE DE CLIENTES'!A:E,5,0)</f>
        <v>Águas Lindas de Goiás</v>
      </c>
    </row>
    <row r="604" spans="2:12" x14ac:dyDescent="0.3">
      <c r="B604" s="1" t="s">
        <v>104</v>
      </c>
      <c r="C604" s="4" t="str">
        <f>VLOOKUP(Tabela1[[#This Row],[Cliente]],'BASE DE CLIENTES'!A:E,2,0)</f>
        <v>Águas Lindas de Goiás</v>
      </c>
      <c r="D604" s="1" t="str">
        <f>VLOOKUP(Tabela1[[#This Row],[Cliente]],'BASE DE CLIENTES'!A:C,3,0)</f>
        <v>GO</v>
      </c>
      <c r="E604" s="4" t="str">
        <f>CONCATENATE(Tabela1[[#This Row],[CIDADE]],",",Tabela1[[#This Row],[UF]])</f>
        <v>Águas Lindas de Goiás,GO</v>
      </c>
      <c r="F604" s="2">
        <v>45916</v>
      </c>
      <c r="G604" s="17">
        <v>1520.58</v>
      </c>
      <c r="H604" s="17">
        <v>2000</v>
      </c>
      <c r="I604" s="6">
        <f>Tabela1[[#This Row],[Valor total]]-Tabela1[[#This Row],[Valor custo]]</f>
        <v>479.42000000000007</v>
      </c>
      <c r="J604" s="7">
        <f>Tabela1[[#This Row],[MARGEM BRUTA]]/Tabela1[[#This Row],[Valor total]]</f>
        <v>0.23971000000000003</v>
      </c>
      <c r="K604" s="1" t="str">
        <f>VLOOKUP(Tabela1[[#This Row],[Cliente]],'BASE DE CLIENTES'!A:D,4,0)</f>
        <v>EMPRESA SEM MAQUINA</v>
      </c>
      <c r="L604" s="1" t="str">
        <f>VLOOKUP(Tabela1[[#This Row],[Cliente]],'BASE DE CLIENTES'!A:E,5,0)</f>
        <v>Águas Lindas de Goiás</v>
      </c>
    </row>
    <row r="605" spans="2:12" x14ac:dyDescent="0.3">
      <c r="B605" s="1" t="s">
        <v>97</v>
      </c>
      <c r="C605" s="4" t="str">
        <f>VLOOKUP(Tabela1[[#This Row],[Cliente]],'BASE DE CLIENTES'!A:E,2,0)</f>
        <v>Brasília</v>
      </c>
      <c r="D605" s="1" t="str">
        <f>VLOOKUP(Tabela1[[#This Row],[Cliente]],'BASE DE CLIENTES'!A:C,3,0)</f>
        <v>DF</v>
      </c>
      <c r="E605" s="4" t="str">
        <f>CONCATENATE(Tabela1[[#This Row],[CIDADE]],",",Tabela1[[#This Row],[UF]])</f>
        <v>Brasília,DF</v>
      </c>
      <c r="F605" s="2">
        <v>45737</v>
      </c>
      <c r="G605" s="17">
        <v>707.23</v>
      </c>
      <c r="H605" s="17">
        <v>1450</v>
      </c>
      <c r="I605" s="6">
        <f>Tabela1[[#This Row],[Valor total]]-Tabela1[[#This Row],[Valor custo]]</f>
        <v>742.77</v>
      </c>
      <c r="J605" s="7">
        <f>Tabela1[[#This Row],[MARGEM BRUTA]]/Tabela1[[#This Row],[Valor total]]</f>
        <v>0.51225517241379304</v>
      </c>
      <c r="K605" s="1" t="str">
        <f>VLOOKUP(Tabela1[[#This Row],[Cliente]],'BASE DE CLIENTES'!A:D,4,0)</f>
        <v>SERRALHEIRO</v>
      </c>
      <c r="L605" s="1" t="str">
        <f>VLOOKUP(Tabela1[[#This Row],[Cliente]],'BASE DE CLIENTES'!A:E,5,0)</f>
        <v>CEILANDIA NORTE</v>
      </c>
    </row>
    <row r="606" spans="2:12" x14ac:dyDescent="0.3">
      <c r="B606" s="1" t="s">
        <v>66</v>
      </c>
      <c r="C606" s="4" t="str">
        <f>VLOOKUP(Tabela1[[#This Row],[Cliente]],'BASE DE CLIENTES'!A:E,2,0)</f>
        <v>Águas Lindas de Goiás</v>
      </c>
      <c r="D606" s="1" t="str">
        <f>VLOOKUP(Tabela1[[#This Row],[Cliente]],'BASE DE CLIENTES'!A:C,3,0)</f>
        <v>GO</v>
      </c>
      <c r="E606" s="4" t="str">
        <f>CONCATENATE(Tabela1[[#This Row],[CIDADE]],",",Tabela1[[#This Row],[UF]])</f>
        <v>Águas Lindas de Goiás,GO</v>
      </c>
      <c r="F606" s="2">
        <v>45915</v>
      </c>
      <c r="G606" s="17">
        <v>764.6</v>
      </c>
      <c r="H606" s="17">
        <v>1240</v>
      </c>
      <c r="I606" s="6">
        <f>Tabela1[[#This Row],[Valor total]]-Tabela1[[#This Row],[Valor custo]]</f>
        <v>475.4</v>
      </c>
      <c r="J606" s="7">
        <f>Tabela1[[#This Row],[MARGEM BRUTA]]/Tabela1[[#This Row],[Valor total]]</f>
        <v>0.38338709677419353</v>
      </c>
      <c r="K606" s="1" t="str">
        <f>VLOOKUP(Tabela1[[#This Row],[Cliente]],'BASE DE CLIENTES'!A:D,4,0)</f>
        <v>EMPRESA COM MAQUINA</v>
      </c>
      <c r="L606" s="1" t="str">
        <f>VLOOKUP(Tabela1[[#This Row],[Cliente]],'BASE DE CLIENTES'!A:E,5,0)</f>
        <v>Águas Lindas de Goiás</v>
      </c>
    </row>
    <row r="607" spans="2:12" x14ac:dyDescent="0.3">
      <c r="B607" s="1" t="s">
        <v>68</v>
      </c>
      <c r="C607" s="4" t="str">
        <f>VLOOKUP(Tabela1[[#This Row],[Cliente]],'BASE DE CLIENTES'!A:E,2,0)</f>
        <v>Brasília</v>
      </c>
      <c r="D607" s="1" t="str">
        <f>VLOOKUP(Tabela1[[#This Row],[Cliente]],'BASE DE CLIENTES'!A:C,3,0)</f>
        <v>DF</v>
      </c>
      <c r="E607" s="4" t="str">
        <f>CONCATENATE(Tabela1[[#This Row],[CIDADE]],",",Tabela1[[#This Row],[UF]])</f>
        <v>Brasília,DF</v>
      </c>
      <c r="F607" s="2">
        <v>45737</v>
      </c>
      <c r="G607" s="17">
        <v>1781.47</v>
      </c>
      <c r="H607" s="17">
        <v>2850</v>
      </c>
      <c r="I607" s="6">
        <f>Tabela1[[#This Row],[Valor total]]-Tabela1[[#This Row],[Valor custo]]</f>
        <v>1068.53</v>
      </c>
      <c r="J607" s="7">
        <f>Tabela1[[#This Row],[MARGEM BRUTA]]/Tabela1[[#This Row],[Valor total]]</f>
        <v>0.37492280701754382</v>
      </c>
      <c r="K607" s="1" t="str">
        <f>VLOOKUP(Tabela1[[#This Row],[Cliente]],'BASE DE CLIENTES'!A:D,4,0)</f>
        <v>EMPRESA COM MAQUINA</v>
      </c>
      <c r="L607" s="1" t="str">
        <f>VLOOKUP(Tabela1[[#This Row],[Cliente]],'BASE DE CLIENTES'!A:E,5,0)</f>
        <v>SAMAMBAIA SUL (SAMAMBAIA)</v>
      </c>
    </row>
    <row r="608" spans="2:12" x14ac:dyDescent="0.3">
      <c r="B608" s="1" t="s">
        <v>55</v>
      </c>
      <c r="C608" s="4" t="str">
        <f>VLOOKUP(Tabela1[[#This Row],[Cliente]],'BASE DE CLIENTES'!A:E,2,0)</f>
        <v>Brasília</v>
      </c>
      <c r="D608" s="1" t="str">
        <f>VLOOKUP(Tabela1[[#This Row],[Cliente]],'BASE DE CLIENTES'!A:C,3,0)</f>
        <v>DF</v>
      </c>
      <c r="E608" s="4" t="str">
        <f>CONCATENATE(Tabela1[[#This Row],[CIDADE]],",",Tabela1[[#This Row],[UF]])</f>
        <v>Brasília,DF</v>
      </c>
      <c r="F608" s="2">
        <v>45737</v>
      </c>
      <c r="G608" s="17">
        <v>313.75</v>
      </c>
      <c r="H608" s="17">
        <v>350</v>
      </c>
      <c r="I608" s="6">
        <f>Tabela1[[#This Row],[Valor total]]-Tabela1[[#This Row],[Valor custo]]</f>
        <v>36.25</v>
      </c>
      <c r="J608" s="7">
        <f>Tabela1[[#This Row],[MARGEM BRUTA]]/Tabela1[[#This Row],[Valor total]]</f>
        <v>0.10357142857142858</v>
      </c>
      <c r="K608" s="1" t="str">
        <f>VLOOKUP(Tabela1[[#This Row],[Cliente]],'BASE DE CLIENTES'!A:D,4,0)</f>
        <v>EMPRESA SEM MAQUINA</v>
      </c>
      <c r="L608" s="1" t="str">
        <f>VLOOKUP(Tabela1[[#This Row],[Cliente]],'BASE DE CLIENTES'!A:E,5,0)</f>
        <v>RECANTO DAS EMAS</v>
      </c>
    </row>
    <row r="609" spans="2:12" x14ac:dyDescent="0.3">
      <c r="B609" s="1" t="s">
        <v>66</v>
      </c>
      <c r="C609" s="4" t="str">
        <f>VLOOKUP(Tabela1[[#This Row],[Cliente]],'BASE DE CLIENTES'!A:E,2,0)</f>
        <v>Águas Lindas de Goiás</v>
      </c>
      <c r="D609" s="1" t="str">
        <f>VLOOKUP(Tabela1[[#This Row],[Cliente]],'BASE DE CLIENTES'!A:C,3,0)</f>
        <v>GO</v>
      </c>
      <c r="E609" s="4" t="str">
        <f>CONCATENATE(Tabela1[[#This Row],[CIDADE]],",",Tabela1[[#This Row],[UF]])</f>
        <v>Águas Lindas de Goiás,GO</v>
      </c>
      <c r="F609" s="2">
        <v>45912</v>
      </c>
      <c r="G609" s="17">
        <v>1818</v>
      </c>
      <c r="H609" s="17">
        <v>2700</v>
      </c>
      <c r="I609" s="6">
        <f>Tabela1[[#This Row],[Valor total]]-Tabela1[[#This Row],[Valor custo]]</f>
        <v>882</v>
      </c>
      <c r="J609" s="7">
        <f>Tabela1[[#This Row],[MARGEM BRUTA]]/Tabela1[[#This Row],[Valor total]]</f>
        <v>0.32666666666666666</v>
      </c>
      <c r="K609" s="1" t="str">
        <f>VLOOKUP(Tabela1[[#This Row],[Cliente]],'BASE DE CLIENTES'!A:D,4,0)</f>
        <v>EMPRESA COM MAQUINA</v>
      </c>
      <c r="L609" s="1" t="str">
        <f>VLOOKUP(Tabela1[[#This Row],[Cliente]],'BASE DE CLIENTES'!A:E,5,0)</f>
        <v>Águas Lindas de Goiás</v>
      </c>
    </row>
    <row r="610" spans="2:12" x14ac:dyDescent="0.3">
      <c r="B610" s="1" t="s">
        <v>19</v>
      </c>
      <c r="C610" s="4" t="str">
        <f>VLOOKUP(Tabela1[[#This Row],[Cliente]],'BASE DE CLIENTES'!A:E,2,0)</f>
        <v>Águas Lindas de Goiás</v>
      </c>
      <c r="D610" s="1" t="str">
        <f>VLOOKUP(Tabela1[[#This Row],[Cliente]],'BASE DE CLIENTES'!A:C,3,0)</f>
        <v>GO</v>
      </c>
      <c r="E610" s="4" t="str">
        <f>CONCATENATE(Tabela1[[#This Row],[CIDADE]],",",Tabela1[[#This Row],[UF]])</f>
        <v>Águas Lindas de Goiás,GO</v>
      </c>
      <c r="F610" s="2">
        <v>45911</v>
      </c>
      <c r="G610" s="17">
        <v>815.09</v>
      </c>
      <c r="H610" s="17">
        <v>1365</v>
      </c>
      <c r="I610" s="6">
        <f>Tabela1[[#This Row],[Valor total]]-Tabela1[[#This Row],[Valor custo]]</f>
        <v>549.91</v>
      </c>
      <c r="J610" s="7">
        <f>Tabela1[[#This Row],[MARGEM BRUTA]]/Tabela1[[#This Row],[Valor total]]</f>
        <v>0.40286446886446886</v>
      </c>
      <c r="K610" s="1" t="str">
        <f>VLOOKUP(Tabela1[[#This Row],[Cliente]],'BASE DE CLIENTES'!A:D,4,0)</f>
        <v>SERRALHEIRO</v>
      </c>
      <c r="L610" s="1" t="str">
        <f>VLOOKUP(Tabela1[[#This Row],[Cliente]],'BASE DE CLIENTES'!A:E,5,0)</f>
        <v>Águas Lindas de Goiás</v>
      </c>
    </row>
    <row r="611" spans="2:12" x14ac:dyDescent="0.3">
      <c r="B611" s="1" t="s">
        <v>127</v>
      </c>
      <c r="C611" s="4" t="str">
        <f>VLOOKUP(Tabela1[[#This Row],[Cliente]],'BASE DE CLIENTES'!A:E,2,0)</f>
        <v>Brasília</v>
      </c>
      <c r="D611" s="1" t="str">
        <f>VLOOKUP(Tabela1[[#This Row],[Cliente]],'BASE DE CLIENTES'!A:C,3,0)</f>
        <v>DF</v>
      </c>
      <c r="E611" s="4" t="str">
        <f>CONCATENATE(Tabela1[[#This Row],[CIDADE]],",",Tabela1[[#This Row],[UF]])</f>
        <v>Brasília,DF</v>
      </c>
      <c r="F611" s="2">
        <v>45736</v>
      </c>
      <c r="G611" s="17">
        <v>1028.9000000000001</v>
      </c>
      <c r="H611" s="17">
        <v>1434</v>
      </c>
      <c r="I611" s="6">
        <f>Tabela1[[#This Row],[Valor total]]-Tabela1[[#This Row],[Valor custo]]</f>
        <v>405.09999999999991</v>
      </c>
      <c r="J611" s="7">
        <f>Tabela1[[#This Row],[MARGEM BRUTA]]/Tabela1[[#This Row],[Valor total]]</f>
        <v>0.28249651324965125</v>
      </c>
      <c r="K611" s="1" t="str">
        <f>VLOOKUP(Tabela1[[#This Row],[Cliente]],'BASE DE CLIENTES'!A:D,4,0)</f>
        <v>EMPRESA COM MAQUINA</v>
      </c>
      <c r="L611" s="1" t="str">
        <f>VLOOKUP(Tabela1[[#This Row],[Cliente]],'BASE DE CLIENTES'!A:E,5,0)</f>
        <v>CEILANDIA SUL (CEILANDIA)</v>
      </c>
    </row>
    <row r="612" spans="2:12" x14ac:dyDescent="0.3">
      <c r="B612" s="1" t="s">
        <v>59</v>
      </c>
      <c r="C612" s="4" t="str">
        <f>VLOOKUP(Tabela1[[#This Row],[Cliente]],'BASE DE CLIENTES'!A:E,2,0)</f>
        <v>Brasília</v>
      </c>
      <c r="D612" s="1" t="str">
        <f>VLOOKUP(Tabela1[[#This Row],[Cliente]],'BASE DE CLIENTES'!A:C,3,0)</f>
        <v>DF</v>
      </c>
      <c r="E612" s="4" t="str">
        <f>CONCATENATE(Tabela1[[#This Row],[CIDADE]],",",Tabela1[[#This Row],[UF]])</f>
        <v>Brasília,DF</v>
      </c>
      <c r="F612" s="2">
        <v>45736</v>
      </c>
      <c r="G612" s="17">
        <v>6343.5</v>
      </c>
      <c r="H612" s="17">
        <v>8550</v>
      </c>
      <c r="I612" s="6">
        <f>Tabela1[[#This Row],[Valor total]]-Tabela1[[#This Row],[Valor custo]]</f>
        <v>2206.5</v>
      </c>
      <c r="J612" s="7">
        <f>Tabela1[[#This Row],[MARGEM BRUTA]]/Tabela1[[#This Row],[Valor total]]</f>
        <v>0.25807017543859651</v>
      </c>
      <c r="K612" s="1" t="str">
        <f>VLOOKUP(Tabela1[[#This Row],[Cliente]],'BASE DE CLIENTES'!A:D,4,0)</f>
        <v>EMPRESA COM MAQUINA</v>
      </c>
      <c r="L612" s="1" t="str">
        <f>VLOOKUP(Tabela1[[#This Row],[Cliente]],'BASE DE CLIENTES'!A:E,5,0)</f>
        <v>SETOR HABITACIONAL VICENTE PIRES</v>
      </c>
    </row>
    <row r="613" spans="2:12" x14ac:dyDescent="0.3">
      <c r="B613" s="1" t="s">
        <v>142</v>
      </c>
      <c r="C613" s="4" t="str">
        <f>VLOOKUP(Tabela1[[#This Row],[Cliente]],'BASE DE CLIENTES'!A:E,2,0)</f>
        <v>Brasília</v>
      </c>
      <c r="D613" s="1" t="str">
        <f>VLOOKUP(Tabela1[[#This Row],[Cliente]],'BASE DE CLIENTES'!A:C,3,0)</f>
        <v>DF</v>
      </c>
      <c r="E613" s="4" t="str">
        <f>CONCATENATE(Tabela1[[#This Row],[CIDADE]],",",Tabela1[[#This Row],[UF]])</f>
        <v>Brasília,DF</v>
      </c>
      <c r="F613" s="2">
        <v>45736</v>
      </c>
      <c r="G613" s="17">
        <v>57.13</v>
      </c>
      <c r="H613" s="17">
        <v>230</v>
      </c>
      <c r="I613" s="6">
        <f>Tabela1[[#This Row],[Valor total]]-Tabela1[[#This Row],[Valor custo]]</f>
        <v>172.87</v>
      </c>
      <c r="J613" s="7">
        <f>Tabela1[[#This Row],[MARGEM BRUTA]]/Tabela1[[#This Row],[Valor total]]</f>
        <v>0.75160869565217392</v>
      </c>
      <c r="K613" s="1" t="str">
        <f>VLOOKUP(Tabela1[[#This Row],[Cliente]],'BASE DE CLIENTES'!A:D,4,0)</f>
        <v>OUTROS RAMOS</v>
      </c>
      <c r="L613" s="1" t="str">
        <f>VLOOKUP(Tabela1[[#This Row],[Cliente]],'BASE DE CLIENTES'!A:E,5,0)</f>
        <v>RIACHO FUNDO II</v>
      </c>
    </row>
    <row r="614" spans="2:12" x14ac:dyDescent="0.3">
      <c r="B614" s="1" t="s">
        <v>66</v>
      </c>
      <c r="C614" s="4" t="str">
        <f>VLOOKUP(Tabela1[[#This Row],[Cliente]],'BASE DE CLIENTES'!A:E,2,0)</f>
        <v>Águas Lindas de Goiás</v>
      </c>
      <c r="D614" s="1" t="str">
        <f>VLOOKUP(Tabela1[[#This Row],[Cliente]],'BASE DE CLIENTES'!A:C,3,0)</f>
        <v>GO</v>
      </c>
      <c r="E614" s="4" t="str">
        <f>CONCATENATE(Tabela1[[#This Row],[CIDADE]],",",Tabela1[[#This Row],[UF]])</f>
        <v>Águas Lindas de Goiás,GO</v>
      </c>
      <c r="F614" s="2">
        <v>45910</v>
      </c>
      <c r="G614" s="17">
        <v>455.44</v>
      </c>
      <c r="H614" s="17">
        <v>710</v>
      </c>
      <c r="I614" s="6">
        <f>Tabela1[[#This Row],[Valor total]]-Tabela1[[#This Row],[Valor custo]]</f>
        <v>254.56</v>
      </c>
      <c r="J614" s="7">
        <f>Tabela1[[#This Row],[MARGEM BRUTA]]/Tabela1[[#This Row],[Valor total]]</f>
        <v>0.35853521126760562</v>
      </c>
      <c r="K614" s="1" t="str">
        <f>VLOOKUP(Tabela1[[#This Row],[Cliente]],'BASE DE CLIENTES'!A:D,4,0)</f>
        <v>EMPRESA COM MAQUINA</v>
      </c>
      <c r="L614" s="1" t="str">
        <f>VLOOKUP(Tabela1[[#This Row],[Cliente]],'BASE DE CLIENTES'!A:E,5,0)</f>
        <v>Águas Lindas de Goiás</v>
      </c>
    </row>
    <row r="615" spans="2:12" x14ac:dyDescent="0.3">
      <c r="B615" s="1" t="s">
        <v>143</v>
      </c>
      <c r="C615" s="4" t="str">
        <f>VLOOKUP(Tabela1[[#This Row],[Cliente]],'BASE DE CLIENTES'!A:E,2,0)</f>
        <v>Brasília</v>
      </c>
      <c r="D615" s="1" t="str">
        <f>VLOOKUP(Tabela1[[#This Row],[Cliente]],'BASE DE CLIENTES'!A:C,3,0)</f>
        <v>DF</v>
      </c>
      <c r="E615" s="4" t="str">
        <f>CONCATENATE(Tabela1[[#This Row],[CIDADE]],",",Tabela1[[#This Row],[UF]])</f>
        <v>Brasília,DF</v>
      </c>
      <c r="F615" s="2">
        <v>45853</v>
      </c>
      <c r="G615" s="17">
        <v>293.13</v>
      </c>
      <c r="H615" s="17">
        <v>800</v>
      </c>
      <c r="I615" s="6">
        <f>Tabela1[[#This Row],[Valor total]]-Tabela1[[#This Row],[Valor custo]]</f>
        <v>506.87</v>
      </c>
      <c r="J615" s="7">
        <f>Tabela1[[#This Row],[MARGEM BRUTA]]/Tabela1[[#This Row],[Valor total]]</f>
        <v>0.63358749999999997</v>
      </c>
      <c r="K615" s="1" t="str">
        <f>VLOOKUP(Tabela1[[#This Row],[Cliente]],'BASE DE CLIENTES'!A:D,4,0)</f>
        <v>SEM CLASSIFICAÇÃO</v>
      </c>
      <c r="L615" s="1" t="str">
        <f>VLOOKUP(Tabela1[[#This Row],[Cliente]],'BASE DE CLIENTES'!A:E,5,0)</f>
        <v>ÁGUAS CLARAS</v>
      </c>
    </row>
    <row r="616" spans="2:12" x14ac:dyDescent="0.3">
      <c r="B616" s="1" t="s">
        <v>19</v>
      </c>
      <c r="C616" s="4" t="str">
        <f>VLOOKUP(Tabela1[[#This Row],[Cliente]],'BASE DE CLIENTES'!A:E,2,0)</f>
        <v>Águas Lindas de Goiás</v>
      </c>
      <c r="D616" s="1" t="str">
        <f>VLOOKUP(Tabela1[[#This Row],[Cliente]],'BASE DE CLIENTES'!A:C,3,0)</f>
        <v>GO</v>
      </c>
      <c r="E616" s="4" t="str">
        <f>CONCATENATE(Tabela1[[#This Row],[CIDADE]],",",Tabela1[[#This Row],[UF]])</f>
        <v>Águas Lindas de Goiás,GO</v>
      </c>
      <c r="F616" s="2">
        <v>45910</v>
      </c>
      <c r="G616" s="17">
        <v>887.89</v>
      </c>
      <c r="H616" s="17">
        <v>1610</v>
      </c>
      <c r="I616" s="6">
        <f>Tabela1[[#This Row],[Valor total]]-Tabela1[[#This Row],[Valor custo]]</f>
        <v>722.11</v>
      </c>
      <c r="J616" s="7">
        <f>Tabela1[[#This Row],[MARGEM BRUTA]]/Tabela1[[#This Row],[Valor total]]</f>
        <v>0.44851552795031058</v>
      </c>
      <c r="K616" s="1" t="str">
        <f>VLOOKUP(Tabela1[[#This Row],[Cliente]],'BASE DE CLIENTES'!A:D,4,0)</f>
        <v>SERRALHEIRO</v>
      </c>
      <c r="L616" s="1" t="str">
        <f>VLOOKUP(Tabela1[[#This Row],[Cliente]],'BASE DE CLIENTES'!A:E,5,0)</f>
        <v>Águas Lindas de Goiás</v>
      </c>
    </row>
    <row r="617" spans="2:12" x14ac:dyDescent="0.3">
      <c r="B617" s="1" t="s">
        <v>104</v>
      </c>
      <c r="C617" s="4" t="str">
        <f>VLOOKUP(Tabela1[[#This Row],[Cliente]],'BASE DE CLIENTES'!A:E,2,0)</f>
        <v>Águas Lindas de Goiás</v>
      </c>
      <c r="D617" s="1" t="str">
        <f>VLOOKUP(Tabela1[[#This Row],[Cliente]],'BASE DE CLIENTES'!A:C,3,0)</f>
        <v>GO</v>
      </c>
      <c r="E617" s="4" t="str">
        <f>CONCATENATE(Tabela1[[#This Row],[CIDADE]],",",Tabela1[[#This Row],[UF]])</f>
        <v>Águas Lindas de Goiás,GO</v>
      </c>
      <c r="F617" s="2">
        <v>45909</v>
      </c>
      <c r="G617" s="17">
        <v>602</v>
      </c>
      <c r="H617" s="17">
        <v>960</v>
      </c>
      <c r="I617" s="6">
        <f>Tabela1[[#This Row],[Valor total]]-Tabela1[[#This Row],[Valor custo]]</f>
        <v>358</v>
      </c>
      <c r="J617" s="7">
        <f>Tabela1[[#This Row],[MARGEM BRUTA]]/Tabela1[[#This Row],[Valor total]]</f>
        <v>0.37291666666666667</v>
      </c>
      <c r="K617" s="1" t="str">
        <f>VLOOKUP(Tabela1[[#This Row],[Cliente]],'BASE DE CLIENTES'!A:D,4,0)</f>
        <v>EMPRESA SEM MAQUINA</v>
      </c>
      <c r="L617" s="1" t="str">
        <f>VLOOKUP(Tabela1[[#This Row],[Cliente]],'BASE DE CLIENTES'!A:E,5,0)</f>
        <v>Águas Lindas de Goiás</v>
      </c>
    </row>
    <row r="618" spans="2:12" x14ac:dyDescent="0.3">
      <c r="B618" s="1" t="s">
        <v>55</v>
      </c>
      <c r="C618" s="4" t="str">
        <f>VLOOKUP(Tabela1[[#This Row],[Cliente]],'BASE DE CLIENTES'!A:E,2,0)</f>
        <v>Brasília</v>
      </c>
      <c r="D618" s="1" t="str">
        <f>VLOOKUP(Tabela1[[#This Row],[Cliente]],'BASE DE CLIENTES'!A:C,3,0)</f>
        <v>DF</v>
      </c>
      <c r="E618" s="4" t="str">
        <f>CONCATENATE(Tabela1[[#This Row],[CIDADE]],",",Tabela1[[#This Row],[UF]])</f>
        <v>Brasília,DF</v>
      </c>
      <c r="F618" s="2">
        <v>45736</v>
      </c>
      <c r="G618" s="17">
        <v>1797.45</v>
      </c>
      <c r="H618" s="17">
        <v>2880</v>
      </c>
      <c r="I618" s="6">
        <f>Tabela1[[#This Row],[Valor total]]-Tabela1[[#This Row],[Valor custo]]</f>
        <v>1082.55</v>
      </c>
      <c r="J618" s="7">
        <f>Tabela1[[#This Row],[MARGEM BRUTA]]/Tabela1[[#This Row],[Valor total]]</f>
        <v>0.37588541666666664</v>
      </c>
      <c r="K618" s="1" t="str">
        <f>VLOOKUP(Tabela1[[#This Row],[Cliente]],'BASE DE CLIENTES'!A:D,4,0)</f>
        <v>EMPRESA SEM MAQUINA</v>
      </c>
      <c r="L618" s="1" t="str">
        <f>VLOOKUP(Tabela1[[#This Row],[Cliente]],'BASE DE CLIENTES'!A:E,5,0)</f>
        <v>RECANTO DAS EMAS</v>
      </c>
    </row>
    <row r="619" spans="2:12" x14ac:dyDescent="0.3">
      <c r="B619" s="1" t="s">
        <v>68</v>
      </c>
      <c r="C619" s="4" t="str">
        <f>VLOOKUP(Tabela1[[#This Row],[Cliente]],'BASE DE CLIENTES'!A:E,2,0)</f>
        <v>Brasília</v>
      </c>
      <c r="D619" s="1" t="str">
        <f>VLOOKUP(Tabela1[[#This Row],[Cliente]],'BASE DE CLIENTES'!A:C,3,0)</f>
        <v>DF</v>
      </c>
      <c r="E619" s="4" t="str">
        <f>CONCATENATE(Tabela1[[#This Row],[CIDADE]],",",Tabela1[[#This Row],[UF]])</f>
        <v>Brasília,DF</v>
      </c>
      <c r="F619" s="2">
        <v>45736</v>
      </c>
      <c r="G619" s="17">
        <v>1106.32</v>
      </c>
      <c r="H619" s="17">
        <v>1815</v>
      </c>
      <c r="I619" s="6">
        <f>Tabela1[[#This Row],[Valor total]]-Tabela1[[#This Row],[Valor custo]]</f>
        <v>708.68000000000006</v>
      </c>
      <c r="J619" s="7">
        <f>Tabela1[[#This Row],[MARGEM BRUTA]]/Tabela1[[#This Row],[Valor total]]</f>
        <v>0.39045730027548214</v>
      </c>
      <c r="K619" s="1" t="str">
        <f>VLOOKUP(Tabela1[[#This Row],[Cliente]],'BASE DE CLIENTES'!A:D,4,0)</f>
        <v>EMPRESA COM MAQUINA</v>
      </c>
      <c r="L619" s="1" t="str">
        <f>VLOOKUP(Tabela1[[#This Row],[Cliente]],'BASE DE CLIENTES'!A:E,5,0)</f>
        <v>SAMAMBAIA SUL (SAMAMBAIA)</v>
      </c>
    </row>
    <row r="620" spans="2:12" x14ac:dyDescent="0.3">
      <c r="B620" s="1" t="s">
        <v>104</v>
      </c>
      <c r="C620" s="4" t="str">
        <f>VLOOKUP(Tabela1[[#This Row],[Cliente]],'BASE DE CLIENTES'!A:E,2,0)</f>
        <v>Águas Lindas de Goiás</v>
      </c>
      <c r="D620" s="1" t="str">
        <f>VLOOKUP(Tabela1[[#This Row],[Cliente]],'BASE DE CLIENTES'!A:C,3,0)</f>
        <v>GO</v>
      </c>
      <c r="E620" s="4" t="str">
        <f>CONCATENATE(Tabela1[[#This Row],[CIDADE]],",",Tabela1[[#This Row],[UF]])</f>
        <v>Águas Lindas de Goiás,GO</v>
      </c>
      <c r="F620" s="2">
        <v>45908</v>
      </c>
      <c r="G620" s="17">
        <v>1832.79</v>
      </c>
      <c r="H620" s="17">
        <v>2700</v>
      </c>
      <c r="I620" s="6">
        <f>Tabela1[[#This Row],[Valor total]]-Tabela1[[#This Row],[Valor custo]]</f>
        <v>867.21</v>
      </c>
      <c r="J620" s="7">
        <f>Tabela1[[#This Row],[MARGEM BRUTA]]/Tabela1[[#This Row],[Valor total]]</f>
        <v>0.32118888888888891</v>
      </c>
      <c r="K620" s="1" t="str">
        <f>VLOOKUP(Tabela1[[#This Row],[Cliente]],'BASE DE CLIENTES'!A:D,4,0)</f>
        <v>EMPRESA SEM MAQUINA</v>
      </c>
      <c r="L620" s="1" t="str">
        <f>VLOOKUP(Tabela1[[#This Row],[Cliente]],'BASE DE CLIENTES'!A:E,5,0)</f>
        <v>Águas Lindas de Goiás</v>
      </c>
    </row>
    <row r="621" spans="2:12" x14ac:dyDescent="0.3">
      <c r="B621" s="1" t="s">
        <v>42</v>
      </c>
      <c r="C621" s="4" t="str">
        <f>VLOOKUP(Tabela1[[#This Row],[Cliente]],'BASE DE CLIENTES'!A:E,2,0)</f>
        <v>Brasília</v>
      </c>
      <c r="D621" s="1" t="str">
        <f>VLOOKUP(Tabela1[[#This Row],[Cliente]],'BASE DE CLIENTES'!A:C,3,0)</f>
        <v>DF</v>
      </c>
      <c r="E621" s="4" t="str">
        <f>CONCATENATE(Tabela1[[#This Row],[CIDADE]],",",Tabela1[[#This Row],[UF]])</f>
        <v>Brasília,DF</v>
      </c>
      <c r="F621" s="2">
        <v>45735</v>
      </c>
      <c r="G621" s="17">
        <v>684.55</v>
      </c>
      <c r="H621" s="17">
        <v>1200</v>
      </c>
      <c r="I621" s="6">
        <f>Tabela1[[#This Row],[Valor total]]-Tabela1[[#This Row],[Valor custo]]</f>
        <v>515.45000000000005</v>
      </c>
      <c r="J621" s="7">
        <f>Tabela1[[#This Row],[MARGEM BRUTA]]/Tabela1[[#This Row],[Valor total]]</f>
        <v>0.42954166666666671</v>
      </c>
      <c r="K621" s="1" t="str">
        <f>VLOOKUP(Tabela1[[#This Row],[Cliente]],'BASE DE CLIENTES'!A:D,4,0)</f>
        <v>EMPRESA SEM MAQUINA</v>
      </c>
      <c r="L621" s="1" t="str">
        <f>VLOOKUP(Tabela1[[#This Row],[Cliente]],'BASE DE CLIENTES'!A:E,5,0)</f>
        <v>SAMAMBAIA</v>
      </c>
    </row>
    <row r="622" spans="2:12" x14ac:dyDescent="0.3">
      <c r="B622" s="1" t="s">
        <v>17</v>
      </c>
      <c r="C622" s="4" t="str">
        <f>VLOOKUP(Tabela1[[#This Row],[Cliente]],'BASE DE CLIENTES'!A:E,2,0)</f>
        <v>Águas Lindas de Goiás</v>
      </c>
      <c r="D622" s="1" t="str">
        <f>VLOOKUP(Tabela1[[#This Row],[Cliente]],'BASE DE CLIENTES'!A:C,3,0)</f>
        <v>GO</v>
      </c>
      <c r="E622" s="4" t="str">
        <f>CONCATENATE(Tabela1[[#This Row],[CIDADE]],",",Tabela1[[#This Row],[UF]])</f>
        <v>Águas Lindas de Goiás,GO</v>
      </c>
      <c r="F622" s="2">
        <v>45908</v>
      </c>
      <c r="G622" s="17">
        <v>28.84</v>
      </c>
      <c r="H622" s="17">
        <v>115</v>
      </c>
      <c r="I622" s="6">
        <f>Tabela1[[#This Row],[Valor total]]-Tabela1[[#This Row],[Valor custo]]</f>
        <v>86.16</v>
      </c>
      <c r="J622" s="7">
        <f>Tabela1[[#This Row],[MARGEM BRUTA]]/Tabela1[[#This Row],[Valor total]]</f>
        <v>0.74921739130434784</v>
      </c>
      <c r="K622" s="1" t="str">
        <f>VLOOKUP(Tabela1[[#This Row],[Cliente]],'BASE DE CLIENTES'!A:D,4,0)</f>
        <v>SERRALHEIRO</v>
      </c>
      <c r="L622" s="1" t="str">
        <f>VLOOKUP(Tabela1[[#This Row],[Cliente]],'BASE DE CLIENTES'!A:E,5,0)</f>
        <v>Águas Lindas de Goiás</v>
      </c>
    </row>
    <row r="623" spans="2:12" x14ac:dyDescent="0.3">
      <c r="B623" s="1" t="s">
        <v>19</v>
      </c>
      <c r="C623" s="4" t="str">
        <f>VLOOKUP(Tabela1[[#This Row],[Cliente]],'BASE DE CLIENTES'!A:E,2,0)</f>
        <v>Águas Lindas de Goiás</v>
      </c>
      <c r="D623" s="1" t="str">
        <f>VLOOKUP(Tabela1[[#This Row],[Cliente]],'BASE DE CLIENTES'!A:C,3,0)</f>
        <v>GO</v>
      </c>
      <c r="E623" s="4" t="str">
        <f>CONCATENATE(Tabela1[[#This Row],[CIDADE]],",",Tabela1[[#This Row],[UF]])</f>
        <v>Águas Lindas de Goiás,GO</v>
      </c>
      <c r="F623" s="2">
        <v>45908</v>
      </c>
      <c r="G623" s="17">
        <v>922.79</v>
      </c>
      <c r="H623" s="17">
        <v>1500</v>
      </c>
      <c r="I623" s="6">
        <f>Tabela1[[#This Row],[Valor total]]-Tabela1[[#This Row],[Valor custo]]</f>
        <v>577.21</v>
      </c>
      <c r="J623" s="7">
        <f>Tabela1[[#This Row],[MARGEM BRUTA]]/Tabela1[[#This Row],[Valor total]]</f>
        <v>0.38480666666666669</v>
      </c>
      <c r="K623" s="1" t="str">
        <f>VLOOKUP(Tabela1[[#This Row],[Cliente]],'BASE DE CLIENTES'!A:D,4,0)</f>
        <v>SERRALHEIRO</v>
      </c>
      <c r="L623" s="1" t="str">
        <f>VLOOKUP(Tabela1[[#This Row],[Cliente]],'BASE DE CLIENTES'!A:E,5,0)</f>
        <v>Águas Lindas de Goiás</v>
      </c>
    </row>
    <row r="624" spans="2:12" x14ac:dyDescent="0.3">
      <c r="B624" s="1" t="s">
        <v>66</v>
      </c>
      <c r="C624" s="4" t="str">
        <f>VLOOKUP(Tabela1[[#This Row],[Cliente]],'BASE DE CLIENTES'!A:E,2,0)</f>
        <v>Águas Lindas de Goiás</v>
      </c>
      <c r="D624" s="1" t="str">
        <f>VLOOKUP(Tabela1[[#This Row],[Cliente]],'BASE DE CLIENTES'!A:C,3,0)</f>
        <v>GO</v>
      </c>
      <c r="E624" s="4" t="str">
        <f>CONCATENATE(Tabela1[[#This Row],[CIDADE]],",",Tabela1[[#This Row],[UF]])</f>
        <v>Águas Lindas de Goiás,GO</v>
      </c>
      <c r="F624" s="2">
        <v>45905</v>
      </c>
      <c r="G624" s="17">
        <v>1826.4</v>
      </c>
      <c r="H624" s="17">
        <v>3192</v>
      </c>
      <c r="I624" s="6">
        <f>Tabela1[[#This Row],[Valor total]]-Tabela1[[#This Row],[Valor custo]]</f>
        <v>1365.6</v>
      </c>
      <c r="J624" s="7">
        <f>Tabela1[[#This Row],[MARGEM BRUTA]]/Tabela1[[#This Row],[Valor total]]</f>
        <v>0.42781954887218043</v>
      </c>
      <c r="K624" s="1" t="str">
        <f>VLOOKUP(Tabela1[[#This Row],[Cliente]],'BASE DE CLIENTES'!A:D,4,0)</f>
        <v>EMPRESA COM MAQUINA</v>
      </c>
      <c r="L624" s="1" t="str">
        <f>VLOOKUP(Tabela1[[#This Row],[Cliente]],'BASE DE CLIENTES'!A:E,5,0)</f>
        <v>Águas Lindas de Goiás</v>
      </c>
    </row>
    <row r="625" spans="2:12" x14ac:dyDescent="0.3">
      <c r="B625" s="1" t="s">
        <v>19</v>
      </c>
      <c r="C625" s="4" t="str">
        <f>VLOOKUP(Tabela1[[#This Row],[Cliente]],'BASE DE CLIENTES'!A:E,2,0)</f>
        <v>Águas Lindas de Goiás</v>
      </c>
      <c r="D625" s="1" t="str">
        <f>VLOOKUP(Tabela1[[#This Row],[Cliente]],'BASE DE CLIENTES'!A:C,3,0)</f>
        <v>GO</v>
      </c>
      <c r="E625" s="4" t="str">
        <f>CONCATENATE(Tabela1[[#This Row],[CIDADE]],",",Tabela1[[#This Row],[UF]])</f>
        <v>Águas Lindas de Goiás,GO</v>
      </c>
      <c r="F625" s="2">
        <v>45905</v>
      </c>
      <c r="G625" s="17">
        <v>1249.54</v>
      </c>
      <c r="H625" s="17">
        <v>2280</v>
      </c>
      <c r="I625" s="6">
        <f>Tabela1[[#This Row],[Valor total]]-Tabela1[[#This Row],[Valor custo]]</f>
        <v>1030.46</v>
      </c>
      <c r="J625" s="7">
        <f>Tabela1[[#This Row],[MARGEM BRUTA]]/Tabela1[[#This Row],[Valor total]]</f>
        <v>0.45195614035087722</v>
      </c>
      <c r="K625" s="1" t="str">
        <f>VLOOKUP(Tabela1[[#This Row],[Cliente]],'BASE DE CLIENTES'!A:D,4,0)</f>
        <v>SERRALHEIRO</v>
      </c>
      <c r="L625" s="1" t="str">
        <f>VLOOKUP(Tabela1[[#This Row],[Cliente]],'BASE DE CLIENTES'!A:E,5,0)</f>
        <v>Águas Lindas de Goiás</v>
      </c>
    </row>
    <row r="626" spans="2:12" x14ac:dyDescent="0.3">
      <c r="B626" s="1" t="s">
        <v>109</v>
      </c>
      <c r="C626" s="4" t="str">
        <f>VLOOKUP(Tabela1[[#This Row],[Cliente]],'BASE DE CLIENTES'!A:E,2,0)</f>
        <v>Águas Lindas de Goiás</v>
      </c>
      <c r="D626" s="1" t="str">
        <f>VLOOKUP(Tabela1[[#This Row],[Cliente]],'BASE DE CLIENTES'!A:C,3,0)</f>
        <v>GO</v>
      </c>
      <c r="E626" s="4" t="str">
        <f>CONCATENATE(Tabela1[[#This Row],[CIDADE]],",",Tabela1[[#This Row],[UF]])</f>
        <v>Águas Lindas de Goiás,GO</v>
      </c>
      <c r="F626" s="2">
        <v>45904</v>
      </c>
      <c r="G626" s="17">
        <v>693</v>
      </c>
      <c r="H626" s="17">
        <v>1550</v>
      </c>
      <c r="I626" s="6">
        <f>Tabela1[[#This Row],[Valor total]]-Tabela1[[#This Row],[Valor custo]]</f>
        <v>857</v>
      </c>
      <c r="J626" s="7">
        <f>Tabela1[[#This Row],[MARGEM BRUTA]]/Tabela1[[#This Row],[Valor total]]</f>
        <v>0.55290322580645157</v>
      </c>
      <c r="K626" s="1" t="str">
        <f>VLOOKUP(Tabela1[[#This Row],[Cliente]],'BASE DE CLIENTES'!A:D,4,0)</f>
        <v>SERRALHEIRO</v>
      </c>
      <c r="L626" s="1" t="str">
        <f>VLOOKUP(Tabela1[[#This Row],[Cliente]],'BASE DE CLIENTES'!A:E,5,0)</f>
        <v>Águas Lindas de Goiás</v>
      </c>
    </row>
    <row r="627" spans="2:12" x14ac:dyDescent="0.3">
      <c r="B627" s="1" t="s">
        <v>66</v>
      </c>
      <c r="C627" s="4" t="str">
        <f>VLOOKUP(Tabela1[[#This Row],[Cliente]],'BASE DE CLIENTES'!A:E,2,0)</f>
        <v>Águas Lindas de Goiás</v>
      </c>
      <c r="D627" s="1" t="str">
        <f>VLOOKUP(Tabela1[[#This Row],[Cliente]],'BASE DE CLIENTES'!A:C,3,0)</f>
        <v>GO</v>
      </c>
      <c r="E627" s="4" t="str">
        <f>CONCATENATE(Tabela1[[#This Row],[CIDADE]],",",Tabela1[[#This Row],[UF]])</f>
        <v>Águas Lindas de Goiás,GO</v>
      </c>
      <c r="F627" s="2">
        <v>45903</v>
      </c>
      <c r="G627" s="17">
        <v>1292.3</v>
      </c>
      <c r="H627" s="17">
        <v>2120</v>
      </c>
      <c r="I627" s="6">
        <f>Tabela1[[#This Row],[Valor total]]-Tabela1[[#This Row],[Valor custo]]</f>
        <v>827.7</v>
      </c>
      <c r="J627" s="7">
        <f>Tabela1[[#This Row],[MARGEM BRUTA]]/Tabela1[[#This Row],[Valor total]]</f>
        <v>0.39042452830188679</v>
      </c>
      <c r="K627" s="1" t="str">
        <f>VLOOKUP(Tabela1[[#This Row],[Cliente]],'BASE DE CLIENTES'!A:D,4,0)</f>
        <v>EMPRESA COM MAQUINA</v>
      </c>
      <c r="L627" s="1" t="str">
        <f>VLOOKUP(Tabela1[[#This Row],[Cliente]],'BASE DE CLIENTES'!A:E,5,0)</f>
        <v>Águas Lindas de Goiás</v>
      </c>
    </row>
    <row r="628" spans="2:12" x14ac:dyDescent="0.3">
      <c r="B628" s="1" t="s">
        <v>38</v>
      </c>
      <c r="C628" s="4" t="str">
        <f>VLOOKUP(Tabela1[[#This Row],[Cliente]],'BASE DE CLIENTES'!A:E,2,0)</f>
        <v>Brasília</v>
      </c>
      <c r="D628" s="1" t="str">
        <f>VLOOKUP(Tabela1[[#This Row],[Cliente]],'BASE DE CLIENTES'!A:C,3,0)</f>
        <v>DF</v>
      </c>
      <c r="E628" s="4" t="str">
        <f>CONCATENATE(Tabela1[[#This Row],[CIDADE]],",",Tabela1[[#This Row],[UF]])</f>
        <v>Brasília,DF</v>
      </c>
      <c r="F628" s="2">
        <v>45735</v>
      </c>
      <c r="G628" s="17">
        <v>2053.65</v>
      </c>
      <c r="H628" s="17">
        <v>3750</v>
      </c>
      <c r="I628" s="6">
        <f>Tabela1[[#This Row],[Valor total]]-Tabela1[[#This Row],[Valor custo]]</f>
        <v>1696.35</v>
      </c>
      <c r="J628" s="7">
        <f>Tabela1[[#This Row],[MARGEM BRUTA]]/Tabela1[[#This Row],[Valor total]]</f>
        <v>0.45235999999999998</v>
      </c>
      <c r="K628" s="1" t="str">
        <f>VLOOKUP(Tabela1[[#This Row],[Cliente]],'BASE DE CLIENTES'!A:D,4,0)</f>
        <v>EMPRESA SEM MAQUINA</v>
      </c>
      <c r="L628" s="1" t="str">
        <f>VLOOKUP(Tabela1[[#This Row],[Cliente]],'BASE DE CLIENTES'!A:E,5,0)</f>
        <v>PONTE ALTA NORTE (GAMA)</v>
      </c>
    </row>
    <row r="629" spans="2:12" x14ac:dyDescent="0.3">
      <c r="B629" s="1" t="s">
        <v>57</v>
      </c>
      <c r="C629" s="4" t="str">
        <f>VLOOKUP(Tabela1[[#This Row],[Cliente]],'BASE DE CLIENTES'!A:E,2,0)</f>
        <v>Brasília</v>
      </c>
      <c r="D629" s="1" t="str">
        <f>VLOOKUP(Tabela1[[#This Row],[Cliente]],'BASE DE CLIENTES'!A:C,3,0)</f>
        <v>DF</v>
      </c>
      <c r="E629" s="4" t="str">
        <f>CONCATENATE(Tabela1[[#This Row],[CIDADE]],",",Tabela1[[#This Row],[UF]])</f>
        <v>Brasília,DF</v>
      </c>
      <c r="F629" s="2">
        <v>45735</v>
      </c>
      <c r="G629" s="17">
        <v>470.3</v>
      </c>
      <c r="H629" s="17">
        <v>760.98</v>
      </c>
      <c r="I629" s="6">
        <f>Tabela1[[#This Row],[Valor total]]-Tabela1[[#This Row],[Valor custo]]</f>
        <v>290.68</v>
      </c>
      <c r="J629" s="7">
        <f>Tabela1[[#This Row],[MARGEM BRUTA]]/Tabela1[[#This Row],[Valor total]]</f>
        <v>0.38198112959604719</v>
      </c>
      <c r="K629" s="1" t="str">
        <f>VLOOKUP(Tabela1[[#This Row],[Cliente]],'BASE DE CLIENTES'!A:D,4,0)</f>
        <v>SERRALHEIRO</v>
      </c>
      <c r="L629" s="1" t="str">
        <f>VLOOKUP(Tabela1[[#This Row],[Cliente]],'BASE DE CLIENTES'!A:E,5,0)</f>
        <v>ARAPOANGA (PLANALTINA)</v>
      </c>
    </row>
    <row r="630" spans="2:12" x14ac:dyDescent="0.3">
      <c r="B630" s="1" t="s">
        <v>70</v>
      </c>
      <c r="C630" s="4" t="str">
        <f>VLOOKUP(Tabela1[[#This Row],[Cliente]],'BASE DE CLIENTES'!A:E,2,0)</f>
        <v>Brasília</v>
      </c>
      <c r="D630" s="1" t="str">
        <f>VLOOKUP(Tabela1[[#This Row],[Cliente]],'BASE DE CLIENTES'!A:C,3,0)</f>
        <v>DF</v>
      </c>
      <c r="E630" s="4" t="str">
        <f>CONCATENATE(Tabela1[[#This Row],[CIDADE]],",",Tabela1[[#This Row],[UF]])</f>
        <v>Brasília,DF</v>
      </c>
      <c r="F630" s="2">
        <v>45735</v>
      </c>
      <c r="G630" s="17">
        <v>42</v>
      </c>
      <c r="H630" s="17">
        <v>55</v>
      </c>
      <c r="I630" s="6">
        <f>Tabela1[[#This Row],[Valor total]]-Tabela1[[#This Row],[Valor custo]]</f>
        <v>13</v>
      </c>
      <c r="J630" s="7">
        <f>Tabela1[[#This Row],[MARGEM BRUTA]]/Tabela1[[#This Row],[Valor total]]</f>
        <v>0.23636363636363636</v>
      </c>
      <c r="K630" s="1" t="str">
        <f>VLOOKUP(Tabela1[[#This Row],[Cliente]],'BASE DE CLIENTES'!A:D,4,0)</f>
        <v>EMPRESA COM MAQUINA</v>
      </c>
      <c r="L630" s="1" t="str">
        <f>VLOOKUP(Tabela1[[#This Row],[Cliente]],'BASE DE CLIENTES'!A:E,5,0)</f>
        <v>TAGUATINGA NORTE (TAGUATINGA)</v>
      </c>
    </row>
    <row r="631" spans="2:12" x14ac:dyDescent="0.3">
      <c r="B631" s="1" t="s">
        <v>70</v>
      </c>
      <c r="C631" s="4" t="str">
        <f>VLOOKUP(Tabela1[[#This Row],[Cliente]],'BASE DE CLIENTES'!A:E,2,0)</f>
        <v>Brasília</v>
      </c>
      <c r="D631" s="1" t="str">
        <f>VLOOKUP(Tabela1[[#This Row],[Cliente]],'BASE DE CLIENTES'!A:C,3,0)</f>
        <v>DF</v>
      </c>
      <c r="E631" s="4" t="str">
        <f>CONCATENATE(Tabela1[[#This Row],[CIDADE]],",",Tabela1[[#This Row],[UF]])</f>
        <v>Brasília,DF</v>
      </c>
      <c r="F631" s="2">
        <v>45735</v>
      </c>
      <c r="G631" s="17">
        <v>82.14</v>
      </c>
      <c r="H631" s="17">
        <v>600</v>
      </c>
      <c r="I631" s="6">
        <f>Tabela1[[#This Row],[Valor total]]-Tabela1[[#This Row],[Valor custo]]</f>
        <v>517.86</v>
      </c>
      <c r="J631" s="7">
        <f>Tabela1[[#This Row],[MARGEM BRUTA]]/Tabela1[[#This Row],[Valor total]]</f>
        <v>0.86309999999999998</v>
      </c>
      <c r="K631" s="1" t="str">
        <f>VLOOKUP(Tabela1[[#This Row],[Cliente]],'BASE DE CLIENTES'!A:D,4,0)</f>
        <v>EMPRESA COM MAQUINA</v>
      </c>
      <c r="L631" s="1" t="str">
        <f>VLOOKUP(Tabela1[[#This Row],[Cliente]],'BASE DE CLIENTES'!A:E,5,0)</f>
        <v>TAGUATINGA NORTE (TAGUATINGA)</v>
      </c>
    </row>
    <row r="632" spans="2:12" x14ac:dyDescent="0.3">
      <c r="B632" s="1" t="s">
        <v>19</v>
      </c>
      <c r="C632" s="4" t="str">
        <f>VLOOKUP(Tabela1[[#This Row],[Cliente]],'BASE DE CLIENTES'!A:E,2,0)</f>
        <v>Águas Lindas de Goiás</v>
      </c>
      <c r="D632" s="1" t="str">
        <f>VLOOKUP(Tabela1[[#This Row],[Cliente]],'BASE DE CLIENTES'!A:C,3,0)</f>
        <v>GO</v>
      </c>
      <c r="E632" s="4" t="str">
        <f>CONCATENATE(Tabela1[[#This Row],[CIDADE]],",",Tabela1[[#This Row],[UF]])</f>
        <v>Águas Lindas de Goiás,GO</v>
      </c>
      <c r="F632" s="2">
        <v>45903</v>
      </c>
      <c r="G632" s="17">
        <v>649</v>
      </c>
      <c r="H632" s="17">
        <v>1250</v>
      </c>
      <c r="I632" s="6">
        <f>Tabela1[[#This Row],[Valor total]]-Tabela1[[#This Row],[Valor custo]]</f>
        <v>601</v>
      </c>
      <c r="J632" s="7">
        <f>Tabela1[[#This Row],[MARGEM BRUTA]]/Tabela1[[#This Row],[Valor total]]</f>
        <v>0.48080000000000001</v>
      </c>
      <c r="K632" s="1" t="str">
        <f>VLOOKUP(Tabela1[[#This Row],[Cliente]],'BASE DE CLIENTES'!A:D,4,0)</f>
        <v>SERRALHEIRO</v>
      </c>
      <c r="L632" s="1" t="str">
        <f>VLOOKUP(Tabela1[[#This Row],[Cliente]],'BASE DE CLIENTES'!A:E,5,0)</f>
        <v>Águas Lindas de Goiás</v>
      </c>
    </row>
    <row r="633" spans="2:12" x14ac:dyDescent="0.3">
      <c r="B633" s="1" t="s">
        <v>19</v>
      </c>
      <c r="C633" s="4" t="str">
        <f>VLOOKUP(Tabela1[[#This Row],[Cliente]],'BASE DE CLIENTES'!A:E,2,0)</f>
        <v>Águas Lindas de Goiás</v>
      </c>
      <c r="D633" s="1" t="str">
        <f>VLOOKUP(Tabela1[[#This Row],[Cliente]],'BASE DE CLIENTES'!A:C,3,0)</f>
        <v>GO</v>
      </c>
      <c r="E633" s="4" t="str">
        <f>CONCATENATE(Tabela1[[#This Row],[CIDADE]],",",Tabela1[[#This Row],[UF]])</f>
        <v>Águas Lindas de Goiás,GO</v>
      </c>
      <c r="F633" s="2">
        <v>45902</v>
      </c>
      <c r="G633" s="17">
        <v>125</v>
      </c>
      <c r="H633" s="17">
        <v>150</v>
      </c>
      <c r="I633" s="6">
        <f>Tabela1[[#This Row],[Valor total]]-Tabela1[[#This Row],[Valor custo]]</f>
        <v>25</v>
      </c>
      <c r="J633" s="7">
        <f>Tabela1[[#This Row],[MARGEM BRUTA]]/Tabela1[[#This Row],[Valor total]]</f>
        <v>0.16666666666666666</v>
      </c>
      <c r="K633" s="1" t="str">
        <f>VLOOKUP(Tabela1[[#This Row],[Cliente]],'BASE DE CLIENTES'!A:D,4,0)</f>
        <v>SERRALHEIRO</v>
      </c>
      <c r="L633" s="1" t="str">
        <f>VLOOKUP(Tabela1[[#This Row],[Cliente]],'BASE DE CLIENTES'!A:E,5,0)</f>
        <v>Águas Lindas de Goiás</v>
      </c>
    </row>
    <row r="634" spans="2:12" x14ac:dyDescent="0.3">
      <c r="B634" s="1" t="s">
        <v>19</v>
      </c>
      <c r="C634" s="4" t="str">
        <f>VLOOKUP(Tabela1[[#This Row],[Cliente]],'BASE DE CLIENTES'!A:E,2,0)</f>
        <v>Águas Lindas de Goiás</v>
      </c>
      <c r="D634" s="1" t="str">
        <f>VLOOKUP(Tabela1[[#This Row],[Cliente]],'BASE DE CLIENTES'!A:C,3,0)</f>
        <v>GO</v>
      </c>
      <c r="E634" s="4" t="str">
        <f>CONCATENATE(Tabela1[[#This Row],[CIDADE]],",",Tabela1[[#This Row],[UF]])</f>
        <v>Águas Lindas de Goiás,GO</v>
      </c>
      <c r="F634" s="2">
        <v>45902</v>
      </c>
      <c r="G634" s="17">
        <v>1962</v>
      </c>
      <c r="H634" s="17">
        <v>3850</v>
      </c>
      <c r="I634" s="6">
        <f>Tabela1[[#This Row],[Valor total]]-Tabela1[[#This Row],[Valor custo]]</f>
        <v>1888</v>
      </c>
      <c r="J634" s="7">
        <f>Tabela1[[#This Row],[MARGEM BRUTA]]/Tabela1[[#This Row],[Valor total]]</f>
        <v>0.49038961038961038</v>
      </c>
      <c r="K634" s="1" t="str">
        <f>VLOOKUP(Tabela1[[#This Row],[Cliente]],'BASE DE CLIENTES'!A:D,4,0)</f>
        <v>SERRALHEIRO</v>
      </c>
      <c r="L634" s="1" t="str">
        <f>VLOOKUP(Tabela1[[#This Row],[Cliente]],'BASE DE CLIENTES'!A:E,5,0)</f>
        <v>Águas Lindas de Goiás</v>
      </c>
    </row>
    <row r="635" spans="2:12" x14ac:dyDescent="0.3">
      <c r="B635" s="1" t="s">
        <v>66</v>
      </c>
      <c r="C635" s="4" t="str">
        <f>VLOOKUP(Tabela1[[#This Row],[Cliente]],'BASE DE CLIENTES'!A:E,2,0)</f>
        <v>Águas Lindas de Goiás</v>
      </c>
      <c r="D635" s="1" t="str">
        <f>VLOOKUP(Tabela1[[#This Row],[Cliente]],'BASE DE CLIENTES'!A:C,3,0)</f>
        <v>GO</v>
      </c>
      <c r="E635" s="4" t="str">
        <f>CONCATENATE(Tabela1[[#This Row],[CIDADE]],",",Tabela1[[#This Row],[UF]])</f>
        <v>Águas Lindas de Goiás,GO</v>
      </c>
      <c r="F635" s="2">
        <v>45901</v>
      </c>
      <c r="G635" s="17">
        <v>125</v>
      </c>
      <c r="H635" s="17">
        <v>150</v>
      </c>
      <c r="I635" s="6">
        <f>Tabela1[[#This Row],[Valor total]]-Tabela1[[#This Row],[Valor custo]]</f>
        <v>25</v>
      </c>
      <c r="J635" s="7">
        <f>Tabela1[[#This Row],[MARGEM BRUTA]]/Tabela1[[#This Row],[Valor total]]</f>
        <v>0.16666666666666666</v>
      </c>
      <c r="K635" s="1" t="str">
        <f>VLOOKUP(Tabela1[[#This Row],[Cliente]],'BASE DE CLIENTES'!A:D,4,0)</f>
        <v>EMPRESA COM MAQUINA</v>
      </c>
      <c r="L635" s="1" t="str">
        <f>VLOOKUP(Tabela1[[#This Row],[Cliente]],'BASE DE CLIENTES'!A:E,5,0)</f>
        <v>Águas Lindas de Goiás</v>
      </c>
    </row>
    <row r="636" spans="2:12" x14ac:dyDescent="0.3">
      <c r="B636" s="1" t="s">
        <v>42</v>
      </c>
      <c r="C636" s="4" t="str">
        <f>VLOOKUP(Tabela1[[#This Row],[Cliente]],'BASE DE CLIENTES'!A:E,2,0)</f>
        <v>Brasília</v>
      </c>
      <c r="D636" s="1" t="str">
        <f>VLOOKUP(Tabela1[[#This Row],[Cliente]],'BASE DE CLIENTES'!A:C,3,0)</f>
        <v>DF</v>
      </c>
      <c r="E636" s="4" t="str">
        <f>CONCATENATE(Tabela1[[#This Row],[CIDADE]],",",Tabela1[[#This Row],[UF]])</f>
        <v>Brasília,DF</v>
      </c>
      <c r="F636" s="2">
        <v>45735</v>
      </c>
      <c r="G636" s="17">
        <v>1414.46</v>
      </c>
      <c r="H636" s="17">
        <v>2800</v>
      </c>
      <c r="I636" s="6">
        <f>Tabela1[[#This Row],[Valor total]]-Tabela1[[#This Row],[Valor custo]]</f>
        <v>1385.54</v>
      </c>
      <c r="J636" s="7">
        <f>Tabela1[[#This Row],[MARGEM BRUTA]]/Tabela1[[#This Row],[Valor total]]</f>
        <v>0.49483571428571427</v>
      </c>
      <c r="K636" s="1" t="str">
        <f>VLOOKUP(Tabela1[[#This Row],[Cliente]],'BASE DE CLIENTES'!A:D,4,0)</f>
        <v>EMPRESA SEM MAQUINA</v>
      </c>
      <c r="L636" s="1" t="str">
        <f>VLOOKUP(Tabela1[[#This Row],[Cliente]],'BASE DE CLIENTES'!A:E,5,0)</f>
        <v>SAMAMBAIA</v>
      </c>
    </row>
    <row r="637" spans="2:12" x14ac:dyDescent="0.3">
      <c r="B637" s="1" t="s">
        <v>17</v>
      </c>
      <c r="C637" s="4" t="str">
        <f>VLOOKUP(Tabela1[[#This Row],[Cliente]],'BASE DE CLIENTES'!A:E,2,0)</f>
        <v>Águas Lindas de Goiás</v>
      </c>
      <c r="D637" s="1" t="str">
        <f>VLOOKUP(Tabela1[[#This Row],[Cliente]],'BASE DE CLIENTES'!A:C,3,0)</f>
        <v>GO</v>
      </c>
      <c r="E637" s="4" t="str">
        <f>CONCATENATE(Tabela1[[#This Row],[CIDADE]],",",Tabela1[[#This Row],[UF]])</f>
        <v>Águas Lindas de Goiás,GO</v>
      </c>
      <c r="F637" s="2">
        <v>45901</v>
      </c>
      <c r="G637" s="17">
        <v>382.3</v>
      </c>
      <c r="H637" s="17">
        <v>0</v>
      </c>
      <c r="I637" s="6">
        <f>Tabela1[[#This Row],[Valor total]]-Tabela1[[#This Row],[Valor custo]]</f>
        <v>-382.3</v>
      </c>
      <c r="J637" s="7" t="e">
        <f>Tabela1[[#This Row],[MARGEM BRUTA]]/Tabela1[[#This Row],[Valor total]]</f>
        <v>#DIV/0!</v>
      </c>
      <c r="K637" s="1" t="str">
        <f>VLOOKUP(Tabela1[[#This Row],[Cliente]],'BASE DE CLIENTES'!A:D,4,0)</f>
        <v>SERRALHEIRO</v>
      </c>
      <c r="L637" s="1" t="str">
        <f>VLOOKUP(Tabela1[[#This Row],[Cliente]],'BASE DE CLIENTES'!A:E,5,0)</f>
        <v>Águas Lindas de Goiás</v>
      </c>
    </row>
    <row r="638" spans="2:12" x14ac:dyDescent="0.3">
      <c r="B638" s="1" t="s">
        <v>104</v>
      </c>
      <c r="C638" s="4" t="str">
        <f>VLOOKUP(Tabela1[[#This Row],[Cliente]],'BASE DE CLIENTES'!A:E,2,0)</f>
        <v>Águas Lindas de Goiás</v>
      </c>
      <c r="D638" s="1" t="str">
        <f>VLOOKUP(Tabela1[[#This Row],[Cliente]],'BASE DE CLIENTES'!A:C,3,0)</f>
        <v>GO</v>
      </c>
      <c r="E638" s="4" t="str">
        <f>CONCATENATE(Tabela1[[#This Row],[CIDADE]],",",Tabela1[[#This Row],[UF]])</f>
        <v>Águas Lindas de Goiás,GO</v>
      </c>
      <c r="F638" s="2">
        <v>45901</v>
      </c>
      <c r="G638" s="17">
        <v>1197.3900000000001</v>
      </c>
      <c r="H638" s="17">
        <v>1885</v>
      </c>
      <c r="I638" s="6">
        <f>Tabela1[[#This Row],[Valor total]]-Tabela1[[#This Row],[Valor custo]]</f>
        <v>687.6099999999999</v>
      </c>
      <c r="J638" s="7">
        <f>Tabela1[[#This Row],[MARGEM BRUTA]]/Tabela1[[#This Row],[Valor total]]</f>
        <v>0.36477984084880632</v>
      </c>
      <c r="K638" s="1" t="str">
        <f>VLOOKUP(Tabela1[[#This Row],[Cliente]],'BASE DE CLIENTES'!A:D,4,0)</f>
        <v>EMPRESA SEM MAQUINA</v>
      </c>
      <c r="L638" s="1" t="str">
        <f>VLOOKUP(Tabela1[[#This Row],[Cliente]],'BASE DE CLIENTES'!A:E,5,0)</f>
        <v>Águas Lindas de Goiás</v>
      </c>
    </row>
    <row r="639" spans="2:12" x14ac:dyDescent="0.3">
      <c r="B639" s="1" t="s">
        <v>144</v>
      </c>
      <c r="C639" s="4" t="str">
        <f>VLOOKUP(Tabela1[[#This Row],[Cliente]],'BASE DE CLIENTES'!A:E,2,0)</f>
        <v>Alexânia</v>
      </c>
      <c r="D639" s="1" t="str">
        <f>VLOOKUP(Tabela1[[#This Row],[Cliente]],'BASE DE CLIENTES'!A:C,3,0)</f>
        <v>GO</v>
      </c>
      <c r="E639" s="4" t="str">
        <f>CONCATENATE(Tabela1[[#This Row],[CIDADE]],",",Tabela1[[#This Row],[UF]])</f>
        <v>Alexânia,GO</v>
      </c>
      <c r="F639" s="2">
        <v>45813</v>
      </c>
      <c r="G639" s="17">
        <v>2081.13</v>
      </c>
      <c r="H639" s="17">
        <v>2910</v>
      </c>
      <c r="I639" s="6">
        <f>Tabela1[[#This Row],[Valor total]]-Tabela1[[#This Row],[Valor custo]]</f>
        <v>828.86999999999989</v>
      </c>
      <c r="J639" s="7">
        <f>Tabela1[[#This Row],[MARGEM BRUTA]]/Tabela1[[#This Row],[Valor total]]</f>
        <v>0.28483505154639172</v>
      </c>
      <c r="K639" s="1" t="str">
        <f>VLOOKUP(Tabela1[[#This Row],[Cliente]],'BASE DE CLIENTES'!A:D,4,0)</f>
        <v>SERRALHEIRO</v>
      </c>
      <c r="L639" s="1" t="str">
        <f>VLOOKUP(Tabela1[[#This Row],[Cliente]],'BASE DE CLIENTES'!A:E,5,0)</f>
        <v>Alexânia</v>
      </c>
    </row>
    <row r="640" spans="2:12" x14ac:dyDescent="0.3">
      <c r="B640" s="1" t="s">
        <v>27</v>
      </c>
      <c r="C640" s="4" t="str">
        <f>VLOOKUP(Tabela1[[#This Row],[Cliente]],'BASE DE CLIENTES'!A:E,2,0)</f>
        <v>Brasília</v>
      </c>
      <c r="D640" s="1" t="str">
        <f>VLOOKUP(Tabela1[[#This Row],[Cliente]],'BASE DE CLIENTES'!A:C,3,0)</f>
        <v>DF</v>
      </c>
      <c r="E640" s="4" t="str">
        <f>CONCATENATE(Tabela1[[#This Row],[CIDADE]],",",Tabela1[[#This Row],[UF]])</f>
        <v>Brasília,DF</v>
      </c>
      <c r="F640" s="2">
        <v>45734</v>
      </c>
      <c r="G640" s="17">
        <v>439.2</v>
      </c>
      <c r="H640" s="17">
        <v>620</v>
      </c>
      <c r="I640" s="6">
        <f>Tabela1[[#This Row],[Valor total]]-Tabela1[[#This Row],[Valor custo]]</f>
        <v>180.8</v>
      </c>
      <c r="J640" s="7">
        <f>Tabela1[[#This Row],[MARGEM BRUTA]]/Tabela1[[#This Row],[Valor total]]</f>
        <v>0.29161290322580646</v>
      </c>
      <c r="K640" s="1" t="str">
        <f>VLOOKUP(Tabela1[[#This Row],[Cliente]],'BASE DE CLIENTES'!A:D,4,0)</f>
        <v>EMPRESA SEM MAQUINA</v>
      </c>
      <c r="L640" s="1" t="str">
        <f>VLOOKUP(Tabela1[[#This Row],[Cliente]],'BASE DE CLIENTES'!A:E,5,0)</f>
        <v>RECANTO DAS EMAS</v>
      </c>
    </row>
    <row r="641" spans="1:12" x14ac:dyDescent="0.3">
      <c r="B641" s="1" t="s">
        <v>144</v>
      </c>
      <c r="C641" s="4" t="str">
        <f>VLOOKUP(Tabela1[[#This Row],[Cliente]],'BASE DE CLIENTES'!A:E,2,0)</f>
        <v>Alexânia</v>
      </c>
      <c r="D641" s="1" t="str">
        <f>VLOOKUP(Tabela1[[#This Row],[Cliente]],'BASE DE CLIENTES'!A:C,3,0)</f>
        <v>GO</v>
      </c>
      <c r="E641" s="4" t="str">
        <f>CONCATENATE(Tabela1[[#This Row],[CIDADE]],",",Tabela1[[#This Row],[UF]])</f>
        <v>Alexânia,GO</v>
      </c>
      <c r="F641" s="2">
        <v>45875</v>
      </c>
      <c r="G641" s="17">
        <v>2676.1</v>
      </c>
      <c r="H641" s="17">
        <v>4265</v>
      </c>
      <c r="I641" s="6">
        <f>Tabela1[[#This Row],[Valor total]]-Tabela1[[#This Row],[Valor custo]]</f>
        <v>1588.9</v>
      </c>
      <c r="J641" s="7">
        <f>Tabela1[[#This Row],[MARGEM BRUTA]]/Tabela1[[#This Row],[Valor total]]</f>
        <v>0.37254396248534588</v>
      </c>
      <c r="K641" s="1" t="str">
        <f>VLOOKUP(Tabela1[[#This Row],[Cliente]],'BASE DE CLIENTES'!A:D,4,0)</f>
        <v>SERRALHEIRO</v>
      </c>
      <c r="L641" s="1" t="str">
        <f>VLOOKUP(Tabela1[[#This Row],[Cliente]],'BASE DE CLIENTES'!A:E,5,0)</f>
        <v>Alexânia</v>
      </c>
    </row>
    <row r="642" spans="1:12" x14ac:dyDescent="0.3">
      <c r="B642" s="1" t="s">
        <v>145</v>
      </c>
      <c r="C642" s="4" t="str">
        <f>VLOOKUP(Tabela1[[#This Row],[Cliente]],'BASE DE CLIENTES'!A:E,2,0)</f>
        <v>Ananindeua</v>
      </c>
      <c r="D642" s="1" t="str">
        <f>VLOOKUP(Tabela1[[#This Row],[Cliente]],'BASE DE CLIENTES'!A:C,3,0)</f>
        <v>PA</v>
      </c>
      <c r="E642" s="4" t="str">
        <f>CONCATENATE(Tabela1[[#This Row],[CIDADE]],",",Tabela1[[#This Row],[UF]])</f>
        <v>Ananindeua,PA</v>
      </c>
      <c r="F642" s="2">
        <v>45929</v>
      </c>
      <c r="G642" s="17">
        <v>1005.12</v>
      </c>
      <c r="H642" s="17">
        <v>2020</v>
      </c>
      <c r="I642" s="6">
        <f>Tabela1[[#This Row],[Valor total]]-Tabela1[[#This Row],[Valor custo]]</f>
        <v>1014.88</v>
      </c>
      <c r="J642" s="7">
        <f>Tabela1[[#This Row],[MARGEM BRUTA]]/Tabela1[[#This Row],[Valor total]]</f>
        <v>0.50241584158415842</v>
      </c>
      <c r="K642" s="1" t="str">
        <f>VLOOKUP(Tabela1[[#This Row],[Cliente]],'BASE DE CLIENTES'!A:D,4,0)</f>
        <v>OUTROS RAMOS</v>
      </c>
      <c r="L642" s="1" t="str">
        <f>VLOOKUP(Tabela1[[#This Row],[Cliente]],'BASE DE CLIENTES'!A:E,5,0)</f>
        <v>Ananindeua</v>
      </c>
    </row>
    <row r="643" spans="1:12" x14ac:dyDescent="0.3">
      <c r="B643" s="1" t="s">
        <v>25</v>
      </c>
      <c r="C643" s="4" t="str">
        <f>VLOOKUP(Tabela1[[#This Row],[Cliente]],'BASE DE CLIENTES'!A:E,2,0)</f>
        <v>Brasília</v>
      </c>
      <c r="D643" s="1" t="str">
        <f>VLOOKUP(Tabela1[[#This Row],[Cliente]],'BASE DE CLIENTES'!A:C,3,0)</f>
        <v>DF</v>
      </c>
      <c r="E643" s="4" t="str">
        <f>CONCATENATE(Tabela1[[#This Row],[CIDADE]],",",Tabela1[[#This Row],[UF]])</f>
        <v>Brasília,DF</v>
      </c>
      <c r="F643" s="2">
        <v>45734</v>
      </c>
      <c r="G643" s="17">
        <v>30.49</v>
      </c>
      <c r="H643" s="17">
        <v>40</v>
      </c>
      <c r="I643" s="6">
        <f>Tabela1[[#This Row],[Valor total]]-Tabela1[[#This Row],[Valor custo]]</f>
        <v>9.5100000000000016</v>
      </c>
      <c r="J643" s="7">
        <f>Tabela1[[#This Row],[MARGEM BRUTA]]/Tabela1[[#This Row],[Valor total]]</f>
        <v>0.23775000000000004</v>
      </c>
      <c r="K643" s="1" t="str">
        <f>VLOOKUP(Tabela1[[#This Row],[Cliente]],'BASE DE CLIENTES'!A:D,4,0)</f>
        <v>EMPRESA COM MAQUINA</v>
      </c>
      <c r="L643" s="1" t="str">
        <f>VLOOKUP(Tabela1[[#This Row],[Cliente]],'BASE DE CLIENTES'!A:E,5,0)</f>
        <v>CEILANDIA NORTE (CEILANDIA)</v>
      </c>
    </row>
    <row r="644" spans="1:12" x14ac:dyDescent="0.3">
      <c r="B644" s="1" t="s">
        <v>25</v>
      </c>
      <c r="C644" s="4" t="str">
        <f>VLOOKUP(Tabela1[[#This Row],[Cliente]],'BASE DE CLIENTES'!A:E,2,0)</f>
        <v>Brasília</v>
      </c>
      <c r="D644" s="1" t="str">
        <f>VLOOKUP(Tabela1[[#This Row],[Cliente]],'BASE DE CLIENTES'!A:C,3,0)</f>
        <v>DF</v>
      </c>
      <c r="E644" s="4" t="str">
        <f>CONCATENATE(Tabela1[[#This Row],[CIDADE]],",",Tabela1[[#This Row],[UF]])</f>
        <v>Brasília,DF</v>
      </c>
      <c r="F644" s="2">
        <v>45734</v>
      </c>
      <c r="G644" s="17">
        <v>2635.2</v>
      </c>
      <c r="H644" s="17">
        <v>3840</v>
      </c>
      <c r="I644" s="6">
        <f>Tabela1[[#This Row],[Valor total]]-Tabela1[[#This Row],[Valor custo]]</f>
        <v>1204.8000000000002</v>
      </c>
      <c r="J644" s="7">
        <f>Tabela1[[#This Row],[MARGEM BRUTA]]/Tabela1[[#This Row],[Valor total]]</f>
        <v>0.31375000000000003</v>
      </c>
      <c r="K644" s="1" t="str">
        <f>VLOOKUP(Tabela1[[#This Row],[Cliente]],'BASE DE CLIENTES'!A:D,4,0)</f>
        <v>EMPRESA COM MAQUINA</v>
      </c>
      <c r="L644" s="1" t="str">
        <f>VLOOKUP(Tabela1[[#This Row],[Cliente]],'BASE DE CLIENTES'!A:E,5,0)</f>
        <v>CEILANDIA NORTE (CEILANDIA)</v>
      </c>
    </row>
    <row r="645" spans="1:12" x14ac:dyDescent="0.3">
      <c r="B645" s="1" t="s">
        <v>68</v>
      </c>
      <c r="C645" s="4" t="str">
        <f>VLOOKUP(Tabela1[[#This Row],[Cliente]],'BASE DE CLIENTES'!A:E,2,0)</f>
        <v>Brasília</v>
      </c>
      <c r="D645" s="1" t="str">
        <f>VLOOKUP(Tabela1[[#This Row],[Cliente]],'BASE DE CLIENTES'!A:C,3,0)</f>
        <v>DF</v>
      </c>
      <c r="E645" s="4" t="str">
        <f>CONCATENATE(Tabela1[[#This Row],[CIDADE]],",",Tabela1[[#This Row],[UF]])</f>
        <v>Brasília,DF</v>
      </c>
      <c r="F645" s="2">
        <v>45734</v>
      </c>
      <c r="G645" s="17">
        <v>774.55</v>
      </c>
      <c r="H645" s="17">
        <v>1465</v>
      </c>
      <c r="I645" s="6">
        <f>Tabela1[[#This Row],[Valor total]]-Tabela1[[#This Row],[Valor custo]]</f>
        <v>690.45</v>
      </c>
      <c r="J645" s="7">
        <f>Tabela1[[#This Row],[MARGEM BRUTA]]/Tabela1[[#This Row],[Valor total]]</f>
        <v>0.47129692832764508</v>
      </c>
      <c r="K645" s="1" t="str">
        <f>VLOOKUP(Tabela1[[#This Row],[Cliente]],'BASE DE CLIENTES'!A:D,4,0)</f>
        <v>EMPRESA COM MAQUINA</v>
      </c>
      <c r="L645" s="1" t="str">
        <f>VLOOKUP(Tabela1[[#This Row],[Cliente]],'BASE DE CLIENTES'!A:E,5,0)</f>
        <v>SAMAMBAIA SUL (SAMAMBAIA)</v>
      </c>
    </row>
    <row r="646" spans="1:12" x14ac:dyDescent="0.3">
      <c r="B646" s="1" t="s">
        <v>146</v>
      </c>
      <c r="C646" s="4" t="str">
        <f>VLOOKUP(Tabela1[[#This Row],[Cliente]],'BASE DE CLIENTES'!A:E,2,0)</f>
        <v>Brasília</v>
      </c>
      <c r="D646" s="1" t="str">
        <f>VLOOKUP(Tabela1[[#This Row],[Cliente]],'BASE DE CLIENTES'!A:C,3,0)</f>
        <v>DF</v>
      </c>
      <c r="E646" s="4" t="str">
        <f>CONCATENATE(Tabela1[[#This Row],[CIDADE]],",",Tabela1[[#This Row],[UF]])</f>
        <v>Brasília,DF</v>
      </c>
      <c r="F646" s="2">
        <v>45849</v>
      </c>
      <c r="G646" s="17">
        <v>486.1</v>
      </c>
      <c r="H646" s="17">
        <v>800</v>
      </c>
      <c r="I646" s="6">
        <f>Tabela1[[#This Row],[Valor total]]-Tabela1[[#This Row],[Valor custo]]</f>
        <v>313.89999999999998</v>
      </c>
      <c r="J646" s="7">
        <f>Tabela1[[#This Row],[MARGEM BRUTA]]/Tabela1[[#This Row],[Valor total]]</f>
        <v>0.39237499999999997</v>
      </c>
      <c r="K646" s="1" t="str">
        <f>VLOOKUP(Tabela1[[#This Row],[Cliente]],'BASE DE CLIENTES'!A:D,4,0)</f>
        <v>SEM CLASSIFICAÇÃO</v>
      </c>
      <c r="L646" s="1" t="str">
        <f>VLOOKUP(Tabela1[[#This Row],[Cliente]],'BASE DE CLIENTES'!A:E,5,0)</f>
        <v>Vale do Amanhecer (Planaltina)</v>
      </c>
    </row>
    <row r="647" spans="1:12" x14ac:dyDescent="0.3">
      <c r="B647" s="1" t="s">
        <v>145</v>
      </c>
      <c r="C647" s="4" t="str">
        <f>VLOOKUP(Tabela1[[#This Row],[Cliente]],'BASE DE CLIENTES'!A:E,2,0)</f>
        <v>Ananindeua</v>
      </c>
      <c r="D647" s="1" t="str">
        <f>VLOOKUP(Tabela1[[#This Row],[Cliente]],'BASE DE CLIENTES'!A:C,3,0)</f>
        <v>PA</v>
      </c>
      <c r="E647" s="4" t="str">
        <f>CONCATENATE(Tabela1[[#This Row],[CIDADE]],",",Tabela1[[#This Row],[UF]])</f>
        <v>Ananindeua,PA</v>
      </c>
      <c r="F647" s="2">
        <v>45912</v>
      </c>
      <c r="G647" s="17">
        <v>55</v>
      </c>
      <c r="H647" s="17">
        <v>150</v>
      </c>
      <c r="I647" s="6">
        <f>Tabela1[[#This Row],[Valor total]]-Tabela1[[#This Row],[Valor custo]]</f>
        <v>95</v>
      </c>
      <c r="J647" s="7">
        <f>Tabela1[[#This Row],[MARGEM BRUTA]]/Tabela1[[#This Row],[Valor total]]</f>
        <v>0.6333333333333333</v>
      </c>
      <c r="K647" s="1" t="str">
        <f>VLOOKUP(Tabela1[[#This Row],[Cliente]],'BASE DE CLIENTES'!A:D,4,0)</f>
        <v>OUTROS RAMOS</v>
      </c>
      <c r="L647" s="1" t="str">
        <f>VLOOKUP(Tabela1[[#This Row],[Cliente]],'BASE DE CLIENTES'!A:E,5,0)</f>
        <v>Ananindeua</v>
      </c>
    </row>
    <row r="648" spans="1:12" x14ac:dyDescent="0.3">
      <c r="B648" s="1" t="s">
        <v>97</v>
      </c>
      <c r="C648" s="4" t="str">
        <f>VLOOKUP(Tabela1[[#This Row],[Cliente]],'BASE DE CLIENTES'!A:E,2,0)</f>
        <v>Brasília</v>
      </c>
      <c r="D648" s="1" t="str">
        <f>VLOOKUP(Tabela1[[#This Row],[Cliente]],'BASE DE CLIENTES'!A:C,3,0)</f>
        <v>DF</v>
      </c>
      <c r="E648" s="4" t="str">
        <f>CONCATENATE(Tabela1[[#This Row],[CIDADE]],",",Tabela1[[#This Row],[UF]])</f>
        <v>Brasília,DF</v>
      </c>
      <c r="F648" s="2">
        <v>45734</v>
      </c>
      <c r="G648" s="17">
        <v>2069.17</v>
      </c>
      <c r="H648" s="17">
        <v>3435</v>
      </c>
      <c r="I648" s="6">
        <f>Tabela1[[#This Row],[Valor total]]-Tabela1[[#This Row],[Valor custo]]</f>
        <v>1365.83</v>
      </c>
      <c r="J648" s="7">
        <f>Tabela1[[#This Row],[MARGEM BRUTA]]/Tabela1[[#This Row],[Valor total]]</f>
        <v>0.39762154294032021</v>
      </c>
      <c r="K648" s="1" t="str">
        <f>VLOOKUP(Tabela1[[#This Row],[Cliente]],'BASE DE CLIENTES'!A:D,4,0)</f>
        <v>SERRALHEIRO</v>
      </c>
      <c r="L648" s="1" t="str">
        <f>VLOOKUP(Tabela1[[#This Row],[Cliente]],'BASE DE CLIENTES'!A:E,5,0)</f>
        <v>CEILANDIA NORTE</v>
      </c>
    </row>
    <row r="649" spans="1:12" x14ac:dyDescent="0.3">
      <c r="B649" s="1" t="s">
        <v>96</v>
      </c>
      <c r="C649" s="4" t="str">
        <f>VLOOKUP(Tabela1[[#This Row],[Cliente]],'BASE DE CLIENTES'!A:E,2,0)</f>
        <v>Brasília</v>
      </c>
      <c r="D649" s="1" t="str">
        <f>VLOOKUP(Tabela1[[#This Row],[Cliente]],'BASE DE CLIENTES'!A:C,3,0)</f>
        <v>DF</v>
      </c>
      <c r="E649" s="4" t="str">
        <f>CONCATENATE(Tabela1[[#This Row],[CIDADE]],",",Tabela1[[#This Row],[UF]])</f>
        <v>Brasília,DF</v>
      </c>
      <c r="F649" s="2">
        <v>45734</v>
      </c>
      <c r="G649" s="17">
        <v>295.88</v>
      </c>
      <c r="H649" s="17">
        <v>400</v>
      </c>
      <c r="I649" s="6">
        <f>Tabela1[[#This Row],[Valor total]]-Tabela1[[#This Row],[Valor custo]]</f>
        <v>104.12</v>
      </c>
      <c r="J649" s="7">
        <f>Tabela1[[#This Row],[MARGEM BRUTA]]/Tabela1[[#This Row],[Valor total]]</f>
        <v>0.26030000000000003</v>
      </c>
      <c r="K649" s="1" t="str">
        <f>VLOOKUP(Tabela1[[#This Row],[Cliente]],'BASE DE CLIENTES'!A:D,4,0)</f>
        <v>EMPRESA SEM MAQUINA</v>
      </c>
      <c r="L649" s="1" t="str">
        <f>VLOOKUP(Tabela1[[#This Row],[Cliente]],'BASE DE CLIENTES'!A:E,5,0)</f>
        <v>CEILANDIA NORTE (CEILANDIA)</v>
      </c>
    </row>
    <row r="650" spans="1:12" x14ac:dyDescent="0.3">
      <c r="B650" s="1" t="s">
        <v>27</v>
      </c>
      <c r="C650" s="4" t="str">
        <f>VLOOKUP(Tabela1[[#This Row],[Cliente]],'BASE DE CLIENTES'!A:E,2,0)</f>
        <v>Brasília</v>
      </c>
      <c r="D650" s="1" t="str">
        <f>VLOOKUP(Tabela1[[#This Row],[Cliente]],'BASE DE CLIENTES'!A:C,3,0)</f>
        <v>DF</v>
      </c>
      <c r="E650" s="4" t="str">
        <f>CONCATENATE(Tabela1[[#This Row],[CIDADE]],",",Tabela1[[#This Row],[UF]])</f>
        <v>Brasília,DF</v>
      </c>
      <c r="F650" s="2">
        <v>45734</v>
      </c>
      <c r="G650" s="17">
        <v>2271.25</v>
      </c>
      <c r="H650" s="17">
        <v>2170</v>
      </c>
      <c r="I650" s="6">
        <f>Tabela1[[#This Row],[Valor total]]-Tabela1[[#This Row],[Valor custo]]</f>
        <v>-101.25</v>
      </c>
      <c r="J650" s="7">
        <f>Tabela1[[#This Row],[MARGEM BRUTA]]/Tabela1[[#This Row],[Valor total]]</f>
        <v>-4.6658986175115207E-2</v>
      </c>
      <c r="K650" s="1" t="str">
        <f>VLOOKUP(Tabela1[[#This Row],[Cliente]],'BASE DE CLIENTES'!A:D,4,0)</f>
        <v>EMPRESA SEM MAQUINA</v>
      </c>
      <c r="L650" s="1" t="str">
        <f>VLOOKUP(Tabela1[[#This Row],[Cliente]],'BASE DE CLIENTES'!A:E,5,0)</f>
        <v>RECANTO DAS EMAS</v>
      </c>
    </row>
    <row r="651" spans="1:12" x14ac:dyDescent="0.3">
      <c r="B651" s="1" t="s">
        <v>145</v>
      </c>
      <c r="C651" s="4" t="str">
        <f>VLOOKUP(Tabela1[[#This Row],[Cliente]],'BASE DE CLIENTES'!A:E,2,0)</f>
        <v>Ananindeua</v>
      </c>
      <c r="D651" s="1" t="str">
        <f>VLOOKUP(Tabela1[[#This Row],[Cliente]],'BASE DE CLIENTES'!A:C,3,0)</f>
        <v>PA</v>
      </c>
      <c r="E651" s="4" t="str">
        <f>CONCATENATE(Tabela1[[#This Row],[CIDADE]],",",Tabela1[[#This Row],[UF]])</f>
        <v>Ananindeua,PA</v>
      </c>
      <c r="F651" s="2">
        <v>45912</v>
      </c>
      <c r="G651" s="17">
        <v>1669</v>
      </c>
      <c r="H651" s="17">
        <v>3318</v>
      </c>
      <c r="I651" s="6">
        <f>Tabela1[[#This Row],[Valor total]]-Tabela1[[#This Row],[Valor custo]]</f>
        <v>1649</v>
      </c>
      <c r="J651" s="7">
        <f>Tabela1[[#This Row],[MARGEM BRUTA]]/Tabela1[[#This Row],[Valor total]]</f>
        <v>0.49698613622664256</v>
      </c>
      <c r="K651" s="1" t="str">
        <f>VLOOKUP(Tabela1[[#This Row],[Cliente]],'BASE DE CLIENTES'!A:D,4,0)</f>
        <v>OUTROS RAMOS</v>
      </c>
      <c r="L651" s="1" t="str">
        <f>VLOOKUP(Tabela1[[#This Row],[Cliente]],'BASE DE CLIENTES'!A:E,5,0)</f>
        <v>Ananindeua</v>
      </c>
    </row>
    <row r="652" spans="1:12" x14ac:dyDescent="0.3">
      <c r="B652" s="1" t="s">
        <v>147</v>
      </c>
      <c r="C652" s="4" t="str">
        <f>VLOOKUP(Tabela1[[#This Row],[Cliente]],'BASE DE CLIENTES'!A:E,2,0)</f>
        <v>Brasília</v>
      </c>
      <c r="D652" s="1" t="str">
        <f>VLOOKUP(Tabela1[[#This Row],[Cliente]],'BASE DE CLIENTES'!A:C,3,0)</f>
        <v>DF</v>
      </c>
      <c r="E652" s="4" t="str">
        <f>CONCATENATE(Tabela1[[#This Row],[CIDADE]],",",Tabela1[[#This Row],[UF]])</f>
        <v>Brasília,DF</v>
      </c>
      <c r="F652" s="2">
        <v>45889</v>
      </c>
      <c r="G652" s="17">
        <v>216.3</v>
      </c>
      <c r="H652" s="17">
        <v>750</v>
      </c>
      <c r="I652" s="6">
        <f>Tabela1[[#This Row],[Valor total]]-Tabela1[[#This Row],[Valor custo]]</f>
        <v>533.70000000000005</v>
      </c>
      <c r="J652" s="7">
        <f>Tabela1[[#This Row],[MARGEM BRUTA]]/Tabela1[[#This Row],[Valor total]]</f>
        <v>0.71160000000000001</v>
      </c>
      <c r="K652" s="1" t="str">
        <f>VLOOKUP(Tabela1[[#This Row],[Cliente]],'BASE DE CLIENTES'!A:D,4,0)</f>
        <v>SEM CLASSIFICAÇÃO</v>
      </c>
      <c r="L652" s="1" t="str">
        <f>VLOOKUP(Tabela1[[#This Row],[Cliente]],'BASE DE CLIENTES'!A:E,5,0)</f>
        <v>AREAL (AGUAS CLARAS)</v>
      </c>
    </row>
    <row r="653" spans="1:12" x14ac:dyDescent="0.3">
      <c r="B653" s="1" t="s">
        <v>117</v>
      </c>
      <c r="C653" s="4" t="str">
        <f>VLOOKUP(Tabela1[[#This Row],[Cliente]],'BASE DE CLIENTES'!A:E,2,0)</f>
        <v>Brasília</v>
      </c>
      <c r="D653" s="1" t="str">
        <f>VLOOKUP(Tabela1[[#This Row],[Cliente]],'BASE DE CLIENTES'!A:C,3,0)</f>
        <v>DF</v>
      </c>
      <c r="E653" s="4" t="str">
        <f>CONCATENATE(Tabela1[[#This Row],[CIDADE]],",",Tabela1[[#This Row],[UF]])</f>
        <v>Brasília,DF</v>
      </c>
      <c r="F653" s="2">
        <v>45733</v>
      </c>
      <c r="G653" s="17">
        <v>2602.12</v>
      </c>
      <c r="H653" s="17">
        <v>4638</v>
      </c>
      <c r="I653" s="6">
        <f>Tabela1[[#This Row],[Valor total]]-Tabela1[[#This Row],[Valor custo]]</f>
        <v>2035.88</v>
      </c>
      <c r="J653" s="7">
        <f>Tabela1[[#This Row],[MARGEM BRUTA]]/Tabela1[[#This Row],[Valor total]]</f>
        <v>0.43895644674428635</v>
      </c>
      <c r="K653" s="1" t="str">
        <f>VLOOKUP(Tabela1[[#This Row],[Cliente]],'BASE DE CLIENTES'!A:D,4,0)</f>
        <v>EMPRESA COM MAQUINA</v>
      </c>
      <c r="L653" s="1" t="str">
        <f>VLOOKUP(Tabela1[[#This Row],[Cliente]],'BASE DE CLIENTES'!A:E,5,0)</f>
        <v>SETOR HABITACIONAL ARNIQUEIRA (AGUAS CLARAS)</v>
      </c>
    </row>
    <row r="654" spans="1:12" x14ac:dyDescent="0.3">
      <c r="A654" s="1" t="s">
        <v>148</v>
      </c>
      <c r="B654" s="1" t="s">
        <v>149</v>
      </c>
      <c r="C654" s="4" t="str">
        <f>VLOOKUP(Tabela1[[#This Row],[Cliente]],'BASE DE CLIENTES'!A:E,2,0)</f>
        <v>Anápolis</v>
      </c>
      <c r="D654" s="1" t="str">
        <f>VLOOKUP(Tabela1[[#This Row],[Cliente]],'BASE DE CLIENTES'!A:C,3,0)</f>
        <v>GO</v>
      </c>
      <c r="E654" s="4" t="str">
        <f>CONCATENATE(Tabela1[[#This Row],[CIDADE]],",",Tabela1[[#This Row],[UF]])</f>
        <v>Anápolis,GO</v>
      </c>
      <c r="F654" s="2">
        <v>45684</v>
      </c>
      <c r="G654" s="17">
        <v>3365.45</v>
      </c>
      <c r="H654" s="17">
        <v>4757</v>
      </c>
      <c r="I654" s="6">
        <f>Tabela1[[#This Row],[Valor total]]-Tabela1[[#This Row],[Valor custo]]</f>
        <v>1391.5500000000002</v>
      </c>
      <c r="J654" s="7">
        <f>Tabela1[[#This Row],[MARGEM BRUTA]]/Tabela1[[#This Row],[Valor total]]</f>
        <v>0.2925268026066849</v>
      </c>
      <c r="K654" s="1" t="str">
        <f>VLOOKUP(Tabela1[[#This Row],[Cliente]],'BASE DE CLIENTES'!A:D,4,0)</f>
        <v>EMPRESA COM MAQUINA</v>
      </c>
      <c r="L654" s="1" t="str">
        <f>VLOOKUP(Tabela1[[#This Row],[Cliente]],'BASE DE CLIENTES'!A:E,5,0)</f>
        <v>Anápolis</v>
      </c>
    </row>
    <row r="655" spans="1:12" x14ac:dyDescent="0.3">
      <c r="B655" s="1" t="s">
        <v>149</v>
      </c>
      <c r="C655" s="4" t="str">
        <f>VLOOKUP(Tabela1[[#This Row],[Cliente]],'BASE DE CLIENTES'!A:E,2,0)</f>
        <v>Anápolis</v>
      </c>
      <c r="D655" s="1" t="str">
        <f>VLOOKUP(Tabela1[[#This Row],[Cliente]],'BASE DE CLIENTES'!A:C,3,0)</f>
        <v>GO</v>
      </c>
      <c r="E655" s="4" t="str">
        <f>CONCATENATE(Tabela1[[#This Row],[CIDADE]],",",Tabela1[[#This Row],[UF]])</f>
        <v>Anápolis,GO</v>
      </c>
      <c r="F655" s="2">
        <v>45661</v>
      </c>
      <c r="G655" s="17">
        <v>321.06</v>
      </c>
      <c r="H655" s="17">
        <v>537.5</v>
      </c>
      <c r="I655" s="6">
        <f>Tabela1[[#This Row],[Valor total]]-Tabela1[[#This Row],[Valor custo]]</f>
        <v>216.44</v>
      </c>
      <c r="J655" s="7">
        <f>Tabela1[[#This Row],[MARGEM BRUTA]]/Tabela1[[#This Row],[Valor total]]</f>
        <v>0.40267906976744183</v>
      </c>
      <c r="K655" s="1" t="str">
        <f>VLOOKUP(Tabela1[[#This Row],[Cliente]],'BASE DE CLIENTES'!A:D,4,0)</f>
        <v>EMPRESA COM MAQUINA</v>
      </c>
      <c r="L655" s="1" t="str">
        <f>VLOOKUP(Tabela1[[#This Row],[Cliente]],'BASE DE CLIENTES'!A:E,5,0)</f>
        <v>Anápolis</v>
      </c>
    </row>
    <row r="656" spans="1:12" x14ac:dyDescent="0.3">
      <c r="B656" s="1" t="s">
        <v>149</v>
      </c>
      <c r="C656" s="4" t="str">
        <f>VLOOKUP(Tabela1[[#This Row],[Cliente]],'BASE DE CLIENTES'!A:E,2,0)</f>
        <v>Anápolis</v>
      </c>
      <c r="D656" s="1" t="str">
        <f>VLOOKUP(Tabela1[[#This Row],[Cliente]],'BASE DE CLIENTES'!A:C,3,0)</f>
        <v>GO</v>
      </c>
      <c r="E656" s="4" t="str">
        <f>CONCATENATE(Tabela1[[#This Row],[CIDADE]],",",Tabela1[[#This Row],[UF]])</f>
        <v>Anápolis,GO</v>
      </c>
      <c r="F656" s="2">
        <v>45706</v>
      </c>
      <c r="G656" s="17">
        <v>1631.67</v>
      </c>
      <c r="H656" s="17">
        <v>2995</v>
      </c>
      <c r="I656" s="6">
        <f>Tabela1[[#This Row],[Valor total]]-Tabela1[[#This Row],[Valor custo]]</f>
        <v>1363.33</v>
      </c>
      <c r="J656" s="7">
        <f>Tabela1[[#This Row],[MARGEM BRUTA]]/Tabela1[[#This Row],[Valor total]]</f>
        <v>0.45520200333889815</v>
      </c>
      <c r="K656" s="1" t="str">
        <f>VLOOKUP(Tabela1[[#This Row],[Cliente]],'BASE DE CLIENTES'!A:D,4,0)</f>
        <v>EMPRESA COM MAQUINA</v>
      </c>
      <c r="L656" s="1" t="str">
        <f>VLOOKUP(Tabela1[[#This Row],[Cliente]],'BASE DE CLIENTES'!A:E,5,0)</f>
        <v>Anápolis</v>
      </c>
    </row>
    <row r="657" spans="2:12" x14ac:dyDescent="0.3">
      <c r="B657" s="1" t="s">
        <v>149</v>
      </c>
      <c r="C657" s="4" t="str">
        <f>VLOOKUP(Tabela1[[#This Row],[Cliente]],'BASE DE CLIENTES'!A:E,2,0)</f>
        <v>Anápolis</v>
      </c>
      <c r="D657" s="1" t="str">
        <f>VLOOKUP(Tabela1[[#This Row],[Cliente]],'BASE DE CLIENTES'!A:C,3,0)</f>
        <v>GO</v>
      </c>
      <c r="E657" s="4" t="str">
        <f>CONCATENATE(Tabela1[[#This Row],[CIDADE]],",",Tabela1[[#This Row],[UF]])</f>
        <v>Anápolis,GO</v>
      </c>
      <c r="F657" s="2">
        <v>45692</v>
      </c>
      <c r="G657" s="17">
        <v>1939.75</v>
      </c>
      <c r="H657" s="17">
        <v>3300</v>
      </c>
      <c r="I657" s="6">
        <f>Tabela1[[#This Row],[Valor total]]-Tabela1[[#This Row],[Valor custo]]</f>
        <v>1360.25</v>
      </c>
      <c r="J657" s="7">
        <f>Tabela1[[#This Row],[MARGEM BRUTA]]/Tabela1[[#This Row],[Valor total]]</f>
        <v>0.41219696969696967</v>
      </c>
      <c r="K657" s="1" t="str">
        <f>VLOOKUP(Tabela1[[#This Row],[Cliente]],'BASE DE CLIENTES'!A:D,4,0)</f>
        <v>EMPRESA COM MAQUINA</v>
      </c>
      <c r="L657" s="1" t="str">
        <f>VLOOKUP(Tabela1[[#This Row],[Cliente]],'BASE DE CLIENTES'!A:E,5,0)</f>
        <v>Anápolis</v>
      </c>
    </row>
    <row r="658" spans="2:12" x14ac:dyDescent="0.3">
      <c r="B658" s="1" t="s">
        <v>150</v>
      </c>
      <c r="C658" s="4" t="str">
        <f>VLOOKUP(Tabela1[[#This Row],[Cliente]],'BASE DE CLIENTES'!A:E,2,0)</f>
        <v>Anápolis</v>
      </c>
      <c r="D658" s="1" t="str">
        <f>VLOOKUP(Tabela1[[#This Row],[Cliente]],'BASE DE CLIENTES'!A:C,3,0)</f>
        <v>GO</v>
      </c>
      <c r="E658" s="4" t="str">
        <f>CONCATENATE(Tabela1[[#This Row],[CIDADE]],",",Tabela1[[#This Row],[UF]])</f>
        <v>Anápolis,GO</v>
      </c>
      <c r="F658" s="2">
        <v>45793</v>
      </c>
      <c r="G658" s="17">
        <v>395</v>
      </c>
      <c r="H658" s="17">
        <v>1250</v>
      </c>
      <c r="I658" s="6">
        <f>Tabela1[[#This Row],[Valor total]]-Tabela1[[#This Row],[Valor custo]]</f>
        <v>855</v>
      </c>
      <c r="J658" s="7">
        <f>Tabela1[[#This Row],[MARGEM BRUTA]]/Tabela1[[#This Row],[Valor total]]</f>
        <v>0.68400000000000005</v>
      </c>
      <c r="K658" s="1" t="str">
        <f>VLOOKUP(Tabela1[[#This Row],[Cliente]],'BASE DE CLIENTES'!A:D,4,0)</f>
        <v>EMPRESA COM MAQUINA</v>
      </c>
      <c r="L658" s="1" t="str">
        <f>VLOOKUP(Tabela1[[#This Row],[Cliente]],'BASE DE CLIENTES'!A:E,5,0)</f>
        <v>Anápolis</v>
      </c>
    </row>
    <row r="659" spans="2:12" x14ac:dyDescent="0.3">
      <c r="B659" s="1" t="s">
        <v>120</v>
      </c>
      <c r="C659" s="4" t="str">
        <f>VLOOKUP(Tabela1[[#This Row],[Cliente]],'BASE DE CLIENTES'!A:E,2,0)</f>
        <v>Brasília</v>
      </c>
      <c r="D659" s="1" t="str">
        <f>VLOOKUP(Tabela1[[#This Row],[Cliente]],'BASE DE CLIENTES'!A:C,3,0)</f>
        <v>DF</v>
      </c>
      <c r="E659" s="4" t="str">
        <f>CONCATENATE(Tabela1[[#This Row],[CIDADE]],",",Tabela1[[#This Row],[UF]])</f>
        <v>Brasília,DF</v>
      </c>
      <c r="F659" s="2">
        <v>45764</v>
      </c>
      <c r="G659" s="17">
        <v>2782</v>
      </c>
      <c r="H659" s="17">
        <v>3930</v>
      </c>
      <c r="I659" s="6">
        <f>Tabela1[[#This Row],[Valor total]]-Tabela1[[#This Row],[Valor custo]]</f>
        <v>1148</v>
      </c>
      <c r="J659" s="7">
        <f>Tabela1[[#This Row],[MARGEM BRUTA]]/Tabela1[[#This Row],[Valor total]]</f>
        <v>0.29211195928753181</v>
      </c>
      <c r="K659" s="1" t="str">
        <f>VLOOKUP(Tabela1[[#This Row],[Cliente]],'BASE DE CLIENTES'!A:D,4,0)</f>
        <v>EMPRESA SEM MAQUINA</v>
      </c>
      <c r="L659" s="1" t="str">
        <f>VLOOKUP(Tabela1[[#This Row],[Cliente]],'BASE DE CLIENTES'!A:E,5,0)</f>
        <v>SAMAMBAIA</v>
      </c>
    </row>
    <row r="660" spans="2:12" x14ac:dyDescent="0.3">
      <c r="B660" s="1" t="s">
        <v>85</v>
      </c>
      <c r="C660" s="4" t="str">
        <f>VLOOKUP(Tabela1[[#This Row],[Cliente]],'BASE DE CLIENTES'!A:E,2,0)</f>
        <v>Brasília</v>
      </c>
      <c r="D660" s="1" t="str">
        <f>VLOOKUP(Tabela1[[#This Row],[Cliente]],'BASE DE CLIENTES'!A:C,3,0)</f>
        <v>DF</v>
      </c>
      <c r="E660" s="4" t="str">
        <f>CONCATENATE(Tabela1[[#This Row],[CIDADE]],",",Tabela1[[#This Row],[UF]])</f>
        <v>Brasília,DF</v>
      </c>
      <c r="F660" s="2">
        <v>45733</v>
      </c>
      <c r="G660" s="17">
        <v>6.1</v>
      </c>
      <c r="H660" s="17">
        <v>9</v>
      </c>
      <c r="I660" s="6">
        <f>Tabela1[[#This Row],[Valor total]]-Tabela1[[#This Row],[Valor custo]]</f>
        <v>2.9000000000000004</v>
      </c>
      <c r="J660" s="7">
        <f>Tabela1[[#This Row],[MARGEM BRUTA]]/Tabela1[[#This Row],[Valor total]]</f>
        <v>0.32222222222222224</v>
      </c>
      <c r="K660" s="1" t="str">
        <f>VLOOKUP(Tabela1[[#This Row],[Cliente]],'BASE DE CLIENTES'!A:D,4,0)</f>
        <v>SERRALHEIRO</v>
      </c>
      <c r="L660" s="1" t="str">
        <f>VLOOKUP(Tabela1[[#This Row],[Cliente]],'BASE DE CLIENTES'!A:E,5,0)</f>
        <v>SAMAMBAIA NORTE (SAMAMBAIA)</v>
      </c>
    </row>
    <row r="661" spans="2:12" x14ac:dyDescent="0.3">
      <c r="B661" s="1" t="s">
        <v>15</v>
      </c>
      <c r="C661" s="4" t="str">
        <f>VLOOKUP(Tabela1[[#This Row],[Cliente]],'BASE DE CLIENTES'!A:E,2,0)</f>
        <v>Brasília</v>
      </c>
      <c r="D661" s="1" t="str">
        <f>VLOOKUP(Tabela1[[#This Row],[Cliente]],'BASE DE CLIENTES'!A:C,3,0)</f>
        <v>DF</v>
      </c>
      <c r="E661" s="4" t="str">
        <f>CONCATENATE(Tabela1[[#This Row],[CIDADE]],",",Tabela1[[#This Row],[UF]])</f>
        <v>Brasília,DF</v>
      </c>
      <c r="F661" s="2">
        <v>45733</v>
      </c>
      <c r="G661" s="17">
        <v>739.91</v>
      </c>
      <c r="H661" s="17">
        <v>1600</v>
      </c>
      <c r="I661" s="6">
        <f>Tabela1[[#This Row],[Valor total]]-Tabela1[[#This Row],[Valor custo]]</f>
        <v>860.09</v>
      </c>
      <c r="J661" s="7">
        <f>Tabela1[[#This Row],[MARGEM BRUTA]]/Tabela1[[#This Row],[Valor total]]</f>
        <v>0.53755625000000007</v>
      </c>
      <c r="K661" s="1" t="str">
        <f>VLOOKUP(Tabela1[[#This Row],[Cliente]],'BASE DE CLIENTES'!A:D,4,0)</f>
        <v>SERRALHEIRO</v>
      </c>
      <c r="L661" s="1" t="str">
        <f>VLOOKUP(Tabela1[[#This Row],[Cliente]],'BASE DE CLIENTES'!A:E,5,0)</f>
        <v>SETOR HABITACIONAL VICENTE PIRES</v>
      </c>
    </row>
    <row r="662" spans="2:12" x14ac:dyDescent="0.3">
      <c r="B662" s="1" t="s">
        <v>102</v>
      </c>
      <c r="C662" s="4" t="str">
        <f>VLOOKUP(Tabela1[[#This Row],[Cliente]],'BASE DE CLIENTES'!A:E,2,0)</f>
        <v>Brasília</v>
      </c>
      <c r="D662" s="1" t="str">
        <f>VLOOKUP(Tabela1[[#This Row],[Cliente]],'BASE DE CLIENTES'!A:C,3,0)</f>
        <v>DF</v>
      </c>
      <c r="E662" s="4" t="str">
        <f>CONCATENATE(Tabela1[[#This Row],[CIDADE]],",",Tabela1[[#This Row],[UF]])</f>
        <v>Brasília,DF</v>
      </c>
      <c r="F662" s="2">
        <v>45733</v>
      </c>
      <c r="G662" s="17">
        <v>548.47</v>
      </c>
      <c r="H662" s="17">
        <v>840</v>
      </c>
      <c r="I662" s="6">
        <f>Tabela1[[#This Row],[Valor total]]-Tabela1[[#This Row],[Valor custo]]</f>
        <v>291.52999999999997</v>
      </c>
      <c r="J662" s="7">
        <f>Tabela1[[#This Row],[MARGEM BRUTA]]/Tabela1[[#This Row],[Valor total]]</f>
        <v>0.34705952380952376</v>
      </c>
      <c r="K662" s="1" t="str">
        <f>VLOOKUP(Tabela1[[#This Row],[Cliente]],'BASE DE CLIENTES'!A:D,4,0)</f>
        <v>SERRALHEIRO</v>
      </c>
      <c r="L662" s="1" t="str">
        <f>VLOOKUP(Tabela1[[#This Row],[Cliente]],'BASE DE CLIENTES'!A:E,5,0)</f>
        <v>Samambaia Norte (Samambaia)</v>
      </c>
    </row>
    <row r="663" spans="2:12" x14ac:dyDescent="0.3">
      <c r="B663" s="1" t="s">
        <v>149</v>
      </c>
      <c r="C663" s="4" t="str">
        <f>VLOOKUP(Tabela1[[#This Row],[Cliente]],'BASE DE CLIENTES'!A:E,2,0)</f>
        <v>Anápolis</v>
      </c>
      <c r="D663" s="1" t="str">
        <f>VLOOKUP(Tabela1[[#This Row],[Cliente]],'BASE DE CLIENTES'!A:C,3,0)</f>
        <v>GO</v>
      </c>
      <c r="E663" s="4" t="str">
        <f>CONCATENATE(Tabela1[[#This Row],[CIDADE]],",",Tabela1[[#This Row],[UF]])</f>
        <v>Anápolis,GO</v>
      </c>
      <c r="F663" s="2">
        <v>45898</v>
      </c>
      <c r="G663" s="17">
        <v>555</v>
      </c>
      <c r="H663" s="17">
        <v>750</v>
      </c>
      <c r="I663" s="6">
        <f>Tabela1[[#This Row],[Valor total]]-Tabela1[[#This Row],[Valor custo]]</f>
        <v>195</v>
      </c>
      <c r="J663" s="7">
        <f>Tabela1[[#This Row],[MARGEM BRUTA]]/Tabela1[[#This Row],[Valor total]]</f>
        <v>0.26</v>
      </c>
      <c r="K663" s="1" t="str">
        <f>VLOOKUP(Tabela1[[#This Row],[Cliente]],'BASE DE CLIENTES'!A:D,4,0)</f>
        <v>EMPRESA COM MAQUINA</v>
      </c>
      <c r="L663" s="1" t="str">
        <f>VLOOKUP(Tabela1[[#This Row],[Cliente]],'BASE DE CLIENTES'!A:E,5,0)</f>
        <v>Anápolis</v>
      </c>
    </row>
    <row r="664" spans="2:12" x14ac:dyDescent="0.3">
      <c r="B664" s="1" t="s">
        <v>146</v>
      </c>
      <c r="C664" s="4" t="str">
        <f>VLOOKUP(Tabela1[[#This Row],[Cliente]],'BASE DE CLIENTES'!A:E,2,0)</f>
        <v>Brasília</v>
      </c>
      <c r="D664" s="1" t="str">
        <f>VLOOKUP(Tabela1[[#This Row],[Cliente]],'BASE DE CLIENTES'!A:C,3,0)</f>
        <v>DF</v>
      </c>
      <c r="E664" s="4" t="str">
        <f>CONCATENATE(Tabela1[[#This Row],[CIDADE]],",",Tabela1[[#This Row],[UF]])</f>
        <v>Brasília,DF</v>
      </c>
      <c r="F664" s="2">
        <v>45666</v>
      </c>
      <c r="G664" s="17">
        <v>439.2</v>
      </c>
      <c r="H664" s="17">
        <v>734</v>
      </c>
      <c r="I664" s="6">
        <f>Tabela1[[#This Row],[Valor total]]-Tabela1[[#This Row],[Valor custo]]</f>
        <v>294.8</v>
      </c>
      <c r="J664" s="7">
        <f>Tabela1[[#This Row],[MARGEM BRUTA]]/Tabela1[[#This Row],[Valor total]]</f>
        <v>0.40163487738419618</v>
      </c>
      <c r="K664" s="1" t="str">
        <f>VLOOKUP(Tabela1[[#This Row],[Cliente]],'BASE DE CLIENTES'!A:D,4,0)</f>
        <v>SEM CLASSIFICAÇÃO</v>
      </c>
      <c r="L664" s="1" t="str">
        <f>VLOOKUP(Tabela1[[#This Row],[Cliente]],'BASE DE CLIENTES'!A:E,5,0)</f>
        <v>Vale do Amanhecer (Planaltina)</v>
      </c>
    </row>
    <row r="665" spans="2:12" x14ac:dyDescent="0.3">
      <c r="B665" s="1" t="s">
        <v>76</v>
      </c>
      <c r="C665" s="4" t="str">
        <f>VLOOKUP(Tabela1[[#This Row],[Cliente]],'BASE DE CLIENTES'!A:E,2,0)</f>
        <v>Brasília</v>
      </c>
      <c r="D665" s="1" t="str">
        <f>VLOOKUP(Tabela1[[#This Row],[Cliente]],'BASE DE CLIENTES'!A:C,3,0)</f>
        <v>DF</v>
      </c>
      <c r="E665" s="4" t="str">
        <f>CONCATENATE(Tabela1[[#This Row],[CIDADE]],",",Tabela1[[#This Row],[UF]])</f>
        <v>Brasília,DF</v>
      </c>
      <c r="F665" s="2">
        <v>45733</v>
      </c>
      <c r="G665" s="17">
        <v>6292.78</v>
      </c>
      <c r="H665" s="17">
        <v>10850</v>
      </c>
      <c r="I665" s="6">
        <f>Tabela1[[#This Row],[Valor total]]-Tabela1[[#This Row],[Valor custo]]</f>
        <v>4557.22</v>
      </c>
      <c r="J665" s="7">
        <f>Tabela1[[#This Row],[MARGEM BRUTA]]/Tabela1[[#This Row],[Valor total]]</f>
        <v>0.42002027649769585</v>
      </c>
      <c r="K665" s="1" t="str">
        <f>VLOOKUP(Tabela1[[#This Row],[Cliente]],'BASE DE CLIENTES'!A:D,4,0)</f>
        <v>EMPRESA COM MAQUINA</v>
      </c>
      <c r="L665" s="1" t="str">
        <f>VLOOKUP(Tabela1[[#This Row],[Cliente]],'BASE DE CLIENTES'!A:E,5,0)</f>
        <v>Setor Placa da Mercedes (Núcleo Bandeirante)</v>
      </c>
    </row>
    <row r="666" spans="2:12" x14ac:dyDescent="0.3">
      <c r="B666" s="1" t="s">
        <v>88</v>
      </c>
      <c r="C666" s="4" t="str">
        <f>VLOOKUP(Tabela1[[#This Row],[Cliente]],'BASE DE CLIENTES'!A:E,2,0)</f>
        <v>Brasília</v>
      </c>
      <c r="D666" s="1" t="str">
        <f>VLOOKUP(Tabela1[[#This Row],[Cliente]],'BASE DE CLIENTES'!A:C,3,0)</f>
        <v>DF</v>
      </c>
      <c r="E666" s="4" t="str">
        <f>CONCATENATE(Tabela1[[#This Row],[CIDADE]],",",Tabela1[[#This Row],[UF]])</f>
        <v>Brasília,DF</v>
      </c>
      <c r="F666" s="2">
        <v>45733</v>
      </c>
      <c r="G666" s="17">
        <v>1287.96</v>
      </c>
      <c r="H666" s="17">
        <v>2430</v>
      </c>
      <c r="I666" s="6">
        <f>Tabela1[[#This Row],[Valor total]]-Tabela1[[#This Row],[Valor custo]]</f>
        <v>1142.04</v>
      </c>
      <c r="J666" s="7">
        <f>Tabela1[[#This Row],[MARGEM BRUTA]]/Tabela1[[#This Row],[Valor total]]</f>
        <v>0.46997530864197529</v>
      </c>
      <c r="K666" s="1" t="str">
        <f>VLOOKUP(Tabela1[[#This Row],[Cliente]],'BASE DE CLIENTES'!A:D,4,0)</f>
        <v>SERRALHEIRO</v>
      </c>
      <c r="L666" s="1" t="str">
        <f>VLOOKUP(Tabela1[[#This Row],[Cliente]],'BASE DE CLIENTES'!A:E,5,0)</f>
        <v>RECANTO DAS EMAS</v>
      </c>
    </row>
    <row r="667" spans="2:12" x14ac:dyDescent="0.3">
      <c r="B667" s="1" t="s">
        <v>38</v>
      </c>
      <c r="C667" s="4" t="str">
        <f>VLOOKUP(Tabela1[[#This Row],[Cliente]],'BASE DE CLIENTES'!A:E,2,0)</f>
        <v>Brasília</v>
      </c>
      <c r="D667" s="1" t="str">
        <f>VLOOKUP(Tabela1[[#This Row],[Cliente]],'BASE DE CLIENTES'!A:C,3,0)</f>
        <v>DF</v>
      </c>
      <c r="E667" s="4" t="str">
        <f>CONCATENATE(Tabela1[[#This Row],[CIDADE]],",",Tabela1[[#This Row],[UF]])</f>
        <v>Brasília,DF</v>
      </c>
      <c r="F667" s="2">
        <v>45733</v>
      </c>
      <c r="G667" s="17">
        <v>718.57</v>
      </c>
      <c r="H667" s="17">
        <v>1350</v>
      </c>
      <c r="I667" s="6">
        <f>Tabela1[[#This Row],[Valor total]]-Tabela1[[#This Row],[Valor custo]]</f>
        <v>631.42999999999995</v>
      </c>
      <c r="J667" s="7">
        <f>Tabela1[[#This Row],[MARGEM BRUTA]]/Tabela1[[#This Row],[Valor total]]</f>
        <v>0.46772592592592588</v>
      </c>
      <c r="K667" s="1" t="str">
        <f>VLOOKUP(Tabela1[[#This Row],[Cliente]],'BASE DE CLIENTES'!A:D,4,0)</f>
        <v>EMPRESA SEM MAQUINA</v>
      </c>
      <c r="L667" s="1" t="str">
        <f>VLOOKUP(Tabela1[[#This Row],[Cliente]],'BASE DE CLIENTES'!A:E,5,0)</f>
        <v>PONTE ALTA NORTE (GAMA)</v>
      </c>
    </row>
    <row r="668" spans="2:12" x14ac:dyDescent="0.3">
      <c r="B668" s="1" t="s">
        <v>106</v>
      </c>
      <c r="C668" s="4" t="str">
        <f>VLOOKUP(Tabela1[[#This Row],[Cliente]],'BASE DE CLIENTES'!A:E,2,0)</f>
        <v>Brasília</v>
      </c>
      <c r="D668" s="1" t="str">
        <f>VLOOKUP(Tabela1[[#This Row],[Cliente]],'BASE DE CLIENTES'!A:C,3,0)</f>
        <v>DF</v>
      </c>
      <c r="E668" s="4" t="str">
        <f>CONCATENATE(Tabela1[[#This Row],[CIDADE]],",",Tabela1[[#This Row],[UF]])</f>
        <v>Brasília,DF</v>
      </c>
      <c r="F668" s="2">
        <v>45733</v>
      </c>
      <c r="G668" s="17">
        <v>684.55</v>
      </c>
      <c r="H668" s="17">
        <v>1200</v>
      </c>
      <c r="I668" s="6">
        <f>Tabela1[[#This Row],[Valor total]]-Tabela1[[#This Row],[Valor custo]]</f>
        <v>515.45000000000005</v>
      </c>
      <c r="J668" s="7">
        <f>Tabela1[[#This Row],[MARGEM BRUTA]]/Tabela1[[#This Row],[Valor total]]</f>
        <v>0.42954166666666671</v>
      </c>
      <c r="K668" s="1" t="str">
        <f>VLOOKUP(Tabela1[[#This Row],[Cliente]],'BASE DE CLIENTES'!A:D,4,0)</f>
        <v>EMPRESA COM MAQUINA</v>
      </c>
      <c r="L668" s="1" t="str">
        <f>VLOOKUP(Tabela1[[#This Row],[Cliente]],'BASE DE CLIENTES'!A:E,5,0)</f>
        <v>26 DE SETEMBRO</v>
      </c>
    </row>
    <row r="669" spans="2:12" x14ac:dyDescent="0.3">
      <c r="B669" s="1" t="s">
        <v>149</v>
      </c>
      <c r="C669" s="4" t="str">
        <f>VLOOKUP(Tabela1[[#This Row],[Cliente]],'BASE DE CLIENTES'!A:E,2,0)</f>
        <v>Anápolis</v>
      </c>
      <c r="D669" s="1" t="str">
        <f>VLOOKUP(Tabela1[[#This Row],[Cliente]],'BASE DE CLIENTES'!A:C,3,0)</f>
        <v>GO</v>
      </c>
      <c r="E669" s="4" t="str">
        <f>CONCATENATE(Tabela1[[#This Row],[CIDADE]],",",Tabela1[[#This Row],[UF]])</f>
        <v>Anápolis,GO</v>
      </c>
      <c r="F669" s="2">
        <v>45917</v>
      </c>
      <c r="G669" s="17">
        <v>9343.0499999999993</v>
      </c>
      <c r="H669" s="17">
        <v>14720</v>
      </c>
      <c r="I669" s="6">
        <f>Tabela1[[#This Row],[Valor total]]-Tabela1[[#This Row],[Valor custo]]</f>
        <v>5376.9500000000007</v>
      </c>
      <c r="J669" s="7">
        <f>Tabela1[[#This Row],[MARGEM BRUTA]]/Tabela1[[#This Row],[Valor total]]</f>
        <v>0.36528192934782616</v>
      </c>
      <c r="K669" s="1" t="str">
        <f>VLOOKUP(Tabela1[[#This Row],[Cliente]],'BASE DE CLIENTES'!A:D,4,0)</f>
        <v>EMPRESA COM MAQUINA</v>
      </c>
      <c r="L669" s="1" t="str">
        <f>VLOOKUP(Tabela1[[#This Row],[Cliente]],'BASE DE CLIENTES'!A:E,5,0)</f>
        <v>Anápolis</v>
      </c>
    </row>
    <row r="670" spans="2:12" x14ac:dyDescent="0.3">
      <c r="B670" s="1" t="s">
        <v>42</v>
      </c>
      <c r="C670" s="4" t="str">
        <f>VLOOKUP(Tabela1[[#This Row],[Cliente]],'BASE DE CLIENTES'!A:E,2,0)</f>
        <v>Brasília</v>
      </c>
      <c r="D670" s="1" t="str">
        <f>VLOOKUP(Tabela1[[#This Row],[Cliente]],'BASE DE CLIENTES'!A:C,3,0)</f>
        <v>DF</v>
      </c>
      <c r="E670" s="4" t="str">
        <f>CONCATENATE(Tabela1[[#This Row],[CIDADE]],",",Tabela1[[#This Row],[UF]])</f>
        <v>Brasília,DF</v>
      </c>
      <c r="F670" s="2">
        <v>45733</v>
      </c>
      <c r="G670" s="17">
        <v>684.55</v>
      </c>
      <c r="H670" s="17">
        <v>1100</v>
      </c>
      <c r="I670" s="6">
        <f>Tabela1[[#This Row],[Valor total]]-Tabela1[[#This Row],[Valor custo]]</f>
        <v>415.45000000000005</v>
      </c>
      <c r="J670" s="7">
        <f>Tabela1[[#This Row],[MARGEM BRUTA]]/Tabela1[[#This Row],[Valor total]]</f>
        <v>0.37768181818181823</v>
      </c>
      <c r="K670" s="1" t="str">
        <f>VLOOKUP(Tabela1[[#This Row],[Cliente]],'BASE DE CLIENTES'!A:D,4,0)</f>
        <v>EMPRESA SEM MAQUINA</v>
      </c>
      <c r="L670" s="1" t="str">
        <f>VLOOKUP(Tabela1[[#This Row],[Cliente]],'BASE DE CLIENTES'!A:E,5,0)</f>
        <v>SAMAMBAIA</v>
      </c>
    </row>
    <row r="671" spans="2:12" x14ac:dyDescent="0.3">
      <c r="B671" s="1" t="s">
        <v>96</v>
      </c>
      <c r="C671" s="4" t="str">
        <f>VLOOKUP(Tabela1[[#This Row],[Cliente]],'BASE DE CLIENTES'!A:E,2,0)</f>
        <v>Brasília</v>
      </c>
      <c r="D671" s="1" t="str">
        <f>VLOOKUP(Tabela1[[#This Row],[Cliente]],'BASE DE CLIENTES'!A:C,3,0)</f>
        <v>DF</v>
      </c>
      <c r="E671" s="4" t="str">
        <f>CONCATENATE(Tabela1[[#This Row],[CIDADE]],",",Tabela1[[#This Row],[UF]])</f>
        <v>Brasília,DF</v>
      </c>
      <c r="F671" s="2">
        <v>45732</v>
      </c>
      <c r="G671" s="17">
        <v>593.83000000000004</v>
      </c>
      <c r="H671" s="17">
        <v>869</v>
      </c>
      <c r="I671" s="6">
        <f>Tabela1[[#This Row],[Valor total]]-Tabela1[[#This Row],[Valor custo]]</f>
        <v>275.16999999999996</v>
      </c>
      <c r="J671" s="7">
        <f>Tabela1[[#This Row],[MARGEM BRUTA]]/Tabela1[[#This Row],[Valor total]]</f>
        <v>0.31665132336018409</v>
      </c>
      <c r="K671" s="1" t="str">
        <f>VLOOKUP(Tabela1[[#This Row],[Cliente]],'BASE DE CLIENTES'!A:D,4,0)</f>
        <v>EMPRESA SEM MAQUINA</v>
      </c>
      <c r="L671" s="1" t="str">
        <f>VLOOKUP(Tabela1[[#This Row],[Cliente]],'BASE DE CLIENTES'!A:E,5,0)</f>
        <v>CEILANDIA NORTE (CEILANDIA)</v>
      </c>
    </row>
    <row r="672" spans="2:12" x14ac:dyDescent="0.3">
      <c r="B672" s="1" t="s">
        <v>149</v>
      </c>
      <c r="C672" s="4" t="str">
        <f>VLOOKUP(Tabela1[[#This Row],[Cliente]],'BASE DE CLIENTES'!A:E,2,0)</f>
        <v>Anápolis</v>
      </c>
      <c r="D672" s="1" t="str">
        <f>VLOOKUP(Tabela1[[#This Row],[Cliente]],'BASE DE CLIENTES'!A:C,3,0)</f>
        <v>GO</v>
      </c>
      <c r="E672" s="4" t="str">
        <f>CONCATENATE(Tabela1[[#This Row],[CIDADE]],",",Tabela1[[#This Row],[UF]])</f>
        <v>Anápolis,GO</v>
      </c>
      <c r="F672" s="2">
        <v>45904</v>
      </c>
      <c r="G672" s="17">
        <v>3054.45</v>
      </c>
      <c r="H672" s="17">
        <v>4859.25</v>
      </c>
      <c r="I672" s="6">
        <f>Tabela1[[#This Row],[Valor total]]-Tabela1[[#This Row],[Valor custo]]</f>
        <v>1804.8000000000002</v>
      </c>
      <c r="J672" s="7">
        <f>Tabela1[[#This Row],[MARGEM BRUTA]]/Tabela1[[#This Row],[Valor total]]</f>
        <v>0.37141534187374597</v>
      </c>
      <c r="K672" s="1" t="str">
        <f>VLOOKUP(Tabela1[[#This Row],[Cliente]],'BASE DE CLIENTES'!A:D,4,0)</f>
        <v>EMPRESA COM MAQUINA</v>
      </c>
      <c r="L672" s="1" t="str">
        <f>VLOOKUP(Tabela1[[#This Row],[Cliente]],'BASE DE CLIENTES'!A:E,5,0)</f>
        <v>Anápolis</v>
      </c>
    </row>
    <row r="673" spans="2:12" x14ac:dyDescent="0.3">
      <c r="B673" s="1" t="s">
        <v>96</v>
      </c>
      <c r="C673" s="4" t="str">
        <f>VLOOKUP(Tabela1[[#This Row],[Cliente]],'BASE DE CLIENTES'!A:E,2,0)</f>
        <v>Brasília</v>
      </c>
      <c r="D673" s="1" t="str">
        <f>VLOOKUP(Tabela1[[#This Row],[Cliente]],'BASE DE CLIENTES'!A:C,3,0)</f>
        <v>DF</v>
      </c>
      <c r="E673" s="4" t="str">
        <f>CONCATENATE(Tabela1[[#This Row],[CIDADE]],",",Tabela1[[#This Row],[UF]])</f>
        <v>Brasília,DF</v>
      </c>
      <c r="F673" s="2">
        <v>45730</v>
      </c>
      <c r="G673" s="17">
        <v>109.33</v>
      </c>
      <c r="H673" s="17">
        <v>390</v>
      </c>
      <c r="I673" s="6">
        <f>Tabela1[[#This Row],[Valor total]]-Tabela1[[#This Row],[Valor custo]]</f>
        <v>280.67</v>
      </c>
      <c r="J673" s="7">
        <f>Tabela1[[#This Row],[MARGEM BRUTA]]/Tabela1[[#This Row],[Valor total]]</f>
        <v>0.71966666666666668</v>
      </c>
      <c r="K673" s="1" t="str">
        <f>VLOOKUP(Tabela1[[#This Row],[Cliente]],'BASE DE CLIENTES'!A:D,4,0)</f>
        <v>EMPRESA SEM MAQUINA</v>
      </c>
      <c r="L673" s="1" t="str">
        <f>VLOOKUP(Tabela1[[#This Row],[Cliente]],'BASE DE CLIENTES'!A:E,5,0)</f>
        <v>CEILANDIA NORTE (CEILANDIA)</v>
      </c>
    </row>
    <row r="674" spans="2:12" x14ac:dyDescent="0.3">
      <c r="B674" s="1" t="s">
        <v>99</v>
      </c>
      <c r="C674" s="4" t="str">
        <f>VLOOKUP(Tabela1[[#This Row],[Cliente]],'BASE DE CLIENTES'!A:E,2,0)</f>
        <v>Brasília</v>
      </c>
      <c r="D674" s="1" t="str">
        <f>VLOOKUP(Tabela1[[#This Row],[Cliente]],'BASE DE CLIENTES'!A:C,3,0)</f>
        <v>DF</v>
      </c>
      <c r="E674" s="4" t="str">
        <f>CONCATENATE(Tabela1[[#This Row],[CIDADE]],",",Tabela1[[#This Row],[UF]])</f>
        <v>Brasília,DF</v>
      </c>
      <c r="F674" s="2">
        <v>45730</v>
      </c>
      <c r="G674" s="17">
        <v>1273.75</v>
      </c>
      <c r="H674" s="17">
        <v>2070</v>
      </c>
      <c r="I674" s="6">
        <f>Tabela1[[#This Row],[Valor total]]-Tabela1[[#This Row],[Valor custo]]</f>
        <v>796.25</v>
      </c>
      <c r="J674" s="7">
        <f>Tabela1[[#This Row],[MARGEM BRUTA]]/Tabela1[[#This Row],[Valor total]]</f>
        <v>0.38466183574879226</v>
      </c>
      <c r="K674" s="1" t="str">
        <f>VLOOKUP(Tabela1[[#This Row],[Cliente]],'BASE DE CLIENTES'!A:D,4,0)</f>
        <v>EMPRESA COM MAQUINA</v>
      </c>
      <c r="L674" s="1" t="str">
        <f>VLOOKUP(Tabela1[[#This Row],[Cliente]],'BASE DE CLIENTES'!A:E,5,0)</f>
        <v>ARAPOANGA (PLANALTINA)</v>
      </c>
    </row>
    <row r="675" spans="2:12" x14ac:dyDescent="0.3">
      <c r="B675" s="1" t="s">
        <v>151</v>
      </c>
      <c r="C675" s="4" t="str">
        <f>VLOOKUP(Tabela1[[#This Row],[Cliente]],'BASE DE CLIENTES'!A:E,2,0)</f>
        <v>Aparecida de Goiânia</v>
      </c>
      <c r="D675" s="1" t="str">
        <f>VLOOKUP(Tabela1[[#This Row],[Cliente]],'BASE DE CLIENTES'!A:C,3,0)</f>
        <v>GO</v>
      </c>
      <c r="E675" s="4" t="str">
        <f>CONCATENATE(Tabela1[[#This Row],[CIDADE]],",",Tabela1[[#This Row],[UF]])</f>
        <v>Aparecida de Goiânia,GO</v>
      </c>
      <c r="F675" s="2">
        <v>45793</v>
      </c>
      <c r="G675" s="17">
        <v>1168</v>
      </c>
      <c r="H675" s="17">
        <v>118</v>
      </c>
      <c r="I675" s="6">
        <f>Tabela1[[#This Row],[Valor total]]-Tabela1[[#This Row],[Valor custo]]</f>
        <v>-1050</v>
      </c>
      <c r="J675" s="7">
        <f>Tabela1[[#This Row],[MARGEM BRUTA]]/Tabela1[[#This Row],[Valor total]]</f>
        <v>-8.898305084745763</v>
      </c>
      <c r="K675" s="1" t="str">
        <f>VLOOKUP(Tabela1[[#This Row],[Cliente]],'BASE DE CLIENTES'!A:D,4,0)</f>
        <v>EMPRESA COM MAQUINA</v>
      </c>
      <c r="L675" s="1" t="str">
        <f>VLOOKUP(Tabela1[[#This Row],[Cliente]],'BASE DE CLIENTES'!A:E,5,0)</f>
        <v>Aparecida de Goiânia</v>
      </c>
    </row>
    <row r="676" spans="2:12" x14ac:dyDescent="0.3">
      <c r="B676" s="1" t="s">
        <v>152</v>
      </c>
      <c r="C676" s="4" t="str">
        <f>VLOOKUP(Tabela1[[#This Row],[Cliente]],'BASE DE CLIENTES'!A:E,2,0)</f>
        <v>Aparecida de Goiânia</v>
      </c>
      <c r="D676" s="1" t="str">
        <f>VLOOKUP(Tabela1[[#This Row],[Cliente]],'BASE DE CLIENTES'!A:C,3,0)</f>
        <v>GO</v>
      </c>
      <c r="E676" s="4" t="str">
        <f>CONCATENATE(Tabela1[[#This Row],[CIDADE]],",",Tabela1[[#This Row],[UF]])</f>
        <v>Aparecida de Goiânia,GO</v>
      </c>
      <c r="F676" s="2">
        <v>45868</v>
      </c>
      <c r="G676" s="17">
        <v>954</v>
      </c>
      <c r="H676" s="17">
        <v>810</v>
      </c>
      <c r="I676" s="6">
        <f>Tabela1[[#This Row],[Valor total]]-Tabela1[[#This Row],[Valor custo]]</f>
        <v>-144</v>
      </c>
      <c r="J676" s="7">
        <f>Tabela1[[#This Row],[MARGEM BRUTA]]/Tabela1[[#This Row],[Valor total]]</f>
        <v>-0.17777777777777778</v>
      </c>
      <c r="K676" s="1" t="str">
        <f>VLOOKUP(Tabela1[[#This Row],[Cliente]],'BASE DE CLIENTES'!A:D,4,0)</f>
        <v>TECNICO</v>
      </c>
      <c r="L676" s="1" t="str">
        <f>VLOOKUP(Tabela1[[#This Row],[Cliente]],'BASE DE CLIENTES'!A:E,5,0)</f>
        <v>Aparecida de Goiânia</v>
      </c>
    </row>
    <row r="677" spans="2:12" x14ac:dyDescent="0.3">
      <c r="B677" s="1" t="s">
        <v>110</v>
      </c>
      <c r="C677" s="4" t="str">
        <f>VLOOKUP(Tabela1[[#This Row],[Cliente]],'BASE DE CLIENTES'!A:E,2,0)</f>
        <v>Brasília</v>
      </c>
      <c r="D677" s="1" t="str">
        <f>VLOOKUP(Tabela1[[#This Row],[Cliente]],'BASE DE CLIENTES'!A:C,3,0)</f>
        <v>DF</v>
      </c>
      <c r="E677" s="4" t="str">
        <f>CONCATENATE(Tabela1[[#This Row],[CIDADE]],",",Tabela1[[#This Row],[UF]])</f>
        <v>Brasília,DF</v>
      </c>
      <c r="F677" s="2">
        <v>45730</v>
      </c>
      <c r="G677" s="17">
        <v>10.58</v>
      </c>
      <c r="H677" s="17">
        <v>22</v>
      </c>
      <c r="I677" s="6">
        <f>Tabela1[[#This Row],[Valor total]]-Tabela1[[#This Row],[Valor custo]]</f>
        <v>11.42</v>
      </c>
      <c r="J677" s="7">
        <f>Tabela1[[#This Row],[MARGEM BRUTA]]/Tabela1[[#This Row],[Valor total]]</f>
        <v>0.51909090909090905</v>
      </c>
      <c r="K677" s="1" t="str">
        <f>VLOOKUP(Tabela1[[#This Row],[Cliente]],'BASE DE CLIENTES'!A:D,4,0)</f>
        <v>SERRALHEIRO</v>
      </c>
      <c r="L677" s="1" t="str">
        <f>VLOOKUP(Tabela1[[#This Row],[Cliente]],'BASE DE CLIENTES'!A:E,5,0)</f>
        <v>Taguatinga sul</v>
      </c>
    </row>
    <row r="678" spans="2:12" x14ac:dyDescent="0.3">
      <c r="B678" s="1" t="s">
        <v>152</v>
      </c>
      <c r="C678" s="4" t="str">
        <f>VLOOKUP(Tabela1[[#This Row],[Cliente]],'BASE DE CLIENTES'!A:E,2,0)</f>
        <v>Aparecida de Goiânia</v>
      </c>
      <c r="D678" s="1" t="str">
        <f>VLOOKUP(Tabela1[[#This Row],[Cliente]],'BASE DE CLIENTES'!A:C,3,0)</f>
        <v>GO</v>
      </c>
      <c r="E678" s="4" t="str">
        <f>CONCATENATE(Tabela1[[#This Row],[CIDADE]],",",Tabela1[[#This Row],[UF]])</f>
        <v>Aparecida de Goiânia,GO</v>
      </c>
      <c r="F678" s="2">
        <v>45868</v>
      </c>
      <c r="G678" s="17">
        <v>9.3800000000000008</v>
      </c>
      <c r="H678" s="17">
        <v>0</v>
      </c>
      <c r="I678" s="6">
        <f>Tabela1[[#This Row],[Valor total]]-Tabela1[[#This Row],[Valor custo]]</f>
        <v>-9.3800000000000008</v>
      </c>
      <c r="J678" s="7" t="e">
        <f>Tabela1[[#This Row],[MARGEM BRUTA]]/Tabela1[[#This Row],[Valor total]]</f>
        <v>#DIV/0!</v>
      </c>
      <c r="K678" s="1" t="str">
        <f>VLOOKUP(Tabela1[[#This Row],[Cliente]],'BASE DE CLIENTES'!A:D,4,0)</f>
        <v>TECNICO</v>
      </c>
      <c r="L678" s="1" t="str">
        <f>VLOOKUP(Tabela1[[#This Row],[Cliente]],'BASE DE CLIENTES'!A:E,5,0)</f>
        <v>Aparecida de Goiânia</v>
      </c>
    </row>
    <row r="679" spans="2:12" x14ac:dyDescent="0.3">
      <c r="B679" s="1" t="s">
        <v>152</v>
      </c>
      <c r="C679" s="4" t="str">
        <f>VLOOKUP(Tabela1[[#This Row],[Cliente]],'BASE DE CLIENTES'!A:E,2,0)</f>
        <v>Aparecida de Goiânia</v>
      </c>
      <c r="D679" s="1" t="str">
        <f>VLOOKUP(Tabela1[[#This Row],[Cliente]],'BASE DE CLIENTES'!A:C,3,0)</f>
        <v>GO</v>
      </c>
      <c r="E679" s="4" t="str">
        <f>CONCATENATE(Tabela1[[#This Row],[CIDADE]],",",Tabela1[[#This Row],[UF]])</f>
        <v>Aparecida de Goiânia,GO</v>
      </c>
      <c r="F679" s="2">
        <v>45853</v>
      </c>
      <c r="G679" s="17">
        <v>584</v>
      </c>
      <c r="H679" s="17">
        <v>0</v>
      </c>
      <c r="I679" s="6">
        <f>Tabela1[[#This Row],[Valor total]]-Tabela1[[#This Row],[Valor custo]]</f>
        <v>-584</v>
      </c>
      <c r="J679" s="7" t="e">
        <f>Tabela1[[#This Row],[MARGEM BRUTA]]/Tabela1[[#This Row],[Valor total]]</f>
        <v>#DIV/0!</v>
      </c>
      <c r="K679" s="1" t="str">
        <f>VLOOKUP(Tabela1[[#This Row],[Cliente]],'BASE DE CLIENTES'!A:D,4,0)</f>
        <v>TECNICO</v>
      </c>
      <c r="L679" s="1" t="str">
        <f>VLOOKUP(Tabela1[[#This Row],[Cliente]],'BASE DE CLIENTES'!A:E,5,0)</f>
        <v>Aparecida de Goiânia</v>
      </c>
    </row>
    <row r="680" spans="2:12" x14ac:dyDescent="0.3">
      <c r="B680" s="1" t="s">
        <v>108</v>
      </c>
      <c r="C680" s="4" t="str">
        <f>VLOOKUP(Tabela1[[#This Row],[Cliente]],'BASE DE CLIENTES'!A:E,2,0)</f>
        <v>Brasília</v>
      </c>
      <c r="D680" s="1" t="str">
        <f>VLOOKUP(Tabela1[[#This Row],[Cliente]],'BASE DE CLIENTES'!A:C,3,0)</f>
        <v>DF</v>
      </c>
      <c r="E680" s="4" t="str">
        <f>CONCATENATE(Tabela1[[#This Row],[CIDADE]],",",Tabela1[[#This Row],[UF]])</f>
        <v>Brasília,DF</v>
      </c>
      <c r="F680" s="2">
        <v>45730</v>
      </c>
      <c r="G680" s="17">
        <v>548.47</v>
      </c>
      <c r="H680" s="17">
        <v>810</v>
      </c>
      <c r="I680" s="6">
        <f>Tabela1[[#This Row],[Valor total]]-Tabela1[[#This Row],[Valor custo]]</f>
        <v>261.52999999999997</v>
      </c>
      <c r="J680" s="7">
        <f>Tabela1[[#This Row],[MARGEM BRUTA]]/Tabela1[[#This Row],[Valor total]]</f>
        <v>0.32287654320987652</v>
      </c>
      <c r="K680" s="1" t="str">
        <f>VLOOKUP(Tabela1[[#This Row],[Cliente]],'BASE DE CLIENTES'!A:D,4,0)</f>
        <v>SERRALHEIRO</v>
      </c>
      <c r="L680" s="1" t="str">
        <f>VLOOKUP(Tabela1[[#This Row],[Cliente]],'BASE DE CLIENTES'!A:E,5,0)</f>
        <v>Vila Planalto</v>
      </c>
    </row>
    <row r="681" spans="2:12" x14ac:dyDescent="0.3">
      <c r="B681" s="1" t="s">
        <v>152</v>
      </c>
      <c r="C681" s="4" t="str">
        <f>VLOOKUP(Tabela1[[#This Row],[Cliente]],'BASE DE CLIENTES'!A:E,2,0)</f>
        <v>Aparecida de Goiânia</v>
      </c>
      <c r="D681" s="1" t="str">
        <f>VLOOKUP(Tabela1[[#This Row],[Cliente]],'BASE DE CLIENTES'!A:C,3,0)</f>
        <v>GO</v>
      </c>
      <c r="E681" s="4" t="str">
        <f>CONCATENATE(Tabela1[[#This Row],[CIDADE]],",",Tabela1[[#This Row],[UF]])</f>
        <v>Aparecida de Goiânia,GO</v>
      </c>
      <c r="F681" s="2">
        <v>45728</v>
      </c>
      <c r="G681" s="17">
        <v>1187.6600000000001</v>
      </c>
      <c r="H681" s="17">
        <v>1300</v>
      </c>
      <c r="I681" s="6">
        <f>Tabela1[[#This Row],[Valor total]]-Tabela1[[#This Row],[Valor custo]]</f>
        <v>112.33999999999992</v>
      </c>
      <c r="J681" s="7">
        <f>Tabela1[[#This Row],[MARGEM BRUTA]]/Tabela1[[#This Row],[Valor total]]</f>
        <v>8.6415384615384547E-2</v>
      </c>
      <c r="K681" s="1" t="str">
        <f>VLOOKUP(Tabela1[[#This Row],[Cliente]],'BASE DE CLIENTES'!A:D,4,0)</f>
        <v>TECNICO</v>
      </c>
      <c r="L681" s="1" t="str">
        <f>VLOOKUP(Tabela1[[#This Row],[Cliente]],'BASE DE CLIENTES'!A:E,5,0)</f>
        <v>Aparecida de Goiânia</v>
      </c>
    </row>
    <row r="682" spans="2:12" x14ac:dyDescent="0.3">
      <c r="B682" s="1" t="s">
        <v>152</v>
      </c>
      <c r="C682" s="4" t="str">
        <f>VLOOKUP(Tabela1[[#This Row],[Cliente]],'BASE DE CLIENTES'!A:E,2,0)</f>
        <v>Aparecida de Goiânia</v>
      </c>
      <c r="D682" s="1" t="str">
        <f>VLOOKUP(Tabela1[[#This Row],[Cliente]],'BASE DE CLIENTES'!A:C,3,0)</f>
        <v>GO</v>
      </c>
      <c r="E682" s="4" t="str">
        <f>CONCATENATE(Tabela1[[#This Row],[CIDADE]],",",Tabela1[[#This Row],[UF]])</f>
        <v>Aparecida de Goiânia,GO</v>
      </c>
      <c r="F682" s="2">
        <v>45693</v>
      </c>
      <c r="G682" s="17">
        <v>593.83000000000004</v>
      </c>
      <c r="H682" s="17">
        <v>680</v>
      </c>
      <c r="I682" s="6">
        <f>Tabela1[[#This Row],[Valor total]]-Tabela1[[#This Row],[Valor custo]]</f>
        <v>86.169999999999959</v>
      </c>
      <c r="J682" s="7">
        <f>Tabela1[[#This Row],[MARGEM BRUTA]]/Tabela1[[#This Row],[Valor total]]</f>
        <v>0.12672058823529406</v>
      </c>
      <c r="K682" s="1" t="str">
        <f>VLOOKUP(Tabela1[[#This Row],[Cliente]],'BASE DE CLIENTES'!A:D,4,0)</f>
        <v>TECNICO</v>
      </c>
      <c r="L682" s="1" t="str">
        <f>VLOOKUP(Tabela1[[#This Row],[Cliente]],'BASE DE CLIENTES'!A:E,5,0)</f>
        <v>Aparecida de Goiânia</v>
      </c>
    </row>
    <row r="683" spans="2:12" x14ac:dyDescent="0.3">
      <c r="B683" s="1" t="s">
        <v>25</v>
      </c>
      <c r="C683" s="4" t="str">
        <f>VLOOKUP(Tabela1[[#This Row],[Cliente]],'BASE DE CLIENTES'!A:E,2,0)</f>
        <v>Brasília</v>
      </c>
      <c r="D683" s="1" t="str">
        <f>VLOOKUP(Tabela1[[#This Row],[Cliente]],'BASE DE CLIENTES'!A:C,3,0)</f>
        <v>DF</v>
      </c>
      <c r="E683" s="4" t="str">
        <f>CONCATENATE(Tabela1[[#This Row],[CIDADE]],",",Tabela1[[#This Row],[UF]])</f>
        <v>Brasília,DF</v>
      </c>
      <c r="F683" s="2">
        <v>45730</v>
      </c>
      <c r="G683" s="17">
        <v>531.45000000000005</v>
      </c>
      <c r="H683" s="17">
        <v>785</v>
      </c>
      <c r="I683" s="6">
        <f>Tabela1[[#This Row],[Valor total]]-Tabela1[[#This Row],[Valor custo]]</f>
        <v>253.54999999999995</v>
      </c>
      <c r="J683" s="7">
        <f>Tabela1[[#This Row],[MARGEM BRUTA]]/Tabela1[[#This Row],[Valor total]]</f>
        <v>0.32299363057324837</v>
      </c>
      <c r="K683" s="1" t="str">
        <f>VLOOKUP(Tabela1[[#This Row],[Cliente]],'BASE DE CLIENTES'!A:D,4,0)</f>
        <v>EMPRESA COM MAQUINA</v>
      </c>
      <c r="L683" s="1" t="str">
        <f>VLOOKUP(Tabela1[[#This Row],[Cliente]],'BASE DE CLIENTES'!A:E,5,0)</f>
        <v>CEILANDIA NORTE (CEILANDIA)</v>
      </c>
    </row>
    <row r="684" spans="2:12" x14ac:dyDescent="0.3">
      <c r="B684" s="1" t="s">
        <v>15</v>
      </c>
      <c r="C684" s="4" t="str">
        <f>VLOOKUP(Tabela1[[#This Row],[Cliente]],'BASE DE CLIENTES'!A:E,2,0)</f>
        <v>Brasília</v>
      </c>
      <c r="D684" s="1" t="str">
        <f>VLOOKUP(Tabela1[[#This Row],[Cliente]],'BASE DE CLIENTES'!A:C,3,0)</f>
        <v>DF</v>
      </c>
      <c r="E684" s="4" t="str">
        <f>CONCATENATE(Tabela1[[#This Row],[CIDADE]],",",Tabela1[[#This Row],[UF]])</f>
        <v>Brasília,DF</v>
      </c>
      <c r="F684" s="2">
        <v>45730</v>
      </c>
      <c r="G684" s="17">
        <v>1028.9000000000001</v>
      </c>
      <c r="H684" s="17">
        <v>1455</v>
      </c>
      <c r="I684" s="6">
        <f>Tabela1[[#This Row],[Valor total]]-Tabela1[[#This Row],[Valor custo]]</f>
        <v>426.09999999999991</v>
      </c>
      <c r="J684" s="7">
        <f>Tabela1[[#This Row],[MARGEM BRUTA]]/Tabela1[[#This Row],[Valor total]]</f>
        <v>0.29285223367697588</v>
      </c>
      <c r="K684" s="1" t="str">
        <f>VLOOKUP(Tabela1[[#This Row],[Cliente]],'BASE DE CLIENTES'!A:D,4,0)</f>
        <v>SERRALHEIRO</v>
      </c>
      <c r="L684" s="1" t="str">
        <f>VLOOKUP(Tabela1[[#This Row],[Cliente]],'BASE DE CLIENTES'!A:E,5,0)</f>
        <v>SETOR HABITACIONAL VICENTE PIRES</v>
      </c>
    </row>
    <row r="685" spans="2:12" x14ac:dyDescent="0.3">
      <c r="B685" s="1" t="s">
        <v>38</v>
      </c>
      <c r="C685" s="4" t="str">
        <f>VLOOKUP(Tabela1[[#This Row],[Cliente]],'BASE DE CLIENTES'!A:E,2,0)</f>
        <v>Brasília</v>
      </c>
      <c r="D685" s="1" t="str">
        <f>VLOOKUP(Tabela1[[#This Row],[Cliente]],'BASE DE CLIENTES'!A:C,3,0)</f>
        <v>DF</v>
      </c>
      <c r="E685" s="4" t="str">
        <f>CONCATENATE(Tabela1[[#This Row],[CIDADE]],",",Tabela1[[#This Row],[UF]])</f>
        <v>Brasília,DF</v>
      </c>
      <c r="F685" s="2">
        <v>45730</v>
      </c>
      <c r="G685" s="17">
        <v>368.22</v>
      </c>
      <c r="H685" s="17">
        <v>510</v>
      </c>
      <c r="I685" s="6">
        <f>Tabela1[[#This Row],[Valor total]]-Tabela1[[#This Row],[Valor custo]]</f>
        <v>141.77999999999997</v>
      </c>
      <c r="J685" s="7">
        <f>Tabela1[[#This Row],[MARGEM BRUTA]]/Tabela1[[#This Row],[Valor total]]</f>
        <v>0.27799999999999997</v>
      </c>
      <c r="K685" s="1" t="str">
        <f>VLOOKUP(Tabela1[[#This Row],[Cliente]],'BASE DE CLIENTES'!A:D,4,0)</f>
        <v>EMPRESA SEM MAQUINA</v>
      </c>
      <c r="L685" s="1" t="str">
        <f>VLOOKUP(Tabela1[[#This Row],[Cliente]],'BASE DE CLIENTES'!A:E,5,0)</f>
        <v>PONTE ALTA NORTE (GAMA)</v>
      </c>
    </row>
    <row r="686" spans="2:12" x14ac:dyDescent="0.3">
      <c r="B686" s="1" t="s">
        <v>152</v>
      </c>
      <c r="C686" s="4" t="str">
        <f>VLOOKUP(Tabela1[[#This Row],[Cliente]],'BASE DE CLIENTES'!A:E,2,0)</f>
        <v>Aparecida de Goiânia</v>
      </c>
      <c r="D686" s="1" t="str">
        <f>VLOOKUP(Tabela1[[#This Row],[Cliente]],'BASE DE CLIENTES'!A:C,3,0)</f>
        <v>GO</v>
      </c>
      <c r="E686" s="4" t="str">
        <f>CONCATENATE(Tabela1[[#This Row],[CIDADE]],",",Tabela1[[#This Row],[UF]])</f>
        <v>Aparecida de Goiânia,GO</v>
      </c>
      <c r="F686" s="2">
        <v>45861</v>
      </c>
      <c r="G686" s="17">
        <v>477</v>
      </c>
      <c r="H686" s="17">
        <v>550</v>
      </c>
      <c r="I686" s="6">
        <f>Tabela1[[#This Row],[Valor total]]-Tabela1[[#This Row],[Valor custo]]</f>
        <v>73</v>
      </c>
      <c r="J686" s="7">
        <f>Tabela1[[#This Row],[MARGEM BRUTA]]/Tabela1[[#This Row],[Valor total]]</f>
        <v>0.13272727272727272</v>
      </c>
      <c r="K686" s="1" t="str">
        <f>VLOOKUP(Tabela1[[#This Row],[Cliente]],'BASE DE CLIENTES'!A:D,4,0)</f>
        <v>TECNICO</v>
      </c>
      <c r="L686" s="1" t="str">
        <f>VLOOKUP(Tabela1[[#This Row],[Cliente]],'BASE DE CLIENTES'!A:E,5,0)</f>
        <v>Aparecida de Goiânia</v>
      </c>
    </row>
    <row r="687" spans="2:12" x14ac:dyDescent="0.3">
      <c r="B687" s="1" t="s">
        <v>128</v>
      </c>
      <c r="C687" s="4" t="str">
        <f>VLOOKUP(Tabela1[[#This Row],[Cliente]],'BASE DE CLIENTES'!A:E,2,0)</f>
        <v>Brasília</v>
      </c>
      <c r="D687" s="1" t="str">
        <f>VLOOKUP(Tabela1[[#This Row],[Cliente]],'BASE DE CLIENTES'!A:C,3,0)</f>
        <v>DF</v>
      </c>
      <c r="E687" s="4" t="str">
        <f>CONCATENATE(Tabela1[[#This Row],[CIDADE]],",",Tabela1[[#This Row],[UF]])</f>
        <v>Brasília,DF</v>
      </c>
      <c r="F687" s="2">
        <v>45729</v>
      </c>
      <c r="G687" s="17">
        <v>409.87</v>
      </c>
      <c r="H687" s="17">
        <v>600</v>
      </c>
      <c r="I687" s="6">
        <f>Tabela1[[#This Row],[Valor total]]-Tabela1[[#This Row],[Valor custo]]</f>
        <v>190.13</v>
      </c>
      <c r="J687" s="7">
        <f>Tabela1[[#This Row],[MARGEM BRUTA]]/Tabela1[[#This Row],[Valor total]]</f>
        <v>0.31688333333333335</v>
      </c>
      <c r="K687" s="1" t="str">
        <f>VLOOKUP(Tabela1[[#This Row],[Cliente]],'BASE DE CLIENTES'!A:D,4,0)</f>
        <v>SERRALHEIRO</v>
      </c>
      <c r="L687" s="1" t="str">
        <f>VLOOKUP(Tabela1[[#This Row],[Cliente]],'BASE DE CLIENTES'!A:E,5,0)</f>
        <v>TAGUATINGA NORTE</v>
      </c>
    </row>
    <row r="688" spans="2:12" x14ac:dyDescent="0.3">
      <c r="B688" s="1" t="s">
        <v>76</v>
      </c>
      <c r="C688" s="4" t="str">
        <f>VLOOKUP(Tabela1[[#This Row],[Cliente]],'BASE DE CLIENTES'!A:E,2,0)</f>
        <v>Brasília</v>
      </c>
      <c r="D688" s="1" t="str">
        <f>VLOOKUP(Tabela1[[#This Row],[Cliente]],'BASE DE CLIENTES'!A:C,3,0)</f>
        <v>DF</v>
      </c>
      <c r="E688" s="4" t="str">
        <f>CONCATENATE(Tabela1[[#This Row],[CIDADE]],",",Tabela1[[#This Row],[UF]])</f>
        <v>Brasília,DF</v>
      </c>
      <c r="F688" s="2">
        <v>45729</v>
      </c>
      <c r="G688" s="17">
        <v>2057.8000000000002</v>
      </c>
      <c r="H688" s="17">
        <v>2760</v>
      </c>
      <c r="I688" s="6">
        <f>Tabela1[[#This Row],[Valor total]]-Tabela1[[#This Row],[Valor custo]]</f>
        <v>702.19999999999982</v>
      </c>
      <c r="J688" s="7">
        <f>Tabela1[[#This Row],[MARGEM BRUTA]]/Tabela1[[#This Row],[Valor total]]</f>
        <v>0.25442028985507242</v>
      </c>
      <c r="K688" s="1" t="str">
        <f>VLOOKUP(Tabela1[[#This Row],[Cliente]],'BASE DE CLIENTES'!A:D,4,0)</f>
        <v>EMPRESA COM MAQUINA</v>
      </c>
      <c r="L688" s="1" t="str">
        <f>VLOOKUP(Tabela1[[#This Row],[Cliente]],'BASE DE CLIENTES'!A:E,5,0)</f>
        <v>Setor Placa da Mercedes (Núcleo Bandeirante)</v>
      </c>
    </row>
    <row r="689" spans="2:12" x14ac:dyDescent="0.3">
      <c r="B689" s="1" t="s">
        <v>78</v>
      </c>
      <c r="C689" s="4" t="str">
        <f>VLOOKUP(Tabela1[[#This Row],[Cliente]],'BASE DE CLIENTES'!A:E,2,0)</f>
        <v>Brasília</v>
      </c>
      <c r="D689" s="1" t="str">
        <f>VLOOKUP(Tabela1[[#This Row],[Cliente]],'BASE DE CLIENTES'!A:C,3,0)</f>
        <v>DF</v>
      </c>
      <c r="E689" s="4" t="str">
        <f>CONCATENATE(Tabela1[[#This Row],[CIDADE]],",",Tabela1[[#This Row],[UF]])</f>
        <v>Brasília,DF</v>
      </c>
      <c r="F689" s="2">
        <v>45729</v>
      </c>
      <c r="G689" s="17">
        <v>568.83000000000004</v>
      </c>
      <c r="H689" s="17">
        <v>795</v>
      </c>
      <c r="I689" s="6">
        <f>Tabela1[[#This Row],[Valor total]]-Tabela1[[#This Row],[Valor custo]]</f>
        <v>226.16999999999996</v>
      </c>
      <c r="J689" s="7">
        <f>Tabela1[[#This Row],[MARGEM BRUTA]]/Tabela1[[#This Row],[Valor total]]</f>
        <v>0.28449056603773581</v>
      </c>
      <c r="K689" s="1" t="str">
        <f>VLOOKUP(Tabela1[[#This Row],[Cliente]],'BASE DE CLIENTES'!A:D,4,0)</f>
        <v>SERRALHEIRO</v>
      </c>
      <c r="L689" s="1" t="str">
        <f>VLOOKUP(Tabela1[[#This Row],[Cliente]],'BASE DE CLIENTES'!A:E,5,0)</f>
        <v>Vila do Boa (São Sebastião)</v>
      </c>
    </row>
    <row r="690" spans="2:12" x14ac:dyDescent="0.3">
      <c r="B690" s="1" t="s">
        <v>85</v>
      </c>
      <c r="C690" s="4" t="str">
        <f>VLOOKUP(Tabela1[[#This Row],[Cliente]],'BASE DE CLIENTES'!A:E,2,0)</f>
        <v>Brasília</v>
      </c>
      <c r="D690" s="1" t="str">
        <f>VLOOKUP(Tabela1[[#This Row],[Cliente]],'BASE DE CLIENTES'!A:C,3,0)</f>
        <v>DF</v>
      </c>
      <c r="E690" s="4" t="str">
        <f>CONCATENATE(Tabela1[[#This Row],[CIDADE]],",",Tabela1[[#This Row],[UF]])</f>
        <v>Brasília,DF</v>
      </c>
      <c r="F690" s="2">
        <v>45729</v>
      </c>
      <c r="G690" s="17">
        <v>24.76</v>
      </c>
      <c r="H690" s="17">
        <v>36</v>
      </c>
      <c r="I690" s="6">
        <f>Tabela1[[#This Row],[Valor total]]-Tabela1[[#This Row],[Valor custo]]</f>
        <v>11.239999999999998</v>
      </c>
      <c r="J690" s="7">
        <f>Tabela1[[#This Row],[MARGEM BRUTA]]/Tabela1[[#This Row],[Valor total]]</f>
        <v>0.31222222222222218</v>
      </c>
      <c r="K690" s="1" t="str">
        <f>VLOOKUP(Tabela1[[#This Row],[Cliente]],'BASE DE CLIENTES'!A:D,4,0)</f>
        <v>SERRALHEIRO</v>
      </c>
      <c r="L690" s="1" t="str">
        <f>VLOOKUP(Tabela1[[#This Row],[Cliente]],'BASE DE CLIENTES'!A:E,5,0)</f>
        <v>SAMAMBAIA NORTE (SAMAMBAIA)</v>
      </c>
    </row>
    <row r="691" spans="2:12" x14ac:dyDescent="0.3">
      <c r="B691" s="1" t="s">
        <v>152</v>
      </c>
      <c r="C691" s="4" t="str">
        <f>VLOOKUP(Tabela1[[#This Row],[Cliente]],'BASE DE CLIENTES'!A:E,2,0)</f>
        <v>Aparecida de Goiânia</v>
      </c>
      <c r="D691" s="1" t="str">
        <f>VLOOKUP(Tabela1[[#This Row],[Cliente]],'BASE DE CLIENTES'!A:C,3,0)</f>
        <v>GO</v>
      </c>
      <c r="E691" s="4" t="str">
        <f>CONCATENATE(Tabela1[[#This Row],[CIDADE]],",",Tabela1[[#This Row],[UF]])</f>
        <v>Aparecida de Goiânia,GO</v>
      </c>
      <c r="F691" s="2">
        <v>45694</v>
      </c>
      <c r="G691" s="17">
        <v>1062.9000000000001</v>
      </c>
      <c r="H691" s="17">
        <v>1260</v>
      </c>
      <c r="I691" s="6">
        <f>Tabela1[[#This Row],[Valor total]]-Tabela1[[#This Row],[Valor custo]]</f>
        <v>197.09999999999991</v>
      </c>
      <c r="J691" s="7">
        <f>Tabela1[[#This Row],[MARGEM BRUTA]]/Tabela1[[#This Row],[Valor total]]</f>
        <v>0.15642857142857136</v>
      </c>
      <c r="K691" s="1" t="str">
        <f>VLOOKUP(Tabela1[[#This Row],[Cliente]],'BASE DE CLIENTES'!A:D,4,0)</f>
        <v>TECNICO</v>
      </c>
      <c r="L691" s="1" t="str">
        <f>VLOOKUP(Tabela1[[#This Row],[Cliente]],'BASE DE CLIENTES'!A:E,5,0)</f>
        <v>Aparecida de Goiânia</v>
      </c>
    </row>
    <row r="692" spans="2:12" x14ac:dyDescent="0.3">
      <c r="B692" s="1" t="s">
        <v>36</v>
      </c>
      <c r="C692" s="4" t="str">
        <f>VLOOKUP(Tabela1[[#This Row],[Cliente]],'BASE DE CLIENTES'!A:E,2,0)</f>
        <v>Brasília</v>
      </c>
      <c r="D692" s="1" t="str">
        <f>VLOOKUP(Tabela1[[#This Row],[Cliente]],'BASE DE CLIENTES'!A:C,3,0)</f>
        <v>DF</v>
      </c>
      <c r="E692" s="4" t="str">
        <f>CONCATENATE(Tabela1[[#This Row],[CIDADE]],",",Tabela1[[#This Row],[UF]])</f>
        <v>Brasília,DF</v>
      </c>
      <c r="F692" s="2">
        <v>45729</v>
      </c>
      <c r="G692" s="17">
        <v>409.87</v>
      </c>
      <c r="H692" s="17">
        <v>0</v>
      </c>
      <c r="I692" s="6">
        <f>Tabela1[[#This Row],[Valor total]]-Tabela1[[#This Row],[Valor custo]]</f>
        <v>-409.87</v>
      </c>
      <c r="J692" s="7" t="e">
        <f>Tabela1[[#This Row],[MARGEM BRUTA]]/Tabela1[[#This Row],[Valor total]]</f>
        <v>#DIV/0!</v>
      </c>
      <c r="K692" s="1" t="str">
        <f>VLOOKUP(Tabela1[[#This Row],[Cliente]],'BASE DE CLIENTES'!A:D,4,0)</f>
        <v>SERRALHEIRO</v>
      </c>
      <c r="L692" s="1" t="str">
        <f>VLOOKUP(Tabela1[[#This Row],[Cliente]],'BASE DE CLIENTES'!A:E,5,0)</f>
        <v>CEILANDIA SUL (CEILANDIA)</v>
      </c>
    </row>
    <row r="693" spans="2:12" x14ac:dyDescent="0.3">
      <c r="B693" s="1" t="s">
        <v>152</v>
      </c>
      <c r="C693" s="4" t="str">
        <f>VLOOKUP(Tabela1[[#This Row],[Cliente]],'BASE DE CLIENTES'!A:E,2,0)</f>
        <v>Aparecida de Goiânia</v>
      </c>
      <c r="D693" s="1" t="str">
        <f>VLOOKUP(Tabela1[[#This Row],[Cliente]],'BASE DE CLIENTES'!A:C,3,0)</f>
        <v>GO</v>
      </c>
      <c r="E693" s="4" t="str">
        <f>CONCATENATE(Tabela1[[#This Row],[CIDADE]],",",Tabela1[[#This Row],[UF]])</f>
        <v>Aparecida de Goiânia,GO</v>
      </c>
      <c r="F693" s="2">
        <v>45691</v>
      </c>
      <c r="G693" s="17">
        <v>50</v>
      </c>
      <c r="H693" s="17">
        <v>60</v>
      </c>
      <c r="I693" s="6">
        <f>Tabela1[[#This Row],[Valor total]]-Tabela1[[#This Row],[Valor custo]]</f>
        <v>10</v>
      </c>
      <c r="J693" s="7">
        <f>Tabela1[[#This Row],[MARGEM BRUTA]]/Tabela1[[#This Row],[Valor total]]</f>
        <v>0.16666666666666666</v>
      </c>
      <c r="K693" s="1" t="str">
        <f>VLOOKUP(Tabela1[[#This Row],[Cliente]],'BASE DE CLIENTES'!A:D,4,0)</f>
        <v>TECNICO</v>
      </c>
      <c r="L693" s="1" t="str">
        <f>VLOOKUP(Tabela1[[#This Row],[Cliente]],'BASE DE CLIENTES'!A:E,5,0)</f>
        <v>Aparecida de Goiânia</v>
      </c>
    </row>
    <row r="694" spans="2:12" x14ac:dyDescent="0.3">
      <c r="B694" s="1" t="s">
        <v>152</v>
      </c>
      <c r="C694" s="4" t="str">
        <f>VLOOKUP(Tabela1[[#This Row],[Cliente]],'BASE DE CLIENTES'!A:E,2,0)</f>
        <v>Aparecida de Goiânia</v>
      </c>
      <c r="D694" s="1" t="str">
        <f>VLOOKUP(Tabela1[[#This Row],[Cliente]],'BASE DE CLIENTES'!A:C,3,0)</f>
        <v>GO</v>
      </c>
      <c r="E694" s="4" t="str">
        <f>CONCATENATE(Tabela1[[#This Row],[CIDADE]],",",Tabela1[[#This Row],[UF]])</f>
        <v>Aparecida de Goiânia,GO</v>
      </c>
      <c r="F694" s="2">
        <v>45747</v>
      </c>
      <c r="G694" s="17">
        <v>125</v>
      </c>
      <c r="H694" s="17">
        <v>150</v>
      </c>
      <c r="I694" s="6">
        <f>Tabela1[[#This Row],[Valor total]]-Tabela1[[#This Row],[Valor custo]]</f>
        <v>25</v>
      </c>
      <c r="J694" s="7">
        <f>Tabela1[[#This Row],[MARGEM BRUTA]]/Tabela1[[#This Row],[Valor total]]</f>
        <v>0.16666666666666666</v>
      </c>
      <c r="K694" s="1" t="str">
        <f>VLOOKUP(Tabela1[[#This Row],[Cliente]],'BASE DE CLIENTES'!A:D,4,0)</f>
        <v>TECNICO</v>
      </c>
      <c r="L694" s="1" t="str">
        <f>VLOOKUP(Tabela1[[#This Row],[Cliente]],'BASE DE CLIENTES'!A:E,5,0)</f>
        <v>Aparecida de Goiânia</v>
      </c>
    </row>
    <row r="695" spans="2:12" x14ac:dyDescent="0.3">
      <c r="B695" s="1" t="s">
        <v>152</v>
      </c>
      <c r="C695" s="4" t="str">
        <f>VLOOKUP(Tabela1[[#This Row],[Cliente]],'BASE DE CLIENTES'!A:E,2,0)</f>
        <v>Aparecida de Goiânia</v>
      </c>
      <c r="D695" s="1" t="str">
        <f>VLOOKUP(Tabela1[[#This Row],[Cliente]],'BASE DE CLIENTES'!A:C,3,0)</f>
        <v>GO</v>
      </c>
      <c r="E695" s="4" t="str">
        <f>CONCATENATE(Tabela1[[#This Row],[CIDADE]],",",Tabela1[[#This Row],[UF]])</f>
        <v>Aparecida de Goiânia,GO</v>
      </c>
      <c r="F695" s="2">
        <v>45773</v>
      </c>
      <c r="G695" s="17">
        <v>50</v>
      </c>
      <c r="H695" s="17">
        <v>60</v>
      </c>
      <c r="I695" s="6">
        <f>Tabela1[[#This Row],[Valor total]]-Tabela1[[#This Row],[Valor custo]]</f>
        <v>10</v>
      </c>
      <c r="J695" s="7">
        <f>Tabela1[[#This Row],[MARGEM BRUTA]]/Tabela1[[#This Row],[Valor total]]</f>
        <v>0.16666666666666666</v>
      </c>
      <c r="K695" s="1" t="str">
        <f>VLOOKUP(Tabela1[[#This Row],[Cliente]],'BASE DE CLIENTES'!A:D,4,0)</f>
        <v>TECNICO</v>
      </c>
      <c r="L695" s="1" t="str">
        <f>VLOOKUP(Tabela1[[#This Row],[Cliente]],'BASE DE CLIENTES'!A:E,5,0)</f>
        <v>Aparecida de Goiânia</v>
      </c>
    </row>
    <row r="696" spans="2:12" x14ac:dyDescent="0.3">
      <c r="B696" s="1" t="s">
        <v>27</v>
      </c>
      <c r="C696" s="4" t="str">
        <f>VLOOKUP(Tabela1[[#This Row],[Cliente]],'BASE DE CLIENTES'!A:E,2,0)</f>
        <v>Brasília</v>
      </c>
      <c r="D696" s="1" t="str">
        <f>VLOOKUP(Tabela1[[#This Row],[Cliente]],'BASE DE CLIENTES'!A:C,3,0)</f>
        <v>DF</v>
      </c>
      <c r="E696" s="4" t="str">
        <f>CONCATENATE(Tabela1[[#This Row],[CIDADE]],",",Tabela1[[#This Row],[UF]])</f>
        <v>Brasília,DF</v>
      </c>
      <c r="F696" s="2">
        <v>45729</v>
      </c>
      <c r="G696" s="17">
        <v>3086.7</v>
      </c>
      <c r="H696" s="17">
        <v>3600</v>
      </c>
      <c r="I696" s="6">
        <f>Tabela1[[#This Row],[Valor total]]-Tabela1[[#This Row],[Valor custo]]</f>
        <v>513.30000000000018</v>
      </c>
      <c r="J696" s="7">
        <f>Tabela1[[#This Row],[MARGEM BRUTA]]/Tabela1[[#This Row],[Valor total]]</f>
        <v>0.1425833333333334</v>
      </c>
      <c r="K696" s="1" t="str">
        <f>VLOOKUP(Tabela1[[#This Row],[Cliente]],'BASE DE CLIENTES'!A:D,4,0)</f>
        <v>EMPRESA SEM MAQUINA</v>
      </c>
      <c r="L696" s="1" t="str">
        <f>VLOOKUP(Tabela1[[#This Row],[Cliente]],'BASE DE CLIENTES'!A:E,5,0)</f>
        <v>RECANTO DAS EMAS</v>
      </c>
    </row>
    <row r="697" spans="2:12" x14ac:dyDescent="0.3">
      <c r="B697" s="1" t="s">
        <v>152</v>
      </c>
      <c r="C697" s="4" t="str">
        <f>VLOOKUP(Tabela1[[#This Row],[Cliente]],'BASE DE CLIENTES'!A:E,2,0)</f>
        <v>Aparecida de Goiânia</v>
      </c>
      <c r="D697" s="1" t="str">
        <f>VLOOKUP(Tabela1[[#This Row],[Cliente]],'BASE DE CLIENTES'!A:C,3,0)</f>
        <v>GO</v>
      </c>
      <c r="E697" s="4" t="str">
        <f>CONCATENATE(Tabela1[[#This Row],[CIDADE]],",",Tabela1[[#This Row],[UF]])</f>
        <v>Aparecida de Goiânia,GO</v>
      </c>
      <c r="F697" s="2">
        <v>45772</v>
      </c>
      <c r="G697" s="17">
        <v>25</v>
      </c>
      <c r="H697" s="17">
        <v>30</v>
      </c>
      <c r="I697" s="6">
        <f>Tabela1[[#This Row],[Valor total]]-Tabela1[[#This Row],[Valor custo]]</f>
        <v>5</v>
      </c>
      <c r="J697" s="7">
        <f>Tabela1[[#This Row],[MARGEM BRUTA]]/Tabela1[[#This Row],[Valor total]]</f>
        <v>0.16666666666666666</v>
      </c>
      <c r="K697" s="1" t="str">
        <f>VLOOKUP(Tabela1[[#This Row],[Cliente]],'BASE DE CLIENTES'!A:D,4,0)</f>
        <v>TECNICO</v>
      </c>
      <c r="L697" s="1" t="str">
        <f>VLOOKUP(Tabela1[[#This Row],[Cliente]],'BASE DE CLIENTES'!A:E,5,0)</f>
        <v>Aparecida de Goiânia</v>
      </c>
    </row>
    <row r="698" spans="2:12" x14ac:dyDescent="0.3">
      <c r="B698" s="1" t="s">
        <v>85</v>
      </c>
      <c r="C698" s="4" t="str">
        <f>VLOOKUP(Tabela1[[#This Row],[Cliente]],'BASE DE CLIENTES'!A:E,2,0)</f>
        <v>Brasília</v>
      </c>
      <c r="D698" s="1" t="str">
        <f>VLOOKUP(Tabela1[[#This Row],[Cliente]],'BASE DE CLIENTES'!A:C,3,0)</f>
        <v>DF</v>
      </c>
      <c r="E698" s="4" t="str">
        <f>CONCATENATE(Tabela1[[#This Row],[CIDADE]],",",Tabela1[[#This Row],[UF]])</f>
        <v>Brasília,DF</v>
      </c>
      <c r="F698" s="2">
        <v>45729</v>
      </c>
      <c r="G698" s="17">
        <v>439.2</v>
      </c>
      <c r="H698" s="17">
        <v>650</v>
      </c>
      <c r="I698" s="6">
        <f>Tabela1[[#This Row],[Valor total]]-Tabela1[[#This Row],[Valor custo]]</f>
        <v>210.8</v>
      </c>
      <c r="J698" s="7">
        <f>Tabela1[[#This Row],[MARGEM BRUTA]]/Tabela1[[#This Row],[Valor total]]</f>
        <v>0.32430769230769235</v>
      </c>
      <c r="K698" s="1" t="str">
        <f>VLOOKUP(Tabela1[[#This Row],[Cliente]],'BASE DE CLIENTES'!A:D,4,0)</f>
        <v>SERRALHEIRO</v>
      </c>
      <c r="L698" s="1" t="str">
        <f>VLOOKUP(Tabela1[[#This Row],[Cliente]],'BASE DE CLIENTES'!A:E,5,0)</f>
        <v>SAMAMBAIA NORTE (SAMAMBAIA)</v>
      </c>
    </row>
    <row r="699" spans="2:12" x14ac:dyDescent="0.3">
      <c r="B699" s="1" t="s">
        <v>99</v>
      </c>
      <c r="C699" s="4" t="str">
        <f>VLOOKUP(Tabela1[[#This Row],[Cliente]],'BASE DE CLIENTES'!A:E,2,0)</f>
        <v>Brasília</v>
      </c>
      <c r="D699" s="1" t="str">
        <f>VLOOKUP(Tabela1[[#This Row],[Cliente]],'BASE DE CLIENTES'!A:C,3,0)</f>
        <v>DF</v>
      </c>
      <c r="E699" s="4" t="str">
        <f>CONCATENATE(Tabela1[[#This Row],[CIDADE]],",",Tabela1[[#This Row],[UF]])</f>
        <v>Brasília,DF</v>
      </c>
      <c r="F699" s="2">
        <v>45729</v>
      </c>
      <c r="G699" s="17">
        <v>3470.25</v>
      </c>
      <c r="H699" s="17">
        <v>5270</v>
      </c>
      <c r="I699" s="6">
        <f>Tabela1[[#This Row],[Valor total]]-Tabela1[[#This Row],[Valor custo]]</f>
        <v>1799.75</v>
      </c>
      <c r="J699" s="7">
        <f>Tabela1[[#This Row],[MARGEM BRUTA]]/Tabela1[[#This Row],[Valor total]]</f>
        <v>0.34150853889943072</v>
      </c>
      <c r="K699" s="1" t="str">
        <f>VLOOKUP(Tabela1[[#This Row],[Cliente]],'BASE DE CLIENTES'!A:D,4,0)</f>
        <v>EMPRESA COM MAQUINA</v>
      </c>
      <c r="L699" s="1" t="str">
        <f>VLOOKUP(Tabela1[[#This Row],[Cliente]],'BASE DE CLIENTES'!A:E,5,0)</f>
        <v>ARAPOANGA (PLANALTINA)</v>
      </c>
    </row>
    <row r="700" spans="2:12" x14ac:dyDescent="0.3">
      <c r="B700" s="1" t="s">
        <v>152</v>
      </c>
      <c r="C700" s="4" t="str">
        <f>VLOOKUP(Tabela1[[#This Row],[Cliente]],'BASE DE CLIENTES'!A:E,2,0)</f>
        <v>Aparecida de Goiânia</v>
      </c>
      <c r="D700" s="1" t="str">
        <f>VLOOKUP(Tabela1[[#This Row],[Cliente]],'BASE DE CLIENTES'!A:C,3,0)</f>
        <v>GO</v>
      </c>
      <c r="E700" s="4" t="str">
        <f>CONCATENATE(Tabela1[[#This Row],[CIDADE]],",",Tabela1[[#This Row],[UF]])</f>
        <v>Aparecida de Goiânia,GO</v>
      </c>
      <c r="F700" s="2">
        <v>45764</v>
      </c>
      <c r="G700" s="17">
        <v>325</v>
      </c>
      <c r="H700" s="17">
        <v>390</v>
      </c>
      <c r="I700" s="6">
        <f>Tabela1[[#This Row],[Valor total]]-Tabela1[[#This Row],[Valor custo]]</f>
        <v>65</v>
      </c>
      <c r="J700" s="7">
        <f>Tabela1[[#This Row],[MARGEM BRUTA]]/Tabela1[[#This Row],[Valor total]]</f>
        <v>0.16666666666666666</v>
      </c>
      <c r="K700" s="1" t="str">
        <f>VLOOKUP(Tabela1[[#This Row],[Cliente]],'BASE DE CLIENTES'!A:D,4,0)</f>
        <v>TECNICO</v>
      </c>
      <c r="L700" s="1" t="str">
        <f>VLOOKUP(Tabela1[[#This Row],[Cliente]],'BASE DE CLIENTES'!A:E,5,0)</f>
        <v>Aparecida de Goiânia</v>
      </c>
    </row>
    <row r="701" spans="2:12" x14ac:dyDescent="0.3">
      <c r="B701" s="1" t="s">
        <v>153</v>
      </c>
      <c r="C701" s="4" t="str">
        <f>VLOOKUP(Tabela1[[#This Row],[Cliente]],'BASE DE CLIENTES'!A:E,2,0)</f>
        <v>Brasília</v>
      </c>
      <c r="D701" s="1" t="str">
        <f>VLOOKUP(Tabela1[[#This Row],[Cliente]],'BASE DE CLIENTES'!A:C,3,0)</f>
        <v>DF</v>
      </c>
      <c r="E701" s="4" t="str">
        <f>CONCATENATE(Tabela1[[#This Row],[CIDADE]],",",Tabela1[[#This Row],[UF]])</f>
        <v>Brasília,DF</v>
      </c>
      <c r="F701" s="2">
        <v>45729</v>
      </c>
      <c r="G701" s="17">
        <v>514.45000000000005</v>
      </c>
      <c r="H701" s="17">
        <v>700</v>
      </c>
      <c r="I701" s="6">
        <f>Tabela1[[#This Row],[Valor total]]-Tabela1[[#This Row],[Valor custo]]</f>
        <v>185.54999999999995</v>
      </c>
      <c r="J701" s="7">
        <f>Tabela1[[#This Row],[MARGEM BRUTA]]/Tabela1[[#This Row],[Valor total]]</f>
        <v>0.26507142857142851</v>
      </c>
      <c r="K701" s="1" t="str">
        <f>VLOOKUP(Tabela1[[#This Row],[Cliente]],'BASE DE CLIENTES'!A:D,4,0)</f>
        <v>SERRALHEIRO</v>
      </c>
      <c r="L701" s="1" t="str">
        <f>VLOOKUP(Tabela1[[#This Row],[Cliente]],'BASE DE CLIENTES'!A:E,5,0)</f>
        <v>PLANALTINA</v>
      </c>
    </row>
    <row r="702" spans="2:12" x14ac:dyDescent="0.3">
      <c r="B702" s="1" t="s">
        <v>68</v>
      </c>
      <c r="C702" s="4" t="str">
        <f>VLOOKUP(Tabela1[[#This Row],[Cliente]],'BASE DE CLIENTES'!A:E,2,0)</f>
        <v>Brasília</v>
      </c>
      <c r="D702" s="1" t="str">
        <f>VLOOKUP(Tabela1[[#This Row],[Cliente]],'BASE DE CLIENTES'!A:C,3,0)</f>
        <v>DF</v>
      </c>
      <c r="E702" s="4" t="str">
        <f>CONCATENATE(Tabela1[[#This Row],[CIDADE]],",",Tabela1[[#This Row],[UF]])</f>
        <v>Brasília,DF</v>
      </c>
      <c r="F702" s="2">
        <v>45729</v>
      </c>
      <c r="G702" s="17">
        <v>100</v>
      </c>
      <c r="H702" s="17">
        <v>131</v>
      </c>
      <c r="I702" s="6">
        <f>Tabela1[[#This Row],[Valor total]]-Tabela1[[#This Row],[Valor custo]]</f>
        <v>31</v>
      </c>
      <c r="J702" s="7">
        <f>Tabela1[[#This Row],[MARGEM BRUTA]]/Tabela1[[#This Row],[Valor total]]</f>
        <v>0.23664122137404581</v>
      </c>
      <c r="K702" s="1" t="str">
        <f>VLOOKUP(Tabela1[[#This Row],[Cliente]],'BASE DE CLIENTES'!A:D,4,0)</f>
        <v>EMPRESA COM MAQUINA</v>
      </c>
      <c r="L702" s="1" t="str">
        <f>VLOOKUP(Tabela1[[#This Row],[Cliente]],'BASE DE CLIENTES'!A:E,5,0)</f>
        <v>SAMAMBAIA SUL (SAMAMBAIA)</v>
      </c>
    </row>
    <row r="703" spans="2:12" x14ac:dyDescent="0.3">
      <c r="B703" s="1" t="s">
        <v>152</v>
      </c>
      <c r="C703" s="4" t="str">
        <f>VLOOKUP(Tabela1[[#This Row],[Cliente]],'BASE DE CLIENTES'!A:E,2,0)</f>
        <v>Aparecida de Goiânia</v>
      </c>
      <c r="D703" s="1" t="str">
        <f>VLOOKUP(Tabela1[[#This Row],[Cliente]],'BASE DE CLIENTES'!A:C,3,0)</f>
        <v>GO</v>
      </c>
      <c r="E703" s="4" t="str">
        <f>CONCATENATE(Tabela1[[#This Row],[CIDADE]],",",Tabela1[[#This Row],[UF]])</f>
        <v>Aparecida de Goiânia,GO</v>
      </c>
      <c r="F703" s="2">
        <v>45756</v>
      </c>
      <c r="G703" s="17">
        <v>125</v>
      </c>
      <c r="H703" s="17">
        <v>150</v>
      </c>
      <c r="I703" s="6">
        <f>Tabela1[[#This Row],[Valor total]]-Tabela1[[#This Row],[Valor custo]]</f>
        <v>25</v>
      </c>
      <c r="J703" s="7">
        <f>Tabela1[[#This Row],[MARGEM BRUTA]]/Tabela1[[#This Row],[Valor total]]</f>
        <v>0.16666666666666666</v>
      </c>
      <c r="K703" s="1" t="str">
        <f>VLOOKUP(Tabela1[[#This Row],[Cliente]],'BASE DE CLIENTES'!A:D,4,0)</f>
        <v>TECNICO</v>
      </c>
      <c r="L703" s="1" t="str">
        <f>VLOOKUP(Tabela1[[#This Row],[Cliente]],'BASE DE CLIENTES'!A:E,5,0)</f>
        <v>Aparecida de Goiânia</v>
      </c>
    </row>
    <row r="704" spans="2:12" x14ac:dyDescent="0.3">
      <c r="B704" s="1" t="s">
        <v>111</v>
      </c>
      <c r="C704" s="4" t="str">
        <f>VLOOKUP(Tabela1[[#This Row],[Cliente]],'BASE DE CLIENTES'!A:E,2,0)</f>
        <v>Brasília</v>
      </c>
      <c r="D704" s="1" t="str">
        <f>VLOOKUP(Tabela1[[#This Row],[Cliente]],'BASE DE CLIENTES'!A:C,3,0)</f>
        <v>DF</v>
      </c>
      <c r="E704" s="4" t="str">
        <f>CONCATENATE(Tabela1[[#This Row],[CIDADE]],",",Tabela1[[#This Row],[UF]])</f>
        <v>Brasília,DF</v>
      </c>
      <c r="F704" s="2">
        <v>45729</v>
      </c>
      <c r="G704" s="17">
        <v>6137.74</v>
      </c>
      <c r="H704" s="17">
        <v>9190</v>
      </c>
      <c r="I704" s="6">
        <f>Tabela1[[#This Row],[Valor total]]-Tabela1[[#This Row],[Valor custo]]</f>
        <v>3052.26</v>
      </c>
      <c r="J704" s="7">
        <f>Tabela1[[#This Row],[MARGEM BRUTA]]/Tabela1[[#This Row],[Valor total]]</f>
        <v>0.33212840043525571</v>
      </c>
      <c r="K704" s="1" t="str">
        <f>VLOOKUP(Tabela1[[#This Row],[Cliente]],'BASE DE CLIENTES'!A:D,4,0)</f>
        <v>EMPRESA SEM MAQUINA</v>
      </c>
      <c r="L704" s="1" t="str">
        <f>VLOOKUP(Tabela1[[#This Row],[Cliente]],'BASE DE CLIENTES'!A:E,5,0)</f>
        <v>TAGUATINGA SUL (TAGUATINGA)</v>
      </c>
    </row>
    <row r="705" spans="2:12" x14ac:dyDescent="0.3">
      <c r="B705" s="1" t="s">
        <v>107</v>
      </c>
      <c r="C705" s="4" t="str">
        <f>VLOOKUP(Tabela1[[#This Row],[Cliente]],'BASE DE CLIENTES'!A:E,2,0)</f>
        <v>Planaltina</v>
      </c>
      <c r="D705" s="1" t="str">
        <f>VLOOKUP(Tabela1[[#This Row],[Cliente]],'BASE DE CLIENTES'!A:C,3,0)</f>
        <v>DF</v>
      </c>
      <c r="E705" s="4" t="str">
        <f>CONCATENATE(Tabela1[[#This Row],[CIDADE]],",",Tabela1[[#This Row],[UF]])</f>
        <v>Planaltina,DF</v>
      </c>
      <c r="F705" s="2">
        <v>45729</v>
      </c>
      <c r="G705" s="17">
        <v>1062.9000000000001</v>
      </c>
      <c r="H705" s="17">
        <v>1590</v>
      </c>
      <c r="I705" s="6">
        <f>Tabela1[[#This Row],[Valor total]]-Tabela1[[#This Row],[Valor custo]]</f>
        <v>527.09999999999991</v>
      </c>
      <c r="J705" s="7">
        <f>Tabela1[[#This Row],[MARGEM BRUTA]]/Tabela1[[#This Row],[Valor total]]</f>
        <v>0.33150943396226407</v>
      </c>
      <c r="K705" s="1" t="str">
        <f>VLOOKUP(Tabela1[[#This Row],[Cliente]],'BASE DE CLIENTES'!A:D,4,0)</f>
        <v>EMPRESA COM MAQUINA</v>
      </c>
      <c r="L705" s="1" t="str">
        <f>VLOOKUP(Tabela1[[#This Row],[Cliente]],'BASE DE CLIENTES'!A:E,5,0)</f>
        <v>SETOR LESTE</v>
      </c>
    </row>
    <row r="706" spans="2:12" x14ac:dyDescent="0.3">
      <c r="B706" s="1" t="s">
        <v>44</v>
      </c>
      <c r="C706" s="4" t="str">
        <f>VLOOKUP(Tabela1[[#This Row],[Cliente]],'BASE DE CLIENTES'!A:E,2,0)</f>
        <v>Brasília</v>
      </c>
      <c r="D706" s="1" t="str">
        <f>VLOOKUP(Tabela1[[#This Row],[Cliente]],'BASE DE CLIENTES'!A:C,3,0)</f>
        <v>DF</v>
      </c>
      <c r="E706" s="4" t="str">
        <f>CONCATENATE(Tabela1[[#This Row],[CIDADE]],",",Tabela1[[#This Row],[UF]])</f>
        <v>Brasília,DF</v>
      </c>
      <c r="F706" s="2">
        <v>45729</v>
      </c>
      <c r="G706" s="17">
        <v>122.74</v>
      </c>
      <c r="H706" s="17">
        <v>197</v>
      </c>
      <c r="I706" s="6">
        <f>Tabela1[[#This Row],[Valor total]]-Tabela1[[#This Row],[Valor custo]]</f>
        <v>74.260000000000005</v>
      </c>
      <c r="J706" s="7">
        <f>Tabela1[[#This Row],[MARGEM BRUTA]]/Tabela1[[#This Row],[Valor total]]</f>
        <v>0.3769543147208122</v>
      </c>
      <c r="K706" s="1" t="str">
        <f>VLOOKUP(Tabela1[[#This Row],[Cliente]],'BASE DE CLIENTES'!A:D,4,0)</f>
        <v>EMPRESA SEM MAQUINA</v>
      </c>
      <c r="L706" s="1" t="str">
        <f>VLOOKUP(Tabela1[[#This Row],[Cliente]],'BASE DE CLIENTES'!A:E,5,0)</f>
        <v>SETOR HABITACIONAL VICENTE PIRES</v>
      </c>
    </row>
    <row r="707" spans="2:12" x14ac:dyDescent="0.3">
      <c r="B707" s="1" t="s">
        <v>70</v>
      </c>
      <c r="C707" s="4" t="str">
        <f>VLOOKUP(Tabela1[[#This Row],[Cliente]],'BASE DE CLIENTES'!A:E,2,0)</f>
        <v>Brasília</v>
      </c>
      <c r="D707" s="1" t="str">
        <f>VLOOKUP(Tabela1[[#This Row],[Cliente]],'BASE DE CLIENTES'!A:C,3,0)</f>
        <v>DF</v>
      </c>
      <c r="E707" s="4" t="str">
        <f>CONCATENATE(Tabela1[[#This Row],[CIDADE]],",",Tabela1[[#This Row],[UF]])</f>
        <v>Brasília,DF</v>
      </c>
      <c r="F707" s="2">
        <v>45729</v>
      </c>
      <c r="G707" s="17">
        <v>952.68</v>
      </c>
      <c r="H707" s="17">
        <v>1290</v>
      </c>
      <c r="I707" s="6">
        <f>Tabela1[[#This Row],[Valor total]]-Tabela1[[#This Row],[Valor custo]]</f>
        <v>337.32000000000005</v>
      </c>
      <c r="J707" s="7">
        <f>Tabela1[[#This Row],[MARGEM BRUTA]]/Tabela1[[#This Row],[Valor total]]</f>
        <v>0.26148837209302328</v>
      </c>
      <c r="K707" s="1" t="str">
        <f>VLOOKUP(Tabela1[[#This Row],[Cliente]],'BASE DE CLIENTES'!A:D,4,0)</f>
        <v>EMPRESA COM MAQUINA</v>
      </c>
      <c r="L707" s="1" t="str">
        <f>VLOOKUP(Tabela1[[#This Row],[Cliente]],'BASE DE CLIENTES'!A:E,5,0)</f>
        <v>TAGUATINGA NORTE (TAGUATINGA)</v>
      </c>
    </row>
    <row r="708" spans="2:12" x14ac:dyDescent="0.3">
      <c r="B708" s="1" t="s">
        <v>152</v>
      </c>
      <c r="C708" s="4" t="str">
        <f>VLOOKUP(Tabela1[[#This Row],[Cliente]],'BASE DE CLIENTES'!A:E,2,0)</f>
        <v>Aparecida de Goiânia</v>
      </c>
      <c r="D708" s="1" t="str">
        <f>VLOOKUP(Tabela1[[#This Row],[Cliente]],'BASE DE CLIENTES'!A:C,3,0)</f>
        <v>GO</v>
      </c>
      <c r="E708" s="4" t="str">
        <f>CONCATENATE(Tabela1[[#This Row],[CIDADE]],",",Tabela1[[#This Row],[UF]])</f>
        <v>Aparecida de Goiânia,GO</v>
      </c>
      <c r="F708" s="2">
        <v>45751</v>
      </c>
      <c r="G708" s="17">
        <v>250</v>
      </c>
      <c r="H708" s="17">
        <v>300</v>
      </c>
      <c r="I708" s="6">
        <f>Tabela1[[#This Row],[Valor total]]-Tabela1[[#This Row],[Valor custo]]</f>
        <v>50</v>
      </c>
      <c r="J708" s="7">
        <f>Tabela1[[#This Row],[MARGEM BRUTA]]/Tabela1[[#This Row],[Valor total]]</f>
        <v>0.16666666666666666</v>
      </c>
      <c r="K708" s="1" t="str">
        <f>VLOOKUP(Tabela1[[#This Row],[Cliente]],'BASE DE CLIENTES'!A:D,4,0)</f>
        <v>TECNICO</v>
      </c>
      <c r="L708" s="1" t="str">
        <f>VLOOKUP(Tabela1[[#This Row],[Cliente]],'BASE DE CLIENTES'!A:E,5,0)</f>
        <v>Aparecida de Goiânia</v>
      </c>
    </row>
    <row r="709" spans="2:12" x14ac:dyDescent="0.3">
      <c r="B709" s="1" t="s">
        <v>154</v>
      </c>
      <c r="C709" s="4" t="str">
        <f>VLOOKUP(Tabela1[[#This Row],[Cliente]],'BASE DE CLIENTES'!A:E,2,0)</f>
        <v>Aparecida de Goiânia</v>
      </c>
      <c r="D709" s="1" t="str">
        <f>VLOOKUP(Tabela1[[#This Row],[Cliente]],'BASE DE CLIENTES'!A:C,3,0)</f>
        <v>GO</v>
      </c>
      <c r="E709" s="4" t="str">
        <f>CONCATENATE(Tabela1[[#This Row],[CIDADE]],",",Tabela1[[#This Row],[UF]])</f>
        <v>Aparecida de Goiânia,GO</v>
      </c>
      <c r="F709" s="2">
        <v>45789</v>
      </c>
      <c r="G709" s="17">
        <v>75</v>
      </c>
      <c r="H709" s="17">
        <v>90</v>
      </c>
      <c r="I709" s="6">
        <f>Tabela1[[#This Row],[Valor total]]-Tabela1[[#This Row],[Valor custo]]</f>
        <v>15</v>
      </c>
      <c r="J709" s="7">
        <f>Tabela1[[#This Row],[MARGEM BRUTA]]/Tabela1[[#This Row],[Valor total]]</f>
        <v>0.16666666666666666</v>
      </c>
      <c r="K709" s="1" t="str">
        <f>VLOOKUP(Tabela1[[#This Row],[Cliente]],'BASE DE CLIENTES'!A:D,4,0)</f>
        <v>TECNICO</v>
      </c>
      <c r="L709" s="1" t="str">
        <f>VLOOKUP(Tabela1[[#This Row],[Cliente]],'BASE DE CLIENTES'!A:E,5,0)</f>
        <v>Aparecida de Goiânia</v>
      </c>
    </row>
    <row r="710" spans="2:12" x14ac:dyDescent="0.3">
      <c r="B710" s="1" t="s">
        <v>42</v>
      </c>
      <c r="C710" s="4" t="str">
        <f>VLOOKUP(Tabela1[[#This Row],[Cliente]],'BASE DE CLIENTES'!A:E,2,0)</f>
        <v>Brasília</v>
      </c>
      <c r="D710" s="1" t="str">
        <f>VLOOKUP(Tabela1[[#This Row],[Cliente]],'BASE DE CLIENTES'!A:C,3,0)</f>
        <v>DF</v>
      </c>
      <c r="E710" s="4" t="str">
        <f>CONCATENATE(Tabela1[[#This Row],[CIDADE]],",",Tabela1[[#This Row],[UF]])</f>
        <v>Brasília,DF</v>
      </c>
      <c r="F710" s="2">
        <v>45728</v>
      </c>
      <c r="G710" s="17">
        <v>548.47</v>
      </c>
      <c r="H710" s="17">
        <v>810</v>
      </c>
      <c r="I710" s="6">
        <f>Tabela1[[#This Row],[Valor total]]-Tabela1[[#This Row],[Valor custo]]</f>
        <v>261.52999999999997</v>
      </c>
      <c r="J710" s="7">
        <f>Tabela1[[#This Row],[MARGEM BRUTA]]/Tabela1[[#This Row],[Valor total]]</f>
        <v>0.32287654320987652</v>
      </c>
      <c r="K710" s="1" t="str">
        <f>VLOOKUP(Tabela1[[#This Row],[Cliente]],'BASE DE CLIENTES'!A:D,4,0)</f>
        <v>EMPRESA SEM MAQUINA</v>
      </c>
      <c r="L710" s="1" t="str">
        <f>VLOOKUP(Tabela1[[#This Row],[Cliente]],'BASE DE CLIENTES'!A:E,5,0)</f>
        <v>SAMAMBAIA</v>
      </c>
    </row>
    <row r="711" spans="2:12" x14ac:dyDescent="0.3">
      <c r="B711" s="1" t="s">
        <v>154</v>
      </c>
      <c r="C711" s="4" t="str">
        <f>VLOOKUP(Tabela1[[#This Row],[Cliente]],'BASE DE CLIENTES'!A:E,2,0)</f>
        <v>Aparecida de Goiânia</v>
      </c>
      <c r="D711" s="1" t="str">
        <f>VLOOKUP(Tabela1[[#This Row],[Cliente]],'BASE DE CLIENTES'!A:C,3,0)</f>
        <v>GO</v>
      </c>
      <c r="E711" s="4" t="str">
        <f>CONCATENATE(Tabela1[[#This Row],[CIDADE]],",",Tabela1[[#This Row],[UF]])</f>
        <v>Aparecida de Goiânia,GO</v>
      </c>
      <c r="F711" s="2">
        <v>45783</v>
      </c>
      <c r="G711" s="17">
        <v>250</v>
      </c>
      <c r="H711" s="17">
        <v>300</v>
      </c>
      <c r="I711" s="6">
        <f>Tabela1[[#This Row],[Valor total]]-Tabela1[[#This Row],[Valor custo]]</f>
        <v>50</v>
      </c>
      <c r="J711" s="7">
        <f>Tabela1[[#This Row],[MARGEM BRUTA]]/Tabela1[[#This Row],[Valor total]]</f>
        <v>0.16666666666666666</v>
      </c>
      <c r="K711" s="1" t="str">
        <f>VLOOKUP(Tabela1[[#This Row],[Cliente]],'BASE DE CLIENTES'!A:D,4,0)</f>
        <v>TECNICO</v>
      </c>
      <c r="L711" s="1" t="str">
        <f>VLOOKUP(Tabela1[[#This Row],[Cliente]],'BASE DE CLIENTES'!A:E,5,0)</f>
        <v>Aparecida de Goiânia</v>
      </c>
    </row>
    <row r="712" spans="2:12" x14ac:dyDescent="0.3">
      <c r="B712" s="1" t="s">
        <v>27</v>
      </c>
      <c r="C712" s="4" t="str">
        <f>VLOOKUP(Tabela1[[#This Row],[Cliente]],'BASE DE CLIENTES'!A:E,2,0)</f>
        <v>Brasília</v>
      </c>
      <c r="D712" s="1" t="str">
        <f>VLOOKUP(Tabela1[[#This Row],[Cliente]],'BASE DE CLIENTES'!A:C,3,0)</f>
        <v>DF</v>
      </c>
      <c r="E712" s="4" t="str">
        <f>CONCATENATE(Tabela1[[#This Row],[CIDADE]],",",Tabela1[[#This Row],[UF]])</f>
        <v>Brasília,DF</v>
      </c>
      <c r="F712" s="2">
        <v>45728</v>
      </c>
      <c r="G712" s="17">
        <v>439.2</v>
      </c>
      <c r="H712" s="17">
        <v>620</v>
      </c>
      <c r="I712" s="6">
        <f>Tabela1[[#This Row],[Valor total]]-Tabela1[[#This Row],[Valor custo]]</f>
        <v>180.8</v>
      </c>
      <c r="J712" s="7">
        <f>Tabela1[[#This Row],[MARGEM BRUTA]]/Tabela1[[#This Row],[Valor total]]</f>
        <v>0.29161290322580646</v>
      </c>
      <c r="K712" s="1" t="str">
        <f>VLOOKUP(Tabela1[[#This Row],[Cliente]],'BASE DE CLIENTES'!A:D,4,0)</f>
        <v>EMPRESA SEM MAQUINA</v>
      </c>
      <c r="L712" s="1" t="str">
        <f>VLOOKUP(Tabela1[[#This Row],[Cliente]],'BASE DE CLIENTES'!A:E,5,0)</f>
        <v>RECANTO DAS EMAS</v>
      </c>
    </row>
    <row r="713" spans="2:12" x14ac:dyDescent="0.3">
      <c r="B713" s="1" t="s">
        <v>76</v>
      </c>
      <c r="C713" s="4" t="str">
        <f>VLOOKUP(Tabela1[[#This Row],[Cliente]],'BASE DE CLIENTES'!A:E,2,0)</f>
        <v>Brasília</v>
      </c>
      <c r="D713" s="1" t="str">
        <f>VLOOKUP(Tabela1[[#This Row],[Cliente]],'BASE DE CLIENTES'!A:C,3,0)</f>
        <v>DF</v>
      </c>
      <c r="E713" s="4" t="str">
        <f>CONCATENATE(Tabela1[[#This Row],[CIDADE]],",",Tabela1[[#This Row],[UF]])</f>
        <v>Brasília,DF</v>
      </c>
      <c r="F713" s="2">
        <v>45728</v>
      </c>
      <c r="G713" s="17">
        <v>30</v>
      </c>
      <c r="H713" s="17">
        <v>400</v>
      </c>
      <c r="I713" s="6">
        <f>Tabela1[[#This Row],[Valor total]]-Tabela1[[#This Row],[Valor custo]]</f>
        <v>370</v>
      </c>
      <c r="J713" s="7">
        <f>Tabela1[[#This Row],[MARGEM BRUTA]]/Tabela1[[#This Row],[Valor total]]</f>
        <v>0.92500000000000004</v>
      </c>
      <c r="K713" s="1" t="str">
        <f>VLOOKUP(Tabela1[[#This Row],[Cliente]],'BASE DE CLIENTES'!A:D,4,0)</f>
        <v>EMPRESA COM MAQUINA</v>
      </c>
      <c r="L713" s="1" t="str">
        <f>VLOOKUP(Tabela1[[#This Row],[Cliente]],'BASE DE CLIENTES'!A:E,5,0)</f>
        <v>Setor Placa da Mercedes (Núcleo Bandeirante)</v>
      </c>
    </row>
    <row r="714" spans="2:12" x14ac:dyDescent="0.3">
      <c r="B714" s="1" t="s">
        <v>155</v>
      </c>
      <c r="C714" s="4" t="str">
        <f>VLOOKUP(Tabela1[[#This Row],[Cliente]],'BASE DE CLIENTES'!A:E,2,0)</f>
        <v>Brasília</v>
      </c>
      <c r="D714" s="1" t="str">
        <f>VLOOKUP(Tabela1[[#This Row],[Cliente]],'BASE DE CLIENTES'!A:C,3,0)</f>
        <v>DF</v>
      </c>
      <c r="E714" s="4" t="str">
        <f>CONCATENATE(Tabela1[[#This Row],[CIDADE]],",",Tabela1[[#This Row],[UF]])</f>
        <v>Brasília,DF</v>
      </c>
      <c r="F714" s="2">
        <v>45835</v>
      </c>
      <c r="G714" s="17">
        <v>293.13</v>
      </c>
      <c r="H714" s="17">
        <v>687</v>
      </c>
      <c r="I714" s="6">
        <f>Tabela1[[#This Row],[Valor total]]-Tabela1[[#This Row],[Valor custo]]</f>
        <v>393.87</v>
      </c>
      <c r="J714" s="7">
        <f>Tabela1[[#This Row],[MARGEM BRUTA]]/Tabela1[[#This Row],[Valor total]]</f>
        <v>0.57331877729257641</v>
      </c>
      <c r="K714" s="1" t="str">
        <f>VLOOKUP(Tabela1[[#This Row],[Cliente]],'BASE DE CLIENTES'!A:D,4,0)</f>
        <v>SEM CLASSIFICAÇÃO</v>
      </c>
      <c r="L714" s="1" t="str">
        <f>VLOOKUP(Tabela1[[#This Row],[Cliente]],'BASE DE CLIENTES'!A:E,5,0)</f>
        <v>ÁGUAS CLARAS</v>
      </c>
    </row>
    <row r="715" spans="2:12" x14ac:dyDescent="0.3">
      <c r="B715" s="1" t="s">
        <v>55</v>
      </c>
      <c r="C715" s="4" t="str">
        <f>VLOOKUP(Tabela1[[#This Row],[Cliente]],'BASE DE CLIENTES'!A:E,2,0)</f>
        <v>Brasília</v>
      </c>
      <c r="D715" s="1" t="str">
        <f>VLOOKUP(Tabela1[[#This Row],[Cliente]],'BASE DE CLIENTES'!A:C,3,0)</f>
        <v>DF</v>
      </c>
      <c r="E715" s="4" t="str">
        <f>CONCATENATE(Tabela1[[#This Row],[CIDADE]],",",Tabela1[[#This Row],[UF]])</f>
        <v>Brasília,DF</v>
      </c>
      <c r="F715" s="2">
        <v>45728</v>
      </c>
      <c r="G715" s="17">
        <v>593.83000000000004</v>
      </c>
      <c r="H715" s="17">
        <v>959</v>
      </c>
      <c r="I715" s="6">
        <f>Tabela1[[#This Row],[Valor total]]-Tabela1[[#This Row],[Valor custo]]</f>
        <v>365.16999999999996</v>
      </c>
      <c r="J715" s="7">
        <f>Tabela1[[#This Row],[MARGEM BRUTA]]/Tabela1[[#This Row],[Valor total]]</f>
        <v>0.38078206465067777</v>
      </c>
      <c r="K715" s="1" t="str">
        <f>VLOOKUP(Tabela1[[#This Row],[Cliente]],'BASE DE CLIENTES'!A:D,4,0)</f>
        <v>EMPRESA SEM MAQUINA</v>
      </c>
      <c r="L715" s="1" t="str">
        <f>VLOOKUP(Tabela1[[#This Row],[Cliente]],'BASE DE CLIENTES'!A:E,5,0)</f>
        <v>RECANTO DAS EMAS</v>
      </c>
    </row>
    <row r="716" spans="2:12" x14ac:dyDescent="0.3">
      <c r="B716" s="1" t="s">
        <v>152</v>
      </c>
      <c r="C716" s="4" t="str">
        <f>VLOOKUP(Tabela1[[#This Row],[Cliente]],'BASE DE CLIENTES'!A:E,2,0)</f>
        <v>Aparecida de Goiânia</v>
      </c>
      <c r="D716" s="1" t="str">
        <f>VLOOKUP(Tabela1[[#This Row],[Cliente]],'BASE DE CLIENTES'!A:C,3,0)</f>
        <v>GO</v>
      </c>
      <c r="E716" s="4" t="str">
        <f>CONCATENATE(Tabela1[[#This Row],[CIDADE]],",",Tabela1[[#This Row],[UF]])</f>
        <v>Aparecida de Goiânia,GO</v>
      </c>
      <c r="F716" s="2">
        <v>45861</v>
      </c>
      <c r="G716" s="17">
        <v>250</v>
      </c>
      <c r="H716" s="17">
        <v>300</v>
      </c>
      <c r="I716" s="6">
        <f>Tabela1[[#This Row],[Valor total]]-Tabela1[[#This Row],[Valor custo]]</f>
        <v>50</v>
      </c>
      <c r="J716" s="7">
        <f>Tabela1[[#This Row],[MARGEM BRUTA]]/Tabela1[[#This Row],[Valor total]]</f>
        <v>0.16666666666666666</v>
      </c>
      <c r="K716" s="1" t="str">
        <f>VLOOKUP(Tabela1[[#This Row],[Cliente]],'BASE DE CLIENTES'!A:D,4,0)</f>
        <v>TECNICO</v>
      </c>
      <c r="L716" s="1" t="str">
        <f>VLOOKUP(Tabela1[[#This Row],[Cliente]],'BASE DE CLIENTES'!A:E,5,0)</f>
        <v>Aparecida de Goiânia</v>
      </c>
    </row>
    <row r="717" spans="2:12" x14ac:dyDescent="0.3">
      <c r="B717" s="1" t="s">
        <v>152</v>
      </c>
      <c r="C717" s="4" t="str">
        <f>VLOOKUP(Tabela1[[#This Row],[Cliente]],'BASE DE CLIENTES'!A:E,2,0)</f>
        <v>Aparecida de Goiânia</v>
      </c>
      <c r="D717" s="1" t="str">
        <f>VLOOKUP(Tabela1[[#This Row],[Cliente]],'BASE DE CLIENTES'!A:C,3,0)</f>
        <v>GO</v>
      </c>
      <c r="E717" s="4" t="str">
        <f>CONCATENATE(Tabela1[[#This Row],[CIDADE]],",",Tabela1[[#This Row],[UF]])</f>
        <v>Aparecida de Goiânia,GO</v>
      </c>
      <c r="F717" s="2">
        <v>45854</v>
      </c>
      <c r="G717" s="17">
        <v>350</v>
      </c>
      <c r="H717" s="17">
        <v>420</v>
      </c>
      <c r="I717" s="6">
        <f>Tabela1[[#This Row],[Valor total]]-Tabela1[[#This Row],[Valor custo]]</f>
        <v>70</v>
      </c>
      <c r="J717" s="7">
        <f>Tabela1[[#This Row],[MARGEM BRUTA]]/Tabela1[[#This Row],[Valor total]]</f>
        <v>0.16666666666666666</v>
      </c>
      <c r="K717" s="1" t="str">
        <f>VLOOKUP(Tabela1[[#This Row],[Cliente]],'BASE DE CLIENTES'!A:D,4,0)</f>
        <v>TECNICO</v>
      </c>
      <c r="L717" s="1" t="str">
        <f>VLOOKUP(Tabela1[[#This Row],[Cliente]],'BASE DE CLIENTES'!A:E,5,0)</f>
        <v>Aparecida de Goiânia</v>
      </c>
    </row>
    <row r="718" spans="2:12" x14ac:dyDescent="0.3">
      <c r="B718" s="1" t="s">
        <v>27</v>
      </c>
      <c r="C718" s="4" t="str">
        <f>VLOOKUP(Tabela1[[#This Row],[Cliente]],'BASE DE CLIENTES'!A:E,2,0)</f>
        <v>Brasília</v>
      </c>
      <c r="D718" s="1" t="str">
        <f>VLOOKUP(Tabela1[[#This Row],[Cliente]],'BASE DE CLIENTES'!A:C,3,0)</f>
        <v>DF</v>
      </c>
      <c r="E718" s="4" t="str">
        <f>CONCATENATE(Tabela1[[#This Row],[CIDADE]],",",Tabela1[[#This Row],[UF]])</f>
        <v>Brasília,DF</v>
      </c>
      <c r="F718" s="2">
        <v>45728</v>
      </c>
      <c r="G718" s="17">
        <v>100</v>
      </c>
      <c r="H718" s="17">
        <v>700</v>
      </c>
      <c r="I718" s="6">
        <f>Tabela1[[#This Row],[Valor total]]-Tabela1[[#This Row],[Valor custo]]</f>
        <v>600</v>
      </c>
      <c r="J718" s="7">
        <f>Tabela1[[#This Row],[MARGEM BRUTA]]/Tabela1[[#This Row],[Valor total]]</f>
        <v>0.8571428571428571</v>
      </c>
      <c r="K718" s="1" t="str">
        <f>VLOOKUP(Tabela1[[#This Row],[Cliente]],'BASE DE CLIENTES'!A:D,4,0)</f>
        <v>EMPRESA SEM MAQUINA</v>
      </c>
      <c r="L718" s="1" t="str">
        <f>VLOOKUP(Tabela1[[#This Row],[Cliente]],'BASE DE CLIENTES'!A:E,5,0)</f>
        <v>RECANTO DAS EMAS</v>
      </c>
    </row>
    <row r="719" spans="2:12" x14ac:dyDescent="0.3">
      <c r="B719" s="1" t="s">
        <v>96</v>
      </c>
      <c r="C719" s="4" t="str">
        <f>VLOOKUP(Tabela1[[#This Row],[Cliente]],'BASE DE CLIENTES'!A:E,2,0)</f>
        <v>Brasília</v>
      </c>
      <c r="D719" s="1" t="str">
        <f>VLOOKUP(Tabela1[[#This Row],[Cliente]],'BASE DE CLIENTES'!A:C,3,0)</f>
        <v>DF</v>
      </c>
      <c r="E719" s="4" t="str">
        <f>CONCATENATE(Tabela1[[#This Row],[CIDADE]],",",Tabela1[[#This Row],[UF]])</f>
        <v>Brasília,DF</v>
      </c>
      <c r="F719" s="2">
        <v>45728</v>
      </c>
      <c r="G719" s="17">
        <v>55.45</v>
      </c>
      <c r="H719" s="17">
        <v>261</v>
      </c>
      <c r="I719" s="6">
        <f>Tabela1[[#This Row],[Valor total]]-Tabela1[[#This Row],[Valor custo]]</f>
        <v>205.55</v>
      </c>
      <c r="J719" s="7">
        <f>Tabela1[[#This Row],[MARGEM BRUTA]]/Tabela1[[#This Row],[Valor total]]</f>
        <v>0.78754789272030656</v>
      </c>
      <c r="K719" s="1" t="str">
        <f>VLOOKUP(Tabela1[[#This Row],[Cliente]],'BASE DE CLIENTES'!A:D,4,0)</f>
        <v>EMPRESA SEM MAQUINA</v>
      </c>
      <c r="L719" s="1" t="str">
        <f>VLOOKUP(Tabela1[[#This Row],[Cliente]],'BASE DE CLIENTES'!A:E,5,0)</f>
        <v>CEILANDIA NORTE (CEILANDIA)</v>
      </c>
    </row>
    <row r="720" spans="2:12" x14ac:dyDescent="0.3">
      <c r="B720" s="1" t="s">
        <v>156</v>
      </c>
      <c r="C720" s="4" t="str">
        <f>VLOOKUP(Tabela1[[#This Row],[Cliente]],'BASE DE CLIENTES'!A:E,2,0)</f>
        <v>Brasília</v>
      </c>
      <c r="D720" s="1" t="str">
        <f>VLOOKUP(Tabela1[[#This Row],[Cliente]],'BASE DE CLIENTES'!A:C,3,0)</f>
        <v>DF</v>
      </c>
      <c r="E720" s="4" t="str">
        <f>CONCATENATE(Tabela1[[#This Row],[CIDADE]],",",Tabela1[[#This Row],[UF]])</f>
        <v>Brasília,DF</v>
      </c>
      <c r="F720" s="2">
        <v>45728</v>
      </c>
      <c r="G720" s="17">
        <v>531.45000000000005</v>
      </c>
      <c r="H720" s="17">
        <v>850</v>
      </c>
      <c r="I720" s="6">
        <f>Tabela1[[#This Row],[Valor total]]-Tabela1[[#This Row],[Valor custo]]</f>
        <v>318.54999999999995</v>
      </c>
      <c r="J720" s="7">
        <f>Tabela1[[#This Row],[MARGEM BRUTA]]/Tabela1[[#This Row],[Valor total]]</f>
        <v>0.37476470588235289</v>
      </c>
      <c r="K720" s="1" t="str">
        <f>VLOOKUP(Tabela1[[#This Row],[Cliente]],'BASE DE CLIENTES'!A:D,4,0)</f>
        <v>SERRALHEIRO</v>
      </c>
      <c r="L720" s="1" t="str">
        <f>VLOOKUP(Tabela1[[#This Row],[Cliente]],'BASE DE CLIENTES'!A:E,5,0)</f>
        <v>RIACHO FUNDO II</v>
      </c>
    </row>
    <row r="721" spans="2:12" x14ac:dyDescent="0.3">
      <c r="B721" s="1" t="s">
        <v>152</v>
      </c>
      <c r="C721" s="4" t="str">
        <f>VLOOKUP(Tabela1[[#This Row],[Cliente]],'BASE DE CLIENTES'!A:E,2,0)</f>
        <v>Aparecida de Goiânia</v>
      </c>
      <c r="D721" s="1" t="str">
        <f>VLOOKUP(Tabela1[[#This Row],[Cliente]],'BASE DE CLIENTES'!A:C,3,0)</f>
        <v>GO</v>
      </c>
      <c r="E721" s="4" t="str">
        <f>CONCATENATE(Tabela1[[#This Row],[CIDADE]],",",Tabela1[[#This Row],[UF]])</f>
        <v>Aparecida de Goiânia,GO</v>
      </c>
      <c r="F721" s="2">
        <v>45849</v>
      </c>
      <c r="G721" s="17">
        <v>250</v>
      </c>
      <c r="H721" s="17">
        <v>300</v>
      </c>
      <c r="I721" s="6">
        <f>Tabela1[[#This Row],[Valor total]]-Tabela1[[#This Row],[Valor custo]]</f>
        <v>50</v>
      </c>
      <c r="J721" s="7">
        <f>Tabela1[[#This Row],[MARGEM BRUTA]]/Tabela1[[#This Row],[Valor total]]</f>
        <v>0.16666666666666666</v>
      </c>
      <c r="K721" s="1" t="str">
        <f>VLOOKUP(Tabela1[[#This Row],[Cliente]],'BASE DE CLIENTES'!A:D,4,0)</f>
        <v>TECNICO</v>
      </c>
      <c r="L721" s="1" t="str">
        <f>VLOOKUP(Tabela1[[#This Row],[Cliente]],'BASE DE CLIENTES'!A:E,5,0)</f>
        <v>Aparecida de Goiânia</v>
      </c>
    </row>
    <row r="722" spans="2:12" x14ac:dyDescent="0.3">
      <c r="B722" s="1" t="s">
        <v>152</v>
      </c>
      <c r="C722" s="4" t="str">
        <f>VLOOKUP(Tabela1[[#This Row],[Cliente]],'BASE DE CLIENTES'!A:E,2,0)</f>
        <v>Aparecida de Goiânia</v>
      </c>
      <c r="D722" s="1" t="str">
        <f>VLOOKUP(Tabela1[[#This Row],[Cliente]],'BASE DE CLIENTES'!A:C,3,0)</f>
        <v>GO</v>
      </c>
      <c r="E722" s="4" t="str">
        <f>CONCATENATE(Tabela1[[#This Row],[CIDADE]],",",Tabela1[[#This Row],[UF]])</f>
        <v>Aparecida de Goiânia,GO</v>
      </c>
      <c r="F722" s="2">
        <v>45881</v>
      </c>
      <c r="G722" s="17">
        <v>250</v>
      </c>
      <c r="H722" s="17">
        <v>300</v>
      </c>
      <c r="I722" s="6">
        <f>Tabela1[[#This Row],[Valor total]]-Tabela1[[#This Row],[Valor custo]]</f>
        <v>50</v>
      </c>
      <c r="J722" s="7">
        <f>Tabela1[[#This Row],[MARGEM BRUTA]]/Tabela1[[#This Row],[Valor total]]</f>
        <v>0.16666666666666666</v>
      </c>
      <c r="K722" s="1" t="str">
        <f>VLOOKUP(Tabela1[[#This Row],[Cliente]],'BASE DE CLIENTES'!A:D,4,0)</f>
        <v>TECNICO</v>
      </c>
      <c r="L722" s="1" t="str">
        <f>VLOOKUP(Tabela1[[#This Row],[Cliente]],'BASE DE CLIENTES'!A:E,5,0)</f>
        <v>Aparecida de Goiânia</v>
      </c>
    </row>
    <row r="723" spans="2:12" x14ac:dyDescent="0.3">
      <c r="B723" s="1" t="s">
        <v>44</v>
      </c>
      <c r="C723" s="4" t="str">
        <f>VLOOKUP(Tabela1[[#This Row],[Cliente]],'BASE DE CLIENTES'!A:E,2,0)</f>
        <v>Brasília</v>
      </c>
      <c r="D723" s="1" t="str">
        <f>VLOOKUP(Tabela1[[#This Row],[Cliente]],'BASE DE CLIENTES'!A:C,3,0)</f>
        <v>DF</v>
      </c>
      <c r="E723" s="4" t="str">
        <f>CONCATENATE(Tabela1[[#This Row],[CIDADE]],",",Tabela1[[#This Row],[UF]])</f>
        <v>Brasília,DF</v>
      </c>
      <c r="F723" s="2">
        <v>45727</v>
      </c>
      <c r="G723" s="17">
        <v>439.2</v>
      </c>
      <c r="H723" s="17">
        <v>600</v>
      </c>
      <c r="I723" s="6">
        <f>Tabela1[[#This Row],[Valor total]]-Tabela1[[#This Row],[Valor custo]]</f>
        <v>160.80000000000001</v>
      </c>
      <c r="J723" s="7">
        <f>Tabela1[[#This Row],[MARGEM BRUTA]]/Tabela1[[#This Row],[Valor total]]</f>
        <v>0.26800000000000002</v>
      </c>
      <c r="K723" s="1" t="str">
        <f>VLOOKUP(Tabela1[[#This Row],[Cliente]],'BASE DE CLIENTES'!A:D,4,0)</f>
        <v>EMPRESA SEM MAQUINA</v>
      </c>
      <c r="L723" s="1" t="str">
        <f>VLOOKUP(Tabela1[[#This Row],[Cliente]],'BASE DE CLIENTES'!A:E,5,0)</f>
        <v>SETOR HABITACIONAL VICENTE PIRES</v>
      </c>
    </row>
    <row r="724" spans="2:12" x14ac:dyDescent="0.3">
      <c r="B724" s="1" t="s">
        <v>108</v>
      </c>
      <c r="C724" s="4" t="str">
        <f>VLOOKUP(Tabela1[[#This Row],[Cliente]],'BASE DE CLIENTES'!A:E,2,0)</f>
        <v>Brasília</v>
      </c>
      <c r="D724" s="1" t="str">
        <f>VLOOKUP(Tabela1[[#This Row],[Cliente]],'BASE DE CLIENTES'!A:C,3,0)</f>
        <v>DF</v>
      </c>
      <c r="E724" s="4" t="str">
        <f>CONCATENATE(Tabela1[[#This Row],[CIDADE]],",",Tabela1[[#This Row],[UF]])</f>
        <v>Brasília,DF</v>
      </c>
      <c r="F724" s="2">
        <v>45727</v>
      </c>
      <c r="G724" s="17">
        <v>52.2</v>
      </c>
      <c r="H724" s="17">
        <v>185</v>
      </c>
      <c r="I724" s="6">
        <f>Tabela1[[#This Row],[Valor total]]-Tabela1[[#This Row],[Valor custo]]</f>
        <v>132.80000000000001</v>
      </c>
      <c r="J724" s="7">
        <f>Tabela1[[#This Row],[MARGEM BRUTA]]/Tabela1[[#This Row],[Valor total]]</f>
        <v>0.71783783783783794</v>
      </c>
      <c r="K724" s="1" t="str">
        <f>VLOOKUP(Tabela1[[#This Row],[Cliente]],'BASE DE CLIENTES'!A:D,4,0)</f>
        <v>SERRALHEIRO</v>
      </c>
      <c r="L724" s="1" t="str">
        <f>VLOOKUP(Tabela1[[#This Row],[Cliente]],'BASE DE CLIENTES'!A:E,5,0)</f>
        <v>Vila Planalto</v>
      </c>
    </row>
    <row r="725" spans="2:12" x14ac:dyDescent="0.3">
      <c r="B725" s="1" t="s">
        <v>38</v>
      </c>
      <c r="C725" s="4" t="str">
        <f>VLOOKUP(Tabela1[[#This Row],[Cliente]],'BASE DE CLIENTES'!A:E,2,0)</f>
        <v>Brasília</v>
      </c>
      <c r="D725" s="1" t="str">
        <f>VLOOKUP(Tabela1[[#This Row],[Cliente]],'BASE DE CLIENTES'!A:C,3,0)</f>
        <v>DF</v>
      </c>
      <c r="E725" s="4" t="str">
        <f>CONCATENATE(Tabela1[[#This Row],[CIDADE]],",",Tabela1[[#This Row],[UF]])</f>
        <v>Brasília,DF</v>
      </c>
      <c r="F725" s="2">
        <v>45727</v>
      </c>
      <c r="G725" s="17">
        <v>104.4</v>
      </c>
      <c r="H725" s="17">
        <v>350</v>
      </c>
      <c r="I725" s="6">
        <f>Tabela1[[#This Row],[Valor total]]-Tabela1[[#This Row],[Valor custo]]</f>
        <v>245.6</v>
      </c>
      <c r="J725" s="7">
        <f>Tabela1[[#This Row],[MARGEM BRUTA]]/Tabela1[[#This Row],[Valor total]]</f>
        <v>0.70171428571428573</v>
      </c>
      <c r="K725" s="1" t="str">
        <f>VLOOKUP(Tabela1[[#This Row],[Cliente]],'BASE DE CLIENTES'!A:D,4,0)</f>
        <v>EMPRESA SEM MAQUINA</v>
      </c>
      <c r="L725" s="1" t="str">
        <f>VLOOKUP(Tabela1[[#This Row],[Cliente]],'BASE DE CLIENTES'!A:E,5,0)</f>
        <v>PONTE ALTA NORTE (GAMA)</v>
      </c>
    </row>
    <row r="726" spans="2:12" x14ac:dyDescent="0.3">
      <c r="B726" s="1" t="s">
        <v>152</v>
      </c>
      <c r="C726" s="4" t="str">
        <f>VLOOKUP(Tabela1[[#This Row],[Cliente]],'BASE DE CLIENTES'!A:E,2,0)</f>
        <v>Aparecida de Goiânia</v>
      </c>
      <c r="D726" s="1" t="str">
        <f>VLOOKUP(Tabela1[[#This Row],[Cliente]],'BASE DE CLIENTES'!A:C,3,0)</f>
        <v>GO</v>
      </c>
      <c r="E726" s="4" t="str">
        <f>CONCATENATE(Tabela1[[#This Row],[CIDADE]],",",Tabela1[[#This Row],[UF]])</f>
        <v>Aparecida de Goiânia,GO</v>
      </c>
      <c r="F726" s="2">
        <v>45827</v>
      </c>
      <c r="G726" s="17">
        <v>674.21</v>
      </c>
      <c r="H726" s="17">
        <v>825</v>
      </c>
      <c r="I726" s="6">
        <f>Tabela1[[#This Row],[Valor total]]-Tabela1[[#This Row],[Valor custo]]</f>
        <v>150.78999999999996</v>
      </c>
      <c r="J726" s="7">
        <f>Tabela1[[#This Row],[MARGEM BRUTA]]/Tabela1[[#This Row],[Valor total]]</f>
        <v>0.18277575757575754</v>
      </c>
      <c r="K726" s="1" t="str">
        <f>VLOOKUP(Tabela1[[#This Row],[Cliente]],'BASE DE CLIENTES'!A:D,4,0)</f>
        <v>TECNICO</v>
      </c>
      <c r="L726" s="1" t="str">
        <f>VLOOKUP(Tabela1[[#This Row],[Cliente]],'BASE DE CLIENTES'!A:E,5,0)</f>
        <v>Aparecida de Goiânia</v>
      </c>
    </row>
    <row r="727" spans="2:12" x14ac:dyDescent="0.3">
      <c r="B727" s="1" t="s">
        <v>88</v>
      </c>
      <c r="C727" s="4" t="str">
        <f>VLOOKUP(Tabela1[[#This Row],[Cliente]],'BASE DE CLIENTES'!A:E,2,0)</f>
        <v>Brasília</v>
      </c>
      <c r="D727" s="1" t="str">
        <f>VLOOKUP(Tabela1[[#This Row],[Cliente]],'BASE DE CLIENTES'!A:C,3,0)</f>
        <v>DF</v>
      </c>
      <c r="E727" s="4" t="str">
        <f>CONCATENATE(Tabela1[[#This Row],[CIDADE]],",",Tabela1[[#This Row],[UF]])</f>
        <v>Brasília,DF</v>
      </c>
      <c r="F727" s="2">
        <v>45727</v>
      </c>
      <c r="G727" s="17">
        <v>1045.9000000000001</v>
      </c>
      <c r="H727" s="17">
        <v>1500</v>
      </c>
      <c r="I727" s="6">
        <f>Tabela1[[#This Row],[Valor total]]-Tabela1[[#This Row],[Valor custo]]</f>
        <v>454.09999999999991</v>
      </c>
      <c r="J727" s="7">
        <f>Tabela1[[#This Row],[MARGEM BRUTA]]/Tabela1[[#This Row],[Valor total]]</f>
        <v>0.3027333333333333</v>
      </c>
      <c r="K727" s="1" t="str">
        <f>VLOOKUP(Tabela1[[#This Row],[Cliente]],'BASE DE CLIENTES'!A:D,4,0)</f>
        <v>SERRALHEIRO</v>
      </c>
      <c r="L727" s="1" t="str">
        <f>VLOOKUP(Tabela1[[#This Row],[Cliente]],'BASE DE CLIENTES'!A:E,5,0)</f>
        <v>RECANTO DAS EMAS</v>
      </c>
    </row>
    <row r="728" spans="2:12" x14ac:dyDescent="0.3">
      <c r="B728" s="1" t="s">
        <v>98</v>
      </c>
      <c r="C728" s="4" t="str">
        <f>VLOOKUP(Tabela1[[#This Row],[Cliente]],'BASE DE CLIENTES'!A:E,2,0)</f>
        <v>Brasília</v>
      </c>
      <c r="D728" s="1" t="str">
        <f>VLOOKUP(Tabela1[[#This Row],[Cliente]],'BASE DE CLIENTES'!A:C,3,0)</f>
        <v>DF</v>
      </c>
      <c r="E728" s="4" t="str">
        <f>CONCATENATE(Tabela1[[#This Row],[CIDADE]],",",Tabela1[[#This Row],[UF]])</f>
        <v>Brasília,DF</v>
      </c>
      <c r="F728" s="2">
        <v>45727</v>
      </c>
      <c r="G728" s="17">
        <v>514.45000000000005</v>
      </c>
      <c r="H728" s="17">
        <v>620</v>
      </c>
      <c r="I728" s="6">
        <f>Tabela1[[#This Row],[Valor total]]-Tabela1[[#This Row],[Valor custo]]</f>
        <v>105.54999999999995</v>
      </c>
      <c r="J728" s="7">
        <f>Tabela1[[#This Row],[MARGEM BRUTA]]/Tabela1[[#This Row],[Valor total]]</f>
        <v>0.1702419354838709</v>
      </c>
      <c r="K728" s="1" t="str">
        <f>VLOOKUP(Tabela1[[#This Row],[Cliente]],'BASE DE CLIENTES'!A:D,4,0)</f>
        <v>SERRALHEIRO</v>
      </c>
      <c r="L728" s="1" t="str">
        <f>VLOOKUP(Tabela1[[#This Row],[Cliente]],'BASE DE CLIENTES'!A:E,5,0)</f>
        <v>SANTA MARIA</v>
      </c>
    </row>
    <row r="729" spans="2:12" x14ac:dyDescent="0.3">
      <c r="B729" s="1" t="s">
        <v>15</v>
      </c>
      <c r="C729" s="4" t="str">
        <f>VLOOKUP(Tabela1[[#This Row],[Cliente]],'BASE DE CLIENTES'!A:E,2,0)</f>
        <v>Brasília</v>
      </c>
      <c r="D729" s="1" t="str">
        <f>VLOOKUP(Tabela1[[#This Row],[Cliente]],'BASE DE CLIENTES'!A:C,3,0)</f>
        <v>DF</v>
      </c>
      <c r="E729" s="4" t="str">
        <f>CONCATENATE(Tabela1[[#This Row],[CIDADE]],",",Tabela1[[#This Row],[UF]])</f>
        <v>Brasília,DF</v>
      </c>
      <c r="F729" s="2">
        <v>45727</v>
      </c>
      <c r="G729" s="17">
        <v>569.35</v>
      </c>
      <c r="H729" s="17">
        <v>901</v>
      </c>
      <c r="I729" s="6">
        <f>Tabela1[[#This Row],[Valor total]]-Tabela1[[#This Row],[Valor custo]]</f>
        <v>331.65</v>
      </c>
      <c r="J729" s="7">
        <f>Tabela1[[#This Row],[MARGEM BRUTA]]/Tabela1[[#This Row],[Valor total]]</f>
        <v>0.36809100998890121</v>
      </c>
      <c r="K729" s="1" t="str">
        <f>VLOOKUP(Tabela1[[#This Row],[Cliente]],'BASE DE CLIENTES'!A:D,4,0)</f>
        <v>SERRALHEIRO</v>
      </c>
      <c r="L729" s="1" t="str">
        <f>VLOOKUP(Tabela1[[#This Row],[Cliente]],'BASE DE CLIENTES'!A:E,5,0)</f>
        <v>SETOR HABITACIONAL VICENTE PIRES</v>
      </c>
    </row>
    <row r="730" spans="2:12" x14ac:dyDescent="0.3">
      <c r="B730" s="1" t="s">
        <v>23</v>
      </c>
      <c r="C730" s="4" t="str">
        <f>VLOOKUP(Tabela1[[#This Row],[Cliente]],'BASE DE CLIENTES'!A:E,2,0)</f>
        <v>Brasília</v>
      </c>
      <c r="D730" s="1" t="str">
        <f>VLOOKUP(Tabela1[[#This Row],[Cliente]],'BASE DE CLIENTES'!A:C,3,0)</f>
        <v>DF</v>
      </c>
      <c r="E730" s="4" t="str">
        <f>CONCATENATE(Tabela1[[#This Row],[CIDADE]],",",Tabela1[[#This Row],[UF]])</f>
        <v>Brasília,DF</v>
      </c>
      <c r="F730" s="2">
        <v>45727</v>
      </c>
      <c r="G730" s="17">
        <v>878.4</v>
      </c>
      <c r="H730" s="17">
        <v>1220</v>
      </c>
      <c r="I730" s="6">
        <f>Tabela1[[#This Row],[Valor total]]-Tabela1[[#This Row],[Valor custo]]</f>
        <v>341.6</v>
      </c>
      <c r="J730" s="7">
        <f>Tabela1[[#This Row],[MARGEM BRUTA]]/Tabela1[[#This Row],[Valor total]]</f>
        <v>0.28000000000000003</v>
      </c>
      <c r="K730" s="1" t="str">
        <f>VLOOKUP(Tabela1[[#This Row],[Cliente]],'BASE DE CLIENTES'!A:D,4,0)</f>
        <v>EMPRESA SEM MAQUINA</v>
      </c>
      <c r="L730" s="1" t="str">
        <f>VLOOKUP(Tabela1[[#This Row],[Cliente]],'BASE DE CLIENTES'!A:E,5,0)</f>
        <v>SETOR INDUSTRIAL (TAGUATINGA)</v>
      </c>
    </row>
    <row r="731" spans="2:12" x14ac:dyDescent="0.3">
      <c r="B731" s="1" t="s">
        <v>128</v>
      </c>
      <c r="C731" s="4" t="str">
        <f>VLOOKUP(Tabela1[[#This Row],[Cliente]],'BASE DE CLIENTES'!A:E,2,0)</f>
        <v>Brasília</v>
      </c>
      <c r="D731" s="1" t="str">
        <f>VLOOKUP(Tabela1[[#This Row],[Cliente]],'BASE DE CLIENTES'!A:C,3,0)</f>
        <v>DF</v>
      </c>
      <c r="E731" s="4" t="str">
        <f>CONCATENATE(Tabela1[[#This Row],[CIDADE]],",",Tabela1[[#This Row],[UF]])</f>
        <v>Brasília,DF</v>
      </c>
      <c r="F731" s="2">
        <v>45727</v>
      </c>
      <c r="G731" s="17">
        <v>2108.8000000000002</v>
      </c>
      <c r="H731" s="17">
        <v>3075</v>
      </c>
      <c r="I731" s="6">
        <f>Tabela1[[#This Row],[Valor total]]-Tabela1[[#This Row],[Valor custo]]</f>
        <v>966.19999999999982</v>
      </c>
      <c r="J731" s="7">
        <f>Tabela1[[#This Row],[MARGEM BRUTA]]/Tabela1[[#This Row],[Valor total]]</f>
        <v>0.3142113821138211</v>
      </c>
      <c r="K731" s="1" t="str">
        <f>VLOOKUP(Tabela1[[#This Row],[Cliente]],'BASE DE CLIENTES'!A:D,4,0)</f>
        <v>SERRALHEIRO</v>
      </c>
      <c r="L731" s="1" t="str">
        <f>VLOOKUP(Tabela1[[#This Row],[Cliente]],'BASE DE CLIENTES'!A:E,5,0)</f>
        <v>TAGUATINGA NORTE</v>
      </c>
    </row>
    <row r="732" spans="2:12" x14ac:dyDescent="0.3">
      <c r="B732" s="1" t="s">
        <v>55</v>
      </c>
      <c r="C732" s="4" t="str">
        <f>VLOOKUP(Tabela1[[#This Row],[Cliente]],'BASE DE CLIENTES'!A:E,2,0)</f>
        <v>Brasília</v>
      </c>
      <c r="D732" s="1" t="str">
        <f>VLOOKUP(Tabela1[[#This Row],[Cliente]],'BASE DE CLIENTES'!A:C,3,0)</f>
        <v>DF</v>
      </c>
      <c r="E732" s="4" t="str">
        <f>CONCATENATE(Tabela1[[#This Row],[CIDADE]],",",Tabela1[[#This Row],[UF]])</f>
        <v>Brasília,DF</v>
      </c>
      <c r="F732" s="2">
        <v>45727</v>
      </c>
      <c r="G732" s="17">
        <v>947.65</v>
      </c>
      <c r="H732" s="17">
        <v>1625</v>
      </c>
      <c r="I732" s="6">
        <f>Tabela1[[#This Row],[Valor total]]-Tabela1[[#This Row],[Valor custo]]</f>
        <v>677.35</v>
      </c>
      <c r="J732" s="7">
        <f>Tabela1[[#This Row],[MARGEM BRUTA]]/Tabela1[[#This Row],[Valor total]]</f>
        <v>0.41683076923076923</v>
      </c>
      <c r="K732" s="1" t="str">
        <f>VLOOKUP(Tabela1[[#This Row],[Cliente]],'BASE DE CLIENTES'!A:D,4,0)</f>
        <v>EMPRESA SEM MAQUINA</v>
      </c>
      <c r="L732" s="1" t="str">
        <f>VLOOKUP(Tabela1[[#This Row],[Cliente]],'BASE DE CLIENTES'!A:E,5,0)</f>
        <v>RECANTO DAS EMAS</v>
      </c>
    </row>
    <row r="733" spans="2:12" x14ac:dyDescent="0.3">
      <c r="B733" s="1" t="s">
        <v>44</v>
      </c>
      <c r="C733" s="4" t="str">
        <f>VLOOKUP(Tabela1[[#This Row],[Cliente]],'BASE DE CLIENTES'!A:E,2,0)</f>
        <v>Brasília</v>
      </c>
      <c r="D733" s="1" t="str">
        <f>VLOOKUP(Tabela1[[#This Row],[Cliente]],'BASE DE CLIENTES'!A:C,3,0)</f>
        <v>DF</v>
      </c>
      <c r="E733" s="4" t="str">
        <f>CONCATENATE(Tabela1[[#This Row],[CIDADE]],",",Tabela1[[#This Row],[UF]])</f>
        <v>Brasília,DF</v>
      </c>
      <c r="F733" s="2">
        <v>45727</v>
      </c>
      <c r="G733" s="17">
        <v>878.4</v>
      </c>
      <c r="H733" s="17">
        <v>1200</v>
      </c>
      <c r="I733" s="6">
        <f>Tabela1[[#This Row],[Valor total]]-Tabela1[[#This Row],[Valor custo]]</f>
        <v>321.60000000000002</v>
      </c>
      <c r="J733" s="7">
        <f>Tabela1[[#This Row],[MARGEM BRUTA]]/Tabela1[[#This Row],[Valor total]]</f>
        <v>0.26800000000000002</v>
      </c>
      <c r="K733" s="1" t="str">
        <f>VLOOKUP(Tabela1[[#This Row],[Cliente]],'BASE DE CLIENTES'!A:D,4,0)</f>
        <v>EMPRESA SEM MAQUINA</v>
      </c>
      <c r="L733" s="1" t="str">
        <f>VLOOKUP(Tabela1[[#This Row],[Cliente]],'BASE DE CLIENTES'!A:E,5,0)</f>
        <v>SETOR HABITACIONAL VICENTE PIRES</v>
      </c>
    </row>
    <row r="734" spans="2:12" x14ac:dyDescent="0.3">
      <c r="B734" s="1" t="s">
        <v>68</v>
      </c>
      <c r="C734" s="4" t="str">
        <f>VLOOKUP(Tabela1[[#This Row],[Cliente]],'BASE DE CLIENTES'!A:E,2,0)</f>
        <v>Brasília</v>
      </c>
      <c r="D734" s="1" t="str">
        <f>VLOOKUP(Tabela1[[#This Row],[Cliente]],'BASE DE CLIENTES'!A:C,3,0)</f>
        <v>DF</v>
      </c>
      <c r="E734" s="4" t="str">
        <f>CONCATENATE(Tabela1[[#This Row],[CIDADE]],",",Tabela1[[#This Row],[UF]])</f>
        <v>Brasília,DF</v>
      </c>
      <c r="F734" s="2">
        <v>45727</v>
      </c>
      <c r="G734" s="17">
        <v>175</v>
      </c>
      <c r="H734" s="17">
        <v>229.5</v>
      </c>
      <c r="I734" s="6">
        <f>Tabela1[[#This Row],[Valor total]]-Tabela1[[#This Row],[Valor custo]]</f>
        <v>54.5</v>
      </c>
      <c r="J734" s="7">
        <f>Tabela1[[#This Row],[MARGEM BRUTA]]/Tabela1[[#This Row],[Valor total]]</f>
        <v>0.23747276688453159</v>
      </c>
      <c r="K734" s="1" t="str">
        <f>VLOOKUP(Tabela1[[#This Row],[Cliente]],'BASE DE CLIENTES'!A:D,4,0)</f>
        <v>EMPRESA COM MAQUINA</v>
      </c>
      <c r="L734" s="1" t="str">
        <f>VLOOKUP(Tabela1[[#This Row],[Cliente]],'BASE DE CLIENTES'!A:E,5,0)</f>
        <v>SAMAMBAIA SUL (SAMAMBAIA)</v>
      </c>
    </row>
    <row r="735" spans="2:12" x14ac:dyDescent="0.3">
      <c r="B735" s="1" t="s">
        <v>59</v>
      </c>
      <c r="C735" s="4" t="str">
        <f>VLOOKUP(Tabela1[[#This Row],[Cliente]],'BASE DE CLIENTES'!A:E,2,0)</f>
        <v>Brasília</v>
      </c>
      <c r="D735" s="1" t="str">
        <f>VLOOKUP(Tabela1[[#This Row],[Cliente]],'BASE DE CLIENTES'!A:C,3,0)</f>
        <v>DF</v>
      </c>
      <c r="E735" s="4" t="str">
        <f>CONCATENATE(Tabela1[[#This Row],[CIDADE]],",",Tabela1[[#This Row],[UF]])</f>
        <v>Brasília,DF</v>
      </c>
      <c r="F735" s="2">
        <v>45726</v>
      </c>
      <c r="G735" s="17">
        <v>0</v>
      </c>
      <c r="H735" s="17">
        <v>250</v>
      </c>
      <c r="I735" s="6">
        <f>Tabela1[[#This Row],[Valor total]]-Tabela1[[#This Row],[Valor custo]]</f>
        <v>250</v>
      </c>
      <c r="J735" s="7">
        <f>Tabela1[[#This Row],[MARGEM BRUTA]]/Tabela1[[#This Row],[Valor total]]</f>
        <v>1</v>
      </c>
      <c r="K735" s="1" t="str">
        <f>VLOOKUP(Tabela1[[#This Row],[Cliente]],'BASE DE CLIENTES'!A:D,4,0)</f>
        <v>EMPRESA COM MAQUINA</v>
      </c>
      <c r="L735" s="1" t="str">
        <f>VLOOKUP(Tabela1[[#This Row],[Cliente]],'BASE DE CLIENTES'!A:E,5,0)</f>
        <v>SETOR HABITACIONAL VICENTE PIRES</v>
      </c>
    </row>
    <row r="736" spans="2:12" x14ac:dyDescent="0.3">
      <c r="B736" s="1" t="s">
        <v>152</v>
      </c>
      <c r="C736" s="4" t="str">
        <f>VLOOKUP(Tabela1[[#This Row],[Cliente]],'BASE DE CLIENTES'!A:E,2,0)</f>
        <v>Aparecida de Goiânia</v>
      </c>
      <c r="D736" s="1" t="str">
        <f>VLOOKUP(Tabela1[[#This Row],[Cliente]],'BASE DE CLIENTES'!A:C,3,0)</f>
        <v>GO</v>
      </c>
      <c r="E736" s="4" t="str">
        <f>CONCATENATE(Tabela1[[#This Row],[CIDADE]],",",Tabela1[[#This Row],[UF]])</f>
        <v>Aparecida de Goiânia,GO</v>
      </c>
      <c r="F736" s="2">
        <v>45799</v>
      </c>
      <c r="G736" s="17">
        <v>60.95</v>
      </c>
      <c r="H736" s="17">
        <v>75</v>
      </c>
      <c r="I736" s="6">
        <f>Tabela1[[#This Row],[Valor total]]-Tabela1[[#This Row],[Valor custo]]</f>
        <v>14.049999999999997</v>
      </c>
      <c r="J736" s="7">
        <f>Tabela1[[#This Row],[MARGEM BRUTA]]/Tabela1[[#This Row],[Valor total]]</f>
        <v>0.1873333333333333</v>
      </c>
      <c r="K736" s="1" t="str">
        <f>VLOOKUP(Tabela1[[#This Row],[Cliente]],'BASE DE CLIENTES'!A:D,4,0)</f>
        <v>TECNICO</v>
      </c>
      <c r="L736" s="1" t="str">
        <f>VLOOKUP(Tabela1[[#This Row],[Cliente]],'BASE DE CLIENTES'!A:E,5,0)</f>
        <v>Aparecida de Goiânia</v>
      </c>
    </row>
    <row r="737" spans="2:12" x14ac:dyDescent="0.3">
      <c r="B737" s="1" t="s">
        <v>152</v>
      </c>
      <c r="C737" s="4" t="str">
        <f>VLOOKUP(Tabela1[[#This Row],[Cliente]],'BASE DE CLIENTES'!A:E,2,0)</f>
        <v>Aparecida de Goiânia</v>
      </c>
      <c r="D737" s="1" t="str">
        <f>VLOOKUP(Tabela1[[#This Row],[Cliente]],'BASE DE CLIENTES'!A:C,3,0)</f>
        <v>GO</v>
      </c>
      <c r="E737" s="4" t="str">
        <f>CONCATENATE(Tabela1[[#This Row],[CIDADE]],",",Tabela1[[#This Row],[UF]])</f>
        <v>Aparecida de Goiânia,GO</v>
      </c>
      <c r="F737" s="2">
        <v>45777</v>
      </c>
      <c r="G737" s="17">
        <v>349.21</v>
      </c>
      <c r="H737" s="17">
        <v>430</v>
      </c>
      <c r="I737" s="6">
        <f>Tabela1[[#This Row],[Valor total]]-Tabela1[[#This Row],[Valor custo]]</f>
        <v>80.79000000000002</v>
      </c>
      <c r="J737" s="7">
        <f>Tabela1[[#This Row],[MARGEM BRUTA]]/Tabela1[[#This Row],[Valor total]]</f>
        <v>0.18788372093023262</v>
      </c>
      <c r="K737" s="1" t="str">
        <f>VLOOKUP(Tabela1[[#This Row],[Cliente]],'BASE DE CLIENTES'!A:D,4,0)</f>
        <v>TECNICO</v>
      </c>
      <c r="L737" s="1" t="str">
        <f>VLOOKUP(Tabela1[[#This Row],[Cliente]],'BASE DE CLIENTES'!A:E,5,0)</f>
        <v>Aparecida de Goiânia</v>
      </c>
    </row>
    <row r="738" spans="2:12" x14ac:dyDescent="0.3">
      <c r="B738" s="1" t="s">
        <v>152</v>
      </c>
      <c r="C738" s="4" t="str">
        <f>VLOOKUP(Tabela1[[#This Row],[Cliente]],'BASE DE CLIENTES'!A:E,2,0)</f>
        <v>Aparecida de Goiânia</v>
      </c>
      <c r="D738" s="1" t="str">
        <f>VLOOKUP(Tabela1[[#This Row],[Cliente]],'BASE DE CLIENTES'!A:C,3,0)</f>
        <v>GO</v>
      </c>
      <c r="E738" s="4" t="str">
        <f>CONCATENATE(Tabela1[[#This Row],[CIDADE]],",",Tabela1[[#This Row],[UF]])</f>
        <v>Aparecida de Goiânia,GO</v>
      </c>
      <c r="F738" s="2">
        <v>45741</v>
      </c>
      <c r="G738" s="17">
        <v>514.45000000000005</v>
      </c>
      <c r="H738" s="17">
        <v>635</v>
      </c>
      <c r="I738" s="6">
        <f>Tabela1[[#This Row],[Valor total]]-Tabela1[[#This Row],[Valor custo]]</f>
        <v>120.54999999999995</v>
      </c>
      <c r="J738" s="7">
        <f>Tabela1[[#This Row],[MARGEM BRUTA]]/Tabela1[[#This Row],[Valor total]]</f>
        <v>0.18984251968503929</v>
      </c>
      <c r="K738" s="1" t="str">
        <f>VLOOKUP(Tabela1[[#This Row],[Cliente]],'BASE DE CLIENTES'!A:D,4,0)</f>
        <v>TECNICO</v>
      </c>
      <c r="L738" s="1" t="str">
        <f>VLOOKUP(Tabela1[[#This Row],[Cliente]],'BASE DE CLIENTES'!A:E,5,0)</f>
        <v>Aparecida de Goiânia</v>
      </c>
    </row>
    <row r="739" spans="2:12" x14ac:dyDescent="0.3">
      <c r="B739" s="1" t="s">
        <v>152</v>
      </c>
      <c r="C739" s="4" t="str">
        <f>VLOOKUP(Tabela1[[#This Row],[Cliente]],'BASE DE CLIENTES'!A:E,2,0)</f>
        <v>Aparecida de Goiânia</v>
      </c>
      <c r="D739" s="1" t="str">
        <f>VLOOKUP(Tabela1[[#This Row],[Cliente]],'BASE DE CLIENTES'!A:C,3,0)</f>
        <v>GO</v>
      </c>
      <c r="E739" s="4" t="str">
        <f>CONCATENATE(Tabela1[[#This Row],[CIDADE]],",",Tabela1[[#This Row],[UF]])</f>
        <v>Aparecida de Goiânia,GO</v>
      </c>
      <c r="F739" s="2">
        <v>45741</v>
      </c>
      <c r="G739" s="17">
        <v>514.45000000000005</v>
      </c>
      <c r="H739" s="17">
        <v>635</v>
      </c>
      <c r="I739" s="6">
        <f>Tabela1[[#This Row],[Valor total]]-Tabela1[[#This Row],[Valor custo]]</f>
        <v>120.54999999999995</v>
      </c>
      <c r="J739" s="7">
        <f>Tabela1[[#This Row],[MARGEM BRUTA]]/Tabela1[[#This Row],[Valor total]]</f>
        <v>0.18984251968503929</v>
      </c>
      <c r="K739" s="1" t="str">
        <f>VLOOKUP(Tabela1[[#This Row],[Cliente]],'BASE DE CLIENTES'!A:D,4,0)</f>
        <v>TECNICO</v>
      </c>
      <c r="L739" s="1" t="str">
        <f>VLOOKUP(Tabela1[[#This Row],[Cliente]],'BASE DE CLIENTES'!A:E,5,0)</f>
        <v>Aparecida de Goiânia</v>
      </c>
    </row>
    <row r="740" spans="2:12" x14ac:dyDescent="0.3">
      <c r="B740" s="1" t="s">
        <v>23</v>
      </c>
      <c r="C740" s="4" t="str">
        <f>VLOOKUP(Tabela1[[#This Row],[Cliente]],'BASE DE CLIENTES'!A:E,2,0)</f>
        <v>Brasília</v>
      </c>
      <c r="D740" s="1" t="str">
        <f>VLOOKUP(Tabela1[[#This Row],[Cliente]],'BASE DE CLIENTES'!A:C,3,0)</f>
        <v>DF</v>
      </c>
      <c r="E740" s="4" t="str">
        <f>CONCATENATE(Tabela1[[#This Row],[CIDADE]],",",Tabela1[[#This Row],[UF]])</f>
        <v>Brasília,DF</v>
      </c>
      <c r="F740" s="2">
        <v>45726</v>
      </c>
      <c r="G740" s="17">
        <v>439.2</v>
      </c>
      <c r="H740" s="17">
        <v>679</v>
      </c>
      <c r="I740" s="6">
        <f>Tabela1[[#This Row],[Valor total]]-Tabela1[[#This Row],[Valor custo]]</f>
        <v>239.8</v>
      </c>
      <c r="J740" s="7">
        <f>Tabela1[[#This Row],[MARGEM BRUTA]]/Tabela1[[#This Row],[Valor total]]</f>
        <v>0.35316642120765834</v>
      </c>
      <c r="K740" s="1" t="str">
        <f>VLOOKUP(Tabela1[[#This Row],[Cliente]],'BASE DE CLIENTES'!A:D,4,0)</f>
        <v>EMPRESA SEM MAQUINA</v>
      </c>
      <c r="L740" s="1" t="str">
        <f>VLOOKUP(Tabela1[[#This Row],[Cliente]],'BASE DE CLIENTES'!A:E,5,0)</f>
        <v>SETOR INDUSTRIAL (TAGUATINGA)</v>
      </c>
    </row>
    <row r="741" spans="2:12" x14ac:dyDescent="0.3">
      <c r="B741" s="1" t="s">
        <v>157</v>
      </c>
      <c r="C741" s="4" t="str">
        <f>VLOOKUP(Tabela1[[#This Row],[Cliente]],'BASE DE CLIENTES'!A:E,2,0)</f>
        <v>Aparecida de Goiânia</v>
      </c>
      <c r="D741" s="1" t="str">
        <f>VLOOKUP(Tabela1[[#This Row],[Cliente]],'BASE DE CLIENTES'!A:C,3,0)</f>
        <v>GO</v>
      </c>
      <c r="E741" s="4" t="str">
        <f>CONCATENATE(Tabela1[[#This Row],[CIDADE]],",",Tabela1[[#This Row],[UF]])</f>
        <v>Aparecida de Goiânia,GO</v>
      </c>
      <c r="F741" s="2">
        <v>45700</v>
      </c>
      <c r="G741" s="17">
        <v>6615.05</v>
      </c>
      <c r="H741" s="17">
        <v>8320</v>
      </c>
      <c r="I741" s="6">
        <f>Tabela1[[#This Row],[Valor total]]-Tabela1[[#This Row],[Valor custo]]</f>
        <v>1704.9499999999998</v>
      </c>
      <c r="J741" s="7">
        <f>Tabela1[[#This Row],[MARGEM BRUTA]]/Tabela1[[#This Row],[Valor total]]</f>
        <v>0.20492187499999998</v>
      </c>
      <c r="K741" s="1" t="str">
        <f>VLOOKUP(Tabela1[[#This Row],[Cliente]],'BASE DE CLIENTES'!A:D,4,0)</f>
        <v>EMPRESA COM MAQUINA</v>
      </c>
      <c r="L741" s="1" t="str">
        <f>VLOOKUP(Tabela1[[#This Row],[Cliente]],'BASE DE CLIENTES'!A:E,5,0)</f>
        <v>Aparecida de Goiânia</v>
      </c>
    </row>
    <row r="742" spans="2:12" x14ac:dyDescent="0.3">
      <c r="B742" s="1" t="s">
        <v>152</v>
      </c>
      <c r="C742" s="4" t="str">
        <f>VLOOKUP(Tabela1[[#This Row],[Cliente]],'BASE DE CLIENTES'!A:E,2,0)</f>
        <v>Aparecida de Goiânia</v>
      </c>
      <c r="D742" s="1" t="str">
        <f>VLOOKUP(Tabela1[[#This Row],[Cliente]],'BASE DE CLIENTES'!A:C,3,0)</f>
        <v>GO</v>
      </c>
      <c r="E742" s="4" t="str">
        <f>CONCATENATE(Tabela1[[#This Row],[CIDADE]],",",Tabela1[[#This Row],[UF]])</f>
        <v>Aparecida de Goiânia,GO</v>
      </c>
      <c r="F742" s="2">
        <v>45727</v>
      </c>
      <c r="G742" s="17">
        <v>3454.94</v>
      </c>
      <c r="H742" s="17">
        <v>4520</v>
      </c>
      <c r="I742" s="6">
        <f>Tabela1[[#This Row],[Valor total]]-Tabela1[[#This Row],[Valor custo]]</f>
        <v>1065.06</v>
      </c>
      <c r="J742" s="7">
        <f>Tabela1[[#This Row],[MARGEM BRUTA]]/Tabela1[[#This Row],[Valor total]]</f>
        <v>0.23563274336283185</v>
      </c>
      <c r="K742" s="1" t="str">
        <f>VLOOKUP(Tabela1[[#This Row],[Cliente]],'BASE DE CLIENTES'!A:D,4,0)</f>
        <v>TECNICO</v>
      </c>
      <c r="L742" s="1" t="str">
        <f>VLOOKUP(Tabela1[[#This Row],[Cliente]],'BASE DE CLIENTES'!A:E,5,0)</f>
        <v>Aparecida de Goiânia</v>
      </c>
    </row>
    <row r="743" spans="2:12" x14ac:dyDescent="0.3">
      <c r="B743" s="1" t="s">
        <v>152</v>
      </c>
      <c r="C743" s="4" t="str">
        <f>VLOOKUP(Tabela1[[#This Row],[Cliente]],'BASE DE CLIENTES'!A:E,2,0)</f>
        <v>Aparecida de Goiânia</v>
      </c>
      <c r="D743" s="1" t="str">
        <f>VLOOKUP(Tabela1[[#This Row],[Cliente]],'BASE DE CLIENTES'!A:C,3,0)</f>
        <v>GO</v>
      </c>
      <c r="E743" s="4" t="str">
        <f>CONCATENATE(Tabela1[[#This Row],[CIDADE]],",",Tabela1[[#This Row],[UF]])</f>
        <v>Aparecida de Goiânia,GO</v>
      </c>
      <c r="F743" s="2">
        <v>45716</v>
      </c>
      <c r="G743" s="17">
        <v>2737.31</v>
      </c>
      <c r="H743" s="17">
        <v>3600</v>
      </c>
      <c r="I743" s="6">
        <f>Tabela1[[#This Row],[Valor total]]-Tabela1[[#This Row],[Valor custo]]</f>
        <v>862.69</v>
      </c>
      <c r="J743" s="7">
        <f>Tabela1[[#This Row],[MARGEM BRUTA]]/Tabela1[[#This Row],[Valor total]]</f>
        <v>0.23963611111111113</v>
      </c>
      <c r="K743" s="1" t="str">
        <f>VLOOKUP(Tabela1[[#This Row],[Cliente]],'BASE DE CLIENTES'!A:D,4,0)</f>
        <v>TECNICO</v>
      </c>
      <c r="L743" s="1" t="str">
        <f>VLOOKUP(Tabela1[[#This Row],[Cliente]],'BASE DE CLIENTES'!A:E,5,0)</f>
        <v>Aparecida de Goiânia</v>
      </c>
    </row>
    <row r="744" spans="2:12" x14ac:dyDescent="0.3">
      <c r="B744" s="1" t="s">
        <v>120</v>
      </c>
      <c r="C744" s="4" t="str">
        <f>VLOOKUP(Tabela1[[#This Row],[Cliente]],'BASE DE CLIENTES'!A:E,2,0)</f>
        <v>Brasília</v>
      </c>
      <c r="D744" s="1" t="str">
        <f>VLOOKUP(Tabela1[[#This Row],[Cliente]],'BASE DE CLIENTES'!A:C,3,0)</f>
        <v>DF</v>
      </c>
      <c r="E744" s="4" t="str">
        <f>CONCATENATE(Tabela1[[#This Row],[CIDADE]],",",Tabela1[[#This Row],[UF]])</f>
        <v>Brasília,DF</v>
      </c>
      <c r="F744" s="2">
        <v>45755</v>
      </c>
      <c r="G744" s="17">
        <v>1198</v>
      </c>
      <c r="H744" s="17">
        <v>2000</v>
      </c>
      <c r="I744" s="6">
        <f>Tabela1[[#This Row],[Valor total]]-Tabela1[[#This Row],[Valor custo]]</f>
        <v>802</v>
      </c>
      <c r="J744" s="7">
        <f>Tabela1[[#This Row],[MARGEM BRUTA]]/Tabela1[[#This Row],[Valor total]]</f>
        <v>0.40100000000000002</v>
      </c>
      <c r="K744" s="1" t="str">
        <f>VLOOKUP(Tabela1[[#This Row],[Cliente]],'BASE DE CLIENTES'!A:D,4,0)</f>
        <v>EMPRESA SEM MAQUINA</v>
      </c>
      <c r="L744" s="1" t="str">
        <f>VLOOKUP(Tabela1[[#This Row],[Cliente]],'BASE DE CLIENTES'!A:E,5,0)</f>
        <v>SAMAMBAIA</v>
      </c>
    </row>
    <row r="745" spans="2:12" x14ac:dyDescent="0.3">
      <c r="B745" s="1" t="s">
        <v>138</v>
      </c>
      <c r="C745" s="4" t="str">
        <f>VLOOKUP(Tabela1[[#This Row],[Cliente]],'BASE DE CLIENTES'!A:E,2,0)</f>
        <v>Brasília</v>
      </c>
      <c r="D745" s="1" t="str">
        <f>VLOOKUP(Tabela1[[#This Row],[Cliente]],'BASE DE CLIENTES'!A:C,3,0)</f>
        <v>DF</v>
      </c>
      <c r="E745" s="4" t="str">
        <f>CONCATENATE(Tabela1[[#This Row],[CIDADE]],",",Tabela1[[#This Row],[UF]])</f>
        <v>Brasília,DF</v>
      </c>
      <c r="F745" s="2">
        <v>45726</v>
      </c>
      <c r="G745" s="17">
        <v>249.87</v>
      </c>
      <c r="H745" s="17">
        <v>1000</v>
      </c>
      <c r="I745" s="6">
        <f>Tabela1[[#This Row],[Valor total]]-Tabela1[[#This Row],[Valor custo]]</f>
        <v>750.13</v>
      </c>
      <c r="J745" s="7">
        <f>Tabela1[[#This Row],[MARGEM BRUTA]]/Tabela1[[#This Row],[Valor total]]</f>
        <v>0.75012999999999996</v>
      </c>
      <c r="K745" s="1" t="str">
        <f>VLOOKUP(Tabela1[[#This Row],[Cliente]],'BASE DE CLIENTES'!A:D,4,0)</f>
        <v>OUTROS RAMOS</v>
      </c>
      <c r="L745" s="1" t="str">
        <f>VLOOKUP(Tabela1[[#This Row],[Cliente]],'BASE DE CLIENTES'!A:E,5,0)</f>
        <v>CEILANDIA NORTE (CEILANDIA)</v>
      </c>
    </row>
    <row r="746" spans="2:12" x14ac:dyDescent="0.3">
      <c r="B746" s="1" t="s">
        <v>80</v>
      </c>
      <c r="C746" s="4" t="str">
        <f>VLOOKUP(Tabela1[[#This Row],[Cliente]],'BASE DE CLIENTES'!A:E,2,0)</f>
        <v>Brasília</v>
      </c>
      <c r="D746" s="1" t="str">
        <f>VLOOKUP(Tabela1[[#This Row],[Cliente]],'BASE DE CLIENTES'!A:C,3,0)</f>
        <v>DF</v>
      </c>
      <c r="E746" s="4" t="str">
        <f>CONCATENATE(Tabela1[[#This Row],[CIDADE]],",",Tabela1[[#This Row],[UF]])</f>
        <v>Brasília,DF</v>
      </c>
      <c r="F746" s="2">
        <v>45726</v>
      </c>
      <c r="G746" s="17">
        <v>104.4</v>
      </c>
      <c r="H746" s="17">
        <v>300</v>
      </c>
      <c r="I746" s="6">
        <f>Tabela1[[#This Row],[Valor total]]-Tabela1[[#This Row],[Valor custo]]</f>
        <v>195.6</v>
      </c>
      <c r="J746" s="7">
        <f>Tabela1[[#This Row],[MARGEM BRUTA]]/Tabela1[[#This Row],[Valor total]]</f>
        <v>0.65200000000000002</v>
      </c>
      <c r="K746" s="1" t="str">
        <f>VLOOKUP(Tabela1[[#This Row],[Cliente]],'BASE DE CLIENTES'!A:D,4,0)</f>
        <v>EMPRESA SEM MAQUINA</v>
      </c>
      <c r="L746" s="1" t="str">
        <f>VLOOKUP(Tabela1[[#This Row],[Cliente]],'BASE DE CLIENTES'!A:E,5,0)</f>
        <v>JOKEY</v>
      </c>
    </row>
    <row r="747" spans="2:12" x14ac:dyDescent="0.3">
      <c r="B747" s="1" t="s">
        <v>70</v>
      </c>
      <c r="C747" s="4" t="str">
        <f>VLOOKUP(Tabela1[[#This Row],[Cliente]],'BASE DE CLIENTES'!A:E,2,0)</f>
        <v>Brasília</v>
      </c>
      <c r="D747" s="1" t="str">
        <f>VLOOKUP(Tabela1[[#This Row],[Cliente]],'BASE DE CLIENTES'!A:C,3,0)</f>
        <v>DF</v>
      </c>
      <c r="E747" s="4" t="str">
        <f>CONCATENATE(Tabela1[[#This Row],[CIDADE]],",",Tabela1[[#This Row],[UF]])</f>
        <v>Brasília,DF</v>
      </c>
      <c r="F747" s="2">
        <v>45726</v>
      </c>
      <c r="G747" s="17">
        <v>84</v>
      </c>
      <c r="H747" s="17">
        <v>110</v>
      </c>
      <c r="I747" s="6">
        <f>Tabela1[[#This Row],[Valor total]]-Tabela1[[#This Row],[Valor custo]]</f>
        <v>26</v>
      </c>
      <c r="J747" s="7">
        <f>Tabela1[[#This Row],[MARGEM BRUTA]]/Tabela1[[#This Row],[Valor total]]</f>
        <v>0.23636363636363636</v>
      </c>
      <c r="K747" s="1" t="str">
        <f>VLOOKUP(Tabela1[[#This Row],[Cliente]],'BASE DE CLIENTES'!A:D,4,0)</f>
        <v>EMPRESA COM MAQUINA</v>
      </c>
      <c r="L747" s="1" t="str">
        <f>VLOOKUP(Tabela1[[#This Row],[Cliente]],'BASE DE CLIENTES'!A:E,5,0)</f>
        <v>TAGUATINGA NORTE (TAGUATINGA)</v>
      </c>
    </row>
    <row r="748" spans="2:12" x14ac:dyDescent="0.3">
      <c r="B748" s="1" t="s">
        <v>152</v>
      </c>
      <c r="C748" s="4" t="str">
        <f>VLOOKUP(Tabela1[[#This Row],[Cliente]],'BASE DE CLIENTES'!A:E,2,0)</f>
        <v>Aparecida de Goiânia</v>
      </c>
      <c r="D748" s="1" t="str">
        <f>VLOOKUP(Tabela1[[#This Row],[Cliente]],'BASE DE CLIENTES'!A:C,3,0)</f>
        <v>GO</v>
      </c>
      <c r="E748" s="4" t="str">
        <f>CONCATENATE(Tabela1[[#This Row],[CIDADE]],",",Tabela1[[#This Row],[UF]])</f>
        <v>Aparecida de Goiânia,GO</v>
      </c>
      <c r="F748" s="2">
        <v>45824</v>
      </c>
      <c r="G748" s="17">
        <v>2049.35</v>
      </c>
      <c r="H748" s="17">
        <v>2700</v>
      </c>
      <c r="I748" s="6">
        <f>Tabela1[[#This Row],[Valor total]]-Tabela1[[#This Row],[Valor custo]]</f>
        <v>650.65000000000009</v>
      </c>
      <c r="J748" s="7">
        <f>Tabela1[[#This Row],[MARGEM BRUTA]]/Tabela1[[#This Row],[Valor total]]</f>
        <v>0.24098148148148152</v>
      </c>
      <c r="K748" s="1" t="str">
        <f>VLOOKUP(Tabela1[[#This Row],[Cliente]],'BASE DE CLIENTES'!A:D,4,0)</f>
        <v>TECNICO</v>
      </c>
      <c r="L748" s="1" t="str">
        <f>VLOOKUP(Tabela1[[#This Row],[Cliente]],'BASE DE CLIENTES'!A:E,5,0)</f>
        <v>Aparecida de Goiânia</v>
      </c>
    </row>
    <row r="749" spans="2:12" x14ac:dyDescent="0.3">
      <c r="B749" s="1" t="s">
        <v>152</v>
      </c>
      <c r="C749" s="4" t="str">
        <f>VLOOKUP(Tabela1[[#This Row],[Cliente]],'BASE DE CLIENTES'!A:E,2,0)</f>
        <v>Aparecida de Goiânia</v>
      </c>
      <c r="D749" s="1" t="str">
        <f>VLOOKUP(Tabela1[[#This Row],[Cliente]],'BASE DE CLIENTES'!A:C,3,0)</f>
        <v>GO</v>
      </c>
      <c r="E749" s="4" t="str">
        <f>CONCATENATE(Tabela1[[#This Row],[CIDADE]],",",Tabela1[[#This Row],[UF]])</f>
        <v>Aparecida de Goiânia,GO</v>
      </c>
      <c r="F749" s="2">
        <v>45757</v>
      </c>
      <c r="G749" s="17">
        <v>174.21</v>
      </c>
      <c r="H749" s="17">
        <v>230</v>
      </c>
      <c r="I749" s="6">
        <f>Tabela1[[#This Row],[Valor total]]-Tabela1[[#This Row],[Valor custo]]</f>
        <v>55.789999999999992</v>
      </c>
      <c r="J749" s="7">
        <f>Tabela1[[#This Row],[MARGEM BRUTA]]/Tabela1[[#This Row],[Valor total]]</f>
        <v>0.24256521739130432</v>
      </c>
      <c r="K749" s="1" t="str">
        <f>VLOOKUP(Tabela1[[#This Row],[Cliente]],'BASE DE CLIENTES'!A:D,4,0)</f>
        <v>TECNICO</v>
      </c>
      <c r="L749" s="1" t="str">
        <f>VLOOKUP(Tabela1[[#This Row],[Cliente]],'BASE DE CLIENTES'!A:E,5,0)</f>
        <v>Aparecida de Goiânia</v>
      </c>
    </row>
    <row r="750" spans="2:12" x14ac:dyDescent="0.3">
      <c r="B750" s="1" t="s">
        <v>106</v>
      </c>
      <c r="C750" s="4" t="str">
        <f>VLOOKUP(Tabela1[[#This Row],[Cliente]],'BASE DE CLIENTES'!A:E,2,0)</f>
        <v>Brasília</v>
      </c>
      <c r="D750" s="1" t="str">
        <f>VLOOKUP(Tabela1[[#This Row],[Cliente]],'BASE DE CLIENTES'!A:C,3,0)</f>
        <v>DF</v>
      </c>
      <c r="E750" s="4" t="str">
        <f>CONCATENATE(Tabela1[[#This Row],[CIDADE]],",",Tabela1[[#This Row],[UF]])</f>
        <v>Brasília,DF</v>
      </c>
      <c r="F750" s="2">
        <v>45726</v>
      </c>
      <c r="G750" s="17">
        <v>514.45000000000005</v>
      </c>
      <c r="H750" s="17">
        <v>690</v>
      </c>
      <c r="I750" s="6">
        <f>Tabela1[[#This Row],[Valor total]]-Tabela1[[#This Row],[Valor custo]]</f>
        <v>175.54999999999995</v>
      </c>
      <c r="J750" s="7">
        <f>Tabela1[[#This Row],[MARGEM BRUTA]]/Tabela1[[#This Row],[Valor total]]</f>
        <v>0.25442028985507242</v>
      </c>
      <c r="K750" s="1" t="str">
        <f>VLOOKUP(Tabela1[[#This Row],[Cliente]],'BASE DE CLIENTES'!A:D,4,0)</f>
        <v>EMPRESA COM MAQUINA</v>
      </c>
      <c r="L750" s="1" t="str">
        <f>VLOOKUP(Tabela1[[#This Row],[Cliente]],'BASE DE CLIENTES'!A:E,5,0)</f>
        <v>26 DE SETEMBRO</v>
      </c>
    </row>
    <row r="751" spans="2:12" x14ac:dyDescent="0.3">
      <c r="B751" s="1" t="s">
        <v>152</v>
      </c>
      <c r="C751" s="4" t="str">
        <f>VLOOKUP(Tabela1[[#This Row],[Cliente]],'BASE DE CLIENTES'!A:E,2,0)</f>
        <v>Aparecida de Goiânia</v>
      </c>
      <c r="D751" s="1" t="str">
        <f>VLOOKUP(Tabela1[[#This Row],[Cliente]],'BASE DE CLIENTES'!A:C,3,0)</f>
        <v>GO</v>
      </c>
      <c r="E751" s="4" t="str">
        <f>CONCATENATE(Tabela1[[#This Row],[CIDADE]],",",Tabela1[[#This Row],[UF]])</f>
        <v>Aparecida de Goiânia,GO</v>
      </c>
      <c r="F751" s="2">
        <v>45777</v>
      </c>
      <c r="G751" s="17">
        <v>473</v>
      </c>
      <c r="H751" s="17">
        <v>630</v>
      </c>
      <c r="I751" s="6">
        <f>Tabela1[[#This Row],[Valor total]]-Tabela1[[#This Row],[Valor custo]]</f>
        <v>157</v>
      </c>
      <c r="J751" s="7">
        <f>Tabela1[[#This Row],[MARGEM BRUTA]]/Tabela1[[#This Row],[Valor total]]</f>
        <v>0.24920634920634921</v>
      </c>
      <c r="K751" s="1" t="str">
        <f>VLOOKUP(Tabela1[[#This Row],[Cliente]],'BASE DE CLIENTES'!A:D,4,0)</f>
        <v>TECNICO</v>
      </c>
      <c r="L751" s="1" t="str">
        <f>VLOOKUP(Tabela1[[#This Row],[Cliente]],'BASE DE CLIENTES'!A:E,5,0)</f>
        <v>Aparecida de Goiânia</v>
      </c>
    </row>
    <row r="752" spans="2:12" x14ac:dyDescent="0.3">
      <c r="B752" s="1" t="s">
        <v>152</v>
      </c>
      <c r="C752" s="4" t="str">
        <f>VLOOKUP(Tabela1[[#This Row],[Cliente]],'BASE DE CLIENTES'!A:E,2,0)</f>
        <v>Aparecida de Goiânia</v>
      </c>
      <c r="D752" s="1" t="str">
        <f>VLOOKUP(Tabela1[[#This Row],[Cliente]],'BASE DE CLIENTES'!A:C,3,0)</f>
        <v>GO</v>
      </c>
      <c r="E752" s="4" t="str">
        <f>CONCATENATE(Tabela1[[#This Row],[CIDADE]],",",Tabela1[[#This Row],[UF]])</f>
        <v>Aparecida de Goiânia,GO</v>
      </c>
      <c r="F752" s="2">
        <v>45737</v>
      </c>
      <c r="G752" s="17">
        <v>514.45000000000005</v>
      </c>
      <c r="H752" s="17">
        <v>690</v>
      </c>
      <c r="I752" s="6">
        <f>Tabela1[[#This Row],[Valor total]]-Tabela1[[#This Row],[Valor custo]]</f>
        <v>175.54999999999995</v>
      </c>
      <c r="J752" s="7">
        <f>Tabela1[[#This Row],[MARGEM BRUTA]]/Tabela1[[#This Row],[Valor total]]</f>
        <v>0.25442028985507242</v>
      </c>
      <c r="K752" s="1" t="str">
        <f>VLOOKUP(Tabela1[[#This Row],[Cliente]],'BASE DE CLIENTES'!A:D,4,0)</f>
        <v>TECNICO</v>
      </c>
      <c r="L752" s="1" t="str">
        <f>VLOOKUP(Tabela1[[#This Row],[Cliente]],'BASE DE CLIENTES'!A:E,5,0)</f>
        <v>Aparecida de Goiânia</v>
      </c>
    </row>
    <row r="753" spans="2:12" x14ac:dyDescent="0.3">
      <c r="B753" s="1" t="s">
        <v>27</v>
      </c>
      <c r="C753" s="4" t="str">
        <f>VLOOKUP(Tabela1[[#This Row],[Cliente]],'BASE DE CLIENTES'!A:E,2,0)</f>
        <v>Brasília</v>
      </c>
      <c r="D753" s="1" t="str">
        <f>VLOOKUP(Tabela1[[#This Row],[Cliente]],'BASE DE CLIENTES'!A:C,3,0)</f>
        <v>DF</v>
      </c>
      <c r="E753" s="4" t="str">
        <f>CONCATENATE(Tabela1[[#This Row],[CIDADE]],",",Tabela1[[#This Row],[UF]])</f>
        <v>Brasília,DF</v>
      </c>
      <c r="F753" s="2">
        <v>45723</v>
      </c>
      <c r="G753" s="17">
        <v>1060.6500000000001</v>
      </c>
      <c r="H753" s="17">
        <v>1570</v>
      </c>
      <c r="I753" s="6">
        <f>Tabela1[[#This Row],[Valor total]]-Tabela1[[#This Row],[Valor custo]]</f>
        <v>509.34999999999991</v>
      </c>
      <c r="J753" s="7">
        <f>Tabela1[[#This Row],[MARGEM BRUTA]]/Tabela1[[#This Row],[Valor total]]</f>
        <v>0.32442675159235662</v>
      </c>
      <c r="K753" s="1" t="str">
        <f>VLOOKUP(Tabela1[[#This Row],[Cliente]],'BASE DE CLIENTES'!A:D,4,0)</f>
        <v>EMPRESA SEM MAQUINA</v>
      </c>
      <c r="L753" s="1" t="str">
        <f>VLOOKUP(Tabela1[[#This Row],[Cliente]],'BASE DE CLIENTES'!A:E,5,0)</f>
        <v>RECANTO DAS EMAS</v>
      </c>
    </row>
    <row r="754" spans="2:12" x14ac:dyDescent="0.3">
      <c r="B754" s="1" t="s">
        <v>123</v>
      </c>
      <c r="C754" s="4" t="str">
        <f>VLOOKUP(Tabela1[[#This Row],[Cliente]],'BASE DE CLIENTES'!A:E,2,0)</f>
        <v>Brasília</v>
      </c>
      <c r="D754" s="1" t="str">
        <f>VLOOKUP(Tabela1[[#This Row],[Cliente]],'BASE DE CLIENTES'!A:C,3,0)</f>
        <v>DF</v>
      </c>
      <c r="E754" s="4" t="str">
        <f>CONCATENATE(Tabela1[[#This Row],[CIDADE]],",",Tabela1[[#This Row],[UF]])</f>
        <v>Brasília,DF</v>
      </c>
      <c r="F754" s="2">
        <v>45723</v>
      </c>
      <c r="G754" s="17">
        <v>1028.9000000000001</v>
      </c>
      <c r="H754" s="17">
        <v>1430</v>
      </c>
      <c r="I754" s="6">
        <f>Tabela1[[#This Row],[Valor total]]-Tabela1[[#This Row],[Valor custo]]</f>
        <v>401.09999999999991</v>
      </c>
      <c r="J754" s="7">
        <f>Tabela1[[#This Row],[MARGEM BRUTA]]/Tabela1[[#This Row],[Valor total]]</f>
        <v>0.28048951048951043</v>
      </c>
      <c r="K754" s="1" t="str">
        <f>VLOOKUP(Tabela1[[#This Row],[Cliente]],'BASE DE CLIENTES'!A:D,4,0)</f>
        <v>EMPRESA COM MAQUINA</v>
      </c>
      <c r="L754" s="1" t="str">
        <f>VLOOKUP(Tabela1[[#This Row],[Cliente]],'BASE DE CLIENTES'!A:E,5,0)</f>
        <v>ADE CEILÂNDIA</v>
      </c>
    </row>
    <row r="755" spans="2:12" x14ac:dyDescent="0.3">
      <c r="B755" s="1" t="s">
        <v>111</v>
      </c>
      <c r="C755" s="4" t="str">
        <f>VLOOKUP(Tabela1[[#This Row],[Cliente]],'BASE DE CLIENTES'!A:E,2,0)</f>
        <v>Brasília</v>
      </c>
      <c r="D755" s="1" t="str">
        <f>VLOOKUP(Tabela1[[#This Row],[Cliente]],'BASE DE CLIENTES'!A:C,3,0)</f>
        <v>DF</v>
      </c>
      <c r="E755" s="4" t="str">
        <f>CONCATENATE(Tabela1[[#This Row],[CIDADE]],",",Tabela1[[#This Row],[UF]])</f>
        <v>Brasília,DF</v>
      </c>
      <c r="F755" s="2">
        <v>45723</v>
      </c>
      <c r="G755" s="17">
        <v>1028.9000000000001</v>
      </c>
      <c r="H755" s="17">
        <v>1440</v>
      </c>
      <c r="I755" s="6">
        <f>Tabela1[[#This Row],[Valor total]]-Tabela1[[#This Row],[Valor custo]]</f>
        <v>411.09999999999991</v>
      </c>
      <c r="J755" s="7">
        <f>Tabela1[[#This Row],[MARGEM BRUTA]]/Tabela1[[#This Row],[Valor total]]</f>
        <v>0.28548611111111105</v>
      </c>
      <c r="K755" s="1" t="str">
        <f>VLOOKUP(Tabela1[[#This Row],[Cliente]],'BASE DE CLIENTES'!A:D,4,0)</f>
        <v>EMPRESA SEM MAQUINA</v>
      </c>
      <c r="L755" s="1" t="str">
        <f>VLOOKUP(Tabela1[[#This Row],[Cliente]],'BASE DE CLIENTES'!A:E,5,0)</f>
        <v>TAGUATINGA SUL (TAGUATINGA)</v>
      </c>
    </row>
    <row r="756" spans="2:12" x14ac:dyDescent="0.3">
      <c r="B756" s="1" t="s">
        <v>25</v>
      </c>
      <c r="C756" s="4" t="str">
        <f>VLOOKUP(Tabela1[[#This Row],[Cliente]],'BASE DE CLIENTES'!A:E,2,0)</f>
        <v>Brasília</v>
      </c>
      <c r="D756" s="1" t="str">
        <f>VLOOKUP(Tabela1[[#This Row],[Cliente]],'BASE DE CLIENTES'!A:C,3,0)</f>
        <v>DF</v>
      </c>
      <c r="E756" s="4" t="str">
        <f>CONCATENATE(Tabela1[[#This Row],[CIDADE]],",",Tabela1[[#This Row],[UF]])</f>
        <v>Brasília,DF</v>
      </c>
      <c r="F756" s="2">
        <v>45723</v>
      </c>
      <c r="G756" s="17">
        <v>439.2</v>
      </c>
      <c r="H756" s="17">
        <v>645</v>
      </c>
      <c r="I756" s="6">
        <f>Tabela1[[#This Row],[Valor total]]-Tabela1[[#This Row],[Valor custo]]</f>
        <v>205.8</v>
      </c>
      <c r="J756" s="7">
        <f>Tabela1[[#This Row],[MARGEM BRUTA]]/Tabela1[[#This Row],[Valor total]]</f>
        <v>0.3190697674418605</v>
      </c>
      <c r="K756" s="1" t="str">
        <f>VLOOKUP(Tabela1[[#This Row],[Cliente]],'BASE DE CLIENTES'!A:D,4,0)</f>
        <v>EMPRESA COM MAQUINA</v>
      </c>
      <c r="L756" s="1" t="str">
        <f>VLOOKUP(Tabela1[[#This Row],[Cliente]],'BASE DE CLIENTES'!A:E,5,0)</f>
        <v>CEILANDIA NORTE (CEILANDIA)</v>
      </c>
    </row>
    <row r="757" spans="2:12" x14ac:dyDescent="0.3">
      <c r="B757" s="1" t="s">
        <v>15</v>
      </c>
      <c r="C757" s="4" t="str">
        <f>VLOOKUP(Tabela1[[#This Row],[Cliente]],'BASE DE CLIENTES'!A:E,2,0)</f>
        <v>Brasília</v>
      </c>
      <c r="D757" s="1" t="str">
        <f>VLOOKUP(Tabela1[[#This Row],[Cliente]],'BASE DE CLIENTES'!A:C,3,0)</f>
        <v>DF</v>
      </c>
      <c r="E757" s="4" t="str">
        <f>CONCATENATE(Tabela1[[#This Row],[CIDADE]],",",Tabela1[[#This Row],[UF]])</f>
        <v>Brasília,DF</v>
      </c>
      <c r="F757" s="2">
        <v>45723</v>
      </c>
      <c r="G757" s="17">
        <v>52.2</v>
      </c>
      <c r="H757" s="17">
        <v>185</v>
      </c>
      <c r="I757" s="6">
        <f>Tabela1[[#This Row],[Valor total]]-Tabela1[[#This Row],[Valor custo]]</f>
        <v>132.80000000000001</v>
      </c>
      <c r="J757" s="7">
        <f>Tabela1[[#This Row],[MARGEM BRUTA]]/Tabela1[[#This Row],[Valor total]]</f>
        <v>0.71783783783783794</v>
      </c>
      <c r="K757" s="1" t="str">
        <f>VLOOKUP(Tabela1[[#This Row],[Cliente]],'BASE DE CLIENTES'!A:D,4,0)</f>
        <v>SERRALHEIRO</v>
      </c>
      <c r="L757" s="1" t="str">
        <f>VLOOKUP(Tabela1[[#This Row],[Cliente]],'BASE DE CLIENTES'!A:E,5,0)</f>
        <v>SETOR HABITACIONAL VICENTE PIRES</v>
      </c>
    </row>
    <row r="758" spans="2:12" x14ac:dyDescent="0.3">
      <c r="B758" s="1" t="s">
        <v>42</v>
      </c>
      <c r="C758" s="4" t="str">
        <f>VLOOKUP(Tabela1[[#This Row],[Cliente]],'BASE DE CLIENTES'!A:E,2,0)</f>
        <v>Brasília</v>
      </c>
      <c r="D758" s="1" t="str">
        <f>VLOOKUP(Tabela1[[#This Row],[Cliente]],'BASE DE CLIENTES'!A:C,3,0)</f>
        <v>DF</v>
      </c>
      <c r="E758" s="4" t="str">
        <f>CONCATENATE(Tabela1[[#This Row],[CIDADE]],",",Tabela1[[#This Row],[UF]])</f>
        <v>Brasília,DF</v>
      </c>
      <c r="F758" s="2">
        <v>45723</v>
      </c>
      <c r="G758" s="17">
        <v>7777.76</v>
      </c>
      <c r="H758" s="17">
        <v>10340</v>
      </c>
      <c r="I758" s="6">
        <f>Tabela1[[#This Row],[Valor total]]-Tabela1[[#This Row],[Valor custo]]</f>
        <v>2562.2399999999998</v>
      </c>
      <c r="J758" s="7">
        <f>Tabela1[[#This Row],[MARGEM BRUTA]]/Tabela1[[#This Row],[Valor total]]</f>
        <v>0.24779883945841391</v>
      </c>
      <c r="K758" s="1" t="str">
        <f>VLOOKUP(Tabela1[[#This Row],[Cliente]],'BASE DE CLIENTES'!A:D,4,0)</f>
        <v>EMPRESA SEM MAQUINA</v>
      </c>
      <c r="L758" s="1" t="str">
        <f>VLOOKUP(Tabela1[[#This Row],[Cliente]],'BASE DE CLIENTES'!A:E,5,0)</f>
        <v>SAMAMBAIA</v>
      </c>
    </row>
    <row r="759" spans="2:12" x14ac:dyDescent="0.3">
      <c r="B759" s="1" t="s">
        <v>102</v>
      </c>
      <c r="C759" s="4" t="str">
        <f>VLOOKUP(Tabela1[[#This Row],[Cliente]],'BASE DE CLIENTES'!A:E,2,0)</f>
        <v>Brasília</v>
      </c>
      <c r="D759" s="1" t="str">
        <f>VLOOKUP(Tabela1[[#This Row],[Cliente]],'BASE DE CLIENTES'!A:C,3,0)</f>
        <v>DF</v>
      </c>
      <c r="E759" s="4" t="str">
        <f>CONCATENATE(Tabela1[[#This Row],[CIDADE]],",",Tabela1[[#This Row],[UF]])</f>
        <v>Brasília,DF</v>
      </c>
      <c r="F759" s="2">
        <v>45723</v>
      </c>
      <c r="G759" s="17">
        <v>819.74</v>
      </c>
      <c r="H759" s="17">
        <v>1200</v>
      </c>
      <c r="I759" s="6">
        <f>Tabela1[[#This Row],[Valor total]]-Tabela1[[#This Row],[Valor custo]]</f>
        <v>380.26</v>
      </c>
      <c r="J759" s="7">
        <f>Tabela1[[#This Row],[MARGEM BRUTA]]/Tabela1[[#This Row],[Valor total]]</f>
        <v>0.31688333333333335</v>
      </c>
      <c r="K759" s="1" t="str">
        <f>VLOOKUP(Tabela1[[#This Row],[Cliente]],'BASE DE CLIENTES'!A:D,4,0)</f>
        <v>SERRALHEIRO</v>
      </c>
      <c r="L759" s="1" t="str">
        <f>VLOOKUP(Tabela1[[#This Row],[Cliente]],'BASE DE CLIENTES'!A:E,5,0)</f>
        <v>Samambaia Norte (Samambaia)</v>
      </c>
    </row>
    <row r="760" spans="2:12" x14ac:dyDescent="0.3">
      <c r="B760" s="1" t="s">
        <v>68</v>
      </c>
      <c r="C760" s="4" t="str">
        <f>VLOOKUP(Tabela1[[#This Row],[Cliente]],'BASE DE CLIENTES'!A:E,2,0)</f>
        <v>Brasília</v>
      </c>
      <c r="D760" s="1" t="str">
        <f>VLOOKUP(Tabela1[[#This Row],[Cliente]],'BASE DE CLIENTES'!A:C,3,0)</f>
        <v>DF</v>
      </c>
      <c r="E760" s="4" t="str">
        <f>CONCATENATE(Tabela1[[#This Row],[CIDADE]],",",Tabela1[[#This Row],[UF]])</f>
        <v>Brasília,DF</v>
      </c>
      <c r="F760" s="2">
        <v>45723</v>
      </c>
      <c r="G760" s="17">
        <v>199.28</v>
      </c>
      <c r="H760" s="17">
        <v>259</v>
      </c>
      <c r="I760" s="6">
        <f>Tabela1[[#This Row],[Valor total]]-Tabela1[[#This Row],[Valor custo]]</f>
        <v>59.72</v>
      </c>
      <c r="J760" s="7">
        <f>Tabela1[[#This Row],[MARGEM BRUTA]]/Tabela1[[#This Row],[Valor total]]</f>
        <v>0.23057915057915057</v>
      </c>
      <c r="K760" s="1" t="str">
        <f>VLOOKUP(Tabela1[[#This Row],[Cliente]],'BASE DE CLIENTES'!A:D,4,0)</f>
        <v>EMPRESA COM MAQUINA</v>
      </c>
      <c r="L760" s="1" t="str">
        <f>VLOOKUP(Tabela1[[#This Row],[Cliente]],'BASE DE CLIENTES'!A:E,5,0)</f>
        <v>SAMAMBAIA SUL (SAMAMBAIA)</v>
      </c>
    </row>
    <row r="761" spans="2:12" x14ac:dyDescent="0.3">
      <c r="B761" s="1" t="s">
        <v>96</v>
      </c>
      <c r="C761" s="4" t="str">
        <f>VLOOKUP(Tabela1[[#This Row],[Cliente]],'BASE DE CLIENTES'!A:E,2,0)</f>
        <v>Brasília</v>
      </c>
      <c r="D761" s="1" t="str">
        <f>VLOOKUP(Tabela1[[#This Row],[Cliente]],'BASE DE CLIENTES'!A:C,3,0)</f>
        <v>DF</v>
      </c>
      <c r="E761" s="4" t="str">
        <f>CONCATENATE(Tabela1[[#This Row],[CIDADE]],",",Tabela1[[#This Row],[UF]])</f>
        <v>Brasília,DF</v>
      </c>
      <c r="F761" s="2">
        <v>45723</v>
      </c>
      <c r="G761" s="17">
        <v>2200.3000000000002</v>
      </c>
      <c r="H761" s="17">
        <v>3100</v>
      </c>
      <c r="I761" s="6">
        <f>Tabela1[[#This Row],[Valor total]]-Tabela1[[#This Row],[Valor custo]]</f>
        <v>899.69999999999982</v>
      </c>
      <c r="J761" s="7">
        <f>Tabela1[[#This Row],[MARGEM BRUTA]]/Tabela1[[#This Row],[Valor total]]</f>
        <v>0.29022580645161283</v>
      </c>
      <c r="K761" s="1" t="str">
        <f>VLOOKUP(Tabela1[[#This Row],[Cliente]],'BASE DE CLIENTES'!A:D,4,0)</f>
        <v>EMPRESA SEM MAQUINA</v>
      </c>
      <c r="L761" s="1" t="str">
        <f>VLOOKUP(Tabela1[[#This Row],[Cliente]],'BASE DE CLIENTES'!A:E,5,0)</f>
        <v>CEILANDIA NORTE (CEILANDIA)</v>
      </c>
    </row>
    <row r="762" spans="2:12" x14ac:dyDescent="0.3">
      <c r="B762" s="1" t="s">
        <v>23</v>
      </c>
      <c r="C762" s="4" t="str">
        <f>VLOOKUP(Tabela1[[#This Row],[Cliente]],'BASE DE CLIENTES'!A:E,2,0)</f>
        <v>Brasília</v>
      </c>
      <c r="D762" s="1" t="str">
        <f>VLOOKUP(Tabela1[[#This Row],[Cliente]],'BASE DE CLIENTES'!A:C,3,0)</f>
        <v>DF</v>
      </c>
      <c r="E762" s="4" t="str">
        <f>CONCATENATE(Tabela1[[#This Row],[CIDADE]],",",Tabela1[[#This Row],[UF]])</f>
        <v>Brasília,DF</v>
      </c>
      <c r="F762" s="2">
        <v>45723</v>
      </c>
      <c r="G762" s="17">
        <v>439.2</v>
      </c>
      <c r="H762" s="17">
        <v>650</v>
      </c>
      <c r="I762" s="6">
        <f>Tabela1[[#This Row],[Valor total]]-Tabela1[[#This Row],[Valor custo]]</f>
        <v>210.8</v>
      </c>
      <c r="J762" s="7">
        <f>Tabela1[[#This Row],[MARGEM BRUTA]]/Tabela1[[#This Row],[Valor total]]</f>
        <v>0.32430769230769235</v>
      </c>
      <c r="K762" s="1" t="str">
        <f>VLOOKUP(Tabela1[[#This Row],[Cliente]],'BASE DE CLIENTES'!A:D,4,0)</f>
        <v>EMPRESA SEM MAQUINA</v>
      </c>
      <c r="L762" s="1" t="str">
        <f>VLOOKUP(Tabela1[[#This Row],[Cliente]],'BASE DE CLIENTES'!A:E,5,0)</f>
        <v>SETOR INDUSTRIAL (TAGUATINGA)</v>
      </c>
    </row>
    <row r="763" spans="2:12" x14ac:dyDescent="0.3">
      <c r="B763" s="1" t="s">
        <v>27</v>
      </c>
      <c r="C763" s="4" t="str">
        <f>VLOOKUP(Tabela1[[#This Row],[Cliente]],'BASE DE CLIENTES'!A:E,2,0)</f>
        <v>Brasília</v>
      </c>
      <c r="D763" s="1" t="str">
        <f>VLOOKUP(Tabela1[[#This Row],[Cliente]],'BASE DE CLIENTES'!A:C,3,0)</f>
        <v>DF</v>
      </c>
      <c r="E763" s="4" t="str">
        <f>CONCATENATE(Tabela1[[#This Row],[CIDADE]],",",Tabela1[[#This Row],[UF]])</f>
        <v>Brasília,DF</v>
      </c>
      <c r="F763" s="2">
        <v>45723</v>
      </c>
      <c r="G763" s="17">
        <v>1078.9000000000001</v>
      </c>
      <c r="H763" s="17">
        <v>1040</v>
      </c>
      <c r="I763" s="6">
        <f>Tabela1[[#This Row],[Valor total]]-Tabela1[[#This Row],[Valor custo]]</f>
        <v>-38.900000000000091</v>
      </c>
      <c r="J763" s="7">
        <f>Tabela1[[#This Row],[MARGEM BRUTA]]/Tabela1[[#This Row],[Valor total]]</f>
        <v>-3.7403846153846239E-2</v>
      </c>
      <c r="K763" s="1" t="str">
        <f>VLOOKUP(Tabela1[[#This Row],[Cliente]],'BASE DE CLIENTES'!A:D,4,0)</f>
        <v>EMPRESA SEM MAQUINA</v>
      </c>
      <c r="L763" s="1" t="str">
        <f>VLOOKUP(Tabela1[[#This Row],[Cliente]],'BASE DE CLIENTES'!A:E,5,0)</f>
        <v>RECANTO DAS EMAS</v>
      </c>
    </row>
    <row r="764" spans="2:12" x14ac:dyDescent="0.3">
      <c r="B764" s="1" t="s">
        <v>127</v>
      </c>
      <c r="C764" s="4" t="str">
        <f>VLOOKUP(Tabela1[[#This Row],[Cliente]],'BASE DE CLIENTES'!A:E,2,0)</f>
        <v>Brasília</v>
      </c>
      <c r="D764" s="1" t="str">
        <f>VLOOKUP(Tabela1[[#This Row],[Cliente]],'BASE DE CLIENTES'!A:C,3,0)</f>
        <v>DF</v>
      </c>
      <c r="E764" s="4" t="str">
        <f>CONCATENATE(Tabela1[[#This Row],[CIDADE]],",",Tabela1[[#This Row],[UF]])</f>
        <v>Brasília,DF</v>
      </c>
      <c r="F764" s="2">
        <v>45723</v>
      </c>
      <c r="G764" s="17">
        <v>1771.29</v>
      </c>
      <c r="H764" s="17">
        <v>2500</v>
      </c>
      <c r="I764" s="6">
        <f>Tabela1[[#This Row],[Valor total]]-Tabela1[[#This Row],[Valor custo]]</f>
        <v>728.71</v>
      </c>
      <c r="J764" s="7">
        <f>Tabela1[[#This Row],[MARGEM BRUTA]]/Tabela1[[#This Row],[Valor total]]</f>
        <v>0.29148400000000002</v>
      </c>
      <c r="K764" s="1" t="str">
        <f>VLOOKUP(Tabela1[[#This Row],[Cliente]],'BASE DE CLIENTES'!A:D,4,0)</f>
        <v>EMPRESA COM MAQUINA</v>
      </c>
      <c r="L764" s="1" t="str">
        <f>VLOOKUP(Tabela1[[#This Row],[Cliente]],'BASE DE CLIENTES'!A:E,5,0)</f>
        <v>CEILANDIA SUL (CEILANDIA)</v>
      </c>
    </row>
    <row r="765" spans="2:12" x14ac:dyDescent="0.3">
      <c r="B765" s="1" t="s">
        <v>23</v>
      </c>
      <c r="C765" s="4" t="str">
        <f>VLOOKUP(Tabela1[[#This Row],[Cliente]],'BASE DE CLIENTES'!A:E,2,0)</f>
        <v>Brasília</v>
      </c>
      <c r="D765" s="1" t="str">
        <f>VLOOKUP(Tabela1[[#This Row],[Cliente]],'BASE DE CLIENTES'!A:C,3,0)</f>
        <v>DF</v>
      </c>
      <c r="E765" s="4" t="str">
        <f>CONCATENATE(Tabela1[[#This Row],[CIDADE]],",",Tabela1[[#This Row],[UF]])</f>
        <v>Brasília,DF</v>
      </c>
      <c r="F765" s="2">
        <v>45723</v>
      </c>
      <c r="G765" s="17">
        <v>452.89</v>
      </c>
      <c r="H765" s="17">
        <v>750</v>
      </c>
      <c r="I765" s="6">
        <f>Tabela1[[#This Row],[Valor total]]-Tabela1[[#This Row],[Valor custo]]</f>
        <v>297.11</v>
      </c>
      <c r="J765" s="7">
        <f>Tabela1[[#This Row],[MARGEM BRUTA]]/Tabela1[[#This Row],[Valor total]]</f>
        <v>0.3961466666666667</v>
      </c>
      <c r="K765" s="1" t="str">
        <f>VLOOKUP(Tabela1[[#This Row],[Cliente]],'BASE DE CLIENTES'!A:D,4,0)</f>
        <v>EMPRESA SEM MAQUINA</v>
      </c>
      <c r="L765" s="1" t="str">
        <f>VLOOKUP(Tabela1[[#This Row],[Cliente]],'BASE DE CLIENTES'!A:E,5,0)</f>
        <v>SETOR INDUSTRIAL (TAGUATINGA)</v>
      </c>
    </row>
    <row r="766" spans="2:12" x14ac:dyDescent="0.3">
      <c r="B766" s="1" t="s">
        <v>96</v>
      </c>
      <c r="C766" s="4" t="str">
        <f>VLOOKUP(Tabela1[[#This Row],[Cliente]],'BASE DE CLIENTES'!A:E,2,0)</f>
        <v>Brasília</v>
      </c>
      <c r="D766" s="1" t="str">
        <f>VLOOKUP(Tabela1[[#This Row],[Cliente]],'BASE DE CLIENTES'!A:C,3,0)</f>
        <v>DF</v>
      </c>
      <c r="E766" s="4" t="str">
        <f>CONCATENATE(Tabela1[[#This Row],[CIDADE]],",",Tabela1[[#This Row],[UF]])</f>
        <v>Brasília,DF</v>
      </c>
      <c r="F766" s="2">
        <v>45723</v>
      </c>
      <c r="G766" s="17">
        <v>33</v>
      </c>
      <c r="H766" s="17">
        <v>163.24</v>
      </c>
      <c r="I766" s="6">
        <f>Tabela1[[#This Row],[Valor total]]-Tabela1[[#This Row],[Valor custo]]</f>
        <v>130.24</v>
      </c>
      <c r="J766" s="7">
        <f>Tabela1[[#This Row],[MARGEM BRUTA]]/Tabela1[[#This Row],[Valor total]]</f>
        <v>0.7978436657681941</v>
      </c>
      <c r="K766" s="1" t="str">
        <f>VLOOKUP(Tabela1[[#This Row],[Cliente]],'BASE DE CLIENTES'!A:D,4,0)</f>
        <v>EMPRESA SEM MAQUINA</v>
      </c>
      <c r="L766" s="1" t="str">
        <f>VLOOKUP(Tabela1[[#This Row],[Cliente]],'BASE DE CLIENTES'!A:E,5,0)</f>
        <v>CEILANDIA NORTE (CEILANDIA)</v>
      </c>
    </row>
    <row r="767" spans="2:12" x14ac:dyDescent="0.3">
      <c r="B767" s="1" t="s">
        <v>78</v>
      </c>
      <c r="C767" s="4" t="str">
        <f>VLOOKUP(Tabela1[[#This Row],[Cliente]],'BASE DE CLIENTES'!A:E,2,0)</f>
        <v>Brasília</v>
      </c>
      <c r="D767" s="1" t="str">
        <f>VLOOKUP(Tabela1[[#This Row],[Cliente]],'BASE DE CLIENTES'!A:C,3,0)</f>
        <v>DF</v>
      </c>
      <c r="E767" s="4" t="str">
        <f>CONCATENATE(Tabela1[[#This Row],[CIDADE]],",",Tabela1[[#This Row],[UF]])</f>
        <v>Brasília,DF</v>
      </c>
      <c r="F767" s="2">
        <v>45723</v>
      </c>
      <c r="G767" s="17">
        <v>1187.6600000000001</v>
      </c>
      <c r="H767" s="17">
        <v>1890</v>
      </c>
      <c r="I767" s="6">
        <f>Tabela1[[#This Row],[Valor total]]-Tabela1[[#This Row],[Valor custo]]</f>
        <v>702.33999999999992</v>
      </c>
      <c r="J767" s="7">
        <f>Tabela1[[#This Row],[MARGEM BRUTA]]/Tabela1[[#This Row],[Valor total]]</f>
        <v>0.37160846560846555</v>
      </c>
      <c r="K767" s="1" t="str">
        <f>VLOOKUP(Tabela1[[#This Row],[Cliente]],'BASE DE CLIENTES'!A:D,4,0)</f>
        <v>SERRALHEIRO</v>
      </c>
      <c r="L767" s="1" t="str">
        <f>VLOOKUP(Tabela1[[#This Row],[Cliente]],'BASE DE CLIENTES'!A:E,5,0)</f>
        <v>Vila do Boa (São Sebastião)</v>
      </c>
    </row>
    <row r="768" spans="2:12" x14ac:dyDescent="0.3">
      <c r="B768" s="1" t="s">
        <v>152</v>
      </c>
      <c r="C768" s="4" t="str">
        <f>VLOOKUP(Tabela1[[#This Row],[Cliente]],'BASE DE CLIENTES'!A:E,2,0)</f>
        <v>Aparecida de Goiânia</v>
      </c>
      <c r="D768" s="1" t="str">
        <f>VLOOKUP(Tabela1[[#This Row],[Cliente]],'BASE DE CLIENTES'!A:C,3,0)</f>
        <v>GO</v>
      </c>
      <c r="E768" s="4" t="str">
        <f>CONCATENATE(Tabela1[[#This Row],[CIDADE]],",",Tabela1[[#This Row],[UF]])</f>
        <v>Aparecida de Goiânia,GO</v>
      </c>
      <c r="F768" s="2">
        <v>45721</v>
      </c>
      <c r="G768" s="17">
        <v>1028.9000000000001</v>
      </c>
      <c r="H768" s="17">
        <v>1380</v>
      </c>
      <c r="I768" s="6">
        <f>Tabela1[[#This Row],[Valor total]]-Tabela1[[#This Row],[Valor custo]]</f>
        <v>351.09999999999991</v>
      </c>
      <c r="J768" s="7">
        <f>Tabela1[[#This Row],[MARGEM BRUTA]]/Tabela1[[#This Row],[Valor total]]</f>
        <v>0.25442028985507242</v>
      </c>
      <c r="K768" s="1" t="str">
        <f>VLOOKUP(Tabela1[[#This Row],[Cliente]],'BASE DE CLIENTES'!A:D,4,0)</f>
        <v>TECNICO</v>
      </c>
      <c r="L768" s="1" t="str">
        <f>VLOOKUP(Tabela1[[#This Row],[Cliente]],'BASE DE CLIENTES'!A:E,5,0)</f>
        <v>Aparecida de Goiânia</v>
      </c>
    </row>
    <row r="769" spans="2:12" x14ac:dyDescent="0.3">
      <c r="B769" s="1" t="s">
        <v>120</v>
      </c>
      <c r="C769" s="4" t="str">
        <f>VLOOKUP(Tabela1[[#This Row],[Cliente]],'BASE DE CLIENTES'!A:E,2,0)</f>
        <v>Brasília</v>
      </c>
      <c r="D769" s="1" t="str">
        <f>VLOOKUP(Tabela1[[#This Row],[Cliente]],'BASE DE CLIENTES'!A:C,3,0)</f>
        <v>DF</v>
      </c>
      <c r="E769" s="4" t="str">
        <f>CONCATENATE(Tabela1[[#This Row],[CIDADE]],",",Tabela1[[#This Row],[UF]])</f>
        <v>Brasília,DF</v>
      </c>
      <c r="F769" s="2">
        <v>45749</v>
      </c>
      <c r="G769" s="17">
        <v>41</v>
      </c>
      <c r="H769" s="17">
        <v>55</v>
      </c>
      <c r="I769" s="6">
        <f>Tabela1[[#This Row],[Valor total]]-Tabela1[[#This Row],[Valor custo]]</f>
        <v>14</v>
      </c>
      <c r="J769" s="7">
        <f>Tabela1[[#This Row],[MARGEM BRUTA]]/Tabela1[[#This Row],[Valor total]]</f>
        <v>0.25454545454545452</v>
      </c>
      <c r="K769" s="1" t="str">
        <f>VLOOKUP(Tabela1[[#This Row],[Cliente]],'BASE DE CLIENTES'!A:D,4,0)</f>
        <v>EMPRESA SEM MAQUINA</v>
      </c>
      <c r="L769" s="1" t="str">
        <f>VLOOKUP(Tabela1[[#This Row],[Cliente]],'BASE DE CLIENTES'!A:E,5,0)</f>
        <v>SAMAMBAIA</v>
      </c>
    </row>
    <row r="770" spans="2:12" x14ac:dyDescent="0.3">
      <c r="B770" s="1" t="s">
        <v>152</v>
      </c>
      <c r="C770" s="4" t="str">
        <f>VLOOKUP(Tabela1[[#This Row],[Cliente]],'BASE DE CLIENTES'!A:E,2,0)</f>
        <v>Aparecida de Goiânia</v>
      </c>
      <c r="D770" s="1" t="str">
        <f>VLOOKUP(Tabela1[[#This Row],[Cliente]],'BASE DE CLIENTES'!A:C,3,0)</f>
        <v>GO</v>
      </c>
      <c r="E770" s="4" t="str">
        <f>CONCATENATE(Tabela1[[#This Row],[CIDADE]],",",Tabela1[[#This Row],[UF]])</f>
        <v>Aparecida de Goiânia,GO</v>
      </c>
      <c r="F770" s="2">
        <v>45832</v>
      </c>
      <c r="G770" s="17">
        <v>409.87</v>
      </c>
      <c r="H770" s="17">
        <v>550</v>
      </c>
      <c r="I770" s="6">
        <f>Tabela1[[#This Row],[Valor total]]-Tabela1[[#This Row],[Valor custo]]</f>
        <v>140.13</v>
      </c>
      <c r="J770" s="7">
        <f>Tabela1[[#This Row],[MARGEM BRUTA]]/Tabela1[[#This Row],[Valor total]]</f>
        <v>0.25478181818181816</v>
      </c>
      <c r="K770" s="1" t="str">
        <f>VLOOKUP(Tabela1[[#This Row],[Cliente]],'BASE DE CLIENTES'!A:D,4,0)</f>
        <v>TECNICO</v>
      </c>
      <c r="L770" s="1" t="str">
        <f>VLOOKUP(Tabela1[[#This Row],[Cliente]],'BASE DE CLIENTES'!A:E,5,0)</f>
        <v>Aparecida de Goiânia</v>
      </c>
    </row>
    <row r="771" spans="2:12" x14ac:dyDescent="0.3">
      <c r="B771" s="1" t="s">
        <v>158</v>
      </c>
      <c r="C771" s="4" t="str">
        <f>VLOOKUP(Tabela1[[#This Row],[Cliente]],'BASE DE CLIENTES'!A:E,2,0)</f>
        <v>Brasília</v>
      </c>
      <c r="D771" s="1" t="str">
        <f>VLOOKUP(Tabela1[[#This Row],[Cliente]],'BASE DE CLIENTES'!A:C,3,0)</f>
        <v>DF</v>
      </c>
      <c r="E771" s="4" t="str">
        <f>CONCATENATE(Tabela1[[#This Row],[CIDADE]],",",Tabela1[[#This Row],[UF]])</f>
        <v>Brasília,DF</v>
      </c>
      <c r="F771" s="2">
        <v>45849</v>
      </c>
      <c r="G771" s="17">
        <v>293.13</v>
      </c>
      <c r="H771" s="17">
        <v>687</v>
      </c>
      <c r="I771" s="6">
        <f>Tabela1[[#This Row],[Valor total]]-Tabela1[[#This Row],[Valor custo]]</f>
        <v>393.87</v>
      </c>
      <c r="J771" s="7">
        <f>Tabela1[[#This Row],[MARGEM BRUTA]]/Tabela1[[#This Row],[Valor total]]</f>
        <v>0.57331877729257641</v>
      </c>
      <c r="K771" s="1" t="str">
        <f>VLOOKUP(Tabela1[[#This Row],[Cliente]],'BASE DE CLIENTES'!A:D,4,0)</f>
        <v>SEM CLASSIFICAÇÃO</v>
      </c>
      <c r="L771" s="1" t="str">
        <f>VLOOKUP(Tabela1[[#This Row],[Cliente]],'BASE DE CLIENTES'!A:E,5,0)</f>
        <v>Samambaia Sul (Samambaia)</v>
      </c>
    </row>
    <row r="772" spans="2:12" x14ac:dyDescent="0.3">
      <c r="B772" s="1" t="s">
        <v>38</v>
      </c>
      <c r="C772" s="4" t="str">
        <f>VLOOKUP(Tabela1[[#This Row],[Cliente]],'BASE DE CLIENTES'!A:E,2,0)</f>
        <v>Brasília</v>
      </c>
      <c r="D772" s="1" t="str">
        <f>VLOOKUP(Tabela1[[#This Row],[Cliente]],'BASE DE CLIENTES'!A:C,3,0)</f>
        <v>DF</v>
      </c>
      <c r="E772" s="4" t="str">
        <f>CONCATENATE(Tabela1[[#This Row],[CIDADE]],",",Tabela1[[#This Row],[UF]])</f>
        <v>Brasília,DF</v>
      </c>
      <c r="F772" s="2">
        <v>45722</v>
      </c>
      <c r="G772" s="17">
        <v>0</v>
      </c>
      <c r="H772" s="17">
        <v>300</v>
      </c>
      <c r="I772" s="6">
        <f>Tabela1[[#This Row],[Valor total]]-Tabela1[[#This Row],[Valor custo]]</f>
        <v>300</v>
      </c>
      <c r="J772" s="7">
        <f>Tabela1[[#This Row],[MARGEM BRUTA]]/Tabela1[[#This Row],[Valor total]]</f>
        <v>1</v>
      </c>
      <c r="K772" s="1" t="str">
        <f>VLOOKUP(Tabela1[[#This Row],[Cliente]],'BASE DE CLIENTES'!A:D,4,0)</f>
        <v>EMPRESA SEM MAQUINA</v>
      </c>
      <c r="L772" s="1" t="str">
        <f>VLOOKUP(Tabela1[[#This Row],[Cliente]],'BASE DE CLIENTES'!A:E,5,0)</f>
        <v>PONTE ALTA NORTE (GAMA)</v>
      </c>
    </row>
    <row r="773" spans="2:12" x14ac:dyDescent="0.3">
      <c r="B773" s="1" t="s">
        <v>111</v>
      </c>
      <c r="C773" s="4" t="str">
        <f>VLOOKUP(Tabela1[[#This Row],[Cliente]],'BASE DE CLIENTES'!A:E,2,0)</f>
        <v>Brasília</v>
      </c>
      <c r="D773" s="1" t="str">
        <f>VLOOKUP(Tabela1[[#This Row],[Cliente]],'BASE DE CLIENTES'!A:C,3,0)</f>
        <v>DF</v>
      </c>
      <c r="E773" s="4" t="str">
        <f>CONCATENATE(Tabela1[[#This Row],[CIDADE]],",",Tabela1[[#This Row],[UF]])</f>
        <v>Brasília,DF</v>
      </c>
      <c r="F773" s="2">
        <v>45722</v>
      </c>
      <c r="G773" s="17">
        <v>41.76</v>
      </c>
      <c r="H773" s="17">
        <v>160</v>
      </c>
      <c r="I773" s="6">
        <f>Tabela1[[#This Row],[Valor total]]-Tabela1[[#This Row],[Valor custo]]</f>
        <v>118.24000000000001</v>
      </c>
      <c r="J773" s="7">
        <f>Tabela1[[#This Row],[MARGEM BRUTA]]/Tabela1[[#This Row],[Valor total]]</f>
        <v>0.7390000000000001</v>
      </c>
      <c r="K773" s="1" t="str">
        <f>VLOOKUP(Tabela1[[#This Row],[Cliente]],'BASE DE CLIENTES'!A:D,4,0)</f>
        <v>EMPRESA SEM MAQUINA</v>
      </c>
      <c r="L773" s="1" t="str">
        <f>VLOOKUP(Tabela1[[#This Row],[Cliente]],'BASE DE CLIENTES'!A:E,5,0)</f>
        <v>TAGUATINGA SUL (TAGUATINGA)</v>
      </c>
    </row>
    <row r="774" spans="2:12" x14ac:dyDescent="0.3">
      <c r="B774" s="1" t="s">
        <v>159</v>
      </c>
      <c r="C774" s="4" t="str">
        <f>VLOOKUP(Tabela1[[#This Row],[Cliente]],'BASE DE CLIENTES'!A:E,2,0)</f>
        <v>Brasília</v>
      </c>
      <c r="D774" s="1" t="str">
        <f>VLOOKUP(Tabela1[[#This Row],[Cliente]],'BASE DE CLIENTES'!A:C,3,0)</f>
        <v>DF</v>
      </c>
      <c r="E774" s="4" t="str">
        <f>CONCATENATE(Tabela1[[#This Row],[CIDADE]],",",Tabela1[[#This Row],[UF]])</f>
        <v>Brasília,DF</v>
      </c>
      <c r="F774" s="2">
        <v>45846</v>
      </c>
      <c r="G774" s="17">
        <v>293.13</v>
      </c>
      <c r="H774" s="17">
        <v>687</v>
      </c>
      <c r="I774" s="6">
        <f>Tabela1[[#This Row],[Valor total]]-Tabela1[[#This Row],[Valor custo]]</f>
        <v>393.87</v>
      </c>
      <c r="J774" s="7">
        <f>Tabela1[[#This Row],[MARGEM BRUTA]]/Tabela1[[#This Row],[Valor total]]</f>
        <v>0.57331877729257641</v>
      </c>
      <c r="K774" s="1" t="str">
        <f>VLOOKUP(Tabela1[[#This Row],[Cliente]],'BASE DE CLIENTES'!A:D,4,0)</f>
        <v>SEM CLASSIFICAÇÃO</v>
      </c>
      <c r="L774" s="1" t="str">
        <f>VLOOKUP(Tabela1[[#This Row],[Cliente]],'BASE DE CLIENTES'!A:E,5,0)</f>
        <v>ÁGUAS CLARAS</v>
      </c>
    </row>
    <row r="775" spans="2:12" x14ac:dyDescent="0.3">
      <c r="B775" s="1" t="s">
        <v>120</v>
      </c>
      <c r="C775" s="4" t="str">
        <f>VLOOKUP(Tabela1[[#This Row],[Cliente]],'BASE DE CLIENTES'!A:E,2,0)</f>
        <v>Brasília</v>
      </c>
      <c r="D775" s="1" t="str">
        <f>VLOOKUP(Tabela1[[#This Row],[Cliente]],'BASE DE CLIENTES'!A:C,3,0)</f>
        <v>DF</v>
      </c>
      <c r="E775" s="4" t="str">
        <f>CONCATENATE(Tabela1[[#This Row],[CIDADE]],",",Tabela1[[#This Row],[UF]])</f>
        <v>Brasília,DF</v>
      </c>
      <c r="F775" s="2">
        <v>45748</v>
      </c>
      <c r="G775" s="17">
        <v>3976</v>
      </c>
      <c r="H775" s="17">
        <v>5680</v>
      </c>
      <c r="I775" s="6">
        <f>Tabela1[[#This Row],[Valor total]]-Tabela1[[#This Row],[Valor custo]]</f>
        <v>1704</v>
      </c>
      <c r="J775" s="7">
        <f>Tabela1[[#This Row],[MARGEM BRUTA]]/Tabela1[[#This Row],[Valor total]]</f>
        <v>0.3</v>
      </c>
      <c r="K775" s="1" t="str">
        <f>VLOOKUP(Tabela1[[#This Row],[Cliente]],'BASE DE CLIENTES'!A:D,4,0)</f>
        <v>EMPRESA SEM MAQUINA</v>
      </c>
      <c r="L775" s="1" t="str">
        <f>VLOOKUP(Tabela1[[#This Row],[Cliente]],'BASE DE CLIENTES'!A:E,5,0)</f>
        <v>SAMAMBAIA</v>
      </c>
    </row>
    <row r="776" spans="2:12" x14ac:dyDescent="0.3">
      <c r="B776" s="1" t="s">
        <v>27</v>
      </c>
      <c r="C776" s="4" t="str">
        <f>VLOOKUP(Tabela1[[#This Row],[Cliente]],'BASE DE CLIENTES'!A:E,2,0)</f>
        <v>Brasília</v>
      </c>
      <c r="D776" s="1" t="str">
        <f>VLOOKUP(Tabela1[[#This Row],[Cliente]],'BASE DE CLIENTES'!A:C,3,0)</f>
        <v>DF</v>
      </c>
      <c r="E776" s="4" t="str">
        <f>CONCATENATE(Tabela1[[#This Row],[CIDADE]],",",Tabela1[[#This Row],[UF]])</f>
        <v>Brasília,DF</v>
      </c>
      <c r="F776" s="2">
        <v>45722</v>
      </c>
      <c r="G776" s="17">
        <v>514.45000000000005</v>
      </c>
      <c r="H776" s="17">
        <v>620</v>
      </c>
      <c r="I776" s="6">
        <f>Tabela1[[#This Row],[Valor total]]-Tabela1[[#This Row],[Valor custo]]</f>
        <v>105.54999999999995</v>
      </c>
      <c r="J776" s="7">
        <f>Tabela1[[#This Row],[MARGEM BRUTA]]/Tabela1[[#This Row],[Valor total]]</f>
        <v>0.1702419354838709</v>
      </c>
      <c r="K776" s="1" t="str">
        <f>VLOOKUP(Tabela1[[#This Row],[Cliente]],'BASE DE CLIENTES'!A:D,4,0)</f>
        <v>EMPRESA SEM MAQUINA</v>
      </c>
      <c r="L776" s="1" t="str">
        <f>VLOOKUP(Tabela1[[#This Row],[Cliente]],'BASE DE CLIENTES'!A:E,5,0)</f>
        <v>RECANTO DAS EMAS</v>
      </c>
    </row>
    <row r="777" spans="2:12" x14ac:dyDescent="0.3">
      <c r="B777" s="1" t="s">
        <v>152</v>
      </c>
      <c r="C777" s="4" t="str">
        <f>VLOOKUP(Tabela1[[#This Row],[Cliente]],'BASE DE CLIENTES'!A:E,2,0)</f>
        <v>Aparecida de Goiânia</v>
      </c>
      <c r="D777" s="1" t="str">
        <f>VLOOKUP(Tabela1[[#This Row],[Cliente]],'BASE DE CLIENTES'!A:C,3,0)</f>
        <v>GO</v>
      </c>
      <c r="E777" s="4" t="str">
        <f>CONCATENATE(Tabela1[[#This Row],[CIDADE]],",",Tabela1[[#This Row],[UF]])</f>
        <v>Aparecida de Goiânia,GO</v>
      </c>
      <c r="F777" s="2">
        <v>45820</v>
      </c>
      <c r="G777" s="17">
        <v>819.74</v>
      </c>
      <c r="H777" s="17">
        <v>1100</v>
      </c>
      <c r="I777" s="6">
        <f>Tabela1[[#This Row],[Valor total]]-Tabela1[[#This Row],[Valor custo]]</f>
        <v>280.26</v>
      </c>
      <c r="J777" s="7">
        <f>Tabela1[[#This Row],[MARGEM BRUTA]]/Tabela1[[#This Row],[Valor total]]</f>
        <v>0.25478181818181816</v>
      </c>
      <c r="K777" s="1" t="str">
        <f>VLOOKUP(Tabela1[[#This Row],[Cliente]],'BASE DE CLIENTES'!A:D,4,0)</f>
        <v>TECNICO</v>
      </c>
      <c r="L777" s="1" t="str">
        <f>VLOOKUP(Tabela1[[#This Row],[Cliente]],'BASE DE CLIENTES'!A:E,5,0)</f>
        <v>Aparecida de Goiânia</v>
      </c>
    </row>
    <row r="778" spans="2:12" x14ac:dyDescent="0.3">
      <c r="B778" s="1" t="s">
        <v>160</v>
      </c>
      <c r="C778" s="4" t="str">
        <f>VLOOKUP(Tabela1[[#This Row],[Cliente]],'BASE DE CLIENTES'!A:E,2,0)</f>
        <v>Brasília</v>
      </c>
      <c r="D778" s="1" t="str">
        <f>VLOOKUP(Tabela1[[#This Row],[Cliente]],'BASE DE CLIENTES'!A:C,3,0)</f>
        <v>DF</v>
      </c>
      <c r="E778" s="4" t="str">
        <f>CONCATENATE(Tabela1[[#This Row],[CIDADE]],",",Tabela1[[#This Row],[UF]])</f>
        <v>Brasília,DF</v>
      </c>
      <c r="F778" s="2">
        <v>45870</v>
      </c>
      <c r="G778" s="17">
        <v>293.13</v>
      </c>
      <c r="H778" s="17">
        <v>687</v>
      </c>
      <c r="I778" s="6">
        <f>Tabela1[[#This Row],[Valor total]]-Tabela1[[#This Row],[Valor custo]]</f>
        <v>393.87</v>
      </c>
      <c r="J778" s="7">
        <f>Tabela1[[#This Row],[MARGEM BRUTA]]/Tabela1[[#This Row],[Valor total]]</f>
        <v>0.57331877729257641</v>
      </c>
      <c r="K778" s="1" t="str">
        <f>VLOOKUP(Tabela1[[#This Row],[Cliente]],'BASE DE CLIENTES'!A:D,4,0)</f>
        <v>SEM CLASSIFICAÇÃO</v>
      </c>
      <c r="L778" s="1" t="str">
        <f>VLOOKUP(Tabela1[[#This Row],[Cliente]],'BASE DE CLIENTES'!A:E,5,0)</f>
        <v>Ceilândia Norte (Ceilândia)</v>
      </c>
    </row>
    <row r="779" spans="2:12" x14ac:dyDescent="0.3">
      <c r="B779" s="1" t="s">
        <v>111</v>
      </c>
      <c r="C779" s="4" t="str">
        <f>VLOOKUP(Tabela1[[#This Row],[Cliente]],'BASE DE CLIENTES'!A:E,2,0)</f>
        <v>Brasília</v>
      </c>
      <c r="D779" s="1" t="str">
        <f>VLOOKUP(Tabela1[[#This Row],[Cliente]],'BASE DE CLIENTES'!A:C,3,0)</f>
        <v>DF</v>
      </c>
      <c r="E779" s="4" t="str">
        <f>CONCATENATE(Tabela1[[#This Row],[CIDADE]],",",Tabela1[[#This Row],[UF]])</f>
        <v>Brasília,DF</v>
      </c>
      <c r="F779" s="2">
        <v>45721</v>
      </c>
      <c r="G779" s="17">
        <v>3</v>
      </c>
      <c r="H779" s="17">
        <v>150</v>
      </c>
      <c r="I779" s="6">
        <f>Tabela1[[#This Row],[Valor total]]-Tabela1[[#This Row],[Valor custo]]</f>
        <v>147</v>
      </c>
      <c r="J779" s="7">
        <f>Tabela1[[#This Row],[MARGEM BRUTA]]/Tabela1[[#This Row],[Valor total]]</f>
        <v>0.98</v>
      </c>
      <c r="K779" s="1" t="str">
        <f>VLOOKUP(Tabela1[[#This Row],[Cliente]],'BASE DE CLIENTES'!A:D,4,0)</f>
        <v>EMPRESA SEM MAQUINA</v>
      </c>
      <c r="L779" s="1" t="str">
        <f>VLOOKUP(Tabela1[[#This Row],[Cliente]],'BASE DE CLIENTES'!A:E,5,0)</f>
        <v>TAGUATINGA SUL (TAGUATINGA)</v>
      </c>
    </row>
    <row r="780" spans="2:12" x14ac:dyDescent="0.3">
      <c r="B780" s="1" t="s">
        <v>154</v>
      </c>
      <c r="C780" s="4" t="str">
        <f>VLOOKUP(Tabela1[[#This Row],[Cliente]],'BASE DE CLIENTES'!A:E,2,0)</f>
        <v>Aparecida de Goiânia</v>
      </c>
      <c r="D780" s="1" t="str">
        <f>VLOOKUP(Tabela1[[#This Row],[Cliente]],'BASE DE CLIENTES'!A:C,3,0)</f>
        <v>GO</v>
      </c>
      <c r="E780" s="4" t="str">
        <f>CONCATENATE(Tabela1[[#This Row],[CIDADE]],",",Tabela1[[#This Row],[UF]])</f>
        <v>Aparecida de Goiânia,GO</v>
      </c>
      <c r="F780" s="2">
        <v>45702</v>
      </c>
      <c r="G780" s="17">
        <v>2049.35</v>
      </c>
      <c r="H780" s="17">
        <v>2750</v>
      </c>
      <c r="I780" s="6">
        <f>Tabela1[[#This Row],[Valor total]]-Tabela1[[#This Row],[Valor custo]]</f>
        <v>700.65000000000009</v>
      </c>
      <c r="J780" s="7">
        <f>Tabela1[[#This Row],[MARGEM BRUTA]]/Tabela1[[#This Row],[Valor total]]</f>
        <v>0.25478181818181822</v>
      </c>
      <c r="K780" s="1" t="str">
        <f>VLOOKUP(Tabela1[[#This Row],[Cliente]],'BASE DE CLIENTES'!A:D,4,0)</f>
        <v>TECNICO</v>
      </c>
      <c r="L780" s="1" t="str">
        <f>VLOOKUP(Tabela1[[#This Row],[Cliente]],'BASE DE CLIENTES'!A:E,5,0)</f>
        <v>Aparecida de Goiânia</v>
      </c>
    </row>
    <row r="781" spans="2:12" x14ac:dyDescent="0.3">
      <c r="B781" s="1" t="s">
        <v>152</v>
      </c>
      <c r="C781" s="4" t="str">
        <f>VLOOKUP(Tabela1[[#This Row],[Cliente]],'BASE DE CLIENTES'!A:E,2,0)</f>
        <v>Aparecida de Goiânia</v>
      </c>
      <c r="D781" s="1" t="str">
        <f>VLOOKUP(Tabela1[[#This Row],[Cliente]],'BASE DE CLIENTES'!A:C,3,0)</f>
        <v>GO</v>
      </c>
      <c r="E781" s="4" t="str">
        <f>CONCATENATE(Tabela1[[#This Row],[CIDADE]],",",Tabela1[[#This Row],[UF]])</f>
        <v>Aparecida de Goiânia,GO</v>
      </c>
      <c r="F781" s="2">
        <v>45813</v>
      </c>
      <c r="G781" s="17">
        <v>894</v>
      </c>
      <c r="H781" s="17">
        <v>1200</v>
      </c>
      <c r="I781" s="6">
        <f>Tabela1[[#This Row],[Valor total]]-Tabela1[[#This Row],[Valor custo]]</f>
        <v>306</v>
      </c>
      <c r="J781" s="7">
        <f>Tabela1[[#This Row],[MARGEM BRUTA]]/Tabela1[[#This Row],[Valor total]]</f>
        <v>0.255</v>
      </c>
      <c r="K781" s="1" t="str">
        <f>VLOOKUP(Tabela1[[#This Row],[Cliente]],'BASE DE CLIENTES'!A:D,4,0)</f>
        <v>TECNICO</v>
      </c>
      <c r="L781" s="1" t="str">
        <f>VLOOKUP(Tabela1[[#This Row],[Cliente]],'BASE DE CLIENTES'!A:E,5,0)</f>
        <v>Aparecida de Goiânia</v>
      </c>
    </row>
    <row r="782" spans="2:12" x14ac:dyDescent="0.3">
      <c r="B782" s="1" t="s">
        <v>96</v>
      </c>
      <c r="C782" s="4" t="str">
        <f>VLOOKUP(Tabela1[[#This Row],[Cliente]],'BASE DE CLIENTES'!A:E,2,0)</f>
        <v>Brasília</v>
      </c>
      <c r="D782" s="1" t="str">
        <f>VLOOKUP(Tabela1[[#This Row],[Cliente]],'BASE DE CLIENTES'!A:C,3,0)</f>
        <v>DF</v>
      </c>
      <c r="E782" s="4" t="str">
        <f>CONCATENATE(Tabela1[[#This Row],[CIDADE]],",",Tabela1[[#This Row],[UF]])</f>
        <v>Brasília,DF</v>
      </c>
      <c r="F782" s="2">
        <v>45721</v>
      </c>
      <c r="G782" s="17">
        <v>439.2</v>
      </c>
      <c r="H782" s="17">
        <v>633</v>
      </c>
      <c r="I782" s="6">
        <f>Tabela1[[#This Row],[Valor total]]-Tabela1[[#This Row],[Valor custo]]</f>
        <v>193.8</v>
      </c>
      <c r="J782" s="7">
        <f>Tabela1[[#This Row],[MARGEM BRUTA]]/Tabela1[[#This Row],[Valor total]]</f>
        <v>0.30616113744075829</v>
      </c>
      <c r="K782" s="1" t="str">
        <f>VLOOKUP(Tabela1[[#This Row],[Cliente]],'BASE DE CLIENTES'!A:D,4,0)</f>
        <v>EMPRESA SEM MAQUINA</v>
      </c>
      <c r="L782" s="1" t="str">
        <f>VLOOKUP(Tabela1[[#This Row],[Cliente]],'BASE DE CLIENTES'!A:E,5,0)</f>
        <v>CEILANDIA NORTE (CEILANDIA)</v>
      </c>
    </row>
    <row r="783" spans="2:12" x14ac:dyDescent="0.3">
      <c r="B783" s="1" t="s">
        <v>152</v>
      </c>
      <c r="C783" s="4" t="str">
        <f>VLOOKUP(Tabela1[[#This Row],[Cliente]],'BASE DE CLIENTES'!A:E,2,0)</f>
        <v>Aparecida de Goiânia</v>
      </c>
      <c r="D783" s="1" t="str">
        <f>VLOOKUP(Tabela1[[#This Row],[Cliente]],'BASE DE CLIENTES'!A:C,3,0)</f>
        <v>GO</v>
      </c>
      <c r="E783" s="4" t="str">
        <f>CONCATENATE(Tabela1[[#This Row],[CIDADE]],",",Tabela1[[#This Row],[UF]])</f>
        <v>Aparecida de Goiânia,GO</v>
      </c>
      <c r="F783" s="2">
        <v>45735</v>
      </c>
      <c r="G783" s="17">
        <v>548.47</v>
      </c>
      <c r="H783" s="17">
        <v>750</v>
      </c>
      <c r="I783" s="6">
        <f>Tabela1[[#This Row],[Valor total]]-Tabela1[[#This Row],[Valor custo]]</f>
        <v>201.52999999999997</v>
      </c>
      <c r="J783" s="7">
        <f>Tabela1[[#This Row],[MARGEM BRUTA]]/Tabela1[[#This Row],[Valor total]]</f>
        <v>0.26870666666666665</v>
      </c>
      <c r="K783" s="1" t="str">
        <f>VLOOKUP(Tabela1[[#This Row],[Cliente]],'BASE DE CLIENTES'!A:D,4,0)</f>
        <v>TECNICO</v>
      </c>
      <c r="L783" s="1" t="str">
        <f>VLOOKUP(Tabela1[[#This Row],[Cliente]],'BASE DE CLIENTES'!A:E,5,0)</f>
        <v>Aparecida de Goiânia</v>
      </c>
    </row>
    <row r="784" spans="2:12" x14ac:dyDescent="0.3">
      <c r="B784" s="1" t="s">
        <v>157</v>
      </c>
      <c r="C784" s="4" t="str">
        <f>VLOOKUP(Tabela1[[#This Row],[Cliente]],'BASE DE CLIENTES'!A:E,2,0)</f>
        <v>Aparecida de Goiânia</v>
      </c>
      <c r="D784" s="1" t="str">
        <f>VLOOKUP(Tabela1[[#This Row],[Cliente]],'BASE DE CLIENTES'!A:C,3,0)</f>
        <v>GO</v>
      </c>
      <c r="E784" s="4" t="str">
        <f>CONCATENATE(Tabela1[[#This Row],[CIDADE]],",",Tabela1[[#This Row],[UF]])</f>
        <v>Aparecida de Goiânia,GO</v>
      </c>
      <c r="F784" s="2">
        <v>45819</v>
      </c>
      <c r="G784" s="17">
        <v>473</v>
      </c>
      <c r="H784" s="17">
        <v>650</v>
      </c>
      <c r="I784" s="6">
        <f>Tabela1[[#This Row],[Valor total]]-Tabela1[[#This Row],[Valor custo]]</f>
        <v>177</v>
      </c>
      <c r="J784" s="7">
        <f>Tabela1[[#This Row],[MARGEM BRUTA]]/Tabela1[[#This Row],[Valor total]]</f>
        <v>0.27230769230769231</v>
      </c>
      <c r="K784" s="1" t="str">
        <f>VLOOKUP(Tabela1[[#This Row],[Cliente]],'BASE DE CLIENTES'!A:D,4,0)</f>
        <v>EMPRESA COM MAQUINA</v>
      </c>
      <c r="L784" s="1" t="str">
        <f>VLOOKUP(Tabela1[[#This Row],[Cliente]],'BASE DE CLIENTES'!A:E,5,0)</f>
        <v>Aparecida de Goiânia</v>
      </c>
    </row>
    <row r="785" spans="2:12" x14ac:dyDescent="0.3">
      <c r="B785" s="1" t="s">
        <v>68</v>
      </c>
      <c r="C785" s="4" t="str">
        <f>VLOOKUP(Tabela1[[#This Row],[Cliente]],'BASE DE CLIENTES'!A:E,2,0)</f>
        <v>Brasília</v>
      </c>
      <c r="D785" s="1" t="str">
        <f>VLOOKUP(Tabela1[[#This Row],[Cliente]],'BASE DE CLIENTES'!A:C,3,0)</f>
        <v>DF</v>
      </c>
      <c r="E785" s="4" t="str">
        <f>CONCATENATE(Tabela1[[#This Row],[CIDADE]],",",Tabela1[[#This Row],[UF]])</f>
        <v>Brasília,DF</v>
      </c>
      <c r="F785" s="2">
        <v>45721</v>
      </c>
      <c r="G785" s="17">
        <v>249.28</v>
      </c>
      <c r="H785" s="17">
        <v>313</v>
      </c>
      <c r="I785" s="6">
        <f>Tabela1[[#This Row],[Valor total]]-Tabela1[[#This Row],[Valor custo]]</f>
        <v>63.72</v>
      </c>
      <c r="J785" s="7">
        <f>Tabela1[[#This Row],[MARGEM BRUTA]]/Tabela1[[#This Row],[Valor total]]</f>
        <v>0.20357827476038337</v>
      </c>
      <c r="K785" s="1" t="str">
        <f>VLOOKUP(Tabela1[[#This Row],[Cliente]],'BASE DE CLIENTES'!A:D,4,0)</f>
        <v>EMPRESA COM MAQUINA</v>
      </c>
      <c r="L785" s="1" t="str">
        <f>VLOOKUP(Tabela1[[#This Row],[Cliente]],'BASE DE CLIENTES'!A:E,5,0)</f>
        <v>SAMAMBAIA SUL (SAMAMBAIA)</v>
      </c>
    </row>
    <row r="786" spans="2:12" x14ac:dyDescent="0.3">
      <c r="B786" s="1" t="s">
        <v>88</v>
      </c>
      <c r="C786" s="4" t="str">
        <f>VLOOKUP(Tabela1[[#This Row],[Cliente]],'BASE DE CLIENTES'!A:E,2,0)</f>
        <v>Brasília</v>
      </c>
      <c r="D786" s="1" t="str">
        <f>VLOOKUP(Tabela1[[#This Row],[Cliente]],'BASE DE CLIENTES'!A:C,3,0)</f>
        <v>DF</v>
      </c>
      <c r="E786" s="4" t="str">
        <f>CONCATENATE(Tabela1[[#This Row],[CIDADE]],",",Tabela1[[#This Row],[UF]])</f>
        <v>Brasília,DF</v>
      </c>
      <c r="F786" s="2">
        <v>45721</v>
      </c>
      <c r="G786" s="17">
        <v>1533.62</v>
      </c>
      <c r="H786" s="17">
        <v>2450</v>
      </c>
      <c r="I786" s="6">
        <f>Tabela1[[#This Row],[Valor total]]-Tabela1[[#This Row],[Valor custo]]</f>
        <v>916.38000000000011</v>
      </c>
      <c r="J786" s="7">
        <f>Tabela1[[#This Row],[MARGEM BRUTA]]/Tabela1[[#This Row],[Valor total]]</f>
        <v>0.37403265306122452</v>
      </c>
      <c r="K786" s="1" t="str">
        <f>VLOOKUP(Tabela1[[#This Row],[Cliente]],'BASE DE CLIENTES'!A:D,4,0)</f>
        <v>SERRALHEIRO</v>
      </c>
      <c r="L786" s="1" t="str">
        <f>VLOOKUP(Tabela1[[#This Row],[Cliente]],'BASE DE CLIENTES'!A:E,5,0)</f>
        <v>RECANTO DAS EMAS</v>
      </c>
    </row>
    <row r="787" spans="2:12" x14ac:dyDescent="0.3">
      <c r="B787" s="1" t="s">
        <v>152</v>
      </c>
      <c r="C787" s="4" t="str">
        <f>VLOOKUP(Tabela1[[#This Row],[Cliente]],'BASE DE CLIENTES'!A:E,2,0)</f>
        <v>Aparecida de Goiânia</v>
      </c>
      <c r="D787" s="1" t="str">
        <f>VLOOKUP(Tabela1[[#This Row],[Cliente]],'BASE DE CLIENTES'!A:C,3,0)</f>
        <v>GO</v>
      </c>
      <c r="E787" s="4" t="str">
        <f>CONCATENATE(Tabela1[[#This Row],[CIDADE]],",",Tabela1[[#This Row],[UF]])</f>
        <v>Aparecida de Goiânia,GO</v>
      </c>
      <c r="F787" s="2">
        <v>45817</v>
      </c>
      <c r="G787" s="17">
        <v>538.21</v>
      </c>
      <c r="H787" s="17">
        <v>740</v>
      </c>
      <c r="I787" s="6">
        <f>Tabela1[[#This Row],[Valor total]]-Tabela1[[#This Row],[Valor custo]]</f>
        <v>201.78999999999996</v>
      </c>
      <c r="J787" s="7">
        <f>Tabela1[[#This Row],[MARGEM BRUTA]]/Tabela1[[#This Row],[Valor total]]</f>
        <v>0.27268918918918916</v>
      </c>
      <c r="K787" s="1" t="str">
        <f>VLOOKUP(Tabela1[[#This Row],[Cliente]],'BASE DE CLIENTES'!A:D,4,0)</f>
        <v>TECNICO</v>
      </c>
      <c r="L787" s="1" t="str">
        <f>VLOOKUP(Tabela1[[#This Row],[Cliente]],'BASE DE CLIENTES'!A:E,5,0)</f>
        <v>Aparecida de Goiânia</v>
      </c>
    </row>
    <row r="788" spans="2:12" x14ac:dyDescent="0.3">
      <c r="B788" s="1" t="s">
        <v>151</v>
      </c>
      <c r="C788" s="4" t="str">
        <f>VLOOKUP(Tabela1[[#This Row],[Cliente]],'BASE DE CLIENTES'!A:E,2,0)</f>
        <v>Aparecida de Goiânia</v>
      </c>
      <c r="D788" s="1" t="str">
        <f>VLOOKUP(Tabela1[[#This Row],[Cliente]],'BASE DE CLIENTES'!A:C,3,0)</f>
        <v>GO</v>
      </c>
      <c r="E788" s="4" t="str">
        <f>CONCATENATE(Tabela1[[#This Row],[CIDADE]],",",Tabela1[[#This Row],[UF]])</f>
        <v>Aparecida de Goiânia,GO</v>
      </c>
      <c r="F788" s="2">
        <v>45800</v>
      </c>
      <c r="G788" s="17">
        <v>894</v>
      </c>
      <c r="H788" s="17">
        <v>1230</v>
      </c>
      <c r="I788" s="6">
        <f>Tabela1[[#This Row],[Valor total]]-Tabela1[[#This Row],[Valor custo]]</f>
        <v>336</v>
      </c>
      <c r="J788" s="7">
        <f>Tabela1[[#This Row],[MARGEM BRUTA]]/Tabela1[[#This Row],[Valor total]]</f>
        <v>0.27317073170731709</v>
      </c>
      <c r="K788" s="1" t="str">
        <f>VLOOKUP(Tabela1[[#This Row],[Cliente]],'BASE DE CLIENTES'!A:D,4,0)</f>
        <v>EMPRESA COM MAQUINA</v>
      </c>
      <c r="L788" s="1" t="str">
        <f>VLOOKUP(Tabela1[[#This Row],[Cliente]],'BASE DE CLIENTES'!A:E,5,0)</f>
        <v>Aparecida de Goiânia</v>
      </c>
    </row>
    <row r="789" spans="2:12" x14ac:dyDescent="0.3">
      <c r="B789" s="1" t="s">
        <v>152</v>
      </c>
      <c r="C789" s="4" t="str">
        <f>VLOOKUP(Tabela1[[#This Row],[Cliente]],'BASE DE CLIENTES'!A:E,2,0)</f>
        <v>Aparecida de Goiânia</v>
      </c>
      <c r="D789" s="1" t="str">
        <f>VLOOKUP(Tabela1[[#This Row],[Cliente]],'BASE DE CLIENTES'!A:C,3,0)</f>
        <v>GO</v>
      </c>
      <c r="E789" s="4" t="str">
        <f>CONCATENATE(Tabela1[[#This Row],[CIDADE]],",",Tabela1[[#This Row],[UF]])</f>
        <v>Aparecida de Goiânia,GO</v>
      </c>
      <c r="F789" s="2">
        <v>45799</v>
      </c>
      <c r="G789" s="17">
        <v>447</v>
      </c>
      <c r="H789" s="17">
        <v>615</v>
      </c>
      <c r="I789" s="6">
        <f>Tabela1[[#This Row],[Valor total]]-Tabela1[[#This Row],[Valor custo]]</f>
        <v>168</v>
      </c>
      <c r="J789" s="7">
        <f>Tabela1[[#This Row],[MARGEM BRUTA]]/Tabela1[[#This Row],[Valor total]]</f>
        <v>0.27317073170731709</v>
      </c>
      <c r="K789" s="1" t="str">
        <f>VLOOKUP(Tabela1[[#This Row],[Cliente]],'BASE DE CLIENTES'!A:D,4,0)</f>
        <v>TECNICO</v>
      </c>
      <c r="L789" s="1" t="str">
        <f>VLOOKUP(Tabela1[[#This Row],[Cliente]],'BASE DE CLIENTES'!A:E,5,0)</f>
        <v>Aparecida de Goiânia</v>
      </c>
    </row>
    <row r="790" spans="2:12" x14ac:dyDescent="0.3">
      <c r="B790" s="1" t="s">
        <v>55</v>
      </c>
      <c r="C790" s="4" t="str">
        <f>VLOOKUP(Tabela1[[#This Row],[Cliente]],'BASE DE CLIENTES'!A:E,2,0)</f>
        <v>Brasília</v>
      </c>
      <c r="D790" s="1" t="str">
        <f>VLOOKUP(Tabela1[[#This Row],[Cliente]],'BASE DE CLIENTES'!A:C,3,0)</f>
        <v>DF</v>
      </c>
      <c r="E790" s="4" t="str">
        <f>CONCATENATE(Tabela1[[#This Row],[CIDADE]],",",Tabela1[[#This Row],[UF]])</f>
        <v>Brasília,DF</v>
      </c>
      <c r="F790" s="2">
        <v>45721</v>
      </c>
      <c r="G790" s="17">
        <v>194.68</v>
      </c>
      <c r="H790" s="17">
        <v>730</v>
      </c>
      <c r="I790" s="6">
        <f>Tabela1[[#This Row],[Valor total]]-Tabela1[[#This Row],[Valor custo]]</f>
        <v>535.31999999999994</v>
      </c>
      <c r="J790" s="7">
        <f>Tabela1[[#This Row],[MARGEM BRUTA]]/Tabela1[[#This Row],[Valor total]]</f>
        <v>0.73331506849315065</v>
      </c>
      <c r="K790" s="1" t="str">
        <f>VLOOKUP(Tabela1[[#This Row],[Cliente]],'BASE DE CLIENTES'!A:D,4,0)</f>
        <v>EMPRESA SEM MAQUINA</v>
      </c>
      <c r="L790" s="1" t="str">
        <f>VLOOKUP(Tabela1[[#This Row],[Cliente]],'BASE DE CLIENTES'!A:E,5,0)</f>
        <v>RECANTO DAS EMAS</v>
      </c>
    </row>
    <row r="791" spans="2:12" x14ac:dyDescent="0.3">
      <c r="B791" s="1" t="s">
        <v>152</v>
      </c>
      <c r="C791" s="4" t="str">
        <f>VLOOKUP(Tabela1[[#This Row],[Cliente]],'BASE DE CLIENTES'!A:E,2,0)</f>
        <v>Aparecida de Goiânia</v>
      </c>
      <c r="D791" s="1" t="str">
        <f>VLOOKUP(Tabela1[[#This Row],[Cliente]],'BASE DE CLIENTES'!A:C,3,0)</f>
        <v>GO</v>
      </c>
      <c r="E791" s="4" t="str">
        <f>CONCATENATE(Tabela1[[#This Row],[CIDADE]],",",Tabela1[[#This Row],[UF]])</f>
        <v>Aparecida de Goiânia,GO</v>
      </c>
      <c r="F791" s="2">
        <v>45702</v>
      </c>
      <c r="G791" s="17">
        <v>1028.9000000000001</v>
      </c>
      <c r="H791" s="17">
        <v>1420</v>
      </c>
      <c r="I791" s="6">
        <f>Tabela1[[#This Row],[Valor total]]-Tabela1[[#This Row],[Valor custo]]</f>
        <v>391.09999999999991</v>
      </c>
      <c r="J791" s="7">
        <f>Tabela1[[#This Row],[MARGEM BRUTA]]/Tabela1[[#This Row],[Valor total]]</f>
        <v>0.27542253521126753</v>
      </c>
      <c r="K791" s="1" t="str">
        <f>VLOOKUP(Tabela1[[#This Row],[Cliente]],'BASE DE CLIENTES'!A:D,4,0)</f>
        <v>TECNICO</v>
      </c>
      <c r="L791" s="1" t="str">
        <f>VLOOKUP(Tabela1[[#This Row],[Cliente]],'BASE DE CLIENTES'!A:E,5,0)</f>
        <v>Aparecida de Goiânia</v>
      </c>
    </row>
    <row r="792" spans="2:12" x14ac:dyDescent="0.3">
      <c r="B792" s="1" t="s">
        <v>113</v>
      </c>
      <c r="C792" s="4" t="str">
        <f>VLOOKUP(Tabela1[[#This Row],[Cliente]],'BASE DE CLIENTES'!A:E,2,0)</f>
        <v>Brasília</v>
      </c>
      <c r="D792" s="1" t="str">
        <f>VLOOKUP(Tabela1[[#This Row],[Cliente]],'BASE DE CLIENTES'!A:C,3,0)</f>
        <v>DF</v>
      </c>
      <c r="E792" s="4" t="str">
        <f>CONCATENATE(Tabela1[[#This Row],[CIDADE]],",",Tabela1[[#This Row],[UF]])</f>
        <v>Brasília,DF</v>
      </c>
      <c r="F792" s="2">
        <v>45721</v>
      </c>
      <c r="G792" s="17">
        <v>2193.88</v>
      </c>
      <c r="H792" s="17">
        <v>3320</v>
      </c>
      <c r="I792" s="6">
        <f>Tabela1[[#This Row],[Valor total]]-Tabela1[[#This Row],[Valor custo]]</f>
        <v>1126.1199999999999</v>
      </c>
      <c r="J792" s="7">
        <f>Tabela1[[#This Row],[MARGEM BRUTA]]/Tabela1[[#This Row],[Valor total]]</f>
        <v>0.33919277108433732</v>
      </c>
      <c r="K792" s="1" t="str">
        <f>VLOOKUP(Tabela1[[#This Row],[Cliente]],'BASE DE CLIENTES'!A:D,4,0)</f>
        <v>EMPRESA COM MAQUINA</v>
      </c>
      <c r="L792" s="1" t="str">
        <f>VLOOKUP(Tabela1[[#This Row],[Cliente]],'BASE DE CLIENTES'!A:E,5,0)</f>
        <v>FAZENDA MESTRE D'ARMAS (ETAPA I - PLANALTINA)</v>
      </c>
    </row>
    <row r="793" spans="2:12" x14ac:dyDescent="0.3">
      <c r="B793" s="1" t="s">
        <v>152</v>
      </c>
      <c r="C793" s="4" t="str">
        <f>VLOOKUP(Tabela1[[#This Row],[Cliente]],'BASE DE CLIENTES'!A:E,2,0)</f>
        <v>Aparecida de Goiânia</v>
      </c>
      <c r="D793" s="1" t="str">
        <f>VLOOKUP(Tabela1[[#This Row],[Cliente]],'BASE DE CLIENTES'!A:C,3,0)</f>
        <v>GO</v>
      </c>
      <c r="E793" s="4" t="str">
        <f>CONCATENATE(Tabela1[[#This Row],[CIDADE]],",",Tabela1[[#This Row],[UF]])</f>
        <v>Aparecida de Goiânia,GO</v>
      </c>
      <c r="F793" s="2">
        <v>45884</v>
      </c>
      <c r="G793" s="17">
        <v>122.74</v>
      </c>
      <c r="H793" s="17">
        <v>170</v>
      </c>
      <c r="I793" s="6">
        <f>Tabela1[[#This Row],[Valor total]]-Tabela1[[#This Row],[Valor custo]]</f>
        <v>47.260000000000005</v>
      </c>
      <c r="J793" s="7">
        <f>Tabela1[[#This Row],[MARGEM BRUTA]]/Tabela1[[#This Row],[Valor total]]</f>
        <v>0.27800000000000002</v>
      </c>
      <c r="K793" s="1" t="str">
        <f>VLOOKUP(Tabela1[[#This Row],[Cliente]],'BASE DE CLIENTES'!A:D,4,0)</f>
        <v>TECNICO</v>
      </c>
      <c r="L793" s="1" t="str">
        <f>VLOOKUP(Tabela1[[#This Row],[Cliente]],'BASE DE CLIENTES'!A:E,5,0)</f>
        <v>Aparecida de Goiânia</v>
      </c>
    </row>
    <row r="794" spans="2:12" x14ac:dyDescent="0.3">
      <c r="B794" s="1" t="s">
        <v>99</v>
      </c>
      <c r="C794" s="4" t="str">
        <f>VLOOKUP(Tabela1[[#This Row],[Cliente]],'BASE DE CLIENTES'!A:E,2,0)</f>
        <v>Brasília</v>
      </c>
      <c r="D794" s="1" t="str">
        <f>VLOOKUP(Tabela1[[#This Row],[Cliente]],'BASE DE CLIENTES'!A:C,3,0)</f>
        <v>DF</v>
      </c>
      <c r="E794" s="4" t="str">
        <f>CONCATENATE(Tabela1[[#This Row],[CIDADE]],",",Tabela1[[#This Row],[UF]])</f>
        <v>Brasília,DF</v>
      </c>
      <c r="F794" s="2">
        <v>45777</v>
      </c>
      <c r="G794" s="17">
        <v>894</v>
      </c>
      <c r="H794" s="17">
        <v>1290</v>
      </c>
      <c r="I794" s="6">
        <f>Tabela1[[#This Row],[Valor total]]-Tabela1[[#This Row],[Valor custo]]</f>
        <v>396</v>
      </c>
      <c r="J794" s="7">
        <f>Tabela1[[#This Row],[MARGEM BRUTA]]/Tabela1[[#This Row],[Valor total]]</f>
        <v>0.30697674418604654</v>
      </c>
      <c r="K794" s="1" t="str">
        <f>VLOOKUP(Tabela1[[#This Row],[Cliente]],'BASE DE CLIENTES'!A:D,4,0)</f>
        <v>EMPRESA COM MAQUINA</v>
      </c>
      <c r="L794" s="1" t="str">
        <f>VLOOKUP(Tabela1[[#This Row],[Cliente]],'BASE DE CLIENTES'!A:E,5,0)</f>
        <v>ARAPOANGA (PLANALTINA)</v>
      </c>
    </row>
    <row r="795" spans="2:12" x14ac:dyDescent="0.3">
      <c r="B795" s="1" t="s">
        <v>152</v>
      </c>
      <c r="C795" s="4" t="str">
        <f>VLOOKUP(Tabela1[[#This Row],[Cliente]],'BASE DE CLIENTES'!A:E,2,0)</f>
        <v>Aparecida de Goiânia</v>
      </c>
      <c r="D795" s="1" t="str">
        <f>VLOOKUP(Tabela1[[#This Row],[Cliente]],'BASE DE CLIENTES'!A:C,3,0)</f>
        <v>GO</v>
      </c>
      <c r="E795" s="4" t="str">
        <f>CONCATENATE(Tabela1[[#This Row],[CIDADE]],",",Tabela1[[#This Row],[UF]])</f>
        <v>Aparecida de Goiânia,GO</v>
      </c>
      <c r="F795" s="2">
        <v>45798</v>
      </c>
      <c r="G795" s="17">
        <v>894</v>
      </c>
      <c r="H795" s="17">
        <v>1240</v>
      </c>
      <c r="I795" s="6">
        <f>Tabela1[[#This Row],[Valor total]]-Tabela1[[#This Row],[Valor custo]]</f>
        <v>346</v>
      </c>
      <c r="J795" s="7">
        <f>Tabela1[[#This Row],[MARGEM BRUTA]]/Tabela1[[#This Row],[Valor total]]</f>
        <v>0.27903225806451615</v>
      </c>
      <c r="K795" s="1" t="str">
        <f>VLOOKUP(Tabela1[[#This Row],[Cliente]],'BASE DE CLIENTES'!A:D,4,0)</f>
        <v>TECNICO</v>
      </c>
      <c r="L795" s="1" t="str">
        <f>VLOOKUP(Tabela1[[#This Row],[Cliente]],'BASE DE CLIENTES'!A:E,5,0)</f>
        <v>Aparecida de Goiânia</v>
      </c>
    </row>
    <row r="796" spans="2:12" x14ac:dyDescent="0.3">
      <c r="B796" s="1" t="s">
        <v>27</v>
      </c>
      <c r="C796" s="4" t="str">
        <f>VLOOKUP(Tabela1[[#This Row],[Cliente]],'BASE DE CLIENTES'!A:E,2,0)</f>
        <v>Brasília</v>
      </c>
      <c r="D796" s="1" t="str">
        <f>VLOOKUP(Tabela1[[#This Row],[Cliente]],'BASE DE CLIENTES'!A:C,3,0)</f>
        <v>DF</v>
      </c>
      <c r="E796" s="4" t="str">
        <f>CONCATENATE(Tabela1[[#This Row],[CIDADE]],",",Tabela1[[#This Row],[UF]])</f>
        <v>Brasília,DF</v>
      </c>
      <c r="F796" s="2">
        <v>45777</v>
      </c>
      <c r="G796" s="17">
        <v>447</v>
      </c>
      <c r="H796" s="17">
        <v>615</v>
      </c>
      <c r="I796" s="6">
        <f>Tabela1[[#This Row],[Valor total]]-Tabela1[[#This Row],[Valor custo]]</f>
        <v>168</v>
      </c>
      <c r="J796" s="7">
        <f>Tabela1[[#This Row],[MARGEM BRUTA]]/Tabela1[[#This Row],[Valor total]]</f>
        <v>0.27317073170731709</v>
      </c>
      <c r="K796" s="1" t="str">
        <f>VLOOKUP(Tabela1[[#This Row],[Cliente]],'BASE DE CLIENTES'!A:D,4,0)</f>
        <v>EMPRESA SEM MAQUINA</v>
      </c>
      <c r="L796" s="1" t="str">
        <f>VLOOKUP(Tabela1[[#This Row],[Cliente]],'BASE DE CLIENTES'!A:E,5,0)</f>
        <v>RECANTO DAS EMAS</v>
      </c>
    </row>
    <row r="797" spans="2:12" x14ac:dyDescent="0.3">
      <c r="B797" s="1" t="s">
        <v>98</v>
      </c>
      <c r="C797" s="4" t="str">
        <f>VLOOKUP(Tabela1[[#This Row],[Cliente]],'BASE DE CLIENTES'!A:E,2,0)</f>
        <v>Brasília</v>
      </c>
      <c r="D797" s="1" t="str">
        <f>VLOOKUP(Tabela1[[#This Row],[Cliente]],'BASE DE CLIENTES'!A:C,3,0)</f>
        <v>DF</v>
      </c>
      <c r="E797" s="4" t="str">
        <f>CONCATENATE(Tabela1[[#This Row],[CIDADE]],",",Tabela1[[#This Row],[UF]])</f>
        <v>Brasília,DF</v>
      </c>
      <c r="F797" s="2">
        <v>45777</v>
      </c>
      <c r="G797" s="17">
        <v>570.21</v>
      </c>
      <c r="H797" s="17">
        <v>920</v>
      </c>
      <c r="I797" s="6">
        <f>Tabela1[[#This Row],[Valor total]]-Tabela1[[#This Row],[Valor custo]]</f>
        <v>349.78999999999996</v>
      </c>
      <c r="J797" s="7">
        <f>Tabela1[[#This Row],[MARGEM BRUTA]]/Tabela1[[#This Row],[Valor total]]</f>
        <v>0.38020652173913039</v>
      </c>
      <c r="K797" s="1" t="str">
        <f>VLOOKUP(Tabela1[[#This Row],[Cliente]],'BASE DE CLIENTES'!A:D,4,0)</f>
        <v>SERRALHEIRO</v>
      </c>
      <c r="L797" s="1" t="str">
        <f>VLOOKUP(Tabela1[[#This Row],[Cliente]],'BASE DE CLIENTES'!A:E,5,0)</f>
        <v>SANTA MARIA</v>
      </c>
    </row>
    <row r="798" spans="2:12" x14ac:dyDescent="0.3">
      <c r="B798" s="1" t="s">
        <v>152</v>
      </c>
      <c r="C798" s="4" t="str">
        <f>VLOOKUP(Tabela1[[#This Row],[Cliente]],'BASE DE CLIENTES'!A:E,2,0)</f>
        <v>Aparecida de Goiânia</v>
      </c>
      <c r="D798" s="1" t="str">
        <f>VLOOKUP(Tabela1[[#This Row],[Cliente]],'BASE DE CLIENTES'!A:C,3,0)</f>
        <v>GO</v>
      </c>
      <c r="E798" s="4" t="str">
        <f>CONCATENATE(Tabela1[[#This Row],[CIDADE]],",",Tabela1[[#This Row],[UF]])</f>
        <v>Aparecida de Goiânia,GO</v>
      </c>
      <c r="F798" s="2">
        <v>45699</v>
      </c>
      <c r="G798" s="17">
        <v>514.45000000000005</v>
      </c>
      <c r="H798" s="17">
        <v>720</v>
      </c>
      <c r="I798" s="6">
        <f>Tabela1[[#This Row],[Valor total]]-Tabela1[[#This Row],[Valor custo]]</f>
        <v>205.54999999999995</v>
      </c>
      <c r="J798" s="7">
        <f>Tabela1[[#This Row],[MARGEM BRUTA]]/Tabela1[[#This Row],[Valor total]]</f>
        <v>0.28548611111111105</v>
      </c>
      <c r="K798" s="1" t="str">
        <f>VLOOKUP(Tabela1[[#This Row],[Cliente]],'BASE DE CLIENTES'!A:D,4,0)</f>
        <v>TECNICO</v>
      </c>
      <c r="L798" s="1" t="str">
        <f>VLOOKUP(Tabela1[[#This Row],[Cliente]],'BASE DE CLIENTES'!A:E,5,0)</f>
        <v>Aparecida de Goiânia</v>
      </c>
    </row>
    <row r="799" spans="2:12" x14ac:dyDescent="0.3">
      <c r="B799" s="1" t="s">
        <v>152</v>
      </c>
      <c r="C799" s="4" t="str">
        <f>VLOOKUP(Tabela1[[#This Row],[Cliente]],'BASE DE CLIENTES'!A:E,2,0)</f>
        <v>Aparecida de Goiânia</v>
      </c>
      <c r="D799" s="1" t="str">
        <f>VLOOKUP(Tabela1[[#This Row],[Cliente]],'BASE DE CLIENTES'!A:C,3,0)</f>
        <v>GO</v>
      </c>
      <c r="E799" s="4" t="str">
        <f>CONCATENATE(Tabela1[[#This Row],[CIDADE]],",",Tabela1[[#This Row],[UF]])</f>
        <v>Aparecida de Goiânia,GO</v>
      </c>
      <c r="F799" s="2">
        <v>45743</v>
      </c>
      <c r="G799" s="17">
        <v>1393</v>
      </c>
      <c r="H799" s="17">
        <v>1950</v>
      </c>
      <c r="I799" s="6">
        <f>Tabela1[[#This Row],[Valor total]]-Tabela1[[#This Row],[Valor custo]]</f>
        <v>557</v>
      </c>
      <c r="J799" s="7">
        <f>Tabela1[[#This Row],[MARGEM BRUTA]]/Tabela1[[#This Row],[Valor total]]</f>
        <v>0.28564102564102561</v>
      </c>
      <c r="K799" s="1" t="str">
        <f>VLOOKUP(Tabela1[[#This Row],[Cliente]],'BASE DE CLIENTES'!A:D,4,0)</f>
        <v>TECNICO</v>
      </c>
      <c r="L799" s="1" t="str">
        <f>VLOOKUP(Tabela1[[#This Row],[Cliente]],'BASE DE CLIENTES'!A:E,5,0)</f>
        <v>Aparecida de Goiânia</v>
      </c>
    </row>
    <row r="800" spans="2:12" x14ac:dyDescent="0.3">
      <c r="B800" s="1" t="s">
        <v>152</v>
      </c>
      <c r="C800" s="4" t="str">
        <f>VLOOKUP(Tabela1[[#This Row],[Cliente]],'BASE DE CLIENTES'!A:E,2,0)</f>
        <v>Aparecida de Goiânia</v>
      </c>
      <c r="D800" s="1" t="str">
        <f>VLOOKUP(Tabela1[[#This Row],[Cliente]],'BASE DE CLIENTES'!A:C,3,0)</f>
        <v>GO</v>
      </c>
      <c r="E800" s="4" t="str">
        <f>CONCATENATE(Tabela1[[#This Row],[CIDADE]],",",Tabela1[[#This Row],[UF]])</f>
        <v>Aparecida de Goiânia,GO</v>
      </c>
      <c r="F800" s="2">
        <v>45744</v>
      </c>
      <c r="G800" s="17">
        <v>447</v>
      </c>
      <c r="H800" s="17">
        <v>630</v>
      </c>
      <c r="I800" s="6">
        <f>Tabela1[[#This Row],[Valor total]]-Tabela1[[#This Row],[Valor custo]]</f>
        <v>183</v>
      </c>
      <c r="J800" s="7">
        <f>Tabela1[[#This Row],[MARGEM BRUTA]]/Tabela1[[#This Row],[Valor total]]</f>
        <v>0.2904761904761905</v>
      </c>
      <c r="K800" s="1" t="str">
        <f>VLOOKUP(Tabela1[[#This Row],[Cliente]],'BASE DE CLIENTES'!A:D,4,0)</f>
        <v>TECNICO</v>
      </c>
      <c r="L800" s="1" t="str">
        <f>VLOOKUP(Tabela1[[#This Row],[Cliente]],'BASE DE CLIENTES'!A:E,5,0)</f>
        <v>Aparecida de Goiânia</v>
      </c>
    </row>
    <row r="801" spans="2:12" x14ac:dyDescent="0.3">
      <c r="B801" s="1" t="s">
        <v>152</v>
      </c>
      <c r="C801" s="4" t="str">
        <f>VLOOKUP(Tabela1[[#This Row],[Cliente]],'BASE DE CLIENTES'!A:E,2,0)</f>
        <v>Aparecida de Goiânia</v>
      </c>
      <c r="D801" s="1" t="str">
        <f>VLOOKUP(Tabela1[[#This Row],[Cliente]],'BASE DE CLIENTES'!A:C,3,0)</f>
        <v>GO</v>
      </c>
      <c r="E801" s="4" t="str">
        <f>CONCATENATE(Tabela1[[#This Row],[CIDADE]],",",Tabela1[[#This Row],[UF]])</f>
        <v>Aparecida de Goiânia,GO</v>
      </c>
      <c r="F801" s="2">
        <v>45754</v>
      </c>
      <c r="G801" s="17">
        <v>447</v>
      </c>
      <c r="H801" s="17">
        <v>630</v>
      </c>
      <c r="I801" s="6">
        <f>Tabela1[[#This Row],[Valor total]]-Tabela1[[#This Row],[Valor custo]]</f>
        <v>183</v>
      </c>
      <c r="J801" s="7">
        <f>Tabela1[[#This Row],[MARGEM BRUTA]]/Tabela1[[#This Row],[Valor total]]</f>
        <v>0.2904761904761905</v>
      </c>
      <c r="K801" s="1" t="str">
        <f>VLOOKUP(Tabela1[[#This Row],[Cliente]],'BASE DE CLIENTES'!A:D,4,0)</f>
        <v>TECNICO</v>
      </c>
      <c r="L801" s="1" t="str">
        <f>VLOOKUP(Tabela1[[#This Row],[Cliente]],'BASE DE CLIENTES'!A:E,5,0)</f>
        <v>Aparecida de Goiânia</v>
      </c>
    </row>
    <row r="802" spans="2:12" x14ac:dyDescent="0.3">
      <c r="B802" s="1" t="s">
        <v>152</v>
      </c>
      <c r="C802" s="4" t="str">
        <f>VLOOKUP(Tabela1[[#This Row],[Cliente]],'BASE DE CLIENTES'!A:E,2,0)</f>
        <v>Aparecida de Goiânia</v>
      </c>
      <c r="D802" s="1" t="str">
        <f>VLOOKUP(Tabela1[[#This Row],[Cliente]],'BASE DE CLIENTES'!A:C,3,0)</f>
        <v>GO</v>
      </c>
      <c r="E802" s="4" t="str">
        <f>CONCATENATE(Tabela1[[#This Row],[CIDADE]],",",Tabela1[[#This Row],[UF]])</f>
        <v>Aparecida de Goiânia,GO</v>
      </c>
      <c r="F802" s="2">
        <v>45734</v>
      </c>
      <c r="G802" s="17">
        <v>439.2</v>
      </c>
      <c r="H802" s="17">
        <v>620</v>
      </c>
      <c r="I802" s="6">
        <f>Tabela1[[#This Row],[Valor total]]-Tabela1[[#This Row],[Valor custo]]</f>
        <v>180.8</v>
      </c>
      <c r="J802" s="7">
        <f>Tabela1[[#This Row],[MARGEM BRUTA]]/Tabela1[[#This Row],[Valor total]]</f>
        <v>0.29161290322580646</v>
      </c>
      <c r="K802" s="1" t="str">
        <f>VLOOKUP(Tabela1[[#This Row],[Cliente]],'BASE DE CLIENTES'!A:D,4,0)</f>
        <v>TECNICO</v>
      </c>
      <c r="L802" s="1" t="str">
        <f>VLOOKUP(Tabela1[[#This Row],[Cliente]],'BASE DE CLIENTES'!A:E,5,0)</f>
        <v>Aparecida de Goiânia</v>
      </c>
    </row>
    <row r="803" spans="2:12" x14ac:dyDescent="0.3">
      <c r="B803" s="1" t="s">
        <v>98</v>
      </c>
      <c r="C803" s="4" t="str">
        <f>VLOOKUP(Tabela1[[#This Row],[Cliente]],'BASE DE CLIENTES'!A:E,2,0)</f>
        <v>Brasília</v>
      </c>
      <c r="D803" s="1" t="str">
        <f>VLOOKUP(Tabela1[[#This Row],[Cliente]],'BASE DE CLIENTES'!A:C,3,0)</f>
        <v>DF</v>
      </c>
      <c r="E803" s="4" t="str">
        <f>CONCATENATE(Tabela1[[#This Row],[CIDADE]],",",Tabela1[[#This Row],[UF]])</f>
        <v>Brasília,DF</v>
      </c>
      <c r="F803" s="2">
        <v>45776</v>
      </c>
      <c r="G803" s="17">
        <v>584</v>
      </c>
      <c r="H803" s="17">
        <v>840</v>
      </c>
      <c r="I803" s="6">
        <f>Tabela1[[#This Row],[Valor total]]-Tabela1[[#This Row],[Valor custo]]</f>
        <v>256</v>
      </c>
      <c r="J803" s="7">
        <f>Tabela1[[#This Row],[MARGEM BRUTA]]/Tabela1[[#This Row],[Valor total]]</f>
        <v>0.30476190476190479</v>
      </c>
      <c r="K803" s="1" t="str">
        <f>VLOOKUP(Tabela1[[#This Row],[Cliente]],'BASE DE CLIENTES'!A:D,4,0)</f>
        <v>SERRALHEIRO</v>
      </c>
      <c r="L803" s="1" t="str">
        <f>VLOOKUP(Tabela1[[#This Row],[Cliente]],'BASE DE CLIENTES'!A:E,5,0)</f>
        <v>SANTA MARIA</v>
      </c>
    </row>
    <row r="804" spans="2:12" x14ac:dyDescent="0.3">
      <c r="B804" s="1" t="s">
        <v>152</v>
      </c>
      <c r="C804" s="4" t="str">
        <f>VLOOKUP(Tabela1[[#This Row],[Cliente]],'BASE DE CLIENTES'!A:E,2,0)</f>
        <v>Aparecida de Goiânia</v>
      </c>
      <c r="D804" s="1" t="str">
        <f>VLOOKUP(Tabela1[[#This Row],[Cliente]],'BASE DE CLIENTES'!A:C,3,0)</f>
        <v>GO</v>
      </c>
      <c r="E804" s="4" t="str">
        <f>CONCATENATE(Tabela1[[#This Row],[CIDADE]],",",Tabela1[[#This Row],[UF]])</f>
        <v>Aparecida de Goiânia,GO</v>
      </c>
      <c r="F804" s="2">
        <v>45889</v>
      </c>
      <c r="G804" s="17">
        <v>491</v>
      </c>
      <c r="H804" s="17">
        <v>700</v>
      </c>
      <c r="I804" s="6">
        <f>Tabela1[[#This Row],[Valor total]]-Tabela1[[#This Row],[Valor custo]]</f>
        <v>209</v>
      </c>
      <c r="J804" s="7">
        <f>Tabela1[[#This Row],[MARGEM BRUTA]]/Tabela1[[#This Row],[Valor total]]</f>
        <v>0.2985714285714286</v>
      </c>
      <c r="K804" s="1" t="str">
        <f>VLOOKUP(Tabela1[[#This Row],[Cliente]],'BASE DE CLIENTES'!A:D,4,0)</f>
        <v>TECNICO</v>
      </c>
      <c r="L804" s="1" t="str">
        <f>VLOOKUP(Tabela1[[#This Row],[Cliente]],'BASE DE CLIENTES'!A:E,5,0)</f>
        <v>Aparecida de Goiânia</v>
      </c>
    </row>
    <row r="805" spans="2:12" x14ac:dyDescent="0.3">
      <c r="B805" s="1" t="s">
        <v>152</v>
      </c>
      <c r="C805" s="4" t="str">
        <f>VLOOKUP(Tabela1[[#This Row],[Cliente]],'BASE DE CLIENTES'!A:E,2,0)</f>
        <v>Aparecida de Goiânia</v>
      </c>
      <c r="D805" s="1" t="str">
        <f>VLOOKUP(Tabela1[[#This Row],[Cliente]],'BASE DE CLIENTES'!A:C,3,0)</f>
        <v>GO</v>
      </c>
      <c r="E805" s="4" t="str">
        <f>CONCATENATE(Tabela1[[#This Row],[CIDADE]],",",Tabela1[[#This Row],[UF]])</f>
        <v>Aparecida de Goiânia,GO</v>
      </c>
      <c r="F805" s="2">
        <v>45929</v>
      </c>
      <c r="G805" s="17">
        <v>491</v>
      </c>
      <c r="H805" s="17">
        <v>700</v>
      </c>
      <c r="I805" s="6">
        <f>Tabela1[[#This Row],[Valor total]]-Tabela1[[#This Row],[Valor custo]]</f>
        <v>209</v>
      </c>
      <c r="J805" s="7">
        <f>Tabela1[[#This Row],[MARGEM BRUTA]]/Tabela1[[#This Row],[Valor total]]</f>
        <v>0.2985714285714286</v>
      </c>
      <c r="K805" s="1" t="str">
        <f>VLOOKUP(Tabela1[[#This Row],[Cliente]],'BASE DE CLIENTES'!A:D,4,0)</f>
        <v>TECNICO</v>
      </c>
      <c r="L805" s="1" t="str">
        <f>VLOOKUP(Tabela1[[#This Row],[Cliente]],'BASE DE CLIENTES'!A:E,5,0)</f>
        <v>Aparecida de Goiânia</v>
      </c>
    </row>
    <row r="806" spans="2:12" x14ac:dyDescent="0.3">
      <c r="B806" s="1" t="s">
        <v>27</v>
      </c>
      <c r="C806" s="4" t="str">
        <f>VLOOKUP(Tabela1[[#This Row],[Cliente]],'BASE DE CLIENTES'!A:E,2,0)</f>
        <v>Brasília</v>
      </c>
      <c r="D806" s="1" t="str">
        <f>VLOOKUP(Tabela1[[#This Row],[Cliente]],'BASE DE CLIENTES'!A:C,3,0)</f>
        <v>DF</v>
      </c>
      <c r="E806" s="4" t="str">
        <f>CONCATENATE(Tabela1[[#This Row],[CIDADE]],",",Tabela1[[#This Row],[UF]])</f>
        <v>Brasília,DF</v>
      </c>
      <c r="F806" s="2">
        <v>45776</v>
      </c>
      <c r="G806" s="17">
        <v>268.45999999999998</v>
      </c>
      <c r="H806" s="17">
        <v>550</v>
      </c>
      <c r="I806" s="6">
        <f>Tabela1[[#This Row],[Valor total]]-Tabela1[[#This Row],[Valor custo]]</f>
        <v>281.54000000000002</v>
      </c>
      <c r="J806" s="7">
        <f>Tabela1[[#This Row],[MARGEM BRUTA]]/Tabela1[[#This Row],[Valor total]]</f>
        <v>0.51189090909090917</v>
      </c>
      <c r="K806" s="1" t="str">
        <f>VLOOKUP(Tabela1[[#This Row],[Cliente]],'BASE DE CLIENTES'!A:D,4,0)</f>
        <v>EMPRESA SEM MAQUINA</v>
      </c>
      <c r="L806" s="1" t="str">
        <f>VLOOKUP(Tabela1[[#This Row],[Cliente]],'BASE DE CLIENTES'!A:E,5,0)</f>
        <v>RECANTO DAS EMAS</v>
      </c>
    </row>
    <row r="807" spans="2:12" x14ac:dyDescent="0.3">
      <c r="B807" s="1" t="s">
        <v>152</v>
      </c>
      <c r="C807" s="4" t="str">
        <f>VLOOKUP(Tabela1[[#This Row],[Cliente]],'BASE DE CLIENTES'!A:E,2,0)</f>
        <v>Aparecida de Goiânia</v>
      </c>
      <c r="D807" s="1" t="str">
        <f>VLOOKUP(Tabela1[[#This Row],[Cliente]],'BASE DE CLIENTES'!A:C,3,0)</f>
        <v>GO</v>
      </c>
      <c r="E807" s="4" t="str">
        <f>CONCATENATE(Tabela1[[#This Row],[CIDADE]],",",Tabela1[[#This Row],[UF]])</f>
        <v>Aparecida de Goiânia,GO</v>
      </c>
      <c r="F807" s="2">
        <v>45926</v>
      </c>
      <c r="G807" s="17">
        <v>491</v>
      </c>
      <c r="H807" s="17">
        <v>700</v>
      </c>
      <c r="I807" s="6">
        <f>Tabela1[[#This Row],[Valor total]]-Tabela1[[#This Row],[Valor custo]]</f>
        <v>209</v>
      </c>
      <c r="J807" s="7">
        <f>Tabela1[[#This Row],[MARGEM BRUTA]]/Tabela1[[#This Row],[Valor total]]</f>
        <v>0.2985714285714286</v>
      </c>
      <c r="K807" s="1" t="str">
        <f>VLOOKUP(Tabela1[[#This Row],[Cliente]],'BASE DE CLIENTES'!A:D,4,0)</f>
        <v>TECNICO</v>
      </c>
      <c r="L807" s="1" t="str">
        <f>VLOOKUP(Tabela1[[#This Row],[Cliente]],'BASE DE CLIENTES'!A:E,5,0)</f>
        <v>Aparecida de Goiânia</v>
      </c>
    </row>
    <row r="808" spans="2:12" x14ac:dyDescent="0.3">
      <c r="B808" s="1" t="s">
        <v>25</v>
      </c>
      <c r="C808" s="4" t="str">
        <f>VLOOKUP(Tabela1[[#This Row],[Cliente]],'BASE DE CLIENTES'!A:E,2,0)</f>
        <v>Brasília</v>
      </c>
      <c r="D808" s="1" t="str">
        <f>VLOOKUP(Tabela1[[#This Row],[Cliente]],'BASE DE CLIENTES'!A:C,3,0)</f>
        <v>DF</v>
      </c>
      <c r="E808" s="4" t="str">
        <f>CONCATENATE(Tabela1[[#This Row],[CIDADE]],",",Tabela1[[#This Row],[UF]])</f>
        <v>Brasília,DF</v>
      </c>
      <c r="F808" s="2">
        <v>45776</v>
      </c>
      <c r="G808" s="17">
        <v>1023</v>
      </c>
      <c r="H808" s="17">
        <v>1670</v>
      </c>
      <c r="I808" s="6">
        <f>Tabela1[[#This Row],[Valor total]]-Tabela1[[#This Row],[Valor custo]]</f>
        <v>647</v>
      </c>
      <c r="J808" s="7">
        <f>Tabela1[[#This Row],[MARGEM BRUTA]]/Tabela1[[#This Row],[Valor total]]</f>
        <v>0.38742514970059883</v>
      </c>
      <c r="K808" s="1" t="str">
        <f>VLOOKUP(Tabela1[[#This Row],[Cliente]],'BASE DE CLIENTES'!A:D,4,0)</f>
        <v>EMPRESA COM MAQUINA</v>
      </c>
      <c r="L808" s="1" t="str">
        <f>VLOOKUP(Tabela1[[#This Row],[Cliente]],'BASE DE CLIENTES'!A:E,5,0)</f>
        <v>CEILANDIA NORTE (CEILANDIA)</v>
      </c>
    </row>
    <row r="809" spans="2:12" x14ac:dyDescent="0.3">
      <c r="B809" s="1" t="s">
        <v>133</v>
      </c>
      <c r="C809" s="4" t="str">
        <f>VLOOKUP(Tabela1[[#This Row],[Cliente]],'BASE DE CLIENTES'!A:E,2,0)</f>
        <v>Brasília</v>
      </c>
      <c r="D809" s="1" t="str">
        <f>VLOOKUP(Tabela1[[#This Row],[Cliente]],'BASE DE CLIENTES'!A:C,3,0)</f>
        <v>DF</v>
      </c>
      <c r="E809" s="4" t="str">
        <f>CONCATENATE(Tabela1[[#This Row],[CIDADE]],",",Tabela1[[#This Row],[UF]])</f>
        <v>Brasília,DF</v>
      </c>
      <c r="F809" s="2">
        <v>45776</v>
      </c>
      <c r="G809" s="17">
        <v>946</v>
      </c>
      <c r="H809" s="17">
        <v>1440</v>
      </c>
      <c r="I809" s="6">
        <f>Tabela1[[#This Row],[Valor total]]-Tabela1[[#This Row],[Valor custo]]</f>
        <v>494</v>
      </c>
      <c r="J809" s="7">
        <f>Tabela1[[#This Row],[MARGEM BRUTA]]/Tabela1[[#This Row],[Valor total]]</f>
        <v>0.34305555555555556</v>
      </c>
      <c r="K809" s="1" t="str">
        <f>VLOOKUP(Tabela1[[#This Row],[Cliente]],'BASE DE CLIENTES'!A:D,4,0)</f>
        <v>SERRALHEIRO</v>
      </c>
      <c r="L809" s="1" t="str">
        <f>VLOOKUP(Tabela1[[#This Row],[Cliente]],'BASE DE CLIENTES'!A:E,5,0)</f>
        <v>RECANTO DAS EMAS</v>
      </c>
    </row>
    <row r="810" spans="2:12" x14ac:dyDescent="0.3">
      <c r="B810" s="1" t="s">
        <v>27</v>
      </c>
      <c r="C810" s="4" t="str">
        <f>VLOOKUP(Tabela1[[#This Row],[Cliente]],'BASE DE CLIENTES'!A:E,2,0)</f>
        <v>Brasília</v>
      </c>
      <c r="D810" s="1" t="str">
        <f>VLOOKUP(Tabela1[[#This Row],[Cliente]],'BASE DE CLIENTES'!A:C,3,0)</f>
        <v>DF</v>
      </c>
      <c r="E810" s="4" t="str">
        <f>CONCATENATE(Tabela1[[#This Row],[CIDADE]],",",Tabela1[[#This Row],[UF]])</f>
        <v>Brasília,DF</v>
      </c>
      <c r="F810" s="2">
        <v>45776</v>
      </c>
      <c r="G810" s="17">
        <v>31.6</v>
      </c>
      <c r="H810" s="17">
        <v>1020</v>
      </c>
      <c r="I810" s="6">
        <f>Tabela1[[#This Row],[Valor total]]-Tabela1[[#This Row],[Valor custo]]</f>
        <v>988.4</v>
      </c>
      <c r="J810" s="7">
        <f>Tabela1[[#This Row],[MARGEM BRUTA]]/Tabela1[[#This Row],[Valor total]]</f>
        <v>0.96901960784313723</v>
      </c>
      <c r="K810" s="1" t="str">
        <f>VLOOKUP(Tabela1[[#This Row],[Cliente]],'BASE DE CLIENTES'!A:D,4,0)</f>
        <v>EMPRESA SEM MAQUINA</v>
      </c>
      <c r="L810" s="1" t="str">
        <f>VLOOKUP(Tabela1[[#This Row],[Cliente]],'BASE DE CLIENTES'!A:E,5,0)</f>
        <v>RECANTO DAS EMAS</v>
      </c>
    </row>
    <row r="811" spans="2:12" x14ac:dyDescent="0.3">
      <c r="B811" s="1" t="s">
        <v>108</v>
      </c>
      <c r="C811" s="4" t="str">
        <f>VLOOKUP(Tabela1[[#This Row],[Cliente]],'BASE DE CLIENTES'!A:E,2,0)</f>
        <v>Brasília</v>
      </c>
      <c r="D811" s="1" t="str">
        <f>VLOOKUP(Tabela1[[#This Row],[Cliente]],'BASE DE CLIENTES'!A:C,3,0)</f>
        <v>DF</v>
      </c>
      <c r="E811" s="4" t="str">
        <f>CONCATENATE(Tabela1[[#This Row],[CIDADE]],",",Tabela1[[#This Row],[UF]])</f>
        <v>Brasília,DF</v>
      </c>
      <c r="F811" s="2">
        <v>45775</v>
      </c>
      <c r="G811" s="17">
        <v>66</v>
      </c>
      <c r="H811" s="17">
        <v>300</v>
      </c>
      <c r="I811" s="6">
        <f>Tabela1[[#This Row],[Valor total]]-Tabela1[[#This Row],[Valor custo]]</f>
        <v>234</v>
      </c>
      <c r="J811" s="7">
        <f>Tabela1[[#This Row],[MARGEM BRUTA]]/Tabela1[[#This Row],[Valor total]]</f>
        <v>0.78</v>
      </c>
      <c r="K811" s="1" t="str">
        <f>VLOOKUP(Tabela1[[#This Row],[Cliente]],'BASE DE CLIENTES'!A:D,4,0)</f>
        <v>SERRALHEIRO</v>
      </c>
      <c r="L811" s="1" t="str">
        <f>VLOOKUP(Tabela1[[#This Row],[Cliente]],'BASE DE CLIENTES'!A:E,5,0)</f>
        <v>Vila Planalto</v>
      </c>
    </row>
    <row r="812" spans="2:12" x14ac:dyDescent="0.3">
      <c r="B812" s="1" t="s">
        <v>68</v>
      </c>
      <c r="C812" s="4" t="str">
        <f>VLOOKUP(Tabela1[[#This Row],[Cliente]],'BASE DE CLIENTES'!A:E,2,0)</f>
        <v>Brasília</v>
      </c>
      <c r="D812" s="1" t="str">
        <f>VLOOKUP(Tabela1[[#This Row],[Cliente]],'BASE DE CLIENTES'!A:C,3,0)</f>
        <v>DF</v>
      </c>
      <c r="E812" s="4" t="str">
        <f>CONCATENATE(Tabela1[[#This Row],[CIDADE]],",",Tabela1[[#This Row],[UF]])</f>
        <v>Brasília,DF</v>
      </c>
      <c r="F812" s="2">
        <v>45775</v>
      </c>
      <c r="G812" s="17">
        <v>1303.82</v>
      </c>
      <c r="H812" s="17">
        <v>1865</v>
      </c>
      <c r="I812" s="6">
        <f>Tabela1[[#This Row],[Valor total]]-Tabela1[[#This Row],[Valor custo]]</f>
        <v>561.18000000000006</v>
      </c>
      <c r="J812" s="7">
        <f>Tabela1[[#This Row],[MARGEM BRUTA]]/Tabela1[[#This Row],[Valor total]]</f>
        <v>0.30090080428954424</v>
      </c>
      <c r="K812" s="1" t="str">
        <f>VLOOKUP(Tabela1[[#This Row],[Cliente]],'BASE DE CLIENTES'!A:D,4,0)</f>
        <v>EMPRESA COM MAQUINA</v>
      </c>
      <c r="L812" s="1" t="str">
        <f>VLOOKUP(Tabela1[[#This Row],[Cliente]],'BASE DE CLIENTES'!A:E,5,0)</f>
        <v>SAMAMBAIA SUL (SAMAMBAIA)</v>
      </c>
    </row>
    <row r="813" spans="2:12" x14ac:dyDescent="0.3">
      <c r="B813" s="1" t="s">
        <v>152</v>
      </c>
      <c r="C813" s="4" t="str">
        <f>VLOOKUP(Tabela1[[#This Row],[Cliente]],'BASE DE CLIENTES'!A:E,2,0)</f>
        <v>Aparecida de Goiânia</v>
      </c>
      <c r="D813" s="1" t="str">
        <f>VLOOKUP(Tabela1[[#This Row],[Cliente]],'BASE DE CLIENTES'!A:C,3,0)</f>
        <v>GO</v>
      </c>
      <c r="E813" s="4" t="str">
        <f>CONCATENATE(Tabela1[[#This Row],[CIDADE]],",",Tabela1[[#This Row],[UF]])</f>
        <v>Aparecida de Goiânia,GO</v>
      </c>
      <c r="F813" s="2">
        <v>45916</v>
      </c>
      <c r="G813" s="17">
        <v>491</v>
      </c>
      <c r="H813" s="17">
        <v>700</v>
      </c>
      <c r="I813" s="6">
        <f>Tabela1[[#This Row],[Valor total]]-Tabela1[[#This Row],[Valor custo]]</f>
        <v>209</v>
      </c>
      <c r="J813" s="7">
        <f>Tabela1[[#This Row],[MARGEM BRUTA]]/Tabela1[[#This Row],[Valor total]]</f>
        <v>0.2985714285714286</v>
      </c>
      <c r="K813" s="1" t="str">
        <f>VLOOKUP(Tabela1[[#This Row],[Cliente]],'BASE DE CLIENTES'!A:D,4,0)</f>
        <v>TECNICO</v>
      </c>
      <c r="L813" s="1" t="str">
        <f>VLOOKUP(Tabela1[[#This Row],[Cliente]],'BASE DE CLIENTES'!A:E,5,0)</f>
        <v>Aparecida de Goiânia</v>
      </c>
    </row>
    <row r="814" spans="2:12" x14ac:dyDescent="0.3">
      <c r="B814" s="1" t="s">
        <v>152</v>
      </c>
      <c r="C814" s="4" t="str">
        <f>VLOOKUP(Tabela1[[#This Row],[Cliente]],'BASE DE CLIENTES'!A:E,2,0)</f>
        <v>Aparecida de Goiânia</v>
      </c>
      <c r="D814" s="1" t="str">
        <f>VLOOKUP(Tabela1[[#This Row],[Cliente]],'BASE DE CLIENTES'!A:C,3,0)</f>
        <v>GO</v>
      </c>
      <c r="E814" s="4" t="str">
        <f>CONCATENATE(Tabela1[[#This Row],[CIDADE]],",",Tabela1[[#This Row],[UF]])</f>
        <v>Aparecida de Goiânia,GO</v>
      </c>
      <c r="F814" s="2">
        <v>45706</v>
      </c>
      <c r="G814" s="17">
        <v>2734.05</v>
      </c>
      <c r="H814" s="17">
        <v>3900</v>
      </c>
      <c r="I814" s="6">
        <f>Tabela1[[#This Row],[Valor total]]-Tabela1[[#This Row],[Valor custo]]</f>
        <v>1165.9499999999998</v>
      </c>
      <c r="J814" s="7">
        <f>Tabela1[[#This Row],[MARGEM BRUTA]]/Tabela1[[#This Row],[Valor total]]</f>
        <v>0.29896153846153839</v>
      </c>
      <c r="K814" s="1" t="str">
        <f>VLOOKUP(Tabela1[[#This Row],[Cliente]],'BASE DE CLIENTES'!A:D,4,0)</f>
        <v>TECNICO</v>
      </c>
      <c r="L814" s="1" t="str">
        <f>VLOOKUP(Tabela1[[#This Row],[Cliente]],'BASE DE CLIENTES'!A:E,5,0)</f>
        <v>Aparecida de Goiânia</v>
      </c>
    </row>
    <row r="815" spans="2:12" x14ac:dyDescent="0.3">
      <c r="B815" s="1" t="s">
        <v>111</v>
      </c>
      <c r="C815" s="4" t="str">
        <f>VLOOKUP(Tabela1[[#This Row],[Cliente]],'BASE DE CLIENTES'!A:E,2,0)</f>
        <v>Brasília</v>
      </c>
      <c r="D815" s="1" t="str">
        <f>VLOOKUP(Tabela1[[#This Row],[Cliente]],'BASE DE CLIENTES'!A:C,3,0)</f>
        <v>DF</v>
      </c>
      <c r="E815" s="4" t="str">
        <f>CONCATENATE(Tabela1[[#This Row],[CIDADE]],",",Tabela1[[#This Row],[UF]])</f>
        <v>Brasília,DF</v>
      </c>
      <c r="F815" s="2">
        <v>45775</v>
      </c>
      <c r="G815" s="17">
        <v>2500.04</v>
      </c>
      <c r="H815" s="17">
        <v>4038</v>
      </c>
      <c r="I815" s="6">
        <f>Tabela1[[#This Row],[Valor total]]-Tabela1[[#This Row],[Valor custo]]</f>
        <v>1537.96</v>
      </c>
      <c r="J815" s="7">
        <f>Tabela1[[#This Row],[MARGEM BRUTA]]/Tabela1[[#This Row],[Valor total]]</f>
        <v>0.38087171867261022</v>
      </c>
      <c r="K815" s="1" t="str">
        <f>VLOOKUP(Tabela1[[#This Row],[Cliente]],'BASE DE CLIENTES'!A:D,4,0)</f>
        <v>EMPRESA SEM MAQUINA</v>
      </c>
      <c r="L815" s="1" t="str">
        <f>VLOOKUP(Tabela1[[#This Row],[Cliente]],'BASE DE CLIENTES'!A:E,5,0)</f>
        <v>TAGUATINGA SUL (TAGUATINGA)</v>
      </c>
    </row>
    <row r="816" spans="2:12" x14ac:dyDescent="0.3">
      <c r="B816" s="1" t="s">
        <v>25</v>
      </c>
      <c r="C816" s="4" t="str">
        <f>VLOOKUP(Tabela1[[#This Row],[Cliente]],'BASE DE CLIENTES'!A:E,2,0)</f>
        <v>Brasília</v>
      </c>
      <c r="D816" s="1" t="str">
        <f>VLOOKUP(Tabela1[[#This Row],[Cliente]],'BASE DE CLIENTES'!A:C,3,0)</f>
        <v>DF</v>
      </c>
      <c r="E816" s="4" t="str">
        <f>CONCATENATE(Tabela1[[#This Row],[CIDADE]],",",Tabela1[[#This Row],[UF]])</f>
        <v>Brasília,DF</v>
      </c>
      <c r="F816" s="2">
        <v>45775</v>
      </c>
      <c r="G816" s="17">
        <v>447</v>
      </c>
      <c r="H816" s="17">
        <v>620</v>
      </c>
      <c r="I816" s="6">
        <f>Tabela1[[#This Row],[Valor total]]-Tabela1[[#This Row],[Valor custo]]</f>
        <v>173</v>
      </c>
      <c r="J816" s="7">
        <f>Tabela1[[#This Row],[MARGEM BRUTA]]/Tabela1[[#This Row],[Valor total]]</f>
        <v>0.27903225806451615</v>
      </c>
      <c r="K816" s="1" t="str">
        <f>VLOOKUP(Tabela1[[#This Row],[Cliente]],'BASE DE CLIENTES'!A:D,4,0)</f>
        <v>EMPRESA COM MAQUINA</v>
      </c>
      <c r="L816" s="1" t="str">
        <f>VLOOKUP(Tabela1[[#This Row],[Cliente]],'BASE DE CLIENTES'!A:E,5,0)</f>
        <v>CEILANDIA NORTE (CEILANDIA)</v>
      </c>
    </row>
    <row r="817" spans="2:12" x14ac:dyDescent="0.3">
      <c r="B817" s="1" t="s">
        <v>152</v>
      </c>
      <c r="C817" s="4" t="str">
        <f>VLOOKUP(Tabela1[[#This Row],[Cliente]],'BASE DE CLIENTES'!A:E,2,0)</f>
        <v>Aparecida de Goiânia</v>
      </c>
      <c r="D817" s="1" t="str">
        <f>VLOOKUP(Tabela1[[#This Row],[Cliente]],'BASE DE CLIENTES'!A:C,3,0)</f>
        <v>GO</v>
      </c>
      <c r="E817" s="4" t="str">
        <f>CONCATENATE(Tabela1[[#This Row],[CIDADE]],",",Tabela1[[#This Row],[UF]])</f>
        <v>Aparecida de Goiânia,GO</v>
      </c>
      <c r="F817" s="2">
        <v>45731</v>
      </c>
      <c r="G817" s="17">
        <v>911.35</v>
      </c>
      <c r="H817" s="17">
        <v>1300</v>
      </c>
      <c r="I817" s="6">
        <f>Tabela1[[#This Row],[Valor total]]-Tabela1[[#This Row],[Valor custo]]</f>
        <v>388.65</v>
      </c>
      <c r="J817" s="7">
        <f>Tabela1[[#This Row],[MARGEM BRUTA]]/Tabela1[[#This Row],[Valor total]]</f>
        <v>0.29896153846153845</v>
      </c>
      <c r="K817" s="1" t="str">
        <f>VLOOKUP(Tabela1[[#This Row],[Cliente]],'BASE DE CLIENTES'!A:D,4,0)</f>
        <v>TECNICO</v>
      </c>
      <c r="L817" s="1" t="str">
        <f>VLOOKUP(Tabela1[[#This Row],[Cliente]],'BASE DE CLIENTES'!A:E,5,0)</f>
        <v>Aparecida de Goiânia</v>
      </c>
    </row>
    <row r="818" spans="2:12" x14ac:dyDescent="0.3">
      <c r="B818" s="1" t="s">
        <v>127</v>
      </c>
      <c r="C818" s="4" t="str">
        <f>VLOOKUP(Tabela1[[#This Row],[Cliente]],'BASE DE CLIENTES'!A:E,2,0)</f>
        <v>Brasília</v>
      </c>
      <c r="D818" s="1" t="str">
        <f>VLOOKUP(Tabela1[[#This Row],[Cliente]],'BASE DE CLIENTES'!A:C,3,0)</f>
        <v>DF</v>
      </c>
      <c r="E818" s="4" t="str">
        <f>CONCATENATE(Tabela1[[#This Row],[CIDADE]],",",Tabela1[[#This Row],[UF]])</f>
        <v>Brasília,DF</v>
      </c>
      <c r="F818" s="2">
        <v>45775</v>
      </c>
      <c r="G818" s="17">
        <v>497</v>
      </c>
      <c r="H818" s="17">
        <v>65</v>
      </c>
      <c r="I818" s="6">
        <f>Tabela1[[#This Row],[Valor total]]-Tabela1[[#This Row],[Valor custo]]</f>
        <v>-432</v>
      </c>
      <c r="J818" s="7">
        <f>Tabela1[[#This Row],[MARGEM BRUTA]]/Tabela1[[#This Row],[Valor total]]</f>
        <v>-6.6461538461538465</v>
      </c>
      <c r="K818" s="1" t="str">
        <f>VLOOKUP(Tabela1[[#This Row],[Cliente]],'BASE DE CLIENTES'!A:D,4,0)</f>
        <v>EMPRESA COM MAQUINA</v>
      </c>
      <c r="L818" s="1" t="str">
        <f>VLOOKUP(Tabela1[[#This Row],[Cliente]],'BASE DE CLIENTES'!A:E,5,0)</f>
        <v>CEILANDIA SUL (CEILANDIA)</v>
      </c>
    </row>
    <row r="819" spans="2:12" x14ac:dyDescent="0.3">
      <c r="B819" s="1" t="s">
        <v>44</v>
      </c>
      <c r="C819" s="4" t="str">
        <f>VLOOKUP(Tabela1[[#This Row],[Cliente]],'BASE DE CLIENTES'!A:E,2,0)</f>
        <v>Brasília</v>
      </c>
      <c r="D819" s="1" t="str">
        <f>VLOOKUP(Tabela1[[#This Row],[Cliente]],'BASE DE CLIENTES'!A:C,3,0)</f>
        <v>DF</v>
      </c>
      <c r="E819" s="4" t="str">
        <f>CONCATENATE(Tabela1[[#This Row],[CIDADE]],",",Tabela1[[#This Row],[UF]])</f>
        <v>Brasília,DF</v>
      </c>
      <c r="F819" s="2">
        <v>45775</v>
      </c>
      <c r="G819" s="17">
        <v>447</v>
      </c>
      <c r="H819" s="17">
        <v>645</v>
      </c>
      <c r="I819" s="6">
        <f>Tabela1[[#This Row],[Valor total]]-Tabela1[[#This Row],[Valor custo]]</f>
        <v>198</v>
      </c>
      <c r="J819" s="7">
        <f>Tabela1[[#This Row],[MARGEM BRUTA]]/Tabela1[[#This Row],[Valor total]]</f>
        <v>0.30697674418604654</v>
      </c>
      <c r="K819" s="1" t="str">
        <f>VLOOKUP(Tabela1[[#This Row],[Cliente]],'BASE DE CLIENTES'!A:D,4,0)</f>
        <v>EMPRESA SEM MAQUINA</v>
      </c>
      <c r="L819" s="1" t="str">
        <f>VLOOKUP(Tabela1[[#This Row],[Cliente]],'BASE DE CLIENTES'!A:E,5,0)</f>
        <v>SETOR HABITACIONAL VICENTE PIRES</v>
      </c>
    </row>
    <row r="820" spans="2:12" x14ac:dyDescent="0.3">
      <c r="B820" s="1" t="s">
        <v>38</v>
      </c>
      <c r="C820" s="4" t="str">
        <f>VLOOKUP(Tabela1[[#This Row],[Cliente]],'BASE DE CLIENTES'!A:E,2,0)</f>
        <v>Brasília</v>
      </c>
      <c r="D820" s="1" t="str">
        <f>VLOOKUP(Tabela1[[#This Row],[Cliente]],'BASE DE CLIENTES'!A:C,3,0)</f>
        <v>DF</v>
      </c>
      <c r="E820" s="4" t="str">
        <f>CONCATENATE(Tabela1[[#This Row],[CIDADE]],",",Tabela1[[#This Row],[UF]])</f>
        <v>Brasília,DF</v>
      </c>
      <c r="F820" s="2">
        <v>45774</v>
      </c>
      <c r="G820" s="17">
        <v>894</v>
      </c>
      <c r="H820" s="17">
        <v>1290</v>
      </c>
      <c r="I820" s="6">
        <f>Tabela1[[#This Row],[Valor total]]-Tabela1[[#This Row],[Valor custo]]</f>
        <v>396</v>
      </c>
      <c r="J820" s="7">
        <f>Tabela1[[#This Row],[MARGEM BRUTA]]/Tabela1[[#This Row],[Valor total]]</f>
        <v>0.30697674418604654</v>
      </c>
      <c r="K820" s="1" t="str">
        <f>VLOOKUP(Tabela1[[#This Row],[Cliente]],'BASE DE CLIENTES'!A:D,4,0)</f>
        <v>EMPRESA SEM MAQUINA</v>
      </c>
      <c r="L820" s="1" t="str">
        <f>VLOOKUP(Tabela1[[#This Row],[Cliente]],'BASE DE CLIENTES'!A:E,5,0)</f>
        <v>PONTE ALTA NORTE (GAMA)</v>
      </c>
    </row>
    <row r="821" spans="2:12" x14ac:dyDescent="0.3">
      <c r="B821" s="1" t="s">
        <v>38</v>
      </c>
      <c r="C821" s="4" t="str">
        <f>VLOOKUP(Tabela1[[#This Row],[Cliente]],'BASE DE CLIENTES'!A:E,2,0)</f>
        <v>Brasília</v>
      </c>
      <c r="D821" s="1" t="str">
        <f>VLOOKUP(Tabela1[[#This Row],[Cliente]],'BASE DE CLIENTES'!A:C,3,0)</f>
        <v>DF</v>
      </c>
      <c r="E821" s="4" t="str">
        <f>CONCATENATE(Tabela1[[#This Row],[CIDADE]],",",Tabela1[[#This Row],[UF]])</f>
        <v>Brasília,DF</v>
      </c>
      <c r="F821" s="2">
        <v>45774</v>
      </c>
      <c r="G821" s="17">
        <v>473</v>
      </c>
      <c r="H821" s="17">
        <v>720</v>
      </c>
      <c r="I821" s="6">
        <f>Tabela1[[#This Row],[Valor total]]-Tabela1[[#This Row],[Valor custo]]</f>
        <v>247</v>
      </c>
      <c r="J821" s="7">
        <f>Tabela1[[#This Row],[MARGEM BRUTA]]/Tabela1[[#This Row],[Valor total]]</f>
        <v>0.34305555555555556</v>
      </c>
      <c r="K821" s="1" t="str">
        <f>VLOOKUP(Tabela1[[#This Row],[Cliente]],'BASE DE CLIENTES'!A:D,4,0)</f>
        <v>EMPRESA SEM MAQUINA</v>
      </c>
      <c r="L821" s="1" t="str">
        <f>VLOOKUP(Tabela1[[#This Row],[Cliente]],'BASE DE CLIENTES'!A:E,5,0)</f>
        <v>PONTE ALTA NORTE (GAMA)</v>
      </c>
    </row>
    <row r="822" spans="2:12" x14ac:dyDescent="0.3">
      <c r="B822" s="1" t="s">
        <v>152</v>
      </c>
      <c r="C822" s="4" t="str">
        <f>VLOOKUP(Tabela1[[#This Row],[Cliente]],'BASE DE CLIENTES'!A:E,2,0)</f>
        <v>Aparecida de Goiânia</v>
      </c>
      <c r="D822" s="1" t="str">
        <f>VLOOKUP(Tabela1[[#This Row],[Cliente]],'BASE DE CLIENTES'!A:C,3,0)</f>
        <v>GO</v>
      </c>
      <c r="E822" s="4" t="str">
        <f>CONCATENATE(Tabela1[[#This Row],[CIDADE]],",",Tabela1[[#This Row],[UF]])</f>
        <v>Aparecida de Goiânia,GO</v>
      </c>
      <c r="F822" s="2">
        <v>45892</v>
      </c>
      <c r="G822" s="17">
        <v>1832.6</v>
      </c>
      <c r="H822" s="17">
        <v>2620</v>
      </c>
      <c r="I822" s="6">
        <f>Tabela1[[#This Row],[Valor total]]-Tabela1[[#This Row],[Valor custo]]</f>
        <v>787.40000000000009</v>
      </c>
      <c r="J822" s="7">
        <f>Tabela1[[#This Row],[MARGEM BRUTA]]/Tabela1[[#This Row],[Valor total]]</f>
        <v>0.30053435114503818</v>
      </c>
      <c r="K822" s="1" t="str">
        <f>VLOOKUP(Tabela1[[#This Row],[Cliente]],'BASE DE CLIENTES'!A:D,4,0)</f>
        <v>TECNICO</v>
      </c>
      <c r="L822" s="1" t="str">
        <f>VLOOKUP(Tabela1[[#This Row],[Cliente]],'BASE DE CLIENTES'!A:E,5,0)</f>
        <v>Aparecida de Goiânia</v>
      </c>
    </row>
    <row r="823" spans="2:12" x14ac:dyDescent="0.3">
      <c r="B823" s="1" t="s">
        <v>98</v>
      </c>
      <c r="C823" s="4" t="str">
        <f>VLOOKUP(Tabela1[[#This Row],[Cliente]],'BASE DE CLIENTES'!A:E,2,0)</f>
        <v>Brasília</v>
      </c>
      <c r="D823" s="1" t="str">
        <f>VLOOKUP(Tabela1[[#This Row],[Cliente]],'BASE DE CLIENTES'!A:C,3,0)</f>
        <v>DF</v>
      </c>
      <c r="E823" s="4" t="str">
        <f>CONCATENATE(Tabela1[[#This Row],[CIDADE]],",",Tabela1[[#This Row],[UF]])</f>
        <v>Brasília,DF</v>
      </c>
      <c r="F823" s="2">
        <v>45772</v>
      </c>
      <c r="G823" s="17">
        <v>663</v>
      </c>
      <c r="H823" s="17">
        <v>1270</v>
      </c>
      <c r="I823" s="6">
        <f>Tabela1[[#This Row],[Valor total]]-Tabela1[[#This Row],[Valor custo]]</f>
        <v>607</v>
      </c>
      <c r="J823" s="7">
        <f>Tabela1[[#This Row],[MARGEM BRUTA]]/Tabela1[[#This Row],[Valor total]]</f>
        <v>0.47795275590551178</v>
      </c>
      <c r="K823" s="1" t="str">
        <f>VLOOKUP(Tabela1[[#This Row],[Cliente]],'BASE DE CLIENTES'!A:D,4,0)</f>
        <v>SERRALHEIRO</v>
      </c>
      <c r="L823" s="1" t="str">
        <f>VLOOKUP(Tabela1[[#This Row],[Cliente]],'BASE DE CLIENTES'!A:E,5,0)</f>
        <v>SANTA MARIA</v>
      </c>
    </row>
    <row r="824" spans="2:12" x14ac:dyDescent="0.3">
      <c r="B824" s="1" t="s">
        <v>152</v>
      </c>
      <c r="C824" s="4" t="str">
        <f>VLOOKUP(Tabela1[[#This Row],[Cliente]],'BASE DE CLIENTES'!A:E,2,0)</f>
        <v>Aparecida de Goiânia</v>
      </c>
      <c r="D824" s="1" t="str">
        <f>VLOOKUP(Tabela1[[#This Row],[Cliente]],'BASE DE CLIENTES'!A:C,3,0)</f>
        <v>GO</v>
      </c>
      <c r="E824" s="4" t="str">
        <f>CONCATENATE(Tabela1[[#This Row],[CIDADE]],",",Tabela1[[#This Row],[UF]])</f>
        <v>Aparecida de Goiânia,GO</v>
      </c>
      <c r="F824" s="2">
        <v>45882</v>
      </c>
      <c r="G824" s="17">
        <v>1818</v>
      </c>
      <c r="H824" s="17">
        <v>2600</v>
      </c>
      <c r="I824" s="6">
        <f>Tabela1[[#This Row],[Valor total]]-Tabela1[[#This Row],[Valor custo]]</f>
        <v>782</v>
      </c>
      <c r="J824" s="7">
        <f>Tabela1[[#This Row],[MARGEM BRUTA]]/Tabela1[[#This Row],[Valor total]]</f>
        <v>0.30076923076923079</v>
      </c>
      <c r="K824" s="1" t="str">
        <f>VLOOKUP(Tabela1[[#This Row],[Cliente]],'BASE DE CLIENTES'!A:D,4,0)</f>
        <v>TECNICO</v>
      </c>
      <c r="L824" s="1" t="str">
        <f>VLOOKUP(Tabela1[[#This Row],[Cliente]],'BASE DE CLIENTES'!A:E,5,0)</f>
        <v>Aparecida de Goiânia</v>
      </c>
    </row>
    <row r="825" spans="2:12" x14ac:dyDescent="0.3">
      <c r="B825" s="1" t="s">
        <v>152</v>
      </c>
      <c r="C825" s="4" t="str">
        <f>VLOOKUP(Tabela1[[#This Row],[Cliente]],'BASE DE CLIENTES'!A:E,2,0)</f>
        <v>Aparecida de Goiânia</v>
      </c>
      <c r="D825" s="1" t="str">
        <f>VLOOKUP(Tabela1[[#This Row],[Cliente]],'BASE DE CLIENTES'!A:C,3,0)</f>
        <v>GO</v>
      </c>
      <c r="E825" s="4" t="str">
        <f>CONCATENATE(Tabela1[[#This Row],[CIDADE]],",",Tabela1[[#This Row],[UF]])</f>
        <v>Aparecida de Goiânia,GO</v>
      </c>
      <c r="F825" s="2">
        <v>45880</v>
      </c>
      <c r="G825" s="17">
        <v>909</v>
      </c>
      <c r="H825" s="17">
        <v>1300</v>
      </c>
      <c r="I825" s="6">
        <f>Tabela1[[#This Row],[Valor total]]-Tabela1[[#This Row],[Valor custo]]</f>
        <v>391</v>
      </c>
      <c r="J825" s="7">
        <f>Tabela1[[#This Row],[MARGEM BRUTA]]/Tabela1[[#This Row],[Valor total]]</f>
        <v>0.30076923076923079</v>
      </c>
      <c r="K825" s="1" t="str">
        <f>VLOOKUP(Tabela1[[#This Row],[Cliente]],'BASE DE CLIENTES'!A:D,4,0)</f>
        <v>TECNICO</v>
      </c>
      <c r="L825" s="1" t="str">
        <f>VLOOKUP(Tabela1[[#This Row],[Cliente]],'BASE DE CLIENTES'!A:E,5,0)</f>
        <v>Aparecida de Goiânia</v>
      </c>
    </row>
    <row r="826" spans="2:12" x14ac:dyDescent="0.3">
      <c r="B826" s="1" t="s">
        <v>152</v>
      </c>
      <c r="C826" s="4" t="str">
        <f>VLOOKUP(Tabela1[[#This Row],[Cliente]],'BASE DE CLIENTES'!A:E,2,0)</f>
        <v>Aparecida de Goiânia</v>
      </c>
      <c r="D826" s="1" t="str">
        <f>VLOOKUP(Tabela1[[#This Row],[Cliente]],'BASE DE CLIENTES'!A:C,3,0)</f>
        <v>GO</v>
      </c>
      <c r="E826" s="4" t="str">
        <f>CONCATENATE(Tabela1[[#This Row],[CIDADE]],",",Tabela1[[#This Row],[UF]])</f>
        <v>Aparecida de Goiânia,GO</v>
      </c>
      <c r="F826" s="2">
        <v>45705</v>
      </c>
      <c r="G826" s="17">
        <v>953.65</v>
      </c>
      <c r="H826" s="17">
        <v>1365</v>
      </c>
      <c r="I826" s="6">
        <f>Tabela1[[#This Row],[Valor total]]-Tabela1[[#This Row],[Valor custo]]</f>
        <v>411.35</v>
      </c>
      <c r="J826" s="7">
        <f>Tabela1[[#This Row],[MARGEM BRUTA]]/Tabela1[[#This Row],[Valor total]]</f>
        <v>0.30135531135531135</v>
      </c>
      <c r="K826" s="1" t="str">
        <f>VLOOKUP(Tabela1[[#This Row],[Cliente]],'BASE DE CLIENTES'!A:D,4,0)</f>
        <v>TECNICO</v>
      </c>
      <c r="L826" s="1" t="str">
        <f>VLOOKUP(Tabela1[[#This Row],[Cliente]],'BASE DE CLIENTES'!A:E,5,0)</f>
        <v>Aparecida de Goiânia</v>
      </c>
    </row>
    <row r="827" spans="2:12" x14ac:dyDescent="0.3">
      <c r="B827" s="1" t="s">
        <v>152</v>
      </c>
      <c r="C827" s="4" t="str">
        <f>VLOOKUP(Tabela1[[#This Row],[Cliente]],'BASE DE CLIENTES'!A:E,2,0)</f>
        <v>Aparecida de Goiânia</v>
      </c>
      <c r="D827" s="1" t="str">
        <f>VLOOKUP(Tabela1[[#This Row],[Cliente]],'BASE DE CLIENTES'!A:C,3,0)</f>
        <v>GO</v>
      </c>
      <c r="E827" s="4" t="str">
        <f>CONCATENATE(Tabela1[[#This Row],[CIDADE]],",",Tabela1[[#This Row],[UF]])</f>
        <v>Aparecida de Goiânia,GO</v>
      </c>
      <c r="F827" s="2">
        <v>45747</v>
      </c>
      <c r="G827" s="17">
        <v>1057</v>
      </c>
      <c r="H827" s="17">
        <v>1520</v>
      </c>
      <c r="I827" s="6">
        <f>Tabela1[[#This Row],[Valor total]]-Tabela1[[#This Row],[Valor custo]]</f>
        <v>463</v>
      </c>
      <c r="J827" s="7">
        <f>Tabela1[[#This Row],[MARGEM BRUTA]]/Tabela1[[#This Row],[Valor total]]</f>
        <v>0.30460526315789471</v>
      </c>
      <c r="K827" s="1" t="str">
        <f>VLOOKUP(Tabela1[[#This Row],[Cliente]],'BASE DE CLIENTES'!A:D,4,0)</f>
        <v>TECNICO</v>
      </c>
      <c r="L827" s="1" t="str">
        <f>VLOOKUP(Tabela1[[#This Row],[Cliente]],'BASE DE CLIENTES'!A:E,5,0)</f>
        <v>Aparecida de Goiânia</v>
      </c>
    </row>
    <row r="828" spans="2:12" x14ac:dyDescent="0.3">
      <c r="B828" s="1" t="s">
        <v>152</v>
      </c>
      <c r="C828" s="4" t="str">
        <f>VLOOKUP(Tabela1[[#This Row],[Cliente]],'BASE DE CLIENTES'!A:E,2,0)</f>
        <v>Aparecida de Goiânia</v>
      </c>
      <c r="D828" s="1" t="str">
        <f>VLOOKUP(Tabela1[[#This Row],[Cliente]],'BASE DE CLIENTES'!A:C,3,0)</f>
        <v>GO</v>
      </c>
      <c r="E828" s="4" t="str">
        <f>CONCATENATE(Tabela1[[#This Row],[CIDADE]],",",Tabela1[[#This Row],[UF]])</f>
        <v>Aparecida de Goiânia,GO</v>
      </c>
      <c r="F828" s="2">
        <v>45895</v>
      </c>
      <c r="G828" s="17">
        <v>909</v>
      </c>
      <c r="H828" s="17">
        <v>1309</v>
      </c>
      <c r="I828" s="6">
        <f>Tabela1[[#This Row],[Valor total]]-Tabela1[[#This Row],[Valor custo]]</f>
        <v>400</v>
      </c>
      <c r="J828" s="7">
        <f>Tabela1[[#This Row],[MARGEM BRUTA]]/Tabela1[[#This Row],[Valor total]]</f>
        <v>0.30557677616501144</v>
      </c>
      <c r="K828" s="1" t="str">
        <f>VLOOKUP(Tabela1[[#This Row],[Cliente]],'BASE DE CLIENTES'!A:D,4,0)</f>
        <v>TECNICO</v>
      </c>
      <c r="L828" s="1" t="str">
        <f>VLOOKUP(Tabela1[[#This Row],[Cliente]],'BASE DE CLIENTES'!A:E,5,0)</f>
        <v>Aparecida de Goiânia</v>
      </c>
    </row>
    <row r="829" spans="2:12" x14ac:dyDescent="0.3">
      <c r="B829" s="1" t="s">
        <v>55</v>
      </c>
      <c r="C829" s="4" t="str">
        <f>VLOOKUP(Tabela1[[#This Row],[Cliente]],'BASE DE CLIENTES'!A:E,2,0)</f>
        <v>Brasília</v>
      </c>
      <c r="D829" s="1" t="str">
        <f>VLOOKUP(Tabela1[[#This Row],[Cliente]],'BASE DE CLIENTES'!A:C,3,0)</f>
        <v>DF</v>
      </c>
      <c r="E829" s="4" t="str">
        <f>CONCATENATE(Tabela1[[#This Row],[CIDADE]],",",Tabela1[[#This Row],[UF]])</f>
        <v>Brasília,DF</v>
      </c>
      <c r="F829" s="2">
        <v>45772</v>
      </c>
      <c r="G829" s="17">
        <v>584</v>
      </c>
      <c r="H829" s="17">
        <v>940</v>
      </c>
      <c r="I829" s="6">
        <f>Tabela1[[#This Row],[Valor total]]-Tabela1[[#This Row],[Valor custo]]</f>
        <v>356</v>
      </c>
      <c r="J829" s="7">
        <f>Tabela1[[#This Row],[MARGEM BRUTA]]/Tabela1[[#This Row],[Valor total]]</f>
        <v>0.37872340425531914</v>
      </c>
      <c r="K829" s="1" t="str">
        <f>VLOOKUP(Tabela1[[#This Row],[Cliente]],'BASE DE CLIENTES'!A:D,4,0)</f>
        <v>EMPRESA SEM MAQUINA</v>
      </c>
      <c r="L829" s="1" t="str">
        <f>VLOOKUP(Tabela1[[#This Row],[Cliente]],'BASE DE CLIENTES'!A:E,5,0)</f>
        <v>RECANTO DAS EMAS</v>
      </c>
    </row>
    <row r="830" spans="2:12" x14ac:dyDescent="0.3">
      <c r="B830" s="1" t="s">
        <v>120</v>
      </c>
      <c r="C830" s="4" t="str">
        <f>VLOOKUP(Tabela1[[#This Row],[Cliente]],'BASE DE CLIENTES'!A:E,2,0)</f>
        <v>Brasília</v>
      </c>
      <c r="D830" s="1" t="str">
        <f>VLOOKUP(Tabela1[[#This Row],[Cliente]],'BASE DE CLIENTES'!A:C,3,0)</f>
        <v>DF</v>
      </c>
      <c r="E830" s="4" t="str">
        <f>CONCATENATE(Tabela1[[#This Row],[CIDADE]],",",Tabela1[[#This Row],[UF]])</f>
        <v>Brasília,DF</v>
      </c>
      <c r="F830" s="2">
        <v>45806</v>
      </c>
      <c r="G830" s="17">
        <v>473</v>
      </c>
      <c r="H830" s="17">
        <v>690</v>
      </c>
      <c r="I830" s="6">
        <f>Tabela1[[#This Row],[Valor total]]-Tabela1[[#This Row],[Valor custo]]</f>
        <v>217</v>
      </c>
      <c r="J830" s="7">
        <f>Tabela1[[#This Row],[MARGEM BRUTA]]/Tabela1[[#This Row],[Valor total]]</f>
        <v>0.3144927536231884</v>
      </c>
      <c r="K830" s="1" t="str">
        <f>VLOOKUP(Tabela1[[#This Row],[Cliente]],'BASE DE CLIENTES'!A:D,4,0)</f>
        <v>EMPRESA SEM MAQUINA</v>
      </c>
      <c r="L830" s="1" t="str">
        <f>VLOOKUP(Tabela1[[#This Row],[Cliente]],'BASE DE CLIENTES'!A:E,5,0)</f>
        <v>SAMAMBAIA</v>
      </c>
    </row>
    <row r="831" spans="2:12" x14ac:dyDescent="0.3">
      <c r="B831" s="1" t="s">
        <v>152</v>
      </c>
      <c r="C831" s="4" t="str">
        <f>VLOOKUP(Tabela1[[#This Row],[Cliente]],'BASE DE CLIENTES'!A:E,2,0)</f>
        <v>Aparecida de Goiânia</v>
      </c>
      <c r="D831" s="1" t="str">
        <f>VLOOKUP(Tabela1[[#This Row],[Cliente]],'BASE DE CLIENTES'!A:C,3,0)</f>
        <v>GO</v>
      </c>
      <c r="E831" s="4" t="str">
        <f>CONCATENATE(Tabela1[[#This Row],[CIDADE]],",",Tabela1[[#This Row],[UF]])</f>
        <v>Aparecida de Goiânia,GO</v>
      </c>
      <c r="F831" s="2">
        <v>45891</v>
      </c>
      <c r="G831" s="17">
        <v>909</v>
      </c>
      <c r="H831" s="17">
        <v>1309</v>
      </c>
      <c r="I831" s="6">
        <f>Tabela1[[#This Row],[Valor total]]-Tabela1[[#This Row],[Valor custo]]</f>
        <v>400</v>
      </c>
      <c r="J831" s="7">
        <f>Tabela1[[#This Row],[MARGEM BRUTA]]/Tabela1[[#This Row],[Valor total]]</f>
        <v>0.30557677616501144</v>
      </c>
      <c r="K831" s="1" t="str">
        <f>VLOOKUP(Tabela1[[#This Row],[Cliente]],'BASE DE CLIENTES'!A:D,4,0)</f>
        <v>TECNICO</v>
      </c>
      <c r="L831" s="1" t="str">
        <f>VLOOKUP(Tabela1[[#This Row],[Cliente]],'BASE DE CLIENTES'!A:E,5,0)</f>
        <v>Aparecida de Goiânia</v>
      </c>
    </row>
    <row r="832" spans="2:12" x14ac:dyDescent="0.3">
      <c r="B832" s="1" t="s">
        <v>23</v>
      </c>
      <c r="C832" s="4" t="str">
        <f>VLOOKUP(Tabela1[[#This Row],[Cliente]],'BASE DE CLIENTES'!A:E,2,0)</f>
        <v>Brasília</v>
      </c>
      <c r="D832" s="1" t="str">
        <f>VLOOKUP(Tabela1[[#This Row],[Cliente]],'BASE DE CLIENTES'!A:C,3,0)</f>
        <v>DF</v>
      </c>
      <c r="E832" s="4" t="str">
        <f>CONCATENATE(Tabela1[[#This Row],[CIDADE]],",",Tabela1[[#This Row],[UF]])</f>
        <v>Brasília,DF</v>
      </c>
      <c r="F832" s="2">
        <v>45772</v>
      </c>
      <c r="G832" s="17">
        <v>1788</v>
      </c>
      <c r="H832" s="17">
        <v>2500</v>
      </c>
      <c r="I832" s="6">
        <f>Tabela1[[#This Row],[Valor total]]-Tabela1[[#This Row],[Valor custo]]</f>
        <v>712</v>
      </c>
      <c r="J832" s="7">
        <f>Tabela1[[#This Row],[MARGEM BRUTA]]/Tabela1[[#This Row],[Valor total]]</f>
        <v>0.2848</v>
      </c>
      <c r="K832" s="1" t="str">
        <f>VLOOKUP(Tabela1[[#This Row],[Cliente]],'BASE DE CLIENTES'!A:D,4,0)</f>
        <v>EMPRESA SEM MAQUINA</v>
      </c>
      <c r="L832" s="1" t="str">
        <f>VLOOKUP(Tabela1[[#This Row],[Cliente]],'BASE DE CLIENTES'!A:E,5,0)</f>
        <v>SETOR INDUSTRIAL (TAGUATINGA)</v>
      </c>
    </row>
    <row r="833" spans="2:12" x14ac:dyDescent="0.3">
      <c r="B833" s="1" t="s">
        <v>70</v>
      </c>
      <c r="C833" s="4" t="str">
        <f>VLOOKUP(Tabela1[[#This Row],[Cliente]],'BASE DE CLIENTES'!A:E,2,0)</f>
        <v>Brasília</v>
      </c>
      <c r="D833" s="1" t="str">
        <f>VLOOKUP(Tabela1[[#This Row],[Cliente]],'BASE DE CLIENTES'!A:C,3,0)</f>
        <v>DF</v>
      </c>
      <c r="E833" s="4" t="str">
        <f>CONCATENATE(Tabela1[[#This Row],[CIDADE]],",",Tabela1[[#This Row],[UF]])</f>
        <v>Brasília,DF</v>
      </c>
      <c r="F833" s="2">
        <v>45772</v>
      </c>
      <c r="G833" s="17">
        <v>447</v>
      </c>
      <c r="H833" s="17">
        <v>615</v>
      </c>
      <c r="I833" s="6">
        <f>Tabela1[[#This Row],[Valor total]]-Tabela1[[#This Row],[Valor custo]]</f>
        <v>168</v>
      </c>
      <c r="J833" s="7">
        <f>Tabela1[[#This Row],[MARGEM BRUTA]]/Tabela1[[#This Row],[Valor total]]</f>
        <v>0.27317073170731709</v>
      </c>
      <c r="K833" s="1" t="str">
        <f>VLOOKUP(Tabela1[[#This Row],[Cliente]],'BASE DE CLIENTES'!A:D,4,0)</f>
        <v>EMPRESA COM MAQUINA</v>
      </c>
      <c r="L833" s="1" t="str">
        <f>VLOOKUP(Tabela1[[#This Row],[Cliente]],'BASE DE CLIENTES'!A:E,5,0)</f>
        <v>TAGUATINGA NORTE (TAGUATINGA)</v>
      </c>
    </row>
    <row r="834" spans="2:12" x14ac:dyDescent="0.3">
      <c r="B834" s="1" t="s">
        <v>152</v>
      </c>
      <c r="C834" s="4" t="str">
        <f>VLOOKUP(Tabela1[[#This Row],[Cliente]],'BASE DE CLIENTES'!A:E,2,0)</f>
        <v>Aparecida de Goiânia</v>
      </c>
      <c r="D834" s="1" t="str">
        <f>VLOOKUP(Tabela1[[#This Row],[Cliente]],'BASE DE CLIENTES'!A:C,3,0)</f>
        <v>GO</v>
      </c>
      <c r="E834" s="4" t="str">
        <f>CONCATENATE(Tabela1[[#This Row],[CIDADE]],",",Tabela1[[#This Row],[UF]])</f>
        <v>Aparecida de Goiânia,GO</v>
      </c>
      <c r="F834" s="2">
        <v>45901</v>
      </c>
      <c r="G834" s="17">
        <v>909</v>
      </c>
      <c r="H834" s="17">
        <v>1309</v>
      </c>
      <c r="I834" s="6">
        <f>Tabela1[[#This Row],[Valor total]]-Tabela1[[#This Row],[Valor custo]]</f>
        <v>400</v>
      </c>
      <c r="J834" s="7">
        <f>Tabela1[[#This Row],[MARGEM BRUTA]]/Tabela1[[#This Row],[Valor total]]</f>
        <v>0.30557677616501144</v>
      </c>
      <c r="K834" s="1" t="str">
        <f>VLOOKUP(Tabela1[[#This Row],[Cliente]],'BASE DE CLIENTES'!A:D,4,0)</f>
        <v>TECNICO</v>
      </c>
      <c r="L834" s="1" t="str">
        <f>VLOOKUP(Tabela1[[#This Row],[Cliente]],'BASE DE CLIENTES'!A:E,5,0)</f>
        <v>Aparecida de Goiânia</v>
      </c>
    </row>
    <row r="835" spans="2:12" x14ac:dyDescent="0.3">
      <c r="B835" s="1" t="s">
        <v>99</v>
      </c>
      <c r="C835" s="4" t="str">
        <f>VLOOKUP(Tabela1[[#This Row],[Cliente]],'BASE DE CLIENTES'!A:E,2,0)</f>
        <v>Brasília</v>
      </c>
      <c r="D835" s="1" t="str">
        <f>VLOOKUP(Tabela1[[#This Row],[Cliente]],'BASE DE CLIENTES'!A:C,3,0)</f>
        <v>DF</v>
      </c>
      <c r="E835" s="4" t="str">
        <f>CONCATENATE(Tabela1[[#This Row],[CIDADE]],",",Tabela1[[#This Row],[UF]])</f>
        <v>Brasília,DF</v>
      </c>
      <c r="F835" s="2">
        <v>45771</v>
      </c>
      <c r="G835" s="17">
        <v>894</v>
      </c>
      <c r="H835" s="17">
        <v>730</v>
      </c>
      <c r="I835" s="6">
        <f>Tabela1[[#This Row],[Valor total]]-Tabela1[[#This Row],[Valor custo]]</f>
        <v>-164</v>
      </c>
      <c r="J835" s="7">
        <f>Tabela1[[#This Row],[MARGEM BRUTA]]/Tabela1[[#This Row],[Valor total]]</f>
        <v>-0.22465753424657534</v>
      </c>
      <c r="K835" s="1" t="str">
        <f>VLOOKUP(Tabela1[[#This Row],[Cliente]],'BASE DE CLIENTES'!A:D,4,0)</f>
        <v>EMPRESA COM MAQUINA</v>
      </c>
      <c r="L835" s="1" t="str">
        <f>VLOOKUP(Tabela1[[#This Row],[Cliente]],'BASE DE CLIENTES'!A:E,5,0)</f>
        <v>ARAPOANGA (PLANALTINA)</v>
      </c>
    </row>
    <row r="836" spans="2:12" x14ac:dyDescent="0.3">
      <c r="B836" s="1" t="s">
        <v>106</v>
      </c>
      <c r="C836" s="4" t="str">
        <f>VLOOKUP(Tabela1[[#This Row],[Cliente]],'BASE DE CLIENTES'!A:E,2,0)</f>
        <v>Brasília</v>
      </c>
      <c r="D836" s="1" t="str">
        <f>VLOOKUP(Tabela1[[#This Row],[Cliente]],'BASE DE CLIENTES'!A:C,3,0)</f>
        <v>DF</v>
      </c>
      <c r="E836" s="4" t="str">
        <f>CONCATENATE(Tabela1[[#This Row],[CIDADE]],",",Tabela1[[#This Row],[UF]])</f>
        <v>Brasília,DF</v>
      </c>
      <c r="F836" s="2">
        <v>45771</v>
      </c>
      <c r="G836" s="17">
        <v>958.19</v>
      </c>
      <c r="H836" s="17">
        <v>1326.5</v>
      </c>
      <c r="I836" s="6">
        <f>Tabela1[[#This Row],[Valor total]]-Tabela1[[#This Row],[Valor custo]]</f>
        <v>368.30999999999995</v>
      </c>
      <c r="J836" s="7">
        <f>Tabela1[[#This Row],[MARGEM BRUTA]]/Tabela1[[#This Row],[Valor total]]</f>
        <v>0.27765548435733128</v>
      </c>
      <c r="K836" s="1" t="str">
        <f>VLOOKUP(Tabela1[[#This Row],[Cliente]],'BASE DE CLIENTES'!A:D,4,0)</f>
        <v>EMPRESA COM MAQUINA</v>
      </c>
      <c r="L836" s="1" t="str">
        <f>VLOOKUP(Tabela1[[#This Row],[Cliente]],'BASE DE CLIENTES'!A:E,5,0)</f>
        <v>26 DE SETEMBRO</v>
      </c>
    </row>
    <row r="837" spans="2:12" x14ac:dyDescent="0.3">
      <c r="B837" s="1" t="s">
        <v>123</v>
      </c>
      <c r="C837" s="4" t="str">
        <f>VLOOKUP(Tabela1[[#This Row],[Cliente]],'BASE DE CLIENTES'!A:E,2,0)</f>
        <v>Brasília</v>
      </c>
      <c r="D837" s="1" t="str">
        <f>VLOOKUP(Tabela1[[#This Row],[Cliente]],'BASE DE CLIENTES'!A:C,3,0)</f>
        <v>DF</v>
      </c>
      <c r="E837" s="4" t="str">
        <f>CONCATENATE(Tabela1[[#This Row],[CIDADE]],",",Tabela1[[#This Row],[UF]])</f>
        <v>Brasília,DF</v>
      </c>
      <c r="F837" s="2">
        <v>45771</v>
      </c>
      <c r="G837" s="17">
        <v>125</v>
      </c>
      <c r="H837" s="17">
        <v>150</v>
      </c>
      <c r="I837" s="6">
        <f>Tabela1[[#This Row],[Valor total]]-Tabela1[[#This Row],[Valor custo]]</f>
        <v>25</v>
      </c>
      <c r="J837" s="7">
        <f>Tabela1[[#This Row],[MARGEM BRUTA]]/Tabela1[[#This Row],[Valor total]]</f>
        <v>0.16666666666666666</v>
      </c>
      <c r="K837" s="1" t="str">
        <f>VLOOKUP(Tabela1[[#This Row],[Cliente]],'BASE DE CLIENTES'!A:D,4,0)</f>
        <v>EMPRESA COM MAQUINA</v>
      </c>
      <c r="L837" s="1" t="str">
        <f>VLOOKUP(Tabela1[[#This Row],[Cliente]],'BASE DE CLIENTES'!A:E,5,0)</f>
        <v>ADE CEILÂNDIA</v>
      </c>
    </row>
    <row r="838" spans="2:12" x14ac:dyDescent="0.3">
      <c r="B838" s="1" t="s">
        <v>121</v>
      </c>
      <c r="C838" s="4" t="str">
        <f>VLOOKUP(Tabela1[[#This Row],[Cliente]],'BASE DE CLIENTES'!A:E,2,0)</f>
        <v>Brasília</v>
      </c>
      <c r="D838" s="1" t="str">
        <f>VLOOKUP(Tabela1[[#This Row],[Cliente]],'BASE DE CLIENTES'!A:C,3,0)</f>
        <v>DF</v>
      </c>
      <c r="E838" s="4" t="str">
        <f>CONCATENATE(Tabela1[[#This Row],[CIDADE]],",",Tabela1[[#This Row],[UF]])</f>
        <v>Brasília,DF</v>
      </c>
      <c r="F838" s="2">
        <v>45866</v>
      </c>
      <c r="G838" s="17">
        <v>382.3</v>
      </c>
      <c r="H838" s="17">
        <v>680</v>
      </c>
      <c r="I838" s="6">
        <f>Tabela1[[#This Row],[Valor total]]-Tabela1[[#This Row],[Valor custo]]</f>
        <v>297.7</v>
      </c>
      <c r="J838" s="7">
        <f>Tabela1[[#This Row],[MARGEM BRUTA]]/Tabela1[[#This Row],[Valor total]]</f>
        <v>0.43779411764705883</v>
      </c>
      <c r="K838" s="1" t="str">
        <f>VLOOKUP(Tabela1[[#This Row],[Cliente]],'BASE DE CLIENTES'!A:D,4,0)</f>
        <v>SEM CLASSIFICAÇÃO</v>
      </c>
      <c r="L838" s="1" t="str">
        <f>VLOOKUP(Tabela1[[#This Row],[Cliente]],'BASE DE CLIENTES'!A:E,5,0)</f>
        <v>Asa Sul</v>
      </c>
    </row>
    <row r="839" spans="2:12" x14ac:dyDescent="0.3">
      <c r="B839" s="1" t="s">
        <v>120</v>
      </c>
      <c r="C839" s="4" t="str">
        <f>VLOOKUP(Tabela1[[#This Row],[Cliente]],'BASE DE CLIENTES'!A:E,2,0)</f>
        <v>Brasília</v>
      </c>
      <c r="D839" s="1" t="str">
        <f>VLOOKUP(Tabela1[[#This Row],[Cliente]],'BASE DE CLIENTES'!A:C,3,0)</f>
        <v>DF</v>
      </c>
      <c r="E839" s="4" t="str">
        <f>CONCATENATE(Tabela1[[#This Row],[CIDADE]],",",Tabela1[[#This Row],[UF]])</f>
        <v>Brasília,DF</v>
      </c>
      <c r="F839" s="2">
        <v>45797</v>
      </c>
      <c r="G839" s="17">
        <v>90</v>
      </c>
      <c r="H839" s="17">
        <v>180</v>
      </c>
      <c r="I839" s="6">
        <f>Tabela1[[#This Row],[Valor total]]-Tabela1[[#This Row],[Valor custo]]</f>
        <v>90</v>
      </c>
      <c r="J839" s="7">
        <f>Tabela1[[#This Row],[MARGEM BRUTA]]/Tabela1[[#This Row],[Valor total]]</f>
        <v>0.5</v>
      </c>
      <c r="K839" s="1" t="str">
        <f>VLOOKUP(Tabela1[[#This Row],[Cliente]],'BASE DE CLIENTES'!A:D,4,0)</f>
        <v>EMPRESA SEM MAQUINA</v>
      </c>
      <c r="L839" s="1" t="str">
        <f>VLOOKUP(Tabela1[[#This Row],[Cliente]],'BASE DE CLIENTES'!A:E,5,0)</f>
        <v>SAMAMBAIA</v>
      </c>
    </row>
    <row r="840" spans="2:12" x14ac:dyDescent="0.3">
      <c r="B840" s="1" t="s">
        <v>152</v>
      </c>
      <c r="C840" s="4" t="str">
        <f>VLOOKUP(Tabela1[[#This Row],[Cliente]],'BASE DE CLIENTES'!A:E,2,0)</f>
        <v>Aparecida de Goiânia</v>
      </c>
      <c r="D840" s="1" t="str">
        <f>VLOOKUP(Tabela1[[#This Row],[Cliente]],'BASE DE CLIENTES'!A:C,3,0)</f>
        <v>GO</v>
      </c>
      <c r="E840" s="4" t="str">
        <f>CONCATENATE(Tabela1[[#This Row],[CIDADE]],",",Tabela1[[#This Row],[UF]])</f>
        <v>Aparecida de Goiânia,GO</v>
      </c>
      <c r="F840" s="2">
        <v>45839</v>
      </c>
      <c r="G840" s="17">
        <v>447</v>
      </c>
      <c r="H840" s="17">
        <v>650</v>
      </c>
      <c r="I840" s="6">
        <f>Tabela1[[#This Row],[Valor total]]-Tabela1[[#This Row],[Valor custo]]</f>
        <v>203</v>
      </c>
      <c r="J840" s="7">
        <f>Tabela1[[#This Row],[MARGEM BRUTA]]/Tabela1[[#This Row],[Valor total]]</f>
        <v>0.31230769230769229</v>
      </c>
      <c r="K840" s="1" t="str">
        <f>VLOOKUP(Tabela1[[#This Row],[Cliente]],'BASE DE CLIENTES'!A:D,4,0)</f>
        <v>TECNICO</v>
      </c>
      <c r="L840" s="1" t="str">
        <f>VLOOKUP(Tabela1[[#This Row],[Cliente]],'BASE DE CLIENTES'!A:E,5,0)</f>
        <v>Aparecida de Goiânia</v>
      </c>
    </row>
    <row r="841" spans="2:12" x14ac:dyDescent="0.3">
      <c r="B841" s="1" t="s">
        <v>152</v>
      </c>
      <c r="C841" s="4" t="str">
        <f>VLOOKUP(Tabela1[[#This Row],[Cliente]],'BASE DE CLIENTES'!A:E,2,0)</f>
        <v>Aparecida de Goiânia</v>
      </c>
      <c r="D841" s="1" t="str">
        <f>VLOOKUP(Tabela1[[#This Row],[Cliente]],'BASE DE CLIENTES'!A:C,3,0)</f>
        <v>GO</v>
      </c>
      <c r="E841" s="4" t="str">
        <f>CONCATENATE(Tabela1[[#This Row],[CIDADE]],",",Tabela1[[#This Row],[UF]])</f>
        <v>Aparecida de Goiânia,GO</v>
      </c>
      <c r="F841" s="2">
        <v>45772</v>
      </c>
      <c r="G841" s="17">
        <v>1168</v>
      </c>
      <c r="H841" s="17">
        <v>1700</v>
      </c>
      <c r="I841" s="6">
        <f>Tabela1[[#This Row],[Valor total]]-Tabela1[[#This Row],[Valor custo]]</f>
        <v>532</v>
      </c>
      <c r="J841" s="7">
        <f>Tabela1[[#This Row],[MARGEM BRUTA]]/Tabela1[[#This Row],[Valor total]]</f>
        <v>0.31294117647058822</v>
      </c>
      <c r="K841" s="1" t="str">
        <f>VLOOKUP(Tabela1[[#This Row],[Cliente]],'BASE DE CLIENTES'!A:D,4,0)</f>
        <v>TECNICO</v>
      </c>
      <c r="L841" s="1" t="str">
        <f>VLOOKUP(Tabela1[[#This Row],[Cliente]],'BASE DE CLIENTES'!A:E,5,0)</f>
        <v>Aparecida de Goiânia</v>
      </c>
    </row>
    <row r="842" spans="2:12" x14ac:dyDescent="0.3">
      <c r="B842" s="1" t="s">
        <v>85</v>
      </c>
      <c r="C842" s="4" t="str">
        <f>VLOOKUP(Tabela1[[#This Row],[Cliente]],'BASE DE CLIENTES'!A:E,2,0)</f>
        <v>Brasília</v>
      </c>
      <c r="D842" s="1" t="str">
        <f>VLOOKUP(Tabela1[[#This Row],[Cliente]],'BASE DE CLIENTES'!A:C,3,0)</f>
        <v>DF</v>
      </c>
      <c r="E842" s="4" t="str">
        <f>CONCATENATE(Tabela1[[#This Row],[CIDADE]],",",Tabela1[[#This Row],[UF]])</f>
        <v>Brasília,DF</v>
      </c>
      <c r="F842" s="2">
        <v>45771</v>
      </c>
      <c r="G842" s="17">
        <v>79</v>
      </c>
      <c r="H842" s="17">
        <v>344</v>
      </c>
      <c r="I842" s="6">
        <f>Tabela1[[#This Row],[Valor total]]-Tabela1[[#This Row],[Valor custo]]</f>
        <v>265</v>
      </c>
      <c r="J842" s="7">
        <f>Tabela1[[#This Row],[MARGEM BRUTA]]/Tabela1[[#This Row],[Valor total]]</f>
        <v>0.77034883720930236</v>
      </c>
      <c r="K842" s="1" t="str">
        <f>VLOOKUP(Tabela1[[#This Row],[Cliente]],'BASE DE CLIENTES'!A:D,4,0)</f>
        <v>SERRALHEIRO</v>
      </c>
      <c r="L842" s="1" t="str">
        <f>VLOOKUP(Tabela1[[#This Row],[Cliente]],'BASE DE CLIENTES'!A:E,5,0)</f>
        <v>SAMAMBAIA NORTE (SAMAMBAIA)</v>
      </c>
    </row>
    <row r="843" spans="2:12" x14ac:dyDescent="0.3">
      <c r="B843" s="1" t="s">
        <v>161</v>
      </c>
      <c r="C843" s="4" t="str">
        <f>VLOOKUP(Tabela1[[#This Row],[Cliente]],'BASE DE CLIENTES'!A:E,2,0)</f>
        <v>Brasília</v>
      </c>
      <c r="D843" s="1" t="str">
        <f>VLOOKUP(Tabela1[[#This Row],[Cliente]],'BASE DE CLIENTES'!A:C,3,0)</f>
        <v>DF</v>
      </c>
      <c r="E843" s="4" t="str">
        <f>CONCATENATE(Tabela1[[#This Row],[CIDADE]],",",Tabela1[[#This Row],[UF]])</f>
        <v>Brasília,DF</v>
      </c>
      <c r="F843" s="2">
        <v>45771</v>
      </c>
      <c r="G843" s="17">
        <v>4098.7</v>
      </c>
      <c r="H843" s="17">
        <v>5850</v>
      </c>
      <c r="I843" s="6">
        <f>Tabela1[[#This Row],[Valor total]]-Tabela1[[#This Row],[Valor custo]]</f>
        <v>1751.3000000000002</v>
      </c>
      <c r="J843" s="7">
        <f>Tabela1[[#This Row],[MARGEM BRUTA]]/Tabela1[[#This Row],[Valor total]]</f>
        <v>0.29936752136752137</v>
      </c>
      <c r="K843" s="1" t="str">
        <f>VLOOKUP(Tabela1[[#This Row],[Cliente]],'BASE DE CLIENTES'!A:D,4,0)</f>
        <v>EMPRESA COM MAQUINA</v>
      </c>
      <c r="L843" s="1" t="str">
        <f>VLOOKUP(Tabela1[[#This Row],[Cliente]],'BASE DE CLIENTES'!A:E,5,0)</f>
        <v>RIACHO FUNDO II</v>
      </c>
    </row>
    <row r="844" spans="2:12" x14ac:dyDescent="0.3">
      <c r="B844" s="1" t="s">
        <v>27</v>
      </c>
      <c r="C844" s="4" t="str">
        <f>VLOOKUP(Tabela1[[#This Row],[Cliente]],'BASE DE CLIENTES'!A:E,2,0)</f>
        <v>Brasília</v>
      </c>
      <c r="D844" s="1" t="str">
        <f>VLOOKUP(Tabela1[[#This Row],[Cliente]],'BASE DE CLIENTES'!A:C,3,0)</f>
        <v>DF</v>
      </c>
      <c r="E844" s="4" t="str">
        <f>CONCATENATE(Tabela1[[#This Row],[CIDADE]],",",Tabela1[[#This Row],[UF]])</f>
        <v>Brasília,DF</v>
      </c>
      <c r="F844" s="2">
        <v>45771</v>
      </c>
      <c r="G844" s="17">
        <v>259</v>
      </c>
      <c r="H844" s="17">
        <v>710</v>
      </c>
      <c r="I844" s="6">
        <f>Tabela1[[#This Row],[Valor total]]-Tabela1[[#This Row],[Valor custo]]</f>
        <v>451</v>
      </c>
      <c r="J844" s="7">
        <f>Tabela1[[#This Row],[MARGEM BRUTA]]/Tabela1[[#This Row],[Valor total]]</f>
        <v>0.63521126760563384</v>
      </c>
      <c r="K844" s="1" t="str">
        <f>VLOOKUP(Tabela1[[#This Row],[Cliente]],'BASE DE CLIENTES'!A:D,4,0)</f>
        <v>EMPRESA SEM MAQUINA</v>
      </c>
      <c r="L844" s="1" t="str">
        <f>VLOOKUP(Tabela1[[#This Row],[Cliente]],'BASE DE CLIENTES'!A:E,5,0)</f>
        <v>RECANTO DAS EMAS</v>
      </c>
    </row>
    <row r="845" spans="2:12" x14ac:dyDescent="0.3">
      <c r="B845" s="1" t="s">
        <v>25</v>
      </c>
      <c r="C845" s="4" t="str">
        <f>VLOOKUP(Tabela1[[#This Row],[Cliente]],'BASE DE CLIENTES'!A:E,2,0)</f>
        <v>Brasília</v>
      </c>
      <c r="D845" s="1" t="str">
        <f>VLOOKUP(Tabela1[[#This Row],[Cliente]],'BASE DE CLIENTES'!A:C,3,0)</f>
        <v>DF</v>
      </c>
      <c r="E845" s="4" t="str">
        <f>CONCATENATE(Tabela1[[#This Row],[CIDADE]],",",Tabela1[[#This Row],[UF]])</f>
        <v>Brasília,DF</v>
      </c>
      <c r="F845" s="2">
        <v>45771</v>
      </c>
      <c r="G845" s="17">
        <v>30.49</v>
      </c>
      <c r="H845" s="17">
        <v>45</v>
      </c>
      <c r="I845" s="6">
        <f>Tabela1[[#This Row],[Valor total]]-Tabela1[[#This Row],[Valor custo]]</f>
        <v>14.510000000000002</v>
      </c>
      <c r="J845" s="7">
        <f>Tabela1[[#This Row],[MARGEM BRUTA]]/Tabela1[[#This Row],[Valor total]]</f>
        <v>0.32244444444444448</v>
      </c>
      <c r="K845" s="1" t="str">
        <f>VLOOKUP(Tabela1[[#This Row],[Cliente]],'BASE DE CLIENTES'!A:D,4,0)</f>
        <v>EMPRESA COM MAQUINA</v>
      </c>
      <c r="L845" s="1" t="str">
        <f>VLOOKUP(Tabela1[[#This Row],[Cliente]],'BASE DE CLIENTES'!A:E,5,0)</f>
        <v>CEILANDIA NORTE (CEILANDIA)</v>
      </c>
    </row>
    <row r="846" spans="2:12" x14ac:dyDescent="0.3">
      <c r="B846" s="1" t="s">
        <v>152</v>
      </c>
      <c r="C846" s="4" t="str">
        <f>VLOOKUP(Tabela1[[#This Row],[Cliente]],'BASE DE CLIENTES'!A:E,2,0)</f>
        <v>Aparecida de Goiânia</v>
      </c>
      <c r="D846" s="1" t="str">
        <f>VLOOKUP(Tabela1[[#This Row],[Cliente]],'BASE DE CLIENTES'!A:C,3,0)</f>
        <v>GO</v>
      </c>
      <c r="E846" s="4" t="str">
        <f>CONCATENATE(Tabela1[[#This Row],[CIDADE]],",",Tabela1[[#This Row],[UF]])</f>
        <v>Aparecida de Goiânia,GO</v>
      </c>
      <c r="F846" s="2">
        <v>45677</v>
      </c>
      <c r="G846" s="17">
        <v>409.87</v>
      </c>
      <c r="H846" s="17">
        <v>600</v>
      </c>
      <c r="I846" s="6">
        <f>Tabela1[[#This Row],[Valor total]]-Tabela1[[#This Row],[Valor custo]]</f>
        <v>190.13</v>
      </c>
      <c r="J846" s="7">
        <f>Tabela1[[#This Row],[MARGEM BRUTA]]/Tabela1[[#This Row],[Valor total]]</f>
        <v>0.31688333333333335</v>
      </c>
      <c r="K846" s="1" t="str">
        <f>VLOOKUP(Tabela1[[#This Row],[Cliente]],'BASE DE CLIENTES'!A:D,4,0)</f>
        <v>TECNICO</v>
      </c>
      <c r="L846" s="1" t="str">
        <f>VLOOKUP(Tabela1[[#This Row],[Cliente]],'BASE DE CLIENTES'!A:E,5,0)</f>
        <v>Aparecida de Goiânia</v>
      </c>
    </row>
    <row r="847" spans="2:12" x14ac:dyDescent="0.3">
      <c r="B847" s="1" t="s">
        <v>25</v>
      </c>
      <c r="C847" s="4" t="str">
        <f>VLOOKUP(Tabela1[[#This Row],[Cliente]],'BASE DE CLIENTES'!A:E,2,0)</f>
        <v>Brasília</v>
      </c>
      <c r="D847" s="1" t="str">
        <f>VLOOKUP(Tabela1[[#This Row],[Cliente]],'BASE DE CLIENTES'!A:C,3,0)</f>
        <v>DF</v>
      </c>
      <c r="E847" s="4" t="str">
        <f>CONCATENATE(Tabela1[[#This Row],[CIDADE]],",",Tabela1[[#This Row],[UF]])</f>
        <v>Brasília,DF</v>
      </c>
      <c r="F847" s="2">
        <v>45771</v>
      </c>
      <c r="G847" s="17">
        <v>447</v>
      </c>
      <c r="H847" s="17">
        <v>645</v>
      </c>
      <c r="I847" s="6">
        <f>Tabela1[[#This Row],[Valor total]]-Tabela1[[#This Row],[Valor custo]]</f>
        <v>198</v>
      </c>
      <c r="J847" s="7">
        <f>Tabela1[[#This Row],[MARGEM BRUTA]]/Tabela1[[#This Row],[Valor total]]</f>
        <v>0.30697674418604654</v>
      </c>
      <c r="K847" s="1" t="str">
        <f>VLOOKUP(Tabela1[[#This Row],[Cliente]],'BASE DE CLIENTES'!A:D,4,0)</f>
        <v>EMPRESA COM MAQUINA</v>
      </c>
      <c r="L847" s="1" t="str">
        <f>VLOOKUP(Tabela1[[#This Row],[Cliente]],'BASE DE CLIENTES'!A:E,5,0)</f>
        <v>CEILANDIA NORTE (CEILANDIA)</v>
      </c>
    </row>
    <row r="848" spans="2:12" x14ac:dyDescent="0.3">
      <c r="B848" s="1" t="s">
        <v>70</v>
      </c>
      <c r="C848" s="4" t="str">
        <f>VLOOKUP(Tabela1[[#This Row],[Cliente]],'BASE DE CLIENTES'!A:E,2,0)</f>
        <v>Brasília</v>
      </c>
      <c r="D848" s="1" t="str">
        <f>VLOOKUP(Tabela1[[#This Row],[Cliente]],'BASE DE CLIENTES'!A:C,3,0)</f>
        <v>DF</v>
      </c>
      <c r="E848" s="4" t="str">
        <f>CONCATENATE(Tabela1[[#This Row],[CIDADE]],",",Tabela1[[#This Row],[UF]])</f>
        <v>Brasília,DF</v>
      </c>
      <c r="F848" s="2">
        <v>45770</v>
      </c>
      <c r="G848" s="17">
        <v>584</v>
      </c>
      <c r="H848" s="17">
        <v>869</v>
      </c>
      <c r="I848" s="6">
        <f>Tabela1[[#This Row],[Valor total]]-Tabela1[[#This Row],[Valor custo]]</f>
        <v>285</v>
      </c>
      <c r="J848" s="7">
        <f>Tabela1[[#This Row],[MARGEM BRUTA]]/Tabela1[[#This Row],[Valor total]]</f>
        <v>0.32796317606444186</v>
      </c>
      <c r="K848" s="1" t="str">
        <f>VLOOKUP(Tabela1[[#This Row],[Cliente]],'BASE DE CLIENTES'!A:D,4,0)</f>
        <v>EMPRESA COM MAQUINA</v>
      </c>
      <c r="L848" s="1" t="str">
        <f>VLOOKUP(Tabela1[[#This Row],[Cliente]],'BASE DE CLIENTES'!A:E,5,0)</f>
        <v>TAGUATINGA NORTE (TAGUATINGA)</v>
      </c>
    </row>
    <row r="849" spans="2:12" x14ac:dyDescent="0.3">
      <c r="B849" s="1" t="s">
        <v>127</v>
      </c>
      <c r="C849" s="4" t="str">
        <f>VLOOKUP(Tabela1[[#This Row],[Cliente]],'BASE DE CLIENTES'!A:E,2,0)</f>
        <v>Brasília</v>
      </c>
      <c r="D849" s="1" t="str">
        <f>VLOOKUP(Tabela1[[#This Row],[Cliente]],'BASE DE CLIENTES'!A:C,3,0)</f>
        <v>DF</v>
      </c>
      <c r="E849" s="4" t="str">
        <f>CONCATENATE(Tabela1[[#This Row],[CIDADE]],",",Tabela1[[#This Row],[UF]])</f>
        <v>Brasília,DF</v>
      </c>
      <c r="F849" s="2">
        <v>45770</v>
      </c>
      <c r="G849" s="17">
        <v>1419</v>
      </c>
      <c r="H849" s="17">
        <v>2160</v>
      </c>
      <c r="I849" s="6">
        <f>Tabela1[[#This Row],[Valor total]]-Tabela1[[#This Row],[Valor custo]]</f>
        <v>741</v>
      </c>
      <c r="J849" s="7">
        <f>Tabela1[[#This Row],[MARGEM BRUTA]]/Tabela1[[#This Row],[Valor total]]</f>
        <v>0.34305555555555556</v>
      </c>
      <c r="K849" s="1" t="str">
        <f>VLOOKUP(Tabela1[[#This Row],[Cliente]],'BASE DE CLIENTES'!A:D,4,0)</f>
        <v>EMPRESA COM MAQUINA</v>
      </c>
      <c r="L849" s="1" t="str">
        <f>VLOOKUP(Tabela1[[#This Row],[Cliente]],'BASE DE CLIENTES'!A:E,5,0)</f>
        <v>CEILANDIA SUL (CEILANDIA)</v>
      </c>
    </row>
    <row r="850" spans="2:12" x14ac:dyDescent="0.3">
      <c r="B850" s="1" t="s">
        <v>157</v>
      </c>
      <c r="C850" s="4" t="str">
        <f>VLOOKUP(Tabela1[[#This Row],[Cliente]],'BASE DE CLIENTES'!A:E,2,0)</f>
        <v>Aparecida de Goiânia</v>
      </c>
      <c r="D850" s="1" t="str">
        <f>VLOOKUP(Tabela1[[#This Row],[Cliente]],'BASE DE CLIENTES'!A:C,3,0)</f>
        <v>GO</v>
      </c>
      <c r="E850" s="4" t="str">
        <f>CONCATENATE(Tabela1[[#This Row],[CIDADE]],",",Tabela1[[#This Row],[UF]])</f>
        <v>Aparecida de Goiânia,GO</v>
      </c>
      <c r="F850" s="2">
        <v>45859</v>
      </c>
      <c r="G850" s="17">
        <v>444</v>
      </c>
      <c r="H850" s="17">
        <v>650</v>
      </c>
      <c r="I850" s="6">
        <f>Tabela1[[#This Row],[Valor total]]-Tabela1[[#This Row],[Valor custo]]</f>
        <v>206</v>
      </c>
      <c r="J850" s="7">
        <f>Tabela1[[#This Row],[MARGEM BRUTA]]/Tabela1[[#This Row],[Valor total]]</f>
        <v>0.31692307692307692</v>
      </c>
      <c r="K850" s="1" t="str">
        <f>VLOOKUP(Tabela1[[#This Row],[Cliente]],'BASE DE CLIENTES'!A:D,4,0)</f>
        <v>EMPRESA COM MAQUINA</v>
      </c>
      <c r="L850" s="1" t="str">
        <f>VLOOKUP(Tabela1[[#This Row],[Cliente]],'BASE DE CLIENTES'!A:E,5,0)</f>
        <v>Aparecida de Goiânia</v>
      </c>
    </row>
    <row r="851" spans="2:12" x14ac:dyDescent="0.3">
      <c r="B851" s="1" t="s">
        <v>152</v>
      </c>
      <c r="C851" s="4" t="str">
        <f>VLOOKUP(Tabela1[[#This Row],[Cliente]],'BASE DE CLIENTES'!A:E,2,0)</f>
        <v>Aparecida de Goiânia</v>
      </c>
      <c r="D851" s="1" t="str">
        <f>VLOOKUP(Tabela1[[#This Row],[Cliente]],'BASE DE CLIENTES'!A:C,3,0)</f>
        <v>GO</v>
      </c>
      <c r="E851" s="4" t="str">
        <f>CONCATENATE(Tabela1[[#This Row],[CIDADE]],",",Tabela1[[#This Row],[UF]])</f>
        <v>Aparecida de Goiânia,GO</v>
      </c>
      <c r="F851" s="2">
        <v>45839</v>
      </c>
      <c r="G851" s="17">
        <v>2655.58</v>
      </c>
      <c r="H851" s="17">
        <v>3900</v>
      </c>
      <c r="I851" s="6">
        <f>Tabela1[[#This Row],[Valor total]]-Tabela1[[#This Row],[Valor custo]]</f>
        <v>1244.42</v>
      </c>
      <c r="J851" s="7">
        <f>Tabela1[[#This Row],[MARGEM BRUTA]]/Tabela1[[#This Row],[Valor total]]</f>
        <v>0.3190820512820513</v>
      </c>
      <c r="K851" s="1" t="str">
        <f>VLOOKUP(Tabela1[[#This Row],[Cliente]],'BASE DE CLIENTES'!A:D,4,0)</f>
        <v>TECNICO</v>
      </c>
      <c r="L851" s="1" t="str">
        <f>VLOOKUP(Tabela1[[#This Row],[Cliente]],'BASE DE CLIENTES'!A:E,5,0)</f>
        <v>Aparecida de Goiânia</v>
      </c>
    </row>
    <row r="852" spans="2:12" x14ac:dyDescent="0.3">
      <c r="B852" s="1" t="s">
        <v>27</v>
      </c>
      <c r="C852" s="4" t="str">
        <f>VLOOKUP(Tabela1[[#This Row],[Cliente]],'BASE DE CLIENTES'!A:E,2,0)</f>
        <v>Brasília</v>
      </c>
      <c r="D852" s="1" t="str">
        <f>VLOOKUP(Tabela1[[#This Row],[Cliente]],'BASE DE CLIENTES'!A:C,3,0)</f>
        <v>DF</v>
      </c>
      <c r="E852" s="4" t="str">
        <f>CONCATENATE(Tabela1[[#This Row],[CIDADE]],",",Tabela1[[#This Row],[UF]])</f>
        <v>Brasília,DF</v>
      </c>
      <c r="F852" s="2">
        <v>45770</v>
      </c>
      <c r="G852" s="17">
        <v>510.2</v>
      </c>
      <c r="H852" s="17">
        <v>895</v>
      </c>
      <c r="I852" s="6">
        <f>Tabela1[[#This Row],[Valor total]]-Tabela1[[#This Row],[Valor custo]]</f>
        <v>384.8</v>
      </c>
      <c r="J852" s="7">
        <f>Tabela1[[#This Row],[MARGEM BRUTA]]/Tabela1[[#This Row],[Valor total]]</f>
        <v>0.4299441340782123</v>
      </c>
      <c r="K852" s="1" t="str">
        <f>VLOOKUP(Tabela1[[#This Row],[Cliente]],'BASE DE CLIENTES'!A:D,4,0)</f>
        <v>EMPRESA SEM MAQUINA</v>
      </c>
      <c r="L852" s="1" t="str">
        <f>VLOOKUP(Tabela1[[#This Row],[Cliente]],'BASE DE CLIENTES'!A:E,5,0)</f>
        <v>RECANTO DAS EMAS</v>
      </c>
    </row>
    <row r="853" spans="2:12" x14ac:dyDescent="0.3">
      <c r="B853" s="1" t="s">
        <v>52</v>
      </c>
      <c r="C853" s="4" t="str">
        <f>VLOOKUP(Tabela1[[#This Row],[Cliente]],'BASE DE CLIENTES'!A:E,2,0)</f>
        <v>Brasília</v>
      </c>
      <c r="D853" s="1" t="str">
        <f>VLOOKUP(Tabela1[[#This Row],[Cliente]],'BASE DE CLIENTES'!A:C,3,0)</f>
        <v>DF</v>
      </c>
      <c r="E853" s="4" t="str">
        <f>CONCATENATE(Tabela1[[#This Row],[CIDADE]],",",Tabela1[[#This Row],[UF]])</f>
        <v>Brasília,DF</v>
      </c>
      <c r="F853" s="2">
        <v>45770</v>
      </c>
      <c r="G853" s="17">
        <v>450.05</v>
      </c>
      <c r="H853" s="17">
        <v>649.5</v>
      </c>
      <c r="I853" s="6">
        <f>Tabela1[[#This Row],[Valor total]]-Tabela1[[#This Row],[Valor custo]]</f>
        <v>199.45</v>
      </c>
      <c r="J853" s="7">
        <f>Tabela1[[#This Row],[MARGEM BRUTA]]/Tabela1[[#This Row],[Valor total]]</f>
        <v>0.30708237105465741</v>
      </c>
      <c r="K853" s="1" t="str">
        <f>VLOOKUP(Tabela1[[#This Row],[Cliente]],'BASE DE CLIENTES'!A:D,4,0)</f>
        <v>SERRALHEIRO</v>
      </c>
      <c r="L853" s="1" t="str">
        <f>VLOOKUP(Tabela1[[#This Row],[Cliente]],'BASE DE CLIENTES'!A:E,5,0)</f>
        <v>Ceilândia Sul (Ceilândia)</v>
      </c>
    </row>
    <row r="854" spans="2:12" x14ac:dyDescent="0.3">
      <c r="B854" s="1" t="s">
        <v>55</v>
      </c>
      <c r="C854" s="4" t="str">
        <f>VLOOKUP(Tabela1[[#This Row],[Cliente]],'BASE DE CLIENTES'!A:E,2,0)</f>
        <v>Brasília</v>
      </c>
      <c r="D854" s="1" t="str">
        <f>VLOOKUP(Tabela1[[#This Row],[Cliente]],'BASE DE CLIENTES'!A:C,3,0)</f>
        <v>DF</v>
      </c>
      <c r="E854" s="4" t="str">
        <f>CONCATENATE(Tabela1[[#This Row],[CIDADE]],",",Tabela1[[#This Row],[UF]])</f>
        <v>Brasília,DF</v>
      </c>
      <c r="F854" s="2">
        <v>45770</v>
      </c>
      <c r="G854" s="17">
        <v>49.21</v>
      </c>
      <c r="H854" s="17">
        <v>80</v>
      </c>
      <c r="I854" s="6">
        <f>Tabela1[[#This Row],[Valor total]]-Tabela1[[#This Row],[Valor custo]]</f>
        <v>30.79</v>
      </c>
      <c r="J854" s="7">
        <f>Tabela1[[#This Row],[MARGEM BRUTA]]/Tabela1[[#This Row],[Valor total]]</f>
        <v>0.38487499999999997</v>
      </c>
      <c r="K854" s="1" t="str">
        <f>VLOOKUP(Tabela1[[#This Row],[Cliente]],'BASE DE CLIENTES'!A:D,4,0)</f>
        <v>EMPRESA SEM MAQUINA</v>
      </c>
      <c r="L854" s="1" t="str">
        <f>VLOOKUP(Tabela1[[#This Row],[Cliente]],'BASE DE CLIENTES'!A:E,5,0)</f>
        <v>RECANTO DAS EMAS</v>
      </c>
    </row>
    <row r="855" spans="2:12" x14ac:dyDescent="0.3">
      <c r="B855" s="1" t="s">
        <v>49</v>
      </c>
      <c r="C855" s="4" t="str">
        <f>VLOOKUP(Tabela1[[#This Row],[Cliente]],'BASE DE CLIENTES'!A:E,2,0)</f>
        <v>Brasília</v>
      </c>
      <c r="D855" s="1" t="str">
        <f>VLOOKUP(Tabela1[[#This Row],[Cliente]],'BASE DE CLIENTES'!A:C,3,0)</f>
        <v>DF</v>
      </c>
      <c r="E855" s="4" t="str">
        <f>CONCATENATE(Tabela1[[#This Row],[CIDADE]],",",Tabela1[[#This Row],[UF]])</f>
        <v>Brasília,DF</v>
      </c>
      <c r="F855" s="2">
        <v>45770</v>
      </c>
      <c r="G855" s="17">
        <v>9460</v>
      </c>
      <c r="H855" s="17">
        <v>12000</v>
      </c>
      <c r="I855" s="6">
        <f>Tabela1[[#This Row],[Valor total]]-Tabela1[[#This Row],[Valor custo]]</f>
        <v>2540</v>
      </c>
      <c r="J855" s="7">
        <f>Tabela1[[#This Row],[MARGEM BRUTA]]/Tabela1[[#This Row],[Valor total]]</f>
        <v>0.21166666666666667</v>
      </c>
      <c r="K855" s="1" t="str">
        <f>VLOOKUP(Tabela1[[#This Row],[Cliente]],'BASE DE CLIENTES'!A:D,4,0)</f>
        <v>EMPRESA COM MAQUINA</v>
      </c>
      <c r="L855" s="1" t="str">
        <f>VLOOKUP(Tabela1[[#This Row],[Cliente]],'BASE DE CLIENTES'!A:E,5,0)</f>
        <v>TAGUATINGA</v>
      </c>
    </row>
    <row r="856" spans="2:12" x14ac:dyDescent="0.3">
      <c r="B856" s="1" t="s">
        <v>152</v>
      </c>
      <c r="C856" s="4" t="str">
        <f>VLOOKUP(Tabela1[[#This Row],[Cliente]],'BASE DE CLIENTES'!A:E,2,0)</f>
        <v>Aparecida de Goiânia</v>
      </c>
      <c r="D856" s="1" t="str">
        <f>VLOOKUP(Tabela1[[#This Row],[Cliente]],'BASE DE CLIENTES'!A:C,3,0)</f>
        <v>GO</v>
      </c>
      <c r="E856" s="4" t="str">
        <f>CONCATENATE(Tabela1[[#This Row],[CIDADE]],",",Tabela1[[#This Row],[UF]])</f>
        <v>Aparecida de Goiânia,GO</v>
      </c>
      <c r="F856" s="2">
        <v>45751</v>
      </c>
      <c r="G856" s="17">
        <v>584</v>
      </c>
      <c r="H856" s="17">
        <v>860</v>
      </c>
      <c r="I856" s="6">
        <f>Tabela1[[#This Row],[Valor total]]-Tabela1[[#This Row],[Valor custo]]</f>
        <v>276</v>
      </c>
      <c r="J856" s="7">
        <f>Tabela1[[#This Row],[MARGEM BRUTA]]/Tabela1[[#This Row],[Valor total]]</f>
        <v>0.32093023255813952</v>
      </c>
      <c r="K856" s="1" t="str">
        <f>VLOOKUP(Tabela1[[#This Row],[Cliente]],'BASE DE CLIENTES'!A:D,4,0)</f>
        <v>TECNICO</v>
      </c>
      <c r="L856" s="1" t="str">
        <f>VLOOKUP(Tabela1[[#This Row],[Cliente]],'BASE DE CLIENTES'!A:E,5,0)</f>
        <v>Aparecida de Goiânia</v>
      </c>
    </row>
    <row r="857" spans="2:12" x14ac:dyDescent="0.3">
      <c r="B857" s="1" t="s">
        <v>152</v>
      </c>
      <c r="C857" s="4" t="str">
        <f>VLOOKUP(Tabela1[[#This Row],[Cliente]],'BASE DE CLIENTES'!A:E,2,0)</f>
        <v>Aparecida de Goiânia</v>
      </c>
      <c r="D857" s="1" t="str">
        <f>VLOOKUP(Tabela1[[#This Row],[Cliente]],'BASE DE CLIENTES'!A:C,3,0)</f>
        <v>GO</v>
      </c>
      <c r="E857" s="4" t="str">
        <f>CONCATENATE(Tabela1[[#This Row],[CIDADE]],",",Tabela1[[#This Row],[UF]])</f>
        <v>Aparecida de Goiânia,GO</v>
      </c>
      <c r="F857" s="2">
        <v>45745</v>
      </c>
      <c r="G857" s="17">
        <v>473</v>
      </c>
      <c r="H857" s="17">
        <v>700</v>
      </c>
      <c r="I857" s="6">
        <f>Tabela1[[#This Row],[Valor total]]-Tabela1[[#This Row],[Valor custo]]</f>
        <v>227</v>
      </c>
      <c r="J857" s="7">
        <f>Tabela1[[#This Row],[MARGEM BRUTA]]/Tabela1[[#This Row],[Valor total]]</f>
        <v>0.32428571428571429</v>
      </c>
      <c r="K857" s="1" t="str">
        <f>VLOOKUP(Tabela1[[#This Row],[Cliente]],'BASE DE CLIENTES'!A:D,4,0)</f>
        <v>TECNICO</v>
      </c>
      <c r="L857" s="1" t="str">
        <f>VLOOKUP(Tabela1[[#This Row],[Cliente]],'BASE DE CLIENTES'!A:E,5,0)</f>
        <v>Aparecida de Goiânia</v>
      </c>
    </row>
    <row r="858" spans="2:12" x14ac:dyDescent="0.3">
      <c r="B858" s="1" t="s">
        <v>68</v>
      </c>
      <c r="C858" s="4" t="str">
        <f>VLOOKUP(Tabela1[[#This Row],[Cliente]],'BASE DE CLIENTES'!A:E,2,0)</f>
        <v>Brasília</v>
      </c>
      <c r="D858" s="1" t="str">
        <f>VLOOKUP(Tabela1[[#This Row],[Cliente]],'BASE DE CLIENTES'!A:C,3,0)</f>
        <v>DF</v>
      </c>
      <c r="E858" s="4" t="str">
        <f>CONCATENATE(Tabela1[[#This Row],[CIDADE]],",",Tabela1[[#This Row],[UF]])</f>
        <v>Brasília,DF</v>
      </c>
      <c r="F858" s="2">
        <v>45770</v>
      </c>
      <c r="G858" s="17">
        <v>1887.62</v>
      </c>
      <c r="H858" s="17">
        <v>2649</v>
      </c>
      <c r="I858" s="6">
        <f>Tabela1[[#This Row],[Valor total]]-Tabela1[[#This Row],[Valor custo]]</f>
        <v>761.38000000000011</v>
      </c>
      <c r="J858" s="7">
        <f>Tabela1[[#This Row],[MARGEM BRUTA]]/Tabela1[[#This Row],[Valor total]]</f>
        <v>0.28742166855417145</v>
      </c>
      <c r="K858" s="1" t="str">
        <f>VLOOKUP(Tabela1[[#This Row],[Cliente]],'BASE DE CLIENTES'!A:D,4,0)</f>
        <v>EMPRESA COM MAQUINA</v>
      </c>
      <c r="L858" s="1" t="str">
        <f>VLOOKUP(Tabela1[[#This Row],[Cliente]],'BASE DE CLIENTES'!A:E,5,0)</f>
        <v>SAMAMBAIA SUL (SAMAMBAIA)</v>
      </c>
    </row>
    <row r="859" spans="2:12" x14ac:dyDescent="0.3">
      <c r="B859" s="1" t="s">
        <v>106</v>
      </c>
      <c r="C859" s="4" t="str">
        <f>VLOOKUP(Tabela1[[#This Row],[Cliente]],'BASE DE CLIENTES'!A:E,2,0)</f>
        <v>Brasília</v>
      </c>
      <c r="D859" s="1" t="str">
        <f>VLOOKUP(Tabela1[[#This Row],[Cliente]],'BASE DE CLIENTES'!A:C,3,0)</f>
        <v>DF</v>
      </c>
      <c r="E859" s="4" t="str">
        <f>CONCATENATE(Tabela1[[#This Row],[CIDADE]],",",Tabela1[[#This Row],[UF]])</f>
        <v>Brasília,DF</v>
      </c>
      <c r="F859" s="2">
        <v>45770</v>
      </c>
      <c r="G859" s="17">
        <v>250</v>
      </c>
      <c r="H859" s="17">
        <v>300</v>
      </c>
      <c r="I859" s="6">
        <f>Tabela1[[#This Row],[Valor total]]-Tabela1[[#This Row],[Valor custo]]</f>
        <v>50</v>
      </c>
      <c r="J859" s="7">
        <f>Tabela1[[#This Row],[MARGEM BRUTA]]/Tabela1[[#This Row],[Valor total]]</f>
        <v>0.16666666666666666</v>
      </c>
      <c r="K859" s="1" t="str">
        <f>VLOOKUP(Tabela1[[#This Row],[Cliente]],'BASE DE CLIENTES'!A:D,4,0)</f>
        <v>EMPRESA COM MAQUINA</v>
      </c>
      <c r="L859" s="1" t="str">
        <f>VLOOKUP(Tabela1[[#This Row],[Cliente]],'BASE DE CLIENTES'!A:E,5,0)</f>
        <v>26 DE SETEMBRO</v>
      </c>
    </row>
    <row r="860" spans="2:12" x14ac:dyDescent="0.3">
      <c r="B860" s="1" t="s">
        <v>15</v>
      </c>
      <c r="C860" s="4" t="str">
        <f>VLOOKUP(Tabela1[[#This Row],[Cliente]],'BASE DE CLIENTES'!A:E,2,0)</f>
        <v>Brasília</v>
      </c>
      <c r="D860" s="1" t="str">
        <f>VLOOKUP(Tabela1[[#This Row],[Cliente]],'BASE DE CLIENTES'!A:C,3,0)</f>
        <v>DF</v>
      </c>
      <c r="E860" s="4" t="str">
        <f>CONCATENATE(Tabela1[[#This Row],[CIDADE]],",",Tabela1[[#This Row],[UF]])</f>
        <v>Brasília,DF</v>
      </c>
      <c r="F860" s="2">
        <v>45770</v>
      </c>
      <c r="G860" s="17">
        <v>894</v>
      </c>
      <c r="H860" s="17">
        <v>1315</v>
      </c>
      <c r="I860" s="6">
        <f>Tabela1[[#This Row],[Valor total]]-Tabela1[[#This Row],[Valor custo]]</f>
        <v>421</v>
      </c>
      <c r="J860" s="7">
        <f>Tabela1[[#This Row],[MARGEM BRUTA]]/Tabela1[[#This Row],[Valor total]]</f>
        <v>0.32015209125475286</v>
      </c>
      <c r="K860" s="1" t="str">
        <f>VLOOKUP(Tabela1[[#This Row],[Cliente]],'BASE DE CLIENTES'!A:D,4,0)</f>
        <v>SERRALHEIRO</v>
      </c>
      <c r="L860" s="1" t="str">
        <f>VLOOKUP(Tabela1[[#This Row],[Cliente]],'BASE DE CLIENTES'!A:E,5,0)</f>
        <v>SETOR HABITACIONAL VICENTE PIRES</v>
      </c>
    </row>
    <row r="861" spans="2:12" x14ac:dyDescent="0.3">
      <c r="B861" s="1" t="s">
        <v>152</v>
      </c>
      <c r="C861" s="4" t="str">
        <f>VLOOKUP(Tabela1[[#This Row],[Cliente]],'BASE DE CLIENTES'!A:E,2,0)</f>
        <v>Aparecida de Goiânia</v>
      </c>
      <c r="D861" s="1" t="str">
        <f>VLOOKUP(Tabela1[[#This Row],[Cliente]],'BASE DE CLIENTES'!A:C,3,0)</f>
        <v>GO</v>
      </c>
      <c r="E861" s="4" t="str">
        <f>CONCATENATE(Tabela1[[#This Row],[CIDADE]],",",Tabela1[[#This Row],[UF]])</f>
        <v>Aparecida de Goiânia,GO</v>
      </c>
      <c r="F861" s="2">
        <v>45838</v>
      </c>
      <c r="G861" s="17">
        <v>473</v>
      </c>
      <c r="H861" s="17">
        <v>700</v>
      </c>
      <c r="I861" s="6">
        <f>Tabela1[[#This Row],[Valor total]]-Tabela1[[#This Row],[Valor custo]]</f>
        <v>227</v>
      </c>
      <c r="J861" s="7">
        <f>Tabela1[[#This Row],[MARGEM BRUTA]]/Tabela1[[#This Row],[Valor total]]</f>
        <v>0.32428571428571429</v>
      </c>
      <c r="K861" s="1" t="str">
        <f>VLOOKUP(Tabela1[[#This Row],[Cliente]],'BASE DE CLIENTES'!A:D,4,0)</f>
        <v>TECNICO</v>
      </c>
      <c r="L861" s="1" t="str">
        <f>VLOOKUP(Tabela1[[#This Row],[Cliente]],'BASE DE CLIENTES'!A:E,5,0)</f>
        <v>Aparecida de Goiânia</v>
      </c>
    </row>
    <row r="862" spans="2:12" x14ac:dyDescent="0.3">
      <c r="B862" s="1" t="s">
        <v>152</v>
      </c>
      <c r="C862" s="4" t="str">
        <f>VLOOKUP(Tabela1[[#This Row],[Cliente]],'BASE DE CLIENTES'!A:E,2,0)</f>
        <v>Aparecida de Goiânia</v>
      </c>
      <c r="D862" s="1" t="str">
        <f>VLOOKUP(Tabela1[[#This Row],[Cliente]],'BASE DE CLIENTES'!A:C,3,0)</f>
        <v>GO</v>
      </c>
      <c r="E862" s="4" t="str">
        <f>CONCATENATE(Tabela1[[#This Row],[CIDADE]],",",Tabela1[[#This Row],[UF]])</f>
        <v>Aparecida de Goiânia,GO</v>
      </c>
      <c r="F862" s="2">
        <v>45848</v>
      </c>
      <c r="G862" s="17">
        <v>473</v>
      </c>
      <c r="H862" s="17">
        <v>700</v>
      </c>
      <c r="I862" s="6">
        <f>Tabela1[[#This Row],[Valor total]]-Tabela1[[#This Row],[Valor custo]]</f>
        <v>227</v>
      </c>
      <c r="J862" s="7">
        <f>Tabela1[[#This Row],[MARGEM BRUTA]]/Tabela1[[#This Row],[Valor total]]</f>
        <v>0.32428571428571429</v>
      </c>
      <c r="K862" s="1" t="str">
        <f>VLOOKUP(Tabela1[[#This Row],[Cliente]],'BASE DE CLIENTES'!A:D,4,0)</f>
        <v>TECNICO</v>
      </c>
      <c r="L862" s="1" t="str">
        <f>VLOOKUP(Tabela1[[#This Row],[Cliente]],'BASE DE CLIENTES'!A:E,5,0)</f>
        <v>Aparecida de Goiânia</v>
      </c>
    </row>
    <row r="863" spans="2:12" x14ac:dyDescent="0.3">
      <c r="B863" s="1" t="s">
        <v>162</v>
      </c>
      <c r="C863" s="4" t="str">
        <f>VLOOKUP(Tabela1[[#This Row],[Cliente]],'BASE DE CLIENTES'!A:E,2,0)</f>
        <v>Brasília</v>
      </c>
      <c r="D863" s="1" t="str">
        <f>VLOOKUP(Tabela1[[#This Row],[Cliente]],'BASE DE CLIENTES'!A:C,3,0)</f>
        <v>DF</v>
      </c>
      <c r="E863" s="4" t="str">
        <f>CONCATENATE(Tabela1[[#This Row],[CIDADE]],",",Tabela1[[#This Row],[UF]])</f>
        <v>Brasília,DF</v>
      </c>
      <c r="F863" s="2">
        <v>45702</v>
      </c>
      <c r="G863" s="17">
        <v>439.2</v>
      </c>
      <c r="H863" s="17">
        <v>645</v>
      </c>
      <c r="I863" s="6">
        <f>Tabela1[[#This Row],[Valor total]]-Tabela1[[#This Row],[Valor custo]]</f>
        <v>205.8</v>
      </c>
      <c r="J863" s="7">
        <f>Tabela1[[#This Row],[MARGEM BRUTA]]/Tabela1[[#This Row],[Valor total]]</f>
        <v>0.3190697674418605</v>
      </c>
      <c r="K863" s="1" t="str">
        <f>VLOOKUP(Tabela1[[#This Row],[Cliente]],'BASE DE CLIENTES'!A:D,4,0)</f>
        <v>SEM CLASSIFICAÇÃO</v>
      </c>
      <c r="L863" s="1" t="str">
        <f>VLOOKUP(Tabela1[[#This Row],[Cliente]],'BASE DE CLIENTES'!A:E,5,0)</f>
        <v>CEILANDIA</v>
      </c>
    </row>
    <row r="864" spans="2:12" x14ac:dyDescent="0.3">
      <c r="B864" s="1" t="s">
        <v>116</v>
      </c>
      <c r="C864" s="4" t="str">
        <f>VLOOKUP(Tabela1[[#This Row],[Cliente]],'BASE DE CLIENTES'!A:E,2,0)</f>
        <v>Brasília</v>
      </c>
      <c r="D864" s="1" t="str">
        <f>VLOOKUP(Tabela1[[#This Row],[Cliente]],'BASE DE CLIENTES'!A:C,3,0)</f>
        <v>DF</v>
      </c>
      <c r="E864" s="4" t="str">
        <f>CONCATENATE(Tabela1[[#This Row],[CIDADE]],",",Tabela1[[#This Row],[UF]])</f>
        <v>Brasília,DF</v>
      </c>
      <c r="F864" s="2">
        <v>45771</v>
      </c>
      <c r="G864" s="17">
        <v>447</v>
      </c>
      <c r="H864" s="17">
        <v>645</v>
      </c>
      <c r="I864" s="6">
        <f>Tabela1[[#This Row],[Valor total]]-Tabela1[[#This Row],[Valor custo]]</f>
        <v>198</v>
      </c>
      <c r="J864" s="7">
        <f>Tabela1[[#This Row],[MARGEM BRUTA]]/Tabela1[[#This Row],[Valor total]]</f>
        <v>0.30697674418604654</v>
      </c>
      <c r="K864" s="1" t="str">
        <f>VLOOKUP(Tabela1[[#This Row],[Cliente]],'BASE DE CLIENTES'!A:D,4,0)</f>
        <v>SEM CLASSIFICAÇÃO</v>
      </c>
      <c r="L864" s="1" t="str">
        <f>VLOOKUP(Tabela1[[#This Row],[Cliente]],'BASE DE CLIENTES'!A:E,5,0)</f>
        <v>VALE DO AMANHECER (PLANALTINA)</v>
      </c>
    </row>
    <row r="865" spans="1:12" x14ac:dyDescent="0.3">
      <c r="B865" s="1" t="s">
        <v>152</v>
      </c>
      <c r="C865" s="4" t="str">
        <f>VLOOKUP(Tabela1[[#This Row],[Cliente]],'BASE DE CLIENTES'!A:E,2,0)</f>
        <v>Aparecida de Goiânia</v>
      </c>
      <c r="D865" s="1" t="str">
        <f>VLOOKUP(Tabela1[[#This Row],[Cliente]],'BASE DE CLIENTES'!A:C,3,0)</f>
        <v>GO</v>
      </c>
      <c r="E865" s="4" t="str">
        <f>CONCATENATE(Tabela1[[#This Row],[CIDADE]],",",Tabela1[[#This Row],[UF]])</f>
        <v>Aparecida de Goiânia,GO</v>
      </c>
      <c r="F865" s="2">
        <v>45805</v>
      </c>
      <c r="G865" s="17">
        <v>521</v>
      </c>
      <c r="H865" s="17">
        <v>780</v>
      </c>
      <c r="I865" s="6">
        <f>Tabela1[[#This Row],[Valor total]]-Tabela1[[#This Row],[Valor custo]]</f>
        <v>259</v>
      </c>
      <c r="J865" s="7">
        <f>Tabela1[[#This Row],[MARGEM BRUTA]]/Tabela1[[#This Row],[Valor total]]</f>
        <v>0.33205128205128204</v>
      </c>
      <c r="K865" s="1" t="str">
        <f>VLOOKUP(Tabela1[[#This Row],[Cliente]],'BASE DE CLIENTES'!A:D,4,0)</f>
        <v>TECNICO</v>
      </c>
      <c r="L865" s="1" t="str">
        <f>VLOOKUP(Tabela1[[#This Row],[Cliente]],'BASE DE CLIENTES'!A:E,5,0)</f>
        <v>Aparecida de Goiânia</v>
      </c>
    </row>
    <row r="866" spans="1:12" x14ac:dyDescent="0.3">
      <c r="B866" s="1" t="s">
        <v>152</v>
      </c>
      <c r="C866" s="4" t="str">
        <f>VLOOKUP(Tabela1[[#This Row],[Cliente]],'BASE DE CLIENTES'!A:E,2,0)</f>
        <v>Aparecida de Goiânia</v>
      </c>
      <c r="D866" s="1" t="str">
        <f>VLOOKUP(Tabela1[[#This Row],[Cliente]],'BASE DE CLIENTES'!A:C,3,0)</f>
        <v>GO</v>
      </c>
      <c r="E866" s="4" t="str">
        <f>CONCATENATE(Tabela1[[#This Row],[CIDADE]],",",Tabela1[[#This Row],[UF]])</f>
        <v>Aparecida de Goiânia,GO</v>
      </c>
      <c r="F866" s="2">
        <v>45810</v>
      </c>
      <c r="G866" s="17">
        <v>521</v>
      </c>
      <c r="H866" s="17">
        <v>780</v>
      </c>
      <c r="I866" s="6">
        <f>Tabela1[[#This Row],[Valor total]]-Tabela1[[#This Row],[Valor custo]]</f>
        <v>259</v>
      </c>
      <c r="J866" s="7">
        <f>Tabela1[[#This Row],[MARGEM BRUTA]]/Tabela1[[#This Row],[Valor total]]</f>
        <v>0.33205128205128204</v>
      </c>
      <c r="K866" s="1" t="str">
        <f>VLOOKUP(Tabela1[[#This Row],[Cliente]],'BASE DE CLIENTES'!A:D,4,0)</f>
        <v>TECNICO</v>
      </c>
      <c r="L866" s="1" t="str">
        <f>VLOOKUP(Tabela1[[#This Row],[Cliente]],'BASE DE CLIENTES'!A:E,5,0)</f>
        <v>Aparecida de Goiânia</v>
      </c>
    </row>
    <row r="867" spans="1:12" x14ac:dyDescent="0.3">
      <c r="B867" s="1" t="s">
        <v>151</v>
      </c>
      <c r="C867" s="4" t="str">
        <f>VLOOKUP(Tabela1[[#This Row],[Cliente]],'BASE DE CLIENTES'!A:E,2,0)</f>
        <v>Aparecida de Goiânia</v>
      </c>
      <c r="D867" s="1" t="str">
        <f>VLOOKUP(Tabela1[[#This Row],[Cliente]],'BASE DE CLIENTES'!A:C,3,0)</f>
        <v>GO</v>
      </c>
      <c r="E867" s="4" t="str">
        <f>CONCATENATE(Tabela1[[#This Row],[CIDADE]],",",Tabela1[[#This Row],[UF]])</f>
        <v>Aparecida de Goiânia,GO</v>
      </c>
      <c r="F867" s="2">
        <v>45789</v>
      </c>
      <c r="G867" s="17">
        <v>1489</v>
      </c>
      <c r="H867" s="17">
        <v>2235</v>
      </c>
      <c r="I867" s="6">
        <f>Tabela1[[#This Row],[Valor total]]-Tabela1[[#This Row],[Valor custo]]</f>
        <v>746</v>
      </c>
      <c r="J867" s="7">
        <f>Tabela1[[#This Row],[MARGEM BRUTA]]/Tabela1[[#This Row],[Valor total]]</f>
        <v>0.33378076062639822</v>
      </c>
      <c r="K867" s="1" t="str">
        <f>VLOOKUP(Tabela1[[#This Row],[Cliente]],'BASE DE CLIENTES'!A:D,4,0)</f>
        <v>EMPRESA COM MAQUINA</v>
      </c>
      <c r="L867" s="1" t="str">
        <f>VLOOKUP(Tabela1[[#This Row],[Cliente]],'BASE DE CLIENTES'!A:E,5,0)</f>
        <v>Aparecida de Goiânia</v>
      </c>
    </row>
    <row r="868" spans="1:12" x14ac:dyDescent="0.3">
      <c r="B868" s="1" t="s">
        <v>152</v>
      </c>
      <c r="C868" s="4" t="str">
        <f>VLOOKUP(Tabela1[[#This Row],[Cliente]],'BASE DE CLIENTES'!A:E,2,0)</f>
        <v>Aparecida de Goiânia</v>
      </c>
      <c r="D868" s="1" t="str">
        <f>VLOOKUP(Tabela1[[#This Row],[Cliente]],'BASE DE CLIENTES'!A:C,3,0)</f>
        <v>GO</v>
      </c>
      <c r="E868" s="4" t="str">
        <f>CONCATENATE(Tabela1[[#This Row],[CIDADE]],",",Tabela1[[#This Row],[UF]])</f>
        <v>Aparecida de Goiânia,GO</v>
      </c>
      <c r="F868" s="2">
        <v>45859</v>
      </c>
      <c r="G868" s="17">
        <v>865.58</v>
      </c>
      <c r="H868" s="17">
        <v>1300</v>
      </c>
      <c r="I868" s="6">
        <f>Tabela1[[#This Row],[Valor total]]-Tabela1[[#This Row],[Valor custo]]</f>
        <v>434.41999999999996</v>
      </c>
      <c r="J868" s="7">
        <f>Tabela1[[#This Row],[MARGEM BRUTA]]/Tabela1[[#This Row],[Valor total]]</f>
        <v>0.33416923076923072</v>
      </c>
      <c r="K868" s="1" t="str">
        <f>VLOOKUP(Tabela1[[#This Row],[Cliente]],'BASE DE CLIENTES'!A:D,4,0)</f>
        <v>TECNICO</v>
      </c>
      <c r="L868" s="1" t="str">
        <f>VLOOKUP(Tabela1[[#This Row],[Cliente]],'BASE DE CLIENTES'!A:E,5,0)</f>
        <v>Aparecida de Goiânia</v>
      </c>
    </row>
    <row r="869" spans="1:12" x14ac:dyDescent="0.3">
      <c r="B869" s="1" t="s">
        <v>151</v>
      </c>
      <c r="C869" s="4" t="str">
        <f>VLOOKUP(Tabela1[[#This Row],[Cliente]],'BASE DE CLIENTES'!A:E,2,0)</f>
        <v>Aparecida de Goiânia</v>
      </c>
      <c r="D869" s="1" t="str">
        <f>VLOOKUP(Tabela1[[#This Row],[Cliente]],'BASE DE CLIENTES'!A:C,3,0)</f>
        <v>GO</v>
      </c>
      <c r="E869" s="4" t="str">
        <f>CONCATENATE(Tabela1[[#This Row],[CIDADE]],",",Tabela1[[#This Row],[UF]])</f>
        <v>Aparecida de Goiânia,GO</v>
      </c>
      <c r="F869" s="2">
        <v>45770</v>
      </c>
      <c r="G869" s="17">
        <v>1986</v>
      </c>
      <c r="H869" s="17">
        <v>2985</v>
      </c>
      <c r="I869" s="6">
        <f>Tabela1[[#This Row],[Valor total]]-Tabela1[[#This Row],[Valor custo]]</f>
        <v>999</v>
      </c>
      <c r="J869" s="7">
        <f>Tabela1[[#This Row],[MARGEM BRUTA]]/Tabela1[[#This Row],[Valor total]]</f>
        <v>0.33467336683417087</v>
      </c>
      <c r="K869" s="1" t="str">
        <f>VLOOKUP(Tabela1[[#This Row],[Cliente]],'BASE DE CLIENTES'!A:D,4,0)</f>
        <v>EMPRESA COM MAQUINA</v>
      </c>
      <c r="L869" s="1" t="str">
        <f>VLOOKUP(Tabela1[[#This Row],[Cliente]],'BASE DE CLIENTES'!A:E,5,0)</f>
        <v>Aparecida de Goiânia</v>
      </c>
    </row>
    <row r="870" spans="1:12" x14ac:dyDescent="0.3">
      <c r="B870" s="1" t="s">
        <v>152</v>
      </c>
      <c r="C870" s="4" t="str">
        <f>VLOOKUP(Tabela1[[#This Row],[Cliente]],'BASE DE CLIENTES'!A:E,2,0)</f>
        <v>Aparecida de Goiânia</v>
      </c>
      <c r="D870" s="1" t="str">
        <f>VLOOKUP(Tabela1[[#This Row],[Cliente]],'BASE DE CLIENTES'!A:C,3,0)</f>
        <v>GO</v>
      </c>
      <c r="E870" s="4" t="str">
        <f>CONCATENATE(Tabela1[[#This Row],[CIDADE]],",",Tabela1[[#This Row],[UF]])</f>
        <v>Aparecida de Goiânia,GO</v>
      </c>
      <c r="F870" s="2">
        <v>45853</v>
      </c>
      <c r="G870" s="17">
        <v>432.13</v>
      </c>
      <c r="H870" s="17">
        <v>650</v>
      </c>
      <c r="I870" s="6">
        <f>Tabela1[[#This Row],[Valor total]]-Tabela1[[#This Row],[Valor custo]]</f>
        <v>217.87</v>
      </c>
      <c r="J870" s="7">
        <f>Tabela1[[#This Row],[MARGEM BRUTA]]/Tabela1[[#This Row],[Valor total]]</f>
        <v>0.33518461538461541</v>
      </c>
      <c r="K870" s="1" t="str">
        <f>VLOOKUP(Tabela1[[#This Row],[Cliente]],'BASE DE CLIENTES'!A:D,4,0)</f>
        <v>TECNICO</v>
      </c>
      <c r="L870" s="1" t="str">
        <f>VLOOKUP(Tabela1[[#This Row],[Cliente]],'BASE DE CLIENTES'!A:E,5,0)</f>
        <v>Aparecida de Goiânia</v>
      </c>
    </row>
    <row r="871" spans="1:12" x14ac:dyDescent="0.3">
      <c r="B871" s="1" t="s">
        <v>25</v>
      </c>
      <c r="C871" s="4" t="str">
        <f>VLOOKUP(Tabela1[[#This Row],[Cliente]],'BASE DE CLIENTES'!A:E,2,0)</f>
        <v>Brasília</v>
      </c>
      <c r="D871" s="1" t="str">
        <f>VLOOKUP(Tabela1[[#This Row],[Cliente]],'BASE DE CLIENTES'!A:C,3,0)</f>
        <v>DF</v>
      </c>
      <c r="E871" s="4" t="str">
        <f>CONCATENATE(Tabela1[[#This Row],[CIDADE]],",",Tabela1[[#This Row],[UF]])</f>
        <v>Brasília,DF</v>
      </c>
      <c r="F871" s="2">
        <v>45769</v>
      </c>
      <c r="G871" s="17">
        <v>2235</v>
      </c>
      <c r="H871" s="17">
        <v>3150</v>
      </c>
      <c r="I871" s="6">
        <f>Tabela1[[#This Row],[Valor total]]-Tabela1[[#This Row],[Valor custo]]</f>
        <v>915</v>
      </c>
      <c r="J871" s="7">
        <f>Tabela1[[#This Row],[MARGEM BRUTA]]/Tabela1[[#This Row],[Valor total]]</f>
        <v>0.2904761904761905</v>
      </c>
      <c r="K871" s="1" t="str">
        <f>VLOOKUP(Tabela1[[#This Row],[Cliente]],'BASE DE CLIENTES'!A:D,4,0)</f>
        <v>EMPRESA COM MAQUINA</v>
      </c>
      <c r="L871" s="1" t="str">
        <f>VLOOKUP(Tabela1[[#This Row],[Cliente]],'BASE DE CLIENTES'!A:E,5,0)</f>
        <v>CEILANDIA NORTE (CEILANDIA)</v>
      </c>
    </row>
    <row r="872" spans="1:12" x14ac:dyDescent="0.3">
      <c r="B872" s="1" t="s">
        <v>161</v>
      </c>
      <c r="C872" s="4" t="str">
        <f>VLOOKUP(Tabela1[[#This Row],[Cliente]],'BASE DE CLIENTES'!A:E,2,0)</f>
        <v>Brasília</v>
      </c>
      <c r="D872" s="1" t="str">
        <f>VLOOKUP(Tabela1[[#This Row],[Cliente]],'BASE DE CLIENTES'!A:C,3,0)</f>
        <v>DF</v>
      </c>
      <c r="E872" s="4" t="str">
        <f>CONCATENATE(Tabela1[[#This Row],[CIDADE]],",",Tabela1[[#This Row],[UF]])</f>
        <v>Brasília,DF</v>
      </c>
      <c r="F872" s="2">
        <v>45769</v>
      </c>
      <c r="G872" s="17">
        <v>1558.07</v>
      </c>
      <c r="H872" s="17">
        <v>2390</v>
      </c>
      <c r="I872" s="6">
        <f>Tabela1[[#This Row],[Valor total]]-Tabela1[[#This Row],[Valor custo]]</f>
        <v>831.93000000000006</v>
      </c>
      <c r="J872" s="7">
        <f>Tabela1[[#This Row],[MARGEM BRUTA]]/Tabela1[[#This Row],[Valor total]]</f>
        <v>0.34808786610878661</v>
      </c>
      <c r="K872" s="1" t="str">
        <f>VLOOKUP(Tabela1[[#This Row],[Cliente]],'BASE DE CLIENTES'!A:D,4,0)</f>
        <v>EMPRESA COM MAQUINA</v>
      </c>
      <c r="L872" s="1" t="str">
        <f>VLOOKUP(Tabela1[[#This Row],[Cliente]],'BASE DE CLIENTES'!A:E,5,0)</f>
        <v>RIACHO FUNDO II</v>
      </c>
    </row>
    <row r="873" spans="1:12" x14ac:dyDescent="0.3">
      <c r="B873" s="1" t="s">
        <v>96</v>
      </c>
      <c r="C873" s="4" t="str">
        <f>VLOOKUP(Tabela1[[#This Row],[Cliente]],'BASE DE CLIENTES'!A:E,2,0)</f>
        <v>Brasília</v>
      </c>
      <c r="D873" s="1" t="str">
        <f>VLOOKUP(Tabela1[[#This Row],[Cliente]],'BASE DE CLIENTES'!A:C,3,0)</f>
        <v>DF</v>
      </c>
      <c r="E873" s="4" t="str">
        <f>CONCATENATE(Tabela1[[#This Row],[CIDADE]],",",Tabela1[[#This Row],[UF]])</f>
        <v>Brasília,DF</v>
      </c>
      <c r="F873" s="2">
        <v>45766</v>
      </c>
      <c r="G873" s="17">
        <v>447</v>
      </c>
      <c r="H873" s="17">
        <v>620</v>
      </c>
      <c r="I873" s="6">
        <f>Tabela1[[#This Row],[Valor total]]-Tabela1[[#This Row],[Valor custo]]</f>
        <v>173</v>
      </c>
      <c r="J873" s="7">
        <f>Tabela1[[#This Row],[MARGEM BRUTA]]/Tabela1[[#This Row],[Valor total]]</f>
        <v>0.27903225806451615</v>
      </c>
      <c r="K873" s="1" t="str">
        <f>VLOOKUP(Tabela1[[#This Row],[Cliente]],'BASE DE CLIENTES'!A:D,4,0)</f>
        <v>EMPRESA SEM MAQUINA</v>
      </c>
      <c r="L873" s="1" t="str">
        <f>VLOOKUP(Tabela1[[#This Row],[Cliente]],'BASE DE CLIENTES'!A:E,5,0)</f>
        <v>CEILANDIA NORTE (CEILANDIA)</v>
      </c>
    </row>
    <row r="874" spans="1:12" x14ac:dyDescent="0.3">
      <c r="B874" s="1" t="s">
        <v>111</v>
      </c>
      <c r="C874" s="4" t="str">
        <f>VLOOKUP(Tabela1[[#This Row],[Cliente]],'BASE DE CLIENTES'!A:E,2,0)</f>
        <v>Brasília</v>
      </c>
      <c r="D874" s="1" t="str">
        <f>VLOOKUP(Tabela1[[#This Row],[Cliente]],'BASE DE CLIENTES'!A:C,3,0)</f>
        <v>DF</v>
      </c>
      <c r="E874" s="4" t="str">
        <f>CONCATENATE(Tabela1[[#This Row],[CIDADE]],",",Tabela1[[#This Row],[UF]])</f>
        <v>Brasília,DF</v>
      </c>
      <c r="F874" s="2">
        <v>45764</v>
      </c>
      <c r="G874" s="17">
        <v>0</v>
      </c>
      <c r="H874" s="17">
        <v>250</v>
      </c>
      <c r="I874" s="6">
        <f>Tabela1[[#This Row],[Valor total]]-Tabela1[[#This Row],[Valor custo]]</f>
        <v>250</v>
      </c>
      <c r="J874" s="7">
        <f>Tabela1[[#This Row],[MARGEM BRUTA]]/Tabela1[[#This Row],[Valor total]]</f>
        <v>1</v>
      </c>
      <c r="K874" s="1" t="str">
        <f>VLOOKUP(Tabela1[[#This Row],[Cliente]],'BASE DE CLIENTES'!A:D,4,0)</f>
        <v>EMPRESA SEM MAQUINA</v>
      </c>
      <c r="L874" s="1" t="str">
        <f>VLOOKUP(Tabela1[[#This Row],[Cliente]],'BASE DE CLIENTES'!A:E,5,0)</f>
        <v>TAGUATINGA SUL (TAGUATINGA)</v>
      </c>
    </row>
    <row r="875" spans="1:12" x14ac:dyDescent="0.3">
      <c r="B875" s="1" t="s">
        <v>152</v>
      </c>
      <c r="C875" s="4" t="str">
        <f>VLOOKUP(Tabela1[[#This Row],[Cliente]],'BASE DE CLIENTES'!A:E,2,0)</f>
        <v>Aparecida de Goiânia</v>
      </c>
      <c r="D875" s="1" t="str">
        <f>VLOOKUP(Tabela1[[#This Row],[Cliente]],'BASE DE CLIENTES'!A:C,3,0)</f>
        <v>GO</v>
      </c>
      <c r="E875" s="4" t="str">
        <f>CONCATENATE(Tabela1[[#This Row],[CIDADE]],",",Tabela1[[#This Row],[UF]])</f>
        <v>Aparecida de Goiânia,GO</v>
      </c>
      <c r="F875" s="2">
        <v>45849</v>
      </c>
      <c r="G875" s="17">
        <v>497</v>
      </c>
      <c r="H875" s="17">
        <v>750</v>
      </c>
      <c r="I875" s="6">
        <f>Tabela1[[#This Row],[Valor total]]-Tabela1[[#This Row],[Valor custo]]</f>
        <v>253</v>
      </c>
      <c r="J875" s="7">
        <f>Tabela1[[#This Row],[MARGEM BRUTA]]/Tabela1[[#This Row],[Valor total]]</f>
        <v>0.33733333333333332</v>
      </c>
      <c r="K875" s="1" t="str">
        <f>VLOOKUP(Tabela1[[#This Row],[Cliente]],'BASE DE CLIENTES'!A:D,4,0)</f>
        <v>TECNICO</v>
      </c>
      <c r="L875" s="1" t="str">
        <f>VLOOKUP(Tabela1[[#This Row],[Cliente]],'BASE DE CLIENTES'!A:E,5,0)</f>
        <v>Aparecida de Goiânia</v>
      </c>
    </row>
    <row r="876" spans="1:12" x14ac:dyDescent="0.3">
      <c r="B876" s="1" t="s">
        <v>27</v>
      </c>
      <c r="C876" s="4" t="str">
        <f>VLOOKUP(Tabela1[[#This Row],[Cliente]],'BASE DE CLIENTES'!A:E,2,0)</f>
        <v>Brasília</v>
      </c>
      <c r="D876" s="1" t="str">
        <f>VLOOKUP(Tabela1[[#This Row],[Cliente]],'BASE DE CLIENTES'!A:C,3,0)</f>
        <v>DF</v>
      </c>
      <c r="E876" s="4" t="str">
        <f>CONCATENATE(Tabela1[[#This Row],[CIDADE]],",",Tabela1[[#This Row],[UF]])</f>
        <v>Brasília,DF</v>
      </c>
      <c r="F876" s="2">
        <v>45764</v>
      </c>
      <c r="G876" s="17">
        <v>584</v>
      </c>
      <c r="H876" s="17">
        <v>720</v>
      </c>
      <c r="I876" s="6">
        <f>Tabela1[[#This Row],[Valor total]]-Tabela1[[#This Row],[Valor custo]]</f>
        <v>136</v>
      </c>
      <c r="J876" s="7">
        <f>Tabela1[[#This Row],[MARGEM BRUTA]]/Tabela1[[#This Row],[Valor total]]</f>
        <v>0.18888888888888888</v>
      </c>
      <c r="K876" s="1" t="str">
        <f>VLOOKUP(Tabela1[[#This Row],[Cliente]],'BASE DE CLIENTES'!A:D,4,0)</f>
        <v>EMPRESA SEM MAQUINA</v>
      </c>
      <c r="L876" s="1" t="str">
        <f>VLOOKUP(Tabela1[[#This Row],[Cliente]],'BASE DE CLIENTES'!A:E,5,0)</f>
        <v>RECANTO DAS EMAS</v>
      </c>
    </row>
    <row r="877" spans="1:12" x14ac:dyDescent="0.3">
      <c r="A877" s="1" t="s">
        <v>163</v>
      </c>
      <c r="B877" s="1" t="s">
        <v>164</v>
      </c>
      <c r="C877" s="4" t="str">
        <f>VLOOKUP(Tabela1[[#This Row],[Cliente]],'BASE DE CLIENTES'!A:E,2,0)</f>
        <v>Brasília</v>
      </c>
      <c r="D877" s="1" t="str">
        <f>VLOOKUP(Tabela1[[#This Row],[Cliente]],'BASE DE CLIENTES'!A:C,3,0)</f>
        <v>DF</v>
      </c>
      <c r="E877" s="4" t="str">
        <f>CONCATENATE(Tabela1[[#This Row],[CIDADE]],",",Tabela1[[#This Row],[UF]])</f>
        <v>Brasília,DF</v>
      </c>
      <c r="F877" s="2">
        <v>45687</v>
      </c>
      <c r="G877" s="17">
        <v>514.45000000000005</v>
      </c>
      <c r="H877" s="17">
        <v>600</v>
      </c>
      <c r="I877" s="6">
        <f>Tabela1[[#This Row],[Valor total]]-Tabela1[[#This Row],[Valor custo]]</f>
        <v>85.549999999999955</v>
      </c>
      <c r="J877" s="7">
        <f>Tabela1[[#This Row],[MARGEM BRUTA]]/Tabela1[[#This Row],[Valor total]]</f>
        <v>0.14258333333333326</v>
      </c>
      <c r="K877" s="1" t="str">
        <f>VLOOKUP(Tabela1[[#This Row],[Cliente]],'BASE DE CLIENTES'!A:D,4,0)</f>
        <v>SEM CLASSIFICAÇÃO</v>
      </c>
      <c r="L877" s="1" t="str">
        <f>VLOOKUP(Tabela1[[#This Row],[Cliente]],'BASE DE CLIENTES'!A:E,5,0)</f>
        <v>VICENTE PIRES</v>
      </c>
    </row>
    <row r="878" spans="1:12" x14ac:dyDescent="0.3">
      <c r="B878" s="1" t="s">
        <v>120</v>
      </c>
      <c r="C878" s="4" t="str">
        <f>VLOOKUP(Tabela1[[#This Row],[Cliente]],'BASE DE CLIENTES'!A:E,2,0)</f>
        <v>Brasília</v>
      </c>
      <c r="D878" s="1" t="str">
        <f>VLOOKUP(Tabela1[[#This Row],[Cliente]],'BASE DE CLIENTES'!A:C,3,0)</f>
        <v>DF</v>
      </c>
      <c r="E878" s="4" t="str">
        <f>CONCATENATE(Tabela1[[#This Row],[CIDADE]],",",Tabela1[[#This Row],[UF]])</f>
        <v>Brasília,DF</v>
      </c>
      <c r="F878" s="2">
        <v>45783</v>
      </c>
      <c r="G878" s="17">
        <v>497</v>
      </c>
      <c r="H878" s="17">
        <v>750</v>
      </c>
      <c r="I878" s="6">
        <f>Tabela1[[#This Row],[Valor total]]-Tabela1[[#This Row],[Valor custo]]</f>
        <v>253</v>
      </c>
      <c r="J878" s="7">
        <f>Tabela1[[#This Row],[MARGEM BRUTA]]/Tabela1[[#This Row],[Valor total]]</f>
        <v>0.33733333333333332</v>
      </c>
      <c r="K878" s="1" t="str">
        <f>VLOOKUP(Tabela1[[#This Row],[Cliente]],'BASE DE CLIENTES'!A:D,4,0)</f>
        <v>EMPRESA SEM MAQUINA</v>
      </c>
      <c r="L878" s="1" t="str">
        <f>VLOOKUP(Tabela1[[#This Row],[Cliente]],'BASE DE CLIENTES'!A:E,5,0)</f>
        <v>SAMAMBAIA</v>
      </c>
    </row>
    <row r="879" spans="1:12" x14ac:dyDescent="0.3">
      <c r="B879" s="1" t="s">
        <v>152</v>
      </c>
      <c r="C879" s="4" t="str">
        <f>VLOOKUP(Tabela1[[#This Row],[Cliente]],'BASE DE CLIENTES'!A:E,2,0)</f>
        <v>Aparecida de Goiânia</v>
      </c>
      <c r="D879" s="1" t="str">
        <f>VLOOKUP(Tabela1[[#This Row],[Cliente]],'BASE DE CLIENTES'!A:C,3,0)</f>
        <v>GO</v>
      </c>
      <c r="E879" s="4" t="str">
        <f>CONCATENATE(Tabela1[[#This Row],[CIDADE]],",",Tabela1[[#This Row],[UF]])</f>
        <v>Aparecida de Goiânia,GO</v>
      </c>
      <c r="F879" s="2">
        <v>45843</v>
      </c>
      <c r="G879" s="17">
        <v>497</v>
      </c>
      <c r="H879" s="17">
        <v>750</v>
      </c>
      <c r="I879" s="6">
        <f>Tabela1[[#This Row],[Valor total]]-Tabela1[[#This Row],[Valor custo]]</f>
        <v>253</v>
      </c>
      <c r="J879" s="7">
        <f>Tabela1[[#This Row],[MARGEM BRUTA]]/Tabela1[[#This Row],[Valor total]]</f>
        <v>0.33733333333333332</v>
      </c>
      <c r="K879" s="1" t="str">
        <f>VLOOKUP(Tabela1[[#This Row],[Cliente]],'BASE DE CLIENTES'!A:D,4,0)</f>
        <v>TECNICO</v>
      </c>
      <c r="L879" s="1" t="str">
        <f>VLOOKUP(Tabela1[[#This Row],[Cliente]],'BASE DE CLIENTES'!A:E,5,0)</f>
        <v>Aparecida de Goiânia</v>
      </c>
    </row>
    <row r="880" spans="1:12" x14ac:dyDescent="0.3">
      <c r="B880" s="1" t="s">
        <v>68</v>
      </c>
      <c r="C880" s="4" t="str">
        <f>VLOOKUP(Tabela1[[#This Row],[Cliente]],'BASE DE CLIENTES'!A:E,2,0)</f>
        <v>Brasília</v>
      </c>
      <c r="D880" s="1" t="str">
        <f>VLOOKUP(Tabela1[[#This Row],[Cliente]],'BASE DE CLIENTES'!A:C,3,0)</f>
        <v>DF</v>
      </c>
      <c r="E880" s="4" t="str">
        <f>CONCATENATE(Tabela1[[#This Row],[CIDADE]],",",Tabela1[[#This Row],[UF]])</f>
        <v>Brasília,DF</v>
      </c>
      <c r="F880" s="2">
        <v>45764</v>
      </c>
      <c r="G880" s="17">
        <v>7763.22</v>
      </c>
      <c r="H880" s="17">
        <v>11110</v>
      </c>
      <c r="I880" s="6">
        <f>Tabela1[[#This Row],[Valor total]]-Tabela1[[#This Row],[Valor custo]]</f>
        <v>3346.7799999999997</v>
      </c>
      <c r="J880" s="7">
        <f>Tabela1[[#This Row],[MARGEM BRUTA]]/Tabela1[[#This Row],[Valor total]]</f>
        <v>0.30124032403240319</v>
      </c>
      <c r="K880" s="1" t="str">
        <f>VLOOKUP(Tabela1[[#This Row],[Cliente]],'BASE DE CLIENTES'!A:D,4,0)</f>
        <v>EMPRESA COM MAQUINA</v>
      </c>
      <c r="L880" s="1" t="str">
        <f>VLOOKUP(Tabela1[[#This Row],[Cliente]],'BASE DE CLIENTES'!A:E,5,0)</f>
        <v>SAMAMBAIA SUL (SAMAMBAIA)</v>
      </c>
    </row>
    <row r="881" spans="2:12" x14ac:dyDescent="0.3">
      <c r="B881" s="1" t="s">
        <v>123</v>
      </c>
      <c r="C881" s="4" t="str">
        <f>VLOOKUP(Tabela1[[#This Row],[Cliente]],'BASE DE CLIENTES'!A:E,2,0)</f>
        <v>Brasília</v>
      </c>
      <c r="D881" s="1" t="str">
        <f>VLOOKUP(Tabela1[[#This Row],[Cliente]],'BASE DE CLIENTES'!A:C,3,0)</f>
        <v>DF</v>
      </c>
      <c r="E881" s="4" t="str">
        <f>CONCATENATE(Tabela1[[#This Row],[CIDADE]],",",Tabela1[[#This Row],[UF]])</f>
        <v>Brasília,DF</v>
      </c>
      <c r="F881" s="2">
        <v>45764</v>
      </c>
      <c r="G881" s="17">
        <v>65</v>
      </c>
      <c r="H881" s="17">
        <v>100</v>
      </c>
      <c r="I881" s="6">
        <f>Tabela1[[#This Row],[Valor total]]-Tabela1[[#This Row],[Valor custo]]</f>
        <v>35</v>
      </c>
      <c r="J881" s="7">
        <f>Tabela1[[#This Row],[MARGEM BRUTA]]/Tabela1[[#This Row],[Valor total]]</f>
        <v>0.35</v>
      </c>
      <c r="K881" s="1" t="str">
        <f>VLOOKUP(Tabela1[[#This Row],[Cliente]],'BASE DE CLIENTES'!A:D,4,0)</f>
        <v>EMPRESA COM MAQUINA</v>
      </c>
      <c r="L881" s="1" t="str">
        <f>VLOOKUP(Tabela1[[#This Row],[Cliente]],'BASE DE CLIENTES'!A:E,5,0)</f>
        <v>ADE CEILÂNDIA</v>
      </c>
    </row>
    <row r="882" spans="2:12" x14ac:dyDescent="0.3">
      <c r="B882" s="1" t="s">
        <v>123</v>
      </c>
      <c r="C882" s="4" t="str">
        <f>VLOOKUP(Tabela1[[#This Row],[Cliente]],'BASE DE CLIENTES'!A:E,2,0)</f>
        <v>Brasília</v>
      </c>
      <c r="D882" s="1" t="str">
        <f>VLOOKUP(Tabela1[[#This Row],[Cliente]],'BASE DE CLIENTES'!A:C,3,0)</f>
        <v>DF</v>
      </c>
      <c r="E882" s="4" t="str">
        <f>CONCATENATE(Tabela1[[#This Row],[CIDADE]],",",Tabela1[[#This Row],[UF]])</f>
        <v>Brasília,DF</v>
      </c>
      <c r="F882" s="2">
        <v>45764</v>
      </c>
      <c r="G882" s="17">
        <v>1042</v>
      </c>
      <c r="H882" s="17">
        <v>1680</v>
      </c>
      <c r="I882" s="6">
        <f>Tabela1[[#This Row],[Valor total]]-Tabela1[[#This Row],[Valor custo]]</f>
        <v>638</v>
      </c>
      <c r="J882" s="7">
        <f>Tabela1[[#This Row],[MARGEM BRUTA]]/Tabela1[[#This Row],[Valor total]]</f>
        <v>0.37976190476190474</v>
      </c>
      <c r="K882" s="1" t="str">
        <f>VLOOKUP(Tabela1[[#This Row],[Cliente]],'BASE DE CLIENTES'!A:D,4,0)</f>
        <v>EMPRESA COM MAQUINA</v>
      </c>
      <c r="L882" s="1" t="str">
        <f>VLOOKUP(Tabela1[[#This Row],[Cliente]],'BASE DE CLIENTES'!A:E,5,0)</f>
        <v>ADE CEILÂNDIA</v>
      </c>
    </row>
    <row r="883" spans="2:12" x14ac:dyDescent="0.3">
      <c r="B883" s="1" t="s">
        <v>152</v>
      </c>
      <c r="C883" s="4" t="str">
        <f>VLOOKUP(Tabela1[[#This Row],[Cliente]],'BASE DE CLIENTES'!A:E,2,0)</f>
        <v>Aparecida de Goiânia</v>
      </c>
      <c r="D883" s="1" t="str">
        <f>VLOOKUP(Tabela1[[#This Row],[Cliente]],'BASE DE CLIENTES'!A:C,3,0)</f>
        <v>GO</v>
      </c>
      <c r="E883" s="4" t="str">
        <f>CONCATENATE(Tabela1[[#This Row],[CIDADE]],",",Tabela1[[#This Row],[UF]])</f>
        <v>Aparecida de Goiânia,GO</v>
      </c>
      <c r="F883" s="2">
        <v>45843</v>
      </c>
      <c r="G883" s="17">
        <v>497</v>
      </c>
      <c r="H883" s="17">
        <v>750</v>
      </c>
      <c r="I883" s="6">
        <f>Tabela1[[#This Row],[Valor total]]-Tabela1[[#This Row],[Valor custo]]</f>
        <v>253</v>
      </c>
      <c r="J883" s="7">
        <f>Tabela1[[#This Row],[MARGEM BRUTA]]/Tabela1[[#This Row],[Valor total]]</f>
        <v>0.33733333333333332</v>
      </c>
      <c r="K883" s="1" t="str">
        <f>VLOOKUP(Tabela1[[#This Row],[Cliente]],'BASE DE CLIENTES'!A:D,4,0)</f>
        <v>TECNICO</v>
      </c>
      <c r="L883" s="1" t="str">
        <f>VLOOKUP(Tabela1[[#This Row],[Cliente]],'BASE DE CLIENTES'!A:E,5,0)</f>
        <v>Aparecida de Goiânia</v>
      </c>
    </row>
    <row r="884" spans="2:12" x14ac:dyDescent="0.3">
      <c r="B884" s="1" t="s">
        <v>165</v>
      </c>
      <c r="C884" s="4" t="str">
        <f>VLOOKUP(Tabela1[[#This Row],[Cliente]],'BASE DE CLIENTES'!A:E,2,0)</f>
        <v>Brasília</v>
      </c>
      <c r="D884" s="1" t="str">
        <f>VLOOKUP(Tabela1[[#This Row],[Cliente]],'BASE DE CLIENTES'!A:C,3,0)</f>
        <v>DF</v>
      </c>
      <c r="E884" s="4" t="str">
        <f>CONCATENATE(Tabela1[[#This Row],[CIDADE]],",",Tabela1[[#This Row],[UF]])</f>
        <v>Brasília,DF</v>
      </c>
      <c r="F884" s="2">
        <v>45764</v>
      </c>
      <c r="G884" s="17">
        <v>2822</v>
      </c>
      <c r="H884" s="17">
        <v>4500</v>
      </c>
      <c r="I884" s="6">
        <f>Tabela1[[#This Row],[Valor total]]-Tabela1[[#This Row],[Valor custo]]</f>
        <v>1678</v>
      </c>
      <c r="J884" s="7">
        <f>Tabela1[[#This Row],[MARGEM BRUTA]]/Tabela1[[#This Row],[Valor total]]</f>
        <v>0.37288888888888888</v>
      </c>
      <c r="K884" s="1" t="str">
        <f>VLOOKUP(Tabela1[[#This Row],[Cliente]],'BASE DE CLIENTES'!A:D,4,0)</f>
        <v>EMPRESA SEM MAQUINA</v>
      </c>
      <c r="L884" s="1" t="str">
        <f>VLOOKUP(Tabela1[[#This Row],[Cliente]],'BASE DE CLIENTES'!A:E,5,0)</f>
        <v>SETOR HABITACIONAL VICENTE PIRES</v>
      </c>
    </row>
    <row r="885" spans="2:12" x14ac:dyDescent="0.3">
      <c r="B885" s="1" t="s">
        <v>70</v>
      </c>
      <c r="C885" s="4" t="str">
        <f>VLOOKUP(Tabela1[[#This Row],[Cliente]],'BASE DE CLIENTES'!A:E,2,0)</f>
        <v>Brasília</v>
      </c>
      <c r="D885" s="1" t="str">
        <f>VLOOKUP(Tabela1[[#This Row],[Cliente]],'BASE DE CLIENTES'!A:C,3,0)</f>
        <v>DF</v>
      </c>
      <c r="E885" s="4" t="str">
        <f>CONCATENATE(Tabela1[[#This Row],[CIDADE]],",",Tabela1[[#This Row],[UF]])</f>
        <v>Brasília,DF</v>
      </c>
      <c r="F885" s="2">
        <v>45763</v>
      </c>
      <c r="G885" s="17">
        <v>2334</v>
      </c>
      <c r="H885" s="17">
        <v>3540</v>
      </c>
      <c r="I885" s="6">
        <f>Tabela1[[#This Row],[Valor total]]-Tabela1[[#This Row],[Valor custo]]</f>
        <v>1206</v>
      </c>
      <c r="J885" s="7">
        <f>Tabela1[[#This Row],[MARGEM BRUTA]]/Tabela1[[#This Row],[Valor total]]</f>
        <v>0.34067796610169493</v>
      </c>
      <c r="K885" s="1" t="str">
        <f>VLOOKUP(Tabela1[[#This Row],[Cliente]],'BASE DE CLIENTES'!A:D,4,0)</f>
        <v>EMPRESA COM MAQUINA</v>
      </c>
      <c r="L885" s="1" t="str">
        <f>VLOOKUP(Tabela1[[#This Row],[Cliente]],'BASE DE CLIENTES'!A:E,5,0)</f>
        <v>TAGUATINGA NORTE (TAGUATINGA)</v>
      </c>
    </row>
    <row r="886" spans="2:12" x14ac:dyDescent="0.3">
      <c r="B886" s="1" t="s">
        <v>68</v>
      </c>
      <c r="C886" s="4" t="str">
        <f>VLOOKUP(Tabela1[[#This Row],[Cliente]],'BASE DE CLIENTES'!A:E,2,0)</f>
        <v>Brasília</v>
      </c>
      <c r="D886" s="1" t="str">
        <f>VLOOKUP(Tabela1[[#This Row],[Cliente]],'BASE DE CLIENTES'!A:C,3,0)</f>
        <v>DF</v>
      </c>
      <c r="E886" s="4" t="str">
        <f>CONCATENATE(Tabela1[[#This Row],[CIDADE]],",",Tabela1[[#This Row],[UF]])</f>
        <v>Brasília,DF</v>
      </c>
      <c r="F886" s="2">
        <v>45763</v>
      </c>
      <c r="G886" s="17">
        <v>473</v>
      </c>
      <c r="H886" s="17">
        <v>690</v>
      </c>
      <c r="I886" s="6">
        <f>Tabela1[[#This Row],[Valor total]]-Tabela1[[#This Row],[Valor custo]]</f>
        <v>217</v>
      </c>
      <c r="J886" s="7">
        <f>Tabela1[[#This Row],[MARGEM BRUTA]]/Tabela1[[#This Row],[Valor total]]</f>
        <v>0.3144927536231884</v>
      </c>
      <c r="K886" s="1" t="str">
        <f>VLOOKUP(Tabela1[[#This Row],[Cliente]],'BASE DE CLIENTES'!A:D,4,0)</f>
        <v>EMPRESA COM MAQUINA</v>
      </c>
      <c r="L886" s="1" t="str">
        <f>VLOOKUP(Tabela1[[#This Row],[Cliente]],'BASE DE CLIENTES'!A:E,5,0)</f>
        <v>SAMAMBAIA SUL (SAMAMBAIA)</v>
      </c>
    </row>
    <row r="887" spans="2:12" x14ac:dyDescent="0.3">
      <c r="B887" s="1" t="s">
        <v>97</v>
      </c>
      <c r="C887" s="4" t="str">
        <f>VLOOKUP(Tabela1[[#This Row],[Cliente]],'BASE DE CLIENTES'!A:E,2,0)</f>
        <v>Brasília</v>
      </c>
      <c r="D887" s="1" t="str">
        <f>VLOOKUP(Tabela1[[#This Row],[Cliente]],'BASE DE CLIENTES'!A:C,3,0)</f>
        <v>DF</v>
      </c>
      <c r="E887" s="4" t="str">
        <f>CONCATENATE(Tabela1[[#This Row],[CIDADE]],",",Tabela1[[#This Row],[UF]])</f>
        <v>Brasília,DF</v>
      </c>
      <c r="F887" s="2">
        <v>45763</v>
      </c>
      <c r="G887" s="17">
        <v>73.14</v>
      </c>
      <c r="H887" s="17">
        <v>99</v>
      </c>
      <c r="I887" s="6">
        <f>Tabela1[[#This Row],[Valor total]]-Tabela1[[#This Row],[Valor custo]]</f>
        <v>25.86</v>
      </c>
      <c r="J887" s="7">
        <f>Tabela1[[#This Row],[MARGEM BRUTA]]/Tabela1[[#This Row],[Valor total]]</f>
        <v>0.26121212121212123</v>
      </c>
      <c r="K887" s="1" t="str">
        <f>VLOOKUP(Tabela1[[#This Row],[Cliente]],'BASE DE CLIENTES'!A:D,4,0)</f>
        <v>SERRALHEIRO</v>
      </c>
      <c r="L887" s="1" t="str">
        <f>VLOOKUP(Tabela1[[#This Row],[Cliente]],'BASE DE CLIENTES'!A:E,5,0)</f>
        <v>CEILANDIA NORTE</v>
      </c>
    </row>
    <row r="888" spans="2:12" x14ac:dyDescent="0.3">
      <c r="B888" s="1" t="s">
        <v>152</v>
      </c>
      <c r="C888" s="4" t="str">
        <f>VLOOKUP(Tabela1[[#This Row],[Cliente]],'BASE DE CLIENTES'!A:E,2,0)</f>
        <v>Aparecida de Goiânia</v>
      </c>
      <c r="D888" s="1" t="str">
        <f>VLOOKUP(Tabela1[[#This Row],[Cliente]],'BASE DE CLIENTES'!A:C,3,0)</f>
        <v>GO</v>
      </c>
      <c r="E888" s="4" t="str">
        <f>CONCATENATE(Tabela1[[#This Row],[CIDADE]],",",Tabela1[[#This Row],[UF]])</f>
        <v>Aparecida de Goiânia,GO</v>
      </c>
      <c r="F888" s="2">
        <v>45834</v>
      </c>
      <c r="G888" s="17">
        <v>946</v>
      </c>
      <c r="H888" s="17">
        <v>1440</v>
      </c>
      <c r="I888" s="6">
        <f>Tabela1[[#This Row],[Valor total]]-Tabela1[[#This Row],[Valor custo]]</f>
        <v>494</v>
      </c>
      <c r="J888" s="7">
        <f>Tabela1[[#This Row],[MARGEM BRUTA]]/Tabela1[[#This Row],[Valor total]]</f>
        <v>0.34305555555555556</v>
      </c>
      <c r="K888" s="1" t="str">
        <f>VLOOKUP(Tabela1[[#This Row],[Cliente]],'BASE DE CLIENTES'!A:D,4,0)</f>
        <v>TECNICO</v>
      </c>
      <c r="L888" s="1" t="str">
        <f>VLOOKUP(Tabela1[[#This Row],[Cliente]],'BASE DE CLIENTES'!A:E,5,0)</f>
        <v>Aparecida de Goiânia</v>
      </c>
    </row>
    <row r="889" spans="2:12" x14ac:dyDescent="0.3">
      <c r="B889" s="1" t="s">
        <v>152</v>
      </c>
      <c r="C889" s="4" t="str">
        <f>VLOOKUP(Tabela1[[#This Row],[Cliente]],'BASE DE CLIENTES'!A:E,2,0)</f>
        <v>Aparecida de Goiânia</v>
      </c>
      <c r="D889" s="1" t="str">
        <f>VLOOKUP(Tabela1[[#This Row],[Cliente]],'BASE DE CLIENTES'!A:C,3,0)</f>
        <v>GO</v>
      </c>
      <c r="E889" s="4" t="str">
        <f>CONCATENATE(Tabela1[[#This Row],[CIDADE]],",",Tabela1[[#This Row],[UF]])</f>
        <v>Aparecida de Goiânia,GO</v>
      </c>
      <c r="F889" s="2">
        <v>45810</v>
      </c>
      <c r="G889" s="17">
        <v>946</v>
      </c>
      <c r="H889" s="17">
        <v>1440</v>
      </c>
      <c r="I889" s="6">
        <f>Tabela1[[#This Row],[Valor total]]-Tabela1[[#This Row],[Valor custo]]</f>
        <v>494</v>
      </c>
      <c r="J889" s="7">
        <f>Tabela1[[#This Row],[MARGEM BRUTA]]/Tabela1[[#This Row],[Valor total]]</f>
        <v>0.34305555555555556</v>
      </c>
      <c r="K889" s="1" t="str">
        <f>VLOOKUP(Tabela1[[#This Row],[Cliente]],'BASE DE CLIENTES'!A:D,4,0)</f>
        <v>TECNICO</v>
      </c>
      <c r="L889" s="1" t="str">
        <f>VLOOKUP(Tabela1[[#This Row],[Cliente]],'BASE DE CLIENTES'!A:E,5,0)</f>
        <v>Aparecida de Goiânia</v>
      </c>
    </row>
    <row r="890" spans="2:12" x14ac:dyDescent="0.3">
      <c r="B890" s="1" t="s">
        <v>55</v>
      </c>
      <c r="C890" s="4" t="str">
        <f>VLOOKUP(Tabela1[[#This Row],[Cliente]],'BASE DE CLIENTES'!A:E,2,0)</f>
        <v>Brasília</v>
      </c>
      <c r="D890" s="1" t="str">
        <f>VLOOKUP(Tabela1[[#This Row],[Cliente]],'BASE DE CLIENTES'!A:C,3,0)</f>
        <v>DF</v>
      </c>
      <c r="E890" s="4" t="str">
        <f>CONCATENATE(Tabela1[[#This Row],[CIDADE]],",",Tabela1[[#This Row],[UF]])</f>
        <v>Brasília,DF</v>
      </c>
      <c r="F890" s="2">
        <v>45763</v>
      </c>
      <c r="G890" s="17">
        <v>47.25</v>
      </c>
      <c r="H890" s="17">
        <v>195</v>
      </c>
      <c r="I890" s="6">
        <f>Tabela1[[#This Row],[Valor total]]-Tabela1[[#This Row],[Valor custo]]</f>
        <v>147.75</v>
      </c>
      <c r="J890" s="7">
        <f>Tabela1[[#This Row],[MARGEM BRUTA]]/Tabela1[[#This Row],[Valor total]]</f>
        <v>0.75769230769230766</v>
      </c>
      <c r="K890" s="1" t="str">
        <f>VLOOKUP(Tabela1[[#This Row],[Cliente]],'BASE DE CLIENTES'!A:D,4,0)</f>
        <v>EMPRESA SEM MAQUINA</v>
      </c>
      <c r="L890" s="1" t="str">
        <f>VLOOKUP(Tabela1[[#This Row],[Cliente]],'BASE DE CLIENTES'!A:E,5,0)</f>
        <v>RECANTO DAS EMAS</v>
      </c>
    </row>
    <row r="891" spans="2:12" x14ac:dyDescent="0.3">
      <c r="B891" s="1" t="s">
        <v>152</v>
      </c>
      <c r="C891" s="4" t="str">
        <f>VLOOKUP(Tabela1[[#This Row],[Cliente]],'BASE DE CLIENTES'!A:E,2,0)</f>
        <v>Aparecida de Goiânia</v>
      </c>
      <c r="D891" s="1" t="str">
        <f>VLOOKUP(Tabela1[[#This Row],[Cliente]],'BASE DE CLIENTES'!A:C,3,0)</f>
        <v>GO</v>
      </c>
      <c r="E891" s="4" t="str">
        <f>CONCATENATE(Tabela1[[#This Row],[CIDADE]],",",Tabela1[[#This Row],[UF]])</f>
        <v>Aparecida de Goiânia,GO</v>
      </c>
      <c r="F891" s="2">
        <v>45770</v>
      </c>
      <c r="G891" s="17">
        <v>147.63</v>
      </c>
      <c r="H891" s="17">
        <v>225</v>
      </c>
      <c r="I891" s="6">
        <f>Tabela1[[#This Row],[Valor total]]-Tabela1[[#This Row],[Valor custo]]</f>
        <v>77.37</v>
      </c>
      <c r="J891" s="7">
        <f>Tabela1[[#This Row],[MARGEM BRUTA]]/Tabela1[[#This Row],[Valor total]]</f>
        <v>0.34386666666666671</v>
      </c>
      <c r="K891" s="1" t="str">
        <f>VLOOKUP(Tabela1[[#This Row],[Cliente]],'BASE DE CLIENTES'!A:D,4,0)</f>
        <v>TECNICO</v>
      </c>
      <c r="L891" s="1" t="str">
        <f>VLOOKUP(Tabela1[[#This Row],[Cliente]],'BASE DE CLIENTES'!A:E,5,0)</f>
        <v>Aparecida de Goiânia</v>
      </c>
    </row>
    <row r="892" spans="2:12" x14ac:dyDescent="0.3">
      <c r="B892" s="1" t="s">
        <v>27</v>
      </c>
      <c r="C892" s="4" t="str">
        <f>VLOOKUP(Tabela1[[#This Row],[Cliente]],'BASE DE CLIENTES'!A:E,2,0)</f>
        <v>Brasília</v>
      </c>
      <c r="D892" s="1" t="str">
        <f>VLOOKUP(Tabela1[[#This Row],[Cliente]],'BASE DE CLIENTES'!A:C,3,0)</f>
        <v>DF</v>
      </c>
      <c r="E892" s="4" t="str">
        <f>CONCATENATE(Tabela1[[#This Row],[CIDADE]],",",Tabela1[[#This Row],[UF]])</f>
        <v>Brasília,DF</v>
      </c>
      <c r="F892" s="2">
        <v>45763</v>
      </c>
      <c r="G892" s="17">
        <v>894</v>
      </c>
      <c r="H892" s="17">
        <v>1230</v>
      </c>
      <c r="I892" s="6">
        <f>Tabela1[[#This Row],[Valor total]]-Tabela1[[#This Row],[Valor custo]]</f>
        <v>336</v>
      </c>
      <c r="J892" s="7">
        <f>Tabela1[[#This Row],[MARGEM BRUTA]]/Tabela1[[#This Row],[Valor total]]</f>
        <v>0.27317073170731709</v>
      </c>
      <c r="K892" s="1" t="str">
        <f>VLOOKUP(Tabela1[[#This Row],[Cliente]],'BASE DE CLIENTES'!A:D,4,0)</f>
        <v>EMPRESA SEM MAQUINA</v>
      </c>
      <c r="L892" s="1" t="str">
        <f>VLOOKUP(Tabela1[[#This Row],[Cliente]],'BASE DE CLIENTES'!A:E,5,0)</f>
        <v>RECANTO DAS EMAS</v>
      </c>
    </row>
    <row r="893" spans="2:12" x14ac:dyDescent="0.3">
      <c r="B893" s="1" t="s">
        <v>68</v>
      </c>
      <c r="C893" s="4" t="str">
        <f>VLOOKUP(Tabela1[[#This Row],[Cliente]],'BASE DE CLIENTES'!A:E,2,0)</f>
        <v>Brasília</v>
      </c>
      <c r="D893" s="1" t="str">
        <f>VLOOKUP(Tabela1[[#This Row],[Cliente]],'BASE DE CLIENTES'!A:C,3,0)</f>
        <v>DF</v>
      </c>
      <c r="E893" s="4" t="str">
        <f>CONCATENATE(Tabela1[[#This Row],[CIDADE]],",",Tabela1[[#This Row],[UF]])</f>
        <v>Brasília,DF</v>
      </c>
      <c r="F893" s="2">
        <v>45763</v>
      </c>
      <c r="G893" s="17">
        <v>184.38</v>
      </c>
      <c r="H893" s="17">
        <v>225</v>
      </c>
      <c r="I893" s="6">
        <f>Tabela1[[#This Row],[Valor total]]-Tabela1[[#This Row],[Valor custo]]</f>
        <v>40.620000000000005</v>
      </c>
      <c r="J893" s="7">
        <f>Tabela1[[#This Row],[MARGEM BRUTA]]/Tabela1[[#This Row],[Valor total]]</f>
        <v>0.18053333333333335</v>
      </c>
      <c r="K893" s="1" t="str">
        <f>VLOOKUP(Tabela1[[#This Row],[Cliente]],'BASE DE CLIENTES'!A:D,4,0)</f>
        <v>EMPRESA COM MAQUINA</v>
      </c>
      <c r="L893" s="1" t="str">
        <f>VLOOKUP(Tabela1[[#This Row],[Cliente]],'BASE DE CLIENTES'!A:E,5,0)</f>
        <v>SAMAMBAIA SUL (SAMAMBAIA)</v>
      </c>
    </row>
    <row r="894" spans="2:12" x14ac:dyDescent="0.3">
      <c r="B894" s="1" t="s">
        <v>152</v>
      </c>
      <c r="C894" s="4" t="str">
        <f>VLOOKUP(Tabela1[[#This Row],[Cliente]],'BASE DE CLIENTES'!A:E,2,0)</f>
        <v>Aparecida de Goiânia</v>
      </c>
      <c r="D894" s="1" t="str">
        <f>VLOOKUP(Tabela1[[#This Row],[Cliente]],'BASE DE CLIENTES'!A:C,3,0)</f>
        <v>GO</v>
      </c>
      <c r="E894" s="4" t="str">
        <f>CONCATENATE(Tabela1[[#This Row],[CIDADE]],",",Tabela1[[#This Row],[UF]])</f>
        <v>Aparecida de Goiânia,GO</v>
      </c>
      <c r="F894" s="2">
        <v>45748</v>
      </c>
      <c r="G894" s="17">
        <v>1656</v>
      </c>
      <c r="H894" s="17">
        <v>2530</v>
      </c>
      <c r="I894" s="6">
        <f>Tabela1[[#This Row],[Valor total]]-Tabela1[[#This Row],[Valor custo]]</f>
        <v>874</v>
      </c>
      <c r="J894" s="7">
        <f>Tabela1[[#This Row],[MARGEM BRUTA]]/Tabela1[[#This Row],[Valor total]]</f>
        <v>0.34545454545454546</v>
      </c>
      <c r="K894" s="1" t="str">
        <f>VLOOKUP(Tabela1[[#This Row],[Cliente]],'BASE DE CLIENTES'!A:D,4,0)</f>
        <v>TECNICO</v>
      </c>
      <c r="L894" s="1" t="str">
        <f>VLOOKUP(Tabela1[[#This Row],[Cliente]],'BASE DE CLIENTES'!A:E,5,0)</f>
        <v>Aparecida de Goiânia</v>
      </c>
    </row>
    <row r="895" spans="2:12" x14ac:dyDescent="0.3">
      <c r="B895" s="1" t="s">
        <v>88</v>
      </c>
      <c r="C895" s="4" t="str">
        <f>VLOOKUP(Tabela1[[#This Row],[Cliente]],'BASE DE CLIENTES'!A:E,2,0)</f>
        <v>Brasília</v>
      </c>
      <c r="D895" s="1" t="str">
        <f>VLOOKUP(Tabela1[[#This Row],[Cliente]],'BASE DE CLIENTES'!A:C,3,0)</f>
        <v>DF</v>
      </c>
      <c r="E895" s="4" t="str">
        <f>CONCATENATE(Tabela1[[#This Row],[CIDADE]],",",Tabela1[[#This Row],[UF]])</f>
        <v>Brasília,DF</v>
      </c>
      <c r="F895" s="2">
        <v>45763</v>
      </c>
      <c r="G895" s="17">
        <v>447</v>
      </c>
      <c r="H895" s="17">
        <v>735</v>
      </c>
      <c r="I895" s="6">
        <f>Tabela1[[#This Row],[Valor total]]-Tabela1[[#This Row],[Valor custo]]</f>
        <v>288</v>
      </c>
      <c r="J895" s="7">
        <f>Tabela1[[#This Row],[MARGEM BRUTA]]/Tabela1[[#This Row],[Valor total]]</f>
        <v>0.39183673469387753</v>
      </c>
      <c r="K895" s="1" t="str">
        <f>VLOOKUP(Tabela1[[#This Row],[Cliente]],'BASE DE CLIENTES'!A:D,4,0)</f>
        <v>SERRALHEIRO</v>
      </c>
      <c r="L895" s="1" t="str">
        <f>VLOOKUP(Tabela1[[#This Row],[Cliente]],'BASE DE CLIENTES'!A:E,5,0)</f>
        <v>RECANTO DAS EMAS</v>
      </c>
    </row>
    <row r="896" spans="2:12" x14ac:dyDescent="0.3">
      <c r="B896" s="1" t="s">
        <v>55</v>
      </c>
      <c r="C896" s="4" t="str">
        <f>VLOOKUP(Tabela1[[#This Row],[Cliente]],'BASE DE CLIENTES'!A:E,2,0)</f>
        <v>Brasília</v>
      </c>
      <c r="D896" s="1" t="str">
        <f>VLOOKUP(Tabela1[[#This Row],[Cliente]],'BASE DE CLIENTES'!A:C,3,0)</f>
        <v>DF</v>
      </c>
      <c r="E896" s="4" t="str">
        <f>CONCATENATE(Tabela1[[#This Row],[CIDADE]],",",Tabela1[[#This Row],[UF]])</f>
        <v>Brasília,DF</v>
      </c>
      <c r="F896" s="2">
        <v>45762</v>
      </c>
      <c r="G896" s="17">
        <v>1254</v>
      </c>
      <c r="H896" s="17">
        <v>2335</v>
      </c>
      <c r="I896" s="6">
        <f>Tabela1[[#This Row],[Valor total]]-Tabela1[[#This Row],[Valor custo]]</f>
        <v>1081</v>
      </c>
      <c r="J896" s="7">
        <f>Tabela1[[#This Row],[MARGEM BRUTA]]/Tabela1[[#This Row],[Valor total]]</f>
        <v>0.46295503211991434</v>
      </c>
      <c r="K896" s="1" t="str">
        <f>VLOOKUP(Tabela1[[#This Row],[Cliente]],'BASE DE CLIENTES'!A:D,4,0)</f>
        <v>EMPRESA SEM MAQUINA</v>
      </c>
      <c r="L896" s="1" t="str">
        <f>VLOOKUP(Tabela1[[#This Row],[Cliente]],'BASE DE CLIENTES'!A:E,5,0)</f>
        <v>RECANTO DAS EMAS</v>
      </c>
    </row>
    <row r="897" spans="2:12" x14ac:dyDescent="0.3">
      <c r="B897" s="1" t="s">
        <v>152</v>
      </c>
      <c r="C897" s="4" t="str">
        <f>VLOOKUP(Tabela1[[#This Row],[Cliente]],'BASE DE CLIENTES'!A:E,2,0)</f>
        <v>Aparecida de Goiânia</v>
      </c>
      <c r="D897" s="1" t="str">
        <f>VLOOKUP(Tabela1[[#This Row],[Cliente]],'BASE DE CLIENTES'!A:C,3,0)</f>
        <v>GO</v>
      </c>
      <c r="E897" s="4" t="str">
        <f>CONCATENATE(Tabela1[[#This Row],[CIDADE]],",",Tabela1[[#This Row],[UF]])</f>
        <v>Aparecida de Goiânia,GO</v>
      </c>
      <c r="F897" s="2">
        <v>45891</v>
      </c>
      <c r="G897" s="17">
        <v>2410</v>
      </c>
      <c r="H897" s="17">
        <v>3700</v>
      </c>
      <c r="I897" s="6">
        <f>Tabela1[[#This Row],[Valor total]]-Tabela1[[#This Row],[Valor custo]]</f>
        <v>1290</v>
      </c>
      <c r="J897" s="7">
        <f>Tabela1[[#This Row],[MARGEM BRUTA]]/Tabela1[[#This Row],[Valor total]]</f>
        <v>0.34864864864864864</v>
      </c>
      <c r="K897" s="1" t="str">
        <f>VLOOKUP(Tabela1[[#This Row],[Cliente]],'BASE DE CLIENTES'!A:D,4,0)</f>
        <v>TECNICO</v>
      </c>
      <c r="L897" s="1" t="str">
        <f>VLOOKUP(Tabela1[[#This Row],[Cliente]],'BASE DE CLIENTES'!A:E,5,0)</f>
        <v>Aparecida de Goiânia</v>
      </c>
    </row>
    <row r="898" spans="2:12" x14ac:dyDescent="0.3">
      <c r="B898" s="1" t="s">
        <v>152</v>
      </c>
      <c r="C898" s="4" t="str">
        <f>VLOOKUP(Tabela1[[#This Row],[Cliente]],'BASE DE CLIENTES'!A:E,2,0)</f>
        <v>Aparecida de Goiânia</v>
      </c>
      <c r="D898" s="1" t="str">
        <f>VLOOKUP(Tabela1[[#This Row],[Cliente]],'BASE DE CLIENTES'!A:C,3,0)</f>
        <v>GO</v>
      </c>
      <c r="E898" s="4" t="str">
        <f>CONCATENATE(Tabela1[[#This Row],[CIDADE]],",",Tabela1[[#This Row],[UF]])</f>
        <v>Aparecida de Goiânia,GO</v>
      </c>
      <c r="F898" s="2">
        <v>45775</v>
      </c>
      <c r="G898" s="17">
        <v>126</v>
      </c>
      <c r="H898" s="17">
        <v>195</v>
      </c>
      <c r="I898" s="6">
        <f>Tabela1[[#This Row],[Valor total]]-Tabela1[[#This Row],[Valor custo]]</f>
        <v>69</v>
      </c>
      <c r="J898" s="7">
        <f>Tabela1[[#This Row],[MARGEM BRUTA]]/Tabela1[[#This Row],[Valor total]]</f>
        <v>0.35384615384615387</v>
      </c>
      <c r="K898" s="1" t="str">
        <f>VLOOKUP(Tabela1[[#This Row],[Cliente]],'BASE DE CLIENTES'!A:D,4,0)</f>
        <v>TECNICO</v>
      </c>
      <c r="L898" s="1" t="str">
        <f>VLOOKUP(Tabela1[[#This Row],[Cliente]],'BASE DE CLIENTES'!A:E,5,0)</f>
        <v>Aparecida de Goiânia</v>
      </c>
    </row>
    <row r="899" spans="2:12" x14ac:dyDescent="0.3">
      <c r="B899" s="1" t="s">
        <v>27</v>
      </c>
      <c r="C899" s="4" t="str">
        <f>VLOOKUP(Tabela1[[#This Row],[Cliente]],'BASE DE CLIENTES'!A:E,2,0)</f>
        <v>Brasília</v>
      </c>
      <c r="D899" s="1" t="str">
        <f>VLOOKUP(Tabela1[[#This Row],[Cliente]],'BASE DE CLIENTES'!A:C,3,0)</f>
        <v>DF</v>
      </c>
      <c r="E899" s="4" t="str">
        <f>CONCATENATE(Tabela1[[#This Row],[CIDADE]],",",Tabela1[[#This Row],[UF]])</f>
        <v>Brasília,DF</v>
      </c>
      <c r="F899" s="2">
        <v>45762</v>
      </c>
      <c r="G899" s="17">
        <v>1172</v>
      </c>
      <c r="H899" s="17">
        <v>2145</v>
      </c>
      <c r="I899" s="6">
        <f>Tabela1[[#This Row],[Valor total]]-Tabela1[[#This Row],[Valor custo]]</f>
        <v>973</v>
      </c>
      <c r="J899" s="7">
        <f>Tabela1[[#This Row],[MARGEM BRUTA]]/Tabela1[[#This Row],[Valor total]]</f>
        <v>0.4536130536130536</v>
      </c>
      <c r="K899" s="1" t="str">
        <f>VLOOKUP(Tabela1[[#This Row],[Cliente]],'BASE DE CLIENTES'!A:D,4,0)</f>
        <v>EMPRESA SEM MAQUINA</v>
      </c>
      <c r="L899" s="1" t="str">
        <f>VLOOKUP(Tabela1[[#This Row],[Cliente]],'BASE DE CLIENTES'!A:E,5,0)</f>
        <v>RECANTO DAS EMAS</v>
      </c>
    </row>
    <row r="900" spans="2:12" x14ac:dyDescent="0.3">
      <c r="B900" s="1" t="s">
        <v>152</v>
      </c>
      <c r="C900" s="4" t="str">
        <f>VLOOKUP(Tabela1[[#This Row],[Cliente]],'BASE DE CLIENTES'!A:E,2,0)</f>
        <v>Aparecida de Goiânia</v>
      </c>
      <c r="D900" s="1" t="str">
        <f>VLOOKUP(Tabela1[[#This Row],[Cliente]],'BASE DE CLIENTES'!A:C,3,0)</f>
        <v>GO</v>
      </c>
      <c r="E900" s="4" t="str">
        <f>CONCATENATE(Tabela1[[#This Row],[CIDADE]],",",Tabela1[[#This Row],[UF]])</f>
        <v>Aparecida de Goiânia,GO</v>
      </c>
      <c r="F900" s="2">
        <v>45693</v>
      </c>
      <c r="G900" s="17">
        <v>1690.77</v>
      </c>
      <c r="H900" s="17">
        <v>2625</v>
      </c>
      <c r="I900" s="6">
        <f>Tabela1[[#This Row],[Valor total]]-Tabela1[[#This Row],[Valor custo]]</f>
        <v>934.23</v>
      </c>
      <c r="J900" s="7">
        <f>Tabela1[[#This Row],[MARGEM BRUTA]]/Tabela1[[#This Row],[Valor total]]</f>
        <v>0.35589714285714286</v>
      </c>
      <c r="K900" s="1" t="str">
        <f>VLOOKUP(Tabela1[[#This Row],[Cliente]],'BASE DE CLIENTES'!A:D,4,0)</f>
        <v>TECNICO</v>
      </c>
      <c r="L900" s="1" t="str">
        <f>VLOOKUP(Tabela1[[#This Row],[Cliente]],'BASE DE CLIENTES'!A:E,5,0)</f>
        <v>Aparecida de Goiânia</v>
      </c>
    </row>
    <row r="901" spans="2:12" x14ac:dyDescent="0.3">
      <c r="B901" s="1" t="s">
        <v>152</v>
      </c>
      <c r="C901" s="4" t="str">
        <f>VLOOKUP(Tabela1[[#This Row],[Cliente]],'BASE DE CLIENTES'!A:E,2,0)</f>
        <v>Aparecida de Goiânia</v>
      </c>
      <c r="D901" s="1" t="str">
        <f>VLOOKUP(Tabela1[[#This Row],[Cliente]],'BASE DE CLIENTES'!A:C,3,0)</f>
        <v>GO</v>
      </c>
      <c r="E901" s="4" t="str">
        <f>CONCATENATE(Tabela1[[#This Row],[CIDADE]],",",Tabela1[[#This Row],[UF]])</f>
        <v>Aparecida de Goiânia,GO</v>
      </c>
      <c r="F901" s="2">
        <v>45896</v>
      </c>
      <c r="G901" s="17">
        <v>837.3</v>
      </c>
      <c r="H901" s="17">
        <v>1300</v>
      </c>
      <c r="I901" s="6">
        <f>Tabela1[[#This Row],[Valor total]]-Tabela1[[#This Row],[Valor custo]]</f>
        <v>462.70000000000005</v>
      </c>
      <c r="J901" s="7">
        <f>Tabela1[[#This Row],[MARGEM BRUTA]]/Tabela1[[#This Row],[Valor total]]</f>
        <v>0.35592307692307695</v>
      </c>
      <c r="K901" s="1" t="str">
        <f>VLOOKUP(Tabela1[[#This Row],[Cliente]],'BASE DE CLIENTES'!A:D,4,0)</f>
        <v>TECNICO</v>
      </c>
      <c r="L901" s="1" t="str">
        <f>VLOOKUP(Tabela1[[#This Row],[Cliente]],'BASE DE CLIENTES'!A:E,5,0)</f>
        <v>Aparecida de Goiânia</v>
      </c>
    </row>
    <row r="902" spans="2:12" x14ac:dyDescent="0.3">
      <c r="B902" s="1" t="s">
        <v>161</v>
      </c>
      <c r="C902" s="4" t="str">
        <f>VLOOKUP(Tabela1[[#This Row],[Cliente]],'BASE DE CLIENTES'!A:E,2,0)</f>
        <v>Brasília</v>
      </c>
      <c r="D902" s="1" t="str">
        <f>VLOOKUP(Tabela1[[#This Row],[Cliente]],'BASE DE CLIENTES'!A:C,3,0)</f>
        <v>DF</v>
      </c>
      <c r="E902" s="4" t="str">
        <f>CONCATENATE(Tabela1[[#This Row],[CIDADE]],",",Tabela1[[#This Row],[UF]])</f>
        <v>Brasília,DF</v>
      </c>
      <c r="F902" s="2">
        <v>45762</v>
      </c>
      <c r="G902" s="17">
        <v>4423.7</v>
      </c>
      <c r="H902" s="17">
        <v>6240</v>
      </c>
      <c r="I902" s="6">
        <f>Tabela1[[#This Row],[Valor total]]-Tabela1[[#This Row],[Valor custo]]</f>
        <v>1816.3000000000002</v>
      </c>
      <c r="J902" s="7">
        <f>Tabela1[[#This Row],[MARGEM BRUTA]]/Tabela1[[#This Row],[Valor total]]</f>
        <v>0.291073717948718</v>
      </c>
      <c r="K902" s="1" t="str">
        <f>VLOOKUP(Tabela1[[#This Row],[Cliente]],'BASE DE CLIENTES'!A:D,4,0)</f>
        <v>EMPRESA COM MAQUINA</v>
      </c>
      <c r="L902" s="1" t="str">
        <f>VLOOKUP(Tabela1[[#This Row],[Cliente]],'BASE DE CLIENTES'!A:E,5,0)</f>
        <v>RIACHO FUNDO II</v>
      </c>
    </row>
    <row r="903" spans="2:12" x14ac:dyDescent="0.3">
      <c r="B903" s="1" t="s">
        <v>76</v>
      </c>
      <c r="C903" s="4" t="str">
        <f>VLOOKUP(Tabela1[[#This Row],[Cliente]],'BASE DE CLIENTES'!A:E,2,0)</f>
        <v>Brasília</v>
      </c>
      <c r="D903" s="1" t="str">
        <f>VLOOKUP(Tabela1[[#This Row],[Cliente]],'BASE DE CLIENTES'!A:C,3,0)</f>
        <v>DF</v>
      </c>
      <c r="E903" s="4" t="str">
        <f>CONCATENATE(Tabela1[[#This Row],[CIDADE]],",",Tabela1[[#This Row],[UF]])</f>
        <v>Brasília,DF</v>
      </c>
      <c r="F903" s="2">
        <v>45762</v>
      </c>
      <c r="G903" s="17">
        <v>67.12</v>
      </c>
      <c r="H903" s="17">
        <v>170</v>
      </c>
      <c r="I903" s="6">
        <f>Tabela1[[#This Row],[Valor total]]-Tabela1[[#This Row],[Valor custo]]</f>
        <v>102.88</v>
      </c>
      <c r="J903" s="7">
        <f>Tabela1[[#This Row],[MARGEM BRUTA]]/Tabela1[[#This Row],[Valor total]]</f>
        <v>0.60517647058823532</v>
      </c>
      <c r="K903" s="1" t="str">
        <f>VLOOKUP(Tabela1[[#This Row],[Cliente]],'BASE DE CLIENTES'!A:D,4,0)</f>
        <v>EMPRESA COM MAQUINA</v>
      </c>
      <c r="L903" s="1" t="str">
        <f>VLOOKUP(Tabela1[[#This Row],[Cliente]],'BASE DE CLIENTES'!A:E,5,0)</f>
        <v>Setor Placa da Mercedes (Núcleo Bandeirante)</v>
      </c>
    </row>
    <row r="904" spans="2:12" x14ac:dyDescent="0.3">
      <c r="B904" s="1" t="s">
        <v>78</v>
      </c>
      <c r="C904" s="4" t="str">
        <f>VLOOKUP(Tabela1[[#This Row],[Cliente]],'BASE DE CLIENTES'!A:E,2,0)</f>
        <v>Brasília</v>
      </c>
      <c r="D904" s="1" t="str">
        <f>VLOOKUP(Tabela1[[#This Row],[Cliente]],'BASE DE CLIENTES'!A:C,3,0)</f>
        <v>DF</v>
      </c>
      <c r="E904" s="4" t="str">
        <f>CONCATENATE(Tabela1[[#This Row],[CIDADE]],",",Tabela1[[#This Row],[UF]])</f>
        <v>Brasília,DF</v>
      </c>
      <c r="F904" s="2">
        <v>45762</v>
      </c>
      <c r="G904" s="17">
        <v>1237</v>
      </c>
      <c r="H904" s="17">
        <v>2200</v>
      </c>
      <c r="I904" s="6">
        <f>Tabela1[[#This Row],[Valor total]]-Tabela1[[#This Row],[Valor custo]]</f>
        <v>963</v>
      </c>
      <c r="J904" s="7">
        <f>Tabela1[[#This Row],[MARGEM BRUTA]]/Tabela1[[#This Row],[Valor total]]</f>
        <v>0.43772727272727274</v>
      </c>
      <c r="K904" s="1" t="str">
        <f>VLOOKUP(Tabela1[[#This Row],[Cliente]],'BASE DE CLIENTES'!A:D,4,0)</f>
        <v>SERRALHEIRO</v>
      </c>
      <c r="L904" s="1" t="str">
        <f>VLOOKUP(Tabela1[[#This Row],[Cliente]],'BASE DE CLIENTES'!A:E,5,0)</f>
        <v>Vila do Boa (São Sebastião)</v>
      </c>
    </row>
    <row r="905" spans="2:12" x14ac:dyDescent="0.3">
      <c r="B905" s="1" t="s">
        <v>111</v>
      </c>
      <c r="C905" s="4" t="str">
        <f>VLOOKUP(Tabela1[[#This Row],[Cliente]],'BASE DE CLIENTES'!A:E,2,0)</f>
        <v>Brasília</v>
      </c>
      <c r="D905" s="1" t="str">
        <f>VLOOKUP(Tabela1[[#This Row],[Cliente]],'BASE DE CLIENTES'!A:C,3,0)</f>
        <v>DF</v>
      </c>
      <c r="E905" s="4" t="str">
        <f>CONCATENATE(Tabela1[[#This Row],[CIDADE]],",",Tabela1[[#This Row],[UF]])</f>
        <v>Brasília,DF</v>
      </c>
      <c r="F905" s="2">
        <v>45762</v>
      </c>
      <c r="G905" s="17">
        <v>125</v>
      </c>
      <c r="H905" s="17">
        <v>150</v>
      </c>
      <c r="I905" s="6">
        <f>Tabela1[[#This Row],[Valor total]]-Tabela1[[#This Row],[Valor custo]]</f>
        <v>25</v>
      </c>
      <c r="J905" s="7">
        <f>Tabela1[[#This Row],[MARGEM BRUTA]]/Tabela1[[#This Row],[Valor total]]</f>
        <v>0.16666666666666666</v>
      </c>
      <c r="K905" s="1" t="str">
        <f>VLOOKUP(Tabela1[[#This Row],[Cliente]],'BASE DE CLIENTES'!A:D,4,0)</f>
        <v>EMPRESA SEM MAQUINA</v>
      </c>
      <c r="L905" s="1" t="str">
        <f>VLOOKUP(Tabela1[[#This Row],[Cliente]],'BASE DE CLIENTES'!A:E,5,0)</f>
        <v>TAGUATINGA SUL (TAGUATINGA)</v>
      </c>
    </row>
    <row r="906" spans="2:12" x14ac:dyDescent="0.3">
      <c r="B906" s="1" t="s">
        <v>68</v>
      </c>
      <c r="C906" s="4" t="str">
        <f>VLOOKUP(Tabela1[[#This Row],[Cliente]],'BASE DE CLIENTES'!A:E,2,0)</f>
        <v>Brasília</v>
      </c>
      <c r="D906" s="1" t="str">
        <f>VLOOKUP(Tabela1[[#This Row],[Cliente]],'BASE DE CLIENTES'!A:C,3,0)</f>
        <v>DF</v>
      </c>
      <c r="E906" s="4" t="str">
        <f>CONCATENATE(Tabela1[[#This Row],[CIDADE]],",",Tabela1[[#This Row],[UF]])</f>
        <v>Brasília,DF</v>
      </c>
      <c r="F906" s="2">
        <v>45762</v>
      </c>
      <c r="G906" s="17">
        <v>1134.8699999999999</v>
      </c>
      <c r="H906" s="17">
        <v>1935</v>
      </c>
      <c r="I906" s="6">
        <f>Tabela1[[#This Row],[Valor total]]-Tabela1[[#This Row],[Valor custo]]</f>
        <v>800.13000000000011</v>
      </c>
      <c r="J906" s="7">
        <f>Tabela1[[#This Row],[MARGEM BRUTA]]/Tabela1[[#This Row],[Valor total]]</f>
        <v>0.4135038759689923</v>
      </c>
      <c r="K906" s="1" t="str">
        <f>VLOOKUP(Tabela1[[#This Row],[Cliente]],'BASE DE CLIENTES'!A:D,4,0)</f>
        <v>EMPRESA COM MAQUINA</v>
      </c>
      <c r="L906" s="1" t="str">
        <f>VLOOKUP(Tabela1[[#This Row],[Cliente]],'BASE DE CLIENTES'!A:E,5,0)</f>
        <v>SAMAMBAIA SUL (SAMAMBAIA)</v>
      </c>
    </row>
    <row r="907" spans="2:12" x14ac:dyDescent="0.3">
      <c r="B907" s="1" t="s">
        <v>161</v>
      </c>
      <c r="C907" s="4" t="str">
        <f>VLOOKUP(Tabela1[[#This Row],[Cliente]],'BASE DE CLIENTES'!A:E,2,0)</f>
        <v>Brasília</v>
      </c>
      <c r="D907" s="1" t="str">
        <f>VLOOKUP(Tabela1[[#This Row],[Cliente]],'BASE DE CLIENTES'!A:C,3,0)</f>
        <v>DF</v>
      </c>
      <c r="E907" s="4" t="str">
        <f>CONCATENATE(Tabela1[[#This Row],[CIDADE]],",",Tabela1[[#This Row],[UF]])</f>
        <v>Brasília,DF</v>
      </c>
      <c r="F907" s="2">
        <v>45761</v>
      </c>
      <c r="G907" s="17">
        <v>3362</v>
      </c>
      <c r="H907" s="17">
        <v>5650</v>
      </c>
      <c r="I907" s="6">
        <f>Tabela1[[#This Row],[Valor total]]-Tabela1[[#This Row],[Valor custo]]</f>
        <v>2288</v>
      </c>
      <c r="J907" s="7">
        <f>Tabela1[[#This Row],[MARGEM BRUTA]]/Tabela1[[#This Row],[Valor total]]</f>
        <v>0.40495575221238939</v>
      </c>
      <c r="K907" s="1" t="str">
        <f>VLOOKUP(Tabela1[[#This Row],[Cliente]],'BASE DE CLIENTES'!A:D,4,0)</f>
        <v>EMPRESA COM MAQUINA</v>
      </c>
      <c r="L907" s="1" t="str">
        <f>VLOOKUP(Tabela1[[#This Row],[Cliente]],'BASE DE CLIENTES'!A:E,5,0)</f>
        <v>RIACHO FUNDO II</v>
      </c>
    </row>
    <row r="908" spans="2:12" x14ac:dyDescent="0.3">
      <c r="B908" s="1" t="s">
        <v>106</v>
      </c>
      <c r="C908" s="4" t="str">
        <f>VLOOKUP(Tabela1[[#This Row],[Cliente]],'BASE DE CLIENTES'!A:E,2,0)</f>
        <v>Brasília</v>
      </c>
      <c r="D908" s="1" t="str">
        <f>VLOOKUP(Tabela1[[#This Row],[Cliente]],'BASE DE CLIENTES'!A:C,3,0)</f>
        <v>DF</v>
      </c>
      <c r="E908" s="4" t="str">
        <f>CONCATENATE(Tabela1[[#This Row],[CIDADE]],",",Tabela1[[#This Row],[UF]])</f>
        <v>Brasília,DF</v>
      </c>
      <c r="F908" s="2">
        <v>45761</v>
      </c>
      <c r="G908" s="17">
        <v>725</v>
      </c>
      <c r="H908" s="17">
        <v>1350</v>
      </c>
      <c r="I908" s="6">
        <f>Tabela1[[#This Row],[Valor total]]-Tabela1[[#This Row],[Valor custo]]</f>
        <v>625</v>
      </c>
      <c r="J908" s="7">
        <f>Tabela1[[#This Row],[MARGEM BRUTA]]/Tabela1[[#This Row],[Valor total]]</f>
        <v>0.46296296296296297</v>
      </c>
      <c r="K908" s="1" t="str">
        <f>VLOOKUP(Tabela1[[#This Row],[Cliente]],'BASE DE CLIENTES'!A:D,4,0)</f>
        <v>EMPRESA COM MAQUINA</v>
      </c>
      <c r="L908" s="1" t="str">
        <f>VLOOKUP(Tabela1[[#This Row],[Cliente]],'BASE DE CLIENTES'!A:E,5,0)</f>
        <v>26 DE SETEMBRO</v>
      </c>
    </row>
    <row r="909" spans="2:12" x14ac:dyDescent="0.3">
      <c r="B909" s="1" t="s">
        <v>152</v>
      </c>
      <c r="C909" s="4" t="str">
        <f>VLOOKUP(Tabela1[[#This Row],[Cliente]],'BASE DE CLIENTES'!A:E,2,0)</f>
        <v>Aparecida de Goiânia</v>
      </c>
      <c r="D909" s="1" t="str">
        <f>VLOOKUP(Tabela1[[#This Row],[Cliente]],'BASE DE CLIENTES'!A:C,3,0)</f>
        <v>GO</v>
      </c>
      <c r="E909" s="4" t="str">
        <f>CONCATENATE(Tabela1[[#This Row],[CIDADE]],",",Tabela1[[#This Row],[UF]])</f>
        <v>Aparecida de Goiânia,GO</v>
      </c>
      <c r="F909" s="2">
        <v>45740</v>
      </c>
      <c r="G909" s="17">
        <v>593.83000000000004</v>
      </c>
      <c r="H909" s="17">
        <v>930</v>
      </c>
      <c r="I909" s="6">
        <f>Tabela1[[#This Row],[Valor total]]-Tabela1[[#This Row],[Valor custo]]</f>
        <v>336.16999999999996</v>
      </c>
      <c r="J909" s="7">
        <f>Tabela1[[#This Row],[MARGEM BRUTA]]/Tabela1[[#This Row],[Valor total]]</f>
        <v>0.36147311827956985</v>
      </c>
      <c r="K909" s="1" t="str">
        <f>VLOOKUP(Tabela1[[#This Row],[Cliente]],'BASE DE CLIENTES'!A:D,4,0)</f>
        <v>TECNICO</v>
      </c>
      <c r="L909" s="1" t="str">
        <f>VLOOKUP(Tabela1[[#This Row],[Cliente]],'BASE DE CLIENTES'!A:E,5,0)</f>
        <v>Aparecida de Goiânia</v>
      </c>
    </row>
    <row r="910" spans="2:12" x14ac:dyDescent="0.3">
      <c r="B910" s="1" t="s">
        <v>161</v>
      </c>
      <c r="C910" s="4" t="str">
        <f>VLOOKUP(Tabela1[[#This Row],[Cliente]],'BASE DE CLIENTES'!A:E,2,0)</f>
        <v>Brasília</v>
      </c>
      <c r="D910" s="1" t="str">
        <f>VLOOKUP(Tabela1[[#This Row],[Cliente]],'BASE DE CLIENTES'!A:C,3,0)</f>
        <v>DF</v>
      </c>
      <c r="E910" s="4" t="str">
        <f>CONCATENATE(Tabela1[[#This Row],[CIDADE]],",",Tabela1[[#This Row],[UF]])</f>
        <v>Brasília,DF</v>
      </c>
      <c r="F910" s="2">
        <v>45761</v>
      </c>
      <c r="G910" s="17">
        <v>584</v>
      </c>
      <c r="H910" s="17">
        <v>945</v>
      </c>
      <c r="I910" s="6">
        <f>Tabela1[[#This Row],[Valor total]]-Tabela1[[#This Row],[Valor custo]]</f>
        <v>361</v>
      </c>
      <c r="J910" s="7">
        <f>Tabela1[[#This Row],[MARGEM BRUTA]]/Tabela1[[#This Row],[Valor total]]</f>
        <v>0.38201058201058202</v>
      </c>
      <c r="K910" s="1" t="str">
        <f>VLOOKUP(Tabela1[[#This Row],[Cliente]],'BASE DE CLIENTES'!A:D,4,0)</f>
        <v>EMPRESA COM MAQUINA</v>
      </c>
      <c r="L910" s="1" t="str">
        <f>VLOOKUP(Tabela1[[#This Row],[Cliente]],'BASE DE CLIENTES'!A:E,5,0)</f>
        <v>RIACHO FUNDO II</v>
      </c>
    </row>
    <row r="911" spans="2:12" x14ac:dyDescent="0.3">
      <c r="B911" s="1" t="s">
        <v>152</v>
      </c>
      <c r="C911" s="4" t="str">
        <f>VLOOKUP(Tabela1[[#This Row],[Cliente]],'BASE DE CLIENTES'!A:E,2,0)</f>
        <v>Aparecida de Goiânia</v>
      </c>
      <c r="D911" s="1" t="str">
        <f>VLOOKUP(Tabela1[[#This Row],[Cliente]],'BASE DE CLIENTES'!A:C,3,0)</f>
        <v>GO</v>
      </c>
      <c r="E911" s="4" t="str">
        <f>CONCATENATE(Tabela1[[#This Row],[CIDADE]],",",Tabela1[[#This Row],[UF]])</f>
        <v>Aparecida de Goiânia,GO</v>
      </c>
      <c r="F911" s="2">
        <v>45740</v>
      </c>
      <c r="G911" s="17">
        <v>593.83000000000004</v>
      </c>
      <c r="H911" s="17">
        <v>930</v>
      </c>
      <c r="I911" s="6">
        <f>Tabela1[[#This Row],[Valor total]]-Tabela1[[#This Row],[Valor custo]]</f>
        <v>336.16999999999996</v>
      </c>
      <c r="J911" s="7">
        <f>Tabela1[[#This Row],[MARGEM BRUTA]]/Tabela1[[#This Row],[Valor total]]</f>
        <v>0.36147311827956985</v>
      </c>
      <c r="K911" s="1" t="str">
        <f>VLOOKUP(Tabela1[[#This Row],[Cliente]],'BASE DE CLIENTES'!A:D,4,0)</f>
        <v>TECNICO</v>
      </c>
      <c r="L911" s="1" t="str">
        <f>VLOOKUP(Tabela1[[#This Row],[Cliente]],'BASE DE CLIENTES'!A:E,5,0)</f>
        <v>Aparecida de Goiânia</v>
      </c>
    </row>
    <row r="912" spans="2:12" x14ac:dyDescent="0.3">
      <c r="B912" s="1" t="s">
        <v>151</v>
      </c>
      <c r="C912" s="4" t="str">
        <f>VLOOKUP(Tabela1[[#This Row],[Cliente]],'BASE DE CLIENTES'!A:E,2,0)</f>
        <v>Aparecida de Goiânia</v>
      </c>
      <c r="D912" s="1" t="str">
        <f>VLOOKUP(Tabela1[[#This Row],[Cliente]],'BASE DE CLIENTES'!A:C,3,0)</f>
        <v>GO</v>
      </c>
      <c r="E912" s="4" t="str">
        <f>CONCATENATE(Tabela1[[#This Row],[CIDADE]],",",Tabela1[[#This Row],[UF]])</f>
        <v>Aparecida de Goiânia,GO</v>
      </c>
      <c r="F912" s="2">
        <v>45884</v>
      </c>
      <c r="G912" s="17">
        <v>1197.3900000000001</v>
      </c>
      <c r="H912" s="17">
        <v>1885</v>
      </c>
      <c r="I912" s="6">
        <f>Tabela1[[#This Row],[Valor total]]-Tabela1[[#This Row],[Valor custo]]</f>
        <v>687.6099999999999</v>
      </c>
      <c r="J912" s="7">
        <f>Tabela1[[#This Row],[MARGEM BRUTA]]/Tabela1[[#This Row],[Valor total]]</f>
        <v>0.36477984084880632</v>
      </c>
      <c r="K912" s="1" t="str">
        <f>VLOOKUP(Tabela1[[#This Row],[Cliente]],'BASE DE CLIENTES'!A:D,4,0)</f>
        <v>EMPRESA COM MAQUINA</v>
      </c>
      <c r="L912" s="1" t="str">
        <f>VLOOKUP(Tabela1[[#This Row],[Cliente]],'BASE DE CLIENTES'!A:E,5,0)</f>
        <v>Aparecida de Goiânia</v>
      </c>
    </row>
    <row r="913" spans="2:12" x14ac:dyDescent="0.3">
      <c r="B913" s="1" t="s">
        <v>38</v>
      </c>
      <c r="C913" s="4" t="str">
        <f>VLOOKUP(Tabela1[[#This Row],[Cliente]],'BASE DE CLIENTES'!A:E,2,0)</f>
        <v>Brasília</v>
      </c>
      <c r="D913" s="1" t="str">
        <f>VLOOKUP(Tabela1[[#This Row],[Cliente]],'BASE DE CLIENTES'!A:C,3,0)</f>
        <v>DF</v>
      </c>
      <c r="E913" s="4" t="str">
        <f>CONCATENATE(Tabela1[[#This Row],[CIDADE]],",",Tabela1[[#This Row],[UF]])</f>
        <v>Brasília,DF</v>
      </c>
      <c r="F913" s="2">
        <v>45761</v>
      </c>
      <c r="G913" s="17">
        <v>49.21</v>
      </c>
      <c r="H913" s="17">
        <v>80</v>
      </c>
      <c r="I913" s="6">
        <f>Tabela1[[#This Row],[Valor total]]-Tabela1[[#This Row],[Valor custo]]</f>
        <v>30.79</v>
      </c>
      <c r="J913" s="7">
        <f>Tabela1[[#This Row],[MARGEM BRUTA]]/Tabela1[[#This Row],[Valor total]]</f>
        <v>0.38487499999999997</v>
      </c>
      <c r="K913" s="1" t="str">
        <f>VLOOKUP(Tabela1[[#This Row],[Cliente]],'BASE DE CLIENTES'!A:D,4,0)</f>
        <v>EMPRESA SEM MAQUINA</v>
      </c>
      <c r="L913" s="1" t="str">
        <f>VLOOKUP(Tabela1[[#This Row],[Cliente]],'BASE DE CLIENTES'!A:E,5,0)</f>
        <v>PONTE ALTA NORTE (GAMA)</v>
      </c>
    </row>
    <row r="914" spans="2:12" x14ac:dyDescent="0.3">
      <c r="B914" s="1" t="s">
        <v>152</v>
      </c>
      <c r="C914" s="4" t="str">
        <f>VLOOKUP(Tabela1[[#This Row],[Cliente]],'BASE DE CLIENTES'!A:E,2,0)</f>
        <v>Aparecida de Goiânia</v>
      </c>
      <c r="D914" s="1" t="str">
        <f>VLOOKUP(Tabela1[[#This Row],[Cliente]],'BASE DE CLIENTES'!A:C,3,0)</f>
        <v>GO</v>
      </c>
      <c r="E914" s="4" t="str">
        <f>CONCATENATE(Tabela1[[#This Row],[CIDADE]],",",Tabela1[[#This Row],[UF]])</f>
        <v>Aparecida de Goiânia,GO</v>
      </c>
      <c r="F914" s="2">
        <v>45701</v>
      </c>
      <c r="G914" s="17">
        <v>597.20000000000005</v>
      </c>
      <c r="H914" s="17">
        <v>945</v>
      </c>
      <c r="I914" s="6">
        <f>Tabela1[[#This Row],[Valor total]]-Tabela1[[#This Row],[Valor custo]]</f>
        <v>347.79999999999995</v>
      </c>
      <c r="J914" s="7">
        <f>Tabela1[[#This Row],[MARGEM BRUTA]]/Tabela1[[#This Row],[Valor total]]</f>
        <v>0.368042328042328</v>
      </c>
      <c r="K914" s="1" t="str">
        <f>VLOOKUP(Tabela1[[#This Row],[Cliente]],'BASE DE CLIENTES'!A:D,4,0)</f>
        <v>TECNICO</v>
      </c>
      <c r="L914" s="1" t="str">
        <f>VLOOKUP(Tabela1[[#This Row],[Cliente]],'BASE DE CLIENTES'!A:E,5,0)</f>
        <v>Aparecida de Goiânia</v>
      </c>
    </row>
    <row r="915" spans="2:12" x14ac:dyDescent="0.3">
      <c r="B915" s="1" t="s">
        <v>151</v>
      </c>
      <c r="C915" s="4" t="str">
        <f>VLOOKUP(Tabela1[[#This Row],[Cliente]],'BASE DE CLIENTES'!A:E,2,0)</f>
        <v>Aparecida de Goiânia</v>
      </c>
      <c r="D915" s="1" t="str">
        <f>VLOOKUP(Tabela1[[#This Row],[Cliente]],'BASE DE CLIENTES'!A:C,3,0)</f>
        <v>GO</v>
      </c>
      <c r="E915" s="4" t="str">
        <f>CONCATENATE(Tabela1[[#This Row],[CIDADE]],",",Tabela1[[#This Row],[UF]])</f>
        <v>Aparecida de Goiânia,GO</v>
      </c>
      <c r="F915" s="2">
        <v>45845</v>
      </c>
      <c r="G915" s="17">
        <v>710</v>
      </c>
      <c r="H915" s="17">
        <v>1125</v>
      </c>
      <c r="I915" s="6">
        <f>Tabela1[[#This Row],[Valor total]]-Tabela1[[#This Row],[Valor custo]]</f>
        <v>415</v>
      </c>
      <c r="J915" s="7">
        <f>Tabela1[[#This Row],[MARGEM BRUTA]]/Tabela1[[#This Row],[Valor total]]</f>
        <v>0.36888888888888888</v>
      </c>
      <c r="K915" s="1" t="str">
        <f>VLOOKUP(Tabela1[[#This Row],[Cliente]],'BASE DE CLIENTES'!A:D,4,0)</f>
        <v>EMPRESA COM MAQUINA</v>
      </c>
      <c r="L915" s="1" t="str">
        <f>VLOOKUP(Tabela1[[#This Row],[Cliente]],'BASE DE CLIENTES'!A:E,5,0)</f>
        <v>Aparecida de Goiânia</v>
      </c>
    </row>
    <row r="916" spans="2:12" x14ac:dyDescent="0.3">
      <c r="B916" s="1" t="s">
        <v>27</v>
      </c>
      <c r="C916" s="4" t="str">
        <f>VLOOKUP(Tabela1[[#This Row],[Cliente]],'BASE DE CLIENTES'!A:E,2,0)</f>
        <v>Brasília</v>
      </c>
      <c r="D916" s="1" t="str">
        <f>VLOOKUP(Tabela1[[#This Row],[Cliente]],'BASE DE CLIENTES'!A:C,3,0)</f>
        <v>DF</v>
      </c>
      <c r="E916" s="4" t="str">
        <f>CONCATENATE(Tabela1[[#This Row],[CIDADE]],",",Tabela1[[#This Row],[UF]])</f>
        <v>Brasília,DF</v>
      </c>
      <c r="F916" s="2">
        <v>45761</v>
      </c>
      <c r="G916" s="17">
        <v>180</v>
      </c>
      <c r="H916" s="17">
        <v>360</v>
      </c>
      <c r="I916" s="6">
        <f>Tabela1[[#This Row],[Valor total]]-Tabela1[[#This Row],[Valor custo]]</f>
        <v>180</v>
      </c>
      <c r="J916" s="7">
        <f>Tabela1[[#This Row],[MARGEM BRUTA]]/Tabela1[[#This Row],[Valor total]]</f>
        <v>0.5</v>
      </c>
      <c r="K916" s="1" t="str">
        <f>VLOOKUP(Tabela1[[#This Row],[Cliente]],'BASE DE CLIENTES'!A:D,4,0)</f>
        <v>EMPRESA SEM MAQUINA</v>
      </c>
      <c r="L916" s="1" t="str">
        <f>VLOOKUP(Tabela1[[#This Row],[Cliente]],'BASE DE CLIENTES'!A:E,5,0)</f>
        <v>RECANTO DAS EMAS</v>
      </c>
    </row>
    <row r="917" spans="2:12" x14ac:dyDescent="0.3">
      <c r="B917" s="1" t="s">
        <v>108</v>
      </c>
      <c r="C917" s="4" t="str">
        <f>VLOOKUP(Tabela1[[#This Row],[Cliente]],'BASE DE CLIENTES'!A:E,2,0)</f>
        <v>Brasília</v>
      </c>
      <c r="D917" s="1" t="str">
        <f>VLOOKUP(Tabela1[[#This Row],[Cliente]],'BASE DE CLIENTES'!A:C,3,0)</f>
        <v>DF</v>
      </c>
      <c r="E917" s="4" t="str">
        <f>CONCATENATE(Tabela1[[#This Row],[CIDADE]],",",Tabela1[[#This Row],[UF]])</f>
        <v>Brasília,DF</v>
      </c>
      <c r="F917" s="2">
        <v>45761</v>
      </c>
      <c r="G917" s="17">
        <v>15.8</v>
      </c>
      <c r="H917" s="17">
        <v>80</v>
      </c>
      <c r="I917" s="6">
        <f>Tabela1[[#This Row],[Valor total]]-Tabela1[[#This Row],[Valor custo]]</f>
        <v>64.2</v>
      </c>
      <c r="J917" s="7">
        <f>Tabela1[[#This Row],[MARGEM BRUTA]]/Tabela1[[#This Row],[Valor total]]</f>
        <v>0.80249999999999999</v>
      </c>
      <c r="K917" s="1" t="str">
        <f>VLOOKUP(Tabela1[[#This Row],[Cliente]],'BASE DE CLIENTES'!A:D,4,0)</f>
        <v>SERRALHEIRO</v>
      </c>
      <c r="L917" s="1" t="str">
        <f>VLOOKUP(Tabela1[[#This Row],[Cliente]],'BASE DE CLIENTES'!A:E,5,0)</f>
        <v>Vila Planalto</v>
      </c>
    </row>
    <row r="918" spans="2:12" x14ac:dyDescent="0.3">
      <c r="B918" s="1" t="s">
        <v>117</v>
      </c>
      <c r="C918" s="4" t="str">
        <f>VLOOKUP(Tabela1[[#This Row],[Cliente]],'BASE DE CLIENTES'!A:E,2,0)</f>
        <v>Brasília</v>
      </c>
      <c r="D918" s="1" t="str">
        <f>VLOOKUP(Tabela1[[#This Row],[Cliente]],'BASE DE CLIENTES'!A:C,3,0)</f>
        <v>DF</v>
      </c>
      <c r="E918" s="4" t="str">
        <f>CONCATENATE(Tabela1[[#This Row],[CIDADE]],",",Tabela1[[#This Row],[UF]])</f>
        <v>Brasília,DF</v>
      </c>
      <c r="F918" s="2">
        <v>45758</v>
      </c>
      <c r="G918" s="17">
        <v>9268.4500000000007</v>
      </c>
      <c r="H918" s="17">
        <v>12800</v>
      </c>
      <c r="I918" s="6">
        <f>Tabela1[[#This Row],[Valor total]]-Tabela1[[#This Row],[Valor custo]]</f>
        <v>3531.5499999999993</v>
      </c>
      <c r="J918" s="7">
        <f>Tabela1[[#This Row],[MARGEM BRUTA]]/Tabela1[[#This Row],[Valor total]]</f>
        <v>0.27590234374999995</v>
      </c>
      <c r="K918" s="1" t="str">
        <f>VLOOKUP(Tabela1[[#This Row],[Cliente]],'BASE DE CLIENTES'!A:D,4,0)</f>
        <v>EMPRESA COM MAQUINA</v>
      </c>
      <c r="L918" s="1" t="str">
        <f>VLOOKUP(Tabela1[[#This Row],[Cliente]],'BASE DE CLIENTES'!A:E,5,0)</f>
        <v>SETOR HABITACIONAL ARNIQUEIRA (AGUAS CLARAS)</v>
      </c>
    </row>
    <row r="919" spans="2:12" x14ac:dyDescent="0.3">
      <c r="B919" s="1" t="s">
        <v>27</v>
      </c>
      <c r="C919" s="4" t="str">
        <f>VLOOKUP(Tabela1[[#This Row],[Cliente]],'BASE DE CLIENTES'!A:E,2,0)</f>
        <v>Brasília</v>
      </c>
      <c r="D919" s="1" t="str">
        <f>VLOOKUP(Tabela1[[#This Row],[Cliente]],'BASE DE CLIENTES'!A:C,3,0)</f>
        <v>DF</v>
      </c>
      <c r="E919" s="4" t="str">
        <f>CONCATENATE(Tabela1[[#This Row],[CIDADE]],",",Tabela1[[#This Row],[UF]])</f>
        <v>Brasília,DF</v>
      </c>
      <c r="F919" s="2">
        <v>45758</v>
      </c>
      <c r="G919" s="17">
        <v>609</v>
      </c>
      <c r="H919" s="17">
        <v>740</v>
      </c>
      <c r="I919" s="6">
        <f>Tabela1[[#This Row],[Valor total]]-Tabela1[[#This Row],[Valor custo]]</f>
        <v>131</v>
      </c>
      <c r="J919" s="7">
        <f>Tabela1[[#This Row],[MARGEM BRUTA]]/Tabela1[[#This Row],[Valor total]]</f>
        <v>0.17702702702702702</v>
      </c>
      <c r="K919" s="1" t="str">
        <f>VLOOKUP(Tabela1[[#This Row],[Cliente]],'BASE DE CLIENTES'!A:D,4,0)</f>
        <v>EMPRESA SEM MAQUINA</v>
      </c>
      <c r="L919" s="1" t="str">
        <f>VLOOKUP(Tabela1[[#This Row],[Cliente]],'BASE DE CLIENTES'!A:E,5,0)</f>
        <v>RECANTO DAS EMAS</v>
      </c>
    </row>
    <row r="920" spans="2:12" x14ac:dyDescent="0.3">
      <c r="B920" s="1" t="s">
        <v>151</v>
      </c>
      <c r="C920" s="4" t="str">
        <f>VLOOKUP(Tabela1[[#This Row],[Cliente]],'BASE DE CLIENTES'!A:E,2,0)</f>
        <v>Aparecida de Goiânia</v>
      </c>
      <c r="D920" s="1" t="str">
        <f>VLOOKUP(Tabela1[[#This Row],[Cliente]],'BASE DE CLIENTES'!A:C,3,0)</f>
        <v>GO</v>
      </c>
      <c r="E920" s="4" t="str">
        <f>CONCATENATE(Tabela1[[#This Row],[CIDADE]],",",Tabela1[[#This Row],[UF]])</f>
        <v>Aparecida de Goiânia,GO</v>
      </c>
      <c r="F920" s="2">
        <v>45827</v>
      </c>
      <c r="G920" s="17">
        <v>1735</v>
      </c>
      <c r="H920" s="17">
        <v>2750</v>
      </c>
      <c r="I920" s="6">
        <f>Tabela1[[#This Row],[Valor total]]-Tabela1[[#This Row],[Valor custo]]</f>
        <v>1015</v>
      </c>
      <c r="J920" s="7">
        <f>Tabela1[[#This Row],[MARGEM BRUTA]]/Tabela1[[#This Row],[Valor total]]</f>
        <v>0.36909090909090908</v>
      </c>
      <c r="K920" s="1" t="str">
        <f>VLOOKUP(Tabela1[[#This Row],[Cliente]],'BASE DE CLIENTES'!A:D,4,0)</f>
        <v>EMPRESA COM MAQUINA</v>
      </c>
      <c r="L920" s="1" t="str">
        <f>VLOOKUP(Tabela1[[#This Row],[Cliente]],'BASE DE CLIENTES'!A:E,5,0)</f>
        <v>Aparecida de Goiânia</v>
      </c>
    </row>
    <row r="921" spans="2:12" x14ac:dyDescent="0.3">
      <c r="B921" s="1" t="s">
        <v>161</v>
      </c>
      <c r="C921" s="4" t="str">
        <f>VLOOKUP(Tabela1[[#This Row],[Cliente]],'BASE DE CLIENTES'!A:E,2,0)</f>
        <v>Brasília</v>
      </c>
      <c r="D921" s="1" t="str">
        <f>VLOOKUP(Tabela1[[#This Row],[Cliente]],'BASE DE CLIENTES'!A:C,3,0)</f>
        <v>DF</v>
      </c>
      <c r="E921" s="4" t="str">
        <f>CONCATENATE(Tabela1[[#This Row],[CIDADE]],",",Tabela1[[#This Row],[UF]])</f>
        <v>Brasília,DF</v>
      </c>
      <c r="F921" s="2">
        <v>45758</v>
      </c>
      <c r="G921" s="17">
        <v>4098.7</v>
      </c>
      <c r="H921" s="17">
        <v>5850</v>
      </c>
      <c r="I921" s="6">
        <f>Tabela1[[#This Row],[Valor total]]-Tabela1[[#This Row],[Valor custo]]</f>
        <v>1751.3000000000002</v>
      </c>
      <c r="J921" s="7">
        <f>Tabela1[[#This Row],[MARGEM BRUTA]]/Tabela1[[#This Row],[Valor total]]</f>
        <v>0.29936752136752137</v>
      </c>
      <c r="K921" s="1" t="str">
        <f>VLOOKUP(Tabela1[[#This Row],[Cliente]],'BASE DE CLIENTES'!A:D,4,0)</f>
        <v>EMPRESA COM MAQUINA</v>
      </c>
      <c r="L921" s="1" t="str">
        <f>VLOOKUP(Tabela1[[#This Row],[Cliente]],'BASE DE CLIENTES'!A:E,5,0)</f>
        <v>RIACHO FUNDO II</v>
      </c>
    </row>
    <row r="922" spans="2:12" x14ac:dyDescent="0.3">
      <c r="B922" s="1" t="s">
        <v>151</v>
      </c>
      <c r="C922" s="4" t="str">
        <f>VLOOKUP(Tabela1[[#This Row],[Cliente]],'BASE DE CLIENTES'!A:E,2,0)</f>
        <v>Aparecida de Goiânia</v>
      </c>
      <c r="D922" s="1" t="str">
        <f>VLOOKUP(Tabela1[[#This Row],[Cliente]],'BASE DE CLIENTES'!A:C,3,0)</f>
        <v>GO</v>
      </c>
      <c r="E922" s="4" t="str">
        <f>CONCATENATE(Tabela1[[#This Row],[CIDADE]],",",Tabela1[[#This Row],[UF]])</f>
        <v>Aparecida de Goiânia,GO</v>
      </c>
      <c r="F922" s="2">
        <v>45849</v>
      </c>
      <c r="G922" s="17">
        <v>506</v>
      </c>
      <c r="H922" s="17">
        <v>805</v>
      </c>
      <c r="I922" s="6">
        <f>Tabela1[[#This Row],[Valor total]]-Tabela1[[#This Row],[Valor custo]]</f>
        <v>299</v>
      </c>
      <c r="J922" s="7">
        <f>Tabela1[[#This Row],[MARGEM BRUTA]]/Tabela1[[#This Row],[Valor total]]</f>
        <v>0.37142857142857144</v>
      </c>
      <c r="K922" s="1" t="str">
        <f>VLOOKUP(Tabela1[[#This Row],[Cliente]],'BASE DE CLIENTES'!A:D,4,0)</f>
        <v>EMPRESA COM MAQUINA</v>
      </c>
      <c r="L922" s="1" t="str">
        <f>VLOOKUP(Tabela1[[#This Row],[Cliente]],'BASE DE CLIENTES'!A:E,5,0)</f>
        <v>Aparecida de Goiânia</v>
      </c>
    </row>
    <row r="923" spans="2:12" x14ac:dyDescent="0.3">
      <c r="B923" s="1" t="s">
        <v>152</v>
      </c>
      <c r="C923" s="4" t="str">
        <f>VLOOKUP(Tabela1[[#This Row],[Cliente]],'BASE DE CLIENTES'!A:E,2,0)</f>
        <v>Aparecida de Goiânia</v>
      </c>
      <c r="D923" s="1" t="str">
        <f>VLOOKUP(Tabela1[[#This Row],[Cliente]],'BASE DE CLIENTES'!A:C,3,0)</f>
        <v>GO</v>
      </c>
      <c r="E923" s="4" t="str">
        <f>CONCATENATE(Tabela1[[#This Row],[CIDADE]],",",Tabela1[[#This Row],[UF]])</f>
        <v>Aparecida de Goiânia,GO</v>
      </c>
      <c r="F923" s="2">
        <v>45835</v>
      </c>
      <c r="G923" s="17">
        <v>584</v>
      </c>
      <c r="H923" s="17">
        <v>930</v>
      </c>
      <c r="I923" s="6">
        <f>Tabela1[[#This Row],[Valor total]]-Tabela1[[#This Row],[Valor custo]]</f>
        <v>346</v>
      </c>
      <c r="J923" s="7">
        <f>Tabela1[[#This Row],[MARGEM BRUTA]]/Tabela1[[#This Row],[Valor total]]</f>
        <v>0.3720430107526882</v>
      </c>
      <c r="K923" s="1" t="str">
        <f>VLOOKUP(Tabela1[[#This Row],[Cliente]],'BASE DE CLIENTES'!A:D,4,0)</f>
        <v>TECNICO</v>
      </c>
      <c r="L923" s="1" t="str">
        <f>VLOOKUP(Tabela1[[#This Row],[Cliente]],'BASE DE CLIENTES'!A:E,5,0)</f>
        <v>Aparecida de Goiânia</v>
      </c>
    </row>
    <row r="924" spans="2:12" x14ac:dyDescent="0.3">
      <c r="B924" s="1" t="s">
        <v>108</v>
      </c>
      <c r="C924" s="4" t="str">
        <f>VLOOKUP(Tabela1[[#This Row],[Cliente]],'BASE DE CLIENTES'!A:E,2,0)</f>
        <v>Brasília</v>
      </c>
      <c r="D924" s="1" t="str">
        <f>VLOOKUP(Tabela1[[#This Row],[Cliente]],'BASE DE CLIENTES'!A:C,3,0)</f>
        <v>DF</v>
      </c>
      <c r="E924" s="4" t="str">
        <f>CONCATENATE(Tabela1[[#This Row],[CIDADE]],",",Tabela1[[#This Row],[UF]])</f>
        <v>Brasília,DF</v>
      </c>
      <c r="F924" s="2">
        <v>45758</v>
      </c>
      <c r="G924" s="17">
        <v>122.74</v>
      </c>
      <c r="H924" s="17">
        <v>170</v>
      </c>
      <c r="I924" s="6">
        <f>Tabela1[[#This Row],[Valor total]]-Tabela1[[#This Row],[Valor custo]]</f>
        <v>47.260000000000005</v>
      </c>
      <c r="J924" s="7">
        <f>Tabela1[[#This Row],[MARGEM BRUTA]]/Tabela1[[#This Row],[Valor total]]</f>
        <v>0.27800000000000002</v>
      </c>
      <c r="K924" s="1" t="str">
        <f>VLOOKUP(Tabela1[[#This Row],[Cliente]],'BASE DE CLIENTES'!A:D,4,0)</f>
        <v>SERRALHEIRO</v>
      </c>
      <c r="L924" s="1" t="str">
        <f>VLOOKUP(Tabela1[[#This Row],[Cliente]],'BASE DE CLIENTES'!A:E,5,0)</f>
        <v>Vila Planalto</v>
      </c>
    </row>
    <row r="925" spans="2:12" x14ac:dyDescent="0.3">
      <c r="B925" s="1" t="s">
        <v>27</v>
      </c>
      <c r="C925" s="4" t="str">
        <f>VLOOKUP(Tabela1[[#This Row],[Cliente]],'BASE DE CLIENTES'!A:E,2,0)</f>
        <v>Brasília</v>
      </c>
      <c r="D925" s="1" t="str">
        <f>VLOOKUP(Tabela1[[#This Row],[Cliente]],'BASE DE CLIENTES'!A:C,3,0)</f>
        <v>DF</v>
      </c>
      <c r="E925" s="4" t="str">
        <f>CONCATENATE(Tabela1[[#This Row],[CIDADE]],",",Tabela1[[#This Row],[UF]])</f>
        <v>Brasília,DF</v>
      </c>
      <c r="F925" s="2">
        <v>45758</v>
      </c>
      <c r="G925" s="17">
        <v>717</v>
      </c>
      <c r="H925" s="17">
        <v>1160</v>
      </c>
      <c r="I925" s="6">
        <f>Tabela1[[#This Row],[Valor total]]-Tabela1[[#This Row],[Valor custo]]</f>
        <v>443</v>
      </c>
      <c r="J925" s="7">
        <f>Tabela1[[#This Row],[MARGEM BRUTA]]/Tabela1[[#This Row],[Valor total]]</f>
        <v>0.38189655172413794</v>
      </c>
      <c r="K925" s="1" t="str">
        <f>VLOOKUP(Tabela1[[#This Row],[Cliente]],'BASE DE CLIENTES'!A:D,4,0)</f>
        <v>EMPRESA SEM MAQUINA</v>
      </c>
      <c r="L925" s="1" t="str">
        <f>VLOOKUP(Tabela1[[#This Row],[Cliente]],'BASE DE CLIENTES'!A:E,5,0)</f>
        <v>RECANTO DAS EMAS</v>
      </c>
    </row>
    <row r="926" spans="2:12" x14ac:dyDescent="0.3">
      <c r="B926" s="1" t="s">
        <v>68</v>
      </c>
      <c r="C926" s="4" t="str">
        <f>VLOOKUP(Tabela1[[#This Row],[Cliente]],'BASE DE CLIENTES'!A:E,2,0)</f>
        <v>Brasília</v>
      </c>
      <c r="D926" s="1" t="str">
        <f>VLOOKUP(Tabela1[[#This Row],[Cliente]],'BASE DE CLIENTES'!A:C,3,0)</f>
        <v>DF</v>
      </c>
      <c r="E926" s="4" t="str">
        <f>CONCATENATE(Tabela1[[#This Row],[CIDADE]],",",Tabela1[[#This Row],[UF]])</f>
        <v>Brasília,DF</v>
      </c>
      <c r="F926" s="2">
        <v>45758</v>
      </c>
      <c r="G926" s="17">
        <v>409.87</v>
      </c>
      <c r="H926" s="17">
        <v>585</v>
      </c>
      <c r="I926" s="6">
        <f>Tabela1[[#This Row],[Valor total]]-Tabela1[[#This Row],[Valor custo]]</f>
        <v>175.13</v>
      </c>
      <c r="J926" s="7">
        <f>Tabela1[[#This Row],[MARGEM BRUTA]]/Tabela1[[#This Row],[Valor total]]</f>
        <v>0.29936752136752137</v>
      </c>
      <c r="K926" s="1" t="str">
        <f>VLOOKUP(Tabela1[[#This Row],[Cliente]],'BASE DE CLIENTES'!A:D,4,0)</f>
        <v>EMPRESA COM MAQUINA</v>
      </c>
      <c r="L926" s="1" t="str">
        <f>VLOOKUP(Tabela1[[#This Row],[Cliente]],'BASE DE CLIENTES'!A:E,5,0)</f>
        <v>SAMAMBAIA SUL (SAMAMBAIA)</v>
      </c>
    </row>
    <row r="927" spans="2:12" x14ac:dyDescent="0.3">
      <c r="B927" s="1" t="s">
        <v>152</v>
      </c>
      <c r="C927" s="4" t="str">
        <f>VLOOKUP(Tabela1[[#This Row],[Cliente]],'BASE DE CLIENTES'!A:E,2,0)</f>
        <v>Aparecida de Goiânia</v>
      </c>
      <c r="D927" s="1" t="str">
        <f>VLOOKUP(Tabela1[[#This Row],[Cliente]],'BASE DE CLIENTES'!A:C,3,0)</f>
        <v>GO</v>
      </c>
      <c r="E927" s="4" t="str">
        <f>CONCATENATE(Tabela1[[#This Row],[CIDADE]],",",Tabela1[[#This Row],[UF]])</f>
        <v>Aparecida de Goiânia,GO</v>
      </c>
      <c r="F927" s="2">
        <v>45849</v>
      </c>
      <c r="G927" s="17">
        <v>584</v>
      </c>
      <c r="H927" s="17">
        <v>930</v>
      </c>
      <c r="I927" s="6">
        <f>Tabela1[[#This Row],[Valor total]]-Tabela1[[#This Row],[Valor custo]]</f>
        <v>346</v>
      </c>
      <c r="J927" s="7">
        <f>Tabela1[[#This Row],[MARGEM BRUTA]]/Tabela1[[#This Row],[Valor total]]</f>
        <v>0.3720430107526882</v>
      </c>
      <c r="K927" s="1" t="str">
        <f>VLOOKUP(Tabela1[[#This Row],[Cliente]],'BASE DE CLIENTES'!A:D,4,0)</f>
        <v>TECNICO</v>
      </c>
      <c r="L927" s="1" t="str">
        <f>VLOOKUP(Tabela1[[#This Row],[Cliente]],'BASE DE CLIENTES'!A:E,5,0)</f>
        <v>Aparecida de Goiânia</v>
      </c>
    </row>
    <row r="928" spans="2:12" x14ac:dyDescent="0.3">
      <c r="B928" s="1" t="s">
        <v>152</v>
      </c>
      <c r="C928" s="4" t="str">
        <f>VLOOKUP(Tabela1[[#This Row],[Cliente]],'BASE DE CLIENTES'!A:E,2,0)</f>
        <v>Aparecida de Goiânia</v>
      </c>
      <c r="D928" s="1" t="str">
        <f>VLOOKUP(Tabela1[[#This Row],[Cliente]],'BASE DE CLIENTES'!A:C,3,0)</f>
        <v>GO</v>
      </c>
      <c r="E928" s="4" t="str">
        <f>CONCATENATE(Tabela1[[#This Row],[CIDADE]],",",Tabela1[[#This Row],[UF]])</f>
        <v>Aparecida de Goiânia,GO</v>
      </c>
      <c r="F928" s="2">
        <v>45876</v>
      </c>
      <c r="G928" s="17">
        <v>910</v>
      </c>
      <c r="H928" s="17">
        <v>1450</v>
      </c>
      <c r="I928" s="6">
        <f>Tabela1[[#This Row],[Valor total]]-Tabela1[[#This Row],[Valor custo]]</f>
        <v>540</v>
      </c>
      <c r="J928" s="7">
        <f>Tabela1[[#This Row],[MARGEM BRUTA]]/Tabela1[[#This Row],[Valor total]]</f>
        <v>0.3724137931034483</v>
      </c>
      <c r="K928" s="1" t="str">
        <f>VLOOKUP(Tabela1[[#This Row],[Cliente]],'BASE DE CLIENTES'!A:D,4,0)</f>
        <v>TECNICO</v>
      </c>
      <c r="L928" s="1" t="str">
        <f>VLOOKUP(Tabela1[[#This Row],[Cliente]],'BASE DE CLIENTES'!A:E,5,0)</f>
        <v>Aparecida de Goiânia</v>
      </c>
    </row>
    <row r="929" spans="2:12" x14ac:dyDescent="0.3">
      <c r="B929" s="1" t="s">
        <v>152</v>
      </c>
      <c r="C929" s="4" t="str">
        <f>VLOOKUP(Tabela1[[#This Row],[Cliente]],'BASE DE CLIENTES'!A:E,2,0)</f>
        <v>Aparecida de Goiânia</v>
      </c>
      <c r="D929" s="1" t="str">
        <f>VLOOKUP(Tabela1[[#This Row],[Cliente]],'BASE DE CLIENTES'!A:C,3,0)</f>
        <v>GO</v>
      </c>
      <c r="E929" s="4" t="str">
        <f>CONCATENATE(Tabela1[[#This Row],[CIDADE]],",",Tabela1[[#This Row],[UF]])</f>
        <v>Aparecida de Goiânia,GO</v>
      </c>
      <c r="F929" s="2">
        <v>45876</v>
      </c>
      <c r="G929" s="17">
        <v>455</v>
      </c>
      <c r="H929" s="17">
        <v>725</v>
      </c>
      <c r="I929" s="6">
        <f>Tabela1[[#This Row],[Valor total]]-Tabela1[[#This Row],[Valor custo]]</f>
        <v>270</v>
      </c>
      <c r="J929" s="7">
        <f>Tabela1[[#This Row],[MARGEM BRUTA]]/Tabela1[[#This Row],[Valor total]]</f>
        <v>0.3724137931034483</v>
      </c>
      <c r="K929" s="1" t="str">
        <f>VLOOKUP(Tabela1[[#This Row],[Cliente]],'BASE DE CLIENTES'!A:D,4,0)</f>
        <v>TECNICO</v>
      </c>
      <c r="L929" s="1" t="str">
        <f>VLOOKUP(Tabela1[[#This Row],[Cliente]],'BASE DE CLIENTES'!A:E,5,0)</f>
        <v>Aparecida de Goiânia</v>
      </c>
    </row>
    <row r="930" spans="2:12" x14ac:dyDescent="0.3">
      <c r="B930" s="1" t="s">
        <v>152</v>
      </c>
      <c r="C930" s="4" t="str">
        <f>VLOOKUP(Tabela1[[#This Row],[Cliente]],'BASE DE CLIENTES'!A:E,2,0)</f>
        <v>Aparecida de Goiânia</v>
      </c>
      <c r="D930" s="1" t="str">
        <f>VLOOKUP(Tabela1[[#This Row],[Cliente]],'BASE DE CLIENTES'!A:C,3,0)</f>
        <v>GO</v>
      </c>
      <c r="E930" s="4" t="str">
        <f>CONCATENATE(Tabela1[[#This Row],[CIDADE]],",",Tabela1[[#This Row],[UF]])</f>
        <v>Aparecida de Goiânia,GO</v>
      </c>
      <c r="F930" s="2">
        <v>45856</v>
      </c>
      <c r="G930" s="17">
        <v>770</v>
      </c>
      <c r="H930" s="17">
        <v>1230</v>
      </c>
      <c r="I930" s="6">
        <f>Tabela1[[#This Row],[Valor total]]-Tabela1[[#This Row],[Valor custo]]</f>
        <v>460</v>
      </c>
      <c r="J930" s="7">
        <f>Tabela1[[#This Row],[MARGEM BRUTA]]/Tabela1[[#This Row],[Valor total]]</f>
        <v>0.37398373983739835</v>
      </c>
      <c r="K930" s="1" t="str">
        <f>VLOOKUP(Tabela1[[#This Row],[Cliente]],'BASE DE CLIENTES'!A:D,4,0)</f>
        <v>TECNICO</v>
      </c>
      <c r="L930" s="1" t="str">
        <f>VLOOKUP(Tabela1[[#This Row],[Cliente]],'BASE DE CLIENTES'!A:E,5,0)</f>
        <v>Aparecida de Goiânia</v>
      </c>
    </row>
    <row r="931" spans="2:12" x14ac:dyDescent="0.3">
      <c r="B931" s="1" t="s">
        <v>27</v>
      </c>
      <c r="C931" s="4" t="str">
        <f>VLOOKUP(Tabela1[[#This Row],[Cliente]],'BASE DE CLIENTES'!A:E,2,0)</f>
        <v>Brasília</v>
      </c>
      <c r="D931" s="1" t="str">
        <f>VLOOKUP(Tabela1[[#This Row],[Cliente]],'BASE DE CLIENTES'!A:C,3,0)</f>
        <v>DF</v>
      </c>
      <c r="E931" s="4" t="str">
        <f>CONCATENATE(Tabela1[[#This Row],[CIDADE]],",",Tabela1[[#This Row],[UF]])</f>
        <v>Brasília,DF</v>
      </c>
      <c r="F931" s="2">
        <v>45757</v>
      </c>
      <c r="G931" s="17">
        <v>244.34</v>
      </c>
      <c r="H931" s="17">
        <v>500</v>
      </c>
      <c r="I931" s="6">
        <f>Tabela1[[#This Row],[Valor total]]-Tabela1[[#This Row],[Valor custo]]</f>
        <v>255.66</v>
      </c>
      <c r="J931" s="7">
        <f>Tabela1[[#This Row],[MARGEM BRUTA]]/Tabela1[[#This Row],[Valor total]]</f>
        <v>0.51132</v>
      </c>
      <c r="K931" s="1" t="str">
        <f>VLOOKUP(Tabela1[[#This Row],[Cliente]],'BASE DE CLIENTES'!A:D,4,0)</f>
        <v>EMPRESA SEM MAQUINA</v>
      </c>
      <c r="L931" s="1" t="str">
        <f>VLOOKUP(Tabela1[[#This Row],[Cliente]],'BASE DE CLIENTES'!A:E,5,0)</f>
        <v>RECANTO DAS EMAS</v>
      </c>
    </row>
    <row r="932" spans="2:12" x14ac:dyDescent="0.3">
      <c r="B932" s="1" t="s">
        <v>165</v>
      </c>
      <c r="C932" s="4" t="str">
        <f>VLOOKUP(Tabela1[[#This Row],[Cliente]],'BASE DE CLIENTES'!A:E,2,0)</f>
        <v>Brasília</v>
      </c>
      <c r="D932" s="1" t="str">
        <f>VLOOKUP(Tabela1[[#This Row],[Cliente]],'BASE DE CLIENTES'!A:C,3,0)</f>
        <v>DF</v>
      </c>
      <c r="E932" s="4" t="str">
        <f>CONCATENATE(Tabela1[[#This Row],[CIDADE]],",",Tabela1[[#This Row],[UF]])</f>
        <v>Brasília,DF</v>
      </c>
      <c r="F932" s="2">
        <v>45757</v>
      </c>
      <c r="G932" s="17">
        <v>584</v>
      </c>
      <c r="H932" s="17">
        <v>925</v>
      </c>
      <c r="I932" s="6">
        <f>Tabela1[[#This Row],[Valor total]]-Tabela1[[#This Row],[Valor custo]]</f>
        <v>341</v>
      </c>
      <c r="J932" s="7">
        <f>Tabela1[[#This Row],[MARGEM BRUTA]]/Tabela1[[#This Row],[Valor total]]</f>
        <v>0.36864864864864866</v>
      </c>
      <c r="K932" s="1" t="str">
        <f>VLOOKUP(Tabela1[[#This Row],[Cliente]],'BASE DE CLIENTES'!A:D,4,0)</f>
        <v>EMPRESA SEM MAQUINA</v>
      </c>
      <c r="L932" s="1" t="str">
        <f>VLOOKUP(Tabela1[[#This Row],[Cliente]],'BASE DE CLIENTES'!A:E,5,0)</f>
        <v>SETOR HABITACIONAL VICENTE PIRES</v>
      </c>
    </row>
    <row r="933" spans="2:12" x14ac:dyDescent="0.3">
      <c r="B933" s="1" t="s">
        <v>152</v>
      </c>
      <c r="C933" s="4" t="str">
        <f>VLOOKUP(Tabela1[[#This Row],[Cliente]],'BASE DE CLIENTES'!A:E,2,0)</f>
        <v>Aparecida de Goiânia</v>
      </c>
      <c r="D933" s="1" t="str">
        <f>VLOOKUP(Tabela1[[#This Row],[Cliente]],'BASE DE CLIENTES'!A:C,3,0)</f>
        <v>GO</v>
      </c>
      <c r="E933" s="4" t="str">
        <f>CONCATENATE(Tabela1[[#This Row],[CIDADE]],",",Tabela1[[#This Row],[UF]])</f>
        <v>Aparecida de Goiânia,GO</v>
      </c>
      <c r="F933" s="2">
        <v>45896</v>
      </c>
      <c r="G933" s="17">
        <v>938</v>
      </c>
      <c r="H933" s="17">
        <v>1500</v>
      </c>
      <c r="I933" s="6">
        <f>Tabela1[[#This Row],[Valor total]]-Tabela1[[#This Row],[Valor custo]]</f>
        <v>562</v>
      </c>
      <c r="J933" s="7">
        <f>Tabela1[[#This Row],[MARGEM BRUTA]]/Tabela1[[#This Row],[Valor total]]</f>
        <v>0.37466666666666665</v>
      </c>
      <c r="K933" s="1" t="str">
        <f>VLOOKUP(Tabela1[[#This Row],[Cliente]],'BASE DE CLIENTES'!A:D,4,0)</f>
        <v>TECNICO</v>
      </c>
      <c r="L933" s="1" t="str">
        <f>VLOOKUP(Tabela1[[#This Row],[Cliente]],'BASE DE CLIENTES'!A:E,5,0)</f>
        <v>Aparecida de Goiânia</v>
      </c>
    </row>
    <row r="934" spans="2:12" x14ac:dyDescent="0.3">
      <c r="B934" s="1" t="s">
        <v>152</v>
      </c>
      <c r="C934" s="4" t="str">
        <f>VLOOKUP(Tabela1[[#This Row],[Cliente]],'BASE DE CLIENTES'!A:E,2,0)</f>
        <v>Aparecida de Goiânia</v>
      </c>
      <c r="D934" s="1" t="str">
        <f>VLOOKUP(Tabela1[[#This Row],[Cliente]],'BASE DE CLIENTES'!A:C,3,0)</f>
        <v>GO</v>
      </c>
      <c r="E934" s="4" t="str">
        <f>CONCATENATE(Tabela1[[#This Row],[CIDADE]],",",Tabela1[[#This Row],[UF]])</f>
        <v>Aparecida de Goiânia,GO</v>
      </c>
      <c r="F934" s="2">
        <v>45691</v>
      </c>
      <c r="G934" s="17">
        <v>718.57</v>
      </c>
      <c r="H934" s="17">
        <v>1150</v>
      </c>
      <c r="I934" s="6">
        <f>Tabela1[[#This Row],[Valor total]]-Tabela1[[#This Row],[Valor custo]]</f>
        <v>431.42999999999995</v>
      </c>
      <c r="J934" s="7">
        <f>Tabela1[[#This Row],[MARGEM BRUTA]]/Tabela1[[#This Row],[Valor total]]</f>
        <v>0.37515652173913039</v>
      </c>
      <c r="K934" s="1" t="str">
        <f>VLOOKUP(Tabela1[[#This Row],[Cliente]],'BASE DE CLIENTES'!A:D,4,0)</f>
        <v>TECNICO</v>
      </c>
      <c r="L934" s="1" t="str">
        <f>VLOOKUP(Tabela1[[#This Row],[Cliente]],'BASE DE CLIENTES'!A:E,5,0)</f>
        <v>Aparecida de Goiânia</v>
      </c>
    </row>
    <row r="935" spans="2:12" x14ac:dyDescent="0.3">
      <c r="B935" s="1" t="s">
        <v>78</v>
      </c>
      <c r="C935" s="4" t="str">
        <f>VLOOKUP(Tabela1[[#This Row],[Cliente]],'BASE DE CLIENTES'!A:E,2,0)</f>
        <v>Brasília</v>
      </c>
      <c r="D935" s="1" t="str">
        <f>VLOOKUP(Tabela1[[#This Row],[Cliente]],'BASE DE CLIENTES'!A:C,3,0)</f>
        <v>DF</v>
      </c>
      <c r="E935" s="4" t="str">
        <f>CONCATENATE(Tabela1[[#This Row],[CIDADE]],",",Tabela1[[#This Row],[UF]])</f>
        <v>Brasília,DF</v>
      </c>
      <c r="F935" s="2">
        <v>45757</v>
      </c>
      <c r="G935" s="17">
        <v>2131</v>
      </c>
      <c r="H935" s="17">
        <v>3455</v>
      </c>
      <c r="I935" s="6">
        <f>Tabela1[[#This Row],[Valor total]]-Tabela1[[#This Row],[Valor custo]]</f>
        <v>1324</v>
      </c>
      <c r="J935" s="7">
        <f>Tabela1[[#This Row],[MARGEM BRUTA]]/Tabela1[[#This Row],[Valor total]]</f>
        <v>0.38321273516642546</v>
      </c>
      <c r="K935" s="1" t="str">
        <f>VLOOKUP(Tabela1[[#This Row],[Cliente]],'BASE DE CLIENTES'!A:D,4,0)</f>
        <v>SERRALHEIRO</v>
      </c>
      <c r="L935" s="1" t="str">
        <f>VLOOKUP(Tabela1[[#This Row],[Cliente]],'BASE DE CLIENTES'!A:E,5,0)</f>
        <v>Vila do Boa (São Sebastião)</v>
      </c>
    </row>
    <row r="936" spans="2:12" x14ac:dyDescent="0.3">
      <c r="B936" s="1" t="s">
        <v>99</v>
      </c>
      <c r="C936" s="4" t="str">
        <f>VLOOKUP(Tabela1[[#This Row],[Cliente]],'BASE DE CLIENTES'!A:E,2,0)</f>
        <v>Brasília</v>
      </c>
      <c r="D936" s="1" t="str">
        <f>VLOOKUP(Tabela1[[#This Row],[Cliente]],'BASE DE CLIENTES'!A:C,3,0)</f>
        <v>DF</v>
      </c>
      <c r="E936" s="4" t="str">
        <f>CONCATENATE(Tabela1[[#This Row],[CIDADE]],",",Tabela1[[#This Row],[UF]])</f>
        <v>Brasília,DF</v>
      </c>
      <c r="F936" s="2">
        <v>45757</v>
      </c>
      <c r="G936" s="17">
        <v>2635.21</v>
      </c>
      <c r="H936" s="17">
        <v>4090</v>
      </c>
      <c r="I936" s="6">
        <f>Tabela1[[#This Row],[Valor total]]-Tabela1[[#This Row],[Valor custo]]</f>
        <v>1454.79</v>
      </c>
      <c r="J936" s="7">
        <f>Tabela1[[#This Row],[MARGEM BRUTA]]/Tabela1[[#This Row],[Valor total]]</f>
        <v>0.35569437652811736</v>
      </c>
      <c r="K936" s="1" t="str">
        <f>VLOOKUP(Tabela1[[#This Row],[Cliente]],'BASE DE CLIENTES'!A:D,4,0)</f>
        <v>EMPRESA COM MAQUINA</v>
      </c>
      <c r="L936" s="1" t="str">
        <f>VLOOKUP(Tabela1[[#This Row],[Cliente]],'BASE DE CLIENTES'!A:E,5,0)</f>
        <v>ARAPOANGA (PLANALTINA)</v>
      </c>
    </row>
    <row r="937" spans="2:12" x14ac:dyDescent="0.3">
      <c r="B937" s="1" t="s">
        <v>107</v>
      </c>
      <c r="C937" s="4" t="str">
        <f>VLOOKUP(Tabela1[[#This Row],[Cliente]],'BASE DE CLIENTES'!A:E,2,0)</f>
        <v>Planaltina</v>
      </c>
      <c r="D937" s="1" t="str">
        <f>VLOOKUP(Tabela1[[#This Row],[Cliente]],'BASE DE CLIENTES'!A:C,3,0)</f>
        <v>DF</v>
      </c>
      <c r="E937" s="4" t="str">
        <f>CONCATENATE(Tabela1[[#This Row],[CIDADE]],",",Tabela1[[#This Row],[UF]])</f>
        <v>Planaltina,DF</v>
      </c>
      <c r="F937" s="2">
        <v>45756</v>
      </c>
      <c r="G937" s="17">
        <v>4813</v>
      </c>
      <c r="H937" s="17">
        <v>6788.1</v>
      </c>
      <c r="I937" s="6">
        <f>Tabela1[[#This Row],[Valor total]]-Tabela1[[#This Row],[Valor custo]]</f>
        <v>1975.1000000000004</v>
      </c>
      <c r="J937" s="7">
        <f>Tabela1[[#This Row],[MARGEM BRUTA]]/Tabela1[[#This Row],[Valor total]]</f>
        <v>0.29096507122758952</v>
      </c>
      <c r="K937" s="1" t="str">
        <f>VLOOKUP(Tabela1[[#This Row],[Cliente]],'BASE DE CLIENTES'!A:D,4,0)</f>
        <v>EMPRESA COM MAQUINA</v>
      </c>
      <c r="L937" s="1" t="str">
        <f>VLOOKUP(Tabela1[[#This Row],[Cliente]],'BASE DE CLIENTES'!A:E,5,0)</f>
        <v>SETOR LESTE</v>
      </c>
    </row>
    <row r="938" spans="2:12" x14ac:dyDescent="0.3">
      <c r="B938" s="1" t="s">
        <v>152</v>
      </c>
      <c r="C938" s="4" t="str">
        <f>VLOOKUP(Tabela1[[#This Row],[Cliente]],'BASE DE CLIENTES'!A:E,2,0)</f>
        <v>Aparecida de Goiânia</v>
      </c>
      <c r="D938" s="1" t="str">
        <f>VLOOKUP(Tabela1[[#This Row],[Cliente]],'BASE DE CLIENTES'!A:C,3,0)</f>
        <v>GO</v>
      </c>
      <c r="E938" s="4" t="str">
        <f>CONCATENATE(Tabela1[[#This Row],[CIDADE]],",",Tabela1[[#This Row],[UF]])</f>
        <v>Aparecida de Goiânia,GO</v>
      </c>
      <c r="F938" s="2">
        <v>45869</v>
      </c>
      <c r="G938" s="17">
        <v>382.3</v>
      </c>
      <c r="H938" s="17">
        <v>615</v>
      </c>
      <c r="I938" s="6">
        <f>Tabela1[[#This Row],[Valor total]]-Tabela1[[#This Row],[Valor custo]]</f>
        <v>232.7</v>
      </c>
      <c r="J938" s="7">
        <f>Tabela1[[#This Row],[MARGEM BRUTA]]/Tabela1[[#This Row],[Valor total]]</f>
        <v>0.37837398373983738</v>
      </c>
      <c r="K938" s="1" t="str">
        <f>VLOOKUP(Tabela1[[#This Row],[Cliente]],'BASE DE CLIENTES'!A:D,4,0)</f>
        <v>TECNICO</v>
      </c>
      <c r="L938" s="1" t="str">
        <f>VLOOKUP(Tabela1[[#This Row],[Cliente]],'BASE DE CLIENTES'!A:E,5,0)</f>
        <v>Aparecida de Goiânia</v>
      </c>
    </row>
    <row r="939" spans="2:12" x14ac:dyDescent="0.3">
      <c r="B939" s="1" t="s">
        <v>97</v>
      </c>
      <c r="C939" s="4" t="str">
        <f>VLOOKUP(Tabela1[[#This Row],[Cliente]],'BASE DE CLIENTES'!A:E,2,0)</f>
        <v>Brasília</v>
      </c>
      <c r="D939" s="1" t="str">
        <f>VLOOKUP(Tabela1[[#This Row],[Cliente]],'BASE DE CLIENTES'!A:C,3,0)</f>
        <v>DF</v>
      </c>
      <c r="E939" s="4" t="str">
        <f>CONCATENATE(Tabela1[[#This Row],[CIDADE]],",",Tabela1[[#This Row],[UF]])</f>
        <v>Brasília,DF</v>
      </c>
      <c r="F939" s="2">
        <v>45756</v>
      </c>
      <c r="G939" s="17">
        <v>3650</v>
      </c>
      <c r="H939" s="17">
        <v>5250</v>
      </c>
      <c r="I939" s="6">
        <f>Tabela1[[#This Row],[Valor total]]-Tabela1[[#This Row],[Valor custo]]</f>
        <v>1600</v>
      </c>
      <c r="J939" s="7">
        <f>Tabela1[[#This Row],[MARGEM BRUTA]]/Tabela1[[#This Row],[Valor total]]</f>
        <v>0.30476190476190479</v>
      </c>
      <c r="K939" s="1" t="str">
        <f>VLOOKUP(Tabela1[[#This Row],[Cliente]],'BASE DE CLIENTES'!A:D,4,0)</f>
        <v>SERRALHEIRO</v>
      </c>
      <c r="L939" s="1" t="str">
        <f>VLOOKUP(Tabela1[[#This Row],[Cliente]],'BASE DE CLIENTES'!A:E,5,0)</f>
        <v>CEILANDIA NORTE</v>
      </c>
    </row>
    <row r="940" spans="2:12" x14ac:dyDescent="0.3">
      <c r="B940" s="1" t="s">
        <v>27</v>
      </c>
      <c r="C940" s="4" t="str">
        <f>VLOOKUP(Tabela1[[#This Row],[Cliente]],'BASE DE CLIENTES'!A:E,2,0)</f>
        <v>Brasília</v>
      </c>
      <c r="D940" s="1" t="str">
        <f>VLOOKUP(Tabela1[[#This Row],[Cliente]],'BASE DE CLIENTES'!A:C,3,0)</f>
        <v>DF</v>
      </c>
      <c r="E940" s="4" t="str">
        <f>CONCATENATE(Tabela1[[#This Row],[CIDADE]],",",Tabela1[[#This Row],[UF]])</f>
        <v>Brasília,DF</v>
      </c>
      <c r="F940" s="2">
        <v>45756</v>
      </c>
      <c r="G940" s="17">
        <v>447</v>
      </c>
      <c r="H940" s="17">
        <v>615</v>
      </c>
      <c r="I940" s="6">
        <f>Tabela1[[#This Row],[Valor total]]-Tabela1[[#This Row],[Valor custo]]</f>
        <v>168</v>
      </c>
      <c r="J940" s="7">
        <f>Tabela1[[#This Row],[MARGEM BRUTA]]/Tabela1[[#This Row],[Valor total]]</f>
        <v>0.27317073170731709</v>
      </c>
      <c r="K940" s="1" t="str">
        <f>VLOOKUP(Tabela1[[#This Row],[Cliente]],'BASE DE CLIENTES'!A:D,4,0)</f>
        <v>EMPRESA SEM MAQUINA</v>
      </c>
      <c r="L940" s="1" t="str">
        <f>VLOOKUP(Tabela1[[#This Row],[Cliente]],'BASE DE CLIENTES'!A:E,5,0)</f>
        <v>RECANTO DAS EMAS</v>
      </c>
    </row>
    <row r="941" spans="2:12" x14ac:dyDescent="0.3">
      <c r="B941" s="1" t="s">
        <v>152</v>
      </c>
      <c r="C941" s="4" t="str">
        <f>VLOOKUP(Tabela1[[#This Row],[Cliente]],'BASE DE CLIENTES'!A:E,2,0)</f>
        <v>Aparecida de Goiânia</v>
      </c>
      <c r="D941" s="1" t="str">
        <f>VLOOKUP(Tabela1[[#This Row],[Cliente]],'BASE DE CLIENTES'!A:C,3,0)</f>
        <v>GO</v>
      </c>
      <c r="E941" s="4" t="str">
        <f>CONCATENATE(Tabela1[[#This Row],[CIDADE]],",",Tabela1[[#This Row],[UF]])</f>
        <v>Aparecida de Goiânia,GO</v>
      </c>
      <c r="F941" s="2">
        <v>45862</v>
      </c>
      <c r="G941" s="17">
        <v>382.3</v>
      </c>
      <c r="H941" s="17">
        <v>615</v>
      </c>
      <c r="I941" s="6">
        <f>Tabela1[[#This Row],[Valor total]]-Tabela1[[#This Row],[Valor custo]]</f>
        <v>232.7</v>
      </c>
      <c r="J941" s="7">
        <f>Tabela1[[#This Row],[MARGEM BRUTA]]/Tabela1[[#This Row],[Valor total]]</f>
        <v>0.37837398373983738</v>
      </c>
      <c r="K941" s="1" t="str">
        <f>VLOOKUP(Tabela1[[#This Row],[Cliente]],'BASE DE CLIENTES'!A:D,4,0)</f>
        <v>TECNICO</v>
      </c>
      <c r="L941" s="1" t="str">
        <f>VLOOKUP(Tabela1[[#This Row],[Cliente]],'BASE DE CLIENTES'!A:E,5,0)</f>
        <v>Aparecida de Goiânia</v>
      </c>
    </row>
    <row r="942" spans="2:12" x14ac:dyDescent="0.3">
      <c r="B942" s="1" t="s">
        <v>152</v>
      </c>
      <c r="C942" s="4" t="str">
        <f>VLOOKUP(Tabela1[[#This Row],[Cliente]],'BASE DE CLIENTES'!A:E,2,0)</f>
        <v>Aparecida de Goiânia</v>
      </c>
      <c r="D942" s="1" t="str">
        <f>VLOOKUP(Tabela1[[#This Row],[Cliente]],'BASE DE CLIENTES'!A:C,3,0)</f>
        <v>GO</v>
      </c>
      <c r="E942" s="4" t="str">
        <f>CONCATENATE(Tabela1[[#This Row],[CIDADE]],",",Tabela1[[#This Row],[UF]])</f>
        <v>Aparecida de Goiânia,GO</v>
      </c>
      <c r="F942" s="2">
        <v>45862</v>
      </c>
      <c r="G942" s="17">
        <v>1911.5</v>
      </c>
      <c r="H942" s="17">
        <v>3075</v>
      </c>
      <c r="I942" s="6">
        <f>Tabela1[[#This Row],[Valor total]]-Tabela1[[#This Row],[Valor custo]]</f>
        <v>1163.5</v>
      </c>
      <c r="J942" s="7">
        <f>Tabela1[[#This Row],[MARGEM BRUTA]]/Tabela1[[#This Row],[Valor total]]</f>
        <v>0.37837398373983738</v>
      </c>
      <c r="K942" s="1" t="str">
        <f>VLOOKUP(Tabela1[[#This Row],[Cliente]],'BASE DE CLIENTES'!A:D,4,0)</f>
        <v>TECNICO</v>
      </c>
      <c r="L942" s="1" t="str">
        <f>VLOOKUP(Tabela1[[#This Row],[Cliente]],'BASE DE CLIENTES'!A:E,5,0)</f>
        <v>Aparecida de Goiânia</v>
      </c>
    </row>
    <row r="943" spans="2:12" x14ac:dyDescent="0.3">
      <c r="B943" s="1" t="s">
        <v>88</v>
      </c>
      <c r="C943" s="4" t="str">
        <f>VLOOKUP(Tabela1[[#This Row],[Cliente]],'BASE DE CLIENTES'!A:E,2,0)</f>
        <v>Brasília</v>
      </c>
      <c r="D943" s="1" t="str">
        <f>VLOOKUP(Tabela1[[#This Row],[Cliente]],'BASE DE CLIENTES'!A:C,3,0)</f>
        <v>DF</v>
      </c>
      <c r="E943" s="4" t="str">
        <f>CONCATENATE(Tabela1[[#This Row],[CIDADE]],",",Tabela1[[#This Row],[UF]])</f>
        <v>Brasília,DF</v>
      </c>
      <c r="F943" s="2">
        <v>45756</v>
      </c>
      <c r="G943" s="17">
        <v>1956</v>
      </c>
      <c r="H943" s="17">
        <v>3150</v>
      </c>
      <c r="I943" s="6">
        <f>Tabela1[[#This Row],[Valor total]]-Tabela1[[#This Row],[Valor custo]]</f>
        <v>1194</v>
      </c>
      <c r="J943" s="7">
        <f>Tabela1[[#This Row],[MARGEM BRUTA]]/Tabela1[[#This Row],[Valor total]]</f>
        <v>0.37904761904761902</v>
      </c>
      <c r="K943" s="1" t="str">
        <f>VLOOKUP(Tabela1[[#This Row],[Cliente]],'BASE DE CLIENTES'!A:D,4,0)</f>
        <v>SERRALHEIRO</v>
      </c>
      <c r="L943" s="1" t="str">
        <f>VLOOKUP(Tabela1[[#This Row],[Cliente]],'BASE DE CLIENTES'!A:E,5,0)</f>
        <v>RECANTO DAS EMAS</v>
      </c>
    </row>
    <row r="944" spans="2:12" x14ac:dyDescent="0.3">
      <c r="B944" s="1" t="s">
        <v>152</v>
      </c>
      <c r="C944" s="4" t="str">
        <f>VLOOKUP(Tabela1[[#This Row],[Cliente]],'BASE DE CLIENTES'!A:E,2,0)</f>
        <v>Aparecida de Goiânia</v>
      </c>
      <c r="D944" s="1" t="str">
        <f>VLOOKUP(Tabela1[[#This Row],[Cliente]],'BASE DE CLIENTES'!A:C,3,0)</f>
        <v>GO</v>
      </c>
      <c r="E944" s="4" t="str">
        <f>CONCATENATE(Tabela1[[#This Row],[CIDADE]],",",Tabela1[[#This Row],[UF]])</f>
        <v>Aparecida de Goiânia,GO</v>
      </c>
      <c r="F944" s="2">
        <v>45861</v>
      </c>
      <c r="G944" s="17">
        <v>382.3</v>
      </c>
      <c r="H944" s="17">
        <v>615</v>
      </c>
      <c r="I944" s="6">
        <f>Tabela1[[#This Row],[Valor total]]-Tabela1[[#This Row],[Valor custo]]</f>
        <v>232.7</v>
      </c>
      <c r="J944" s="7">
        <f>Tabela1[[#This Row],[MARGEM BRUTA]]/Tabela1[[#This Row],[Valor total]]</f>
        <v>0.37837398373983738</v>
      </c>
      <c r="K944" s="1" t="str">
        <f>VLOOKUP(Tabela1[[#This Row],[Cliente]],'BASE DE CLIENTES'!A:D,4,0)</f>
        <v>TECNICO</v>
      </c>
      <c r="L944" s="1" t="str">
        <f>VLOOKUP(Tabela1[[#This Row],[Cliente]],'BASE DE CLIENTES'!A:E,5,0)</f>
        <v>Aparecida de Goiânia</v>
      </c>
    </row>
    <row r="945" spans="2:12" x14ac:dyDescent="0.3">
      <c r="B945" s="1" t="s">
        <v>152</v>
      </c>
      <c r="C945" s="4" t="str">
        <f>VLOOKUP(Tabela1[[#This Row],[Cliente]],'BASE DE CLIENTES'!A:E,2,0)</f>
        <v>Aparecida de Goiânia</v>
      </c>
      <c r="D945" s="1" t="str">
        <f>VLOOKUP(Tabela1[[#This Row],[Cliente]],'BASE DE CLIENTES'!A:C,3,0)</f>
        <v>GO</v>
      </c>
      <c r="E945" s="4" t="str">
        <f>CONCATENATE(Tabela1[[#This Row],[CIDADE]],",",Tabela1[[#This Row],[UF]])</f>
        <v>Aparecida de Goiânia,GO</v>
      </c>
      <c r="F945" s="2">
        <v>45887</v>
      </c>
      <c r="G945" s="17">
        <v>764.6</v>
      </c>
      <c r="H945" s="17">
        <v>1230</v>
      </c>
      <c r="I945" s="6">
        <f>Tabela1[[#This Row],[Valor total]]-Tabela1[[#This Row],[Valor custo]]</f>
        <v>465.4</v>
      </c>
      <c r="J945" s="7">
        <f>Tabela1[[#This Row],[MARGEM BRUTA]]/Tabela1[[#This Row],[Valor total]]</f>
        <v>0.37837398373983738</v>
      </c>
      <c r="K945" s="1" t="str">
        <f>VLOOKUP(Tabela1[[#This Row],[Cliente]],'BASE DE CLIENTES'!A:D,4,0)</f>
        <v>TECNICO</v>
      </c>
      <c r="L945" s="1" t="str">
        <f>VLOOKUP(Tabela1[[#This Row],[Cliente]],'BASE DE CLIENTES'!A:E,5,0)</f>
        <v>Aparecida de Goiânia</v>
      </c>
    </row>
    <row r="946" spans="2:12" x14ac:dyDescent="0.3">
      <c r="B946" s="1" t="s">
        <v>120</v>
      </c>
      <c r="C946" s="4" t="str">
        <f>VLOOKUP(Tabela1[[#This Row],[Cliente]],'BASE DE CLIENTES'!A:E,2,0)</f>
        <v>Brasília</v>
      </c>
      <c r="D946" s="1" t="str">
        <f>VLOOKUP(Tabela1[[#This Row],[Cliente]],'BASE DE CLIENTES'!A:C,3,0)</f>
        <v>DF</v>
      </c>
      <c r="E946" s="4" t="str">
        <f>CONCATENATE(Tabela1[[#This Row],[CIDADE]],",",Tabela1[[#This Row],[UF]])</f>
        <v>Brasília,DF</v>
      </c>
      <c r="F946" s="2">
        <v>45779</v>
      </c>
      <c r="G946" s="17">
        <v>41</v>
      </c>
      <c r="H946" s="17">
        <v>55</v>
      </c>
      <c r="I946" s="6">
        <f>Tabela1[[#This Row],[Valor total]]-Tabela1[[#This Row],[Valor custo]]</f>
        <v>14</v>
      </c>
      <c r="J946" s="7">
        <f>Tabela1[[#This Row],[MARGEM BRUTA]]/Tabela1[[#This Row],[Valor total]]</f>
        <v>0.25454545454545452</v>
      </c>
      <c r="K946" s="1" t="str">
        <f>VLOOKUP(Tabela1[[#This Row],[Cliente]],'BASE DE CLIENTES'!A:D,4,0)</f>
        <v>EMPRESA SEM MAQUINA</v>
      </c>
      <c r="L946" s="1" t="str">
        <f>VLOOKUP(Tabela1[[#This Row],[Cliente]],'BASE DE CLIENTES'!A:E,5,0)</f>
        <v>SAMAMBAIA</v>
      </c>
    </row>
    <row r="947" spans="2:12" x14ac:dyDescent="0.3">
      <c r="B947" s="1" t="s">
        <v>152</v>
      </c>
      <c r="C947" s="4" t="str">
        <f>VLOOKUP(Tabela1[[#This Row],[Cliente]],'BASE DE CLIENTES'!A:E,2,0)</f>
        <v>Aparecida de Goiânia</v>
      </c>
      <c r="D947" s="1" t="str">
        <f>VLOOKUP(Tabela1[[#This Row],[Cliente]],'BASE DE CLIENTES'!A:C,3,0)</f>
        <v>GO</v>
      </c>
      <c r="E947" s="4" t="str">
        <f>CONCATENATE(Tabela1[[#This Row],[CIDADE]],",",Tabela1[[#This Row],[UF]])</f>
        <v>Aparecida de Goiânia,GO</v>
      </c>
      <c r="F947" s="2">
        <v>45874</v>
      </c>
      <c r="G947" s="17">
        <v>382.3</v>
      </c>
      <c r="H947" s="17">
        <v>615</v>
      </c>
      <c r="I947" s="6">
        <f>Tabela1[[#This Row],[Valor total]]-Tabela1[[#This Row],[Valor custo]]</f>
        <v>232.7</v>
      </c>
      <c r="J947" s="7">
        <f>Tabela1[[#This Row],[MARGEM BRUTA]]/Tabela1[[#This Row],[Valor total]]</f>
        <v>0.37837398373983738</v>
      </c>
      <c r="K947" s="1" t="str">
        <f>VLOOKUP(Tabela1[[#This Row],[Cliente]],'BASE DE CLIENTES'!A:D,4,0)</f>
        <v>TECNICO</v>
      </c>
      <c r="L947" s="1" t="str">
        <f>VLOOKUP(Tabela1[[#This Row],[Cliente]],'BASE DE CLIENTES'!A:E,5,0)</f>
        <v>Aparecida de Goiânia</v>
      </c>
    </row>
    <row r="948" spans="2:12" x14ac:dyDescent="0.3">
      <c r="B948" s="1" t="s">
        <v>120</v>
      </c>
      <c r="C948" s="4" t="str">
        <f>VLOOKUP(Tabela1[[#This Row],[Cliente]],'BASE DE CLIENTES'!A:E,2,0)</f>
        <v>Brasília</v>
      </c>
      <c r="D948" s="1" t="str">
        <f>VLOOKUP(Tabela1[[#This Row],[Cliente]],'BASE DE CLIENTES'!A:C,3,0)</f>
        <v>DF</v>
      </c>
      <c r="E948" s="4" t="str">
        <f>CONCATENATE(Tabela1[[#This Row],[CIDADE]],",",Tabela1[[#This Row],[UF]])</f>
        <v>Brasília,DF</v>
      </c>
      <c r="F948" s="2">
        <v>45778</v>
      </c>
      <c r="G948" s="17">
        <v>894</v>
      </c>
      <c r="H948" s="17">
        <v>1240</v>
      </c>
      <c r="I948" s="6">
        <f>Tabela1[[#This Row],[Valor total]]-Tabela1[[#This Row],[Valor custo]]</f>
        <v>346</v>
      </c>
      <c r="J948" s="7">
        <f>Tabela1[[#This Row],[MARGEM BRUTA]]/Tabela1[[#This Row],[Valor total]]</f>
        <v>0.27903225806451615</v>
      </c>
      <c r="K948" s="1" t="str">
        <f>VLOOKUP(Tabela1[[#This Row],[Cliente]],'BASE DE CLIENTES'!A:D,4,0)</f>
        <v>EMPRESA SEM MAQUINA</v>
      </c>
      <c r="L948" s="1" t="str">
        <f>VLOOKUP(Tabela1[[#This Row],[Cliente]],'BASE DE CLIENTES'!A:E,5,0)</f>
        <v>SAMAMBAIA</v>
      </c>
    </row>
    <row r="949" spans="2:12" x14ac:dyDescent="0.3">
      <c r="B949" s="1" t="s">
        <v>55</v>
      </c>
      <c r="C949" s="4" t="str">
        <f>VLOOKUP(Tabela1[[#This Row],[Cliente]],'BASE DE CLIENTES'!A:E,2,0)</f>
        <v>Brasília</v>
      </c>
      <c r="D949" s="1" t="str">
        <f>VLOOKUP(Tabela1[[#This Row],[Cliente]],'BASE DE CLIENTES'!A:C,3,0)</f>
        <v>DF</v>
      </c>
      <c r="E949" s="4" t="str">
        <f>CONCATENATE(Tabela1[[#This Row],[CIDADE]],",",Tabela1[[#This Row],[UF]])</f>
        <v>Brasília,DF</v>
      </c>
      <c r="F949" s="2">
        <v>45755</v>
      </c>
      <c r="G949" s="17">
        <v>0</v>
      </c>
      <c r="H949" s="17">
        <v>160</v>
      </c>
      <c r="I949" s="6">
        <f>Tabela1[[#This Row],[Valor total]]-Tabela1[[#This Row],[Valor custo]]</f>
        <v>160</v>
      </c>
      <c r="J949" s="7">
        <f>Tabela1[[#This Row],[MARGEM BRUTA]]/Tabela1[[#This Row],[Valor total]]</f>
        <v>1</v>
      </c>
      <c r="K949" s="1" t="str">
        <f>VLOOKUP(Tabela1[[#This Row],[Cliente]],'BASE DE CLIENTES'!A:D,4,0)</f>
        <v>EMPRESA SEM MAQUINA</v>
      </c>
      <c r="L949" s="1" t="str">
        <f>VLOOKUP(Tabela1[[#This Row],[Cliente]],'BASE DE CLIENTES'!A:E,5,0)</f>
        <v>RECANTO DAS EMAS</v>
      </c>
    </row>
    <row r="950" spans="2:12" x14ac:dyDescent="0.3">
      <c r="B950" s="1" t="s">
        <v>55</v>
      </c>
      <c r="C950" s="4" t="str">
        <f>VLOOKUP(Tabela1[[#This Row],[Cliente]],'BASE DE CLIENTES'!A:E,2,0)</f>
        <v>Brasília</v>
      </c>
      <c r="D950" s="1" t="str">
        <f>VLOOKUP(Tabela1[[#This Row],[Cliente]],'BASE DE CLIENTES'!A:C,3,0)</f>
        <v>DF</v>
      </c>
      <c r="E950" s="4" t="str">
        <f>CONCATENATE(Tabela1[[#This Row],[CIDADE]],",",Tabela1[[#This Row],[UF]])</f>
        <v>Brasília,DF</v>
      </c>
      <c r="F950" s="2">
        <v>45755</v>
      </c>
      <c r="G950" s="17">
        <v>757</v>
      </c>
      <c r="H950" s="17">
        <v>1550</v>
      </c>
      <c r="I950" s="6">
        <f>Tabela1[[#This Row],[Valor total]]-Tabela1[[#This Row],[Valor custo]]</f>
        <v>793</v>
      </c>
      <c r="J950" s="7">
        <f>Tabela1[[#This Row],[MARGEM BRUTA]]/Tabela1[[#This Row],[Valor total]]</f>
        <v>0.51161290322580644</v>
      </c>
      <c r="K950" s="1" t="str">
        <f>VLOOKUP(Tabela1[[#This Row],[Cliente]],'BASE DE CLIENTES'!A:D,4,0)</f>
        <v>EMPRESA SEM MAQUINA</v>
      </c>
      <c r="L950" s="1" t="str">
        <f>VLOOKUP(Tabela1[[#This Row],[Cliente]],'BASE DE CLIENTES'!A:E,5,0)</f>
        <v>RECANTO DAS EMAS</v>
      </c>
    </row>
    <row r="951" spans="2:12" x14ac:dyDescent="0.3">
      <c r="B951" s="1" t="s">
        <v>152</v>
      </c>
      <c r="C951" s="4" t="str">
        <f>VLOOKUP(Tabela1[[#This Row],[Cliente]],'BASE DE CLIENTES'!A:E,2,0)</f>
        <v>Aparecida de Goiânia</v>
      </c>
      <c r="D951" s="1" t="str">
        <f>VLOOKUP(Tabela1[[#This Row],[Cliente]],'BASE DE CLIENTES'!A:C,3,0)</f>
        <v>GO</v>
      </c>
      <c r="E951" s="4" t="str">
        <f>CONCATENATE(Tabela1[[#This Row],[CIDADE]],",",Tabela1[[#This Row],[UF]])</f>
        <v>Aparecida de Goiânia,GO</v>
      </c>
      <c r="F951" s="2">
        <v>45856</v>
      </c>
      <c r="G951" s="17">
        <v>1118</v>
      </c>
      <c r="H951" s="17">
        <v>1800</v>
      </c>
      <c r="I951" s="6">
        <f>Tabela1[[#This Row],[Valor total]]-Tabela1[[#This Row],[Valor custo]]</f>
        <v>682</v>
      </c>
      <c r="J951" s="7">
        <f>Tabela1[[#This Row],[MARGEM BRUTA]]/Tabela1[[#This Row],[Valor total]]</f>
        <v>0.37888888888888889</v>
      </c>
      <c r="K951" s="1" t="str">
        <f>VLOOKUP(Tabela1[[#This Row],[Cliente]],'BASE DE CLIENTES'!A:D,4,0)</f>
        <v>TECNICO</v>
      </c>
      <c r="L951" s="1" t="str">
        <f>VLOOKUP(Tabela1[[#This Row],[Cliente]],'BASE DE CLIENTES'!A:E,5,0)</f>
        <v>Aparecida de Goiânia</v>
      </c>
    </row>
    <row r="952" spans="2:12" x14ac:dyDescent="0.3">
      <c r="B952" s="1" t="s">
        <v>152</v>
      </c>
      <c r="C952" s="4" t="str">
        <f>VLOOKUP(Tabela1[[#This Row],[Cliente]],'BASE DE CLIENTES'!A:E,2,0)</f>
        <v>Aparecida de Goiânia</v>
      </c>
      <c r="D952" s="1" t="str">
        <f>VLOOKUP(Tabela1[[#This Row],[Cliente]],'BASE DE CLIENTES'!A:C,3,0)</f>
        <v>GO</v>
      </c>
      <c r="E952" s="4" t="str">
        <f>CONCATENATE(Tabela1[[#This Row],[CIDADE]],",",Tabela1[[#This Row],[UF]])</f>
        <v>Aparecida de Goiânia,GO</v>
      </c>
      <c r="F952" s="2">
        <v>45782</v>
      </c>
      <c r="G952" s="17">
        <v>1563</v>
      </c>
      <c r="H952" s="17">
        <v>2520</v>
      </c>
      <c r="I952" s="6">
        <f>Tabela1[[#This Row],[Valor total]]-Tabela1[[#This Row],[Valor custo]]</f>
        <v>957</v>
      </c>
      <c r="J952" s="7">
        <f>Tabela1[[#This Row],[MARGEM BRUTA]]/Tabela1[[#This Row],[Valor total]]</f>
        <v>0.37976190476190474</v>
      </c>
      <c r="K952" s="1" t="str">
        <f>VLOOKUP(Tabela1[[#This Row],[Cliente]],'BASE DE CLIENTES'!A:D,4,0)</f>
        <v>TECNICO</v>
      </c>
      <c r="L952" s="1" t="str">
        <f>VLOOKUP(Tabela1[[#This Row],[Cliente]],'BASE DE CLIENTES'!A:E,5,0)</f>
        <v>Aparecida de Goiânia</v>
      </c>
    </row>
    <row r="953" spans="2:12" x14ac:dyDescent="0.3">
      <c r="B953" s="1" t="s">
        <v>113</v>
      </c>
      <c r="C953" s="4" t="str">
        <f>VLOOKUP(Tabela1[[#This Row],[Cliente]],'BASE DE CLIENTES'!A:E,2,0)</f>
        <v>Brasília</v>
      </c>
      <c r="D953" s="1" t="str">
        <f>VLOOKUP(Tabela1[[#This Row],[Cliente]],'BASE DE CLIENTES'!A:C,3,0)</f>
        <v>DF</v>
      </c>
      <c r="E953" s="4" t="str">
        <f>CONCATENATE(Tabela1[[#This Row],[CIDADE]],",",Tabela1[[#This Row],[UF]])</f>
        <v>Brasília,DF</v>
      </c>
      <c r="F953" s="2">
        <v>45755</v>
      </c>
      <c r="G953" s="17">
        <v>920</v>
      </c>
      <c r="H953" s="17">
        <v>1330</v>
      </c>
      <c r="I953" s="6">
        <f>Tabela1[[#This Row],[Valor total]]-Tabela1[[#This Row],[Valor custo]]</f>
        <v>410</v>
      </c>
      <c r="J953" s="7">
        <f>Tabela1[[#This Row],[MARGEM BRUTA]]/Tabela1[[#This Row],[Valor total]]</f>
        <v>0.30827067669172931</v>
      </c>
      <c r="K953" s="1" t="str">
        <f>VLOOKUP(Tabela1[[#This Row],[Cliente]],'BASE DE CLIENTES'!A:D,4,0)</f>
        <v>EMPRESA COM MAQUINA</v>
      </c>
      <c r="L953" s="1" t="str">
        <f>VLOOKUP(Tabela1[[#This Row],[Cliente]],'BASE DE CLIENTES'!A:E,5,0)</f>
        <v>FAZENDA MESTRE D'ARMAS (ETAPA I - PLANALTINA)</v>
      </c>
    </row>
    <row r="954" spans="2:12" x14ac:dyDescent="0.3">
      <c r="B954" s="1" t="s">
        <v>15</v>
      </c>
      <c r="C954" s="4" t="str">
        <f>VLOOKUP(Tabela1[[#This Row],[Cliente]],'BASE DE CLIENTES'!A:E,2,0)</f>
        <v>Brasília</v>
      </c>
      <c r="D954" s="1" t="str">
        <f>VLOOKUP(Tabela1[[#This Row],[Cliente]],'BASE DE CLIENTES'!A:C,3,0)</f>
        <v>DF</v>
      </c>
      <c r="E954" s="4" t="str">
        <f>CONCATENATE(Tabela1[[#This Row],[CIDADE]],",",Tabela1[[#This Row],[UF]])</f>
        <v>Brasília,DF</v>
      </c>
      <c r="F954" s="2">
        <v>45755</v>
      </c>
      <c r="G954" s="17">
        <v>372.21</v>
      </c>
      <c r="H954" s="17">
        <v>485</v>
      </c>
      <c r="I954" s="6">
        <f>Tabela1[[#This Row],[Valor total]]-Tabela1[[#This Row],[Valor custo]]</f>
        <v>112.79000000000002</v>
      </c>
      <c r="J954" s="7">
        <f>Tabela1[[#This Row],[MARGEM BRUTA]]/Tabela1[[#This Row],[Valor total]]</f>
        <v>0.23255670103092788</v>
      </c>
      <c r="K954" s="1" t="str">
        <f>VLOOKUP(Tabela1[[#This Row],[Cliente]],'BASE DE CLIENTES'!A:D,4,0)</f>
        <v>SERRALHEIRO</v>
      </c>
      <c r="L954" s="1" t="str">
        <f>VLOOKUP(Tabela1[[#This Row],[Cliente]],'BASE DE CLIENTES'!A:E,5,0)</f>
        <v>SETOR HABITACIONAL VICENTE PIRES</v>
      </c>
    </row>
    <row r="955" spans="2:12" x14ac:dyDescent="0.3">
      <c r="B955" s="1" t="s">
        <v>152</v>
      </c>
      <c r="C955" s="4" t="str">
        <f>VLOOKUP(Tabela1[[#This Row],[Cliente]],'BASE DE CLIENTES'!A:E,2,0)</f>
        <v>Aparecida de Goiânia</v>
      </c>
      <c r="D955" s="1" t="str">
        <f>VLOOKUP(Tabela1[[#This Row],[Cliente]],'BASE DE CLIENTES'!A:C,3,0)</f>
        <v>GO</v>
      </c>
      <c r="E955" s="4" t="str">
        <f>CONCATENATE(Tabela1[[#This Row],[CIDADE]],",",Tabela1[[#This Row],[UF]])</f>
        <v>Aparecida de Goiânia,GO</v>
      </c>
      <c r="F955" s="2">
        <v>45869</v>
      </c>
      <c r="G955" s="17">
        <v>432.79</v>
      </c>
      <c r="H955" s="17">
        <v>700</v>
      </c>
      <c r="I955" s="6">
        <f>Tabela1[[#This Row],[Valor total]]-Tabela1[[#This Row],[Valor custo]]</f>
        <v>267.20999999999998</v>
      </c>
      <c r="J955" s="7">
        <f>Tabela1[[#This Row],[MARGEM BRUTA]]/Tabela1[[#This Row],[Valor total]]</f>
        <v>0.38172857142857142</v>
      </c>
      <c r="K955" s="1" t="str">
        <f>VLOOKUP(Tabela1[[#This Row],[Cliente]],'BASE DE CLIENTES'!A:D,4,0)</f>
        <v>TECNICO</v>
      </c>
      <c r="L955" s="1" t="str">
        <f>VLOOKUP(Tabela1[[#This Row],[Cliente]],'BASE DE CLIENTES'!A:E,5,0)</f>
        <v>Aparecida de Goiânia</v>
      </c>
    </row>
    <row r="956" spans="2:12" x14ac:dyDescent="0.3">
      <c r="B956" s="1" t="s">
        <v>152</v>
      </c>
      <c r="C956" s="4" t="str">
        <f>VLOOKUP(Tabela1[[#This Row],[Cliente]],'BASE DE CLIENTES'!A:E,2,0)</f>
        <v>Aparecida de Goiânia</v>
      </c>
      <c r="D956" s="1" t="str">
        <f>VLOOKUP(Tabela1[[#This Row],[Cliente]],'BASE DE CLIENTES'!A:C,3,0)</f>
        <v>GO</v>
      </c>
      <c r="E956" s="4" t="str">
        <f>CONCATENATE(Tabela1[[#This Row],[CIDADE]],",",Tabela1[[#This Row],[UF]])</f>
        <v>Aparecida de Goiânia,GO</v>
      </c>
      <c r="F956" s="2">
        <v>45894</v>
      </c>
      <c r="G956" s="17">
        <v>432.79</v>
      </c>
      <c r="H956" s="17">
        <v>700</v>
      </c>
      <c r="I956" s="6">
        <f>Tabela1[[#This Row],[Valor total]]-Tabela1[[#This Row],[Valor custo]]</f>
        <v>267.20999999999998</v>
      </c>
      <c r="J956" s="7">
        <f>Tabela1[[#This Row],[MARGEM BRUTA]]/Tabela1[[#This Row],[Valor total]]</f>
        <v>0.38172857142857142</v>
      </c>
      <c r="K956" s="1" t="str">
        <f>VLOOKUP(Tabela1[[#This Row],[Cliente]],'BASE DE CLIENTES'!A:D,4,0)</f>
        <v>TECNICO</v>
      </c>
      <c r="L956" s="1" t="str">
        <f>VLOOKUP(Tabela1[[#This Row],[Cliente]],'BASE DE CLIENTES'!A:E,5,0)</f>
        <v>Aparecida de Goiânia</v>
      </c>
    </row>
    <row r="957" spans="2:12" x14ac:dyDescent="0.3">
      <c r="B957" s="1" t="s">
        <v>27</v>
      </c>
      <c r="C957" s="4" t="str">
        <f>VLOOKUP(Tabela1[[#This Row],[Cliente]],'BASE DE CLIENTES'!A:E,2,0)</f>
        <v>Brasília</v>
      </c>
      <c r="D957" s="1" t="str">
        <f>VLOOKUP(Tabela1[[#This Row],[Cliente]],'BASE DE CLIENTES'!A:C,3,0)</f>
        <v>DF</v>
      </c>
      <c r="E957" s="4" t="str">
        <f>CONCATENATE(Tabela1[[#This Row],[CIDADE]],",",Tabela1[[#This Row],[UF]])</f>
        <v>Brasília,DF</v>
      </c>
      <c r="F957" s="2">
        <v>45755</v>
      </c>
      <c r="G957" s="17">
        <v>27.38</v>
      </c>
      <c r="H957" s="17">
        <v>380</v>
      </c>
      <c r="I957" s="6">
        <f>Tabela1[[#This Row],[Valor total]]-Tabela1[[#This Row],[Valor custo]]</f>
        <v>352.62</v>
      </c>
      <c r="J957" s="7">
        <f>Tabela1[[#This Row],[MARGEM BRUTA]]/Tabela1[[#This Row],[Valor total]]</f>
        <v>0.92794736842105263</v>
      </c>
      <c r="K957" s="1" t="str">
        <f>VLOOKUP(Tabela1[[#This Row],[Cliente]],'BASE DE CLIENTES'!A:D,4,0)</f>
        <v>EMPRESA SEM MAQUINA</v>
      </c>
      <c r="L957" s="1" t="str">
        <f>VLOOKUP(Tabela1[[#This Row],[Cliente]],'BASE DE CLIENTES'!A:E,5,0)</f>
        <v>RECANTO DAS EMAS</v>
      </c>
    </row>
    <row r="958" spans="2:12" x14ac:dyDescent="0.3">
      <c r="B958" s="1" t="s">
        <v>96</v>
      </c>
      <c r="C958" s="4" t="str">
        <f>VLOOKUP(Tabela1[[#This Row],[Cliente]],'BASE DE CLIENTES'!A:E,2,0)</f>
        <v>Brasília</v>
      </c>
      <c r="D958" s="1" t="str">
        <f>VLOOKUP(Tabela1[[#This Row],[Cliente]],'BASE DE CLIENTES'!A:C,3,0)</f>
        <v>DF</v>
      </c>
      <c r="E958" s="4" t="str">
        <f>CONCATENATE(Tabela1[[#This Row],[CIDADE]],",",Tabela1[[#This Row],[UF]])</f>
        <v>Brasília,DF</v>
      </c>
      <c r="F958" s="2">
        <v>45755</v>
      </c>
      <c r="G958" s="17">
        <v>0</v>
      </c>
      <c r="H958" s="17">
        <v>189.9</v>
      </c>
      <c r="I958" s="6">
        <f>Tabela1[[#This Row],[Valor total]]-Tabela1[[#This Row],[Valor custo]]</f>
        <v>189.9</v>
      </c>
      <c r="J958" s="7">
        <f>Tabela1[[#This Row],[MARGEM BRUTA]]/Tabela1[[#This Row],[Valor total]]</f>
        <v>1</v>
      </c>
      <c r="K958" s="1" t="str">
        <f>VLOOKUP(Tabela1[[#This Row],[Cliente]],'BASE DE CLIENTES'!A:D,4,0)</f>
        <v>EMPRESA SEM MAQUINA</v>
      </c>
      <c r="L958" s="1" t="str">
        <f>VLOOKUP(Tabela1[[#This Row],[Cliente]],'BASE DE CLIENTES'!A:E,5,0)</f>
        <v>CEILANDIA NORTE (CEILANDIA)</v>
      </c>
    </row>
    <row r="959" spans="2:12" x14ac:dyDescent="0.3">
      <c r="B959" s="1" t="s">
        <v>80</v>
      </c>
      <c r="C959" s="4" t="str">
        <f>VLOOKUP(Tabela1[[#This Row],[Cliente]],'BASE DE CLIENTES'!A:E,2,0)</f>
        <v>Brasília</v>
      </c>
      <c r="D959" s="1" t="str">
        <f>VLOOKUP(Tabela1[[#This Row],[Cliente]],'BASE DE CLIENTES'!A:C,3,0)</f>
        <v>DF</v>
      </c>
      <c r="E959" s="4" t="str">
        <f>CONCATENATE(Tabela1[[#This Row],[CIDADE]],",",Tabela1[[#This Row],[UF]])</f>
        <v>Brasília,DF</v>
      </c>
      <c r="F959" s="2">
        <v>45755</v>
      </c>
      <c r="G959" s="17">
        <v>646</v>
      </c>
      <c r="H959" s="17">
        <v>990</v>
      </c>
      <c r="I959" s="6">
        <f>Tabela1[[#This Row],[Valor total]]-Tabela1[[#This Row],[Valor custo]]</f>
        <v>344</v>
      </c>
      <c r="J959" s="7">
        <f>Tabela1[[#This Row],[MARGEM BRUTA]]/Tabela1[[#This Row],[Valor total]]</f>
        <v>0.34747474747474749</v>
      </c>
      <c r="K959" s="1" t="str">
        <f>VLOOKUP(Tabela1[[#This Row],[Cliente]],'BASE DE CLIENTES'!A:D,4,0)</f>
        <v>EMPRESA SEM MAQUINA</v>
      </c>
      <c r="L959" s="1" t="str">
        <f>VLOOKUP(Tabela1[[#This Row],[Cliente]],'BASE DE CLIENTES'!A:E,5,0)</f>
        <v>JOKEY</v>
      </c>
    </row>
    <row r="960" spans="2:12" x14ac:dyDescent="0.3">
      <c r="B960" s="1" t="s">
        <v>152</v>
      </c>
      <c r="C960" s="4" t="str">
        <f>VLOOKUP(Tabela1[[#This Row],[Cliente]],'BASE DE CLIENTES'!A:E,2,0)</f>
        <v>Aparecida de Goiânia</v>
      </c>
      <c r="D960" s="1" t="str">
        <f>VLOOKUP(Tabela1[[#This Row],[Cliente]],'BASE DE CLIENTES'!A:C,3,0)</f>
        <v>GO</v>
      </c>
      <c r="E960" s="4" t="str">
        <f>CONCATENATE(Tabela1[[#This Row],[CIDADE]],",",Tabela1[[#This Row],[UF]])</f>
        <v>Aparecida de Goiânia,GO</v>
      </c>
      <c r="F960" s="2">
        <v>45877</v>
      </c>
      <c r="G960" s="17">
        <v>432.79</v>
      </c>
      <c r="H960" s="17">
        <v>700</v>
      </c>
      <c r="I960" s="6">
        <f>Tabela1[[#This Row],[Valor total]]-Tabela1[[#This Row],[Valor custo]]</f>
        <v>267.20999999999998</v>
      </c>
      <c r="J960" s="7">
        <f>Tabela1[[#This Row],[MARGEM BRUTA]]/Tabela1[[#This Row],[Valor total]]</f>
        <v>0.38172857142857142</v>
      </c>
      <c r="K960" s="1" t="str">
        <f>VLOOKUP(Tabela1[[#This Row],[Cliente]],'BASE DE CLIENTES'!A:D,4,0)</f>
        <v>TECNICO</v>
      </c>
      <c r="L960" s="1" t="str">
        <f>VLOOKUP(Tabela1[[#This Row],[Cliente]],'BASE DE CLIENTES'!A:E,5,0)</f>
        <v>Aparecida de Goiânia</v>
      </c>
    </row>
    <row r="961" spans="2:12" x14ac:dyDescent="0.3">
      <c r="B961" s="1" t="s">
        <v>161</v>
      </c>
      <c r="C961" s="4" t="str">
        <f>VLOOKUP(Tabela1[[#This Row],[Cliente]],'BASE DE CLIENTES'!A:E,2,0)</f>
        <v>Brasília</v>
      </c>
      <c r="D961" s="1" t="str">
        <f>VLOOKUP(Tabela1[[#This Row],[Cliente]],'BASE DE CLIENTES'!A:C,3,0)</f>
        <v>DF</v>
      </c>
      <c r="E961" s="4" t="str">
        <f>CONCATENATE(Tabela1[[#This Row],[CIDADE]],",",Tabela1[[#This Row],[UF]])</f>
        <v>Brasília,DF</v>
      </c>
      <c r="F961" s="2">
        <v>45754</v>
      </c>
      <c r="G961" s="17">
        <v>1480</v>
      </c>
      <c r="H961" s="17">
        <v>2800</v>
      </c>
      <c r="I961" s="6">
        <f>Tabela1[[#This Row],[Valor total]]-Tabela1[[#This Row],[Valor custo]]</f>
        <v>1320</v>
      </c>
      <c r="J961" s="7">
        <f>Tabela1[[#This Row],[MARGEM BRUTA]]/Tabela1[[#This Row],[Valor total]]</f>
        <v>0.47142857142857142</v>
      </c>
      <c r="K961" s="1" t="str">
        <f>VLOOKUP(Tabela1[[#This Row],[Cliente]],'BASE DE CLIENTES'!A:D,4,0)</f>
        <v>EMPRESA COM MAQUINA</v>
      </c>
      <c r="L961" s="1" t="str">
        <f>VLOOKUP(Tabela1[[#This Row],[Cliente]],'BASE DE CLIENTES'!A:E,5,0)</f>
        <v>RIACHO FUNDO II</v>
      </c>
    </row>
    <row r="962" spans="2:12" x14ac:dyDescent="0.3">
      <c r="B962" s="1" t="s">
        <v>42</v>
      </c>
      <c r="C962" s="4" t="str">
        <f>VLOOKUP(Tabela1[[#This Row],[Cliente]],'BASE DE CLIENTES'!A:E,2,0)</f>
        <v>Brasília</v>
      </c>
      <c r="D962" s="1" t="str">
        <f>VLOOKUP(Tabela1[[#This Row],[Cliente]],'BASE DE CLIENTES'!A:C,3,0)</f>
        <v>DF</v>
      </c>
      <c r="E962" s="4" t="str">
        <f>CONCATENATE(Tabela1[[#This Row],[CIDADE]],",",Tabela1[[#This Row],[UF]])</f>
        <v>Brasília,DF</v>
      </c>
      <c r="F962" s="2">
        <v>45754</v>
      </c>
      <c r="G962" s="17">
        <v>79</v>
      </c>
      <c r="H962" s="17">
        <v>350</v>
      </c>
      <c r="I962" s="6">
        <f>Tabela1[[#This Row],[Valor total]]-Tabela1[[#This Row],[Valor custo]]</f>
        <v>271</v>
      </c>
      <c r="J962" s="7">
        <f>Tabela1[[#This Row],[MARGEM BRUTA]]/Tabela1[[#This Row],[Valor total]]</f>
        <v>0.77428571428571424</v>
      </c>
      <c r="K962" s="1" t="str">
        <f>VLOOKUP(Tabela1[[#This Row],[Cliente]],'BASE DE CLIENTES'!A:D,4,0)</f>
        <v>EMPRESA SEM MAQUINA</v>
      </c>
      <c r="L962" s="1" t="str">
        <f>VLOOKUP(Tabela1[[#This Row],[Cliente]],'BASE DE CLIENTES'!A:E,5,0)</f>
        <v>SAMAMBAIA</v>
      </c>
    </row>
    <row r="963" spans="2:12" x14ac:dyDescent="0.3">
      <c r="B963" s="1" t="s">
        <v>27</v>
      </c>
      <c r="C963" s="4" t="str">
        <f>VLOOKUP(Tabela1[[#This Row],[Cliente]],'BASE DE CLIENTES'!A:E,2,0)</f>
        <v>Brasília</v>
      </c>
      <c r="D963" s="1" t="str">
        <f>VLOOKUP(Tabela1[[#This Row],[Cliente]],'BASE DE CLIENTES'!A:C,3,0)</f>
        <v>DF</v>
      </c>
      <c r="E963" s="4" t="str">
        <f>CONCATENATE(Tabela1[[#This Row],[CIDADE]],",",Tabela1[[#This Row],[UF]])</f>
        <v>Brasília,DF</v>
      </c>
      <c r="F963" s="2">
        <v>45754</v>
      </c>
      <c r="G963" s="17">
        <v>409.87</v>
      </c>
      <c r="H963" s="17">
        <v>570</v>
      </c>
      <c r="I963" s="6">
        <f>Tabela1[[#This Row],[Valor total]]-Tabela1[[#This Row],[Valor custo]]</f>
        <v>160.13</v>
      </c>
      <c r="J963" s="7">
        <f>Tabela1[[#This Row],[MARGEM BRUTA]]/Tabela1[[#This Row],[Valor total]]</f>
        <v>0.28092982456140347</v>
      </c>
      <c r="K963" s="1" t="str">
        <f>VLOOKUP(Tabela1[[#This Row],[Cliente]],'BASE DE CLIENTES'!A:D,4,0)</f>
        <v>EMPRESA SEM MAQUINA</v>
      </c>
      <c r="L963" s="1" t="str">
        <f>VLOOKUP(Tabela1[[#This Row],[Cliente]],'BASE DE CLIENTES'!A:E,5,0)</f>
        <v>RECANTO DAS EMAS</v>
      </c>
    </row>
    <row r="964" spans="2:12" x14ac:dyDescent="0.3">
      <c r="B964" s="1" t="s">
        <v>152</v>
      </c>
      <c r="C964" s="4" t="str">
        <f>VLOOKUP(Tabela1[[#This Row],[Cliente]],'BASE DE CLIENTES'!A:E,2,0)</f>
        <v>Aparecida de Goiânia</v>
      </c>
      <c r="D964" s="1" t="str">
        <f>VLOOKUP(Tabela1[[#This Row],[Cliente]],'BASE DE CLIENTES'!A:C,3,0)</f>
        <v>GO</v>
      </c>
      <c r="E964" s="4" t="str">
        <f>CONCATENATE(Tabela1[[#This Row],[CIDADE]],",",Tabela1[[#This Row],[UF]])</f>
        <v>Aparecida de Goiânia,GO</v>
      </c>
      <c r="F964" s="2">
        <v>45743</v>
      </c>
      <c r="G964" s="17">
        <v>49.21</v>
      </c>
      <c r="H964" s="17">
        <v>80</v>
      </c>
      <c r="I964" s="6">
        <f>Tabela1[[#This Row],[Valor total]]-Tabela1[[#This Row],[Valor custo]]</f>
        <v>30.79</v>
      </c>
      <c r="J964" s="7">
        <f>Tabela1[[#This Row],[MARGEM BRUTA]]/Tabela1[[#This Row],[Valor total]]</f>
        <v>0.38487499999999997</v>
      </c>
      <c r="K964" s="1" t="str">
        <f>VLOOKUP(Tabela1[[#This Row],[Cliente]],'BASE DE CLIENTES'!A:D,4,0)</f>
        <v>TECNICO</v>
      </c>
      <c r="L964" s="1" t="str">
        <f>VLOOKUP(Tabela1[[#This Row],[Cliente]],'BASE DE CLIENTES'!A:E,5,0)</f>
        <v>Aparecida de Goiânia</v>
      </c>
    </row>
    <row r="965" spans="2:12" x14ac:dyDescent="0.3">
      <c r="B965" s="1" t="s">
        <v>152</v>
      </c>
      <c r="C965" s="4" t="str">
        <f>VLOOKUP(Tabela1[[#This Row],[Cliente]],'BASE DE CLIENTES'!A:E,2,0)</f>
        <v>Aparecida de Goiânia</v>
      </c>
      <c r="D965" s="1" t="str">
        <f>VLOOKUP(Tabela1[[#This Row],[Cliente]],'BASE DE CLIENTES'!A:C,3,0)</f>
        <v>GO</v>
      </c>
      <c r="E965" s="4" t="str">
        <f>CONCATENATE(Tabela1[[#This Row],[CIDADE]],",",Tabela1[[#This Row],[UF]])</f>
        <v>Aparecida de Goiânia,GO</v>
      </c>
      <c r="F965" s="2">
        <v>45741</v>
      </c>
      <c r="G965" s="17">
        <v>49.21</v>
      </c>
      <c r="H965" s="17">
        <v>80</v>
      </c>
      <c r="I965" s="6">
        <f>Tabela1[[#This Row],[Valor total]]-Tabela1[[#This Row],[Valor custo]]</f>
        <v>30.79</v>
      </c>
      <c r="J965" s="7">
        <f>Tabela1[[#This Row],[MARGEM BRUTA]]/Tabela1[[#This Row],[Valor total]]</f>
        <v>0.38487499999999997</v>
      </c>
      <c r="K965" s="1" t="str">
        <f>VLOOKUP(Tabela1[[#This Row],[Cliente]],'BASE DE CLIENTES'!A:D,4,0)</f>
        <v>TECNICO</v>
      </c>
      <c r="L965" s="1" t="str">
        <f>VLOOKUP(Tabela1[[#This Row],[Cliente]],'BASE DE CLIENTES'!A:E,5,0)</f>
        <v>Aparecida de Goiânia</v>
      </c>
    </row>
    <row r="966" spans="2:12" x14ac:dyDescent="0.3">
      <c r="B966" s="1" t="s">
        <v>152</v>
      </c>
      <c r="C966" s="4" t="str">
        <f>VLOOKUP(Tabela1[[#This Row],[Cliente]],'BASE DE CLIENTES'!A:E,2,0)</f>
        <v>Aparecida de Goiânia</v>
      </c>
      <c r="D966" s="1" t="str">
        <f>VLOOKUP(Tabela1[[#This Row],[Cliente]],'BASE DE CLIENTES'!A:C,3,0)</f>
        <v>GO</v>
      </c>
      <c r="E966" s="4" t="str">
        <f>CONCATENATE(Tabela1[[#This Row],[CIDADE]],",",Tabela1[[#This Row],[UF]])</f>
        <v>Aparecida de Goiânia,GO</v>
      </c>
      <c r="F966" s="2">
        <v>45737</v>
      </c>
      <c r="G966" s="17">
        <v>49.21</v>
      </c>
      <c r="H966" s="17">
        <v>80</v>
      </c>
      <c r="I966" s="6">
        <f>Tabela1[[#This Row],[Valor total]]-Tabela1[[#This Row],[Valor custo]]</f>
        <v>30.79</v>
      </c>
      <c r="J966" s="7">
        <f>Tabela1[[#This Row],[MARGEM BRUTA]]/Tabela1[[#This Row],[Valor total]]</f>
        <v>0.38487499999999997</v>
      </c>
      <c r="K966" s="1" t="str">
        <f>VLOOKUP(Tabela1[[#This Row],[Cliente]],'BASE DE CLIENTES'!A:D,4,0)</f>
        <v>TECNICO</v>
      </c>
      <c r="L966" s="1" t="str">
        <f>VLOOKUP(Tabela1[[#This Row],[Cliente]],'BASE DE CLIENTES'!A:E,5,0)</f>
        <v>Aparecida de Goiânia</v>
      </c>
    </row>
    <row r="967" spans="2:12" x14ac:dyDescent="0.3">
      <c r="B967" s="1" t="s">
        <v>70</v>
      </c>
      <c r="C967" s="4" t="str">
        <f>VLOOKUP(Tabela1[[#This Row],[Cliente]],'BASE DE CLIENTES'!A:E,2,0)</f>
        <v>Brasília</v>
      </c>
      <c r="D967" s="1" t="str">
        <f>VLOOKUP(Tabela1[[#This Row],[Cliente]],'BASE DE CLIENTES'!A:C,3,0)</f>
        <v>DF</v>
      </c>
      <c r="E967" s="4" t="str">
        <f>CONCATENATE(Tabela1[[#This Row],[CIDADE]],",",Tabela1[[#This Row],[UF]])</f>
        <v>Brasília,DF</v>
      </c>
      <c r="F967" s="2">
        <v>45754</v>
      </c>
      <c r="G967" s="17">
        <v>1720</v>
      </c>
      <c r="H967" s="17">
        <v>2860</v>
      </c>
      <c r="I967" s="6">
        <f>Tabela1[[#This Row],[Valor total]]-Tabela1[[#This Row],[Valor custo]]</f>
        <v>1140</v>
      </c>
      <c r="J967" s="7">
        <f>Tabela1[[#This Row],[MARGEM BRUTA]]/Tabela1[[#This Row],[Valor total]]</f>
        <v>0.39860139860139859</v>
      </c>
      <c r="K967" s="1" t="str">
        <f>VLOOKUP(Tabela1[[#This Row],[Cliente]],'BASE DE CLIENTES'!A:D,4,0)</f>
        <v>EMPRESA COM MAQUINA</v>
      </c>
      <c r="L967" s="1" t="str">
        <f>VLOOKUP(Tabela1[[#This Row],[Cliente]],'BASE DE CLIENTES'!A:E,5,0)</f>
        <v>TAGUATINGA NORTE (TAGUATINGA)</v>
      </c>
    </row>
    <row r="968" spans="2:12" x14ac:dyDescent="0.3">
      <c r="B968" s="1" t="s">
        <v>154</v>
      </c>
      <c r="C968" s="4" t="str">
        <f>VLOOKUP(Tabela1[[#This Row],[Cliente]],'BASE DE CLIENTES'!A:E,2,0)</f>
        <v>Aparecida de Goiânia</v>
      </c>
      <c r="D968" s="1" t="str">
        <f>VLOOKUP(Tabela1[[#This Row],[Cliente]],'BASE DE CLIENTES'!A:C,3,0)</f>
        <v>GO</v>
      </c>
      <c r="E968" s="4" t="str">
        <f>CONCATENATE(Tabela1[[#This Row],[CIDADE]],",",Tabela1[[#This Row],[UF]])</f>
        <v>Aparecida de Goiânia,GO</v>
      </c>
      <c r="F968" s="2">
        <v>45783</v>
      </c>
      <c r="G968" s="17">
        <v>49.21</v>
      </c>
      <c r="H968" s="17">
        <v>80</v>
      </c>
      <c r="I968" s="6">
        <f>Tabela1[[#This Row],[Valor total]]-Tabela1[[#This Row],[Valor custo]]</f>
        <v>30.79</v>
      </c>
      <c r="J968" s="7">
        <f>Tabela1[[#This Row],[MARGEM BRUTA]]/Tabela1[[#This Row],[Valor total]]</f>
        <v>0.38487499999999997</v>
      </c>
      <c r="K968" s="1" t="str">
        <f>VLOOKUP(Tabela1[[#This Row],[Cliente]],'BASE DE CLIENTES'!A:D,4,0)</f>
        <v>TECNICO</v>
      </c>
      <c r="L968" s="1" t="str">
        <f>VLOOKUP(Tabela1[[#This Row],[Cliente]],'BASE DE CLIENTES'!A:E,5,0)</f>
        <v>Aparecida de Goiânia</v>
      </c>
    </row>
    <row r="969" spans="2:12" x14ac:dyDescent="0.3">
      <c r="B969" s="1" t="s">
        <v>68</v>
      </c>
      <c r="C969" s="4" t="str">
        <f>VLOOKUP(Tabela1[[#This Row],[Cliente]],'BASE DE CLIENTES'!A:E,2,0)</f>
        <v>Brasília</v>
      </c>
      <c r="D969" s="1" t="str">
        <f>VLOOKUP(Tabela1[[#This Row],[Cliente]],'BASE DE CLIENTES'!A:C,3,0)</f>
        <v>DF</v>
      </c>
      <c r="E969" s="4" t="str">
        <f>CONCATENATE(Tabela1[[#This Row],[CIDADE]],",",Tabela1[[#This Row],[UF]])</f>
        <v>Brasília,DF</v>
      </c>
      <c r="F969" s="2">
        <v>45754</v>
      </c>
      <c r="G969" s="17">
        <v>765.46</v>
      </c>
      <c r="H969" s="17">
        <v>1300</v>
      </c>
      <c r="I969" s="6">
        <f>Tabela1[[#This Row],[Valor total]]-Tabela1[[#This Row],[Valor custo]]</f>
        <v>534.54</v>
      </c>
      <c r="J969" s="7">
        <f>Tabela1[[#This Row],[MARGEM BRUTA]]/Tabela1[[#This Row],[Valor total]]</f>
        <v>0.41118461538461537</v>
      </c>
      <c r="K969" s="1" t="str">
        <f>VLOOKUP(Tabela1[[#This Row],[Cliente]],'BASE DE CLIENTES'!A:D,4,0)</f>
        <v>EMPRESA COM MAQUINA</v>
      </c>
      <c r="L969" s="1" t="str">
        <f>VLOOKUP(Tabela1[[#This Row],[Cliente]],'BASE DE CLIENTES'!A:E,5,0)</f>
        <v>SAMAMBAIA SUL (SAMAMBAIA)</v>
      </c>
    </row>
    <row r="970" spans="2:12" x14ac:dyDescent="0.3">
      <c r="B970" s="1" t="s">
        <v>161</v>
      </c>
      <c r="C970" s="4" t="str">
        <f>VLOOKUP(Tabela1[[#This Row],[Cliente]],'BASE DE CLIENTES'!A:E,2,0)</f>
        <v>Brasília</v>
      </c>
      <c r="D970" s="1" t="str">
        <f>VLOOKUP(Tabela1[[#This Row],[Cliente]],'BASE DE CLIENTES'!A:C,3,0)</f>
        <v>DF</v>
      </c>
      <c r="E970" s="4" t="str">
        <f>CONCATENATE(Tabela1[[#This Row],[CIDADE]],",",Tabela1[[#This Row],[UF]])</f>
        <v>Brasília,DF</v>
      </c>
      <c r="F970" s="2">
        <v>45754</v>
      </c>
      <c r="G970" s="17">
        <v>4168</v>
      </c>
      <c r="H970" s="17">
        <v>6480</v>
      </c>
      <c r="I970" s="6">
        <f>Tabela1[[#This Row],[Valor total]]-Tabela1[[#This Row],[Valor custo]]</f>
        <v>2312</v>
      </c>
      <c r="J970" s="7">
        <f>Tabela1[[#This Row],[MARGEM BRUTA]]/Tabela1[[#This Row],[Valor total]]</f>
        <v>0.35679012345679012</v>
      </c>
      <c r="K970" s="1" t="str">
        <f>VLOOKUP(Tabela1[[#This Row],[Cliente]],'BASE DE CLIENTES'!A:D,4,0)</f>
        <v>EMPRESA COM MAQUINA</v>
      </c>
      <c r="L970" s="1" t="str">
        <f>VLOOKUP(Tabela1[[#This Row],[Cliente]],'BASE DE CLIENTES'!A:E,5,0)</f>
        <v>RIACHO FUNDO II</v>
      </c>
    </row>
    <row r="971" spans="2:12" x14ac:dyDescent="0.3">
      <c r="B971" s="1" t="s">
        <v>154</v>
      </c>
      <c r="C971" s="4" t="str">
        <f>VLOOKUP(Tabela1[[#This Row],[Cliente]],'BASE DE CLIENTES'!A:E,2,0)</f>
        <v>Aparecida de Goiânia</v>
      </c>
      <c r="D971" s="1" t="str">
        <f>VLOOKUP(Tabela1[[#This Row],[Cliente]],'BASE DE CLIENTES'!A:C,3,0)</f>
        <v>GO</v>
      </c>
      <c r="E971" s="4" t="str">
        <f>CONCATENATE(Tabela1[[#This Row],[CIDADE]],",",Tabela1[[#This Row],[UF]])</f>
        <v>Aparecida de Goiânia,GO</v>
      </c>
      <c r="F971" s="2">
        <v>45860</v>
      </c>
      <c r="G971" s="17">
        <v>49.21</v>
      </c>
      <c r="H971" s="17">
        <v>80</v>
      </c>
      <c r="I971" s="6">
        <f>Tabela1[[#This Row],[Valor total]]-Tabela1[[#This Row],[Valor custo]]</f>
        <v>30.79</v>
      </c>
      <c r="J971" s="7">
        <f>Tabela1[[#This Row],[MARGEM BRUTA]]/Tabela1[[#This Row],[Valor total]]</f>
        <v>0.38487499999999997</v>
      </c>
      <c r="K971" s="1" t="str">
        <f>VLOOKUP(Tabela1[[#This Row],[Cliente]],'BASE DE CLIENTES'!A:D,4,0)</f>
        <v>TECNICO</v>
      </c>
      <c r="L971" s="1" t="str">
        <f>VLOOKUP(Tabela1[[#This Row],[Cliente]],'BASE DE CLIENTES'!A:E,5,0)</f>
        <v>Aparecida de Goiânia</v>
      </c>
    </row>
    <row r="972" spans="2:12" x14ac:dyDescent="0.3">
      <c r="B972" s="1" t="s">
        <v>152</v>
      </c>
      <c r="C972" s="4" t="str">
        <f>VLOOKUP(Tabela1[[#This Row],[Cliente]],'BASE DE CLIENTES'!A:E,2,0)</f>
        <v>Aparecida de Goiânia</v>
      </c>
      <c r="D972" s="1" t="str">
        <f>VLOOKUP(Tabela1[[#This Row],[Cliente]],'BASE DE CLIENTES'!A:C,3,0)</f>
        <v>GO</v>
      </c>
      <c r="E972" s="4" t="str">
        <f>CONCATENATE(Tabela1[[#This Row],[CIDADE]],",",Tabela1[[#This Row],[UF]])</f>
        <v>Aparecida de Goiânia,GO</v>
      </c>
      <c r="F972" s="2">
        <v>45880</v>
      </c>
      <c r="G972" s="17">
        <v>49.21</v>
      </c>
      <c r="H972" s="17">
        <v>80</v>
      </c>
      <c r="I972" s="6">
        <f>Tabela1[[#This Row],[Valor total]]-Tabela1[[#This Row],[Valor custo]]</f>
        <v>30.79</v>
      </c>
      <c r="J972" s="7">
        <f>Tabela1[[#This Row],[MARGEM BRUTA]]/Tabela1[[#This Row],[Valor total]]</f>
        <v>0.38487499999999997</v>
      </c>
      <c r="K972" s="1" t="str">
        <f>VLOOKUP(Tabela1[[#This Row],[Cliente]],'BASE DE CLIENTES'!A:D,4,0)</f>
        <v>TECNICO</v>
      </c>
      <c r="L972" s="1" t="str">
        <f>VLOOKUP(Tabela1[[#This Row],[Cliente]],'BASE DE CLIENTES'!A:E,5,0)</f>
        <v>Aparecida de Goiânia</v>
      </c>
    </row>
    <row r="973" spans="2:12" x14ac:dyDescent="0.3">
      <c r="B973" s="1" t="s">
        <v>59</v>
      </c>
      <c r="C973" s="4" t="str">
        <f>VLOOKUP(Tabela1[[#This Row],[Cliente]],'BASE DE CLIENTES'!A:E,2,0)</f>
        <v>Brasília</v>
      </c>
      <c r="D973" s="1" t="str">
        <f>VLOOKUP(Tabela1[[#This Row],[Cliente]],'BASE DE CLIENTES'!A:C,3,0)</f>
        <v>DF</v>
      </c>
      <c r="E973" s="4" t="str">
        <f>CONCATENATE(Tabela1[[#This Row],[CIDADE]],",",Tabela1[[#This Row],[UF]])</f>
        <v>Brasília,DF</v>
      </c>
      <c r="F973" s="2">
        <v>45751</v>
      </c>
      <c r="G973" s="17">
        <v>268.45999999999998</v>
      </c>
      <c r="H973" s="17">
        <v>550</v>
      </c>
      <c r="I973" s="6">
        <f>Tabela1[[#This Row],[Valor total]]-Tabela1[[#This Row],[Valor custo]]</f>
        <v>281.54000000000002</v>
      </c>
      <c r="J973" s="7">
        <f>Tabela1[[#This Row],[MARGEM BRUTA]]/Tabela1[[#This Row],[Valor total]]</f>
        <v>0.51189090909090917</v>
      </c>
      <c r="K973" s="1" t="str">
        <f>VLOOKUP(Tabela1[[#This Row],[Cliente]],'BASE DE CLIENTES'!A:D,4,0)</f>
        <v>EMPRESA COM MAQUINA</v>
      </c>
      <c r="L973" s="1" t="str">
        <f>VLOOKUP(Tabela1[[#This Row],[Cliente]],'BASE DE CLIENTES'!A:E,5,0)</f>
        <v>SETOR HABITACIONAL VICENTE PIRES</v>
      </c>
    </row>
    <row r="974" spans="2:12" x14ac:dyDescent="0.3">
      <c r="B974" s="1" t="s">
        <v>27</v>
      </c>
      <c r="C974" s="4" t="str">
        <f>VLOOKUP(Tabela1[[#This Row],[Cliente]],'BASE DE CLIENTES'!A:E,2,0)</f>
        <v>Brasília</v>
      </c>
      <c r="D974" s="1" t="str">
        <f>VLOOKUP(Tabela1[[#This Row],[Cliente]],'BASE DE CLIENTES'!A:C,3,0)</f>
        <v>DF</v>
      </c>
      <c r="E974" s="4" t="str">
        <f>CONCATENATE(Tabela1[[#This Row],[CIDADE]],",",Tabela1[[#This Row],[UF]])</f>
        <v>Brasília,DF</v>
      </c>
      <c r="F974" s="2">
        <v>45751</v>
      </c>
      <c r="G974" s="17">
        <v>497</v>
      </c>
      <c r="H974" s="17">
        <v>750</v>
      </c>
      <c r="I974" s="6">
        <f>Tabela1[[#This Row],[Valor total]]-Tabela1[[#This Row],[Valor custo]]</f>
        <v>253</v>
      </c>
      <c r="J974" s="7">
        <f>Tabela1[[#This Row],[MARGEM BRUTA]]/Tabela1[[#This Row],[Valor total]]</f>
        <v>0.33733333333333332</v>
      </c>
      <c r="K974" s="1" t="str">
        <f>VLOOKUP(Tabela1[[#This Row],[Cliente]],'BASE DE CLIENTES'!A:D,4,0)</f>
        <v>EMPRESA SEM MAQUINA</v>
      </c>
      <c r="L974" s="1" t="str">
        <f>VLOOKUP(Tabela1[[#This Row],[Cliente]],'BASE DE CLIENTES'!A:E,5,0)</f>
        <v>RECANTO DAS EMAS</v>
      </c>
    </row>
    <row r="975" spans="2:12" x14ac:dyDescent="0.3">
      <c r="B975" s="1" t="s">
        <v>152</v>
      </c>
      <c r="C975" s="4" t="str">
        <f>VLOOKUP(Tabela1[[#This Row],[Cliente]],'BASE DE CLIENTES'!A:E,2,0)</f>
        <v>Aparecida de Goiânia</v>
      </c>
      <c r="D975" s="1" t="str">
        <f>VLOOKUP(Tabela1[[#This Row],[Cliente]],'BASE DE CLIENTES'!A:C,3,0)</f>
        <v>GO</v>
      </c>
      <c r="E975" s="4" t="str">
        <f>CONCATENATE(Tabela1[[#This Row],[CIDADE]],",",Tabela1[[#This Row],[UF]])</f>
        <v>Aparecida de Goiânia,GO</v>
      </c>
      <c r="F975" s="2">
        <v>45899</v>
      </c>
      <c r="G975" s="17">
        <v>534</v>
      </c>
      <c r="H975" s="17">
        <v>869</v>
      </c>
      <c r="I975" s="6">
        <f>Tabela1[[#This Row],[Valor total]]-Tabela1[[#This Row],[Valor custo]]</f>
        <v>335</v>
      </c>
      <c r="J975" s="7">
        <f>Tabela1[[#This Row],[MARGEM BRUTA]]/Tabela1[[#This Row],[Valor total]]</f>
        <v>0.38550057537399307</v>
      </c>
      <c r="K975" s="1" t="str">
        <f>VLOOKUP(Tabela1[[#This Row],[Cliente]],'BASE DE CLIENTES'!A:D,4,0)</f>
        <v>TECNICO</v>
      </c>
      <c r="L975" s="1" t="str">
        <f>VLOOKUP(Tabela1[[#This Row],[Cliente]],'BASE DE CLIENTES'!A:E,5,0)</f>
        <v>Aparecida de Goiânia</v>
      </c>
    </row>
    <row r="976" spans="2:12" x14ac:dyDescent="0.3">
      <c r="B976" s="1" t="s">
        <v>55</v>
      </c>
      <c r="C976" s="4" t="str">
        <f>VLOOKUP(Tabela1[[#This Row],[Cliente]],'BASE DE CLIENTES'!A:E,2,0)</f>
        <v>Brasília</v>
      </c>
      <c r="D976" s="1" t="str">
        <f>VLOOKUP(Tabela1[[#This Row],[Cliente]],'BASE DE CLIENTES'!A:C,3,0)</f>
        <v>DF</v>
      </c>
      <c r="E976" s="4" t="str">
        <f>CONCATENATE(Tabela1[[#This Row],[CIDADE]],",",Tabela1[[#This Row],[UF]])</f>
        <v>Brasília,DF</v>
      </c>
      <c r="F976" s="2">
        <v>45751</v>
      </c>
      <c r="G976" s="17">
        <v>79</v>
      </c>
      <c r="H976" s="17">
        <v>368</v>
      </c>
      <c r="I976" s="6">
        <f>Tabela1[[#This Row],[Valor total]]-Tabela1[[#This Row],[Valor custo]]</f>
        <v>289</v>
      </c>
      <c r="J976" s="7">
        <f>Tabela1[[#This Row],[MARGEM BRUTA]]/Tabela1[[#This Row],[Valor total]]</f>
        <v>0.78532608695652173</v>
      </c>
      <c r="K976" s="1" t="str">
        <f>VLOOKUP(Tabela1[[#This Row],[Cliente]],'BASE DE CLIENTES'!A:D,4,0)</f>
        <v>EMPRESA SEM MAQUINA</v>
      </c>
      <c r="L976" s="1" t="str">
        <f>VLOOKUP(Tabela1[[#This Row],[Cliente]],'BASE DE CLIENTES'!A:E,5,0)</f>
        <v>RECANTO DAS EMAS</v>
      </c>
    </row>
    <row r="977" spans="1:12" x14ac:dyDescent="0.3">
      <c r="B977" s="1" t="s">
        <v>152</v>
      </c>
      <c r="C977" s="4" t="str">
        <f>VLOOKUP(Tabela1[[#This Row],[Cliente]],'BASE DE CLIENTES'!A:E,2,0)</f>
        <v>Aparecida de Goiânia</v>
      </c>
      <c r="D977" s="1" t="str">
        <f>VLOOKUP(Tabela1[[#This Row],[Cliente]],'BASE DE CLIENTES'!A:C,3,0)</f>
        <v>GO</v>
      </c>
      <c r="E977" s="4" t="str">
        <f>CONCATENATE(Tabela1[[#This Row],[CIDADE]],",",Tabela1[[#This Row],[UF]])</f>
        <v>Aparecida de Goiânia,GO</v>
      </c>
      <c r="F977" s="2">
        <v>45805</v>
      </c>
      <c r="G977" s="17">
        <v>122.74</v>
      </c>
      <c r="H977" s="17">
        <v>200</v>
      </c>
      <c r="I977" s="6">
        <f>Tabela1[[#This Row],[Valor total]]-Tabela1[[#This Row],[Valor custo]]</f>
        <v>77.260000000000005</v>
      </c>
      <c r="J977" s="7">
        <f>Tabela1[[#This Row],[MARGEM BRUTA]]/Tabela1[[#This Row],[Valor total]]</f>
        <v>0.38630000000000003</v>
      </c>
      <c r="K977" s="1" t="str">
        <f>VLOOKUP(Tabela1[[#This Row],[Cliente]],'BASE DE CLIENTES'!A:D,4,0)</f>
        <v>TECNICO</v>
      </c>
      <c r="L977" s="1" t="str">
        <f>VLOOKUP(Tabela1[[#This Row],[Cliente]],'BASE DE CLIENTES'!A:E,5,0)</f>
        <v>Aparecida de Goiânia</v>
      </c>
    </row>
    <row r="978" spans="1:12" x14ac:dyDescent="0.3">
      <c r="B978" s="1" t="s">
        <v>152</v>
      </c>
      <c r="C978" s="4" t="str">
        <f>VLOOKUP(Tabela1[[#This Row],[Cliente]],'BASE DE CLIENTES'!A:E,2,0)</f>
        <v>Aparecida de Goiânia</v>
      </c>
      <c r="D978" s="1" t="str">
        <f>VLOOKUP(Tabela1[[#This Row],[Cliente]],'BASE DE CLIENTES'!A:C,3,0)</f>
        <v>GO</v>
      </c>
      <c r="E978" s="4" t="str">
        <f>CONCATENATE(Tabela1[[#This Row],[CIDADE]],",",Tabela1[[#This Row],[UF]])</f>
        <v>Aparecida de Goiânia,GO</v>
      </c>
      <c r="F978" s="2">
        <v>45674</v>
      </c>
      <c r="G978" s="17">
        <v>888.67</v>
      </c>
      <c r="H978" s="17">
        <v>1450</v>
      </c>
      <c r="I978" s="6">
        <f>Tabela1[[#This Row],[Valor total]]-Tabela1[[#This Row],[Valor custo]]</f>
        <v>561.33000000000004</v>
      </c>
      <c r="J978" s="7">
        <f>Tabela1[[#This Row],[MARGEM BRUTA]]/Tabela1[[#This Row],[Valor total]]</f>
        <v>0.38712413793103451</v>
      </c>
      <c r="K978" s="1" t="str">
        <f>VLOOKUP(Tabela1[[#This Row],[Cliente]],'BASE DE CLIENTES'!A:D,4,0)</f>
        <v>TECNICO</v>
      </c>
      <c r="L978" s="1" t="str">
        <f>VLOOKUP(Tabela1[[#This Row],[Cliente]],'BASE DE CLIENTES'!A:E,5,0)</f>
        <v>Aparecida de Goiânia</v>
      </c>
    </row>
    <row r="979" spans="1:12" x14ac:dyDescent="0.3">
      <c r="B979" s="1" t="s">
        <v>151</v>
      </c>
      <c r="C979" s="4" t="str">
        <f>VLOOKUP(Tabela1[[#This Row],[Cliente]],'BASE DE CLIENTES'!A:E,2,0)</f>
        <v>Aparecida de Goiânia</v>
      </c>
      <c r="D979" s="1" t="str">
        <f>VLOOKUP(Tabela1[[#This Row],[Cliente]],'BASE DE CLIENTES'!A:C,3,0)</f>
        <v>GO</v>
      </c>
      <c r="E979" s="4" t="str">
        <f>CONCATENATE(Tabela1[[#This Row],[CIDADE]],",",Tabela1[[#This Row],[UF]])</f>
        <v>Aparecida de Goiânia,GO</v>
      </c>
      <c r="F979" s="2">
        <v>45882</v>
      </c>
      <c r="G979" s="17">
        <v>910</v>
      </c>
      <c r="H979" s="17">
        <v>1500</v>
      </c>
      <c r="I979" s="6">
        <f>Tabela1[[#This Row],[Valor total]]-Tabela1[[#This Row],[Valor custo]]</f>
        <v>590</v>
      </c>
      <c r="J979" s="7">
        <f>Tabela1[[#This Row],[MARGEM BRUTA]]/Tabela1[[#This Row],[Valor total]]</f>
        <v>0.39333333333333331</v>
      </c>
      <c r="K979" s="1" t="str">
        <f>VLOOKUP(Tabela1[[#This Row],[Cliente]],'BASE DE CLIENTES'!A:D,4,0)</f>
        <v>EMPRESA COM MAQUINA</v>
      </c>
      <c r="L979" s="1" t="str">
        <f>VLOOKUP(Tabela1[[#This Row],[Cliente]],'BASE DE CLIENTES'!A:E,5,0)</f>
        <v>Aparecida de Goiânia</v>
      </c>
    </row>
    <row r="980" spans="1:12" x14ac:dyDescent="0.3">
      <c r="B980" s="1" t="s">
        <v>106</v>
      </c>
      <c r="C980" s="4" t="str">
        <f>VLOOKUP(Tabela1[[#This Row],[Cliente]],'BASE DE CLIENTES'!A:E,2,0)</f>
        <v>Brasília</v>
      </c>
      <c r="D980" s="1" t="str">
        <f>VLOOKUP(Tabela1[[#This Row],[Cliente]],'BASE DE CLIENTES'!A:C,3,0)</f>
        <v>DF</v>
      </c>
      <c r="E980" s="4" t="str">
        <f>CONCATENATE(Tabela1[[#This Row],[CIDADE]],",",Tabela1[[#This Row],[UF]])</f>
        <v>Brasília,DF</v>
      </c>
      <c r="F980" s="2">
        <v>45751</v>
      </c>
      <c r="G980" s="17">
        <v>4098.7</v>
      </c>
      <c r="H980" s="17">
        <v>5500</v>
      </c>
      <c r="I980" s="6">
        <f>Tabela1[[#This Row],[Valor total]]-Tabela1[[#This Row],[Valor custo]]</f>
        <v>1401.3000000000002</v>
      </c>
      <c r="J980" s="7">
        <f>Tabela1[[#This Row],[MARGEM BRUTA]]/Tabela1[[#This Row],[Valor total]]</f>
        <v>0.25478181818181822</v>
      </c>
      <c r="K980" s="1" t="str">
        <f>VLOOKUP(Tabela1[[#This Row],[Cliente]],'BASE DE CLIENTES'!A:D,4,0)</f>
        <v>EMPRESA COM MAQUINA</v>
      </c>
      <c r="L980" s="1" t="str">
        <f>VLOOKUP(Tabela1[[#This Row],[Cliente]],'BASE DE CLIENTES'!A:E,5,0)</f>
        <v>26 DE SETEMBRO</v>
      </c>
    </row>
    <row r="981" spans="1:12" x14ac:dyDescent="0.3">
      <c r="B981" s="1" t="s">
        <v>55</v>
      </c>
      <c r="C981" s="4" t="str">
        <f>VLOOKUP(Tabela1[[#This Row],[Cliente]],'BASE DE CLIENTES'!A:E,2,0)</f>
        <v>Brasília</v>
      </c>
      <c r="D981" s="1" t="str">
        <f>VLOOKUP(Tabela1[[#This Row],[Cliente]],'BASE DE CLIENTES'!A:C,3,0)</f>
        <v>DF</v>
      </c>
      <c r="E981" s="4" t="str">
        <f>CONCATENATE(Tabela1[[#This Row],[CIDADE]],",",Tabela1[[#This Row],[UF]])</f>
        <v>Brasília,DF</v>
      </c>
      <c r="F981" s="2">
        <v>45751</v>
      </c>
      <c r="G981" s="17">
        <v>521</v>
      </c>
      <c r="H981" s="17">
        <v>840</v>
      </c>
      <c r="I981" s="6">
        <f>Tabela1[[#This Row],[Valor total]]-Tabela1[[#This Row],[Valor custo]]</f>
        <v>319</v>
      </c>
      <c r="J981" s="7">
        <f>Tabela1[[#This Row],[MARGEM BRUTA]]/Tabela1[[#This Row],[Valor total]]</f>
        <v>0.37976190476190474</v>
      </c>
      <c r="K981" s="1" t="str">
        <f>VLOOKUP(Tabela1[[#This Row],[Cliente]],'BASE DE CLIENTES'!A:D,4,0)</f>
        <v>EMPRESA SEM MAQUINA</v>
      </c>
      <c r="L981" s="1" t="str">
        <f>VLOOKUP(Tabela1[[#This Row],[Cliente]],'BASE DE CLIENTES'!A:E,5,0)</f>
        <v>RECANTO DAS EMAS</v>
      </c>
    </row>
    <row r="982" spans="1:12" x14ac:dyDescent="0.3">
      <c r="B982" s="1" t="s">
        <v>152</v>
      </c>
      <c r="C982" s="4" t="str">
        <f>VLOOKUP(Tabela1[[#This Row],[Cliente]],'BASE DE CLIENTES'!A:E,2,0)</f>
        <v>Aparecida de Goiânia</v>
      </c>
      <c r="D982" s="1" t="str">
        <f>VLOOKUP(Tabela1[[#This Row],[Cliente]],'BASE DE CLIENTES'!A:C,3,0)</f>
        <v>GO</v>
      </c>
      <c r="E982" s="4" t="str">
        <f>CONCATENATE(Tabela1[[#This Row],[CIDADE]],",",Tabela1[[#This Row],[UF]])</f>
        <v>Aparecida de Goiânia,GO</v>
      </c>
      <c r="F982" s="2">
        <v>45916</v>
      </c>
      <c r="G982" s="17">
        <v>455</v>
      </c>
      <c r="H982" s="17">
        <v>750</v>
      </c>
      <c r="I982" s="6">
        <f>Tabela1[[#This Row],[Valor total]]-Tabela1[[#This Row],[Valor custo]]</f>
        <v>295</v>
      </c>
      <c r="J982" s="7">
        <f>Tabela1[[#This Row],[MARGEM BRUTA]]/Tabela1[[#This Row],[Valor total]]</f>
        <v>0.39333333333333331</v>
      </c>
      <c r="K982" s="1" t="str">
        <f>VLOOKUP(Tabela1[[#This Row],[Cliente]],'BASE DE CLIENTES'!A:D,4,0)</f>
        <v>TECNICO</v>
      </c>
      <c r="L982" s="1" t="str">
        <f>VLOOKUP(Tabela1[[#This Row],[Cliente]],'BASE DE CLIENTES'!A:E,5,0)</f>
        <v>Aparecida de Goiânia</v>
      </c>
    </row>
    <row r="983" spans="1:12" x14ac:dyDescent="0.3">
      <c r="A983" s="1" t="s">
        <v>166</v>
      </c>
      <c r="B983" s="1" t="s">
        <v>152</v>
      </c>
      <c r="C983" s="4" t="str">
        <f>VLOOKUP(Tabela1[[#This Row],[Cliente]],'BASE DE CLIENTES'!A:E,2,0)</f>
        <v>Aparecida de Goiânia</v>
      </c>
      <c r="D983" s="1" t="str">
        <f>VLOOKUP(Tabela1[[#This Row],[Cliente]],'BASE DE CLIENTES'!A:C,3,0)</f>
        <v>GO</v>
      </c>
      <c r="E983" s="4" t="str">
        <f>CONCATENATE(Tabela1[[#This Row],[CIDADE]],",",Tabela1[[#This Row],[UF]])</f>
        <v>Aparecida de Goiânia,GO</v>
      </c>
      <c r="F983" s="2">
        <v>45688</v>
      </c>
      <c r="G983" s="17">
        <v>1835.28</v>
      </c>
      <c r="H983" s="17">
        <v>3057</v>
      </c>
      <c r="I983" s="6">
        <f>Tabela1[[#This Row],[Valor total]]-Tabela1[[#This Row],[Valor custo]]</f>
        <v>1221.72</v>
      </c>
      <c r="J983" s="7">
        <f>Tabela1[[#This Row],[MARGEM BRUTA]]/Tabela1[[#This Row],[Valor total]]</f>
        <v>0.39964671246319922</v>
      </c>
      <c r="K983" s="1" t="str">
        <f>VLOOKUP(Tabela1[[#This Row],[Cliente]],'BASE DE CLIENTES'!A:D,4,0)</f>
        <v>TECNICO</v>
      </c>
      <c r="L983" s="1" t="str">
        <f>VLOOKUP(Tabela1[[#This Row],[Cliente]],'BASE DE CLIENTES'!A:E,5,0)</f>
        <v>Aparecida de Goiânia</v>
      </c>
    </row>
    <row r="984" spans="1:12" x14ac:dyDescent="0.3">
      <c r="B984" s="1" t="s">
        <v>152</v>
      </c>
      <c r="C984" s="4" t="str">
        <f>VLOOKUP(Tabela1[[#This Row],[Cliente]],'BASE DE CLIENTES'!A:E,2,0)</f>
        <v>Aparecida de Goiânia</v>
      </c>
      <c r="D984" s="1" t="str">
        <f>VLOOKUP(Tabela1[[#This Row],[Cliente]],'BASE DE CLIENTES'!A:C,3,0)</f>
        <v>GO</v>
      </c>
      <c r="E984" s="4" t="str">
        <f>CONCATENATE(Tabela1[[#This Row],[CIDADE]],",",Tabela1[[#This Row],[UF]])</f>
        <v>Aparecida de Goiânia,GO</v>
      </c>
      <c r="F984" s="2">
        <v>45867</v>
      </c>
      <c r="G984" s="17">
        <v>1068</v>
      </c>
      <c r="H984" s="17">
        <v>1800</v>
      </c>
      <c r="I984" s="6">
        <f>Tabela1[[#This Row],[Valor total]]-Tabela1[[#This Row],[Valor custo]]</f>
        <v>732</v>
      </c>
      <c r="J984" s="7">
        <f>Tabela1[[#This Row],[MARGEM BRUTA]]/Tabela1[[#This Row],[Valor total]]</f>
        <v>0.40666666666666668</v>
      </c>
      <c r="K984" s="1" t="str">
        <f>VLOOKUP(Tabela1[[#This Row],[Cliente]],'BASE DE CLIENTES'!A:D,4,0)</f>
        <v>TECNICO</v>
      </c>
      <c r="L984" s="1" t="str">
        <f>VLOOKUP(Tabela1[[#This Row],[Cliente]],'BASE DE CLIENTES'!A:E,5,0)</f>
        <v>Aparecida de Goiânia</v>
      </c>
    </row>
    <row r="985" spans="1:12" x14ac:dyDescent="0.3">
      <c r="B985" s="1" t="s">
        <v>167</v>
      </c>
      <c r="C985" s="4" t="str">
        <f>VLOOKUP(Tabela1[[#This Row],[Cliente]],'BASE DE CLIENTES'!A:E,2,0)</f>
        <v>Brasília</v>
      </c>
      <c r="D985" s="1" t="str">
        <f>VLOOKUP(Tabela1[[#This Row],[Cliente]],'BASE DE CLIENTES'!A:C,3,0)</f>
        <v>DF</v>
      </c>
      <c r="E985" s="4" t="str">
        <f>CONCATENATE(Tabela1[[#This Row],[CIDADE]],",",Tabela1[[#This Row],[UF]])</f>
        <v>Brasília,DF</v>
      </c>
      <c r="F985" s="2">
        <v>45750</v>
      </c>
      <c r="G985" s="17">
        <v>1025</v>
      </c>
      <c r="H985" s="17">
        <v>1700</v>
      </c>
      <c r="I985" s="6">
        <f>Tabela1[[#This Row],[Valor total]]-Tabela1[[#This Row],[Valor custo]]</f>
        <v>675</v>
      </c>
      <c r="J985" s="7">
        <f>Tabela1[[#This Row],[MARGEM BRUTA]]/Tabela1[[#This Row],[Valor total]]</f>
        <v>0.39705882352941174</v>
      </c>
      <c r="K985" s="1" t="str">
        <f>VLOOKUP(Tabela1[[#This Row],[Cliente]],'BASE DE CLIENTES'!A:D,4,0)</f>
        <v>SERRALHEIRO</v>
      </c>
      <c r="L985" s="1" t="str">
        <f>VLOOKUP(Tabela1[[#This Row],[Cliente]],'BASE DE CLIENTES'!A:E,5,0)</f>
        <v>CEILANDIA</v>
      </c>
    </row>
    <row r="986" spans="1:12" x14ac:dyDescent="0.3">
      <c r="B986" s="1" t="s">
        <v>152</v>
      </c>
      <c r="C986" s="4" t="str">
        <f>VLOOKUP(Tabela1[[#This Row],[Cliente]],'BASE DE CLIENTES'!A:E,2,0)</f>
        <v>Aparecida de Goiânia</v>
      </c>
      <c r="D986" s="1" t="str">
        <f>VLOOKUP(Tabela1[[#This Row],[Cliente]],'BASE DE CLIENTES'!A:C,3,0)</f>
        <v>GO</v>
      </c>
      <c r="E986" s="4" t="str">
        <f>CONCATENATE(Tabela1[[#This Row],[CIDADE]],",",Tabela1[[#This Row],[UF]])</f>
        <v>Aparecida de Goiânia,GO</v>
      </c>
      <c r="F986" s="2">
        <v>45874</v>
      </c>
      <c r="G986" s="17">
        <v>534</v>
      </c>
      <c r="H986" s="17">
        <v>900</v>
      </c>
      <c r="I986" s="6">
        <f>Tabela1[[#This Row],[Valor total]]-Tabela1[[#This Row],[Valor custo]]</f>
        <v>366</v>
      </c>
      <c r="J986" s="7">
        <f>Tabela1[[#This Row],[MARGEM BRUTA]]/Tabela1[[#This Row],[Valor total]]</f>
        <v>0.40666666666666668</v>
      </c>
      <c r="K986" s="1" t="str">
        <f>VLOOKUP(Tabela1[[#This Row],[Cliente]],'BASE DE CLIENTES'!A:D,4,0)</f>
        <v>TECNICO</v>
      </c>
      <c r="L986" s="1" t="str">
        <f>VLOOKUP(Tabela1[[#This Row],[Cliente]],'BASE DE CLIENTES'!A:E,5,0)</f>
        <v>Aparecida de Goiânia</v>
      </c>
    </row>
    <row r="987" spans="1:12" x14ac:dyDescent="0.3">
      <c r="B987" s="1" t="s">
        <v>152</v>
      </c>
      <c r="C987" s="4" t="str">
        <f>VLOOKUP(Tabela1[[#This Row],[Cliente]],'BASE DE CLIENTES'!A:E,2,0)</f>
        <v>Aparecida de Goiânia</v>
      </c>
      <c r="D987" s="1" t="str">
        <f>VLOOKUP(Tabela1[[#This Row],[Cliente]],'BASE DE CLIENTES'!A:C,3,0)</f>
        <v>GO</v>
      </c>
      <c r="E987" s="4" t="str">
        <f>CONCATENATE(Tabela1[[#This Row],[CIDADE]],",",Tabela1[[#This Row],[UF]])</f>
        <v>Aparecida de Goiânia,GO</v>
      </c>
      <c r="F987" s="2">
        <v>45856</v>
      </c>
      <c r="G987" s="17">
        <v>1612.52</v>
      </c>
      <c r="H987" s="17">
        <v>2720</v>
      </c>
      <c r="I987" s="6">
        <f>Tabela1[[#This Row],[Valor total]]-Tabela1[[#This Row],[Valor custo]]</f>
        <v>1107.48</v>
      </c>
      <c r="J987" s="7">
        <f>Tabela1[[#This Row],[MARGEM BRUTA]]/Tabela1[[#This Row],[Valor total]]</f>
        <v>0.40716176470588233</v>
      </c>
      <c r="K987" s="1" t="str">
        <f>VLOOKUP(Tabela1[[#This Row],[Cliente]],'BASE DE CLIENTES'!A:D,4,0)</f>
        <v>TECNICO</v>
      </c>
      <c r="L987" s="1" t="str">
        <f>VLOOKUP(Tabela1[[#This Row],[Cliente]],'BASE DE CLIENTES'!A:E,5,0)</f>
        <v>Aparecida de Goiânia</v>
      </c>
    </row>
    <row r="988" spans="1:12" x14ac:dyDescent="0.3">
      <c r="B988" s="1" t="s">
        <v>27</v>
      </c>
      <c r="C988" s="4" t="str">
        <f>VLOOKUP(Tabela1[[#This Row],[Cliente]],'BASE DE CLIENTES'!A:E,2,0)</f>
        <v>Brasília</v>
      </c>
      <c r="D988" s="1" t="str">
        <f>VLOOKUP(Tabela1[[#This Row],[Cliente]],'BASE DE CLIENTES'!A:C,3,0)</f>
        <v>DF</v>
      </c>
      <c r="E988" s="4" t="str">
        <f>CONCATENATE(Tabela1[[#This Row],[CIDADE]],",",Tabela1[[#This Row],[UF]])</f>
        <v>Brasília,DF</v>
      </c>
      <c r="F988" s="2">
        <v>45750</v>
      </c>
      <c r="G988" s="17">
        <v>1450</v>
      </c>
      <c r="H988" s="17">
        <v>2500</v>
      </c>
      <c r="I988" s="6">
        <f>Tabela1[[#This Row],[Valor total]]-Tabela1[[#This Row],[Valor custo]]</f>
        <v>1050</v>
      </c>
      <c r="J988" s="7">
        <f>Tabela1[[#This Row],[MARGEM BRUTA]]/Tabela1[[#This Row],[Valor total]]</f>
        <v>0.42</v>
      </c>
      <c r="K988" s="1" t="str">
        <f>VLOOKUP(Tabela1[[#This Row],[Cliente]],'BASE DE CLIENTES'!A:D,4,0)</f>
        <v>EMPRESA SEM MAQUINA</v>
      </c>
      <c r="L988" s="1" t="str">
        <f>VLOOKUP(Tabela1[[#This Row],[Cliente]],'BASE DE CLIENTES'!A:E,5,0)</f>
        <v>RECANTO DAS EMAS</v>
      </c>
    </row>
    <row r="989" spans="1:12" x14ac:dyDescent="0.3">
      <c r="B989" s="1" t="s">
        <v>76</v>
      </c>
      <c r="C989" s="4" t="str">
        <f>VLOOKUP(Tabela1[[#This Row],[Cliente]],'BASE DE CLIENTES'!A:E,2,0)</f>
        <v>Brasília</v>
      </c>
      <c r="D989" s="1" t="str">
        <f>VLOOKUP(Tabela1[[#This Row],[Cliente]],'BASE DE CLIENTES'!A:C,3,0)</f>
        <v>DF</v>
      </c>
      <c r="E989" s="4" t="str">
        <f>CONCATENATE(Tabela1[[#This Row],[CIDADE]],",",Tabela1[[#This Row],[UF]])</f>
        <v>Brasília,DF</v>
      </c>
      <c r="F989" s="2">
        <v>45750</v>
      </c>
      <c r="G989" s="17">
        <v>1546</v>
      </c>
      <c r="H989" s="17">
        <v>3300</v>
      </c>
      <c r="I989" s="6">
        <f>Tabela1[[#This Row],[Valor total]]-Tabela1[[#This Row],[Valor custo]]</f>
        <v>1754</v>
      </c>
      <c r="J989" s="7">
        <f>Tabela1[[#This Row],[MARGEM BRUTA]]/Tabela1[[#This Row],[Valor total]]</f>
        <v>0.5315151515151515</v>
      </c>
      <c r="K989" s="1" t="str">
        <f>VLOOKUP(Tabela1[[#This Row],[Cliente]],'BASE DE CLIENTES'!A:D,4,0)</f>
        <v>EMPRESA COM MAQUINA</v>
      </c>
      <c r="L989" s="1" t="str">
        <f>VLOOKUP(Tabela1[[#This Row],[Cliente]],'BASE DE CLIENTES'!A:E,5,0)</f>
        <v>Setor Placa da Mercedes (Núcleo Bandeirante)</v>
      </c>
    </row>
    <row r="990" spans="1:12" x14ac:dyDescent="0.3">
      <c r="B990" s="1" t="s">
        <v>96</v>
      </c>
      <c r="C990" s="4" t="str">
        <f>VLOOKUP(Tabela1[[#This Row],[Cliente]],'BASE DE CLIENTES'!A:E,2,0)</f>
        <v>Brasília</v>
      </c>
      <c r="D990" s="1" t="str">
        <f>VLOOKUP(Tabela1[[#This Row],[Cliente]],'BASE DE CLIENTES'!A:C,3,0)</f>
        <v>DF</v>
      </c>
      <c r="E990" s="4" t="str">
        <f>CONCATENATE(Tabela1[[#This Row],[CIDADE]],",",Tabela1[[#This Row],[UF]])</f>
        <v>Brasília,DF</v>
      </c>
      <c r="F990" s="2">
        <v>45750</v>
      </c>
      <c r="G990" s="17">
        <v>268.45999999999998</v>
      </c>
      <c r="H990" s="17">
        <v>563</v>
      </c>
      <c r="I990" s="6">
        <f>Tabela1[[#This Row],[Valor total]]-Tabela1[[#This Row],[Valor custo]]</f>
        <v>294.54000000000002</v>
      </c>
      <c r="J990" s="7">
        <f>Tabela1[[#This Row],[MARGEM BRUTA]]/Tabela1[[#This Row],[Valor total]]</f>
        <v>0.52316163410301952</v>
      </c>
      <c r="K990" s="1" t="str">
        <f>VLOOKUP(Tabela1[[#This Row],[Cliente]],'BASE DE CLIENTES'!A:D,4,0)</f>
        <v>EMPRESA SEM MAQUINA</v>
      </c>
      <c r="L990" s="1" t="str">
        <f>VLOOKUP(Tabela1[[#This Row],[Cliente]],'BASE DE CLIENTES'!A:E,5,0)</f>
        <v>CEILANDIA NORTE (CEILANDIA)</v>
      </c>
    </row>
    <row r="991" spans="1:12" x14ac:dyDescent="0.3">
      <c r="B991" s="1" t="s">
        <v>38</v>
      </c>
      <c r="C991" s="4" t="str">
        <f>VLOOKUP(Tabela1[[#This Row],[Cliente]],'BASE DE CLIENTES'!A:E,2,0)</f>
        <v>Brasília</v>
      </c>
      <c r="D991" s="1" t="str">
        <f>VLOOKUP(Tabela1[[#This Row],[Cliente]],'BASE DE CLIENTES'!A:C,3,0)</f>
        <v>DF</v>
      </c>
      <c r="E991" s="4" t="str">
        <f>CONCATENATE(Tabela1[[#This Row],[CIDADE]],",",Tabela1[[#This Row],[UF]])</f>
        <v>Brasília,DF</v>
      </c>
      <c r="F991" s="2">
        <v>45750</v>
      </c>
      <c r="G991" s="17">
        <v>1550.68</v>
      </c>
      <c r="H991" s="17">
        <v>2955</v>
      </c>
      <c r="I991" s="6">
        <f>Tabela1[[#This Row],[Valor total]]-Tabela1[[#This Row],[Valor custo]]</f>
        <v>1404.32</v>
      </c>
      <c r="J991" s="7">
        <f>Tabela1[[#This Row],[MARGEM BRUTA]]/Tabela1[[#This Row],[Valor total]]</f>
        <v>0.47523519458544838</v>
      </c>
      <c r="K991" s="1" t="str">
        <f>VLOOKUP(Tabela1[[#This Row],[Cliente]],'BASE DE CLIENTES'!A:D,4,0)</f>
        <v>EMPRESA SEM MAQUINA</v>
      </c>
      <c r="L991" s="1" t="str">
        <f>VLOOKUP(Tabela1[[#This Row],[Cliente]],'BASE DE CLIENTES'!A:E,5,0)</f>
        <v>PONTE ALTA NORTE (GAMA)</v>
      </c>
    </row>
    <row r="992" spans="1:12" x14ac:dyDescent="0.3">
      <c r="B992" s="1" t="s">
        <v>152</v>
      </c>
      <c r="C992" s="4" t="str">
        <f>VLOOKUP(Tabela1[[#This Row],[Cliente]],'BASE DE CLIENTES'!A:E,2,0)</f>
        <v>Aparecida de Goiânia</v>
      </c>
      <c r="D992" s="1" t="str">
        <f>VLOOKUP(Tabela1[[#This Row],[Cliente]],'BASE DE CLIENTES'!A:C,3,0)</f>
        <v>GO</v>
      </c>
      <c r="E992" s="4" t="str">
        <f>CONCATENATE(Tabela1[[#This Row],[CIDADE]],",",Tabela1[[#This Row],[UF]])</f>
        <v>Aparecida de Goiânia,GO</v>
      </c>
      <c r="F992" s="2">
        <v>45894</v>
      </c>
      <c r="G992" s="17">
        <v>382.3</v>
      </c>
      <c r="H992" s="17">
        <v>650</v>
      </c>
      <c r="I992" s="6">
        <f>Tabela1[[#This Row],[Valor total]]-Tabela1[[#This Row],[Valor custo]]</f>
        <v>267.7</v>
      </c>
      <c r="J992" s="7">
        <f>Tabela1[[#This Row],[MARGEM BRUTA]]/Tabela1[[#This Row],[Valor total]]</f>
        <v>0.41184615384615381</v>
      </c>
      <c r="K992" s="1" t="str">
        <f>VLOOKUP(Tabela1[[#This Row],[Cliente]],'BASE DE CLIENTES'!A:D,4,0)</f>
        <v>TECNICO</v>
      </c>
      <c r="L992" s="1" t="str">
        <f>VLOOKUP(Tabela1[[#This Row],[Cliente]],'BASE DE CLIENTES'!A:E,5,0)</f>
        <v>Aparecida de Goiânia</v>
      </c>
    </row>
    <row r="993" spans="2:12" x14ac:dyDescent="0.3">
      <c r="B993" s="1" t="s">
        <v>101</v>
      </c>
      <c r="C993" s="4" t="str">
        <f>VLOOKUP(Tabela1[[#This Row],[Cliente]],'BASE DE CLIENTES'!A:E,2,0)</f>
        <v>Brasília</v>
      </c>
      <c r="D993" s="1" t="str">
        <f>VLOOKUP(Tabela1[[#This Row],[Cliente]],'BASE DE CLIENTES'!A:C,3,0)</f>
        <v>DF</v>
      </c>
      <c r="E993" s="4" t="str">
        <f>CONCATENATE(Tabela1[[#This Row],[CIDADE]],",",Tabela1[[#This Row],[UF]])</f>
        <v>Brasília,DF</v>
      </c>
      <c r="F993" s="2">
        <v>45750</v>
      </c>
      <c r="G993" s="17">
        <v>521</v>
      </c>
      <c r="H993" s="17">
        <v>840</v>
      </c>
      <c r="I993" s="6">
        <f>Tabela1[[#This Row],[Valor total]]-Tabela1[[#This Row],[Valor custo]]</f>
        <v>319</v>
      </c>
      <c r="J993" s="7">
        <f>Tabela1[[#This Row],[MARGEM BRUTA]]/Tabela1[[#This Row],[Valor total]]</f>
        <v>0.37976190476190474</v>
      </c>
      <c r="K993" s="1" t="str">
        <f>VLOOKUP(Tabela1[[#This Row],[Cliente]],'BASE DE CLIENTES'!A:D,4,0)</f>
        <v>SERRALHEIRO</v>
      </c>
      <c r="L993" s="1" t="str">
        <f>VLOOKUP(Tabela1[[#This Row],[Cliente]],'BASE DE CLIENTES'!A:E,5,0)</f>
        <v>TAGUATINGA SUL (TAGUATINGA)</v>
      </c>
    </row>
    <row r="994" spans="2:12" x14ac:dyDescent="0.3">
      <c r="B994" s="1" t="s">
        <v>154</v>
      </c>
      <c r="C994" s="4" t="str">
        <f>VLOOKUP(Tabela1[[#This Row],[Cliente]],'BASE DE CLIENTES'!A:E,2,0)</f>
        <v>Aparecida de Goiânia</v>
      </c>
      <c r="D994" s="1" t="str">
        <f>VLOOKUP(Tabela1[[#This Row],[Cliente]],'BASE DE CLIENTES'!A:C,3,0)</f>
        <v>GO</v>
      </c>
      <c r="E994" s="4" t="str">
        <f>CONCATENATE(Tabela1[[#This Row],[CIDADE]],",",Tabela1[[#This Row],[UF]])</f>
        <v>Aparecida de Goiânia,GO</v>
      </c>
      <c r="F994" s="2">
        <v>45888</v>
      </c>
      <c r="G994" s="17">
        <v>455</v>
      </c>
      <c r="H994" s="17">
        <v>780</v>
      </c>
      <c r="I994" s="6">
        <f>Tabela1[[#This Row],[Valor total]]-Tabela1[[#This Row],[Valor custo]]</f>
        <v>325</v>
      </c>
      <c r="J994" s="7">
        <f>Tabela1[[#This Row],[MARGEM BRUTA]]/Tabela1[[#This Row],[Valor total]]</f>
        <v>0.41666666666666669</v>
      </c>
      <c r="K994" s="1" t="str">
        <f>VLOOKUP(Tabela1[[#This Row],[Cliente]],'BASE DE CLIENTES'!A:D,4,0)</f>
        <v>TECNICO</v>
      </c>
      <c r="L994" s="1" t="str">
        <f>VLOOKUP(Tabela1[[#This Row],[Cliente]],'BASE DE CLIENTES'!A:E,5,0)</f>
        <v>Aparecida de Goiânia</v>
      </c>
    </row>
    <row r="995" spans="2:12" x14ac:dyDescent="0.3">
      <c r="B995" s="1" t="s">
        <v>25</v>
      </c>
      <c r="C995" s="4" t="str">
        <f>VLOOKUP(Tabela1[[#This Row],[Cliente]],'BASE DE CLIENTES'!A:E,2,0)</f>
        <v>Brasília</v>
      </c>
      <c r="D995" s="1" t="str">
        <f>VLOOKUP(Tabela1[[#This Row],[Cliente]],'BASE DE CLIENTES'!A:C,3,0)</f>
        <v>DF</v>
      </c>
      <c r="E995" s="4" t="str">
        <f>CONCATENATE(Tabela1[[#This Row],[CIDADE]],",",Tabela1[[#This Row],[UF]])</f>
        <v>Brasília,DF</v>
      </c>
      <c r="F995" s="2">
        <v>45750</v>
      </c>
      <c r="G995" s="17">
        <v>2513</v>
      </c>
      <c r="H995" s="17">
        <v>3780</v>
      </c>
      <c r="I995" s="6">
        <f>Tabela1[[#This Row],[Valor total]]-Tabela1[[#This Row],[Valor custo]]</f>
        <v>1267</v>
      </c>
      <c r="J995" s="7">
        <f>Tabela1[[#This Row],[MARGEM BRUTA]]/Tabela1[[#This Row],[Valor total]]</f>
        <v>0.3351851851851852</v>
      </c>
      <c r="K995" s="1" t="str">
        <f>VLOOKUP(Tabela1[[#This Row],[Cliente]],'BASE DE CLIENTES'!A:D,4,0)</f>
        <v>EMPRESA COM MAQUINA</v>
      </c>
      <c r="L995" s="1" t="str">
        <f>VLOOKUP(Tabela1[[#This Row],[Cliente]],'BASE DE CLIENTES'!A:E,5,0)</f>
        <v>CEILANDIA NORTE (CEILANDIA)</v>
      </c>
    </row>
    <row r="996" spans="2:12" x14ac:dyDescent="0.3">
      <c r="B996" s="1" t="s">
        <v>68</v>
      </c>
      <c r="C996" s="4" t="str">
        <f>VLOOKUP(Tabela1[[#This Row],[Cliente]],'BASE DE CLIENTES'!A:E,2,0)</f>
        <v>Brasília</v>
      </c>
      <c r="D996" s="1" t="str">
        <f>VLOOKUP(Tabela1[[#This Row],[Cliente]],'BASE DE CLIENTES'!A:C,3,0)</f>
        <v>DF</v>
      </c>
      <c r="E996" s="4" t="str">
        <f>CONCATENATE(Tabela1[[#This Row],[CIDADE]],",",Tabela1[[#This Row],[UF]])</f>
        <v>Brasília,DF</v>
      </c>
      <c r="F996" s="2">
        <v>45749</v>
      </c>
      <c r="G996" s="17">
        <v>473</v>
      </c>
      <c r="H996" s="17">
        <v>690</v>
      </c>
      <c r="I996" s="6">
        <f>Tabela1[[#This Row],[Valor total]]-Tabela1[[#This Row],[Valor custo]]</f>
        <v>217</v>
      </c>
      <c r="J996" s="7">
        <f>Tabela1[[#This Row],[MARGEM BRUTA]]/Tabela1[[#This Row],[Valor total]]</f>
        <v>0.3144927536231884</v>
      </c>
      <c r="K996" s="1" t="str">
        <f>VLOOKUP(Tabela1[[#This Row],[Cliente]],'BASE DE CLIENTES'!A:D,4,0)</f>
        <v>EMPRESA COM MAQUINA</v>
      </c>
      <c r="L996" s="1" t="str">
        <f>VLOOKUP(Tabela1[[#This Row],[Cliente]],'BASE DE CLIENTES'!A:E,5,0)</f>
        <v>SAMAMBAIA SUL (SAMAMBAIA)</v>
      </c>
    </row>
    <row r="997" spans="2:12" x14ac:dyDescent="0.3">
      <c r="B997" s="1" t="s">
        <v>88</v>
      </c>
      <c r="C997" s="4" t="str">
        <f>VLOOKUP(Tabela1[[#This Row],[Cliente]],'BASE DE CLIENTES'!A:E,2,0)</f>
        <v>Brasília</v>
      </c>
      <c r="D997" s="1" t="str">
        <f>VLOOKUP(Tabela1[[#This Row],[Cliente]],'BASE DE CLIENTES'!A:C,3,0)</f>
        <v>DF</v>
      </c>
      <c r="E997" s="4" t="str">
        <f>CONCATENATE(Tabela1[[#This Row],[CIDADE]],",",Tabela1[[#This Row],[UF]])</f>
        <v>Brasília,DF</v>
      </c>
      <c r="F997" s="2">
        <v>45749</v>
      </c>
      <c r="G997" s="17">
        <v>506</v>
      </c>
      <c r="H997" s="17">
        <v>800</v>
      </c>
      <c r="I997" s="6">
        <f>Tabela1[[#This Row],[Valor total]]-Tabela1[[#This Row],[Valor custo]]</f>
        <v>294</v>
      </c>
      <c r="J997" s="7">
        <f>Tabela1[[#This Row],[MARGEM BRUTA]]/Tabela1[[#This Row],[Valor total]]</f>
        <v>0.36749999999999999</v>
      </c>
      <c r="K997" s="1" t="str">
        <f>VLOOKUP(Tabela1[[#This Row],[Cliente]],'BASE DE CLIENTES'!A:D,4,0)</f>
        <v>SERRALHEIRO</v>
      </c>
      <c r="L997" s="1" t="str">
        <f>VLOOKUP(Tabela1[[#This Row],[Cliente]],'BASE DE CLIENTES'!A:E,5,0)</f>
        <v>RECANTO DAS EMAS</v>
      </c>
    </row>
    <row r="998" spans="2:12" x14ac:dyDescent="0.3">
      <c r="B998" s="1" t="s">
        <v>120</v>
      </c>
      <c r="C998" s="4" t="str">
        <f>VLOOKUP(Tabela1[[#This Row],[Cliente]],'BASE DE CLIENTES'!A:E,2,0)</f>
        <v>Brasília</v>
      </c>
      <c r="D998" s="1" t="str">
        <f>VLOOKUP(Tabela1[[#This Row],[Cliente]],'BASE DE CLIENTES'!A:C,3,0)</f>
        <v>DF</v>
      </c>
      <c r="E998" s="4" t="str">
        <f>CONCATENATE(Tabela1[[#This Row],[CIDADE]],",",Tabela1[[#This Row],[UF]])</f>
        <v>Brasília,DF</v>
      </c>
      <c r="F998" s="2">
        <v>45832</v>
      </c>
      <c r="G998" s="17">
        <v>122.74</v>
      </c>
      <c r="H998" s="17">
        <v>170</v>
      </c>
      <c r="I998" s="6">
        <f>Tabela1[[#This Row],[Valor total]]-Tabela1[[#This Row],[Valor custo]]</f>
        <v>47.260000000000005</v>
      </c>
      <c r="J998" s="7">
        <f>Tabela1[[#This Row],[MARGEM BRUTA]]/Tabela1[[#This Row],[Valor total]]</f>
        <v>0.27800000000000002</v>
      </c>
      <c r="K998" s="1" t="str">
        <f>VLOOKUP(Tabela1[[#This Row],[Cliente]],'BASE DE CLIENTES'!A:D,4,0)</f>
        <v>EMPRESA SEM MAQUINA</v>
      </c>
      <c r="L998" s="1" t="str">
        <f>VLOOKUP(Tabela1[[#This Row],[Cliente]],'BASE DE CLIENTES'!A:E,5,0)</f>
        <v>SAMAMBAIA</v>
      </c>
    </row>
    <row r="999" spans="2:12" x14ac:dyDescent="0.3">
      <c r="B999" s="1" t="s">
        <v>68</v>
      </c>
      <c r="C999" s="4" t="str">
        <f>VLOOKUP(Tabela1[[#This Row],[Cliente]],'BASE DE CLIENTES'!A:E,2,0)</f>
        <v>Brasília</v>
      </c>
      <c r="D999" s="1" t="str">
        <f>VLOOKUP(Tabela1[[#This Row],[Cliente]],'BASE DE CLIENTES'!A:C,3,0)</f>
        <v>DF</v>
      </c>
      <c r="E999" s="4" t="str">
        <f>CONCATENATE(Tabela1[[#This Row],[CIDADE]],",",Tabela1[[#This Row],[UF]])</f>
        <v>Brasília,DF</v>
      </c>
      <c r="F999" s="2">
        <v>45749</v>
      </c>
      <c r="G999" s="17">
        <v>1719.74</v>
      </c>
      <c r="H999" s="17">
        <v>2730</v>
      </c>
      <c r="I999" s="6">
        <f>Tabela1[[#This Row],[Valor total]]-Tabela1[[#This Row],[Valor custo]]</f>
        <v>1010.26</v>
      </c>
      <c r="J999" s="7">
        <f>Tabela1[[#This Row],[MARGEM BRUTA]]/Tabela1[[#This Row],[Valor total]]</f>
        <v>0.37005860805860807</v>
      </c>
      <c r="K999" s="1" t="str">
        <f>VLOOKUP(Tabela1[[#This Row],[Cliente]],'BASE DE CLIENTES'!A:D,4,0)</f>
        <v>EMPRESA COM MAQUINA</v>
      </c>
      <c r="L999" s="1" t="str">
        <f>VLOOKUP(Tabela1[[#This Row],[Cliente]],'BASE DE CLIENTES'!A:E,5,0)</f>
        <v>SAMAMBAIA SUL (SAMAMBAIA)</v>
      </c>
    </row>
    <row r="1000" spans="2:12" x14ac:dyDescent="0.3">
      <c r="B1000" s="1" t="s">
        <v>161</v>
      </c>
      <c r="C1000" s="4" t="str">
        <f>VLOOKUP(Tabela1[[#This Row],[Cliente]],'BASE DE CLIENTES'!A:E,2,0)</f>
        <v>Brasília</v>
      </c>
      <c r="D1000" s="1" t="str">
        <f>VLOOKUP(Tabela1[[#This Row],[Cliente]],'BASE DE CLIENTES'!A:C,3,0)</f>
        <v>DF</v>
      </c>
      <c r="E1000" s="4" t="str">
        <f>CONCATENATE(Tabela1[[#This Row],[CIDADE]],",",Tabela1[[#This Row],[UF]])</f>
        <v>Brasília,DF</v>
      </c>
      <c r="F1000" s="2">
        <v>45749</v>
      </c>
      <c r="G1000" s="17">
        <v>3625</v>
      </c>
      <c r="H1000" s="17">
        <v>6750</v>
      </c>
      <c r="I1000" s="6">
        <f>Tabela1[[#This Row],[Valor total]]-Tabela1[[#This Row],[Valor custo]]</f>
        <v>3125</v>
      </c>
      <c r="J1000" s="7">
        <f>Tabela1[[#This Row],[MARGEM BRUTA]]/Tabela1[[#This Row],[Valor total]]</f>
        <v>0.46296296296296297</v>
      </c>
      <c r="K1000" s="1" t="str">
        <f>VLOOKUP(Tabela1[[#This Row],[Cliente]],'BASE DE CLIENTES'!A:D,4,0)</f>
        <v>EMPRESA COM MAQUINA</v>
      </c>
      <c r="L1000" s="1" t="str">
        <f>VLOOKUP(Tabela1[[#This Row],[Cliente]],'BASE DE CLIENTES'!A:E,5,0)</f>
        <v>RIACHO FUNDO II</v>
      </c>
    </row>
    <row r="1001" spans="2:12" x14ac:dyDescent="0.3">
      <c r="B1001" s="1" t="s">
        <v>120</v>
      </c>
      <c r="C1001" s="4" t="str">
        <f>VLOOKUP(Tabela1[[#This Row],[Cliente]],'BASE DE CLIENTES'!A:E,2,0)</f>
        <v>Brasília</v>
      </c>
      <c r="D1001" s="1" t="str">
        <f>VLOOKUP(Tabela1[[#This Row],[Cliente]],'BASE DE CLIENTES'!A:C,3,0)</f>
        <v>DF</v>
      </c>
      <c r="E1001" s="4" t="str">
        <f>CONCATENATE(Tabela1[[#This Row],[CIDADE]],",",Tabela1[[#This Row],[UF]])</f>
        <v>Brasília,DF</v>
      </c>
      <c r="F1001" s="2">
        <v>45825</v>
      </c>
      <c r="G1001" s="17">
        <v>1888</v>
      </c>
      <c r="H1001" s="17">
        <v>2730</v>
      </c>
      <c r="I1001" s="6">
        <f>Tabela1[[#This Row],[Valor total]]-Tabela1[[#This Row],[Valor custo]]</f>
        <v>842</v>
      </c>
      <c r="J1001" s="7">
        <f>Tabela1[[#This Row],[MARGEM BRUTA]]/Tabela1[[#This Row],[Valor total]]</f>
        <v>0.30842490842490844</v>
      </c>
      <c r="K1001" s="1" t="str">
        <f>VLOOKUP(Tabela1[[#This Row],[Cliente]],'BASE DE CLIENTES'!A:D,4,0)</f>
        <v>EMPRESA SEM MAQUINA</v>
      </c>
      <c r="L1001" s="1" t="str">
        <f>VLOOKUP(Tabela1[[#This Row],[Cliente]],'BASE DE CLIENTES'!A:E,5,0)</f>
        <v>SAMAMBAIA</v>
      </c>
    </row>
    <row r="1002" spans="2:12" x14ac:dyDescent="0.3">
      <c r="B1002" s="1" t="s">
        <v>133</v>
      </c>
      <c r="C1002" s="4" t="str">
        <f>VLOOKUP(Tabela1[[#This Row],[Cliente]],'BASE DE CLIENTES'!A:E,2,0)</f>
        <v>Brasília</v>
      </c>
      <c r="D1002" s="1" t="str">
        <f>VLOOKUP(Tabela1[[#This Row],[Cliente]],'BASE DE CLIENTES'!A:C,3,0)</f>
        <v>DF</v>
      </c>
      <c r="E1002" s="4" t="str">
        <f>CONCATENATE(Tabela1[[#This Row],[CIDADE]],",",Tabela1[[#This Row],[UF]])</f>
        <v>Brasília,DF</v>
      </c>
      <c r="F1002" s="2">
        <v>45749</v>
      </c>
      <c r="G1002" s="17">
        <v>123</v>
      </c>
      <c r="H1002" s="17">
        <v>165</v>
      </c>
      <c r="I1002" s="6">
        <f>Tabela1[[#This Row],[Valor total]]-Tabela1[[#This Row],[Valor custo]]</f>
        <v>42</v>
      </c>
      <c r="J1002" s="7">
        <f>Tabela1[[#This Row],[MARGEM BRUTA]]/Tabela1[[#This Row],[Valor total]]</f>
        <v>0.25454545454545452</v>
      </c>
      <c r="K1002" s="1" t="str">
        <f>VLOOKUP(Tabela1[[#This Row],[Cliente]],'BASE DE CLIENTES'!A:D,4,0)</f>
        <v>SERRALHEIRO</v>
      </c>
      <c r="L1002" s="1" t="str">
        <f>VLOOKUP(Tabela1[[#This Row],[Cliente]],'BASE DE CLIENTES'!A:E,5,0)</f>
        <v>RECANTO DAS EMAS</v>
      </c>
    </row>
    <row r="1003" spans="2:12" x14ac:dyDescent="0.3">
      <c r="B1003" s="1" t="s">
        <v>152</v>
      </c>
      <c r="C1003" s="4" t="str">
        <f>VLOOKUP(Tabela1[[#This Row],[Cliente]],'BASE DE CLIENTES'!A:E,2,0)</f>
        <v>Aparecida de Goiânia</v>
      </c>
      <c r="D1003" s="1" t="str">
        <f>VLOOKUP(Tabela1[[#This Row],[Cliente]],'BASE DE CLIENTES'!A:C,3,0)</f>
        <v>GO</v>
      </c>
      <c r="E1003" s="4" t="str">
        <f>CONCATENATE(Tabela1[[#This Row],[CIDADE]],",",Tabela1[[#This Row],[UF]])</f>
        <v>Aparecida de Goiânia,GO</v>
      </c>
      <c r="F1003" s="2">
        <v>45806</v>
      </c>
      <c r="G1003" s="17">
        <v>539</v>
      </c>
      <c r="H1003" s="17">
        <v>940</v>
      </c>
      <c r="I1003" s="6">
        <f>Tabela1[[#This Row],[Valor total]]-Tabela1[[#This Row],[Valor custo]]</f>
        <v>401</v>
      </c>
      <c r="J1003" s="7">
        <f>Tabela1[[#This Row],[MARGEM BRUTA]]/Tabela1[[#This Row],[Valor total]]</f>
        <v>0.42659574468085104</v>
      </c>
      <c r="K1003" s="1" t="str">
        <f>VLOOKUP(Tabela1[[#This Row],[Cliente]],'BASE DE CLIENTES'!A:D,4,0)</f>
        <v>TECNICO</v>
      </c>
      <c r="L1003" s="1" t="str">
        <f>VLOOKUP(Tabela1[[#This Row],[Cliente]],'BASE DE CLIENTES'!A:E,5,0)</f>
        <v>Aparecida de Goiânia</v>
      </c>
    </row>
    <row r="1004" spans="2:12" x14ac:dyDescent="0.3">
      <c r="B1004" s="1" t="s">
        <v>27</v>
      </c>
      <c r="C1004" s="4" t="str">
        <f>VLOOKUP(Tabela1[[#This Row],[Cliente]],'BASE DE CLIENTES'!A:E,2,0)</f>
        <v>Brasília</v>
      </c>
      <c r="D1004" s="1" t="str">
        <f>VLOOKUP(Tabela1[[#This Row],[Cliente]],'BASE DE CLIENTES'!A:C,3,0)</f>
        <v>DF</v>
      </c>
      <c r="E1004" s="4" t="str">
        <f>CONCATENATE(Tabela1[[#This Row],[CIDADE]],",",Tabela1[[#This Row],[UF]])</f>
        <v>Brasília,DF</v>
      </c>
      <c r="F1004" s="2">
        <v>45749</v>
      </c>
      <c r="G1004" s="17">
        <v>23.7</v>
      </c>
      <c r="H1004" s="17">
        <v>105</v>
      </c>
      <c r="I1004" s="6">
        <f>Tabela1[[#This Row],[Valor total]]-Tabela1[[#This Row],[Valor custo]]</f>
        <v>81.3</v>
      </c>
      <c r="J1004" s="7">
        <f>Tabela1[[#This Row],[MARGEM BRUTA]]/Tabela1[[#This Row],[Valor total]]</f>
        <v>0.77428571428571424</v>
      </c>
      <c r="K1004" s="1" t="str">
        <f>VLOOKUP(Tabela1[[#This Row],[Cliente]],'BASE DE CLIENTES'!A:D,4,0)</f>
        <v>EMPRESA SEM MAQUINA</v>
      </c>
      <c r="L1004" s="1" t="str">
        <f>VLOOKUP(Tabela1[[#This Row],[Cliente]],'BASE DE CLIENTES'!A:E,5,0)</f>
        <v>RECANTO DAS EMAS</v>
      </c>
    </row>
    <row r="1005" spans="2:12" x14ac:dyDescent="0.3">
      <c r="B1005" s="1" t="s">
        <v>68</v>
      </c>
      <c r="C1005" s="4" t="str">
        <f>VLOOKUP(Tabela1[[#This Row],[Cliente]],'BASE DE CLIENTES'!A:E,2,0)</f>
        <v>Brasília</v>
      </c>
      <c r="D1005" s="1" t="str">
        <f>VLOOKUP(Tabela1[[#This Row],[Cliente]],'BASE DE CLIENTES'!A:C,3,0)</f>
        <v>DF</v>
      </c>
      <c r="E1005" s="4" t="str">
        <f>CONCATENATE(Tabela1[[#This Row],[CIDADE]],",",Tabela1[[#This Row],[UF]])</f>
        <v>Brasília,DF</v>
      </c>
      <c r="F1005" s="2">
        <v>45749</v>
      </c>
      <c r="G1005" s="17">
        <v>42</v>
      </c>
      <c r="H1005" s="17">
        <v>55</v>
      </c>
      <c r="I1005" s="6">
        <f>Tabela1[[#This Row],[Valor total]]-Tabela1[[#This Row],[Valor custo]]</f>
        <v>13</v>
      </c>
      <c r="J1005" s="7">
        <f>Tabela1[[#This Row],[MARGEM BRUTA]]/Tabela1[[#This Row],[Valor total]]</f>
        <v>0.23636363636363636</v>
      </c>
      <c r="K1005" s="1" t="str">
        <f>VLOOKUP(Tabela1[[#This Row],[Cliente]],'BASE DE CLIENTES'!A:D,4,0)</f>
        <v>EMPRESA COM MAQUINA</v>
      </c>
      <c r="L1005" s="1" t="str">
        <f>VLOOKUP(Tabela1[[#This Row],[Cliente]],'BASE DE CLIENTES'!A:E,5,0)</f>
        <v>SAMAMBAIA SUL (SAMAMBAIA)</v>
      </c>
    </row>
    <row r="1006" spans="2:12" x14ac:dyDescent="0.3">
      <c r="B1006" s="1" t="s">
        <v>98</v>
      </c>
      <c r="C1006" s="4" t="str">
        <f>VLOOKUP(Tabela1[[#This Row],[Cliente]],'BASE DE CLIENTES'!A:E,2,0)</f>
        <v>Brasília</v>
      </c>
      <c r="D1006" s="1" t="str">
        <f>VLOOKUP(Tabela1[[#This Row],[Cliente]],'BASE DE CLIENTES'!A:C,3,0)</f>
        <v>DF</v>
      </c>
      <c r="E1006" s="4" t="str">
        <f>CONCATENATE(Tabela1[[#This Row],[CIDADE]],",",Tabela1[[#This Row],[UF]])</f>
        <v>Brasília,DF</v>
      </c>
      <c r="F1006" s="2">
        <v>45749</v>
      </c>
      <c r="G1006" s="17">
        <v>710</v>
      </c>
      <c r="H1006" s="17">
        <v>1250</v>
      </c>
      <c r="I1006" s="6">
        <f>Tabela1[[#This Row],[Valor total]]-Tabela1[[#This Row],[Valor custo]]</f>
        <v>540</v>
      </c>
      <c r="J1006" s="7">
        <f>Tabela1[[#This Row],[MARGEM BRUTA]]/Tabela1[[#This Row],[Valor total]]</f>
        <v>0.432</v>
      </c>
      <c r="K1006" s="1" t="str">
        <f>VLOOKUP(Tabela1[[#This Row],[Cliente]],'BASE DE CLIENTES'!A:D,4,0)</f>
        <v>SERRALHEIRO</v>
      </c>
      <c r="L1006" s="1" t="str">
        <f>VLOOKUP(Tabela1[[#This Row],[Cliente]],'BASE DE CLIENTES'!A:E,5,0)</f>
        <v>SANTA MARIA</v>
      </c>
    </row>
    <row r="1007" spans="2:12" x14ac:dyDescent="0.3">
      <c r="B1007" s="1" t="s">
        <v>130</v>
      </c>
      <c r="C1007" s="4" t="str">
        <f>VLOOKUP(Tabela1[[#This Row],[Cliente]],'BASE DE CLIENTES'!A:E,2,0)</f>
        <v>Brasília</v>
      </c>
      <c r="D1007" s="1" t="str">
        <f>VLOOKUP(Tabela1[[#This Row],[Cliente]],'BASE DE CLIENTES'!A:C,3,0)</f>
        <v>DF</v>
      </c>
      <c r="E1007" s="4" t="str">
        <f>CONCATENATE(Tabela1[[#This Row],[CIDADE]],",",Tabela1[[#This Row],[UF]])</f>
        <v>Brasília,DF</v>
      </c>
      <c r="F1007" s="2">
        <v>45748</v>
      </c>
      <c r="G1007" s="17">
        <v>23.7</v>
      </c>
      <c r="H1007" s="17">
        <v>105</v>
      </c>
      <c r="I1007" s="6">
        <f>Tabela1[[#This Row],[Valor total]]-Tabela1[[#This Row],[Valor custo]]</f>
        <v>81.3</v>
      </c>
      <c r="J1007" s="7">
        <f>Tabela1[[#This Row],[MARGEM BRUTA]]/Tabela1[[#This Row],[Valor total]]</f>
        <v>0.77428571428571424</v>
      </c>
      <c r="K1007" s="1" t="str">
        <f>VLOOKUP(Tabela1[[#This Row],[Cliente]],'BASE DE CLIENTES'!A:D,4,0)</f>
        <v>EMPRESA SEM MAQUINA</v>
      </c>
      <c r="L1007" s="1" t="str">
        <f>VLOOKUP(Tabela1[[#This Row],[Cliente]],'BASE DE CLIENTES'!A:E,5,0)</f>
        <v>CEILANDIA NORTE (CEILANDIA)</v>
      </c>
    </row>
    <row r="1008" spans="2:12" x14ac:dyDescent="0.3">
      <c r="B1008" s="1" t="s">
        <v>101</v>
      </c>
      <c r="C1008" s="4" t="str">
        <f>VLOOKUP(Tabela1[[#This Row],[Cliente]],'BASE DE CLIENTES'!A:E,2,0)</f>
        <v>Brasília</v>
      </c>
      <c r="D1008" s="1" t="str">
        <f>VLOOKUP(Tabela1[[#This Row],[Cliente]],'BASE DE CLIENTES'!A:C,3,0)</f>
        <v>DF</v>
      </c>
      <c r="E1008" s="4" t="str">
        <f>CONCATENATE(Tabela1[[#This Row],[CIDADE]],",",Tabela1[[#This Row],[UF]])</f>
        <v>Brasília,DF</v>
      </c>
      <c r="F1008" s="2">
        <v>45749</v>
      </c>
      <c r="G1008" s="17">
        <v>84.79</v>
      </c>
      <c r="H1008" s="17">
        <v>132</v>
      </c>
      <c r="I1008" s="6">
        <f>Tabela1[[#This Row],[Valor total]]-Tabela1[[#This Row],[Valor custo]]</f>
        <v>47.209999999999994</v>
      </c>
      <c r="J1008" s="7">
        <f>Tabela1[[#This Row],[MARGEM BRUTA]]/Tabela1[[#This Row],[Valor total]]</f>
        <v>0.35765151515151511</v>
      </c>
      <c r="K1008" s="1" t="str">
        <f>VLOOKUP(Tabela1[[#This Row],[Cliente]],'BASE DE CLIENTES'!A:D,4,0)</f>
        <v>SERRALHEIRO</v>
      </c>
      <c r="L1008" s="1" t="str">
        <f>VLOOKUP(Tabela1[[#This Row],[Cliente]],'BASE DE CLIENTES'!A:E,5,0)</f>
        <v>TAGUATINGA SUL (TAGUATINGA)</v>
      </c>
    </row>
    <row r="1009" spans="1:12" x14ac:dyDescent="0.3">
      <c r="B1009" s="1" t="s">
        <v>152</v>
      </c>
      <c r="C1009" s="4" t="str">
        <f>VLOOKUP(Tabela1[[#This Row],[Cliente]],'BASE DE CLIENTES'!A:E,2,0)</f>
        <v>Aparecida de Goiânia</v>
      </c>
      <c r="D1009" s="1" t="str">
        <f>VLOOKUP(Tabela1[[#This Row],[Cliente]],'BASE DE CLIENTES'!A:C,3,0)</f>
        <v>GO</v>
      </c>
      <c r="E1009" s="4" t="str">
        <f>CONCATENATE(Tabela1[[#This Row],[CIDADE]],",",Tabela1[[#This Row],[UF]])</f>
        <v>Aparecida de Goiânia,GO</v>
      </c>
      <c r="F1009" s="2">
        <v>45743</v>
      </c>
      <c r="G1009" s="17">
        <v>710</v>
      </c>
      <c r="H1009" s="17">
        <v>1250</v>
      </c>
      <c r="I1009" s="6">
        <f>Tabela1[[#This Row],[Valor total]]-Tabela1[[#This Row],[Valor custo]]</f>
        <v>540</v>
      </c>
      <c r="J1009" s="7">
        <f>Tabela1[[#This Row],[MARGEM BRUTA]]/Tabela1[[#This Row],[Valor total]]</f>
        <v>0.432</v>
      </c>
      <c r="K1009" s="1" t="str">
        <f>VLOOKUP(Tabela1[[#This Row],[Cliente]],'BASE DE CLIENTES'!A:D,4,0)</f>
        <v>TECNICO</v>
      </c>
      <c r="L1009" s="1" t="str">
        <f>VLOOKUP(Tabela1[[#This Row],[Cliente]],'BASE DE CLIENTES'!A:E,5,0)</f>
        <v>Aparecida de Goiânia</v>
      </c>
    </row>
    <row r="1010" spans="1:12" x14ac:dyDescent="0.3">
      <c r="B1010" s="1" t="s">
        <v>152</v>
      </c>
      <c r="C1010" s="4" t="str">
        <f>VLOOKUP(Tabela1[[#This Row],[Cliente]],'BASE DE CLIENTES'!A:E,2,0)</f>
        <v>Aparecida de Goiânia</v>
      </c>
      <c r="D1010" s="1" t="str">
        <f>VLOOKUP(Tabela1[[#This Row],[Cliente]],'BASE DE CLIENTES'!A:C,3,0)</f>
        <v>GO</v>
      </c>
      <c r="E1010" s="4" t="str">
        <f>CONCATENATE(Tabela1[[#This Row],[CIDADE]],",",Tabela1[[#This Row],[UF]])</f>
        <v>Aparecida de Goiânia,GO</v>
      </c>
      <c r="F1010" s="2">
        <v>45753</v>
      </c>
      <c r="G1010" s="17">
        <v>710</v>
      </c>
      <c r="H1010" s="17">
        <v>1250</v>
      </c>
      <c r="I1010" s="6">
        <f>Tabela1[[#This Row],[Valor total]]-Tabela1[[#This Row],[Valor custo]]</f>
        <v>540</v>
      </c>
      <c r="J1010" s="7">
        <f>Tabela1[[#This Row],[MARGEM BRUTA]]/Tabela1[[#This Row],[Valor total]]</f>
        <v>0.432</v>
      </c>
      <c r="K1010" s="1" t="str">
        <f>VLOOKUP(Tabela1[[#This Row],[Cliente]],'BASE DE CLIENTES'!A:D,4,0)</f>
        <v>TECNICO</v>
      </c>
      <c r="L1010" s="1" t="str">
        <f>VLOOKUP(Tabela1[[#This Row],[Cliente]],'BASE DE CLIENTES'!A:E,5,0)</f>
        <v>Aparecida de Goiânia</v>
      </c>
    </row>
    <row r="1011" spans="1:12" x14ac:dyDescent="0.3">
      <c r="B1011" s="1" t="s">
        <v>152</v>
      </c>
      <c r="C1011" s="4" t="str">
        <f>VLOOKUP(Tabela1[[#This Row],[Cliente]],'BASE DE CLIENTES'!A:E,2,0)</f>
        <v>Aparecida de Goiânia</v>
      </c>
      <c r="D1011" s="1" t="str">
        <f>VLOOKUP(Tabela1[[#This Row],[Cliente]],'BASE DE CLIENTES'!A:C,3,0)</f>
        <v>GO</v>
      </c>
      <c r="E1011" s="4" t="str">
        <f>CONCATENATE(Tabela1[[#This Row],[CIDADE]],",",Tabela1[[#This Row],[UF]])</f>
        <v>Aparecida de Goiânia,GO</v>
      </c>
      <c r="F1011" s="2">
        <v>45861</v>
      </c>
      <c r="G1011" s="17">
        <v>954</v>
      </c>
      <c r="H1011" s="17">
        <v>1680</v>
      </c>
      <c r="I1011" s="6">
        <f>Tabela1[[#This Row],[Valor total]]-Tabela1[[#This Row],[Valor custo]]</f>
        <v>726</v>
      </c>
      <c r="J1011" s="7">
        <f>Tabela1[[#This Row],[MARGEM BRUTA]]/Tabela1[[#This Row],[Valor total]]</f>
        <v>0.43214285714285716</v>
      </c>
      <c r="K1011" s="1" t="str">
        <f>VLOOKUP(Tabela1[[#This Row],[Cliente]],'BASE DE CLIENTES'!A:D,4,0)</f>
        <v>TECNICO</v>
      </c>
      <c r="L1011" s="1" t="str">
        <f>VLOOKUP(Tabela1[[#This Row],[Cliente]],'BASE DE CLIENTES'!A:E,5,0)</f>
        <v>Aparecida de Goiânia</v>
      </c>
    </row>
    <row r="1012" spans="1:12" x14ac:dyDescent="0.3">
      <c r="B1012" s="1" t="s">
        <v>111</v>
      </c>
      <c r="C1012" s="4" t="str">
        <f>VLOOKUP(Tabela1[[#This Row],[Cliente]],'BASE DE CLIENTES'!A:E,2,0)</f>
        <v>Brasília</v>
      </c>
      <c r="D1012" s="1" t="str">
        <f>VLOOKUP(Tabela1[[#This Row],[Cliente]],'BASE DE CLIENTES'!A:C,3,0)</f>
        <v>DF</v>
      </c>
      <c r="E1012" s="4" t="str">
        <f>CONCATENATE(Tabela1[[#This Row],[CIDADE]],",",Tabela1[[#This Row],[UF]])</f>
        <v>Brasília,DF</v>
      </c>
      <c r="F1012" s="2">
        <v>45749</v>
      </c>
      <c r="G1012" s="17">
        <v>8481</v>
      </c>
      <c r="H1012" s="17">
        <v>13340</v>
      </c>
      <c r="I1012" s="6">
        <f>Tabela1[[#This Row],[Valor total]]-Tabela1[[#This Row],[Valor custo]]</f>
        <v>4859</v>
      </c>
      <c r="J1012" s="7">
        <f>Tabela1[[#This Row],[MARGEM BRUTA]]/Tabela1[[#This Row],[Valor total]]</f>
        <v>0.36424287856071963</v>
      </c>
      <c r="K1012" s="1" t="str">
        <f>VLOOKUP(Tabela1[[#This Row],[Cliente]],'BASE DE CLIENTES'!A:D,4,0)</f>
        <v>EMPRESA SEM MAQUINA</v>
      </c>
      <c r="L1012" s="1" t="str">
        <f>VLOOKUP(Tabela1[[#This Row],[Cliente]],'BASE DE CLIENTES'!A:E,5,0)</f>
        <v>TAGUATINGA SUL (TAGUATINGA)</v>
      </c>
    </row>
    <row r="1013" spans="1:12" x14ac:dyDescent="0.3">
      <c r="B1013" s="1" t="s">
        <v>52</v>
      </c>
      <c r="C1013" s="4" t="str">
        <f>VLOOKUP(Tabela1[[#This Row],[Cliente]],'BASE DE CLIENTES'!A:E,2,0)</f>
        <v>Brasília</v>
      </c>
      <c r="D1013" s="1" t="str">
        <f>VLOOKUP(Tabela1[[#This Row],[Cliente]],'BASE DE CLIENTES'!A:C,3,0)</f>
        <v>DF</v>
      </c>
      <c r="E1013" s="4" t="str">
        <f>CONCATENATE(Tabela1[[#This Row],[CIDADE]],",",Tabela1[[#This Row],[UF]])</f>
        <v>Brasília,DF</v>
      </c>
      <c r="F1013" s="2">
        <v>45749</v>
      </c>
      <c r="G1013" s="17">
        <v>33.56</v>
      </c>
      <c r="H1013" s="17">
        <v>85</v>
      </c>
      <c r="I1013" s="6">
        <f>Tabela1[[#This Row],[Valor total]]-Tabela1[[#This Row],[Valor custo]]</f>
        <v>51.44</v>
      </c>
      <c r="J1013" s="7">
        <f>Tabela1[[#This Row],[MARGEM BRUTA]]/Tabela1[[#This Row],[Valor total]]</f>
        <v>0.60517647058823532</v>
      </c>
      <c r="K1013" s="1" t="str">
        <f>VLOOKUP(Tabela1[[#This Row],[Cliente]],'BASE DE CLIENTES'!A:D,4,0)</f>
        <v>SERRALHEIRO</v>
      </c>
      <c r="L1013" s="1" t="str">
        <f>VLOOKUP(Tabela1[[#This Row],[Cliente]],'BASE DE CLIENTES'!A:E,5,0)</f>
        <v>Ceilândia Sul (Ceilândia)</v>
      </c>
    </row>
    <row r="1014" spans="1:12" x14ac:dyDescent="0.3">
      <c r="B1014" s="1" t="s">
        <v>152</v>
      </c>
      <c r="C1014" s="4" t="str">
        <f>VLOOKUP(Tabela1[[#This Row],[Cliente]],'BASE DE CLIENTES'!A:E,2,0)</f>
        <v>Aparecida de Goiânia</v>
      </c>
      <c r="D1014" s="1" t="str">
        <f>VLOOKUP(Tabela1[[#This Row],[Cliente]],'BASE DE CLIENTES'!A:C,3,0)</f>
        <v>GO</v>
      </c>
      <c r="E1014" s="4" t="str">
        <f>CONCATENATE(Tabela1[[#This Row],[CIDADE]],",",Tabela1[[#This Row],[UF]])</f>
        <v>Aparecida de Goiânia,GO</v>
      </c>
      <c r="F1014" s="2">
        <v>45708</v>
      </c>
      <c r="G1014" s="17">
        <v>718.57</v>
      </c>
      <c r="H1014" s="17">
        <v>1280</v>
      </c>
      <c r="I1014" s="6">
        <f>Tabela1[[#This Row],[Valor total]]-Tabela1[[#This Row],[Valor custo]]</f>
        <v>561.42999999999995</v>
      </c>
      <c r="J1014" s="7">
        <f>Tabela1[[#This Row],[MARGEM BRUTA]]/Tabela1[[#This Row],[Valor total]]</f>
        <v>0.43861718749999995</v>
      </c>
      <c r="K1014" s="1" t="str">
        <f>VLOOKUP(Tabela1[[#This Row],[Cliente]],'BASE DE CLIENTES'!A:D,4,0)</f>
        <v>TECNICO</v>
      </c>
      <c r="L1014" s="1" t="str">
        <f>VLOOKUP(Tabela1[[#This Row],[Cliente]],'BASE DE CLIENTES'!A:E,5,0)</f>
        <v>Aparecida de Goiânia</v>
      </c>
    </row>
    <row r="1015" spans="1:12" x14ac:dyDescent="0.3">
      <c r="B1015" s="1" t="s">
        <v>152</v>
      </c>
      <c r="C1015" s="4" t="str">
        <f>VLOOKUP(Tabela1[[#This Row],[Cliente]],'BASE DE CLIENTES'!A:E,2,0)</f>
        <v>Aparecida de Goiânia</v>
      </c>
      <c r="D1015" s="1" t="str">
        <f>VLOOKUP(Tabela1[[#This Row],[Cliente]],'BASE DE CLIENTES'!A:C,3,0)</f>
        <v>GO</v>
      </c>
      <c r="E1015" s="4" t="str">
        <f>CONCATENATE(Tabela1[[#This Row],[CIDADE]],",",Tabela1[[#This Row],[UF]])</f>
        <v>Aparecida de Goiânia,GO</v>
      </c>
      <c r="F1015" s="2">
        <v>45737</v>
      </c>
      <c r="G1015" s="17">
        <v>1403.12</v>
      </c>
      <c r="H1015" s="17">
        <v>2500</v>
      </c>
      <c r="I1015" s="6">
        <f>Tabela1[[#This Row],[Valor total]]-Tabela1[[#This Row],[Valor custo]]</f>
        <v>1096.8800000000001</v>
      </c>
      <c r="J1015" s="7">
        <f>Tabela1[[#This Row],[MARGEM BRUTA]]/Tabela1[[#This Row],[Valor total]]</f>
        <v>0.43875200000000003</v>
      </c>
      <c r="K1015" s="1" t="str">
        <f>VLOOKUP(Tabela1[[#This Row],[Cliente]],'BASE DE CLIENTES'!A:D,4,0)</f>
        <v>TECNICO</v>
      </c>
      <c r="L1015" s="1" t="str">
        <f>VLOOKUP(Tabela1[[#This Row],[Cliente]],'BASE DE CLIENTES'!A:E,5,0)</f>
        <v>Aparecida de Goiânia</v>
      </c>
    </row>
    <row r="1016" spans="1:12" x14ac:dyDescent="0.3">
      <c r="B1016" s="1" t="s">
        <v>120</v>
      </c>
      <c r="C1016" s="4" t="str">
        <f>VLOOKUP(Tabela1[[#This Row],[Cliente]],'BASE DE CLIENTES'!A:E,2,0)</f>
        <v>Brasília</v>
      </c>
      <c r="D1016" s="1" t="str">
        <f>VLOOKUP(Tabela1[[#This Row],[Cliente]],'BASE DE CLIENTES'!A:C,3,0)</f>
        <v>DF</v>
      </c>
      <c r="E1016" s="4" t="str">
        <f>CONCATENATE(Tabela1[[#This Row],[CIDADE]],",",Tabela1[[#This Row],[UF]])</f>
        <v>Brasília,DF</v>
      </c>
      <c r="F1016" s="2">
        <v>45819</v>
      </c>
      <c r="G1016" s="17">
        <v>250</v>
      </c>
      <c r="H1016" s="17">
        <v>300</v>
      </c>
      <c r="I1016" s="6">
        <f>Tabela1[[#This Row],[Valor total]]-Tabela1[[#This Row],[Valor custo]]</f>
        <v>50</v>
      </c>
      <c r="J1016" s="7">
        <f>Tabela1[[#This Row],[MARGEM BRUTA]]/Tabela1[[#This Row],[Valor total]]</f>
        <v>0.16666666666666666</v>
      </c>
      <c r="K1016" s="1" t="str">
        <f>VLOOKUP(Tabela1[[#This Row],[Cliente]],'BASE DE CLIENTES'!A:D,4,0)</f>
        <v>EMPRESA SEM MAQUINA</v>
      </c>
      <c r="L1016" s="1" t="str">
        <f>VLOOKUP(Tabela1[[#This Row],[Cliente]],'BASE DE CLIENTES'!A:E,5,0)</f>
        <v>SAMAMBAIA</v>
      </c>
    </row>
    <row r="1017" spans="1:12" x14ac:dyDescent="0.3">
      <c r="B1017" s="1" t="s">
        <v>152</v>
      </c>
      <c r="C1017" s="4" t="str">
        <f>VLOOKUP(Tabela1[[#This Row],[Cliente]],'BASE DE CLIENTES'!A:E,2,0)</f>
        <v>Aparecida de Goiânia</v>
      </c>
      <c r="D1017" s="1" t="str">
        <f>VLOOKUP(Tabela1[[#This Row],[Cliente]],'BASE DE CLIENTES'!A:C,3,0)</f>
        <v>GO</v>
      </c>
      <c r="E1017" s="4" t="str">
        <f>CONCATENATE(Tabela1[[#This Row],[CIDADE]],",",Tabela1[[#This Row],[UF]])</f>
        <v>Aparecida de Goiânia,GO</v>
      </c>
      <c r="F1017" s="2">
        <v>45840</v>
      </c>
      <c r="G1017" s="17">
        <v>1342</v>
      </c>
      <c r="H1017" s="17">
        <v>2400</v>
      </c>
      <c r="I1017" s="6">
        <f>Tabela1[[#This Row],[Valor total]]-Tabela1[[#This Row],[Valor custo]]</f>
        <v>1058</v>
      </c>
      <c r="J1017" s="7">
        <f>Tabela1[[#This Row],[MARGEM BRUTA]]/Tabela1[[#This Row],[Valor total]]</f>
        <v>0.44083333333333335</v>
      </c>
      <c r="K1017" s="1" t="str">
        <f>VLOOKUP(Tabela1[[#This Row],[Cliente]],'BASE DE CLIENTES'!A:D,4,0)</f>
        <v>TECNICO</v>
      </c>
      <c r="L1017" s="1" t="str">
        <f>VLOOKUP(Tabela1[[#This Row],[Cliente]],'BASE DE CLIENTES'!A:E,5,0)</f>
        <v>Aparecida de Goiânia</v>
      </c>
    </row>
    <row r="1018" spans="1:12" x14ac:dyDescent="0.3">
      <c r="B1018" s="1" t="s">
        <v>141</v>
      </c>
      <c r="C1018" s="4" t="str">
        <f>VLOOKUP(Tabela1[[#This Row],[Cliente]],'BASE DE CLIENTES'!A:E,2,0)</f>
        <v>Brasília</v>
      </c>
      <c r="D1018" s="1" t="str">
        <f>VLOOKUP(Tabela1[[#This Row],[Cliente]],'BASE DE CLIENTES'!A:C,3,0)</f>
        <v>DF</v>
      </c>
      <c r="E1018" s="4" t="str">
        <f>CONCATENATE(Tabela1[[#This Row],[CIDADE]],",",Tabela1[[#This Row],[UF]])</f>
        <v>Brasília,DF</v>
      </c>
      <c r="F1018" s="2">
        <v>45748</v>
      </c>
      <c r="G1018" s="17">
        <v>1500</v>
      </c>
      <c r="H1018" s="17">
        <v>1780</v>
      </c>
      <c r="I1018" s="6">
        <f>Tabela1[[#This Row],[Valor total]]-Tabela1[[#This Row],[Valor custo]]</f>
        <v>280</v>
      </c>
      <c r="J1018" s="7">
        <f>Tabela1[[#This Row],[MARGEM BRUTA]]/Tabela1[[#This Row],[Valor total]]</f>
        <v>0.15730337078651685</v>
      </c>
      <c r="K1018" s="1" t="str">
        <f>VLOOKUP(Tabela1[[#This Row],[Cliente]],'BASE DE CLIENTES'!A:D,4,0)</f>
        <v>EMPRESA COM MAQUINA</v>
      </c>
      <c r="L1018" s="1" t="str">
        <f>VLOOKUP(Tabela1[[#This Row],[Cliente]],'BASE DE CLIENTES'!A:E,5,0)</f>
        <v>TAGUATINGA</v>
      </c>
    </row>
    <row r="1019" spans="1:12" x14ac:dyDescent="0.3">
      <c r="A1019" s="1" t="s">
        <v>168</v>
      </c>
      <c r="B1019" s="1" t="s">
        <v>152</v>
      </c>
      <c r="C1019" s="4" t="str">
        <f>VLOOKUP(Tabela1[[#This Row],[Cliente]],'BASE DE CLIENTES'!A:E,2,0)</f>
        <v>Aparecida de Goiânia</v>
      </c>
      <c r="D1019" s="1" t="str">
        <f>VLOOKUP(Tabela1[[#This Row],[Cliente]],'BASE DE CLIENTES'!A:C,3,0)</f>
        <v>GO</v>
      </c>
      <c r="E1019" s="4" t="str">
        <f>CONCATENATE(Tabela1[[#This Row],[CIDADE]],",",Tabela1[[#This Row],[UF]])</f>
        <v>Aparecida de Goiânia,GO</v>
      </c>
      <c r="F1019" s="2">
        <v>45679</v>
      </c>
      <c r="G1019" s="17">
        <v>122.74</v>
      </c>
      <c r="H1019" s="17">
        <v>220</v>
      </c>
      <c r="I1019" s="6">
        <f>Tabela1[[#This Row],[Valor total]]-Tabela1[[#This Row],[Valor custo]]</f>
        <v>97.26</v>
      </c>
      <c r="J1019" s="7">
        <f>Tabela1[[#This Row],[MARGEM BRUTA]]/Tabela1[[#This Row],[Valor total]]</f>
        <v>0.44209090909090909</v>
      </c>
      <c r="K1019" s="1" t="str">
        <f>VLOOKUP(Tabela1[[#This Row],[Cliente]],'BASE DE CLIENTES'!A:D,4,0)</f>
        <v>TECNICO</v>
      </c>
      <c r="L1019" s="1" t="str">
        <f>VLOOKUP(Tabela1[[#This Row],[Cliente]],'BASE DE CLIENTES'!A:E,5,0)</f>
        <v>Aparecida de Goiânia</v>
      </c>
    </row>
    <row r="1020" spans="1:12" x14ac:dyDescent="0.3">
      <c r="B1020" s="1" t="s">
        <v>152</v>
      </c>
      <c r="C1020" s="4" t="str">
        <f>VLOOKUP(Tabela1[[#This Row],[Cliente]],'BASE DE CLIENTES'!A:E,2,0)</f>
        <v>Aparecida de Goiânia</v>
      </c>
      <c r="D1020" s="1" t="str">
        <f>VLOOKUP(Tabela1[[#This Row],[Cliente]],'BASE DE CLIENTES'!A:C,3,0)</f>
        <v>GO</v>
      </c>
      <c r="E1020" s="4" t="str">
        <f>CONCATENATE(Tabela1[[#This Row],[CIDADE]],",",Tabela1[[#This Row],[UF]])</f>
        <v>Aparecida de Goiânia,GO</v>
      </c>
      <c r="F1020" s="2">
        <v>45889</v>
      </c>
      <c r="G1020" s="17">
        <v>649</v>
      </c>
      <c r="H1020" s="17">
        <v>1200</v>
      </c>
      <c r="I1020" s="6">
        <f>Tabela1[[#This Row],[Valor total]]-Tabela1[[#This Row],[Valor custo]]</f>
        <v>551</v>
      </c>
      <c r="J1020" s="7">
        <f>Tabela1[[#This Row],[MARGEM BRUTA]]/Tabela1[[#This Row],[Valor total]]</f>
        <v>0.45916666666666667</v>
      </c>
      <c r="K1020" s="1" t="str">
        <f>VLOOKUP(Tabela1[[#This Row],[Cliente]],'BASE DE CLIENTES'!A:D,4,0)</f>
        <v>TECNICO</v>
      </c>
      <c r="L1020" s="1" t="str">
        <f>VLOOKUP(Tabela1[[#This Row],[Cliente]],'BASE DE CLIENTES'!A:E,5,0)</f>
        <v>Aparecida de Goiânia</v>
      </c>
    </row>
    <row r="1021" spans="1:12" x14ac:dyDescent="0.3">
      <c r="B1021" s="1" t="s">
        <v>152</v>
      </c>
      <c r="C1021" s="4" t="str">
        <f>VLOOKUP(Tabela1[[#This Row],[Cliente]],'BASE DE CLIENTES'!A:E,2,0)</f>
        <v>Aparecida de Goiânia</v>
      </c>
      <c r="D1021" s="1" t="str">
        <f>VLOOKUP(Tabela1[[#This Row],[Cliente]],'BASE DE CLIENTES'!A:C,3,0)</f>
        <v>GO</v>
      </c>
      <c r="E1021" s="4" t="str">
        <f>CONCATENATE(Tabela1[[#This Row],[CIDADE]],",",Tabela1[[#This Row],[UF]])</f>
        <v>Aparecida de Goiânia,GO</v>
      </c>
      <c r="F1021" s="2">
        <v>45740</v>
      </c>
      <c r="G1021" s="17">
        <v>718.57</v>
      </c>
      <c r="H1021" s="17">
        <v>1350</v>
      </c>
      <c r="I1021" s="6">
        <f>Tabela1[[#This Row],[Valor total]]-Tabela1[[#This Row],[Valor custo]]</f>
        <v>631.42999999999995</v>
      </c>
      <c r="J1021" s="7">
        <f>Tabela1[[#This Row],[MARGEM BRUTA]]/Tabela1[[#This Row],[Valor total]]</f>
        <v>0.46772592592592588</v>
      </c>
      <c r="K1021" s="1" t="str">
        <f>VLOOKUP(Tabela1[[#This Row],[Cliente]],'BASE DE CLIENTES'!A:D,4,0)</f>
        <v>TECNICO</v>
      </c>
      <c r="L1021" s="1" t="str">
        <f>VLOOKUP(Tabela1[[#This Row],[Cliente]],'BASE DE CLIENTES'!A:E,5,0)</f>
        <v>Aparecida de Goiânia</v>
      </c>
    </row>
    <row r="1022" spans="1:12" x14ac:dyDescent="0.3">
      <c r="B1022" s="1" t="s">
        <v>85</v>
      </c>
      <c r="C1022" s="4" t="str">
        <f>VLOOKUP(Tabela1[[#This Row],[Cliente]],'BASE DE CLIENTES'!A:E,2,0)</f>
        <v>Brasília</v>
      </c>
      <c r="D1022" s="1" t="str">
        <f>VLOOKUP(Tabela1[[#This Row],[Cliente]],'BASE DE CLIENTES'!A:C,3,0)</f>
        <v>DF</v>
      </c>
      <c r="E1022" s="4" t="str">
        <f>CONCATENATE(Tabela1[[#This Row],[CIDADE]],",",Tabela1[[#This Row],[UF]])</f>
        <v>Brasília,DF</v>
      </c>
      <c r="F1022" s="2">
        <v>45748</v>
      </c>
      <c r="G1022" s="17">
        <v>164</v>
      </c>
      <c r="H1022" s="17">
        <v>200</v>
      </c>
      <c r="I1022" s="6">
        <f>Tabela1[[#This Row],[Valor total]]-Tabela1[[#This Row],[Valor custo]]</f>
        <v>36</v>
      </c>
      <c r="J1022" s="7">
        <f>Tabela1[[#This Row],[MARGEM BRUTA]]/Tabela1[[#This Row],[Valor total]]</f>
        <v>0.18</v>
      </c>
      <c r="K1022" s="1" t="str">
        <f>VLOOKUP(Tabela1[[#This Row],[Cliente]],'BASE DE CLIENTES'!A:D,4,0)</f>
        <v>SERRALHEIRO</v>
      </c>
      <c r="L1022" s="1" t="str">
        <f>VLOOKUP(Tabela1[[#This Row],[Cliente]],'BASE DE CLIENTES'!A:E,5,0)</f>
        <v>SAMAMBAIA NORTE (SAMAMBAIA)</v>
      </c>
    </row>
    <row r="1023" spans="1:12" x14ac:dyDescent="0.3">
      <c r="B1023" s="1" t="s">
        <v>97</v>
      </c>
      <c r="C1023" s="4" t="str">
        <f>VLOOKUP(Tabela1[[#This Row],[Cliente]],'BASE DE CLIENTES'!A:E,2,0)</f>
        <v>Brasília</v>
      </c>
      <c r="D1023" s="1" t="str">
        <f>VLOOKUP(Tabela1[[#This Row],[Cliente]],'BASE DE CLIENTES'!A:C,3,0)</f>
        <v>DF</v>
      </c>
      <c r="E1023" s="4" t="str">
        <f>CONCATENATE(Tabela1[[#This Row],[CIDADE]],",",Tabela1[[#This Row],[UF]])</f>
        <v>Brasília,DF</v>
      </c>
      <c r="F1023" s="2">
        <v>45748</v>
      </c>
      <c r="G1023" s="17">
        <v>447</v>
      </c>
      <c r="H1023" s="17">
        <v>645</v>
      </c>
      <c r="I1023" s="6">
        <f>Tabela1[[#This Row],[Valor total]]-Tabela1[[#This Row],[Valor custo]]</f>
        <v>198</v>
      </c>
      <c r="J1023" s="7">
        <f>Tabela1[[#This Row],[MARGEM BRUTA]]/Tabela1[[#This Row],[Valor total]]</f>
        <v>0.30697674418604654</v>
      </c>
      <c r="K1023" s="1" t="str">
        <f>VLOOKUP(Tabela1[[#This Row],[Cliente]],'BASE DE CLIENTES'!A:D,4,0)</f>
        <v>SERRALHEIRO</v>
      </c>
      <c r="L1023" s="1" t="str">
        <f>VLOOKUP(Tabela1[[#This Row],[Cliente]],'BASE DE CLIENTES'!A:E,5,0)</f>
        <v>CEILANDIA NORTE</v>
      </c>
    </row>
    <row r="1024" spans="1:12" x14ac:dyDescent="0.3">
      <c r="B1024" s="1" t="s">
        <v>38</v>
      </c>
      <c r="C1024" s="4" t="str">
        <f>VLOOKUP(Tabela1[[#This Row],[Cliente]],'BASE DE CLIENTES'!A:E,2,0)</f>
        <v>Brasília</v>
      </c>
      <c r="D1024" s="1" t="str">
        <f>VLOOKUP(Tabela1[[#This Row],[Cliente]],'BASE DE CLIENTES'!A:C,3,0)</f>
        <v>DF</v>
      </c>
      <c r="E1024" s="4" t="str">
        <f>CONCATENATE(Tabela1[[#This Row],[CIDADE]],",",Tabela1[[#This Row],[UF]])</f>
        <v>Brasília,DF</v>
      </c>
      <c r="F1024" s="2">
        <v>45748</v>
      </c>
      <c r="G1024" s="17">
        <v>1450</v>
      </c>
      <c r="H1024" s="17">
        <v>2700</v>
      </c>
      <c r="I1024" s="6">
        <f>Tabela1[[#This Row],[Valor total]]-Tabela1[[#This Row],[Valor custo]]</f>
        <v>1250</v>
      </c>
      <c r="J1024" s="7">
        <f>Tabela1[[#This Row],[MARGEM BRUTA]]/Tabela1[[#This Row],[Valor total]]</f>
        <v>0.46296296296296297</v>
      </c>
      <c r="K1024" s="1" t="str">
        <f>VLOOKUP(Tabela1[[#This Row],[Cliente]],'BASE DE CLIENTES'!A:D,4,0)</f>
        <v>EMPRESA SEM MAQUINA</v>
      </c>
      <c r="L1024" s="1" t="str">
        <f>VLOOKUP(Tabela1[[#This Row],[Cliente]],'BASE DE CLIENTES'!A:E,5,0)</f>
        <v>PONTE ALTA NORTE (GAMA)</v>
      </c>
    </row>
    <row r="1025" spans="2:12" x14ac:dyDescent="0.3">
      <c r="B1025" s="1" t="s">
        <v>127</v>
      </c>
      <c r="C1025" s="4" t="str">
        <f>VLOOKUP(Tabela1[[#This Row],[Cliente]],'BASE DE CLIENTES'!A:E,2,0)</f>
        <v>Brasília</v>
      </c>
      <c r="D1025" s="1" t="str">
        <f>VLOOKUP(Tabela1[[#This Row],[Cliente]],'BASE DE CLIENTES'!A:C,3,0)</f>
        <v>DF</v>
      </c>
      <c r="E1025" s="4" t="str">
        <f>CONCATENATE(Tabela1[[#This Row],[CIDADE]],",",Tabela1[[#This Row],[UF]])</f>
        <v>Brasília,DF</v>
      </c>
      <c r="F1025" s="2">
        <v>45748</v>
      </c>
      <c r="G1025" s="17">
        <v>1201</v>
      </c>
      <c r="H1025" s="17">
        <v>1940</v>
      </c>
      <c r="I1025" s="6">
        <f>Tabela1[[#This Row],[Valor total]]-Tabela1[[#This Row],[Valor custo]]</f>
        <v>739</v>
      </c>
      <c r="J1025" s="7">
        <f>Tabela1[[#This Row],[MARGEM BRUTA]]/Tabela1[[#This Row],[Valor total]]</f>
        <v>0.38092783505154637</v>
      </c>
      <c r="K1025" s="1" t="str">
        <f>VLOOKUP(Tabela1[[#This Row],[Cliente]],'BASE DE CLIENTES'!A:D,4,0)</f>
        <v>EMPRESA COM MAQUINA</v>
      </c>
      <c r="L1025" s="1" t="str">
        <f>VLOOKUP(Tabela1[[#This Row],[Cliente]],'BASE DE CLIENTES'!A:E,5,0)</f>
        <v>CEILANDIA SUL (CEILANDIA)</v>
      </c>
    </row>
    <row r="1026" spans="2:12" x14ac:dyDescent="0.3">
      <c r="B1026" s="1" t="s">
        <v>152</v>
      </c>
      <c r="C1026" s="4" t="str">
        <f>VLOOKUP(Tabela1[[#This Row],[Cliente]],'BASE DE CLIENTES'!A:E,2,0)</f>
        <v>Aparecida de Goiânia</v>
      </c>
      <c r="D1026" s="1" t="str">
        <f>VLOOKUP(Tabela1[[#This Row],[Cliente]],'BASE DE CLIENTES'!A:C,3,0)</f>
        <v>GO</v>
      </c>
      <c r="E1026" s="4" t="str">
        <f>CONCATENATE(Tabela1[[#This Row],[CIDADE]],",",Tabela1[[#This Row],[UF]])</f>
        <v>Aparecida de Goiânia,GO</v>
      </c>
      <c r="F1026" s="2">
        <v>45894</v>
      </c>
      <c r="G1026" s="17">
        <v>1760.79</v>
      </c>
      <c r="H1026" s="17">
        <v>3350</v>
      </c>
      <c r="I1026" s="6">
        <f>Tabela1[[#This Row],[Valor total]]-Tabela1[[#This Row],[Valor custo]]</f>
        <v>1589.21</v>
      </c>
      <c r="J1026" s="7">
        <f>Tabela1[[#This Row],[MARGEM BRUTA]]/Tabela1[[#This Row],[Valor total]]</f>
        <v>0.47439104477611943</v>
      </c>
      <c r="K1026" s="1" t="str">
        <f>VLOOKUP(Tabela1[[#This Row],[Cliente]],'BASE DE CLIENTES'!A:D,4,0)</f>
        <v>TECNICO</v>
      </c>
      <c r="L1026" s="1" t="str">
        <f>VLOOKUP(Tabela1[[#This Row],[Cliente]],'BASE DE CLIENTES'!A:E,5,0)</f>
        <v>Aparecida de Goiânia</v>
      </c>
    </row>
    <row r="1027" spans="2:12" x14ac:dyDescent="0.3">
      <c r="B1027" s="1" t="s">
        <v>152</v>
      </c>
      <c r="C1027" s="4" t="str">
        <f>VLOOKUP(Tabela1[[#This Row],[Cliente]],'BASE DE CLIENTES'!A:E,2,0)</f>
        <v>Aparecida de Goiânia</v>
      </c>
      <c r="D1027" s="1" t="str">
        <f>VLOOKUP(Tabela1[[#This Row],[Cliente]],'BASE DE CLIENTES'!A:C,3,0)</f>
        <v>GO</v>
      </c>
      <c r="E1027" s="4" t="str">
        <f>CONCATENATE(Tabela1[[#This Row],[CIDADE]],",",Tabela1[[#This Row],[UF]])</f>
        <v>Aparecida de Goiânia,GO</v>
      </c>
      <c r="F1027" s="2">
        <v>45903</v>
      </c>
      <c r="G1027" s="17">
        <v>289</v>
      </c>
      <c r="H1027" s="17">
        <v>550</v>
      </c>
      <c r="I1027" s="6">
        <f>Tabela1[[#This Row],[Valor total]]-Tabela1[[#This Row],[Valor custo]]</f>
        <v>261</v>
      </c>
      <c r="J1027" s="7">
        <f>Tabela1[[#This Row],[MARGEM BRUTA]]/Tabela1[[#This Row],[Valor total]]</f>
        <v>0.47454545454545455</v>
      </c>
      <c r="K1027" s="1" t="str">
        <f>VLOOKUP(Tabela1[[#This Row],[Cliente]],'BASE DE CLIENTES'!A:D,4,0)</f>
        <v>TECNICO</v>
      </c>
      <c r="L1027" s="1" t="str">
        <f>VLOOKUP(Tabela1[[#This Row],[Cliente]],'BASE DE CLIENTES'!A:E,5,0)</f>
        <v>Aparecida de Goiânia</v>
      </c>
    </row>
    <row r="1028" spans="2:12" x14ac:dyDescent="0.3">
      <c r="B1028" s="1" t="s">
        <v>68</v>
      </c>
      <c r="C1028" s="4" t="str">
        <f>VLOOKUP(Tabela1[[#This Row],[Cliente]],'BASE DE CLIENTES'!A:E,2,0)</f>
        <v>Brasília</v>
      </c>
      <c r="D1028" s="1" t="str">
        <f>VLOOKUP(Tabela1[[#This Row],[Cliente]],'BASE DE CLIENTES'!A:C,3,0)</f>
        <v>DF</v>
      </c>
      <c r="E1028" s="4" t="str">
        <f>CONCATENATE(Tabela1[[#This Row],[CIDADE]],",",Tabela1[[#This Row],[UF]])</f>
        <v>Brasília,DF</v>
      </c>
      <c r="F1028" s="2">
        <v>45748</v>
      </c>
      <c r="G1028" s="17">
        <v>915</v>
      </c>
      <c r="H1028" s="17">
        <v>1660</v>
      </c>
      <c r="I1028" s="6">
        <f>Tabela1[[#This Row],[Valor total]]-Tabela1[[#This Row],[Valor custo]]</f>
        <v>745</v>
      </c>
      <c r="J1028" s="7">
        <f>Tabela1[[#This Row],[MARGEM BRUTA]]/Tabela1[[#This Row],[Valor total]]</f>
        <v>0.44879518072289154</v>
      </c>
      <c r="K1028" s="1" t="str">
        <f>VLOOKUP(Tabela1[[#This Row],[Cliente]],'BASE DE CLIENTES'!A:D,4,0)</f>
        <v>EMPRESA COM MAQUINA</v>
      </c>
      <c r="L1028" s="1" t="str">
        <f>VLOOKUP(Tabela1[[#This Row],[Cliente]],'BASE DE CLIENTES'!A:E,5,0)</f>
        <v>SAMAMBAIA SUL (SAMAMBAIA)</v>
      </c>
    </row>
    <row r="1029" spans="2:12" x14ac:dyDescent="0.3">
      <c r="B1029" s="1" t="s">
        <v>106</v>
      </c>
      <c r="C1029" s="4" t="str">
        <f>VLOOKUP(Tabela1[[#This Row],[Cliente]],'BASE DE CLIENTES'!A:E,2,0)</f>
        <v>Brasília</v>
      </c>
      <c r="D1029" s="1" t="str">
        <f>VLOOKUP(Tabela1[[#This Row],[Cliente]],'BASE DE CLIENTES'!A:C,3,0)</f>
        <v>DF</v>
      </c>
      <c r="E1029" s="4" t="str">
        <f>CONCATENATE(Tabela1[[#This Row],[CIDADE]],",",Tabela1[[#This Row],[UF]])</f>
        <v>Brasília,DF</v>
      </c>
      <c r="F1029" s="2">
        <v>45748</v>
      </c>
      <c r="G1029" s="17">
        <v>9620.3799999999992</v>
      </c>
      <c r="H1029" s="17">
        <v>14970</v>
      </c>
      <c r="I1029" s="6">
        <f>Tabela1[[#This Row],[Valor total]]-Tabela1[[#This Row],[Valor custo]]</f>
        <v>5349.6200000000008</v>
      </c>
      <c r="J1029" s="7">
        <f>Tabela1[[#This Row],[MARGEM BRUTA]]/Tabela1[[#This Row],[Valor total]]</f>
        <v>0.35735604542418176</v>
      </c>
      <c r="K1029" s="1" t="str">
        <f>VLOOKUP(Tabela1[[#This Row],[Cliente]],'BASE DE CLIENTES'!A:D,4,0)</f>
        <v>EMPRESA COM MAQUINA</v>
      </c>
      <c r="L1029" s="1" t="str">
        <f>VLOOKUP(Tabela1[[#This Row],[Cliente]],'BASE DE CLIENTES'!A:E,5,0)</f>
        <v>26 DE SETEMBRO</v>
      </c>
    </row>
    <row r="1030" spans="2:12" x14ac:dyDescent="0.3">
      <c r="B1030" s="1" t="s">
        <v>96</v>
      </c>
      <c r="C1030" s="4" t="str">
        <f>VLOOKUP(Tabela1[[#This Row],[Cliente]],'BASE DE CLIENTES'!A:E,2,0)</f>
        <v>Brasília</v>
      </c>
      <c r="D1030" s="1" t="str">
        <f>VLOOKUP(Tabela1[[#This Row],[Cliente]],'BASE DE CLIENTES'!A:C,3,0)</f>
        <v>DF</v>
      </c>
      <c r="E1030" s="4" t="str">
        <f>CONCATENATE(Tabela1[[#This Row],[CIDADE]],",",Tabela1[[#This Row],[UF]])</f>
        <v>Brasília,DF</v>
      </c>
      <c r="F1030" s="2">
        <v>45807</v>
      </c>
      <c r="G1030" s="17">
        <v>1031</v>
      </c>
      <c r="H1030" s="17">
        <v>1590</v>
      </c>
      <c r="I1030" s="6">
        <f>Tabela1[[#This Row],[Valor total]]-Tabela1[[#This Row],[Valor custo]]</f>
        <v>559</v>
      </c>
      <c r="J1030" s="7">
        <f>Tabela1[[#This Row],[MARGEM BRUTA]]/Tabela1[[#This Row],[Valor total]]</f>
        <v>0.35157232704402513</v>
      </c>
      <c r="K1030" s="1" t="str">
        <f>VLOOKUP(Tabela1[[#This Row],[Cliente]],'BASE DE CLIENTES'!A:D,4,0)</f>
        <v>EMPRESA SEM MAQUINA</v>
      </c>
      <c r="L1030" s="1" t="str">
        <f>VLOOKUP(Tabela1[[#This Row],[Cliente]],'BASE DE CLIENTES'!A:E,5,0)</f>
        <v>CEILANDIA NORTE (CEILANDIA)</v>
      </c>
    </row>
    <row r="1031" spans="2:12" x14ac:dyDescent="0.3">
      <c r="B1031" s="1" t="s">
        <v>152</v>
      </c>
      <c r="C1031" s="4" t="str">
        <f>VLOOKUP(Tabela1[[#This Row],[Cliente]],'BASE DE CLIENTES'!A:E,2,0)</f>
        <v>Aparecida de Goiânia</v>
      </c>
      <c r="D1031" s="1" t="str">
        <f>VLOOKUP(Tabela1[[#This Row],[Cliente]],'BASE DE CLIENTES'!A:C,3,0)</f>
        <v>GO</v>
      </c>
      <c r="E1031" s="4" t="str">
        <f>CONCATENATE(Tabela1[[#This Row],[CIDADE]],",",Tabela1[[#This Row],[UF]])</f>
        <v>Aparecida de Goiânia,GO</v>
      </c>
      <c r="F1031" s="2">
        <v>45915</v>
      </c>
      <c r="G1031" s="17">
        <v>1313</v>
      </c>
      <c r="H1031" s="17">
        <v>2500</v>
      </c>
      <c r="I1031" s="6">
        <f>Tabela1[[#This Row],[Valor total]]-Tabela1[[#This Row],[Valor custo]]</f>
        <v>1187</v>
      </c>
      <c r="J1031" s="7">
        <f>Tabela1[[#This Row],[MARGEM BRUTA]]/Tabela1[[#This Row],[Valor total]]</f>
        <v>0.4748</v>
      </c>
      <c r="K1031" s="1" t="str">
        <f>VLOOKUP(Tabela1[[#This Row],[Cliente]],'BASE DE CLIENTES'!A:D,4,0)</f>
        <v>TECNICO</v>
      </c>
      <c r="L1031" s="1" t="str">
        <f>VLOOKUP(Tabela1[[#This Row],[Cliente]],'BASE DE CLIENTES'!A:E,5,0)</f>
        <v>Aparecida de Goiânia</v>
      </c>
    </row>
    <row r="1032" spans="2:12" x14ac:dyDescent="0.3">
      <c r="B1032" s="1" t="s">
        <v>152</v>
      </c>
      <c r="C1032" s="4" t="str">
        <f>VLOOKUP(Tabela1[[#This Row],[Cliente]],'BASE DE CLIENTES'!A:E,2,0)</f>
        <v>Aparecida de Goiânia</v>
      </c>
      <c r="D1032" s="1" t="str">
        <f>VLOOKUP(Tabela1[[#This Row],[Cliente]],'BASE DE CLIENTES'!A:C,3,0)</f>
        <v>GO</v>
      </c>
      <c r="E1032" s="4" t="str">
        <f>CONCATENATE(Tabela1[[#This Row],[CIDADE]],",",Tabela1[[#This Row],[UF]])</f>
        <v>Aparecida de Goiânia,GO</v>
      </c>
      <c r="F1032" s="2">
        <v>45744</v>
      </c>
      <c r="G1032" s="17">
        <v>757</v>
      </c>
      <c r="H1032" s="17">
        <v>1450</v>
      </c>
      <c r="I1032" s="6">
        <f>Tabela1[[#This Row],[Valor total]]-Tabela1[[#This Row],[Valor custo]]</f>
        <v>693</v>
      </c>
      <c r="J1032" s="7">
        <f>Tabela1[[#This Row],[MARGEM BRUTA]]/Tabela1[[#This Row],[Valor total]]</f>
        <v>0.47793103448275864</v>
      </c>
      <c r="K1032" s="1" t="str">
        <f>VLOOKUP(Tabela1[[#This Row],[Cliente]],'BASE DE CLIENTES'!A:D,4,0)</f>
        <v>TECNICO</v>
      </c>
      <c r="L1032" s="1" t="str">
        <f>VLOOKUP(Tabela1[[#This Row],[Cliente]],'BASE DE CLIENTES'!A:E,5,0)</f>
        <v>Aparecida de Goiânia</v>
      </c>
    </row>
    <row r="1033" spans="2:12" x14ac:dyDescent="0.3">
      <c r="B1033" s="1" t="s">
        <v>13</v>
      </c>
      <c r="C1033" s="4" t="str">
        <f>VLOOKUP(Tabela1[[#This Row],[Cliente]],'BASE DE CLIENTES'!A:E,2,0)</f>
        <v>Brasília</v>
      </c>
      <c r="D1033" s="1" t="str">
        <f>VLOOKUP(Tabela1[[#This Row],[Cliente]],'BASE DE CLIENTES'!A:C,3,0)</f>
        <v>DF</v>
      </c>
      <c r="E1033" s="4" t="str">
        <f>CONCATENATE(Tabela1[[#This Row],[CIDADE]],",",Tabela1[[#This Row],[UF]])</f>
        <v>Brasília,DF</v>
      </c>
      <c r="F1033" s="2">
        <v>45807</v>
      </c>
      <c r="G1033" s="17">
        <v>615.6</v>
      </c>
      <c r="H1033" s="17">
        <v>1029</v>
      </c>
      <c r="I1033" s="6">
        <f>Tabela1[[#This Row],[Valor total]]-Tabela1[[#This Row],[Valor custo]]</f>
        <v>413.4</v>
      </c>
      <c r="J1033" s="7">
        <f>Tabela1[[#This Row],[MARGEM BRUTA]]/Tabela1[[#This Row],[Valor total]]</f>
        <v>0.40174927113702624</v>
      </c>
      <c r="K1033" s="1" t="str">
        <f>VLOOKUP(Tabela1[[#This Row],[Cliente]],'BASE DE CLIENTES'!A:D,4,0)</f>
        <v>EMPRESA COM MAQUINA</v>
      </c>
      <c r="L1033" s="1" t="str">
        <f>VLOOKUP(Tabela1[[#This Row],[Cliente]],'BASE DE CLIENTES'!A:E,5,0)</f>
        <v>CANDANGOLANDIA</v>
      </c>
    </row>
    <row r="1034" spans="2:12" x14ac:dyDescent="0.3">
      <c r="B1034" s="1" t="s">
        <v>27</v>
      </c>
      <c r="C1034" s="4" t="str">
        <f>VLOOKUP(Tabela1[[#This Row],[Cliente]],'BASE DE CLIENTES'!A:E,2,0)</f>
        <v>Brasília</v>
      </c>
      <c r="D1034" s="1" t="str">
        <f>VLOOKUP(Tabela1[[#This Row],[Cliente]],'BASE DE CLIENTES'!A:C,3,0)</f>
        <v>DF</v>
      </c>
      <c r="E1034" s="4" t="str">
        <f>CONCATENATE(Tabela1[[#This Row],[CIDADE]],",",Tabela1[[#This Row],[UF]])</f>
        <v>Brasília,DF</v>
      </c>
      <c r="F1034" s="2">
        <v>45807</v>
      </c>
      <c r="G1034" s="17">
        <v>1393</v>
      </c>
      <c r="H1034" s="17">
        <v>1650</v>
      </c>
      <c r="I1034" s="6">
        <f>Tabela1[[#This Row],[Valor total]]-Tabela1[[#This Row],[Valor custo]]</f>
        <v>257</v>
      </c>
      <c r="J1034" s="7">
        <f>Tabela1[[#This Row],[MARGEM BRUTA]]/Tabela1[[#This Row],[Valor total]]</f>
        <v>0.15575757575757576</v>
      </c>
      <c r="K1034" s="1" t="str">
        <f>VLOOKUP(Tabela1[[#This Row],[Cliente]],'BASE DE CLIENTES'!A:D,4,0)</f>
        <v>EMPRESA SEM MAQUINA</v>
      </c>
      <c r="L1034" s="1" t="str">
        <f>VLOOKUP(Tabela1[[#This Row],[Cliente]],'BASE DE CLIENTES'!A:E,5,0)</f>
        <v>RECANTO DAS EMAS</v>
      </c>
    </row>
    <row r="1035" spans="2:12" x14ac:dyDescent="0.3">
      <c r="B1035" s="1" t="s">
        <v>108</v>
      </c>
      <c r="C1035" s="4" t="str">
        <f>VLOOKUP(Tabela1[[#This Row],[Cliente]],'BASE DE CLIENTES'!A:E,2,0)</f>
        <v>Brasília</v>
      </c>
      <c r="D1035" s="1" t="str">
        <f>VLOOKUP(Tabela1[[#This Row],[Cliente]],'BASE DE CLIENTES'!A:C,3,0)</f>
        <v>DF</v>
      </c>
      <c r="E1035" s="4" t="str">
        <f>CONCATENATE(Tabela1[[#This Row],[CIDADE]],",",Tabela1[[#This Row],[UF]])</f>
        <v>Brasília,DF</v>
      </c>
      <c r="F1035" s="2">
        <v>45807</v>
      </c>
      <c r="G1035" s="17">
        <v>70</v>
      </c>
      <c r="H1035" s="17">
        <v>80</v>
      </c>
      <c r="I1035" s="6">
        <f>Tabela1[[#This Row],[Valor total]]-Tabela1[[#This Row],[Valor custo]]</f>
        <v>10</v>
      </c>
      <c r="J1035" s="7">
        <f>Tabela1[[#This Row],[MARGEM BRUTA]]/Tabela1[[#This Row],[Valor total]]</f>
        <v>0.125</v>
      </c>
      <c r="K1035" s="1" t="str">
        <f>VLOOKUP(Tabela1[[#This Row],[Cliente]],'BASE DE CLIENTES'!A:D,4,0)</f>
        <v>SERRALHEIRO</v>
      </c>
      <c r="L1035" s="1" t="str">
        <f>VLOOKUP(Tabela1[[#This Row],[Cliente]],'BASE DE CLIENTES'!A:E,5,0)</f>
        <v>Vila Planalto</v>
      </c>
    </row>
    <row r="1036" spans="2:12" x14ac:dyDescent="0.3">
      <c r="B1036" s="1" t="s">
        <v>113</v>
      </c>
      <c r="C1036" s="4" t="str">
        <f>VLOOKUP(Tabela1[[#This Row],[Cliente]],'BASE DE CLIENTES'!A:E,2,0)</f>
        <v>Brasília</v>
      </c>
      <c r="D1036" s="1" t="str">
        <f>VLOOKUP(Tabela1[[#This Row],[Cliente]],'BASE DE CLIENTES'!A:C,3,0)</f>
        <v>DF</v>
      </c>
      <c r="E1036" s="4" t="str">
        <f>CONCATENATE(Tabela1[[#This Row],[CIDADE]],",",Tabela1[[#This Row],[UF]])</f>
        <v>Brasília,DF</v>
      </c>
      <c r="F1036" s="2">
        <v>45807</v>
      </c>
      <c r="G1036" s="17">
        <v>976.49</v>
      </c>
      <c r="H1036" s="17">
        <v>1480</v>
      </c>
      <c r="I1036" s="6">
        <f>Tabela1[[#This Row],[Valor total]]-Tabela1[[#This Row],[Valor custo]]</f>
        <v>503.51</v>
      </c>
      <c r="J1036" s="7">
        <f>Tabela1[[#This Row],[MARGEM BRUTA]]/Tabela1[[#This Row],[Valor total]]</f>
        <v>0.34020945945945946</v>
      </c>
      <c r="K1036" s="1" t="str">
        <f>VLOOKUP(Tabela1[[#This Row],[Cliente]],'BASE DE CLIENTES'!A:D,4,0)</f>
        <v>EMPRESA COM MAQUINA</v>
      </c>
      <c r="L1036" s="1" t="str">
        <f>VLOOKUP(Tabela1[[#This Row],[Cliente]],'BASE DE CLIENTES'!A:E,5,0)</f>
        <v>FAZENDA MESTRE D'ARMAS (ETAPA I - PLANALTINA)</v>
      </c>
    </row>
    <row r="1037" spans="2:12" x14ac:dyDescent="0.3">
      <c r="B1037" s="1" t="s">
        <v>120</v>
      </c>
      <c r="C1037" s="4" t="str">
        <f>VLOOKUP(Tabela1[[#This Row],[Cliente]],'BASE DE CLIENTES'!A:E,2,0)</f>
        <v>Brasília</v>
      </c>
      <c r="D1037" s="1" t="str">
        <f>VLOOKUP(Tabela1[[#This Row],[Cliente]],'BASE DE CLIENTES'!A:C,3,0)</f>
        <v>DF</v>
      </c>
      <c r="E1037" s="4" t="str">
        <f>CONCATENATE(Tabela1[[#This Row],[CIDADE]],",",Tabela1[[#This Row],[UF]])</f>
        <v>Brasília,DF</v>
      </c>
      <c r="F1037" s="2">
        <v>45817</v>
      </c>
      <c r="G1037" s="17">
        <v>49.21</v>
      </c>
      <c r="H1037" s="17">
        <v>80</v>
      </c>
      <c r="I1037" s="6">
        <f>Tabela1[[#This Row],[Valor total]]-Tabela1[[#This Row],[Valor custo]]</f>
        <v>30.79</v>
      </c>
      <c r="J1037" s="7">
        <f>Tabela1[[#This Row],[MARGEM BRUTA]]/Tabela1[[#This Row],[Valor total]]</f>
        <v>0.38487499999999997</v>
      </c>
      <c r="K1037" s="1" t="str">
        <f>VLOOKUP(Tabela1[[#This Row],[Cliente]],'BASE DE CLIENTES'!A:D,4,0)</f>
        <v>EMPRESA SEM MAQUINA</v>
      </c>
      <c r="L1037" s="1" t="str">
        <f>VLOOKUP(Tabela1[[#This Row],[Cliente]],'BASE DE CLIENTES'!A:E,5,0)</f>
        <v>SAMAMBAIA</v>
      </c>
    </row>
    <row r="1038" spans="2:12" x14ac:dyDescent="0.3">
      <c r="B1038" s="1" t="s">
        <v>152</v>
      </c>
      <c r="C1038" s="4" t="str">
        <f>VLOOKUP(Tabela1[[#This Row],[Cliente]],'BASE DE CLIENTES'!A:E,2,0)</f>
        <v>Aparecida de Goiânia</v>
      </c>
      <c r="D1038" s="1" t="str">
        <f>VLOOKUP(Tabela1[[#This Row],[Cliente]],'BASE DE CLIENTES'!A:C,3,0)</f>
        <v>GO</v>
      </c>
      <c r="E1038" s="4" t="str">
        <f>CONCATENATE(Tabela1[[#This Row],[CIDADE]],",",Tabela1[[#This Row],[UF]])</f>
        <v>Aparecida de Goiânia,GO</v>
      </c>
      <c r="F1038" s="2">
        <v>45856</v>
      </c>
      <c r="G1038" s="17">
        <v>773</v>
      </c>
      <c r="H1038" s="17">
        <v>1500</v>
      </c>
      <c r="I1038" s="6">
        <f>Tabela1[[#This Row],[Valor total]]-Tabela1[[#This Row],[Valor custo]]</f>
        <v>727</v>
      </c>
      <c r="J1038" s="7">
        <f>Tabela1[[#This Row],[MARGEM BRUTA]]/Tabela1[[#This Row],[Valor total]]</f>
        <v>0.48466666666666669</v>
      </c>
      <c r="K1038" s="1" t="str">
        <f>VLOOKUP(Tabela1[[#This Row],[Cliente]],'BASE DE CLIENTES'!A:D,4,0)</f>
        <v>TECNICO</v>
      </c>
      <c r="L1038" s="1" t="str">
        <f>VLOOKUP(Tabela1[[#This Row],[Cliente]],'BASE DE CLIENTES'!A:E,5,0)</f>
        <v>Aparecida de Goiânia</v>
      </c>
    </row>
    <row r="1039" spans="2:12" x14ac:dyDescent="0.3">
      <c r="B1039" s="1" t="s">
        <v>97</v>
      </c>
      <c r="C1039" s="4" t="str">
        <f>VLOOKUP(Tabela1[[#This Row],[Cliente]],'BASE DE CLIENTES'!A:E,2,0)</f>
        <v>Brasília</v>
      </c>
      <c r="D1039" s="1" t="str">
        <f>VLOOKUP(Tabela1[[#This Row],[Cliente]],'BASE DE CLIENTES'!A:C,3,0)</f>
        <v>DF</v>
      </c>
      <c r="E1039" s="4" t="str">
        <f>CONCATENATE(Tabela1[[#This Row],[CIDADE]],",",Tabela1[[#This Row],[UF]])</f>
        <v>Brasília,DF</v>
      </c>
      <c r="F1039" s="2">
        <v>45807</v>
      </c>
      <c r="G1039" s="17">
        <v>521</v>
      </c>
      <c r="H1039" s="17">
        <v>785</v>
      </c>
      <c r="I1039" s="6">
        <f>Tabela1[[#This Row],[Valor total]]-Tabela1[[#This Row],[Valor custo]]</f>
        <v>264</v>
      </c>
      <c r="J1039" s="7">
        <f>Tabela1[[#This Row],[MARGEM BRUTA]]/Tabela1[[#This Row],[Valor total]]</f>
        <v>0.33630573248407641</v>
      </c>
      <c r="K1039" s="1" t="str">
        <f>VLOOKUP(Tabela1[[#This Row],[Cliente]],'BASE DE CLIENTES'!A:D,4,0)</f>
        <v>SERRALHEIRO</v>
      </c>
      <c r="L1039" s="1" t="str">
        <f>VLOOKUP(Tabela1[[#This Row],[Cliente]],'BASE DE CLIENTES'!A:E,5,0)</f>
        <v>CEILANDIA NORTE</v>
      </c>
    </row>
    <row r="1040" spans="2:12" x14ac:dyDescent="0.3">
      <c r="B1040" s="1" t="s">
        <v>152</v>
      </c>
      <c r="C1040" s="4" t="str">
        <f>VLOOKUP(Tabela1[[#This Row],[Cliente]],'BASE DE CLIENTES'!A:E,2,0)</f>
        <v>Aparecida de Goiânia</v>
      </c>
      <c r="D1040" s="1" t="str">
        <f>VLOOKUP(Tabela1[[#This Row],[Cliente]],'BASE DE CLIENTES'!A:C,3,0)</f>
        <v>GO</v>
      </c>
      <c r="E1040" s="4" t="str">
        <f>CONCATENATE(Tabela1[[#This Row],[CIDADE]],",",Tabela1[[#This Row],[UF]])</f>
        <v>Aparecida de Goiânia,GO</v>
      </c>
      <c r="F1040" s="2">
        <v>45901</v>
      </c>
      <c r="G1040" s="17">
        <v>664</v>
      </c>
      <c r="H1040" s="17">
        <v>1300</v>
      </c>
      <c r="I1040" s="6">
        <f>Tabela1[[#This Row],[Valor total]]-Tabela1[[#This Row],[Valor custo]]</f>
        <v>636</v>
      </c>
      <c r="J1040" s="7">
        <f>Tabela1[[#This Row],[MARGEM BRUTA]]/Tabela1[[#This Row],[Valor total]]</f>
        <v>0.48923076923076925</v>
      </c>
      <c r="K1040" s="1" t="str">
        <f>VLOOKUP(Tabela1[[#This Row],[Cliente]],'BASE DE CLIENTES'!A:D,4,0)</f>
        <v>TECNICO</v>
      </c>
      <c r="L1040" s="1" t="str">
        <f>VLOOKUP(Tabela1[[#This Row],[Cliente]],'BASE DE CLIENTES'!A:E,5,0)</f>
        <v>Aparecida de Goiânia</v>
      </c>
    </row>
    <row r="1041" spans="2:12" x14ac:dyDescent="0.3">
      <c r="B1041" s="1" t="s">
        <v>120</v>
      </c>
      <c r="C1041" s="4" t="str">
        <f>VLOOKUP(Tabela1[[#This Row],[Cliente]],'BASE DE CLIENTES'!A:E,2,0)</f>
        <v>Brasília</v>
      </c>
      <c r="D1041" s="1" t="str">
        <f>VLOOKUP(Tabela1[[#This Row],[Cliente]],'BASE DE CLIENTES'!A:C,3,0)</f>
        <v>DF</v>
      </c>
      <c r="E1041" s="4" t="str">
        <f>CONCATENATE(Tabela1[[#This Row],[CIDADE]],",",Tabela1[[#This Row],[UF]])</f>
        <v>Brasília,DF</v>
      </c>
      <c r="F1041" s="2">
        <v>45814</v>
      </c>
      <c r="G1041" s="17">
        <v>447</v>
      </c>
      <c r="H1041" s="17">
        <v>615</v>
      </c>
      <c r="I1041" s="6">
        <f>Tabela1[[#This Row],[Valor total]]-Tabela1[[#This Row],[Valor custo]]</f>
        <v>168</v>
      </c>
      <c r="J1041" s="7">
        <f>Tabela1[[#This Row],[MARGEM BRUTA]]/Tabela1[[#This Row],[Valor total]]</f>
        <v>0.27317073170731709</v>
      </c>
      <c r="K1041" s="1" t="str">
        <f>VLOOKUP(Tabela1[[#This Row],[Cliente]],'BASE DE CLIENTES'!A:D,4,0)</f>
        <v>EMPRESA SEM MAQUINA</v>
      </c>
      <c r="L1041" s="1" t="str">
        <f>VLOOKUP(Tabela1[[#This Row],[Cliente]],'BASE DE CLIENTES'!A:E,5,0)</f>
        <v>SAMAMBAIA</v>
      </c>
    </row>
    <row r="1042" spans="2:12" x14ac:dyDescent="0.3">
      <c r="B1042" s="1" t="s">
        <v>106</v>
      </c>
      <c r="C1042" s="4" t="str">
        <f>VLOOKUP(Tabela1[[#This Row],[Cliente]],'BASE DE CLIENTES'!A:E,2,0)</f>
        <v>Brasília</v>
      </c>
      <c r="D1042" s="1" t="str">
        <f>VLOOKUP(Tabela1[[#This Row],[Cliente]],'BASE DE CLIENTES'!A:C,3,0)</f>
        <v>DF</v>
      </c>
      <c r="E1042" s="4" t="str">
        <f>CONCATENATE(Tabela1[[#This Row],[CIDADE]],",",Tabela1[[#This Row],[UF]])</f>
        <v>Brasília,DF</v>
      </c>
      <c r="F1042" s="2">
        <v>45806</v>
      </c>
      <c r="G1042" s="17">
        <v>422.06</v>
      </c>
      <c r="H1042" s="17">
        <v>585</v>
      </c>
      <c r="I1042" s="6">
        <f>Tabela1[[#This Row],[Valor total]]-Tabela1[[#This Row],[Valor custo]]</f>
        <v>162.94</v>
      </c>
      <c r="J1042" s="7">
        <f>Tabela1[[#This Row],[MARGEM BRUTA]]/Tabela1[[#This Row],[Valor total]]</f>
        <v>0.27852991452991455</v>
      </c>
      <c r="K1042" s="1" t="str">
        <f>VLOOKUP(Tabela1[[#This Row],[Cliente]],'BASE DE CLIENTES'!A:D,4,0)</f>
        <v>EMPRESA COM MAQUINA</v>
      </c>
      <c r="L1042" s="1" t="str">
        <f>VLOOKUP(Tabela1[[#This Row],[Cliente]],'BASE DE CLIENTES'!A:E,5,0)</f>
        <v>26 DE SETEMBRO</v>
      </c>
    </row>
    <row r="1043" spans="2:12" x14ac:dyDescent="0.3">
      <c r="B1043" s="1" t="s">
        <v>152</v>
      </c>
      <c r="C1043" s="4" t="str">
        <f>VLOOKUP(Tabela1[[#This Row],[Cliente]],'BASE DE CLIENTES'!A:E,2,0)</f>
        <v>Aparecida de Goiânia</v>
      </c>
      <c r="D1043" s="1" t="str">
        <f>VLOOKUP(Tabela1[[#This Row],[Cliente]],'BASE DE CLIENTES'!A:C,3,0)</f>
        <v>GO</v>
      </c>
      <c r="E1043" s="4" t="str">
        <f>CONCATENATE(Tabela1[[#This Row],[CIDADE]],",",Tabela1[[#This Row],[UF]])</f>
        <v>Aparecida de Goiânia,GO</v>
      </c>
      <c r="F1043" s="2">
        <v>45841</v>
      </c>
      <c r="G1043" s="17">
        <v>757</v>
      </c>
      <c r="H1043" s="17">
        <v>1500</v>
      </c>
      <c r="I1043" s="6">
        <f>Tabela1[[#This Row],[Valor total]]-Tabela1[[#This Row],[Valor custo]]</f>
        <v>743</v>
      </c>
      <c r="J1043" s="7">
        <f>Tabela1[[#This Row],[MARGEM BRUTA]]/Tabela1[[#This Row],[Valor total]]</f>
        <v>0.49533333333333335</v>
      </c>
      <c r="K1043" s="1" t="str">
        <f>VLOOKUP(Tabela1[[#This Row],[Cliente]],'BASE DE CLIENTES'!A:D,4,0)</f>
        <v>TECNICO</v>
      </c>
      <c r="L1043" s="1" t="str">
        <f>VLOOKUP(Tabela1[[#This Row],[Cliente]],'BASE DE CLIENTES'!A:E,5,0)</f>
        <v>Aparecida de Goiânia</v>
      </c>
    </row>
    <row r="1044" spans="2:12" x14ac:dyDescent="0.3">
      <c r="B1044" s="1" t="s">
        <v>99</v>
      </c>
      <c r="C1044" s="4" t="str">
        <f>VLOOKUP(Tabela1[[#This Row],[Cliente]],'BASE DE CLIENTES'!A:E,2,0)</f>
        <v>Brasília</v>
      </c>
      <c r="D1044" s="1" t="str">
        <f>VLOOKUP(Tabela1[[#This Row],[Cliente]],'BASE DE CLIENTES'!A:C,3,0)</f>
        <v>DF</v>
      </c>
      <c r="E1044" s="4" t="str">
        <f>CONCATENATE(Tabela1[[#This Row],[CIDADE]],",",Tabela1[[#This Row],[UF]])</f>
        <v>Brasília,DF</v>
      </c>
      <c r="F1044" s="2">
        <v>45806</v>
      </c>
      <c r="G1044" s="17">
        <v>2337</v>
      </c>
      <c r="H1044" s="17">
        <v>3495</v>
      </c>
      <c r="I1044" s="6">
        <f>Tabela1[[#This Row],[Valor total]]-Tabela1[[#This Row],[Valor custo]]</f>
        <v>1158</v>
      </c>
      <c r="J1044" s="7">
        <f>Tabela1[[#This Row],[MARGEM BRUTA]]/Tabela1[[#This Row],[Valor total]]</f>
        <v>0.33133047210300431</v>
      </c>
      <c r="K1044" s="1" t="str">
        <f>VLOOKUP(Tabela1[[#This Row],[Cliente]],'BASE DE CLIENTES'!A:D,4,0)</f>
        <v>EMPRESA COM MAQUINA</v>
      </c>
      <c r="L1044" s="1" t="str">
        <f>VLOOKUP(Tabela1[[#This Row],[Cliente]],'BASE DE CLIENTES'!A:E,5,0)</f>
        <v>ARAPOANGA (PLANALTINA)</v>
      </c>
    </row>
    <row r="1045" spans="2:12" x14ac:dyDescent="0.3">
      <c r="B1045" s="1" t="s">
        <v>27</v>
      </c>
      <c r="C1045" s="4" t="str">
        <f>VLOOKUP(Tabela1[[#This Row],[Cliente]],'BASE DE CLIENTES'!A:E,2,0)</f>
        <v>Brasília</v>
      </c>
      <c r="D1045" s="1" t="str">
        <f>VLOOKUP(Tabela1[[#This Row],[Cliente]],'BASE DE CLIENTES'!A:C,3,0)</f>
        <v>DF</v>
      </c>
      <c r="E1045" s="4" t="str">
        <f>CONCATENATE(Tabela1[[#This Row],[CIDADE]],",",Tabela1[[#This Row],[UF]])</f>
        <v>Brasília,DF</v>
      </c>
      <c r="F1045" s="2">
        <v>45806</v>
      </c>
      <c r="G1045" s="17">
        <v>920</v>
      </c>
      <c r="H1045" s="17">
        <v>1300</v>
      </c>
      <c r="I1045" s="6">
        <f>Tabela1[[#This Row],[Valor total]]-Tabela1[[#This Row],[Valor custo]]</f>
        <v>380</v>
      </c>
      <c r="J1045" s="7">
        <f>Tabela1[[#This Row],[MARGEM BRUTA]]/Tabela1[[#This Row],[Valor total]]</f>
        <v>0.29230769230769232</v>
      </c>
      <c r="K1045" s="1" t="str">
        <f>VLOOKUP(Tabela1[[#This Row],[Cliente]],'BASE DE CLIENTES'!A:D,4,0)</f>
        <v>EMPRESA SEM MAQUINA</v>
      </c>
      <c r="L1045" s="1" t="str">
        <f>VLOOKUP(Tabela1[[#This Row],[Cliente]],'BASE DE CLIENTES'!A:E,5,0)</f>
        <v>RECANTO DAS EMAS</v>
      </c>
    </row>
    <row r="1046" spans="2:12" x14ac:dyDescent="0.3">
      <c r="B1046" s="1" t="s">
        <v>152</v>
      </c>
      <c r="C1046" s="4" t="str">
        <f>VLOOKUP(Tabela1[[#This Row],[Cliente]],'BASE DE CLIENTES'!A:E,2,0)</f>
        <v>Aparecida de Goiânia</v>
      </c>
      <c r="D1046" s="1" t="str">
        <f>VLOOKUP(Tabela1[[#This Row],[Cliente]],'BASE DE CLIENTES'!A:C,3,0)</f>
        <v>GO</v>
      </c>
      <c r="E1046" s="4" t="str">
        <f>CONCATENATE(Tabela1[[#This Row],[CIDADE]],",",Tabela1[[#This Row],[UF]])</f>
        <v>Aparecida de Goiânia,GO</v>
      </c>
      <c r="F1046" s="2">
        <v>45747</v>
      </c>
      <c r="G1046" s="17">
        <v>773</v>
      </c>
      <c r="H1046" s="17">
        <v>1550</v>
      </c>
      <c r="I1046" s="6">
        <f>Tabela1[[#This Row],[Valor total]]-Tabela1[[#This Row],[Valor custo]]</f>
        <v>777</v>
      </c>
      <c r="J1046" s="7">
        <f>Tabela1[[#This Row],[MARGEM BRUTA]]/Tabela1[[#This Row],[Valor total]]</f>
        <v>0.50129032258064521</v>
      </c>
      <c r="K1046" s="1" t="str">
        <f>VLOOKUP(Tabela1[[#This Row],[Cliente]],'BASE DE CLIENTES'!A:D,4,0)</f>
        <v>TECNICO</v>
      </c>
      <c r="L1046" s="1" t="str">
        <f>VLOOKUP(Tabela1[[#This Row],[Cliente]],'BASE DE CLIENTES'!A:E,5,0)</f>
        <v>Aparecida de Goiânia</v>
      </c>
    </row>
    <row r="1047" spans="2:12" x14ac:dyDescent="0.3">
      <c r="B1047" s="1" t="s">
        <v>151</v>
      </c>
      <c r="C1047" s="4" t="str">
        <f>VLOOKUP(Tabela1[[#This Row],[Cliente]],'BASE DE CLIENTES'!A:E,2,0)</f>
        <v>Aparecida de Goiânia</v>
      </c>
      <c r="D1047" s="1" t="str">
        <f>VLOOKUP(Tabela1[[#This Row],[Cliente]],'BASE DE CLIENTES'!A:C,3,0)</f>
        <v>GO</v>
      </c>
      <c r="E1047" s="4" t="str">
        <f>CONCATENATE(Tabela1[[#This Row],[CIDADE]],",",Tabela1[[#This Row],[UF]])</f>
        <v>Aparecida de Goiânia,GO</v>
      </c>
      <c r="F1047" s="2">
        <v>45846</v>
      </c>
      <c r="G1047" s="17">
        <v>521</v>
      </c>
      <c r="H1047" s="17">
        <v>1050</v>
      </c>
      <c r="I1047" s="6">
        <f>Tabela1[[#This Row],[Valor total]]-Tabela1[[#This Row],[Valor custo]]</f>
        <v>529</v>
      </c>
      <c r="J1047" s="7">
        <f>Tabela1[[#This Row],[MARGEM BRUTA]]/Tabela1[[#This Row],[Valor total]]</f>
        <v>0.50380952380952382</v>
      </c>
      <c r="K1047" s="1" t="str">
        <f>VLOOKUP(Tabela1[[#This Row],[Cliente]],'BASE DE CLIENTES'!A:D,4,0)</f>
        <v>EMPRESA COM MAQUINA</v>
      </c>
      <c r="L1047" s="1" t="str">
        <f>VLOOKUP(Tabela1[[#This Row],[Cliente]],'BASE DE CLIENTES'!A:E,5,0)</f>
        <v>Aparecida de Goiânia</v>
      </c>
    </row>
    <row r="1048" spans="2:12" x14ac:dyDescent="0.3">
      <c r="B1048" s="1" t="s">
        <v>68</v>
      </c>
      <c r="C1048" s="4" t="str">
        <f>VLOOKUP(Tabela1[[#This Row],[Cliente]],'BASE DE CLIENTES'!A:E,2,0)</f>
        <v>Brasília</v>
      </c>
      <c r="D1048" s="1" t="str">
        <f>VLOOKUP(Tabela1[[#This Row],[Cliente]],'BASE DE CLIENTES'!A:C,3,0)</f>
        <v>DF</v>
      </c>
      <c r="E1048" s="4" t="str">
        <f>CONCATENATE(Tabela1[[#This Row],[CIDADE]],",",Tabela1[[#This Row],[UF]])</f>
        <v>Brasília,DF</v>
      </c>
      <c r="F1048" s="2">
        <v>45806</v>
      </c>
      <c r="G1048" s="17">
        <v>996</v>
      </c>
      <c r="H1048" s="17">
        <v>1370</v>
      </c>
      <c r="I1048" s="6">
        <f>Tabela1[[#This Row],[Valor total]]-Tabela1[[#This Row],[Valor custo]]</f>
        <v>374</v>
      </c>
      <c r="J1048" s="7">
        <f>Tabela1[[#This Row],[MARGEM BRUTA]]/Tabela1[[#This Row],[Valor total]]</f>
        <v>0.27299270072992698</v>
      </c>
      <c r="K1048" s="1" t="str">
        <f>VLOOKUP(Tabela1[[#This Row],[Cliente]],'BASE DE CLIENTES'!A:D,4,0)</f>
        <v>EMPRESA COM MAQUINA</v>
      </c>
      <c r="L1048" s="1" t="str">
        <f>VLOOKUP(Tabela1[[#This Row],[Cliente]],'BASE DE CLIENTES'!A:E,5,0)</f>
        <v>SAMAMBAIA SUL (SAMAMBAIA)</v>
      </c>
    </row>
    <row r="1049" spans="2:12" x14ac:dyDescent="0.3">
      <c r="B1049" s="1" t="s">
        <v>152</v>
      </c>
      <c r="C1049" s="4" t="str">
        <f>VLOOKUP(Tabela1[[#This Row],[Cliente]],'BASE DE CLIENTES'!A:E,2,0)</f>
        <v>Aparecida de Goiânia</v>
      </c>
      <c r="D1049" s="1" t="str">
        <f>VLOOKUP(Tabela1[[#This Row],[Cliente]],'BASE DE CLIENTES'!A:C,3,0)</f>
        <v>GO</v>
      </c>
      <c r="E1049" s="4" t="str">
        <f>CONCATENATE(Tabela1[[#This Row],[CIDADE]],",",Tabela1[[#This Row],[UF]])</f>
        <v>Aparecida de Goiânia,GO</v>
      </c>
      <c r="F1049" s="2">
        <v>45833</v>
      </c>
      <c r="G1049" s="17">
        <v>757</v>
      </c>
      <c r="H1049" s="17">
        <v>1550</v>
      </c>
      <c r="I1049" s="6">
        <f>Tabela1[[#This Row],[Valor total]]-Tabela1[[#This Row],[Valor custo]]</f>
        <v>793</v>
      </c>
      <c r="J1049" s="7">
        <f>Tabela1[[#This Row],[MARGEM BRUTA]]/Tabela1[[#This Row],[Valor total]]</f>
        <v>0.51161290322580644</v>
      </c>
      <c r="K1049" s="1" t="str">
        <f>VLOOKUP(Tabela1[[#This Row],[Cliente]],'BASE DE CLIENTES'!A:D,4,0)</f>
        <v>TECNICO</v>
      </c>
      <c r="L1049" s="1" t="str">
        <f>VLOOKUP(Tabela1[[#This Row],[Cliente]],'BASE DE CLIENTES'!A:E,5,0)</f>
        <v>Aparecida de Goiânia</v>
      </c>
    </row>
    <row r="1050" spans="2:12" x14ac:dyDescent="0.3">
      <c r="B1050" s="1" t="s">
        <v>52</v>
      </c>
      <c r="C1050" s="4" t="str">
        <f>VLOOKUP(Tabela1[[#This Row],[Cliente]],'BASE DE CLIENTES'!A:E,2,0)</f>
        <v>Brasília</v>
      </c>
      <c r="D1050" s="1" t="str">
        <f>VLOOKUP(Tabela1[[#This Row],[Cliente]],'BASE DE CLIENTES'!A:C,3,0)</f>
        <v>DF</v>
      </c>
      <c r="E1050" s="4" t="str">
        <f>CONCATENATE(Tabela1[[#This Row],[CIDADE]],",",Tabela1[[#This Row],[UF]])</f>
        <v>Brasília,DF</v>
      </c>
      <c r="F1050" s="2">
        <v>45805</v>
      </c>
      <c r="G1050" s="17">
        <v>479.1</v>
      </c>
      <c r="H1050" s="17">
        <v>720</v>
      </c>
      <c r="I1050" s="6">
        <f>Tabela1[[#This Row],[Valor total]]-Tabela1[[#This Row],[Valor custo]]</f>
        <v>240.89999999999998</v>
      </c>
      <c r="J1050" s="7">
        <f>Tabela1[[#This Row],[MARGEM BRUTA]]/Tabela1[[#This Row],[Valor total]]</f>
        <v>0.33458333333333329</v>
      </c>
      <c r="K1050" s="1" t="str">
        <f>VLOOKUP(Tabela1[[#This Row],[Cliente]],'BASE DE CLIENTES'!A:D,4,0)</f>
        <v>SERRALHEIRO</v>
      </c>
      <c r="L1050" s="1" t="str">
        <f>VLOOKUP(Tabela1[[#This Row],[Cliente]],'BASE DE CLIENTES'!A:E,5,0)</f>
        <v>Ceilândia Sul (Ceilândia)</v>
      </c>
    </row>
    <row r="1051" spans="2:12" x14ac:dyDescent="0.3">
      <c r="B1051" s="1" t="s">
        <v>152</v>
      </c>
      <c r="C1051" s="4" t="str">
        <f>VLOOKUP(Tabela1[[#This Row],[Cliente]],'BASE DE CLIENTES'!A:E,2,0)</f>
        <v>Aparecida de Goiânia</v>
      </c>
      <c r="D1051" s="1" t="str">
        <f>VLOOKUP(Tabela1[[#This Row],[Cliente]],'BASE DE CLIENTES'!A:C,3,0)</f>
        <v>GO</v>
      </c>
      <c r="E1051" s="4" t="str">
        <f>CONCATENATE(Tabela1[[#This Row],[CIDADE]],",",Tabela1[[#This Row],[UF]])</f>
        <v>Aparecida de Goiânia,GO</v>
      </c>
      <c r="F1051" s="2">
        <v>45763</v>
      </c>
      <c r="G1051" s="17">
        <v>268.45999999999998</v>
      </c>
      <c r="H1051" s="17">
        <v>550</v>
      </c>
      <c r="I1051" s="6">
        <f>Tabela1[[#This Row],[Valor total]]-Tabela1[[#This Row],[Valor custo]]</f>
        <v>281.54000000000002</v>
      </c>
      <c r="J1051" s="7">
        <f>Tabela1[[#This Row],[MARGEM BRUTA]]/Tabela1[[#This Row],[Valor total]]</f>
        <v>0.51189090909090917</v>
      </c>
      <c r="K1051" s="1" t="str">
        <f>VLOOKUP(Tabela1[[#This Row],[Cliente]],'BASE DE CLIENTES'!A:D,4,0)</f>
        <v>TECNICO</v>
      </c>
      <c r="L1051" s="1" t="str">
        <f>VLOOKUP(Tabela1[[#This Row],[Cliente]],'BASE DE CLIENTES'!A:E,5,0)</f>
        <v>Aparecida de Goiânia</v>
      </c>
    </row>
    <row r="1052" spans="2:12" x14ac:dyDescent="0.3">
      <c r="B1052" s="1" t="s">
        <v>88</v>
      </c>
      <c r="C1052" s="4" t="str">
        <f>VLOOKUP(Tabela1[[#This Row],[Cliente]],'BASE DE CLIENTES'!A:E,2,0)</f>
        <v>Brasília</v>
      </c>
      <c r="D1052" s="1" t="str">
        <f>VLOOKUP(Tabela1[[#This Row],[Cliente]],'BASE DE CLIENTES'!A:C,3,0)</f>
        <v>DF</v>
      </c>
      <c r="E1052" s="4" t="str">
        <f>CONCATENATE(Tabela1[[#This Row],[CIDADE]],",",Tabela1[[#This Row],[UF]])</f>
        <v>Brasília,DF</v>
      </c>
      <c r="F1052" s="2">
        <v>45805</v>
      </c>
      <c r="G1052" s="17">
        <v>482</v>
      </c>
      <c r="H1052" s="17">
        <v>700</v>
      </c>
      <c r="I1052" s="6">
        <f>Tabela1[[#This Row],[Valor total]]-Tabela1[[#This Row],[Valor custo]]</f>
        <v>218</v>
      </c>
      <c r="J1052" s="7">
        <f>Tabela1[[#This Row],[MARGEM BRUTA]]/Tabela1[[#This Row],[Valor total]]</f>
        <v>0.31142857142857144</v>
      </c>
      <c r="K1052" s="1" t="str">
        <f>VLOOKUP(Tabela1[[#This Row],[Cliente]],'BASE DE CLIENTES'!A:D,4,0)</f>
        <v>SERRALHEIRO</v>
      </c>
      <c r="L1052" s="1" t="str">
        <f>VLOOKUP(Tabela1[[#This Row],[Cliente]],'BASE DE CLIENTES'!A:E,5,0)</f>
        <v>RECANTO DAS EMAS</v>
      </c>
    </row>
    <row r="1053" spans="2:12" x14ac:dyDescent="0.3">
      <c r="B1053" s="1" t="s">
        <v>85</v>
      </c>
      <c r="C1053" s="4" t="str">
        <f>VLOOKUP(Tabela1[[#This Row],[Cliente]],'BASE DE CLIENTES'!A:E,2,0)</f>
        <v>Brasília</v>
      </c>
      <c r="D1053" s="1" t="str">
        <f>VLOOKUP(Tabela1[[#This Row],[Cliente]],'BASE DE CLIENTES'!A:C,3,0)</f>
        <v>DF</v>
      </c>
      <c r="E1053" s="4" t="str">
        <f>CONCATENATE(Tabela1[[#This Row],[CIDADE]],",",Tabela1[[#This Row],[UF]])</f>
        <v>Brasília,DF</v>
      </c>
      <c r="F1053" s="2">
        <v>45805</v>
      </c>
      <c r="G1053" s="17">
        <v>122.74</v>
      </c>
      <c r="H1053" s="17">
        <v>170</v>
      </c>
      <c r="I1053" s="6">
        <f>Tabela1[[#This Row],[Valor total]]-Tabela1[[#This Row],[Valor custo]]</f>
        <v>47.260000000000005</v>
      </c>
      <c r="J1053" s="7">
        <f>Tabela1[[#This Row],[MARGEM BRUTA]]/Tabela1[[#This Row],[Valor total]]</f>
        <v>0.27800000000000002</v>
      </c>
      <c r="K1053" s="1" t="str">
        <f>VLOOKUP(Tabela1[[#This Row],[Cliente]],'BASE DE CLIENTES'!A:D,4,0)</f>
        <v>SERRALHEIRO</v>
      </c>
      <c r="L1053" s="1" t="str">
        <f>VLOOKUP(Tabela1[[#This Row],[Cliente]],'BASE DE CLIENTES'!A:E,5,0)</f>
        <v>SAMAMBAIA NORTE (SAMAMBAIA)</v>
      </c>
    </row>
    <row r="1054" spans="2:12" x14ac:dyDescent="0.3">
      <c r="B1054" s="1" t="s">
        <v>152</v>
      </c>
      <c r="C1054" s="4" t="str">
        <f>VLOOKUP(Tabela1[[#This Row],[Cliente]],'BASE DE CLIENTES'!A:E,2,0)</f>
        <v>Aparecida de Goiânia</v>
      </c>
      <c r="D1054" s="1" t="str">
        <f>VLOOKUP(Tabela1[[#This Row],[Cliente]],'BASE DE CLIENTES'!A:C,3,0)</f>
        <v>GO</v>
      </c>
      <c r="E1054" s="4" t="str">
        <f>CONCATENATE(Tabela1[[#This Row],[CIDADE]],",",Tabela1[[#This Row],[UF]])</f>
        <v>Aparecida de Goiânia,GO</v>
      </c>
      <c r="F1054" s="2">
        <v>45854</v>
      </c>
      <c r="G1054" s="17">
        <v>268.45999999999998</v>
      </c>
      <c r="H1054" s="17">
        <v>550</v>
      </c>
      <c r="I1054" s="6">
        <f>Tabela1[[#This Row],[Valor total]]-Tabela1[[#This Row],[Valor custo]]</f>
        <v>281.54000000000002</v>
      </c>
      <c r="J1054" s="7">
        <f>Tabela1[[#This Row],[MARGEM BRUTA]]/Tabela1[[#This Row],[Valor total]]</f>
        <v>0.51189090909090917</v>
      </c>
      <c r="K1054" s="1" t="str">
        <f>VLOOKUP(Tabela1[[#This Row],[Cliente]],'BASE DE CLIENTES'!A:D,4,0)</f>
        <v>TECNICO</v>
      </c>
      <c r="L1054" s="1" t="str">
        <f>VLOOKUP(Tabela1[[#This Row],[Cliente]],'BASE DE CLIENTES'!A:E,5,0)</f>
        <v>Aparecida de Goiânia</v>
      </c>
    </row>
    <row r="1055" spans="2:12" x14ac:dyDescent="0.3">
      <c r="B1055" s="1" t="s">
        <v>38</v>
      </c>
      <c r="C1055" s="4" t="str">
        <f>VLOOKUP(Tabela1[[#This Row],[Cliente]],'BASE DE CLIENTES'!A:E,2,0)</f>
        <v>Brasília</v>
      </c>
      <c r="D1055" s="1" t="str">
        <f>VLOOKUP(Tabela1[[#This Row],[Cliente]],'BASE DE CLIENTES'!A:C,3,0)</f>
        <v>DF</v>
      </c>
      <c r="E1055" s="4" t="str">
        <f>CONCATENATE(Tabela1[[#This Row],[CIDADE]],",",Tabela1[[#This Row],[UF]])</f>
        <v>Brasília,DF</v>
      </c>
      <c r="F1055" s="2">
        <v>45805</v>
      </c>
      <c r="G1055" s="17">
        <v>497</v>
      </c>
      <c r="H1055" s="17">
        <v>785</v>
      </c>
      <c r="I1055" s="6">
        <f>Tabela1[[#This Row],[Valor total]]-Tabela1[[#This Row],[Valor custo]]</f>
        <v>288</v>
      </c>
      <c r="J1055" s="7">
        <f>Tabela1[[#This Row],[MARGEM BRUTA]]/Tabela1[[#This Row],[Valor total]]</f>
        <v>0.36687898089171972</v>
      </c>
      <c r="K1055" s="1" t="str">
        <f>VLOOKUP(Tabela1[[#This Row],[Cliente]],'BASE DE CLIENTES'!A:D,4,0)</f>
        <v>EMPRESA SEM MAQUINA</v>
      </c>
      <c r="L1055" s="1" t="str">
        <f>VLOOKUP(Tabela1[[#This Row],[Cliente]],'BASE DE CLIENTES'!A:E,5,0)</f>
        <v>PONTE ALTA NORTE (GAMA)</v>
      </c>
    </row>
    <row r="1056" spans="2:12" x14ac:dyDescent="0.3">
      <c r="B1056" s="1" t="s">
        <v>68</v>
      </c>
      <c r="C1056" s="4" t="str">
        <f>VLOOKUP(Tabela1[[#This Row],[Cliente]],'BASE DE CLIENTES'!A:E,2,0)</f>
        <v>Brasília</v>
      </c>
      <c r="D1056" s="1" t="str">
        <f>VLOOKUP(Tabela1[[#This Row],[Cliente]],'BASE DE CLIENTES'!A:C,3,0)</f>
        <v>DF</v>
      </c>
      <c r="E1056" s="4" t="str">
        <f>CONCATENATE(Tabela1[[#This Row],[CIDADE]],",",Tabela1[[#This Row],[UF]])</f>
        <v>Brasília,DF</v>
      </c>
      <c r="F1056" s="2">
        <v>45805</v>
      </c>
      <c r="G1056" s="17">
        <v>956.01</v>
      </c>
      <c r="H1056" s="17">
        <v>1330</v>
      </c>
      <c r="I1056" s="6">
        <f>Tabela1[[#This Row],[Valor total]]-Tabela1[[#This Row],[Valor custo]]</f>
        <v>373.99</v>
      </c>
      <c r="J1056" s="7">
        <f>Tabela1[[#This Row],[MARGEM BRUTA]]/Tabela1[[#This Row],[Valor total]]</f>
        <v>0.2811954887218045</v>
      </c>
      <c r="K1056" s="1" t="str">
        <f>VLOOKUP(Tabela1[[#This Row],[Cliente]],'BASE DE CLIENTES'!A:D,4,0)</f>
        <v>EMPRESA COM MAQUINA</v>
      </c>
      <c r="L1056" s="1" t="str">
        <f>VLOOKUP(Tabela1[[#This Row],[Cliente]],'BASE DE CLIENTES'!A:E,5,0)</f>
        <v>SAMAMBAIA SUL (SAMAMBAIA)</v>
      </c>
    </row>
    <row r="1057" spans="2:12" x14ac:dyDescent="0.3">
      <c r="B1057" s="1" t="s">
        <v>152</v>
      </c>
      <c r="C1057" s="4" t="str">
        <f>VLOOKUP(Tabela1[[#This Row],[Cliente]],'BASE DE CLIENTES'!A:E,2,0)</f>
        <v>Aparecida de Goiânia</v>
      </c>
      <c r="D1057" s="1" t="str">
        <f>VLOOKUP(Tabela1[[#This Row],[Cliente]],'BASE DE CLIENTES'!A:C,3,0)</f>
        <v>GO</v>
      </c>
      <c r="E1057" s="4" t="str">
        <f>CONCATENATE(Tabela1[[#This Row],[CIDADE]],",",Tabela1[[#This Row],[UF]])</f>
        <v>Aparecida de Goiânia,GO</v>
      </c>
      <c r="F1057" s="2">
        <v>45848</v>
      </c>
      <c r="G1057" s="17">
        <v>268.45999999999998</v>
      </c>
      <c r="H1057" s="17">
        <v>550</v>
      </c>
      <c r="I1057" s="6">
        <f>Tabela1[[#This Row],[Valor total]]-Tabela1[[#This Row],[Valor custo]]</f>
        <v>281.54000000000002</v>
      </c>
      <c r="J1057" s="7">
        <f>Tabela1[[#This Row],[MARGEM BRUTA]]/Tabela1[[#This Row],[Valor total]]</f>
        <v>0.51189090909090917</v>
      </c>
      <c r="K1057" s="1" t="str">
        <f>VLOOKUP(Tabela1[[#This Row],[Cliente]],'BASE DE CLIENTES'!A:D,4,0)</f>
        <v>TECNICO</v>
      </c>
      <c r="L1057" s="1" t="str">
        <f>VLOOKUP(Tabela1[[#This Row],[Cliente]],'BASE DE CLIENTES'!A:E,5,0)</f>
        <v>Aparecida de Goiânia</v>
      </c>
    </row>
    <row r="1058" spans="2:12" x14ac:dyDescent="0.3">
      <c r="B1058" s="1" t="s">
        <v>152</v>
      </c>
      <c r="C1058" s="4" t="str">
        <f>VLOOKUP(Tabela1[[#This Row],[Cliente]],'BASE DE CLIENTES'!A:E,2,0)</f>
        <v>Aparecida de Goiânia</v>
      </c>
      <c r="D1058" s="1" t="str">
        <f>VLOOKUP(Tabela1[[#This Row],[Cliente]],'BASE DE CLIENTES'!A:C,3,0)</f>
        <v>GO</v>
      </c>
      <c r="E1058" s="4" t="str">
        <f>CONCATENATE(Tabela1[[#This Row],[CIDADE]],",",Tabela1[[#This Row],[UF]])</f>
        <v>Aparecida de Goiânia,GO</v>
      </c>
      <c r="F1058" s="2">
        <v>45777</v>
      </c>
      <c r="G1058" s="17">
        <v>65.8</v>
      </c>
      <c r="H1058" s="17">
        <v>140</v>
      </c>
      <c r="I1058" s="6">
        <f>Tabela1[[#This Row],[Valor total]]-Tabela1[[#This Row],[Valor custo]]</f>
        <v>74.2</v>
      </c>
      <c r="J1058" s="7">
        <f>Tabela1[[#This Row],[MARGEM BRUTA]]/Tabela1[[#This Row],[Valor total]]</f>
        <v>0.53</v>
      </c>
      <c r="K1058" s="1" t="str">
        <f>VLOOKUP(Tabela1[[#This Row],[Cliente]],'BASE DE CLIENTES'!A:D,4,0)</f>
        <v>TECNICO</v>
      </c>
      <c r="L1058" s="1" t="str">
        <f>VLOOKUP(Tabela1[[#This Row],[Cliente]],'BASE DE CLIENTES'!A:E,5,0)</f>
        <v>Aparecida de Goiânia</v>
      </c>
    </row>
    <row r="1059" spans="2:12" x14ac:dyDescent="0.3">
      <c r="B1059" s="1" t="s">
        <v>38</v>
      </c>
      <c r="C1059" s="4" t="str">
        <f>VLOOKUP(Tabela1[[#This Row],[Cliente]],'BASE DE CLIENTES'!A:E,2,0)</f>
        <v>Brasília</v>
      </c>
      <c r="D1059" s="1" t="str">
        <f>VLOOKUP(Tabela1[[#This Row],[Cliente]],'BASE DE CLIENTES'!A:C,3,0)</f>
        <v>DF</v>
      </c>
      <c r="E1059" s="4" t="str">
        <f>CONCATENATE(Tabela1[[#This Row],[CIDADE]],",",Tabela1[[#This Row],[UF]])</f>
        <v>Brasília,DF</v>
      </c>
      <c r="F1059" s="2">
        <v>45804</v>
      </c>
      <c r="G1059" s="17">
        <v>920</v>
      </c>
      <c r="H1059" s="17">
        <v>1365</v>
      </c>
      <c r="I1059" s="6">
        <f>Tabela1[[#This Row],[Valor total]]-Tabela1[[#This Row],[Valor custo]]</f>
        <v>445</v>
      </c>
      <c r="J1059" s="7">
        <f>Tabela1[[#This Row],[MARGEM BRUTA]]/Tabela1[[#This Row],[Valor total]]</f>
        <v>0.32600732600732601</v>
      </c>
      <c r="K1059" s="1" t="str">
        <f>VLOOKUP(Tabela1[[#This Row],[Cliente]],'BASE DE CLIENTES'!A:D,4,0)</f>
        <v>EMPRESA SEM MAQUINA</v>
      </c>
      <c r="L1059" s="1" t="str">
        <f>VLOOKUP(Tabela1[[#This Row],[Cliente]],'BASE DE CLIENTES'!A:E,5,0)</f>
        <v>PONTE ALTA NORTE (GAMA)</v>
      </c>
    </row>
    <row r="1060" spans="2:12" x14ac:dyDescent="0.3">
      <c r="B1060" s="1" t="s">
        <v>169</v>
      </c>
      <c r="C1060" s="4" t="str">
        <f>VLOOKUP(Tabela1[[#This Row],[Cliente]],'BASE DE CLIENTES'!A:E,2,0)</f>
        <v>Planaltina</v>
      </c>
      <c r="D1060" s="1" t="str">
        <f>VLOOKUP(Tabela1[[#This Row],[Cliente]],'BASE DE CLIENTES'!A:C,3,0)</f>
        <v>GO</v>
      </c>
      <c r="E1060" s="4" t="str">
        <f>CONCATENATE(Tabela1[[#This Row],[CIDADE]],",",Tabela1[[#This Row],[UF]])</f>
        <v>Planaltina,GO</v>
      </c>
      <c r="F1060" s="2">
        <v>45804</v>
      </c>
      <c r="G1060" s="17">
        <v>1042</v>
      </c>
      <c r="H1060" s="17">
        <v>1680</v>
      </c>
      <c r="I1060" s="6">
        <f>Tabela1[[#This Row],[Valor total]]-Tabela1[[#This Row],[Valor custo]]</f>
        <v>638</v>
      </c>
      <c r="J1060" s="7">
        <f>Tabela1[[#This Row],[MARGEM BRUTA]]/Tabela1[[#This Row],[Valor total]]</f>
        <v>0.37976190476190474</v>
      </c>
      <c r="K1060" s="1" t="str">
        <f>VLOOKUP(Tabela1[[#This Row],[Cliente]],'BASE DE CLIENTES'!A:D,4,0)</f>
        <v>SERRALHEIRO</v>
      </c>
      <c r="L1060" s="1" t="str">
        <f>VLOOKUP(Tabela1[[#This Row],[Cliente]],'BASE DE CLIENTES'!A:E,5,0)</f>
        <v>Planaltina</v>
      </c>
    </row>
    <row r="1061" spans="2:12" x14ac:dyDescent="0.3">
      <c r="B1061" s="1" t="s">
        <v>152</v>
      </c>
      <c r="C1061" s="4" t="str">
        <f>VLOOKUP(Tabela1[[#This Row],[Cliente]],'BASE DE CLIENTES'!A:E,2,0)</f>
        <v>Aparecida de Goiânia</v>
      </c>
      <c r="D1061" s="1" t="str">
        <f>VLOOKUP(Tabela1[[#This Row],[Cliente]],'BASE DE CLIENTES'!A:C,3,0)</f>
        <v>GO</v>
      </c>
      <c r="E1061" s="4" t="str">
        <f>CONCATENATE(Tabela1[[#This Row],[CIDADE]],",",Tabela1[[#This Row],[UF]])</f>
        <v>Aparecida de Goiânia,GO</v>
      </c>
      <c r="F1061" s="2">
        <v>45901</v>
      </c>
      <c r="G1061" s="17">
        <v>705</v>
      </c>
      <c r="H1061" s="17">
        <v>1500</v>
      </c>
      <c r="I1061" s="6">
        <f>Tabela1[[#This Row],[Valor total]]-Tabela1[[#This Row],[Valor custo]]</f>
        <v>795</v>
      </c>
      <c r="J1061" s="7">
        <f>Tabela1[[#This Row],[MARGEM BRUTA]]/Tabela1[[#This Row],[Valor total]]</f>
        <v>0.53</v>
      </c>
      <c r="K1061" s="1" t="str">
        <f>VLOOKUP(Tabela1[[#This Row],[Cliente]],'BASE DE CLIENTES'!A:D,4,0)</f>
        <v>TECNICO</v>
      </c>
      <c r="L1061" s="1" t="str">
        <f>VLOOKUP(Tabela1[[#This Row],[Cliente]],'BASE DE CLIENTES'!A:E,5,0)</f>
        <v>Aparecida de Goiânia</v>
      </c>
    </row>
    <row r="1062" spans="2:12" x14ac:dyDescent="0.3">
      <c r="B1062" s="1" t="s">
        <v>140</v>
      </c>
      <c r="C1062" s="4" t="str">
        <f>VLOOKUP(Tabela1[[#This Row],[Cliente]],'BASE DE CLIENTES'!A:E,2,0)</f>
        <v>Brasília</v>
      </c>
      <c r="D1062" s="1" t="str">
        <f>VLOOKUP(Tabela1[[#This Row],[Cliente]],'BASE DE CLIENTES'!A:C,3,0)</f>
        <v>DF</v>
      </c>
      <c r="E1062" s="4" t="str">
        <f>CONCATENATE(Tabela1[[#This Row],[CIDADE]],",",Tabela1[[#This Row],[UF]])</f>
        <v>Brasília,DF</v>
      </c>
      <c r="F1062" s="2">
        <v>45804</v>
      </c>
      <c r="G1062" s="17">
        <v>11799.83</v>
      </c>
      <c r="H1062" s="17">
        <v>15000</v>
      </c>
      <c r="I1062" s="6">
        <f>Tabela1[[#This Row],[Valor total]]-Tabela1[[#This Row],[Valor custo]]</f>
        <v>3200.17</v>
      </c>
      <c r="J1062" s="7">
        <f>Tabela1[[#This Row],[MARGEM BRUTA]]/Tabela1[[#This Row],[Valor total]]</f>
        <v>0.21334466666666668</v>
      </c>
      <c r="K1062" s="1" t="str">
        <f>VLOOKUP(Tabela1[[#This Row],[Cliente]],'BASE DE CLIENTES'!A:D,4,0)</f>
        <v>EMPRESA COM MAQUINA</v>
      </c>
      <c r="L1062" s="1" t="str">
        <f>VLOOKUP(Tabela1[[#This Row],[Cliente]],'BASE DE CLIENTES'!A:E,5,0)</f>
        <v>RECANTO DAS EMAS</v>
      </c>
    </row>
    <row r="1063" spans="2:12" x14ac:dyDescent="0.3">
      <c r="B1063" s="1" t="s">
        <v>98</v>
      </c>
      <c r="C1063" s="4" t="str">
        <f>VLOOKUP(Tabela1[[#This Row],[Cliente]],'BASE DE CLIENTES'!A:E,2,0)</f>
        <v>Brasília</v>
      </c>
      <c r="D1063" s="1" t="str">
        <f>VLOOKUP(Tabela1[[#This Row],[Cliente]],'BASE DE CLIENTES'!A:C,3,0)</f>
        <v>DF</v>
      </c>
      <c r="E1063" s="4" t="str">
        <f>CONCATENATE(Tabela1[[#This Row],[CIDADE]],",",Tabela1[[#This Row],[UF]])</f>
        <v>Brasília,DF</v>
      </c>
      <c r="F1063" s="2">
        <v>45804</v>
      </c>
      <c r="G1063" s="17">
        <v>66</v>
      </c>
      <c r="H1063" s="17">
        <v>85</v>
      </c>
      <c r="I1063" s="6">
        <f>Tabela1[[#This Row],[Valor total]]-Tabela1[[#This Row],[Valor custo]]</f>
        <v>19</v>
      </c>
      <c r="J1063" s="7">
        <f>Tabela1[[#This Row],[MARGEM BRUTA]]/Tabela1[[#This Row],[Valor total]]</f>
        <v>0.22352941176470589</v>
      </c>
      <c r="K1063" s="1" t="str">
        <f>VLOOKUP(Tabela1[[#This Row],[Cliente]],'BASE DE CLIENTES'!A:D,4,0)</f>
        <v>SERRALHEIRO</v>
      </c>
      <c r="L1063" s="1" t="str">
        <f>VLOOKUP(Tabela1[[#This Row],[Cliente]],'BASE DE CLIENTES'!A:E,5,0)</f>
        <v>SANTA MARIA</v>
      </c>
    </row>
    <row r="1064" spans="2:12" x14ac:dyDescent="0.3">
      <c r="B1064" s="1" t="s">
        <v>27</v>
      </c>
      <c r="C1064" s="4" t="str">
        <f>VLOOKUP(Tabela1[[#This Row],[Cliente]],'BASE DE CLIENTES'!A:E,2,0)</f>
        <v>Brasília</v>
      </c>
      <c r="D1064" s="1" t="str">
        <f>VLOOKUP(Tabela1[[#This Row],[Cliente]],'BASE DE CLIENTES'!A:C,3,0)</f>
        <v>DF</v>
      </c>
      <c r="E1064" s="4" t="str">
        <f>CONCATENATE(Tabela1[[#This Row],[CIDADE]],",",Tabela1[[#This Row],[UF]])</f>
        <v>Brasília,DF</v>
      </c>
      <c r="F1064" s="2">
        <v>45804</v>
      </c>
      <c r="G1064" s="17">
        <v>1229.6099999999999</v>
      </c>
      <c r="H1064" s="17">
        <v>1755</v>
      </c>
      <c r="I1064" s="6">
        <f>Tabela1[[#This Row],[Valor total]]-Tabela1[[#This Row],[Valor custo]]</f>
        <v>525.3900000000001</v>
      </c>
      <c r="J1064" s="7">
        <f>Tabela1[[#This Row],[MARGEM BRUTA]]/Tabela1[[#This Row],[Valor total]]</f>
        <v>0.29936752136752143</v>
      </c>
      <c r="K1064" s="1" t="str">
        <f>VLOOKUP(Tabela1[[#This Row],[Cliente]],'BASE DE CLIENTES'!A:D,4,0)</f>
        <v>EMPRESA SEM MAQUINA</v>
      </c>
      <c r="L1064" s="1" t="str">
        <f>VLOOKUP(Tabela1[[#This Row],[Cliente]],'BASE DE CLIENTES'!A:E,5,0)</f>
        <v>RECANTO DAS EMAS</v>
      </c>
    </row>
    <row r="1065" spans="2:12" x14ac:dyDescent="0.3">
      <c r="B1065" s="1" t="s">
        <v>152</v>
      </c>
      <c r="C1065" s="4" t="str">
        <f>VLOOKUP(Tabela1[[#This Row],[Cliente]],'BASE DE CLIENTES'!A:E,2,0)</f>
        <v>Aparecida de Goiânia</v>
      </c>
      <c r="D1065" s="1" t="str">
        <f>VLOOKUP(Tabela1[[#This Row],[Cliente]],'BASE DE CLIENTES'!A:C,3,0)</f>
        <v>GO</v>
      </c>
      <c r="E1065" s="4" t="str">
        <f>CONCATENATE(Tabela1[[#This Row],[CIDADE]],",",Tabela1[[#This Row],[UF]])</f>
        <v>Aparecida de Goiânia,GO</v>
      </c>
      <c r="F1065" s="2">
        <v>45860</v>
      </c>
      <c r="G1065" s="17">
        <v>1386</v>
      </c>
      <c r="H1065" s="17">
        <v>3000</v>
      </c>
      <c r="I1065" s="6">
        <f>Tabela1[[#This Row],[Valor total]]-Tabela1[[#This Row],[Valor custo]]</f>
        <v>1614</v>
      </c>
      <c r="J1065" s="7">
        <f>Tabela1[[#This Row],[MARGEM BRUTA]]/Tabela1[[#This Row],[Valor total]]</f>
        <v>0.53800000000000003</v>
      </c>
      <c r="K1065" s="1" t="str">
        <f>VLOOKUP(Tabela1[[#This Row],[Cliente]],'BASE DE CLIENTES'!A:D,4,0)</f>
        <v>TECNICO</v>
      </c>
      <c r="L1065" s="1" t="str">
        <f>VLOOKUP(Tabela1[[#This Row],[Cliente]],'BASE DE CLIENTES'!A:E,5,0)</f>
        <v>Aparecida de Goiânia</v>
      </c>
    </row>
    <row r="1066" spans="2:12" x14ac:dyDescent="0.3">
      <c r="B1066" s="1" t="s">
        <v>152</v>
      </c>
      <c r="C1066" s="4" t="str">
        <f>VLOOKUP(Tabela1[[#This Row],[Cliente]],'BASE DE CLIENTES'!A:E,2,0)</f>
        <v>Aparecida de Goiânia</v>
      </c>
      <c r="D1066" s="1" t="str">
        <f>VLOOKUP(Tabela1[[#This Row],[Cliente]],'BASE DE CLIENTES'!A:C,3,0)</f>
        <v>GO</v>
      </c>
      <c r="E1066" s="4" t="str">
        <f>CONCATENATE(Tabela1[[#This Row],[CIDADE]],",",Tabela1[[#This Row],[UF]])</f>
        <v>Aparecida de Goiânia,GO</v>
      </c>
      <c r="F1066" s="2">
        <v>45772</v>
      </c>
      <c r="G1066" s="17">
        <v>108</v>
      </c>
      <c r="H1066" s="17">
        <v>240</v>
      </c>
      <c r="I1066" s="6">
        <f>Tabela1[[#This Row],[Valor total]]-Tabela1[[#This Row],[Valor custo]]</f>
        <v>132</v>
      </c>
      <c r="J1066" s="7">
        <f>Tabela1[[#This Row],[MARGEM BRUTA]]/Tabela1[[#This Row],[Valor total]]</f>
        <v>0.55000000000000004</v>
      </c>
      <c r="K1066" s="1" t="str">
        <f>VLOOKUP(Tabela1[[#This Row],[Cliente]],'BASE DE CLIENTES'!A:D,4,0)</f>
        <v>TECNICO</v>
      </c>
      <c r="L1066" s="1" t="str">
        <f>VLOOKUP(Tabela1[[#This Row],[Cliente]],'BASE DE CLIENTES'!A:E,5,0)</f>
        <v>Aparecida de Goiânia</v>
      </c>
    </row>
    <row r="1067" spans="2:12" x14ac:dyDescent="0.3">
      <c r="B1067" s="1" t="s">
        <v>88</v>
      </c>
      <c r="C1067" s="4" t="str">
        <f>VLOOKUP(Tabela1[[#This Row],[Cliente]],'BASE DE CLIENTES'!A:E,2,0)</f>
        <v>Brasília</v>
      </c>
      <c r="D1067" s="1" t="str">
        <f>VLOOKUP(Tabela1[[#This Row],[Cliente]],'BASE DE CLIENTES'!A:C,3,0)</f>
        <v>DF</v>
      </c>
      <c r="E1067" s="4" t="str">
        <f>CONCATENATE(Tabela1[[#This Row],[CIDADE]],",",Tabela1[[#This Row],[UF]])</f>
        <v>Brasília,DF</v>
      </c>
      <c r="F1067" s="2">
        <v>45804</v>
      </c>
      <c r="G1067" s="17">
        <v>447</v>
      </c>
      <c r="H1067" s="17">
        <v>665</v>
      </c>
      <c r="I1067" s="6">
        <f>Tabela1[[#This Row],[Valor total]]-Tabela1[[#This Row],[Valor custo]]</f>
        <v>218</v>
      </c>
      <c r="J1067" s="7">
        <f>Tabela1[[#This Row],[MARGEM BRUTA]]/Tabela1[[#This Row],[Valor total]]</f>
        <v>0.32781954887218046</v>
      </c>
      <c r="K1067" s="1" t="str">
        <f>VLOOKUP(Tabela1[[#This Row],[Cliente]],'BASE DE CLIENTES'!A:D,4,0)</f>
        <v>SERRALHEIRO</v>
      </c>
      <c r="L1067" s="1" t="str">
        <f>VLOOKUP(Tabela1[[#This Row],[Cliente]],'BASE DE CLIENTES'!A:E,5,0)</f>
        <v>RECANTO DAS EMAS</v>
      </c>
    </row>
    <row r="1068" spans="2:12" x14ac:dyDescent="0.3">
      <c r="B1068" s="1" t="s">
        <v>68</v>
      </c>
      <c r="C1068" s="4" t="str">
        <f>VLOOKUP(Tabela1[[#This Row],[Cliente]],'BASE DE CLIENTES'!A:E,2,0)</f>
        <v>Brasília</v>
      </c>
      <c r="D1068" s="1" t="str">
        <f>VLOOKUP(Tabela1[[#This Row],[Cliente]],'BASE DE CLIENTES'!A:C,3,0)</f>
        <v>DF</v>
      </c>
      <c r="E1068" s="4" t="str">
        <f>CONCATENATE(Tabela1[[#This Row],[CIDADE]],",",Tabela1[[#This Row],[UF]])</f>
        <v>Brasília,DF</v>
      </c>
      <c r="F1068" s="2">
        <v>45804</v>
      </c>
      <c r="G1068" s="17">
        <v>422.06</v>
      </c>
      <c r="H1068" s="17">
        <v>601.5</v>
      </c>
      <c r="I1068" s="6">
        <f>Tabela1[[#This Row],[Valor total]]-Tabela1[[#This Row],[Valor custo]]</f>
        <v>179.44</v>
      </c>
      <c r="J1068" s="7">
        <f>Tabela1[[#This Row],[MARGEM BRUTA]]/Tabela1[[#This Row],[Valor total]]</f>
        <v>0.29832086450540318</v>
      </c>
      <c r="K1068" s="1" t="str">
        <f>VLOOKUP(Tabela1[[#This Row],[Cliente]],'BASE DE CLIENTES'!A:D,4,0)</f>
        <v>EMPRESA COM MAQUINA</v>
      </c>
      <c r="L1068" s="1" t="str">
        <f>VLOOKUP(Tabela1[[#This Row],[Cliente]],'BASE DE CLIENTES'!A:E,5,0)</f>
        <v>SAMAMBAIA SUL (SAMAMBAIA)</v>
      </c>
    </row>
    <row r="1069" spans="2:12" x14ac:dyDescent="0.3">
      <c r="B1069" s="1" t="s">
        <v>55</v>
      </c>
      <c r="C1069" s="4" t="str">
        <f>VLOOKUP(Tabela1[[#This Row],[Cliente]],'BASE DE CLIENTES'!A:E,2,0)</f>
        <v>Brasília</v>
      </c>
      <c r="D1069" s="1" t="str">
        <f>VLOOKUP(Tabela1[[#This Row],[Cliente]],'BASE DE CLIENTES'!A:C,3,0)</f>
        <v>DF</v>
      </c>
      <c r="E1069" s="4" t="str">
        <f>CONCATENATE(Tabela1[[#This Row],[CIDADE]],",",Tabela1[[#This Row],[UF]])</f>
        <v>Brasília,DF</v>
      </c>
      <c r="F1069" s="2">
        <v>45803</v>
      </c>
      <c r="G1069" s="17">
        <v>30.49</v>
      </c>
      <c r="H1069" s="17">
        <v>40</v>
      </c>
      <c r="I1069" s="6">
        <f>Tabela1[[#This Row],[Valor total]]-Tabela1[[#This Row],[Valor custo]]</f>
        <v>9.5100000000000016</v>
      </c>
      <c r="J1069" s="7">
        <f>Tabela1[[#This Row],[MARGEM BRUTA]]/Tabela1[[#This Row],[Valor total]]</f>
        <v>0.23775000000000004</v>
      </c>
      <c r="K1069" s="1" t="str">
        <f>VLOOKUP(Tabela1[[#This Row],[Cliente]],'BASE DE CLIENTES'!A:D,4,0)</f>
        <v>EMPRESA SEM MAQUINA</v>
      </c>
      <c r="L1069" s="1" t="str">
        <f>VLOOKUP(Tabela1[[#This Row],[Cliente]],'BASE DE CLIENTES'!A:E,5,0)</f>
        <v>RECANTO DAS EMAS</v>
      </c>
    </row>
    <row r="1070" spans="2:12" x14ac:dyDescent="0.3">
      <c r="B1070" s="1" t="s">
        <v>55</v>
      </c>
      <c r="C1070" s="4" t="str">
        <f>VLOOKUP(Tabela1[[#This Row],[Cliente]],'BASE DE CLIENTES'!A:E,2,0)</f>
        <v>Brasília</v>
      </c>
      <c r="D1070" s="1" t="str">
        <f>VLOOKUP(Tabela1[[#This Row],[Cliente]],'BASE DE CLIENTES'!A:C,3,0)</f>
        <v>DF</v>
      </c>
      <c r="E1070" s="4" t="str">
        <f>CONCATENATE(Tabela1[[#This Row],[CIDADE]],",",Tabela1[[#This Row],[UF]])</f>
        <v>Brasília,DF</v>
      </c>
      <c r="F1070" s="2">
        <v>45803</v>
      </c>
      <c r="G1070" s="17">
        <v>6364</v>
      </c>
      <c r="H1070" s="17">
        <v>9980</v>
      </c>
      <c r="I1070" s="6">
        <f>Tabela1[[#This Row],[Valor total]]-Tabela1[[#This Row],[Valor custo]]</f>
        <v>3616</v>
      </c>
      <c r="J1070" s="7">
        <f>Tabela1[[#This Row],[MARGEM BRUTA]]/Tabela1[[#This Row],[Valor total]]</f>
        <v>0.3623246492985972</v>
      </c>
      <c r="K1070" s="1" t="str">
        <f>VLOOKUP(Tabela1[[#This Row],[Cliente]],'BASE DE CLIENTES'!A:D,4,0)</f>
        <v>EMPRESA SEM MAQUINA</v>
      </c>
      <c r="L1070" s="1" t="str">
        <f>VLOOKUP(Tabela1[[#This Row],[Cliente]],'BASE DE CLIENTES'!A:E,5,0)</f>
        <v>RECANTO DAS EMAS</v>
      </c>
    </row>
    <row r="1071" spans="2:12" x14ac:dyDescent="0.3">
      <c r="B1071" s="1" t="s">
        <v>52</v>
      </c>
      <c r="C1071" s="4" t="str">
        <f>VLOOKUP(Tabela1[[#This Row],[Cliente]],'BASE DE CLIENTES'!A:E,2,0)</f>
        <v>Brasília</v>
      </c>
      <c r="D1071" s="1" t="str">
        <f>VLOOKUP(Tabela1[[#This Row],[Cliente]],'BASE DE CLIENTES'!A:C,3,0)</f>
        <v>DF</v>
      </c>
      <c r="E1071" s="4" t="str">
        <f>CONCATENATE(Tabela1[[#This Row],[CIDADE]],",",Tabela1[[#This Row],[UF]])</f>
        <v>Brasília,DF</v>
      </c>
      <c r="F1071" s="2">
        <v>45803</v>
      </c>
      <c r="G1071" s="17">
        <v>415.97</v>
      </c>
      <c r="H1071" s="17">
        <v>594</v>
      </c>
      <c r="I1071" s="6">
        <f>Tabela1[[#This Row],[Valor total]]-Tabela1[[#This Row],[Valor custo]]</f>
        <v>178.02999999999997</v>
      </c>
      <c r="J1071" s="7">
        <f>Tabela1[[#This Row],[MARGEM BRUTA]]/Tabela1[[#This Row],[Valor total]]</f>
        <v>0.29971380471380465</v>
      </c>
      <c r="K1071" s="1" t="str">
        <f>VLOOKUP(Tabela1[[#This Row],[Cliente]],'BASE DE CLIENTES'!A:D,4,0)</f>
        <v>SERRALHEIRO</v>
      </c>
      <c r="L1071" s="1" t="str">
        <f>VLOOKUP(Tabela1[[#This Row],[Cliente]],'BASE DE CLIENTES'!A:E,5,0)</f>
        <v>Ceilândia Sul (Ceilândia)</v>
      </c>
    </row>
    <row r="1072" spans="2:12" x14ac:dyDescent="0.3">
      <c r="B1072" s="1" t="s">
        <v>44</v>
      </c>
      <c r="C1072" s="4" t="str">
        <f>VLOOKUP(Tabela1[[#This Row],[Cliente]],'BASE DE CLIENTES'!A:E,2,0)</f>
        <v>Brasília</v>
      </c>
      <c r="D1072" s="1" t="str">
        <f>VLOOKUP(Tabela1[[#This Row],[Cliente]],'BASE DE CLIENTES'!A:C,3,0)</f>
        <v>DF</v>
      </c>
      <c r="E1072" s="4" t="str">
        <f>CONCATENATE(Tabela1[[#This Row],[CIDADE]],",",Tabela1[[#This Row],[UF]])</f>
        <v>Brasília,DF</v>
      </c>
      <c r="F1072" s="2">
        <v>45803</v>
      </c>
      <c r="G1072" s="17">
        <v>584</v>
      </c>
      <c r="H1072" s="17">
        <v>900</v>
      </c>
      <c r="I1072" s="6">
        <f>Tabela1[[#This Row],[Valor total]]-Tabela1[[#This Row],[Valor custo]]</f>
        <v>316</v>
      </c>
      <c r="J1072" s="7">
        <f>Tabela1[[#This Row],[MARGEM BRUTA]]/Tabela1[[#This Row],[Valor total]]</f>
        <v>0.3511111111111111</v>
      </c>
      <c r="K1072" s="1" t="str">
        <f>VLOOKUP(Tabela1[[#This Row],[Cliente]],'BASE DE CLIENTES'!A:D,4,0)</f>
        <v>EMPRESA SEM MAQUINA</v>
      </c>
      <c r="L1072" s="1" t="str">
        <f>VLOOKUP(Tabela1[[#This Row],[Cliente]],'BASE DE CLIENTES'!A:E,5,0)</f>
        <v>SETOR HABITACIONAL VICENTE PIRES</v>
      </c>
    </row>
    <row r="1073" spans="2:12" x14ac:dyDescent="0.3">
      <c r="B1073" s="1" t="s">
        <v>152</v>
      </c>
      <c r="C1073" s="4" t="str">
        <f>VLOOKUP(Tabela1[[#This Row],[Cliente]],'BASE DE CLIENTES'!A:E,2,0)</f>
        <v>Aparecida de Goiânia</v>
      </c>
      <c r="D1073" s="1" t="str">
        <f>VLOOKUP(Tabela1[[#This Row],[Cliente]],'BASE DE CLIENTES'!A:C,3,0)</f>
        <v>GO</v>
      </c>
      <c r="E1073" s="4" t="str">
        <f>CONCATENATE(Tabela1[[#This Row],[CIDADE]],",",Tabela1[[#This Row],[UF]])</f>
        <v>Aparecida de Goiânia,GO</v>
      </c>
      <c r="F1073" s="2">
        <v>45824</v>
      </c>
      <c r="G1073" s="17">
        <v>852</v>
      </c>
      <c r="H1073" s="17">
        <v>1900</v>
      </c>
      <c r="I1073" s="6">
        <f>Tabela1[[#This Row],[Valor total]]-Tabela1[[#This Row],[Valor custo]]</f>
        <v>1048</v>
      </c>
      <c r="J1073" s="7">
        <f>Tabela1[[#This Row],[MARGEM BRUTA]]/Tabela1[[#This Row],[Valor total]]</f>
        <v>0.55157894736842106</v>
      </c>
      <c r="K1073" s="1" t="str">
        <f>VLOOKUP(Tabela1[[#This Row],[Cliente]],'BASE DE CLIENTES'!A:D,4,0)</f>
        <v>TECNICO</v>
      </c>
      <c r="L1073" s="1" t="str">
        <f>VLOOKUP(Tabela1[[#This Row],[Cliente]],'BASE DE CLIENTES'!A:E,5,0)</f>
        <v>Aparecida de Goiânia</v>
      </c>
    </row>
    <row r="1074" spans="2:12" x14ac:dyDescent="0.3">
      <c r="B1074" s="1" t="s">
        <v>152</v>
      </c>
      <c r="C1074" s="4" t="str">
        <f>VLOOKUP(Tabela1[[#This Row],[Cliente]],'BASE DE CLIENTES'!A:E,2,0)</f>
        <v>Aparecida de Goiânia</v>
      </c>
      <c r="D1074" s="1" t="str">
        <f>VLOOKUP(Tabela1[[#This Row],[Cliente]],'BASE DE CLIENTES'!A:C,3,0)</f>
        <v>GO</v>
      </c>
      <c r="E1074" s="4" t="str">
        <f>CONCATENATE(Tabela1[[#This Row],[CIDADE]],",",Tabela1[[#This Row],[UF]])</f>
        <v>Aparecida de Goiânia,GO</v>
      </c>
      <c r="F1074" s="2">
        <v>45741</v>
      </c>
      <c r="G1074" s="17">
        <v>101.41</v>
      </c>
      <c r="H1074" s="17">
        <v>265</v>
      </c>
      <c r="I1074" s="6">
        <f>Tabela1[[#This Row],[Valor total]]-Tabela1[[#This Row],[Valor custo]]</f>
        <v>163.59</v>
      </c>
      <c r="J1074" s="7">
        <f>Tabela1[[#This Row],[MARGEM BRUTA]]/Tabela1[[#This Row],[Valor total]]</f>
        <v>0.61732075471698111</v>
      </c>
      <c r="K1074" s="1" t="str">
        <f>VLOOKUP(Tabela1[[#This Row],[Cliente]],'BASE DE CLIENTES'!A:D,4,0)</f>
        <v>TECNICO</v>
      </c>
      <c r="L1074" s="1" t="str">
        <f>VLOOKUP(Tabela1[[#This Row],[Cliente]],'BASE DE CLIENTES'!A:E,5,0)</f>
        <v>Aparecida de Goiânia</v>
      </c>
    </row>
    <row r="1075" spans="2:12" x14ac:dyDescent="0.3">
      <c r="B1075" s="1" t="s">
        <v>52</v>
      </c>
      <c r="C1075" s="4" t="str">
        <f>VLOOKUP(Tabela1[[#This Row],[Cliente]],'BASE DE CLIENTES'!A:E,2,0)</f>
        <v>Brasília</v>
      </c>
      <c r="D1075" s="1" t="str">
        <f>VLOOKUP(Tabela1[[#This Row],[Cliente]],'BASE DE CLIENTES'!A:C,3,0)</f>
        <v>DF</v>
      </c>
      <c r="E1075" s="4" t="str">
        <f>CONCATENATE(Tabela1[[#This Row],[CIDADE]],",",Tabela1[[#This Row],[UF]])</f>
        <v>Brasília,DF</v>
      </c>
      <c r="F1075" s="2">
        <v>45800</v>
      </c>
      <c r="G1075" s="17">
        <v>819.74</v>
      </c>
      <c r="H1075" s="17">
        <v>1170</v>
      </c>
      <c r="I1075" s="6">
        <f>Tabela1[[#This Row],[Valor total]]-Tabela1[[#This Row],[Valor custo]]</f>
        <v>350.26</v>
      </c>
      <c r="J1075" s="7">
        <f>Tabela1[[#This Row],[MARGEM BRUTA]]/Tabela1[[#This Row],[Valor total]]</f>
        <v>0.29936752136752137</v>
      </c>
      <c r="K1075" s="1" t="str">
        <f>VLOOKUP(Tabela1[[#This Row],[Cliente]],'BASE DE CLIENTES'!A:D,4,0)</f>
        <v>SERRALHEIRO</v>
      </c>
      <c r="L1075" s="1" t="str">
        <f>VLOOKUP(Tabela1[[#This Row],[Cliente]],'BASE DE CLIENTES'!A:E,5,0)</f>
        <v>Ceilândia Sul (Ceilândia)</v>
      </c>
    </row>
    <row r="1076" spans="2:12" x14ac:dyDescent="0.3">
      <c r="B1076" s="1" t="s">
        <v>27</v>
      </c>
      <c r="C1076" s="4" t="str">
        <f>VLOOKUP(Tabela1[[#This Row],[Cliente]],'BASE DE CLIENTES'!A:E,2,0)</f>
        <v>Brasília</v>
      </c>
      <c r="D1076" s="1" t="str">
        <f>VLOOKUP(Tabela1[[#This Row],[Cliente]],'BASE DE CLIENTES'!A:C,3,0)</f>
        <v>DF</v>
      </c>
      <c r="E1076" s="4" t="str">
        <f>CONCATENATE(Tabela1[[#This Row],[CIDADE]],",",Tabela1[[#This Row],[UF]])</f>
        <v>Brasília,DF</v>
      </c>
      <c r="F1076" s="2">
        <v>45800</v>
      </c>
      <c r="G1076" s="17">
        <v>1292.74</v>
      </c>
      <c r="H1076" s="17">
        <v>1680</v>
      </c>
      <c r="I1076" s="6">
        <f>Tabela1[[#This Row],[Valor total]]-Tabela1[[#This Row],[Valor custo]]</f>
        <v>387.26</v>
      </c>
      <c r="J1076" s="7">
        <f>Tabela1[[#This Row],[MARGEM BRUTA]]/Tabela1[[#This Row],[Valor total]]</f>
        <v>0.23051190476190475</v>
      </c>
      <c r="K1076" s="1" t="str">
        <f>VLOOKUP(Tabela1[[#This Row],[Cliente]],'BASE DE CLIENTES'!A:D,4,0)</f>
        <v>EMPRESA SEM MAQUINA</v>
      </c>
      <c r="L1076" s="1" t="str">
        <f>VLOOKUP(Tabela1[[#This Row],[Cliente]],'BASE DE CLIENTES'!A:E,5,0)</f>
        <v>RECANTO DAS EMAS</v>
      </c>
    </row>
    <row r="1077" spans="2:12" x14ac:dyDescent="0.3">
      <c r="B1077" s="1" t="s">
        <v>152</v>
      </c>
      <c r="C1077" s="4" t="str">
        <f>VLOOKUP(Tabela1[[#This Row],[Cliente]],'BASE DE CLIENTES'!A:E,2,0)</f>
        <v>Aparecida de Goiânia</v>
      </c>
      <c r="D1077" s="1" t="str">
        <f>VLOOKUP(Tabela1[[#This Row],[Cliente]],'BASE DE CLIENTES'!A:C,3,0)</f>
        <v>GO</v>
      </c>
      <c r="E1077" s="4" t="str">
        <f>CONCATENATE(Tabela1[[#This Row],[CIDADE]],",",Tabela1[[#This Row],[UF]])</f>
        <v>Aparecida de Goiânia,GO</v>
      </c>
      <c r="F1077" s="2">
        <v>45804</v>
      </c>
      <c r="G1077" s="17">
        <v>82.21</v>
      </c>
      <c r="H1077" s="17">
        <v>230</v>
      </c>
      <c r="I1077" s="6">
        <f>Tabela1[[#This Row],[Valor total]]-Tabela1[[#This Row],[Valor custo]]</f>
        <v>147.79000000000002</v>
      </c>
      <c r="J1077" s="7">
        <f>Tabela1[[#This Row],[MARGEM BRUTA]]/Tabela1[[#This Row],[Valor total]]</f>
        <v>0.64256521739130446</v>
      </c>
      <c r="K1077" s="1" t="str">
        <f>VLOOKUP(Tabela1[[#This Row],[Cliente]],'BASE DE CLIENTES'!A:D,4,0)</f>
        <v>TECNICO</v>
      </c>
      <c r="L1077" s="1" t="str">
        <f>VLOOKUP(Tabela1[[#This Row],[Cliente]],'BASE DE CLIENTES'!A:E,5,0)</f>
        <v>Aparecida de Goiânia</v>
      </c>
    </row>
    <row r="1078" spans="2:12" x14ac:dyDescent="0.3">
      <c r="B1078" s="1" t="s">
        <v>98</v>
      </c>
      <c r="C1078" s="4" t="str">
        <f>VLOOKUP(Tabela1[[#This Row],[Cliente]],'BASE DE CLIENTES'!A:E,2,0)</f>
        <v>Brasília</v>
      </c>
      <c r="D1078" s="1" t="str">
        <f>VLOOKUP(Tabela1[[#This Row],[Cliente]],'BASE DE CLIENTES'!A:C,3,0)</f>
        <v>DF</v>
      </c>
      <c r="E1078" s="4" t="str">
        <f>CONCATENATE(Tabela1[[#This Row],[CIDADE]],",",Tabela1[[#This Row],[UF]])</f>
        <v>Brasília,DF</v>
      </c>
      <c r="F1078" s="2">
        <v>45800</v>
      </c>
      <c r="G1078" s="17">
        <v>584</v>
      </c>
      <c r="H1078" s="17">
        <v>845</v>
      </c>
      <c r="I1078" s="6">
        <f>Tabela1[[#This Row],[Valor total]]-Tabela1[[#This Row],[Valor custo]]</f>
        <v>261</v>
      </c>
      <c r="J1078" s="7">
        <f>Tabela1[[#This Row],[MARGEM BRUTA]]/Tabela1[[#This Row],[Valor total]]</f>
        <v>0.30887573964497039</v>
      </c>
      <c r="K1078" s="1" t="str">
        <f>VLOOKUP(Tabela1[[#This Row],[Cliente]],'BASE DE CLIENTES'!A:D,4,0)</f>
        <v>SERRALHEIRO</v>
      </c>
      <c r="L1078" s="1" t="str">
        <f>VLOOKUP(Tabela1[[#This Row],[Cliente]],'BASE DE CLIENTES'!A:E,5,0)</f>
        <v>SANTA MARIA</v>
      </c>
    </row>
    <row r="1079" spans="2:12" x14ac:dyDescent="0.3">
      <c r="B1079" s="1" t="s">
        <v>85</v>
      </c>
      <c r="C1079" s="4" t="str">
        <f>VLOOKUP(Tabela1[[#This Row],[Cliente]],'BASE DE CLIENTES'!A:E,2,0)</f>
        <v>Brasília</v>
      </c>
      <c r="D1079" s="1" t="str">
        <f>VLOOKUP(Tabela1[[#This Row],[Cliente]],'BASE DE CLIENTES'!A:C,3,0)</f>
        <v>DF</v>
      </c>
      <c r="E1079" s="4" t="str">
        <f>CONCATENATE(Tabela1[[#This Row],[CIDADE]],",",Tabela1[[#This Row],[UF]])</f>
        <v>Brasília,DF</v>
      </c>
      <c r="F1079" s="2">
        <v>45800</v>
      </c>
      <c r="G1079" s="17">
        <v>521</v>
      </c>
      <c r="H1079" s="17">
        <v>840</v>
      </c>
      <c r="I1079" s="6">
        <f>Tabela1[[#This Row],[Valor total]]-Tabela1[[#This Row],[Valor custo]]</f>
        <v>319</v>
      </c>
      <c r="J1079" s="7">
        <f>Tabela1[[#This Row],[MARGEM BRUTA]]/Tabela1[[#This Row],[Valor total]]</f>
        <v>0.37976190476190474</v>
      </c>
      <c r="K1079" s="1" t="str">
        <f>VLOOKUP(Tabela1[[#This Row],[Cliente]],'BASE DE CLIENTES'!A:D,4,0)</f>
        <v>SERRALHEIRO</v>
      </c>
      <c r="L1079" s="1" t="str">
        <f>VLOOKUP(Tabela1[[#This Row],[Cliente]],'BASE DE CLIENTES'!A:E,5,0)</f>
        <v>SAMAMBAIA NORTE (SAMAMBAIA)</v>
      </c>
    </row>
    <row r="1080" spans="2:12" x14ac:dyDescent="0.3">
      <c r="B1080" s="1" t="s">
        <v>152</v>
      </c>
      <c r="C1080" s="4" t="str">
        <f>VLOOKUP(Tabela1[[#This Row],[Cliente]],'BASE DE CLIENTES'!A:E,2,0)</f>
        <v>Aparecida de Goiânia</v>
      </c>
      <c r="D1080" s="1" t="str">
        <f>VLOOKUP(Tabela1[[#This Row],[Cliente]],'BASE DE CLIENTES'!A:C,3,0)</f>
        <v>GO</v>
      </c>
      <c r="E1080" s="4" t="str">
        <f>CONCATENATE(Tabela1[[#This Row],[CIDADE]],",",Tabela1[[#This Row],[UF]])</f>
        <v>Aparecida de Goiânia,GO</v>
      </c>
      <c r="F1080" s="2">
        <v>45826</v>
      </c>
      <c r="G1080" s="17">
        <v>628.42999999999995</v>
      </c>
      <c r="H1080" s="17">
        <v>2035</v>
      </c>
      <c r="I1080" s="6">
        <f>Tabela1[[#This Row],[Valor total]]-Tabela1[[#This Row],[Valor custo]]</f>
        <v>1406.5700000000002</v>
      </c>
      <c r="J1080" s="7">
        <f>Tabela1[[#This Row],[MARGEM BRUTA]]/Tabela1[[#This Row],[Valor total]]</f>
        <v>0.69118918918918926</v>
      </c>
      <c r="K1080" s="1" t="str">
        <f>VLOOKUP(Tabela1[[#This Row],[Cliente]],'BASE DE CLIENTES'!A:D,4,0)</f>
        <v>TECNICO</v>
      </c>
      <c r="L1080" s="1" t="str">
        <f>VLOOKUP(Tabela1[[#This Row],[Cliente]],'BASE DE CLIENTES'!A:E,5,0)</f>
        <v>Aparecida de Goiânia</v>
      </c>
    </row>
    <row r="1081" spans="2:12" x14ac:dyDescent="0.3">
      <c r="B1081" s="1" t="s">
        <v>55</v>
      </c>
      <c r="C1081" s="4" t="str">
        <f>VLOOKUP(Tabela1[[#This Row],[Cliente]],'BASE DE CLIENTES'!A:E,2,0)</f>
        <v>Brasília</v>
      </c>
      <c r="D1081" s="1" t="str">
        <f>VLOOKUP(Tabela1[[#This Row],[Cliente]],'BASE DE CLIENTES'!A:C,3,0)</f>
        <v>DF</v>
      </c>
      <c r="E1081" s="4" t="str">
        <f>CONCATENATE(Tabela1[[#This Row],[CIDADE]],",",Tabela1[[#This Row],[UF]])</f>
        <v>Brasília,DF</v>
      </c>
      <c r="F1081" s="2">
        <v>45800</v>
      </c>
      <c r="G1081" s="17">
        <v>968</v>
      </c>
      <c r="H1081" s="17">
        <v>1430</v>
      </c>
      <c r="I1081" s="6">
        <f>Tabela1[[#This Row],[Valor total]]-Tabela1[[#This Row],[Valor custo]]</f>
        <v>462</v>
      </c>
      <c r="J1081" s="7">
        <f>Tabela1[[#This Row],[MARGEM BRUTA]]/Tabela1[[#This Row],[Valor total]]</f>
        <v>0.32307692307692309</v>
      </c>
      <c r="K1081" s="1" t="str">
        <f>VLOOKUP(Tabela1[[#This Row],[Cliente]],'BASE DE CLIENTES'!A:D,4,0)</f>
        <v>EMPRESA SEM MAQUINA</v>
      </c>
      <c r="L1081" s="1" t="str">
        <f>VLOOKUP(Tabela1[[#This Row],[Cliente]],'BASE DE CLIENTES'!A:E,5,0)</f>
        <v>RECANTO DAS EMAS</v>
      </c>
    </row>
    <row r="1082" spans="2:12" x14ac:dyDescent="0.3">
      <c r="B1082" s="1" t="s">
        <v>152</v>
      </c>
      <c r="C1082" s="4" t="str">
        <f>VLOOKUP(Tabela1[[#This Row],[Cliente]],'BASE DE CLIENTES'!A:E,2,0)</f>
        <v>Aparecida de Goiânia</v>
      </c>
      <c r="D1082" s="1" t="str">
        <f>VLOOKUP(Tabela1[[#This Row],[Cliente]],'BASE DE CLIENTES'!A:C,3,0)</f>
        <v>GO</v>
      </c>
      <c r="E1082" s="4" t="str">
        <f>CONCATENATE(Tabela1[[#This Row],[CIDADE]],",",Tabela1[[#This Row],[UF]])</f>
        <v>Aparecida de Goiânia,GO</v>
      </c>
      <c r="F1082" s="2">
        <v>45743</v>
      </c>
      <c r="G1082" s="17">
        <v>104.4</v>
      </c>
      <c r="H1082" s="17">
        <v>350</v>
      </c>
      <c r="I1082" s="6">
        <f>Tabela1[[#This Row],[Valor total]]-Tabela1[[#This Row],[Valor custo]]</f>
        <v>245.6</v>
      </c>
      <c r="J1082" s="7">
        <f>Tabela1[[#This Row],[MARGEM BRUTA]]/Tabela1[[#This Row],[Valor total]]</f>
        <v>0.70171428571428573</v>
      </c>
      <c r="K1082" s="1" t="str">
        <f>VLOOKUP(Tabela1[[#This Row],[Cliente]],'BASE DE CLIENTES'!A:D,4,0)</f>
        <v>TECNICO</v>
      </c>
      <c r="L1082" s="1" t="str">
        <f>VLOOKUP(Tabela1[[#This Row],[Cliente]],'BASE DE CLIENTES'!A:E,5,0)</f>
        <v>Aparecida de Goiânia</v>
      </c>
    </row>
    <row r="1083" spans="2:12" x14ac:dyDescent="0.3">
      <c r="B1083" s="1" t="s">
        <v>152</v>
      </c>
      <c r="C1083" s="4" t="str">
        <f>VLOOKUP(Tabela1[[#This Row],[Cliente]],'BASE DE CLIENTES'!A:E,2,0)</f>
        <v>Aparecida de Goiânia</v>
      </c>
      <c r="D1083" s="1" t="str">
        <f>VLOOKUP(Tabela1[[#This Row],[Cliente]],'BASE DE CLIENTES'!A:C,3,0)</f>
        <v>GO</v>
      </c>
      <c r="E1083" s="4" t="str">
        <f>CONCATENATE(Tabela1[[#This Row],[CIDADE]],",",Tabela1[[#This Row],[UF]])</f>
        <v>Aparecida de Goiânia,GO</v>
      </c>
      <c r="F1083" s="2">
        <v>45738</v>
      </c>
      <c r="G1083" s="17">
        <v>20.88</v>
      </c>
      <c r="H1083" s="17">
        <v>70</v>
      </c>
      <c r="I1083" s="6">
        <f>Tabela1[[#This Row],[Valor total]]-Tabela1[[#This Row],[Valor custo]]</f>
        <v>49.120000000000005</v>
      </c>
      <c r="J1083" s="7">
        <f>Tabela1[[#This Row],[MARGEM BRUTA]]/Tabela1[[#This Row],[Valor total]]</f>
        <v>0.70171428571428573</v>
      </c>
      <c r="K1083" s="1" t="str">
        <f>VLOOKUP(Tabela1[[#This Row],[Cliente]],'BASE DE CLIENTES'!A:D,4,0)</f>
        <v>TECNICO</v>
      </c>
      <c r="L1083" s="1" t="str">
        <f>VLOOKUP(Tabela1[[#This Row],[Cliente]],'BASE DE CLIENTES'!A:E,5,0)</f>
        <v>Aparecida de Goiânia</v>
      </c>
    </row>
    <row r="1084" spans="2:12" x14ac:dyDescent="0.3">
      <c r="B1084" s="1" t="s">
        <v>113</v>
      </c>
      <c r="C1084" s="4" t="str">
        <f>VLOOKUP(Tabela1[[#This Row],[Cliente]],'BASE DE CLIENTES'!A:E,2,0)</f>
        <v>Brasília</v>
      </c>
      <c r="D1084" s="1" t="str">
        <f>VLOOKUP(Tabela1[[#This Row],[Cliente]],'BASE DE CLIENTES'!A:C,3,0)</f>
        <v>DF</v>
      </c>
      <c r="E1084" s="4" t="str">
        <f>CONCATENATE(Tabela1[[#This Row],[CIDADE]],",",Tabela1[[#This Row],[UF]])</f>
        <v>Brasília,DF</v>
      </c>
      <c r="F1084" s="2">
        <v>45800</v>
      </c>
      <c r="G1084" s="17">
        <v>33</v>
      </c>
      <c r="H1084" s="17">
        <v>160</v>
      </c>
      <c r="I1084" s="6">
        <f>Tabela1[[#This Row],[Valor total]]-Tabela1[[#This Row],[Valor custo]]</f>
        <v>127</v>
      </c>
      <c r="J1084" s="7">
        <f>Tabela1[[#This Row],[MARGEM BRUTA]]/Tabela1[[#This Row],[Valor total]]</f>
        <v>0.79374999999999996</v>
      </c>
      <c r="K1084" s="1" t="str">
        <f>VLOOKUP(Tabela1[[#This Row],[Cliente]],'BASE DE CLIENTES'!A:D,4,0)</f>
        <v>EMPRESA COM MAQUINA</v>
      </c>
      <c r="L1084" s="1" t="str">
        <f>VLOOKUP(Tabela1[[#This Row],[Cliente]],'BASE DE CLIENTES'!A:E,5,0)</f>
        <v>FAZENDA MESTRE D'ARMAS (ETAPA I - PLANALTINA)</v>
      </c>
    </row>
    <row r="1085" spans="2:12" x14ac:dyDescent="0.3">
      <c r="B1085" s="1" t="s">
        <v>88</v>
      </c>
      <c r="C1085" s="4" t="str">
        <f>VLOOKUP(Tabela1[[#This Row],[Cliente]],'BASE DE CLIENTES'!A:E,2,0)</f>
        <v>Brasília</v>
      </c>
      <c r="D1085" s="1" t="str">
        <f>VLOOKUP(Tabela1[[#This Row],[Cliente]],'BASE DE CLIENTES'!A:C,3,0)</f>
        <v>DF</v>
      </c>
      <c r="E1085" s="4" t="str">
        <f>CONCATENATE(Tabela1[[#This Row],[CIDADE]],",",Tabela1[[#This Row],[UF]])</f>
        <v>Brasília,DF</v>
      </c>
      <c r="F1085" s="2">
        <v>45800</v>
      </c>
      <c r="G1085" s="17">
        <v>31.6</v>
      </c>
      <c r="H1085" s="17">
        <v>155</v>
      </c>
      <c r="I1085" s="6">
        <f>Tabela1[[#This Row],[Valor total]]-Tabela1[[#This Row],[Valor custo]]</f>
        <v>123.4</v>
      </c>
      <c r="J1085" s="7">
        <f>Tabela1[[#This Row],[MARGEM BRUTA]]/Tabela1[[#This Row],[Valor total]]</f>
        <v>0.79612903225806453</v>
      </c>
      <c r="K1085" s="1" t="str">
        <f>VLOOKUP(Tabela1[[#This Row],[Cliente]],'BASE DE CLIENTES'!A:D,4,0)</f>
        <v>SERRALHEIRO</v>
      </c>
      <c r="L1085" s="1" t="str">
        <f>VLOOKUP(Tabela1[[#This Row],[Cliente]],'BASE DE CLIENTES'!A:E,5,0)</f>
        <v>RECANTO DAS EMAS</v>
      </c>
    </row>
    <row r="1086" spans="2:12" x14ac:dyDescent="0.3">
      <c r="B1086" s="1" t="s">
        <v>27</v>
      </c>
      <c r="C1086" s="4" t="str">
        <f>VLOOKUP(Tabela1[[#This Row],[Cliente]],'BASE DE CLIENTES'!A:E,2,0)</f>
        <v>Brasília</v>
      </c>
      <c r="D1086" s="1" t="str">
        <f>VLOOKUP(Tabela1[[#This Row],[Cliente]],'BASE DE CLIENTES'!A:C,3,0)</f>
        <v>DF</v>
      </c>
      <c r="E1086" s="4" t="str">
        <f>CONCATENATE(Tabela1[[#This Row],[CIDADE]],",",Tabela1[[#This Row],[UF]])</f>
        <v>Brasília,DF</v>
      </c>
      <c r="F1086" s="2">
        <v>45800</v>
      </c>
      <c r="G1086" s="17">
        <v>1266.74</v>
      </c>
      <c r="H1086" s="17">
        <v>1245</v>
      </c>
      <c r="I1086" s="6">
        <f>Tabela1[[#This Row],[Valor total]]-Tabela1[[#This Row],[Valor custo]]</f>
        <v>-21.740000000000009</v>
      </c>
      <c r="J1086" s="7">
        <f>Tabela1[[#This Row],[MARGEM BRUTA]]/Tabela1[[#This Row],[Valor total]]</f>
        <v>-1.7461847389558239E-2</v>
      </c>
      <c r="K1086" s="1" t="str">
        <f>VLOOKUP(Tabela1[[#This Row],[Cliente]],'BASE DE CLIENTES'!A:D,4,0)</f>
        <v>EMPRESA SEM MAQUINA</v>
      </c>
      <c r="L1086" s="1" t="str">
        <f>VLOOKUP(Tabela1[[#This Row],[Cliente]],'BASE DE CLIENTES'!A:E,5,0)</f>
        <v>RECANTO DAS EMAS</v>
      </c>
    </row>
    <row r="1087" spans="2:12" x14ac:dyDescent="0.3">
      <c r="B1087" s="1" t="s">
        <v>38</v>
      </c>
      <c r="C1087" s="4" t="str">
        <f>VLOOKUP(Tabela1[[#This Row],[Cliente]],'BASE DE CLIENTES'!A:E,2,0)</f>
        <v>Brasília</v>
      </c>
      <c r="D1087" s="1" t="str">
        <f>VLOOKUP(Tabela1[[#This Row],[Cliente]],'BASE DE CLIENTES'!A:C,3,0)</f>
        <v>DF</v>
      </c>
      <c r="E1087" s="4" t="str">
        <f>CONCATENATE(Tabela1[[#This Row],[CIDADE]],",",Tabela1[[#This Row],[UF]])</f>
        <v>Brasília,DF</v>
      </c>
      <c r="F1087" s="2">
        <v>45798</v>
      </c>
      <c r="G1087" s="17">
        <v>473</v>
      </c>
      <c r="H1087" s="17">
        <v>720</v>
      </c>
      <c r="I1087" s="6">
        <f>Tabela1[[#This Row],[Valor total]]-Tabela1[[#This Row],[Valor custo]]</f>
        <v>247</v>
      </c>
      <c r="J1087" s="7">
        <f>Tabela1[[#This Row],[MARGEM BRUTA]]/Tabela1[[#This Row],[Valor total]]</f>
        <v>0.34305555555555556</v>
      </c>
      <c r="K1087" s="1" t="str">
        <f>VLOOKUP(Tabela1[[#This Row],[Cliente]],'BASE DE CLIENTES'!A:D,4,0)</f>
        <v>EMPRESA SEM MAQUINA</v>
      </c>
      <c r="L1087" s="1" t="str">
        <f>VLOOKUP(Tabela1[[#This Row],[Cliente]],'BASE DE CLIENTES'!A:E,5,0)</f>
        <v>PONTE ALTA NORTE (GAMA)</v>
      </c>
    </row>
    <row r="1088" spans="2:12" x14ac:dyDescent="0.3">
      <c r="B1088" s="1" t="s">
        <v>68</v>
      </c>
      <c r="C1088" s="4" t="str">
        <f>VLOOKUP(Tabela1[[#This Row],[Cliente]],'BASE DE CLIENTES'!A:E,2,0)</f>
        <v>Brasília</v>
      </c>
      <c r="D1088" s="1" t="str">
        <f>VLOOKUP(Tabela1[[#This Row],[Cliente]],'BASE DE CLIENTES'!A:C,3,0)</f>
        <v>DF</v>
      </c>
      <c r="E1088" s="4" t="str">
        <f>CONCATENATE(Tabela1[[#This Row],[CIDADE]],",",Tabela1[[#This Row],[UF]])</f>
        <v>Brasília,DF</v>
      </c>
      <c r="F1088" s="2">
        <v>45800</v>
      </c>
      <c r="G1088" s="17">
        <v>409.87</v>
      </c>
      <c r="H1088" s="17">
        <v>585</v>
      </c>
      <c r="I1088" s="6">
        <f>Tabela1[[#This Row],[Valor total]]-Tabela1[[#This Row],[Valor custo]]</f>
        <v>175.13</v>
      </c>
      <c r="J1088" s="7">
        <f>Tabela1[[#This Row],[MARGEM BRUTA]]/Tabela1[[#This Row],[Valor total]]</f>
        <v>0.29936752136752137</v>
      </c>
      <c r="K1088" s="1" t="str">
        <f>VLOOKUP(Tabela1[[#This Row],[Cliente]],'BASE DE CLIENTES'!A:D,4,0)</f>
        <v>EMPRESA COM MAQUINA</v>
      </c>
      <c r="L1088" s="1" t="str">
        <f>VLOOKUP(Tabela1[[#This Row],[Cliente]],'BASE DE CLIENTES'!A:E,5,0)</f>
        <v>SAMAMBAIA SUL (SAMAMBAIA)</v>
      </c>
    </row>
    <row r="1089" spans="1:12" x14ac:dyDescent="0.3">
      <c r="B1089" s="1" t="s">
        <v>161</v>
      </c>
      <c r="C1089" s="4" t="str">
        <f>VLOOKUP(Tabela1[[#This Row],[Cliente]],'BASE DE CLIENTES'!A:E,2,0)</f>
        <v>Brasília</v>
      </c>
      <c r="D1089" s="1" t="str">
        <f>VLOOKUP(Tabela1[[#This Row],[Cliente]],'BASE DE CLIENTES'!A:C,3,0)</f>
        <v>DF</v>
      </c>
      <c r="E1089" s="4" t="str">
        <f>CONCATENATE(Tabela1[[#This Row],[CIDADE]],",",Tabela1[[#This Row],[UF]])</f>
        <v>Brasília,DF</v>
      </c>
      <c r="F1089" s="2">
        <v>45800</v>
      </c>
      <c r="G1089" s="17">
        <v>24160.14</v>
      </c>
      <c r="H1089" s="17">
        <v>33195</v>
      </c>
      <c r="I1089" s="6">
        <f>Tabela1[[#This Row],[Valor total]]-Tabela1[[#This Row],[Valor custo]]</f>
        <v>9034.86</v>
      </c>
      <c r="J1089" s="7">
        <f>Tabela1[[#This Row],[MARGEM BRUTA]]/Tabela1[[#This Row],[Valor total]]</f>
        <v>0.2721753276095798</v>
      </c>
      <c r="K1089" s="1" t="str">
        <f>VLOOKUP(Tabela1[[#This Row],[Cliente]],'BASE DE CLIENTES'!A:D,4,0)</f>
        <v>EMPRESA COM MAQUINA</v>
      </c>
      <c r="L1089" s="1" t="str">
        <f>VLOOKUP(Tabela1[[#This Row],[Cliente]],'BASE DE CLIENTES'!A:E,5,0)</f>
        <v>RIACHO FUNDO II</v>
      </c>
    </row>
    <row r="1090" spans="1:12" x14ac:dyDescent="0.3">
      <c r="B1090" s="1" t="s">
        <v>117</v>
      </c>
      <c r="C1090" s="4" t="str">
        <f>VLOOKUP(Tabela1[[#This Row],[Cliente]],'BASE DE CLIENTES'!A:E,2,0)</f>
        <v>Brasília</v>
      </c>
      <c r="D1090" s="1" t="str">
        <f>VLOOKUP(Tabela1[[#This Row],[Cliente]],'BASE DE CLIENTES'!A:C,3,0)</f>
        <v>DF</v>
      </c>
      <c r="E1090" s="4" t="str">
        <f>CONCATENATE(Tabela1[[#This Row],[CIDADE]],",",Tabela1[[#This Row],[UF]])</f>
        <v>Brasília,DF</v>
      </c>
      <c r="F1090" s="2">
        <v>45800</v>
      </c>
      <c r="G1090" s="17">
        <v>2015.74</v>
      </c>
      <c r="H1090" s="17">
        <v>2730</v>
      </c>
      <c r="I1090" s="6">
        <f>Tabela1[[#This Row],[Valor total]]-Tabela1[[#This Row],[Valor custo]]</f>
        <v>714.26</v>
      </c>
      <c r="J1090" s="7">
        <f>Tabela1[[#This Row],[MARGEM BRUTA]]/Tabela1[[#This Row],[Valor total]]</f>
        <v>0.26163369963369965</v>
      </c>
      <c r="K1090" s="1" t="str">
        <f>VLOOKUP(Tabela1[[#This Row],[Cliente]],'BASE DE CLIENTES'!A:D,4,0)</f>
        <v>EMPRESA COM MAQUINA</v>
      </c>
      <c r="L1090" s="1" t="str">
        <f>VLOOKUP(Tabela1[[#This Row],[Cliente]],'BASE DE CLIENTES'!A:E,5,0)</f>
        <v>SETOR HABITACIONAL ARNIQUEIRA (AGUAS CLARAS)</v>
      </c>
    </row>
    <row r="1091" spans="1:12" x14ac:dyDescent="0.3">
      <c r="B1091" s="1" t="s">
        <v>97</v>
      </c>
      <c r="C1091" s="4" t="str">
        <f>VLOOKUP(Tabela1[[#This Row],[Cliente]],'BASE DE CLIENTES'!A:E,2,0)</f>
        <v>Brasília</v>
      </c>
      <c r="D1091" s="1" t="str">
        <f>VLOOKUP(Tabela1[[#This Row],[Cliente]],'BASE DE CLIENTES'!A:C,3,0)</f>
        <v>DF</v>
      </c>
      <c r="E1091" s="4" t="str">
        <f>CONCATENATE(Tabela1[[#This Row],[CIDADE]],",",Tabela1[[#This Row],[UF]])</f>
        <v>Brasília,DF</v>
      </c>
      <c r="F1091" s="2">
        <v>45800</v>
      </c>
      <c r="G1091" s="17">
        <v>473</v>
      </c>
      <c r="H1091" s="17">
        <v>720</v>
      </c>
      <c r="I1091" s="6">
        <f>Tabela1[[#This Row],[Valor total]]-Tabela1[[#This Row],[Valor custo]]</f>
        <v>247</v>
      </c>
      <c r="J1091" s="7">
        <f>Tabela1[[#This Row],[MARGEM BRUTA]]/Tabela1[[#This Row],[Valor total]]</f>
        <v>0.34305555555555556</v>
      </c>
      <c r="K1091" s="1" t="str">
        <f>VLOOKUP(Tabela1[[#This Row],[Cliente]],'BASE DE CLIENTES'!A:D,4,0)</f>
        <v>SERRALHEIRO</v>
      </c>
      <c r="L1091" s="1" t="str">
        <f>VLOOKUP(Tabela1[[#This Row],[Cliente]],'BASE DE CLIENTES'!A:E,5,0)</f>
        <v>CEILANDIA NORTE</v>
      </c>
    </row>
    <row r="1092" spans="1:12" x14ac:dyDescent="0.3">
      <c r="B1092" s="1" t="s">
        <v>152</v>
      </c>
      <c r="C1092" s="4" t="str">
        <f>VLOOKUP(Tabela1[[#This Row],[Cliente]],'BASE DE CLIENTES'!A:E,2,0)</f>
        <v>Aparecida de Goiânia</v>
      </c>
      <c r="D1092" s="1" t="str">
        <f>VLOOKUP(Tabela1[[#This Row],[Cliente]],'BASE DE CLIENTES'!A:C,3,0)</f>
        <v>GO</v>
      </c>
      <c r="E1092" s="4" t="str">
        <f>CONCATENATE(Tabela1[[#This Row],[CIDADE]],",",Tabela1[[#This Row],[UF]])</f>
        <v>Aparecida de Goiânia,GO</v>
      </c>
      <c r="F1092" s="2">
        <v>45726</v>
      </c>
      <c r="G1092" s="17">
        <v>62.64</v>
      </c>
      <c r="H1092" s="17">
        <v>210</v>
      </c>
      <c r="I1092" s="6">
        <f>Tabela1[[#This Row],[Valor total]]-Tabela1[[#This Row],[Valor custo]]</f>
        <v>147.36000000000001</v>
      </c>
      <c r="J1092" s="7">
        <f>Tabela1[[#This Row],[MARGEM BRUTA]]/Tabela1[[#This Row],[Valor total]]</f>
        <v>0.70171428571428573</v>
      </c>
      <c r="K1092" s="1" t="str">
        <f>VLOOKUP(Tabela1[[#This Row],[Cliente]],'BASE DE CLIENTES'!A:D,4,0)</f>
        <v>TECNICO</v>
      </c>
      <c r="L1092" s="1" t="str">
        <f>VLOOKUP(Tabela1[[#This Row],[Cliente]],'BASE DE CLIENTES'!A:E,5,0)</f>
        <v>Aparecida de Goiânia</v>
      </c>
    </row>
    <row r="1093" spans="1:12" x14ac:dyDescent="0.3">
      <c r="B1093" s="1" t="s">
        <v>42</v>
      </c>
      <c r="C1093" s="4" t="str">
        <f>VLOOKUP(Tabela1[[#This Row],[Cliente]],'BASE DE CLIENTES'!A:E,2,0)</f>
        <v>Brasília</v>
      </c>
      <c r="D1093" s="1" t="str">
        <f>VLOOKUP(Tabela1[[#This Row],[Cliente]],'BASE DE CLIENTES'!A:C,3,0)</f>
        <v>DF</v>
      </c>
      <c r="E1093" s="4" t="str">
        <f>CONCATENATE(Tabela1[[#This Row],[CIDADE]],",",Tabela1[[#This Row],[UF]])</f>
        <v>Brasília,DF</v>
      </c>
      <c r="F1093" s="2">
        <v>45799</v>
      </c>
      <c r="G1093" s="17">
        <v>158</v>
      </c>
      <c r="H1093" s="17">
        <v>600</v>
      </c>
      <c r="I1093" s="6">
        <f>Tabela1[[#This Row],[Valor total]]-Tabela1[[#This Row],[Valor custo]]</f>
        <v>442</v>
      </c>
      <c r="J1093" s="7">
        <f>Tabela1[[#This Row],[MARGEM BRUTA]]/Tabela1[[#This Row],[Valor total]]</f>
        <v>0.73666666666666669</v>
      </c>
      <c r="K1093" s="1" t="str">
        <f>VLOOKUP(Tabela1[[#This Row],[Cliente]],'BASE DE CLIENTES'!A:D,4,0)</f>
        <v>EMPRESA SEM MAQUINA</v>
      </c>
      <c r="L1093" s="1" t="str">
        <f>VLOOKUP(Tabela1[[#This Row],[Cliente]],'BASE DE CLIENTES'!A:E,5,0)</f>
        <v>SAMAMBAIA</v>
      </c>
    </row>
    <row r="1094" spans="1:12" x14ac:dyDescent="0.3">
      <c r="A1094" s="1" t="s">
        <v>170</v>
      </c>
      <c r="B1094" s="1" t="s">
        <v>152</v>
      </c>
      <c r="C1094" s="4" t="str">
        <f>VLOOKUP(Tabela1[[#This Row],[Cliente]],'BASE DE CLIENTES'!A:E,2,0)</f>
        <v>Aparecida de Goiânia</v>
      </c>
      <c r="D1094" s="1" t="str">
        <f>VLOOKUP(Tabela1[[#This Row],[Cliente]],'BASE DE CLIENTES'!A:C,3,0)</f>
        <v>GO</v>
      </c>
      <c r="E1094" s="4" t="str">
        <f>CONCATENATE(Tabela1[[#This Row],[CIDADE]],",",Tabela1[[#This Row],[UF]])</f>
        <v>Aparecida de Goiânia,GO</v>
      </c>
      <c r="F1094" s="2">
        <v>45688</v>
      </c>
      <c r="G1094" s="17">
        <v>57.13</v>
      </c>
      <c r="H1094" s="17">
        <v>200</v>
      </c>
      <c r="I1094" s="6">
        <f>Tabela1[[#This Row],[Valor total]]-Tabela1[[#This Row],[Valor custo]]</f>
        <v>142.87</v>
      </c>
      <c r="J1094" s="7">
        <f>Tabela1[[#This Row],[MARGEM BRUTA]]/Tabela1[[#This Row],[Valor total]]</f>
        <v>0.71435000000000004</v>
      </c>
      <c r="K1094" s="1" t="str">
        <f>VLOOKUP(Tabela1[[#This Row],[Cliente]],'BASE DE CLIENTES'!A:D,4,0)</f>
        <v>TECNICO</v>
      </c>
      <c r="L1094" s="1" t="str">
        <f>VLOOKUP(Tabela1[[#This Row],[Cliente]],'BASE DE CLIENTES'!A:E,5,0)</f>
        <v>Aparecida de Goiânia</v>
      </c>
    </row>
    <row r="1095" spans="1:12" x14ac:dyDescent="0.3">
      <c r="A1095" s="1" t="s">
        <v>171</v>
      </c>
      <c r="B1095" s="1" t="s">
        <v>152</v>
      </c>
      <c r="C1095" s="4" t="str">
        <f>VLOOKUP(Tabela1[[#This Row],[Cliente]],'BASE DE CLIENTES'!A:E,2,0)</f>
        <v>Aparecida de Goiânia</v>
      </c>
      <c r="D1095" s="1" t="str">
        <f>VLOOKUP(Tabela1[[#This Row],[Cliente]],'BASE DE CLIENTES'!A:C,3,0)</f>
        <v>GO</v>
      </c>
      <c r="E1095" s="4" t="str">
        <f>CONCATENATE(Tabela1[[#This Row],[CIDADE]],",",Tabela1[[#This Row],[UF]])</f>
        <v>Aparecida de Goiânia,GO</v>
      </c>
      <c r="F1095" s="2">
        <v>45688</v>
      </c>
      <c r="G1095" s="17">
        <v>57.13</v>
      </c>
      <c r="H1095" s="17">
        <v>200</v>
      </c>
      <c r="I1095" s="6">
        <f>Tabela1[[#This Row],[Valor total]]-Tabela1[[#This Row],[Valor custo]]</f>
        <v>142.87</v>
      </c>
      <c r="J1095" s="7">
        <f>Tabela1[[#This Row],[MARGEM BRUTA]]/Tabela1[[#This Row],[Valor total]]</f>
        <v>0.71435000000000004</v>
      </c>
      <c r="K1095" s="1" t="str">
        <f>VLOOKUP(Tabela1[[#This Row],[Cliente]],'BASE DE CLIENTES'!A:D,4,0)</f>
        <v>TECNICO</v>
      </c>
      <c r="L1095" s="1" t="str">
        <f>VLOOKUP(Tabela1[[#This Row],[Cliente]],'BASE DE CLIENTES'!A:E,5,0)</f>
        <v>Aparecida de Goiânia</v>
      </c>
    </row>
    <row r="1096" spans="1:12" x14ac:dyDescent="0.3">
      <c r="B1096" s="1" t="s">
        <v>152</v>
      </c>
      <c r="C1096" s="4" t="str">
        <f>VLOOKUP(Tabela1[[#This Row],[Cliente]],'BASE DE CLIENTES'!A:E,2,0)</f>
        <v>Aparecida de Goiânia</v>
      </c>
      <c r="D1096" s="1" t="str">
        <f>VLOOKUP(Tabela1[[#This Row],[Cliente]],'BASE DE CLIENTES'!A:C,3,0)</f>
        <v>GO</v>
      </c>
      <c r="E1096" s="4" t="str">
        <f>CONCATENATE(Tabela1[[#This Row],[CIDADE]],",",Tabela1[[#This Row],[UF]])</f>
        <v>Aparecida de Goiânia,GO</v>
      </c>
      <c r="F1096" s="2">
        <v>45678</v>
      </c>
      <c r="G1096" s="17">
        <v>57.13</v>
      </c>
      <c r="H1096" s="17">
        <v>200</v>
      </c>
      <c r="I1096" s="6">
        <f>Tabela1[[#This Row],[Valor total]]-Tabela1[[#This Row],[Valor custo]]</f>
        <v>142.87</v>
      </c>
      <c r="J1096" s="7">
        <f>Tabela1[[#This Row],[MARGEM BRUTA]]/Tabela1[[#This Row],[Valor total]]</f>
        <v>0.71435000000000004</v>
      </c>
      <c r="K1096" s="1" t="str">
        <f>VLOOKUP(Tabela1[[#This Row],[Cliente]],'BASE DE CLIENTES'!A:D,4,0)</f>
        <v>TECNICO</v>
      </c>
      <c r="L1096" s="1" t="str">
        <f>VLOOKUP(Tabela1[[#This Row],[Cliente]],'BASE DE CLIENTES'!A:E,5,0)</f>
        <v>Aparecida de Goiânia</v>
      </c>
    </row>
    <row r="1097" spans="1:12" x14ac:dyDescent="0.3">
      <c r="B1097" s="1" t="s">
        <v>152</v>
      </c>
      <c r="C1097" s="4" t="str">
        <f>VLOOKUP(Tabela1[[#This Row],[Cliente]],'BASE DE CLIENTES'!A:E,2,0)</f>
        <v>Aparecida de Goiânia</v>
      </c>
      <c r="D1097" s="1" t="str">
        <f>VLOOKUP(Tabela1[[#This Row],[Cliente]],'BASE DE CLIENTES'!A:C,3,0)</f>
        <v>GO</v>
      </c>
      <c r="E1097" s="4" t="str">
        <f>CONCATENATE(Tabela1[[#This Row],[CIDADE]],",",Tabela1[[#This Row],[UF]])</f>
        <v>Aparecida de Goiânia,GO</v>
      </c>
      <c r="F1097" s="2">
        <v>45700</v>
      </c>
      <c r="G1097" s="17">
        <v>57.13</v>
      </c>
      <c r="H1097" s="17">
        <v>200</v>
      </c>
      <c r="I1097" s="6">
        <f>Tabela1[[#This Row],[Valor total]]-Tabela1[[#This Row],[Valor custo]]</f>
        <v>142.87</v>
      </c>
      <c r="J1097" s="7">
        <f>Tabela1[[#This Row],[MARGEM BRUTA]]/Tabela1[[#This Row],[Valor total]]</f>
        <v>0.71435000000000004</v>
      </c>
      <c r="K1097" s="1" t="str">
        <f>VLOOKUP(Tabela1[[#This Row],[Cliente]],'BASE DE CLIENTES'!A:D,4,0)</f>
        <v>TECNICO</v>
      </c>
      <c r="L1097" s="1" t="str">
        <f>VLOOKUP(Tabela1[[#This Row],[Cliente]],'BASE DE CLIENTES'!A:E,5,0)</f>
        <v>Aparecida de Goiânia</v>
      </c>
    </row>
    <row r="1098" spans="1:12" x14ac:dyDescent="0.3">
      <c r="B1098" s="1" t="s">
        <v>78</v>
      </c>
      <c r="C1098" s="4" t="str">
        <f>VLOOKUP(Tabela1[[#This Row],[Cliente]],'BASE DE CLIENTES'!A:E,2,0)</f>
        <v>Brasília</v>
      </c>
      <c r="D1098" s="1" t="str">
        <f>VLOOKUP(Tabela1[[#This Row],[Cliente]],'BASE DE CLIENTES'!A:C,3,0)</f>
        <v>DF</v>
      </c>
      <c r="E1098" s="4" t="str">
        <f>CONCATENATE(Tabela1[[#This Row],[CIDADE]],",",Tabela1[[#This Row],[UF]])</f>
        <v>Brasília,DF</v>
      </c>
      <c r="F1098" s="2">
        <v>45799</v>
      </c>
      <c r="G1098" s="17">
        <v>27.38</v>
      </c>
      <c r="H1098" s="17">
        <v>68</v>
      </c>
      <c r="I1098" s="6">
        <f>Tabela1[[#This Row],[Valor total]]-Tabela1[[#This Row],[Valor custo]]</f>
        <v>40.620000000000005</v>
      </c>
      <c r="J1098" s="7">
        <f>Tabela1[[#This Row],[MARGEM BRUTA]]/Tabela1[[#This Row],[Valor total]]</f>
        <v>0.59735294117647064</v>
      </c>
      <c r="K1098" s="1" t="str">
        <f>VLOOKUP(Tabela1[[#This Row],[Cliente]],'BASE DE CLIENTES'!A:D,4,0)</f>
        <v>SERRALHEIRO</v>
      </c>
      <c r="L1098" s="1" t="str">
        <f>VLOOKUP(Tabela1[[#This Row],[Cliente]],'BASE DE CLIENTES'!A:E,5,0)</f>
        <v>Vila do Boa (São Sebastião)</v>
      </c>
    </row>
    <row r="1099" spans="1:12" x14ac:dyDescent="0.3">
      <c r="B1099" s="1" t="s">
        <v>96</v>
      </c>
      <c r="C1099" s="4" t="str">
        <f>VLOOKUP(Tabela1[[#This Row],[Cliente]],'BASE DE CLIENTES'!A:E,2,0)</f>
        <v>Brasília</v>
      </c>
      <c r="D1099" s="1" t="str">
        <f>VLOOKUP(Tabela1[[#This Row],[Cliente]],'BASE DE CLIENTES'!A:C,3,0)</f>
        <v>DF</v>
      </c>
      <c r="E1099" s="4" t="str">
        <f>CONCATENATE(Tabela1[[#This Row],[CIDADE]],",",Tabela1[[#This Row],[UF]])</f>
        <v>Brasília,DF</v>
      </c>
      <c r="F1099" s="2">
        <v>45799</v>
      </c>
      <c r="G1099" s="17">
        <v>584</v>
      </c>
      <c r="H1099" s="17">
        <v>945</v>
      </c>
      <c r="I1099" s="6">
        <f>Tabela1[[#This Row],[Valor total]]-Tabela1[[#This Row],[Valor custo]]</f>
        <v>361</v>
      </c>
      <c r="J1099" s="7">
        <f>Tabela1[[#This Row],[MARGEM BRUTA]]/Tabela1[[#This Row],[Valor total]]</f>
        <v>0.38201058201058202</v>
      </c>
      <c r="K1099" s="1" t="str">
        <f>VLOOKUP(Tabela1[[#This Row],[Cliente]],'BASE DE CLIENTES'!A:D,4,0)</f>
        <v>EMPRESA SEM MAQUINA</v>
      </c>
      <c r="L1099" s="1" t="str">
        <f>VLOOKUP(Tabela1[[#This Row],[Cliente]],'BASE DE CLIENTES'!A:E,5,0)</f>
        <v>CEILANDIA NORTE (CEILANDIA)</v>
      </c>
    </row>
    <row r="1100" spans="1:12" x14ac:dyDescent="0.3">
      <c r="B1100" s="1" t="s">
        <v>68</v>
      </c>
      <c r="C1100" s="4" t="str">
        <f>VLOOKUP(Tabela1[[#This Row],[Cliente]],'BASE DE CLIENTES'!A:E,2,0)</f>
        <v>Brasília</v>
      </c>
      <c r="D1100" s="1" t="str">
        <f>VLOOKUP(Tabela1[[#This Row],[Cliente]],'BASE DE CLIENTES'!A:C,3,0)</f>
        <v>DF</v>
      </c>
      <c r="E1100" s="4" t="str">
        <f>CONCATENATE(Tabela1[[#This Row],[CIDADE]],",",Tabela1[[#This Row],[UF]])</f>
        <v>Brasília,DF</v>
      </c>
      <c r="F1100" s="2">
        <v>45799</v>
      </c>
      <c r="G1100" s="17">
        <v>75</v>
      </c>
      <c r="H1100" s="17">
        <v>90</v>
      </c>
      <c r="I1100" s="6">
        <f>Tabela1[[#This Row],[Valor total]]-Tabela1[[#This Row],[Valor custo]]</f>
        <v>15</v>
      </c>
      <c r="J1100" s="7">
        <f>Tabela1[[#This Row],[MARGEM BRUTA]]/Tabela1[[#This Row],[Valor total]]</f>
        <v>0.16666666666666666</v>
      </c>
      <c r="K1100" s="1" t="str">
        <f>VLOOKUP(Tabela1[[#This Row],[Cliente]],'BASE DE CLIENTES'!A:D,4,0)</f>
        <v>EMPRESA COM MAQUINA</v>
      </c>
      <c r="L1100" s="1" t="str">
        <f>VLOOKUP(Tabela1[[#This Row],[Cliente]],'BASE DE CLIENTES'!A:E,5,0)</f>
        <v>SAMAMBAIA SUL (SAMAMBAIA)</v>
      </c>
    </row>
    <row r="1101" spans="1:12" x14ac:dyDescent="0.3">
      <c r="B1101" s="1" t="s">
        <v>52</v>
      </c>
      <c r="C1101" s="4" t="str">
        <f>VLOOKUP(Tabela1[[#This Row],[Cliente]],'BASE DE CLIENTES'!A:E,2,0)</f>
        <v>Brasília</v>
      </c>
      <c r="D1101" s="1" t="str">
        <f>VLOOKUP(Tabela1[[#This Row],[Cliente]],'BASE DE CLIENTES'!A:C,3,0)</f>
        <v>DF</v>
      </c>
      <c r="E1101" s="4" t="str">
        <f>CONCATENATE(Tabela1[[#This Row],[CIDADE]],",",Tabela1[[#This Row],[UF]])</f>
        <v>Brasília,DF</v>
      </c>
      <c r="F1101" s="2">
        <v>45799</v>
      </c>
      <c r="G1101" s="17">
        <v>1247.9100000000001</v>
      </c>
      <c r="H1101" s="17">
        <v>1782</v>
      </c>
      <c r="I1101" s="6">
        <f>Tabela1[[#This Row],[Valor total]]-Tabela1[[#This Row],[Valor custo]]</f>
        <v>534.08999999999992</v>
      </c>
      <c r="J1101" s="7">
        <f>Tabela1[[#This Row],[MARGEM BRUTA]]/Tabela1[[#This Row],[Valor total]]</f>
        <v>0.29971380471380465</v>
      </c>
      <c r="K1101" s="1" t="str">
        <f>VLOOKUP(Tabela1[[#This Row],[Cliente]],'BASE DE CLIENTES'!A:D,4,0)</f>
        <v>SERRALHEIRO</v>
      </c>
      <c r="L1101" s="1" t="str">
        <f>VLOOKUP(Tabela1[[#This Row],[Cliente]],'BASE DE CLIENTES'!A:E,5,0)</f>
        <v>Ceilândia Sul (Ceilândia)</v>
      </c>
    </row>
    <row r="1102" spans="1:12" x14ac:dyDescent="0.3">
      <c r="B1102" s="1" t="s">
        <v>88</v>
      </c>
      <c r="C1102" s="4" t="str">
        <f>VLOOKUP(Tabela1[[#This Row],[Cliente]],'BASE DE CLIENTES'!A:E,2,0)</f>
        <v>Brasília</v>
      </c>
      <c r="D1102" s="1" t="str">
        <f>VLOOKUP(Tabela1[[#This Row],[Cliente]],'BASE DE CLIENTES'!A:C,3,0)</f>
        <v>DF</v>
      </c>
      <c r="E1102" s="4" t="str">
        <f>CONCATENATE(Tabela1[[#This Row],[CIDADE]],",",Tabela1[[#This Row],[UF]])</f>
        <v>Brasília,DF</v>
      </c>
      <c r="F1102" s="2">
        <v>45799</v>
      </c>
      <c r="G1102" s="17">
        <v>968.8</v>
      </c>
      <c r="H1102" s="17">
        <v>1530</v>
      </c>
      <c r="I1102" s="6">
        <f>Tabela1[[#This Row],[Valor total]]-Tabela1[[#This Row],[Valor custo]]</f>
        <v>561.20000000000005</v>
      </c>
      <c r="J1102" s="7">
        <f>Tabela1[[#This Row],[MARGEM BRUTA]]/Tabela1[[#This Row],[Valor total]]</f>
        <v>0.36679738562091507</v>
      </c>
      <c r="K1102" s="1" t="str">
        <f>VLOOKUP(Tabela1[[#This Row],[Cliente]],'BASE DE CLIENTES'!A:D,4,0)</f>
        <v>SERRALHEIRO</v>
      </c>
      <c r="L1102" s="1" t="str">
        <f>VLOOKUP(Tabela1[[#This Row],[Cliente]],'BASE DE CLIENTES'!A:E,5,0)</f>
        <v>RECANTO DAS EMAS</v>
      </c>
    </row>
    <row r="1103" spans="1:12" x14ac:dyDescent="0.3">
      <c r="B1103" s="1" t="s">
        <v>152</v>
      </c>
      <c r="C1103" s="4" t="str">
        <f>VLOOKUP(Tabela1[[#This Row],[Cliente]],'BASE DE CLIENTES'!A:E,2,0)</f>
        <v>Aparecida de Goiânia</v>
      </c>
      <c r="D1103" s="1" t="str">
        <f>VLOOKUP(Tabela1[[#This Row],[Cliente]],'BASE DE CLIENTES'!A:C,3,0)</f>
        <v>GO</v>
      </c>
      <c r="E1103" s="4" t="str">
        <f>CONCATENATE(Tabela1[[#This Row],[CIDADE]],",",Tabela1[[#This Row],[UF]])</f>
        <v>Aparecida de Goiânia,GO</v>
      </c>
      <c r="F1103" s="2">
        <v>45738</v>
      </c>
      <c r="G1103" s="17">
        <v>57.13</v>
      </c>
      <c r="H1103" s="17">
        <v>200</v>
      </c>
      <c r="I1103" s="6">
        <f>Tabela1[[#This Row],[Valor total]]-Tabela1[[#This Row],[Valor custo]]</f>
        <v>142.87</v>
      </c>
      <c r="J1103" s="7">
        <f>Tabela1[[#This Row],[MARGEM BRUTA]]/Tabela1[[#This Row],[Valor total]]</f>
        <v>0.71435000000000004</v>
      </c>
      <c r="K1103" s="1" t="str">
        <f>VLOOKUP(Tabela1[[#This Row],[Cliente]],'BASE DE CLIENTES'!A:D,4,0)</f>
        <v>TECNICO</v>
      </c>
      <c r="L1103" s="1" t="str">
        <f>VLOOKUP(Tabela1[[#This Row],[Cliente]],'BASE DE CLIENTES'!A:E,5,0)</f>
        <v>Aparecida de Goiânia</v>
      </c>
    </row>
    <row r="1104" spans="1:12" x14ac:dyDescent="0.3">
      <c r="B1104" s="1" t="s">
        <v>152</v>
      </c>
      <c r="C1104" s="4" t="str">
        <f>VLOOKUP(Tabela1[[#This Row],[Cliente]],'BASE DE CLIENTES'!A:E,2,0)</f>
        <v>Aparecida de Goiânia</v>
      </c>
      <c r="D1104" s="1" t="str">
        <f>VLOOKUP(Tabela1[[#This Row],[Cliente]],'BASE DE CLIENTES'!A:C,3,0)</f>
        <v>GO</v>
      </c>
      <c r="E1104" s="4" t="str">
        <f>CONCATENATE(Tabela1[[#This Row],[CIDADE]],",",Tabela1[[#This Row],[UF]])</f>
        <v>Aparecida de Goiânia,GO</v>
      </c>
      <c r="F1104" s="2">
        <v>45671</v>
      </c>
      <c r="G1104" s="17">
        <v>66</v>
      </c>
      <c r="H1104" s="17">
        <v>240</v>
      </c>
      <c r="I1104" s="6">
        <f>Tabela1[[#This Row],[Valor total]]-Tabela1[[#This Row],[Valor custo]]</f>
        <v>174</v>
      </c>
      <c r="J1104" s="7">
        <f>Tabela1[[#This Row],[MARGEM BRUTA]]/Tabela1[[#This Row],[Valor total]]</f>
        <v>0.72499999999999998</v>
      </c>
      <c r="K1104" s="1" t="str">
        <f>VLOOKUP(Tabela1[[#This Row],[Cliente]],'BASE DE CLIENTES'!A:D,4,0)</f>
        <v>TECNICO</v>
      </c>
      <c r="L1104" s="1" t="str">
        <f>VLOOKUP(Tabela1[[#This Row],[Cliente]],'BASE DE CLIENTES'!A:E,5,0)</f>
        <v>Aparecida de Goiânia</v>
      </c>
    </row>
    <row r="1105" spans="2:12" x14ac:dyDescent="0.3">
      <c r="B1105" s="1" t="s">
        <v>152</v>
      </c>
      <c r="C1105" s="4" t="str">
        <f>VLOOKUP(Tabela1[[#This Row],[Cliente]],'BASE DE CLIENTES'!A:E,2,0)</f>
        <v>Aparecida de Goiânia</v>
      </c>
      <c r="D1105" s="1" t="str">
        <f>VLOOKUP(Tabela1[[#This Row],[Cliente]],'BASE DE CLIENTES'!A:C,3,0)</f>
        <v>GO</v>
      </c>
      <c r="E1105" s="4" t="str">
        <f>CONCATENATE(Tabela1[[#This Row],[CIDADE]],",",Tabela1[[#This Row],[UF]])</f>
        <v>Aparecida de Goiânia,GO</v>
      </c>
      <c r="F1105" s="2">
        <v>45862</v>
      </c>
      <c r="G1105" s="17">
        <v>55</v>
      </c>
      <c r="H1105" s="17">
        <v>200</v>
      </c>
      <c r="I1105" s="6">
        <f>Tabela1[[#This Row],[Valor total]]-Tabela1[[#This Row],[Valor custo]]</f>
        <v>145</v>
      </c>
      <c r="J1105" s="7">
        <f>Tabela1[[#This Row],[MARGEM BRUTA]]/Tabela1[[#This Row],[Valor total]]</f>
        <v>0.72499999999999998</v>
      </c>
      <c r="K1105" s="1" t="str">
        <f>VLOOKUP(Tabela1[[#This Row],[Cliente]],'BASE DE CLIENTES'!A:D,4,0)</f>
        <v>TECNICO</v>
      </c>
      <c r="L1105" s="1" t="str">
        <f>VLOOKUP(Tabela1[[#This Row],[Cliente]],'BASE DE CLIENTES'!A:E,5,0)</f>
        <v>Aparecida de Goiânia</v>
      </c>
    </row>
    <row r="1106" spans="2:12" x14ac:dyDescent="0.3">
      <c r="B1106" s="1" t="s">
        <v>141</v>
      </c>
      <c r="C1106" s="4" t="str">
        <f>VLOOKUP(Tabela1[[#This Row],[Cliente]],'BASE DE CLIENTES'!A:E,2,0)</f>
        <v>Brasília</v>
      </c>
      <c r="D1106" s="1" t="str">
        <f>VLOOKUP(Tabela1[[#This Row],[Cliente]],'BASE DE CLIENTES'!A:C,3,0)</f>
        <v>DF</v>
      </c>
      <c r="E1106" s="4" t="str">
        <f>CONCATENATE(Tabela1[[#This Row],[CIDADE]],",",Tabela1[[#This Row],[UF]])</f>
        <v>Brasília,DF</v>
      </c>
      <c r="F1106" s="2">
        <v>45798</v>
      </c>
      <c r="G1106" s="17">
        <v>868.8</v>
      </c>
      <c r="H1106" s="17">
        <v>1025</v>
      </c>
      <c r="I1106" s="6">
        <f>Tabela1[[#This Row],[Valor total]]-Tabela1[[#This Row],[Valor custo]]</f>
        <v>156.20000000000005</v>
      </c>
      <c r="J1106" s="7">
        <f>Tabela1[[#This Row],[MARGEM BRUTA]]/Tabela1[[#This Row],[Valor total]]</f>
        <v>0.15239024390243908</v>
      </c>
      <c r="K1106" s="1" t="str">
        <f>VLOOKUP(Tabela1[[#This Row],[Cliente]],'BASE DE CLIENTES'!A:D,4,0)</f>
        <v>EMPRESA COM MAQUINA</v>
      </c>
      <c r="L1106" s="1" t="str">
        <f>VLOOKUP(Tabela1[[#This Row],[Cliente]],'BASE DE CLIENTES'!A:E,5,0)</f>
        <v>TAGUATINGA</v>
      </c>
    </row>
    <row r="1107" spans="2:12" x14ac:dyDescent="0.3">
      <c r="B1107" s="1" t="s">
        <v>133</v>
      </c>
      <c r="C1107" s="4" t="str">
        <f>VLOOKUP(Tabela1[[#This Row],[Cliente]],'BASE DE CLIENTES'!A:E,2,0)</f>
        <v>Brasília</v>
      </c>
      <c r="D1107" s="1" t="str">
        <f>VLOOKUP(Tabela1[[#This Row],[Cliente]],'BASE DE CLIENTES'!A:C,3,0)</f>
        <v>DF</v>
      </c>
      <c r="E1107" s="4" t="str">
        <f>CONCATENATE(Tabela1[[#This Row],[CIDADE]],",",Tabela1[[#This Row],[UF]])</f>
        <v>Brasília,DF</v>
      </c>
      <c r="F1107" s="2">
        <v>45798</v>
      </c>
      <c r="G1107" s="17">
        <v>2786</v>
      </c>
      <c r="H1107" s="17">
        <v>4170</v>
      </c>
      <c r="I1107" s="6">
        <f>Tabela1[[#This Row],[Valor total]]-Tabela1[[#This Row],[Valor custo]]</f>
        <v>1384</v>
      </c>
      <c r="J1107" s="7">
        <f>Tabela1[[#This Row],[MARGEM BRUTA]]/Tabela1[[#This Row],[Valor total]]</f>
        <v>0.33189448441247005</v>
      </c>
      <c r="K1107" s="1" t="str">
        <f>VLOOKUP(Tabela1[[#This Row],[Cliente]],'BASE DE CLIENTES'!A:D,4,0)</f>
        <v>SERRALHEIRO</v>
      </c>
      <c r="L1107" s="1" t="str">
        <f>VLOOKUP(Tabela1[[#This Row],[Cliente]],'BASE DE CLIENTES'!A:E,5,0)</f>
        <v>RECANTO DAS EMAS</v>
      </c>
    </row>
    <row r="1108" spans="2:12" x14ac:dyDescent="0.3">
      <c r="B1108" s="1" t="s">
        <v>55</v>
      </c>
      <c r="C1108" s="4" t="str">
        <f>VLOOKUP(Tabela1[[#This Row],[Cliente]],'BASE DE CLIENTES'!A:E,2,0)</f>
        <v>Brasília</v>
      </c>
      <c r="D1108" s="1" t="str">
        <f>VLOOKUP(Tabela1[[#This Row],[Cliente]],'BASE DE CLIENTES'!A:C,3,0)</f>
        <v>DF</v>
      </c>
      <c r="E1108" s="4" t="str">
        <f>CONCATENATE(Tabela1[[#This Row],[CIDADE]],",",Tabela1[[#This Row],[UF]])</f>
        <v>Brasília,DF</v>
      </c>
      <c r="F1108" s="2">
        <v>45798</v>
      </c>
      <c r="G1108" s="17">
        <v>4579.9799999999996</v>
      </c>
      <c r="H1108" s="17">
        <v>7165</v>
      </c>
      <c r="I1108" s="6">
        <f>Tabela1[[#This Row],[Valor total]]-Tabela1[[#This Row],[Valor custo]]</f>
        <v>2585.0200000000004</v>
      </c>
      <c r="J1108" s="7">
        <f>Tabela1[[#This Row],[MARGEM BRUTA]]/Tabela1[[#This Row],[Valor total]]</f>
        <v>0.36078436845778095</v>
      </c>
      <c r="K1108" s="1" t="str">
        <f>VLOOKUP(Tabela1[[#This Row],[Cliente]],'BASE DE CLIENTES'!A:D,4,0)</f>
        <v>EMPRESA SEM MAQUINA</v>
      </c>
      <c r="L1108" s="1" t="str">
        <f>VLOOKUP(Tabela1[[#This Row],[Cliente]],'BASE DE CLIENTES'!A:E,5,0)</f>
        <v>RECANTO DAS EMAS</v>
      </c>
    </row>
    <row r="1109" spans="2:12" x14ac:dyDescent="0.3">
      <c r="B1109" s="1" t="s">
        <v>152</v>
      </c>
      <c r="C1109" s="4" t="str">
        <f>VLOOKUP(Tabela1[[#This Row],[Cliente]],'BASE DE CLIENTES'!A:E,2,0)</f>
        <v>Aparecida de Goiânia</v>
      </c>
      <c r="D1109" s="1" t="str">
        <f>VLOOKUP(Tabela1[[#This Row],[Cliente]],'BASE DE CLIENTES'!A:C,3,0)</f>
        <v>GO</v>
      </c>
      <c r="E1109" s="4" t="str">
        <f>CONCATENATE(Tabela1[[#This Row],[CIDADE]],",",Tabela1[[#This Row],[UF]])</f>
        <v>Aparecida de Goiânia,GO</v>
      </c>
      <c r="F1109" s="2">
        <v>45751</v>
      </c>
      <c r="G1109" s="17">
        <v>33</v>
      </c>
      <c r="H1109" s="17">
        <v>150</v>
      </c>
      <c r="I1109" s="6">
        <f>Tabela1[[#This Row],[Valor total]]-Tabela1[[#This Row],[Valor custo]]</f>
        <v>117</v>
      </c>
      <c r="J1109" s="7">
        <f>Tabela1[[#This Row],[MARGEM BRUTA]]/Tabela1[[#This Row],[Valor total]]</f>
        <v>0.78</v>
      </c>
      <c r="K1109" s="1" t="str">
        <f>VLOOKUP(Tabela1[[#This Row],[Cliente]],'BASE DE CLIENTES'!A:D,4,0)</f>
        <v>TECNICO</v>
      </c>
      <c r="L1109" s="1" t="str">
        <f>VLOOKUP(Tabela1[[#This Row],[Cliente]],'BASE DE CLIENTES'!A:E,5,0)</f>
        <v>Aparecida de Goiânia</v>
      </c>
    </row>
    <row r="1110" spans="2:12" x14ac:dyDescent="0.3">
      <c r="B1110" s="1" t="s">
        <v>38</v>
      </c>
      <c r="C1110" s="4" t="str">
        <f>VLOOKUP(Tabela1[[#This Row],[Cliente]],'BASE DE CLIENTES'!A:E,2,0)</f>
        <v>Brasília</v>
      </c>
      <c r="D1110" s="1" t="str">
        <f>VLOOKUP(Tabela1[[#This Row],[Cliente]],'BASE DE CLIENTES'!A:C,3,0)</f>
        <v>DF</v>
      </c>
      <c r="E1110" s="4" t="str">
        <f>CONCATENATE(Tabela1[[#This Row],[CIDADE]],",",Tabela1[[#This Row],[UF]])</f>
        <v>Brasília,DF</v>
      </c>
      <c r="F1110" s="2">
        <v>45798</v>
      </c>
      <c r="G1110" s="17">
        <v>0</v>
      </c>
      <c r="H1110" s="17">
        <v>845</v>
      </c>
      <c r="I1110" s="6">
        <f>Tabela1[[#This Row],[Valor total]]-Tabela1[[#This Row],[Valor custo]]</f>
        <v>845</v>
      </c>
      <c r="J1110" s="7">
        <f>Tabela1[[#This Row],[MARGEM BRUTA]]/Tabela1[[#This Row],[Valor total]]</f>
        <v>1</v>
      </c>
      <c r="K1110" s="1" t="str">
        <f>VLOOKUP(Tabela1[[#This Row],[Cliente]],'BASE DE CLIENTES'!A:D,4,0)</f>
        <v>EMPRESA SEM MAQUINA</v>
      </c>
      <c r="L1110" s="1" t="str">
        <f>VLOOKUP(Tabela1[[#This Row],[Cliente]],'BASE DE CLIENTES'!A:E,5,0)</f>
        <v>PONTE ALTA NORTE (GAMA)</v>
      </c>
    </row>
    <row r="1111" spans="2:12" x14ac:dyDescent="0.3">
      <c r="B1111" s="1" t="s">
        <v>152</v>
      </c>
      <c r="C1111" s="4" t="str">
        <f>VLOOKUP(Tabela1[[#This Row],[Cliente]],'BASE DE CLIENTES'!A:E,2,0)</f>
        <v>Aparecida de Goiânia</v>
      </c>
      <c r="D1111" s="1" t="str">
        <f>VLOOKUP(Tabela1[[#This Row],[Cliente]],'BASE DE CLIENTES'!A:C,3,0)</f>
        <v>GO</v>
      </c>
      <c r="E1111" s="4" t="str">
        <f>CONCATENATE(Tabela1[[#This Row],[CIDADE]],",",Tabela1[[#This Row],[UF]])</f>
        <v>Aparecida de Goiânia,GO</v>
      </c>
      <c r="F1111" s="2">
        <v>45750</v>
      </c>
      <c r="G1111" s="17">
        <v>33</v>
      </c>
      <c r="H1111" s="17">
        <v>150</v>
      </c>
      <c r="I1111" s="6">
        <f>Tabela1[[#This Row],[Valor total]]-Tabela1[[#This Row],[Valor custo]]</f>
        <v>117</v>
      </c>
      <c r="J1111" s="7">
        <f>Tabela1[[#This Row],[MARGEM BRUTA]]/Tabela1[[#This Row],[Valor total]]</f>
        <v>0.78</v>
      </c>
      <c r="K1111" s="1" t="str">
        <f>VLOOKUP(Tabela1[[#This Row],[Cliente]],'BASE DE CLIENTES'!A:D,4,0)</f>
        <v>TECNICO</v>
      </c>
      <c r="L1111" s="1" t="str">
        <f>VLOOKUP(Tabela1[[#This Row],[Cliente]],'BASE DE CLIENTES'!A:E,5,0)</f>
        <v>Aparecida de Goiânia</v>
      </c>
    </row>
    <row r="1112" spans="2:12" x14ac:dyDescent="0.3">
      <c r="B1112" s="1" t="s">
        <v>152</v>
      </c>
      <c r="C1112" s="4" t="str">
        <f>VLOOKUP(Tabela1[[#This Row],[Cliente]],'BASE DE CLIENTES'!A:E,2,0)</f>
        <v>Aparecida de Goiânia</v>
      </c>
      <c r="D1112" s="1" t="str">
        <f>VLOOKUP(Tabela1[[#This Row],[Cliente]],'BASE DE CLIENTES'!A:C,3,0)</f>
        <v>GO</v>
      </c>
      <c r="E1112" s="4" t="str">
        <f>CONCATENATE(Tabela1[[#This Row],[CIDADE]],",",Tabela1[[#This Row],[UF]])</f>
        <v>Aparecida de Goiânia,GO</v>
      </c>
      <c r="F1112" s="2">
        <v>45806</v>
      </c>
      <c r="G1112" s="17">
        <v>66</v>
      </c>
      <c r="H1112" s="17">
        <v>300</v>
      </c>
      <c r="I1112" s="6">
        <f>Tabela1[[#This Row],[Valor total]]-Tabela1[[#This Row],[Valor custo]]</f>
        <v>234</v>
      </c>
      <c r="J1112" s="7">
        <f>Tabela1[[#This Row],[MARGEM BRUTA]]/Tabela1[[#This Row],[Valor total]]</f>
        <v>0.78</v>
      </c>
      <c r="K1112" s="1" t="str">
        <f>VLOOKUP(Tabela1[[#This Row],[Cliente]],'BASE DE CLIENTES'!A:D,4,0)</f>
        <v>TECNICO</v>
      </c>
      <c r="L1112" s="1" t="str">
        <f>VLOOKUP(Tabela1[[#This Row],[Cliente]],'BASE DE CLIENTES'!A:E,5,0)</f>
        <v>Aparecida de Goiânia</v>
      </c>
    </row>
    <row r="1113" spans="2:12" x14ac:dyDescent="0.3">
      <c r="B1113" s="1" t="s">
        <v>154</v>
      </c>
      <c r="C1113" s="4" t="str">
        <f>VLOOKUP(Tabela1[[#This Row],[Cliente]],'BASE DE CLIENTES'!A:E,2,0)</f>
        <v>Aparecida de Goiânia</v>
      </c>
      <c r="D1113" s="1" t="str">
        <f>VLOOKUP(Tabela1[[#This Row],[Cliente]],'BASE DE CLIENTES'!A:C,3,0)</f>
        <v>GO</v>
      </c>
      <c r="E1113" s="4" t="str">
        <f>CONCATENATE(Tabela1[[#This Row],[CIDADE]],",",Tabela1[[#This Row],[UF]])</f>
        <v>Aparecida de Goiânia,GO</v>
      </c>
      <c r="F1113" s="2">
        <v>45791</v>
      </c>
      <c r="G1113" s="17">
        <v>33</v>
      </c>
      <c r="H1113" s="17">
        <v>150</v>
      </c>
      <c r="I1113" s="6">
        <f>Tabela1[[#This Row],[Valor total]]-Tabela1[[#This Row],[Valor custo]]</f>
        <v>117</v>
      </c>
      <c r="J1113" s="7">
        <f>Tabela1[[#This Row],[MARGEM BRUTA]]/Tabela1[[#This Row],[Valor total]]</f>
        <v>0.78</v>
      </c>
      <c r="K1113" s="1" t="str">
        <f>VLOOKUP(Tabela1[[#This Row],[Cliente]],'BASE DE CLIENTES'!A:D,4,0)</f>
        <v>TECNICO</v>
      </c>
      <c r="L1113" s="1" t="str">
        <f>VLOOKUP(Tabela1[[#This Row],[Cliente]],'BASE DE CLIENTES'!A:E,5,0)</f>
        <v>Aparecida de Goiânia</v>
      </c>
    </row>
    <row r="1114" spans="2:12" x14ac:dyDescent="0.3">
      <c r="B1114" s="1" t="s">
        <v>97</v>
      </c>
      <c r="C1114" s="4" t="str">
        <f>VLOOKUP(Tabela1[[#This Row],[Cliente]],'BASE DE CLIENTES'!A:E,2,0)</f>
        <v>Brasília</v>
      </c>
      <c r="D1114" s="1" t="str">
        <f>VLOOKUP(Tabela1[[#This Row],[Cliente]],'BASE DE CLIENTES'!A:C,3,0)</f>
        <v>DF</v>
      </c>
      <c r="E1114" s="4" t="str">
        <f>CONCATENATE(Tabela1[[#This Row],[CIDADE]],",",Tabela1[[#This Row],[UF]])</f>
        <v>Brasília,DF</v>
      </c>
      <c r="F1114" s="2">
        <v>45798</v>
      </c>
      <c r="G1114" s="17">
        <v>521</v>
      </c>
      <c r="H1114" s="17">
        <v>785</v>
      </c>
      <c r="I1114" s="6">
        <f>Tabela1[[#This Row],[Valor total]]-Tabela1[[#This Row],[Valor custo]]</f>
        <v>264</v>
      </c>
      <c r="J1114" s="7">
        <f>Tabela1[[#This Row],[MARGEM BRUTA]]/Tabela1[[#This Row],[Valor total]]</f>
        <v>0.33630573248407641</v>
      </c>
      <c r="K1114" s="1" t="str">
        <f>VLOOKUP(Tabela1[[#This Row],[Cliente]],'BASE DE CLIENTES'!A:D,4,0)</f>
        <v>SERRALHEIRO</v>
      </c>
      <c r="L1114" s="1" t="str">
        <f>VLOOKUP(Tabela1[[#This Row],[Cliente]],'BASE DE CLIENTES'!A:E,5,0)</f>
        <v>CEILANDIA NORTE</v>
      </c>
    </row>
    <row r="1115" spans="2:12" x14ac:dyDescent="0.3">
      <c r="B1115" s="1" t="s">
        <v>152</v>
      </c>
      <c r="C1115" s="4" t="str">
        <f>VLOOKUP(Tabela1[[#This Row],[Cliente]],'BASE DE CLIENTES'!A:E,2,0)</f>
        <v>Aparecida de Goiânia</v>
      </c>
      <c r="D1115" s="1" t="str">
        <f>VLOOKUP(Tabela1[[#This Row],[Cliente]],'BASE DE CLIENTES'!A:C,3,0)</f>
        <v>GO</v>
      </c>
      <c r="E1115" s="4" t="str">
        <f>CONCATENATE(Tabela1[[#This Row],[CIDADE]],",",Tabela1[[#This Row],[UF]])</f>
        <v>Aparecida de Goiânia,GO</v>
      </c>
      <c r="F1115" s="2">
        <v>45856</v>
      </c>
      <c r="G1115" s="17">
        <v>66</v>
      </c>
      <c r="H1115" s="17">
        <v>300</v>
      </c>
      <c r="I1115" s="6">
        <f>Tabela1[[#This Row],[Valor total]]-Tabela1[[#This Row],[Valor custo]]</f>
        <v>234</v>
      </c>
      <c r="J1115" s="7">
        <f>Tabela1[[#This Row],[MARGEM BRUTA]]/Tabela1[[#This Row],[Valor total]]</f>
        <v>0.78</v>
      </c>
      <c r="K1115" s="1" t="str">
        <f>VLOOKUP(Tabela1[[#This Row],[Cliente]],'BASE DE CLIENTES'!A:D,4,0)</f>
        <v>TECNICO</v>
      </c>
      <c r="L1115" s="1" t="str">
        <f>VLOOKUP(Tabela1[[#This Row],[Cliente]],'BASE DE CLIENTES'!A:E,5,0)</f>
        <v>Aparecida de Goiânia</v>
      </c>
    </row>
    <row r="1116" spans="2:12" x14ac:dyDescent="0.3">
      <c r="B1116" s="1" t="s">
        <v>152</v>
      </c>
      <c r="C1116" s="4" t="str">
        <f>VLOOKUP(Tabela1[[#This Row],[Cliente]],'BASE DE CLIENTES'!A:E,2,0)</f>
        <v>Aparecida de Goiânia</v>
      </c>
      <c r="D1116" s="1" t="str">
        <f>VLOOKUP(Tabela1[[#This Row],[Cliente]],'BASE DE CLIENTES'!A:C,3,0)</f>
        <v>GO</v>
      </c>
      <c r="E1116" s="4" t="str">
        <f>CONCATENATE(Tabela1[[#This Row],[CIDADE]],",",Tabela1[[#This Row],[UF]])</f>
        <v>Aparecida de Goiânia,GO</v>
      </c>
      <c r="F1116" s="2">
        <v>45880</v>
      </c>
      <c r="G1116" s="17">
        <v>33</v>
      </c>
      <c r="H1116" s="17">
        <v>150</v>
      </c>
      <c r="I1116" s="6">
        <f>Tabela1[[#This Row],[Valor total]]-Tabela1[[#This Row],[Valor custo]]</f>
        <v>117</v>
      </c>
      <c r="J1116" s="7">
        <f>Tabela1[[#This Row],[MARGEM BRUTA]]/Tabela1[[#This Row],[Valor total]]</f>
        <v>0.78</v>
      </c>
      <c r="K1116" s="1" t="str">
        <f>VLOOKUP(Tabela1[[#This Row],[Cliente]],'BASE DE CLIENTES'!A:D,4,0)</f>
        <v>TECNICO</v>
      </c>
      <c r="L1116" s="1" t="str">
        <f>VLOOKUP(Tabela1[[#This Row],[Cliente]],'BASE DE CLIENTES'!A:E,5,0)</f>
        <v>Aparecida de Goiânia</v>
      </c>
    </row>
    <row r="1117" spans="2:12" x14ac:dyDescent="0.3">
      <c r="B1117" s="1" t="s">
        <v>120</v>
      </c>
      <c r="C1117" s="4" t="str">
        <f>VLOOKUP(Tabela1[[#This Row],[Cliente]],'BASE DE CLIENTES'!A:E,2,0)</f>
        <v>Brasília</v>
      </c>
      <c r="D1117" s="1" t="str">
        <f>VLOOKUP(Tabela1[[#This Row],[Cliente]],'BASE DE CLIENTES'!A:C,3,0)</f>
        <v>DF</v>
      </c>
      <c r="E1117" s="4" t="str">
        <f>CONCATENATE(Tabela1[[#This Row],[CIDADE]],",",Tabela1[[#This Row],[UF]])</f>
        <v>Brasília,DF</v>
      </c>
      <c r="F1117" s="2">
        <v>45811</v>
      </c>
      <c r="G1117" s="17">
        <v>920</v>
      </c>
      <c r="H1117" s="17">
        <v>1270</v>
      </c>
      <c r="I1117" s="6">
        <f>Tabela1[[#This Row],[Valor total]]-Tabela1[[#This Row],[Valor custo]]</f>
        <v>350</v>
      </c>
      <c r="J1117" s="7">
        <f>Tabela1[[#This Row],[MARGEM BRUTA]]/Tabela1[[#This Row],[Valor total]]</f>
        <v>0.27559055118110237</v>
      </c>
      <c r="K1117" s="1" t="str">
        <f>VLOOKUP(Tabela1[[#This Row],[Cliente]],'BASE DE CLIENTES'!A:D,4,0)</f>
        <v>EMPRESA SEM MAQUINA</v>
      </c>
      <c r="L1117" s="1" t="str">
        <f>VLOOKUP(Tabela1[[#This Row],[Cliente]],'BASE DE CLIENTES'!A:E,5,0)</f>
        <v>SAMAMBAIA</v>
      </c>
    </row>
    <row r="1118" spans="2:12" x14ac:dyDescent="0.3">
      <c r="B1118" s="1" t="s">
        <v>152</v>
      </c>
      <c r="C1118" s="4" t="str">
        <f>VLOOKUP(Tabela1[[#This Row],[Cliente]],'BASE DE CLIENTES'!A:E,2,0)</f>
        <v>Aparecida de Goiânia</v>
      </c>
      <c r="D1118" s="1" t="str">
        <f>VLOOKUP(Tabela1[[#This Row],[Cliente]],'BASE DE CLIENTES'!A:C,3,0)</f>
        <v>GO</v>
      </c>
      <c r="E1118" s="4" t="str">
        <f>CONCATENATE(Tabela1[[#This Row],[CIDADE]],",",Tabela1[[#This Row],[UF]])</f>
        <v>Aparecida de Goiânia,GO</v>
      </c>
      <c r="F1118" s="2">
        <v>45738</v>
      </c>
      <c r="G1118" s="17">
        <v>46.69</v>
      </c>
      <c r="H1118" s="17">
        <v>250</v>
      </c>
      <c r="I1118" s="6">
        <f>Tabela1[[#This Row],[Valor total]]-Tabela1[[#This Row],[Valor custo]]</f>
        <v>203.31</v>
      </c>
      <c r="J1118" s="7">
        <f>Tabela1[[#This Row],[MARGEM BRUTA]]/Tabela1[[#This Row],[Valor total]]</f>
        <v>0.81323999999999996</v>
      </c>
      <c r="K1118" s="1" t="str">
        <f>VLOOKUP(Tabela1[[#This Row],[Cliente]],'BASE DE CLIENTES'!A:D,4,0)</f>
        <v>TECNICO</v>
      </c>
      <c r="L1118" s="1" t="str">
        <f>VLOOKUP(Tabela1[[#This Row],[Cliente]],'BASE DE CLIENTES'!A:E,5,0)</f>
        <v>Aparecida de Goiânia</v>
      </c>
    </row>
    <row r="1119" spans="2:12" x14ac:dyDescent="0.3">
      <c r="B1119" s="1" t="s">
        <v>27</v>
      </c>
      <c r="C1119" s="4" t="str">
        <f>VLOOKUP(Tabela1[[#This Row],[Cliente]],'BASE DE CLIENTES'!A:E,2,0)</f>
        <v>Brasília</v>
      </c>
      <c r="D1119" s="1" t="str">
        <f>VLOOKUP(Tabela1[[#This Row],[Cliente]],'BASE DE CLIENTES'!A:C,3,0)</f>
        <v>DF</v>
      </c>
      <c r="E1119" s="4" t="str">
        <f>CONCATENATE(Tabela1[[#This Row],[CIDADE]],",",Tabela1[[#This Row],[UF]])</f>
        <v>Brasília,DF</v>
      </c>
      <c r="F1119" s="2">
        <v>45797</v>
      </c>
      <c r="G1119" s="17">
        <v>0</v>
      </c>
      <c r="H1119" s="17">
        <v>540</v>
      </c>
      <c r="I1119" s="6">
        <f>Tabela1[[#This Row],[Valor total]]-Tabela1[[#This Row],[Valor custo]]</f>
        <v>540</v>
      </c>
      <c r="J1119" s="7">
        <f>Tabela1[[#This Row],[MARGEM BRUTA]]/Tabela1[[#This Row],[Valor total]]</f>
        <v>1</v>
      </c>
      <c r="K1119" s="1" t="str">
        <f>VLOOKUP(Tabela1[[#This Row],[Cliente]],'BASE DE CLIENTES'!A:D,4,0)</f>
        <v>EMPRESA SEM MAQUINA</v>
      </c>
      <c r="L1119" s="1" t="str">
        <f>VLOOKUP(Tabela1[[#This Row],[Cliente]],'BASE DE CLIENTES'!A:E,5,0)</f>
        <v>RECANTO DAS EMAS</v>
      </c>
    </row>
    <row r="1120" spans="2:12" x14ac:dyDescent="0.3">
      <c r="B1120" s="1" t="s">
        <v>106</v>
      </c>
      <c r="C1120" s="4" t="str">
        <f>VLOOKUP(Tabela1[[#This Row],[Cliente]],'BASE DE CLIENTES'!A:E,2,0)</f>
        <v>Brasília</v>
      </c>
      <c r="D1120" s="1" t="str">
        <f>VLOOKUP(Tabela1[[#This Row],[Cliente]],'BASE DE CLIENTES'!A:C,3,0)</f>
        <v>DF</v>
      </c>
      <c r="E1120" s="4" t="str">
        <f>CONCATENATE(Tabela1[[#This Row],[CIDADE]],",",Tabela1[[#This Row],[UF]])</f>
        <v>Brasília,DF</v>
      </c>
      <c r="F1120" s="2">
        <v>45797</v>
      </c>
      <c r="G1120" s="17">
        <v>118.76</v>
      </c>
      <c r="H1120" s="17">
        <v>156</v>
      </c>
      <c r="I1120" s="6">
        <f>Tabela1[[#This Row],[Valor total]]-Tabela1[[#This Row],[Valor custo]]</f>
        <v>37.239999999999995</v>
      </c>
      <c r="J1120" s="7">
        <f>Tabela1[[#This Row],[MARGEM BRUTA]]/Tabela1[[#This Row],[Valor total]]</f>
        <v>0.23871794871794869</v>
      </c>
      <c r="K1120" s="1" t="str">
        <f>VLOOKUP(Tabela1[[#This Row],[Cliente]],'BASE DE CLIENTES'!A:D,4,0)</f>
        <v>EMPRESA COM MAQUINA</v>
      </c>
      <c r="L1120" s="1" t="str">
        <f>VLOOKUP(Tabela1[[#This Row],[Cliente]],'BASE DE CLIENTES'!A:E,5,0)</f>
        <v>26 DE SETEMBRO</v>
      </c>
    </row>
    <row r="1121" spans="2:12" x14ac:dyDescent="0.3">
      <c r="B1121" s="1" t="s">
        <v>68</v>
      </c>
      <c r="C1121" s="4" t="str">
        <f>VLOOKUP(Tabela1[[#This Row],[Cliente]],'BASE DE CLIENTES'!A:E,2,0)</f>
        <v>Brasília</v>
      </c>
      <c r="D1121" s="1" t="str">
        <f>VLOOKUP(Tabela1[[#This Row],[Cliente]],'BASE DE CLIENTES'!A:C,3,0)</f>
        <v>DF</v>
      </c>
      <c r="E1121" s="4" t="str">
        <f>CONCATENATE(Tabela1[[#This Row],[CIDADE]],",",Tabela1[[#This Row],[UF]])</f>
        <v>Brasília,DF</v>
      </c>
      <c r="F1121" s="2">
        <v>45797</v>
      </c>
      <c r="G1121" s="17">
        <v>1340.74</v>
      </c>
      <c r="H1121" s="17">
        <v>2010</v>
      </c>
      <c r="I1121" s="6">
        <f>Tabela1[[#This Row],[Valor total]]-Tabela1[[#This Row],[Valor custo]]</f>
        <v>669.26</v>
      </c>
      <c r="J1121" s="7">
        <f>Tabela1[[#This Row],[MARGEM BRUTA]]/Tabela1[[#This Row],[Valor total]]</f>
        <v>0.33296517412935323</v>
      </c>
      <c r="K1121" s="1" t="str">
        <f>VLOOKUP(Tabela1[[#This Row],[Cliente]],'BASE DE CLIENTES'!A:D,4,0)</f>
        <v>EMPRESA COM MAQUINA</v>
      </c>
      <c r="L1121" s="1" t="str">
        <f>VLOOKUP(Tabela1[[#This Row],[Cliente]],'BASE DE CLIENTES'!A:E,5,0)</f>
        <v>SAMAMBAIA SUL (SAMAMBAIA)</v>
      </c>
    </row>
    <row r="1122" spans="2:12" x14ac:dyDescent="0.3">
      <c r="B1122" s="1" t="s">
        <v>78</v>
      </c>
      <c r="C1122" s="4" t="str">
        <f>VLOOKUP(Tabela1[[#This Row],[Cliente]],'BASE DE CLIENTES'!A:E,2,0)</f>
        <v>Brasília</v>
      </c>
      <c r="D1122" s="1" t="str">
        <f>VLOOKUP(Tabela1[[#This Row],[Cliente]],'BASE DE CLIENTES'!A:C,3,0)</f>
        <v>DF</v>
      </c>
      <c r="E1122" s="4" t="str">
        <f>CONCATENATE(Tabela1[[#This Row],[CIDADE]],",",Tabela1[[#This Row],[UF]])</f>
        <v>Brasília,DF</v>
      </c>
      <c r="F1122" s="2">
        <v>45796</v>
      </c>
      <c r="G1122" s="17">
        <v>521</v>
      </c>
      <c r="H1122" s="17">
        <v>810</v>
      </c>
      <c r="I1122" s="6">
        <f>Tabela1[[#This Row],[Valor total]]-Tabela1[[#This Row],[Valor custo]]</f>
        <v>289</v>
      </c>
      <c r="J1122" s="7">
        <f>Tabela1[[#This Row],[MARGEM BRUTA]]/Tabela1[[#This Row],[Valor total]]</f>
        <v>0.35679012345679012</v>
      </c>
      <c r="K1122" s="1" t="str">
        <f>VLOOKUP(Tabela1[[#This Row],[Cliente]],'BASE DE CLIENTES'!A:D,4,0)</f>
        <v>SERRALHEIRO</v>
      </c>
      <c r="L1122" s="1" t="str">
        <f>VLOOKUP(Tabela1[[#This Row],[Cliente]],'BASE DE CLIENTES'!A:E,5,0)</f>
        <v>Vila do Boa (São Sebastião)</v>
      </c>
    </row>
    <row r="1123" spans="2:12" x14ac:dyDescent="0.3">
      <c r="B1123" s="1" t="s">
        <v>68</v>
      </c>
      <c r="C1123" s="4" t="str">
        <f>VLOOKUP(Tabela1[[#This Row],[Cliente]],'BASE DE CLIENTES'!A:E,2,0)</f>
        <v>Brasília</v>
      </c>
      <c r="D1123" s="1" t="str">
        <f>VLOOKUP(Tabela1[[#This Row],[Cliente]],'BASE DE CLIENTES'!A:C,3,0)</f>
        <v>DF</v>
      </c>
      <c r="E1123" s="4" t="str">
        <f>CONCATENATE(Tabela1[[#This Row],[CIDADE]],",",Tabela1[[#This Row],[UF]])</f>
        <v>Brasília,DF</v>
      </c>
      <c r="F1123" s="2">
        <v>45796</v>
      </c>
      <c r="G1123" s="17">
        <v>476.87</v>
      </c>
      <c r="H1123" s="17">
        <v>670</v>
      </c>
      <c r="I1123" s="6">
        <f>Tabela1[[#This Row],[Valor total]]-Tabela1[[#This Row],[Valor custo]]</f>
        <v>193.13</v>
      </c>
      <c r="J1123" s="7">
        <f>Tabela1[[#This Row],[MARGEM BRUTA]]/Tabela1[[#This Row],[Valor total]]</f>
        <v>0.28825373134328358</v>
      </c>
      <c r="K1123" s="1" t="str">
        <f>VLOOKUP(Tabela1[[#This Row],[Cliente]],'BASE DE CLIENTES'!A:D,4,0)</f>
        <v>EMPRESA COM MAQUINA</v>
      </c>
      <c r="L1123" s="1" t="str">
        <f>VLOOKUP(Tabela1[[#This Row],[Cliente]],'BASE DE CLIENTES'!A:E,5,0)</f>
        <v>SAMAMBAIA SUL (SAMAMBAIA)</v>
      </c>
    </row>
    <row r="1124" spans="2:12" x14ac:dyDescent="0.3">
      <c r="B1124" s="1" t="s">
        <v>152</v>
      </c>
      <c r="C1124" s="4" t="str">
        <f>VLOOKUP(Tabela1[[#This Row],[Cliente]],'BASE DE CLIENTES'!A:E,2,0)</f>
        <v>Aparecida de Goiânia</v>
      </c>
      <c r="D1124" s="1" t="str">
        <f>VLOOKUP(Tabela1[[#This Row],[Cliente]],'BASE DE CLIENTES'!A:C,3,0)</f>
        <v>GO</v>
      </c>
      <c r="E1124" s="4" t="str">
        <f>CONCATENATE(Tabela1[[#This Row],[CIDADE]],",",Tabela1[[#This Row],[UF]])</f>
        <v>Aparecida de Goiânia,GO</v>
      </c>
      <c r="F1124" s="2">
        <v>45862</v>
      </c>
      <c r="G1124" s="17">
        <v>54.76</v>
      </c>
      <c r="H1124" s="17">
        <v>400</v>
      </c>
      <c r="I1124" s="6">
        <f>Tabela1[[#This Row],[Valor total]]-Tabela1[[#This Row],[Valor custo]]</f>
        <v>345.24</v>
      </c>
      <c r="J1124" s="7">
        <f>Tabela1[[#This Row],[MARGEM BRUTA]]/Tabela1[[#This Row],[Valor total]]</f>
        <v>0.86309999999999998</v>
      </c>
      <c r="K1124" s="1" t="str">
        <f>VLOOKUP(Tabela1[[#This Row],[Cliente]],'BASE DE CLIENTES'!A:D,4,0)</f>
        <v>TECNICO</v>
      </c>
      <c r="L1124" s="1" t="str">
        <f>VLOOKUP(Tabela1[[#This Row],[Cliente]],'BASE DE CLIENTES'!A:E,5,0)</f>
        <v>Aparecida de Goiânia</v>
      </c>
    </row>
    <row r="1125" spans="2:12" x14ac:dyDescent="0.3">
      <c r="B1125" s="1" t="s">
        <v>42</v>
      </c>
      <c r="C1125" s="4" t="str">
        <f>VLOOKUP(Tabela1[[#This Row],[Cliente]],'BASE DE CLIENTES'!A:E,2,0)</f>
        <v>Brasília</v>
      </c>
      <c r="D1125" s="1" t="str">
        <f>VLOOKUP(Tabela1[[#This Row],[Cliente]],'BASE DE CLIENTES'!A:C,3,0)</f>
        <v>DF</v>
      </c>
      <c r="E1125" s="4" t="str">
        <f>CONCATENATE(Tabela1[[#This Row],[CIDADE]],",",Tabela1[[#This Row],[UF]])</f>
        <v>Brasília,DF</v>
      </c>
      <c r="F1125" s="2">
        <v>45796</v>
      </c>
      <c r="G1125" s="17">
        <v>3259</v>
      </c>
      <c r="H1125" s="17">
        <v>4505</v>
      </c>
      <c r="I1125" s="6">
        <f>Tabela1[[#This Row],[Valor total]]-Tabela1[[#This Row],[Valor custo]]</f>
        <v>1246</v>
      </c>
      <c r="J1125" s="7">
        <f>Tabela1[[#This Row],[MARGEM BRUTA]]/Tabela1[[#This Row],[Valor total]]</f>
        <v>0.27658157602663708</v>
      </c>
      <c r="K1125" s="1" t="str">
        <f>VLOOKUP(Tabela1[[#This Row],[Cliente]],'BASE DE CLIENTES'!A:D,4,0)</f>
        <v>EMPRESA SEM MAQUINA</v>
      </c>
      <c r="L1125" s="1" t="str">
        <f>VLOOKUP(Tabela1[[#This Row],[Cliente]],'BASE DE CLIENTES'!A:E,5,0)</f>
        <v>SAMAMBAIA</v>
      </c>
    </row>
    <row r="1126" spans="2:12" x14ac:dyDescent="0.3">
      <c r="B1126" s="1" t="s">
        <v>36</v>
      </c>
      <c r="C1126" s="4" t="str">
        <f>VLOOKUP(Tabela1[[#This Row],[Cliente]],'BASE DE CLIENTES'!A:E,2,0)</f>
        <v>Brasília</v>
      </c>
      <c r="D1126" s="1" t="str">
        <f>VLOOKUP(Tabela1[[#This Row],[Cliente]],'BASE DE CLIENTES'!A:C,3,0)</f>
        <v>DF</v>
      </c>
      <c r="E1126" s="4" t="str">
        <f>CONCATENATE(Tabela1[[#This Row],[CIDADE]],",",Tabela1[[#This Row],[UF]])</f>
        <v>Brasília,DF</v>
      </c>
      <c r="F1126" s="2">
        <v>45796</v>
      </c>
      <c r="G1126" s="17">
        <v>2682</v>
      </c>
      <c r="H1126" s="17">
        <v>3810</v>
      </c>
      <c r="I1126" s="6">
        <f>Tabela1[[#This Row],[Valor total]]-Tabela1[[#This Row],[Valor custo]]</f>
        <v>1128</v>
      </c>
      <c r="J1126" s="7">
        <f>Tabela1[[#This Row],[MARGEM BRUTA]]/Tabela1[[#This Row],[Valor total]]</f>
        <v>0.29606299212598425</v>
      </c>
      <c r="K1126" s="1" t="str">
        <f>VLOOKUP(Tabela1[[#This Row],[Cliente]],'BASE DE CLIENTES'!A:D,4,0)</f>
        <v>SERRALHEIRO</v>
      </c>
      <c r="L1126" s="1" t="str">
        <f>VLOOKUP(Tabela1[[#This Row],[Cliente]],'BASE DE CLIENTES'!A:E,5,0)</f>
        <v>CEILANDIA SUL (CEILANDIA)</v>
      </c>
    </row>
    <row r="1127" spans="2:12" x14ac:dyDescent="0.3">
      <c r="B1127" s="1" t="s">
        <v>38</v>
      </c>
      <c r="C1127" s="4" t="str">
        <f>VLOOKUP(Tabela1[[#This Row],[Cliente]],'BASE DE CLIENTES'!A:E,2,0)</f>
        <v>Brasília</v>
      </c>
      <c r="D1127" s="1" t="str">
        <f>VLOOKUP(Tabela1[[#This Row],[Cliente]],'BASE DE CLIENTES'!A:C,3,0)</f>
        <v>DF</v>
      </c>
      <c r="E1127" s="4" t="str">
        <f>CONCATENATE(Tabela1[[#This Row],[CIDADE]],",",Tabela1[[#This Row],[UF]])</f>
        <v>Brasília,DF</v>
      </c>
      <c r="F1127" s="2">
        <v>45796</v>
      </c>
      <c r="G1127" s="17">
        <v>1342</v>
      </c>
      <c r="H1127" s="17">
        <v>2040</v>
      </c>
      <c r="I1127" s="6">
        <f>Tabela1[[#This Row],[Valor total]]-Tabela1[[#This Row],[Valor custo]]</f>
        <v>698</v>
      </c>
      <c r="J1127" s="7">
        <f>Tabela1[[#This Row],[MARGEM BRUTA]]/Tabela1[[#This Row],[Valor total]]</f>
        <v>0.34215686274509804</v>
      </c>
      <c r="K1127" s="1" t="str">
        <f>VLOOKUP(Tabela1[[#This Row],[Cliente]],'BASE DE CLIENTES'!A:D,4,0)</f>
        <v>EMPRESA SEM MAQUINA</v>
      </c>
      <c r="L1127" s="1" t="str">
        <f>VLOOKUP(Tabela1[[#This Row],[Cliente]],'BASE DE CLIENTES'!A:E,5,0)</f>
        <v>PONTE ALTA NORTE (GAMA)</v>
      </c>
    </row>
    <row r="1128" spans="2:12" x14ac:dyDescent="0.3">
      <c r="B1128" s="1" t="s">
        <v>52</v>
      </c>
      <c r="C1128" s="4" t="str">
        <f>VLOOKUP(Tabela1[[#This Row],[Cliente]],'BASE DE CLIENTES'!A:E,2,0)</f>
        <v>Brasília</v>
      </c>
      <c r="D1128" s="1" t="str">
        <f>VLOOKUP(Tabela1[[#This Row],[Cliente]],'BASE DE CLIENTES'!A:C,3,0)</f>
        <v>DF</v>
      </c>
      <c r="E1128" s="4" t="str">
        <f>CONCATENATE(Tabela1[[#This Row],[CIDADE]],",",Tabela1[[#This Row],[UF]])</f>
        <v>Brasília,DF</v>
      </c>
      <c r="F1128" s="2">
        <v>45796</v>
      </c>
      <c r="G1128" s="17">
        <v>2175.61</v>
      </c>
      <c r="H1128" s="17">
        <v>3155</v>
      </c>
      <c r="I1128" s="6">
        <f>Tabela1[[#This Row],[Valor total]]-Tabela1[[#This Row],[Valor custo]]</f>
        <v>979.38999999999987</v>
      </c>
      <c r="J1128" s="7">
        <f>Tabela1[[#This Row],[MARGEM BRUTA]]/Tabela1[[#This Row],[Valor total]]</f>
        <v>0.31042472266244053</v>
      </c>
      <c r="K1128" s="1" t="str">
        <f>VLOOKUP(Tabela1[[#This Row],[Cliente]],'BASE DE CLIENTES'!A:D,4,0)</f>
        <v>SERRALHEIRO</v>
      </c>
      <c r="L1128" s="1" t="str">
        <f>VLOOKUP(Tabela1[[#This Row],[Cliente]],'BASE DE CLIENTES'!A:E,5,0)</f>
        <v>Ceilândia Sul (Ceilândia)</v>
      </c>
    </row>
    <row r="1129" spans="2:12" x14ac:dyDescent="0.3">
      <c r="B1129" s="1" t="s">
        <v>55</v>
      </c>
      <c r="C1129" s="4" t="str">
        <f>VLOOKUP(Tabela1[[#This Row],[Cliente]],'BASE DE CLIENTES'!A:E,2,0)</f>
        <v>Brasília</v>
      </c>
      <c r="D1129" s="1" t="str">
        <f>VLOOKUP(Tabela1[[#This Row],[Cliente]],'BASE DE CLIENTES'!A:C,3,0)</f>
        <v>DF</v>
      </c>
      <c r="E1129" s="4" t="str">
        <f>CONCATENATE(Tabela1[[#This Row],[CIDADE]],",",Tabela1[[#This Row],[UF]])</f>
        <v>Brasília,DF</v>
      </c>
      <c r="F1129" s="2">
        <v>45796</v>
      </c>
      <c r="G1129" s="17">
        <v>15</v>
      </c>
      <c r="H1129" s="17">
        <v>24</v>
      </c>
      <c r="I1129" s="6">
        <f>Tabela1[[#This Row],[Valor total]]-Tabela1[[#This Row],[Valor custo]]</f>
        <v>9</v>
      </c>
      <c r="J1129" s="7">
        <f>Tabela1[[#This Row],[MARGEM BRUTA]]/Tabela1[[#This Row],[Valor total]]</f>
        <v>0.375</v>
      </c>
      <c r="K1129" s="1" t="str">
        <f>VLOOKUP(Tabela1[[#This Row],[Cliente]],'BASE DE CLIENTES'!A:D,4,0)</f>
        <v>EMPRESA SEM MAQUINA</v>
      </c>
      <c r="L1129" s="1" t="str">
        <f>VLOOKUP(Tabela1[[#This Row],[Cliente]],'BASE DE CLIENTES'!A:E,5,0)</f>
        <v>RECANTO DAS EMAS</v>
      </c>
    </row>
    <row r="1130" spans="2:12" x14ac:dyDescent="0.3">
      <c r="B1130" s="1" t="s">
        <v>137</v>
      </c>
      <c r="C1130" s="4" t="str">
        <f>VLOOKUP(Tabela1[[#This Row],[Cliente]],'BASE DE CLIENTES'!A:E,2,0)</f>
        <v>Brasília</v>
      </c>
      <c r="D1130" s="1" t="str">
        <f>VLOOKUP(Tabela1[[#This Row],[Cliente]],'BASE DE CLIENTES'!A:C,3,0)</f>
        <v>DF</v>
      </c>
      <c r="E1130" s="4" t="str">
        <f>CONCATENATE(Tabela1[[#This Row],[CIDADE]],",",Tabela1[[#This Row],[UF]])</f>
        <v>Brasília,DF</v>
      </c>
      <c r="F1130" s="2">
        <v>45796</v>
      </c>
      <c r="G1130" s="17">
        <v>9.3800000000000008</v>
      </c>
      <c r="H1130" s="17">
        <v>15</v>
      </c>
      <c r="I1130" s="6">
        <f>Tabela1[[#This Row],[Valor total]]-Tabela1[[#This Row],[Valor custo]]</f>
        <v>5.6199999999999992</v>
      </c>
      <c r="J1130" s="7">
        <f>Tabela1[[#This Row],[MARGEM BRUTA]]/Tabela1[[#This Row],[Valor total]]</f>
        <v>0.37466666666666659</v>
      </c>
      <c r="K1130" s="1" t="str">
        <f>VLOOKUP(Tabela1[[#This Row],[Cliente]],'BASE DE CLIENTES'!A:D,4,0)</f>
        <v>SÓCIO</v>
      </c>
      <c r="L1130" s="1" t="str">
        <f>VLOOKUP(Tabela1[[#This Row],[Cliente]],'BASE DE CLIENTES'!A:E,5,0)</f>
        <v>Taguatinga Sul (Taguatinga)</v>
      </c>
    </row>
    <row r="1131" spans="2:12" x14ac:dyDescent="0.3">
      <c r="B1131" s="1" t="s">
        <v>152</v>
      </c>
      <c r="C1131" s="4" t="str">
        <f>VLOOKUP(Tabela1[[#This Row],[Cliente]],'BASE DE CLIENTES'!A:E,2,0)</f>
        <v>Aparecida de Goiânia</v>
      </c>
      <c r="D1131" s="1" t="str">
        <f>VLOOKUP(Tabela1[[#This Row],[Cliente]],'BASE DE CLIENTES'!A:C,3,0)</f>
        <v>GO</v>
      </c>
      <c r="E1131" s="4" t="str">
        <f>CONCATENATE(Tabela1[[#This Row],[CIDADE]],",",Tabela1[[#This Row],[UF]])</f>
        <v>Aparecida de Goiânia,GO</v>
      </c>
      <c r="F1131" s="2">
        <v>45861</v>
      </c>
      <c r="G1131" s="17">
        <v>54.76</v>
      </c>
      <c r="H1131" s="17">
        <v>400</v>
      </c>
      <c r="I1131" s="6">
        <f>Tabela1[[#This Row],[Valor total]]-Tabela1[[#This Row],[Valor custo]]</f>
        <v>345.24</v>
      </c>
      <c r="J1131" s="7">
        <f>Tabela1[[#This Row],[MARGEM BRUTA]]/Tabela1[[#This Row],[Valor total]]</f>
        <v>0.86309999999999998</v>
      </c>
      <c r="K1131" s="1" t="str">
        <f>VLOOKUP(Tabela1[[#This Row],[Cliente]],'BASE DE CLIENTES'!A:D,4,0)</f>
        <v>TECNICO</v>
      </c>
      <c r="L1131" s="1" t="str">
        <f>VLOOKUP(Tabela1[[#This Row],[Cliente]],'BASE DE CLIENTES'!A:E,5,0)</f>
        <v>Aparecida de Goiânia</v>
      </c>
    </row>
    <row r="1132" spans="2:12" x14ac:dyDescent="0.3">
      <c r="B1132" s="1" t="s">
        <v>76</v>
      </c>
      <c r="C1132" s="4" t="str">
        <f>VLOOKUP(Tabela1[[#This Row],[Cliente]],'BASE DE CLIENTES'!A:E,2,0)</f>
        <v>Brasília</v>
      </c>
      <c r="D1132" s="1" t="str">
        <f>VLOOKUP(Tabela1[[#This Row],[Cliente]],'BASE DE CLIENTES'!A:C,3,0)</f>
        <v>DF</v>
      </c>
      <c r="E1132" s="4" t="str">
        <f>CONCATENATE(Tabela1[[#This Row],[CIDADE]],",",Tabela1[[#This Row],[UF]])</f>
        <v>Brasília,DF</v>
      </c>
      <c r="F1132" s="2">
        <v>45796</v>
      </c>
      <c r="G1132" s="17">
        <v>395</v>
      </c>
      <c r="H1132" s="17">
        <v>1250</v>
      </c>
      <c r="I1132" s="6">
        <f>Tabela1[[#This Row],[Valor total]]-Tabela1[[#This Row],[Valor custo]]</f>
        <v>855</v>
      </c>
      <c r="J1132" s="7">
        <f>Tabela1[[#This Row],[MARGEM BRUTA]]/Tabela1[[#This Row],[Valor total]]</f>
        <v>0.68400000000000005</v>
      </c>
      <c r="K1132" s="1" t="str">
        <f>VLOOKUP(Tabela1[[#This Row],[Cliente]],'BASE DE CLIENTES'!A:D,4,0)</f>
        <v>EMPRESA COM MAQUINA</v>
      </c>
      <c r="L1132" s="1" t="str">
        <f>VLOOKUP(Tabela1[[#This Row],[Cliente]],'BASE DE CLIENTES'!A:E,5,0)</f>
        <v>Setor Placa da Mercedes (Núcleo Bandeirante)</v>
      </c>
    </row>
    <row r="1133" spans="2:12" x14ac:dyDescent="0.3">
      <c r="B1133" s="1" t="s">
        <v>138</v>
      </c>
      <c r="C1133" s="4" t="str">
        <f>VLOOKUP(Tabela1[[#This Row],[Cliente]],'BASE DE CLIENTES'!A:E,2,0)</f>
        <v>Brasília</v>
      </c>
      <c r="D1133" s="1" t="str">
        <f>VLOOKUP(Tabela1[[#This Row],[Cliente]],'BASE DE CLIENTES'!A:C,3,0)</f>
        <v>DF</v>
      </c>
      <c r="E1133" s="4" t="str">
        <f>CONCATENATE(Tabela1[[#This Row],[CIDADE]],",",Tabela1[[#This Row],[UF]])</f>
        <v>Brasília,DF</v>
      </c>
      <c r="F1133" s="2">
        <v>45793</v>
      </c>
      <c r="G1133" s="17">
        <v>68.45</v>
      </c>
      <c r="H1133" s="17">
        <v>450</v>
      </c>
      <c r="I1133" s="6">
        <f>Tabela1[[#This Row],[Valor total]]-Tabela1[[#This Row],[Valor custo]]</f>
        <v>381.55</v>
      </c>
      <c r="J1133" s="7">
        <f>Tabela1[[#This Row],[MARGEM BRUTA]]/Tabela1[[#This Row],[Valor total]]</f>
        <v>0.84788888888888891</v>
      </c>
      <c r="K1133" s="1" t="str">
        <f>VLOOKUP(Tabela1[[#This Row],[Cliente]],'BASE DE CLIENTES'!A:D,4,0)</f>
        <v>OUTROS RAMOS</v>
      </c>
      <c r="L1133" s="1" t="str">
        <f>VLOOKUP(Tabela1[[#This Row],[Cliente]],'BASE DE CLIENTES'!A:E,5,0)</f>
        <v>CEILANDIA NORTE (CEILANDIA)</v>
      </c>
    </row>
    <row r="1134" spans="2:12" x14ac:dyDescent="0.3">
      <c r="B1134" s="1" t="s">
        <v>152</v>
      </c>
      <c r="C1134" s="4" t="str">
        <f>VLOOKUP(Tabela1[[#This Row],[Cliente]],'BASE DE CLIENTES'!A:E,2,0)</f>
        <v>Aparecida de Goiânia</v>
      </c>
      <c r="D1134" s="1" t="str">
        <f>VLOOKUP(Tabela1[[#This Row],[Cliente]],'BASE DE CLIENTES'!A:C,3,0)</f>
        <v>GO</v>
      </c>
      <c r="E1134" s="4" t="str">
        <f>CONCATENATE(Tabela1[[#This Row],[CIDADE]],",",Tabela1[[#This Row],[UF]])</f>
        <v>Aparecida de Goiânia,GO</v>
      </c>
      <c r="F1134" s="2">
        <v>45839</v>
      </c>
      <c r="G1134" s="17">
        <v>45</v>
      </c>
      <c r="H1134" s="17">
        <v>350</v>
      </c>
      <c r="I1134" s="6">
        <f>Tabela1[[#This Row],[Valor total]]-Tabela1[[#This Row],[Valor custo]]</f>
        <v>305</v>
      </c>
      <c r="J1134" s="7">
        <f>Tabela1[[#This Row],[MARGEM BRUTA]]/Tabela1[[#This Row],[Valor total]]</f>
        <v>0.87142857142857144</v>
      </c>
      <c r="K1134" s="1" t="str">
        <f>VLOOKUP(Tabela1[[#This Row],[Cliente]],'BASE DE CLIENTES'!A:D,4,0)</f>
        <v>TECNICO</v>
      </c>
      <c r="L1134" s="1" t="str">
        <f>VLOOKUP(Tabela1[[#This Row],[Cliente]],'BASE DE CLIENTES'!A:E,5,0)</f>
        <v>Aparecida de Goiânia</v>
      </c>
    </row>
    <row r="1135" spans="2:12" x14ac:dyDescent="0.3">
      <c r="B1135" s="1" t="s">
        <v>55</v>
      </c>
      <c r="C1135" s="4" t="str">
        <f>VLOOKUP(Tabela1[[#This Row],[Cliente]],'BASE DE CLIENTES'!A:E,2,0)</f>
        <v>Brasília</v>
      </c>
      <c r="D1135" s="1" t="str">
        <f>VLOOKUP(Tabela1[[#This Row],[Cliente]],'BASE DE CLIENTES'!A:C,3,0)</f>
        <v>DF</v>
      </c>
      <c r="E1135" s="4" t="str">
        <f>CONCATENATE(Tabela1[[#This Row],[CIDADE]],",",Tabela1[[#This Row],[UF]])</f>
        <v>Brasília,DF</v>
      </c>
      <c r="F1135" s="2">
        <v>45793</v>
      </c>
      <c r="G1135" s="17">
        <v>521</v>
      </c>
      <c r="H1135" s="17">
        <v>840</v>
      </c>
      <c r="I1135" s="6">
        <f>Tabela1[[#This Row],[Valor total]]-Tabela1[[#This Row],[Valor custo]]</f>
        <v>319</v>
      </c>
      <c r="J1135" s="7">
        <f>Tabela1[[#This Row],[MARGEM BRUTA]]/Tabela1[[#This Row],[Valor total]]</f>
        <v>0.37976190476190474</v>
      </c>
      <c r="K1135" s="1" t="str">
        <f>VLOOKUP(Tabela1[[#This Row],[Cliente]],'BASE DE CLIENTES'!A:D,4,0)</f>
        <v>EMPRESA SEM MAQUINA</v>
      </c>
      <c r="L1135" s="1" t="str">
        <f>VLOOKUP(Tabela1[[#This Row],[Cliente]],'BASE DE CLIENTES'!A:E,5,0)</f>
        <v>RECANTO DAS EMAS</v>
      </c>
    </row>
    <row r="1136" spans="2:12" x14ac:dyDescent="0.3">
      <c r="B1136" s="1" t="s">
        <v>152</v>
      </c>
      <c r="C1136" s="4" t="str">
        <f>VLOOKUP(Tabela1[[#This Row],[Cliente]],'BASE DE CLIENTES'!A:E,2,0)</f>
        <v>Aparecida de Goiânia</v>
      </c>
      <c r="D1136" s="1" t="str">
        <f>VLOOKUP(Tabela1[[#This Row],[Cliente]],'BASE DE CLIENTES'!A:C,3,0)</f>
        <v>GO</v>
      </c>
      <c r="E1136" s="4" t="str">
        <f>CONCATENATE(Tabela1[[#This Row],[CIDADE]],",",Tabela1[[#This Row],[UF]])</f>
        <v>Aparecida de Goiânia,GO</v>
      </c>
      <c r="F1136" s="2">
        <v>45671</v>
      </c>
      <c r="G1136" s="17">
        <v>13.69</v>
      </c>
      <c r="H1136" s="17">
        <v>110</v>
      </c>
      <c r="I1136" s="6">
        <f>Tabela1[[#This Row],[Valor total]]-Tabela1[[#This Row],[Valor custo]]</f>
        <v>96.31</v>
      </c>
      <c r="J1136" s="7">
        <f>Tabela1[[#This Row],[MARGEM BRUTA]]/Tabela1[[#This Row],[Valor total]]</f>
        <v>0.87554545454545452</v>
      </c>
      <c r="K1136" s="1" t="str">
        <f>VLOOKUP(Tabela1[[#This Row],[Cliente]],'BASE DE CLIENTES'!A:D,4,0)</f>
        <v>TECNICO</v>
      </c>
      <c r="L1136" s="1" t="str">
        <f>VLOOKUP(Tabela1[[#This Row],[Cliente]],'BASE DE CLIENTES'!A:E,5,0)</f>
        <v>Aparecida de Goiânia</v>
      </c>
    </row>
    <row r="1137" spans="2:12" x14ac:dyDescent="0.3">
      <c r="B1137" s="1" t="s">
        <v>152</v>
      </c>
      <c r="C1137" s="4" t="str">
        <f>VLOOKUP(Tabela1[[#This Row],[Cliente]],'BASE DE CLIENTES'!A:E,2,0)</f>
        <v>Aparecida de Goiânia</v>
      </c>
      <c r="D1137" s="1" t="str">
        <f>VLOOKUP(Tabela1[[#This Row],[Cliente]],'BASE DE CLIENTES'!A:C,3,0)</f>
        <v>GO</v>
      </c>
      <c r="E1137" s="4" t="str">
        <f>CONCATENATE(Tabela1[[#This Row],[CIDADE]],",",Tabela1[[#This Row],[UF]])</f>
        <v>Aparecida de Goiânia,GO</v>
      </c>
      <c r="F1137" s="2">
        <v>45814</v>
      </c>
      <c r="G1137" s="17">
        <v>13.69</v>
      </c>
      <c r="H1137" s="17">
        <v>110</v>
      </c>
      <c r="I1137" s="6">
        <f>Tabela1[[#This Row],[Valor total]]-Tabela1[[#This Row],[Valor custo]]</f>
        <v>96.31</v>
      </c>
      <c r="J1137" s="7">
        <f>Tabela1[[#This Row],[MARGEM BRUTA]]/Tabela1[[#This Row],[Valor total]]</f>
        <v>0.87554545454545452</v>
      </c>
      <c r="K1137" s="1" t="str">
        <f>VLOOKUP(Tabela1[[#This Row],[Cliente]],'BASE DE CLIENTES'!A:D,4,0)</f>
        <v>TECNICO</v>
      </c>
      <c r="L1137" s="1" t="str">
        <f>VLOOKUP(Tabela1[[#This Row],[Cliente]],'BASE DE CLIENTES'!A:E,5,0)</f>
        <v>Aparecida de Goiânia</v>
      </c>
    </row>
    <row r="1138" spans="2:12" x14ac:dyDescent="0.3">
      <c r="B1138" s="1" t="s">
        <v>85</v>
      </c>
      <c r="C1138" s="4" t="str">
        <f>VLOOKUP(Tabela1[[#This Row],[Cliente]],'BASE DE CLIENTES'!A:E,2,0)</f>
        <v>Brasília</v>
      </c>
      <c r="D1138" s="1" t="str">
        <f>VLOOKUP(Tabela1[[#This Row],[Cliente]],'BASE DE CLIENTES'!A:C,3,0)</f>
        <v>DF</v>
      </c>
      <c r="E1138" s="4" t="str">
        <f>CONCATENATE(Tabela1[[#This Row],[CIDADE]],",",Tabela1[[#This Row],[UF]])</f>
        <v>Brasília,DF</v>
      </c>
      <c r="F1138" s="2">
        <v>45793</v>
      </c>
      <c r="G1138" s="17">
        <v>41</v>
      </c>
      <c r="H1138" s="17">
        <v>55</v>
      </c>
      <c r="I1138" s="6">
        <f>Tabela1[[#This Row],[Valor total]]-Tabela1[[#This Row],[Valor custo]]</f>
        <v>14</v>
      </c>
      <c r="J1138" s="7">
        <f>Tabela1[[#This Row],[MARGEM BRUTA]]/Tabela1[[#This Row],[Valor total]]</f>
        <v>0.25454545454545452</v>
      </c>
      <c r="K1138" s="1" t="str">
        <f>VLOOKUP(Tabela1[[#This Row],[Cliente]],'BASE DE CLIENTES'!A:D,4,0)</f>
        <v>SERRALHEIRO</v>
      </c>
      <c r="L1138" s="1" t="str">
        <f>VLOOKUP(Tabela1[[#This Row],[Cliente]],'BASE DE CLIENTES'!A:E,5,0)</f>
        <v>SAMAMBAIA NORTE (SAMAMBAIA)</v>
      </c>
    </row>
    <row r="1139" spans="2:12" x14ac:dyDescent="0.3">
      <c r="B1139" s="1" t="s">
        <v>27</v>
      </c>
      <c r="C1139" s="4" t="str">
        <f>VLOOKUP(Tabela1[[#This Row],[Cliente]],'BASE DE CLIENTES'!A:E,2,0)</f>
        <v>Brasília</v>
      </c>
      <c r="D1139" s="1" t="str">
        <f>VLOOKUP(Tabela1[[#This Row],[Cliente]],'BASE DE CLIENTES'!A:C,3,0)</f>
        <v>DF</v>
      </c>
      <c r="E1139" s="4" t="str">
        <f>CONCATENATE(Tabela1[[#This Row],[CIDADE]],",",Tabela1[[#This Row],[UF]])</f>
        <v>Brasília,DF</v>
      </c>
      <c r="F1139" s="2">
        <v>45793</v>
      </c>
      <c r="G1139" s="17">
        <v>1340.74</v>
      </c>
      <c r="H1139" s="17">
        <v>1990</v>
      </c>
      <c r="I1139" s="6">
        <f>Tabela1[[#This Row],[Valor total]]-Tabela1[[#This Row],[Valor custo]]</f>
        <v>649.26</v>
      </c>
      <c r="J1139" s="7">
        <f>Tabela1[[#This Row],[MARGEM BRUTA]]/Tabela1[[#This Row],[Valor total]]</f>
        <v>0.32626130653266333</v>
      </c>
      <c r="K1139" s="1" t="str">
        <f>VLOOKUP(Tabela1[[#This Row],[Cliente]],'BASE DE CLIENTES'!A:D,4,0)</f>
        <v>EMPRESA SEM MAQUINA</v>
      </c>
      <c r="L1139" s="1" t="str">
        <f>VLOOKUP(Tabela1[[#This Row],[Cliente]],'BASE DE CLIENTES'!A:E,5,0)</f>
        <v>RECANTO DAS EMAS</v>
      </c>
    </row>
    <row r="1140" spans="2:12" x14ac:dyDescent="0.3">
      <c r="B1140" s="1" t="s">
        <v>172</v>
      </c>
      <c r="C1140" s="4" t="str">
        <f>VLOOKUP(Tabela1[[#This Row],[Cliente]],'BASE DE CLIENTES'!A:E,2,0)</f>
        <v>Brasília</v>
      </c>
      <c r="D1140" s="1" t="str">
        <f>VLOOKUP(Tabela1[[#This Row],[Cliente]],'BASE DE CLIENTES'!A:C,3,0)</f>
        <v>DF</v>
      </c>
      <c r="E1140" s="4" t="str">
        <f>CONCATENATE(Tabela1[[#This Row],[CIDADE]],",",Tabela1[[#This Row],[UF]])</f>
        <v>Brasília,DF</v>
      </c>
      <c r="F1140" s="2">
        <v>45896</v>
      </c>
      <c r="G1140" s="17">
        <v>289</v>
      </c>
      <c r="H1140" s="17">
        <v>600</v>
      </c>
      <c r="I1140" s="6">
        <f>Tabela1[[#This Row],[Valor total]]-Tabela1[[#This Row],[Valor custo]]</f>
        <v>311</v>
      </c>
      <c r="J1140" s="7">
        <f>Tabela1[[#This Row],[MARGEM BRUTA]]/Tabela1[[#This Row],[Valor total]]</f>
        <v>0.51833333333333331</v>
      </c>
      <c r="K1140" s="1" t="str">
        <f>VLOOKUP(Tabela1[[#This Row],[Cliente]],'BASE DE CLIENTES'!A:D,4,0)</f>
        <v>SEM CLASSIFICAÇÃO</v>
      </c>
      <c r="L1140" s="1" t="str">
        <f>VLOOKUP(Tabela1[[#This Row],[Cliente]],'BASE DE CLIENTES'!A:E,5,0)</f>
        <v>ASA SUL</v>
      </c>
    </row>
    <row r="1141" spans="2:12" x14ac:dyDescent="0.3">
      <c r="B1141" s="1" t="s">
        <v>25</v>
      </c>
      <c r="C1141" s="4" t="str">
        <f>VLOOKUP(Tabela1[[#This Row],[Cliente]],'BASE DE CLIENTES'!A:E,2,0)</f>
        <v>Brasília</v>
      </c>
      <c r="D1141" s="1" t="str">
        <f>VLOOKUP(Tabela1[[#This Row],[Cliente]],'BASE DE CLIENTES'!A:C,3,0)</f>
        <v>DF</v>
      </c>
      <c r="E1141" s="4" t="str">
        <f>CONCATENATE(Tabela1[[#This Row],[CIDADE]],",",Tabela1[[#This Row],[UF]])</f>
        <v>Brasília,DF</v>
      </c>
      <c r="F1141" s="2">
        <v>45793</v>
      </c>
      <c r="G1141" s="17">
        <v>497</v>
      </c>
      <c r="H1141" s="17">
        <v>165</v>
      </c>
      <c r="I1141" s="6">
        <f>Tabela1[[#This Row],[Valor total]]-Tabela1[[#This Row],[Valor custo]]</f>
        <v>-332</v>
      </c>
      <c r="J1141" s="7">
        <f>Tabela1[[#This Row],[MARGEM BRUTA]]/Tabela1[[#This Row],[Valor total]]</f>
        <v>-2.0121212121212122</v>
      </c>
      <c r="K1141" s="1" t="str">
        <f>VLOOKUP(Tabela1[[#This Row],[Cliente]],'BASE DE CLIENTES'!A:D,4,0)</f>
        <v>EMPRESA COM MAQUINA</v>
      </c>
      <c r="L1141" s="1" t="str">
        <f>VLOOKUP(Tabela1[[#This Row],[Cliente]],'BASE DE CLIENTES'!A:E,5,0)</f>
        <v>CEILANDIA NORTE (CEILANDIA)</v>
      </c>
    </row>
    <row r="1142" spans="2:12" x14ac:dyDescent="0.3">
      <c r="B1142" s="1" t="s">
        <v>108</v>
      </c>
      <c r="C1142" s="4" t="str">
        <f>VLOOKUP(Tabela1[[#This Row],[Cliente]],'BASE DE CLIENTES'!A:E,2,0)</f>
        <v>Brasília</v>
      </c>
      <c r="D1142" s="1" t="str">
        <f>VLOOKUP(Tabela1[[#This Row],[Cliente]],'BASE DE CLIENTES'!A:C,3,0)</f>
        <v>DF</v>
      </c>
      <c r="E1142" s="4" t="str">
        <f>CONCATENATE(Tabela1[[#This Row],[CIDADE]],",",Tabela1[[#This Row],[UF]])</f>
        <v>Brasília,DF</v>
      </c>
      <c r="F1142" s="2">
        <v>45793</v>
      </c>
      <c r="G1142" s="17">
        <v>204</v>
      </c>
      <c r="H1142" s="17">
        <v>450</v>
      </c>
      <c r="I1142" s="6">
        <f>Tabela1[[#This Row],[Valor total]]-Tabela1[[#This Row],[Valor custo]]</f>
        <v>246</v>
      </c>
      <c r="J1142" s="7">
        <f>Tabela1[[#This Row],[MARGEM BRUTA]]/Tabela1[[#This Row],[Valor total]]</f>
        <v>0.54666666666666663</v>
      </c>
      <c r="K1142" s="1" t="str">
        <f>VLOOKUP(Tabela1[[#This Row],[Cliente]],'BASE DE CLIENTES'!A:D,4,0)</f>
        <v>SERRALHEIRO</v>
      </c>
      <c r="L1142" s="1" t="str">
        <f>VLOOKUP(Tabela1[[#This Row],[Cliente]],'BASE DE CLIENTES'!A:E,5,0)</f>
        <v>Vila Planalto</v>
      </c>
    </row>
    <row r="1143" spans="2:12" x14ac:dyDescent="0.3">
      <c r="B1143" s="1" t="s">
        <v>152</v>
      </c>
      <c r="C1143" s="4" t="str">
        <f>VLOOKUP(Tabela1[[#This Row],[Cliente]],'BASE DE CLIENTES'!A:E,2,0)</f>
        <v>Aparecida de Goiânia</v>
      </c>
      <c r="D1143" s="1" t="str">
        <f>VLOOKUP(Tabela1[[#This Row],[Cliente]],'BASE DE CLIENTES'!A:C,3,0)</f>
        <v>GO</v>
      </c>
      <c r="E1143" s="4" t="str">
        <f>CONCATENATE(Tabela1[[#This Row],[CIDADE]],",",Tabela1[[#This Row],[UF]])</f>
        <v>Aparecida de Goiânia,GO</v>
      </c>
      <c r="F1143" s="2">
        <v>45805</v>
      </c>
      <c r="G1143" s="17">
        <v>0</v>
      </c>
      <c r="H1143" s="17">
        <v>350</v>
      </c>
      <c r="I1143" s="6">
        <f>Tabela1[[#This Row],[Valor total]]-Tabela1[[#This Row],[Valor custo]]</f>
        <v>350</v>
      </c>
      <c r="J1143" s="7">
        <f>Tabela1[[#This Row],[MARGEM BRUTA]]/Tabela1[[#This Row],[Valor total]]</f>
        <v>1</v>
      </c>
      <c r="K1143" s="1" t="str">
        <f>VLOOKUP(Tabela1[[#This Row],[Cliente]],'BASE DE CLIENTES'!A:D,4,0)</f>
        <v>TECNICO</v>
      </c>
      <c r="L1143" s="1" t="str">
        <f>VLOOKUP(Tabela1[[#This Row],[Cliente]],'BASE DE CLIENTES'!A:E,5,0)</f>
        <v>Aparecida de Goiânia</v>
      </c>
    </row>
    <row r="1144" spans="2:12" x14ac:dyDescent="0.3">
      <c r="B1144" s="1" t="s">
        <v>88</v>
      </c>
      <c r="C1144" s="4" t="str">
        <f>VLOOKUP(Tabela1[[#This Row],[Cliente]],'BASE DE CLIENTES'!A:E,2,0)</f>
        <v>Brasília</v>
      </c>
      <c r="D1144" s="1" t="str">
        <f>VLOOKUP(Tabela1[[#This Row],[Cliente]],'BASE DE CLIENTES'!A:C,3,0)</f>
        <v>DF</v>
      </c>
      <c r="E1144" s="4" t="str">
        <f>CONCATENATE(Tabela1[[#This Row],[CIDADE]],",",Tabela1[[#This Row],[UF]])</f>
        <v>Brasília,DF</v>
      </c>
      <c r="F1144" s="2">
        <v>45792</v>
      </c>
      <c r="G1144" s="17">
        <v>1367</v>
      </c>
      <c r="H1144" s="17">
        <v>2010</v>
      </c>
      <c r="I1144" s="6">
        <f>Tabela1[[#This Row],[Valor total]]-Tabela1[[#This Row],[Valor custo]]</f>
        <v>643</v>
      </c>
      <c r="J1144" s="7">
        <f>Tabela1[[#This Row],[MARGEM BRUTA]]/Tabela1[[#This Row],[Valor total]]</f>
        <v>0.31990049751243782</v>
      </c>
      <c r="K1144" s="1" t="str">
        <f>VLOOKUP(Tabela1[[#This Row],[Cliente]],'BASE DE CLIENTES'!A:D,4,0)</f>
        <v>SERRALHEIRO</v>
      </c>
      <c r="L1144" s="1" t="str">
        <f>VLOOKUP(Tabela1[[#This Row],[Cliente]],'BASE DE CLIENTES'!A:E,5,0)</f>
        <v>RECANTO DAS EMAS</v>
      </c>
    </row>
    <row r="1145" spans="2:12" x14ac:dyDescent="0.3">
      <c r="B1145" s="1" t="s">
        <v>152</v>
      </c>
      <c r="C1145" s="4" t="str">
        <f>VLOOKUP(Tabela1[[#This Row],[Cliente]],'BASE DE CLIENTES'!A:E,2,0)</f>
        <v>Aparecida de Goiânia</v>
      </c>
      <c r="D1145" s="1" t="str">
        <f>VLOOKUP(Tabela1[[#This Row],[Cliente]],'BASE DE CLIENTES'!A:C,3,0)</f>
        <v>GO</v>
      </c>
      <c r="E1145" s="4" t="str">
        <f>CONCATENATE(Tabela1[[#This Row],[CIDADE]],",",Tabela1[[#This Row],[UF]])</f>
        <v>Aparecida de Goiânia,GO</v>
      </c>
      <c r="F1145" s="2">
        <v>45828</v>
      </c>
      <c r="G1145" s="17">
        <v>0</v>
      </c>
      <c r="H1145" s="17">
        <v>800</v>
      </c>
      <c r="I1145" s="6">
        <f>Tabela1[[#This Row],[Valor total]]-Tabela1[[#This Row],[Valor custo]]</f>
        <v>800</v>
      </c>
      <c r="J1145" s="7">
        <f>Tabela1[[#This Row],[MARGEM BRUTA]]/Tabela1[[#This Row],[Valor total]]</f>
        <v>1</v>
      </c>
      <c r="K1145" s="1" t="str">
        <f>VLOOKUP(Tabela1[[#This Row],[Cliente]],'BASE DE CLIENTES'!A:D,4,0)</f>
        <v>TECNICO</v>
      </c>
      <c r="L1145" s="1" t="str">
        <f>VLOOKUP(Tabela1[[#This Row],[Cliente]],'BASE DE CLIENTES'!A:E,5,0)</f>
        <v>Aparecida de Goiânia</v>
      </c>
    </row>
    <row r="1146" spans="2:12" x14ac:dyDescent="0.3">
      <c r="B1146" s="1" t="s">
        <v>152</v>
      </c>
      <c r="C1146" s="4" t="str">
        <f>VLOOKUP(Tabela1[[#This Row],[Cliente]],'BASE DE CLIENTES'!A:E,2,0)</f>
        <v>Aparecida de Goiânia</v>
      </c>
      <c r="D1146" s="1" t="str">
        <f>VLOOKUP(Tabela1[[#This Row],[Cliente]],'BASE DE CLIENTES'!A:C,3,0)</f>
        <v>GO</v>
      </c>
      <c r="E1146" s="4" t="str">
        <f>CONCATENATE(Tabela1[[#This Row],[CIDADE]],",",Tabela1[[#This Row],[UF]])</f>
        <v>Aparecida de Goiânia,GO</v>
      </c>
      <c r="F1146" s="2">
        <v>45862</v>
      </c>
      <c r="G1146" s="17">
        <v>0</v>
      </c>
      <c r="H1146" s="17">
        <v>5200</v>
      </c>
      <c r="I1146" s="6">
        <f>Tabela1[[#This Row],[Valor total]]-Tabela1[[#This Row],[Valor custo]]</f>
        <v>5200</v>
      </c>
      <c r="J1146" s="7">
        <f>Tabela1[[#This Row],[MARGEM BRUTA]]/Tabela1[[#This Row],[Valor total]]</f>
        <v>1</v>
      </c>
      <c r="K1146" s="1" t="str">
        <f>VLOOKUP(Tabela1[[#This Row],[Cliente]],'BASE DE CLIENTES'!A:D,4,0)</f>
        <v>TECNICO</v>
      </c>
      <c r="L1146" s="1" t="str">
        <f>VLOOKUP(Tabela1[[#This Row],[Cliente]],'BASE DE CLIENTES'!A:E,5,0)</f>
        <v>Aparecida de Goiânia</v>
      </c>
    </row>
    <row r="1147" spans="2:12" x14ac:dyDescent="0.3">
      <c r="B1147" s="1" t="s">
        <v>152</v>
      </c>
      <c r="C1147" s="4" t="str">
        <f>VLOOKUP(Tabela1[[#This Row],[Cliente]],'BASE DE CLIENTES'!A:E,2,0)</f>
        <v>Aparecida de Goiânia</v>
      </c>
      <c r="D1147" s="1" t="str">
        <f>VLOOKUP(Tabela1[[#This Row],[Cliente]],'BASE DE CLIENTES'!A:C,3,0)</f>
        <v>GO</v>
      </c>
      <c r="E1147" s="4" t="str">
        <f>CONCATENATE(Tabela1[[#This Row],[CIDADE]],",",Tabela1[[#This Row],[UF]])</f>
        <v>Aparecida de Goiânia,GO</v>
      </c>
      <c r="F1147" s="2">
        <v>45856</v>
      </c>
      <c r="G1147" s="17">
        <v>0</v>
      </c>
      <c r="H1147" s="17">
        <v>2150</v>
      </c>
      <c r="I1147" s="6">
        <f>Tabela1[[#This Row],[Valor total]]-Tabela1[[#This Row],[Valor custo]]</f>
        <v>2150</v>
      </c>
      <c r="J1147" s="7">
        <f>Tabela1[[#This Row],[MARGEM BRUTA]]/Tabela1[[#This Row],[Valor total]]</f>
        <v>1</v>
      </c>
      <c r="K1147" s="1" t="str">
        <f>VLOOKUP(Tabela1[[#This Row],[Cliente]],'BASE DE CLIENTES'!A:D,4,0)</f>
        <v>TECNICO</v>
      </c>
      <c r="L1147" s="1" t="str">
        <f>VLOOKUP(Tabela1[[#This Row],[Cliente]],'BASE DE CLIENTES'!A:E,5,0)</f>
        <v>Aparecida de Goiânia</v>
      </c>
    </row>
    <row r="1148" spans="2:12" x14ac:dyDescent="0.3">
      <c r="B1148" s="1" t="s">
        <v>111</v>
      </c>
      <c r="C1148" s="4" t="str">
        <f>VLOOKUP(Tabela1[[#This Row],[Cliente]],'BASE DE CLIENTES'!A:E,2,0)</f>
        <v>Brasília</v>
      </c>
      <c r="D1148" s="1" t="str">
        <f>VLOOKUP(Tabela1[[#This Row],[Cliente]],'BASE DE CLIENTES'!A:C,3,0)</f>
        <v>DF</v>
      </c>
      <c r="E1148" s="4" t="str">
        <f>CONCATENATE(Tabela1[[#This Row],[CIDADE]],",",Tabela1[[#This Row],[UF]])</f>
        <v>Brasília,DF</v>
      </c>
      <c r="F1148" s="2">
        <v>45792</v>
      </c>
      <c r="G1148" s="17">
        <v>6317.66</v>
      </c>
      <c r="H1148" s="17">
        <v>9732</v>
      </c>
      <c r="I1148" s="6">
        <f>Tabela1[[#This Row],[Valor total]]-Tabela1[[#This Row],[Valor custo]]</f>
        <v>3414.34</v>
      </c>
      <c r="J1148" s="7">
        <f>Tabela1[[#This Row],[MARGEM BRUTA]]/Tabela1[[#This Row],[Valor total]]</f>
        <v>0.35083641594739007</v>
      </c>
      <c r="K1148" s="1" t="str">
        <f>VLOOKUP(Tabela1[[#This Row],[Cliente]],'BASE DE CLIENTES'!A:D,4,0)</f>
        <v>EMPRESA SEM MAQUINA</v>
      </c>
      <c r="L1148" s="1" t="str">
        <f>VLOOKUP(Tabela1[[#This Row],[Cliente]],'BASE DE CLIENTES'!A:E,5,0)</f>
        <v>TAGUATINGA SUL (TAGUATINGA)</v>
      </c>
    </row>
    <row r="1149" spans="2:12" x14ac:dyDescent="0.3">
      <c r="B1149" s="1" t="s">
        <v>27</v>
      </c>
      <c r="C1149" s="4" t="str">
        <f>VLOOKUP(Tabela1[[#This Row],[Cliente]],'BASE DE CLIENTES'!A:E,2,0)</f>
        <v>Brasília</v>
      </c>
      <c r="D1149" s="1" t="str">
        <f>VLOOKUP(Tabela1[[#This Row],[Cliente]],'BASE DE CLIENTES'!A:C,3,0)</f>
        <v>DF</v>
      </c>
      <c r="E1149" s="4" t="str">
        <f>CONCATENATE(Tabela1[[#This Row],[CIDADE]],",",Tabela1[[#This Row],[UF]])</f>
        <v>Brasília,DF</v>
      </c>
      <c r="F1149" s="2">
        <v>45792</v>
      </c>
      <c r="G1149" s="17">
        <v>1543.87</v>
      </c>
      <c r="H1149" s="17">
        <v>2125</v>
      </c>
      <c r="I1149" s="6">
        <f>Tabela1[[#This Row],[Valor total]]-Tabela1[[#This Row],[Valor custo]]</f>
        <v>581.13000000000011</v>
      </c>
      <c r="J1149" s="7">
        <f>Tabela1[[#This Row],[MARGEM BRUTA]]/Tabela1[[#This Row],[Valor total]]</f>
        <v>0.27347294117647064</v>
      </c>
      <c r="K1149" s="1" t="str">
        <f>VLOOKUP(Tabela1[[#This Row],[Cliente]],'BASE DE CLIENTES'!A:D,4,0)</f>
        <v>EMPRESA SEM MAQUINA</v>
      </c>
      <c r="L1149" s="1" t="str">
        <f>VLOOKUP(Tabela1[[#This Row],[Cliente]],'BASE DE CLIENTES'!A:E,5,0)</f>
        <v>RECANTO DAS EMAS</v>
      </c>
    </row>
    <row r="1150" spans="2:12" x14ac:dyDescent="0.3">
      <c r="B1150" s="1" t="s">
        <v>152</v>
      </c>
      <c r="C1150" s="4" t="str">
        <f>VLOOKUP(Tabela1[[#This Row],[Cliente]],'BASE DE CLIENTES'!A:E,2,0)</f>
        <v>Aparecida de Goiânia</v>
      </c>
      <c r="D1150" s="1" t="str">
        <f>VLOOKUP(Tabela1[[#This Row],[Cliente]],'BASE DE CLIENTES'!A:C,3,0)</f>
        <v>GO</v>
      </c>
      <c r="E1150" s="4" t="str">
        <f>CONCATENATE(Tabela1[[#This Row],[CIDADE]],",",Tabela1[[#This Row],[UF]])</f>
        <v>Aparecida de Goiânia,GO</v>
      </c>
      <c r="F1150" s="2">
        <v>45898</v>
      </c>
      <c r="G1150" s="17">
        <v>0</v>
      </c>
      <c r="H1150" s="17">
        <v>700</v>
      </c>
      <c r="I1150" s="6">
        <f>Tabela1[[#This Row],[Valor total]]-Tabela1[[#This Row],[Valor custo]]</f>
        <v>700</v>
      </c>
      <c r="J1150" s="7">
        <f>Tabela1[[#This Row],[MARGEM BRUTA]]/Tabela1[[#This Row],[Valor total]]</f>
        <v>1</v>
      </c>
      <c r="K1150" s="1" t="str">
        <f>VLOOKUP(Tabela1[[#This Row],[Cliente]],'BASE DE CLIENTES'!A:D,4,0)</f>
        <v>TECNICO</v>
      </c>
      <c r="L1150" s="1" t="str">
        <f>VLOOKUP(Tabela1[[#This Row],[Cliente]],'BASE DE CLIENTES'!A:E,5,0)</f>
        <v>Aparecida de Goiânia</v>
      </c>
    </row>
    <row r="1151" spans="2:12" x14ac:dyDescent="0.3">
      <c r="B1151" s="1" t="s">
        <v>70</v>
      </c>
      <c r="C1151" s="4" t="str">
        <f>VLOOKUP(Tabela1[[#This Row],[Cliente]],'BASE DE CLIENTES'!A:E,2,0)</f>
        <v>Brasília</v>
      </c>
      <c r="D1151" s="1" t="str">
        <f>VLOOKUP(Tabela1[[#This Row],[Cliente]],'BASE DE CLIENTES'!A:C,3,0)</f>
        <v>DF</v>
      </c>
      <c r="E1151" s="4" t="str">
        <f>CONCATENATE(Tabela1[[#This Row],[CIDADE]],",",Tabela1[[#This Row],[UF]])</f>
        <v>Brasília,DF</v>
      </c>
      <c r="F1151" s="2">
        <v>45791</v>
      </c>
      <c r="G1151" s="17">
        <v>465.3</v>
      </c>
      <c r="H1151" s="17">
        <v>642</v>
      </c>
      <c r="I1151" s="6">
        <f>Tabela1[[#This Row],[Valor total]]-Tabela1[[#This Row],[Valor custo]]</f>
        <v>176.7</v>
      </c>
      <c r="J1151" s="7">
        <f>Tabela1[[#This Row],[MARGEM BRUTA]]/Tabela1[[#This Row],[Valor total]]</f>
        <v>0.27523364485981305</v>
      </c>
      <c r="K1151" s="1" t="str">
        <f>VLOOKUP(Tabela1[[#This Row],[Cliente]],'BASE DE CLIENTES'!A:D,4,0)</f>
        <v>EMPRESA COM MAQUINA</v>
      </c>
      <c r="L1151" s="1" t="str">
        <f>VLOOKUP(Tabela1[[#This Row],[Cliente]],'BASE DE CLIENTES'!A:E,5,0)</f>
        <v>TAGUATINGA NORTE (TAGUATINGA)</v>
      </c>
    </row>
    <row r="1152" spans="2:12" x14ac:dyDescent="0.3">
      <c r="B1152" s="1" t="s">
        <v>152</v>
      </c>
      <c r="C1152" s="4" t="str">
        <f>VLOOKUP(Tabela1[[#This Row],[Cliente]],'BASE DE CLIENTES'!A:E,2,0)</f>
        <v>Aparecida de Goiânia</v>
      </c>
      <c r="D1152" s="1" t="str">
        <f>VLOOKUP(Tabela1[[#This Row],[Cliente]],'BASE DE CLIENTES'!A:C,3,0)</f>
        <v>GO</v>
      </c>
      <c r="E1152" s="4" t="str">
        <f>CONCATENATE(Tabela1[[#This Row],[CIDADE]],",",Tabela1[[#This Row],[UF]])</f>
        <v>Aparecida de Goiânia,GO</v>
      </c>
      <c r="F1152" s="2">
        <v>45924</v>
      </c>
      <c r="G1152" s="17">
        <v>0</v>
      </c>
      <c r="H1152" s="17">
        <v>900</v>
      </c>
      <c r="I1152" s="6">
        <f>Tabela1[[#This Row],[Valor total]]-Tabela1[[#This Row],[Valor custo]]</f>
        <v>900</v>
      </c>
      <c r="J1152" s="7">
        <f>Tabela1[[#This Row],[MARGEM BRUTA]]/Tabela1[[#This Row],[Valor total]]</f>
        <v>1</v>
      </c>
      <c r="K1152" s="1" t="str">
        <f>VLOOKUP(Tabela1[[#This Row],[Cliente]],'BASE DE CLIENTES'!A:D,4,0)</f>
        <v>TECNICO</v>
      </c>
      <c r="L1152" s="1" t="str">
        <f>VLOOKUP(Tabela1[[#This Row],[Cliente]],'BASE DE CLIENTES'!A:E,5,0)</f>
        <v>Aparecida de Goiânia</v>
      </c>
    </row>
    <row r="1153" spans="2:12" x14ac:dyDescent="0.3">
      <c r="B1153" s="1" t="s">
        <v>108</v>
      </c>
      <c r="C1153" s="4" t="str">
        <f>VLOOKUP(Tabela1[[#This Row],[Cliente]],'BASE DE CLIENTES'!A:E,2,0)</f>
        <v>Brasília</v>
      </c>
      <c r="D1153" s="1" t="str">
        <f>VLOOKUP(Tabela1[[#This Row],[Cliente]],'BASE DE CLIENTES'!A:C,3,0)</f>
        <v>DF</v>
      </c>
      <c r="E1153" s="4" t="str">
        <f>CONCATENATE(Tabela1[[#This Row],[CIDADE]],",",Tabela1[[#This Row],[UF]])</f>
        <v>Brasília,DF</v>
      </c>
      <c r="F1153" s="2">
        <v>45791</v>
      </c>
      <c r="G1153" s="17">
        <v>368.22</v>
      </c>
      <c r="H1153" s="17">
        <v>533</v>
      </c>
      <c r="I1153" s="6">
        <f>Tabela1[[#This Row],[Valor total]]-Tabela1[[#This Row],[Valor custo]]</f>
        <v>164.77999999999997</v>
      </c>
      <c r="J1153" s="7">
        <f>Tabela1[[#This Row],[MARGEM BRUTA]]/Tabela1[[#This Row],[Valor total]]</f>
        <v>0.309155722326454</v>
      </c>
      <c r="K1153" s="1" t="str">
        <f>VLOOKUP(Tabela1[[#This Row],[Cliente]],'BASE DE CLIENTES'!A:D,4,0)</f>
        <v>SERRALHEIRO</v>
      </c>
      <c r="L1153" s="1" t="str">
        <f>VLOOKUP(Tabela1[[#This Row],[Cliente]],'BASE DE CLIENTES'!A:E,5,0)</f>
        <v>Vila Planalto</v>
      </c>
    </row>
    <row r="1154" spans="2:12" x14ac:dyDescent="0.3">
      <c r="B1154" s="1" t="s">
        <v>96</v>
      </c>
      <c r="C1154" s="4" t="str">
        <f>VLOOKUP(Tabela1[[#This Row],[Cliente]],'BASE DE CLIENTES'!A:E,2,0)</f>
        <v>Brasília</v>
      </c>
      <c r="D1154" s="1" t="str">
        <f>VLOOKUP(Tabela1[[#This Row],[Cliente]],'BASE DE CLIENTES'!A:C,3,0)</f>
        <v>DF</v>
      </c>
      <c r="E1154" s="4" t="str">
        <f>CONCATENATE(Tabela1[[#This Row],[CIDADE]],",",Tabela1[[#This Row],[UF]])</f>
        <v>Brasília,DF</v>
      </c>
      <c r="F1154" s="2">
        <v>45791</v>
      </c>
      <c r="G1154" s="17">
        <v>1162.46</v>
      </c>
      <c r="H1154" s="17">
        <v>1900</v>
      </c>
      <c r="I1154" s="6">
        <f>Tabela1[[#This Row],[Valor total]]-Tabela1[[#This Row],[Valor custo]]</f>
        <v>737.54</v>
      </c>
      <c r="J1154" s="7">
        <f>Tabela1[[#This Row],[MARGEM BRUTA]]/Tabela1[[#This Row],[Valor total]]</f>
        <v>0.38817894736842101</v>
      </c>
      <c r="K1154" s="1" t="str">
        <f>VLOOKUP(Tabela1[[#This Row],[Cliente]],'BASE DE CLIENTES'!A:D,4,0)</f>
        <v>EMPRESA SEM MAQUINA</v>
      </c>
      <c r="L1154" s="1" t="str">
        <f>VLOOKUP(Tabela1[[#This Row],[Cliente]],'BASE DE CLIENTES'!A:E,5,0)</f>
        <v>CEILANDIA NORTE (CEILANDIA)</v>
      </c>
    </row>
    <row r="1155" spans="2:12" x14ac:dyDescent="0.3">
      <c r="B1155" s="1" t="s">
        <v>152</v>
      </c>
      <c r="C1155" s="4" t="str">
        <f>VLOOKUP(Tabela1[[#This Row],[Cliente]],'BASE DE CLIENTES'!A:E,2,0)</f>
        <v>Aparecida de Goiânia</v>
      </c>
      <c r="D1155" s="1" t="str">
        <f>VLOOKUP(Tabela1[[#This Row],[Cliente]],'BASE DE CLIENTES'!A:C,3,0)</f>
        <v>GO</v>
      </c>
      <c r="E1155" s="4" t="str">
        <f>CONCATENATE(Tabela1[[#This Row],[CIDADE]],",",Tabela1[[#This Row],[UF]])</f>
        <v>Aparecida de Goiânia,GO</v>
      </c>
      <c r="F1155" s="2">
        <v>45924</v>
      </c>
      <c r="G1155" s="17">
        <v>0</v>
      </c>
      <c r="H1155" s="17">
        <v>900</v>
      </c>
      <c r="I1155" s="6">
        <f>Tabela1[[#This Row],[Valor total]]-Tabela1[[#This Row],[Valor custo]]</f>
        <v>900</v>
      </c>
      <c r="J1155" s="7">
        <f>Tabela1[[#This Row],[MARGEM BRUTA]]/Tabela1[[#This Row],[Valor total]]</f>
        <v>1</v>
      </c>
      <c r="K1155" s="1" t="str">
        <f>VLOOKUP(Tabela1[[#This Row],[Cliente]],'BASE DE CLIENTES'!A:D,4,0)</f>
        <v>TECNICO</v>
      </c>
      <c r="L1155" s="1" t="str">
        <f>VLOOKUP(Tabela1[[#This Row],[Cliente]],'BASE DE CLIENTES'!A:E,5,0)</f>
        <v>Aparecida de Goiânia</v>
      </c>
    </row>
    <row r="1156" spans="2:12" x14ac:dyDescent="0.3">
      <c r="B1156" s="1" t="s">
        <v>80</v>
      </c>
      <c r="C1156" s="4" t="str">
        <f>VLOOKUP(Tabela1[[#This Row],[Cliente]],'BASE DE CLIENTES'!A:E,2,0)</f>
        <v>Brasília</v>
      </c>
      <c r="D1156" s="1" t="str">
        <f>VLOOKUP(Tabela1[[#This Row],[Cliente]],'BASE DE CLIENTES'!A:C,3,0)</f>
        <v>DF</v>
      </c>
      <c r="E1156" s="4" t="str">
        <f>CONCATENATE(Tabela1[[#This Row],[CIDADE]],",",Tabela1[[#This Row],[UF]])</f>
        <v>Brasília,DF</v>
      </c>
      <c r="F1156" s="2">
        <v>45791</v>
      </c>
      <c r="G1156" s="17">
        <v>521</v>
      </c>
      <c r="H1156" s="17">
        <v>870</v>
      </c>
      <c r="I1156" s="6">
        <f>Tabela1[[#This Row],[Valor total]]-Tabela1[[#This Row],[Valor custo]]</f>
        <v>349</v>
      </c>
      <c r="J1156" s="7">
        <f>Tabela1[[#This Row],[MARGEM BRUTA]]/Tabela1[[#This Row],[Valor total]]</f>
        <v>0.40114942528735631</v>
      </c>
      <c r="K1156" s="1" t="str">
        <f>VLOOKUP(Tabela1[[#This Row],[Cliente]],'BASE DE CLIENTES'!A:D,4,0)</f>
        <v>EMPRESA SEM MAQUINA</v>
      </c>
      <c r="L1156" s="1" t="str">
        <f>VLOOKUP(Tabela1[[#This Row],[Cliente]],'BASE DE CLIENTES'!A:E,5,0)</f>
        <v>JOKEY</v>
      </c>
    </row>
    <row r="1157" spans="2:12" x14ac:dyDescent="0.3">
      <c r="B1157" s="1" t="s">
        <v>173</v>
      </c>
      <c r="C1157" s="4" t="str">
        <f>VLOOKUP(Tabela1[[#This Row],[Cliente]],'BASE DE CLIENTES'!A:E,2,0)</f>
        <v>Brasília</v>
      </c>
      <c r="D1157" s="1" t="str">
        <f>VLOOKUP(Tabela1[[#This Row],[Cliente]],'BASE DE CLIENTES'!A:C,3,0)</f>
        <v>DF</v>
      </c>
      <c r="E1157" s="4" t="str">
        <f>CONCATENATE(Tabela1[[#This Row],[CIDADE]],",",Tabela1[[#This Row],[UF]])</f>
        <v>Brasília,DF</v>
      </c>
      <c r="F1157" s="2">
        <v>45791</v>
      </c>
      <c r="G1157" s="17">
        <v>415.97</v>
      </c>
      <c r="H1157" s="17">
        <v>595</v>
      </c>
      <c r="I1157" s="6">
        <f>Tabela1[[#This Row],[Valor total]]-Tabela1[[#This Row],[Valor custo]]</f>
        <v>179.02999999999997</v>
      </c>
      <c r="J1157" s="7">
        <f>Tabela1[[#This Row],[MARGEM BRUTA]]/Tabela1[[#This Row],[Valor total]]</f>
        <v>0.30089075630252099</v>
      </c>
      <c r="K1157" s="1" t="str">
        <f>VLOOKUP(Tabela1[[#This Row],[Cliente]],'BASE DE CLIENTES'!A:D,4,0)</f>
        <v>SEM CLASSIFICAÇÃO</v>
      </c>
      <c r="L1157" s="1" t="str">
        <f>VLOOKUP(Tabela1[[#This Row],[Cliente]],'BASE DE CLIENTES'!A:E,5,0)</f>
        <v>TAGUATINGA SUL (TAGUATINGA)</v>
      </c>
    </row>
    <row r="1158" spans="2:12" x14ac:dyDescent="0.3">
      <c r="B1158" s="1" t="s">
        <v>152</v>
      </c>
      <c r="C1158" s="4" t="str">
        <f>VLOOKUP(Tabela1[[#This Row],[Cliente]],'BASE DE CLIENTES'!A:E,2,0)</f>
        <v>Aparecida de Goiânia</v>
      </c>
      <c r="D1158" s="1" t="str">
        <f>VLOOKUP(Tabela1[[#This Row],[Cliente]],'BASE DE CLIENTES'!A:C,3,0)</f>
        <v>GO</v>
      </c>
      <c r="E1158" s="4" t="str">
        <f>CONCATENATE(Tabela1[[#This Row],[CIDADE]],",",Tabela1[[#This Row],[UF]])</f>
        <v>Aparecida de Goiânia,GO</v>
      </c>
      <c r="F1158" s="2">
        <v>45904</v>
      </c>
      <c r="G1158" s="17">
        <v>0</v>
      </c>
      <c r="H1158" s="17">
        <v>450</v>
      </c>
      <c r="I1158" s="6">
        <f>Tabela1[[#This Row],[Valor total]]-Tabela1[[#This Row],[Valor custo]]</f>
        <v>450</v>
      </c>
      <c r="J1158" s="7">
        <f>Tabela1[[#This Row],[MARGEM BRUTA]]/Tabela1[[#This Row],[Valor total]]</f>
        <v>1</v>
      </c>
      <c r="K1158" s="1" t="str">
        <f>VLOOKUP(Tabela1[[#This Row],[Cliente]],'BASE DE CLIENTES'!A:D,4,0)</f>
        <v>TECNICO</v>
      </c>
      <c r="L1158" s="1" t="str">
        <f>VLOOKUP(Tabela1[[#This Row],[Cliente]],'BASE DE CLIENTES'!A:E,5,0)</f>
        <v>Aparecida de Goiânia</v>
      </c>
    </row>
    <row r="1159" spans="2:12" x14ac:dyDescent="0.3">
      <c r="B1159" s="1" t="s">
        <v>174</v>
      </c>
      <c r="C1159" s="4" t="str">
        <f>VLOOKUP(Tabela1[[#This Row],[Cliente]],'BASE DE CLIENTES'!A:E,2,0)</f>
        <v>Araguari</v>
      </c>
      <c r="D1159" s="1" t="str">
        <f>VLOOKUP(Tabela1[[#This Row],[Cliente]],'BASE DE CLIENTES'!A:C,3,0)</f>
        <v>MG</v>
      </c>
      <c r="E1159" s="4" t="str">
        <f>CONCATENATE(Tabela1[[#This Row],[CIDADE]],",",Tabela1[[#This Row],[UF]])</f>
        <v>Araguari,MG</v>
      </c>
      <c r="F1159" s="2">
        <v>45674</v>
      </c>
      <c r="G1159" s="17">
        <v>1781.49</v>
      </c>
      <c r="H1159" s="17">
        <v>2912.57</v>
      </c>
      <c r="I1159" s="6">
        <f>Tabela1[[#This Row],[Valor total]]-Tabela1[[#This Row],[Valor custo]]</f>
        <v>1131.0800000000002</v>
      </c>
      <c r="J1159" s="7">
        <f>Tabela1[[#This Row],[MARGEM BRUTA]]/Tabela1[[#This Row],[Valor total]]</f>
        <v>0.38834431447141188</v>
      </c>
      <c r="K1159" s="1" t="str">
        <f>VLOOKUP(Tabela1[[#This Row],[Cliente]],'BASE DE CLIENTES'!A:D,4,0)</f>
        <v>EMPRESA COM MAQUINA</v>
      </c>
      <c r="L1159" s="1" t="str">
        <f>VLOOKUP(Tabela1[[#This Row],[Cliente]],'BASE DE CLIENTES'!A:E,5,0)</f>
        <v>Araguari</v>
      </c>
    </row>
    <row r="1160" spans="2:12" x14ac:dyDescent="0.3">
      <c r="B1160" s="1" t="s">
        <v>120</v>
      </c>
      <c r="C1160" s="4" t="str">
        <f>VLOOKUP(Tabela1[[#This Row],[Cliente]],'BASE DE CLIENTES'!A:E,2,0)</f>
        <v>Brasília</v>
      </c>
      <c r="D1160" s="1" t="str">
        <f>VLOOKUP(Tabela1[[#This Row],[Cliente]],'BASE DE CLIENTES'!A:C,3,0)</f>
        <v>DF</v>
      </c>
      <c r="E1160" s="4" t="str">
        <f>CONCATENATE(Tabela1[[#This Row],[CIDADE]],",",Tabela1[[#This Row],[UF]])</f>
        <v>Brasília,DF</v>
      </c>
      <c r="F1160" s="2">
        <v>45869</v>
      </c>
      <c r="G1160" s="17">
        <v>1908</v>
      </c>
      <c r="H1160" s="17">
        <v>3240</v>
      </c>
      <c r="I1160" s="6">
        <f>Tabela1[[#This Row],[Valor total]]-Tabela1[[#This Row],[Valor custo]]</f>
        <v>1332</v>
      </c>
      <c r="J1160" s="7">
        <f>Tabela1[[#This Row],[MARGEM BRUTA]]/Tabela1[[#This Row],[Valor total]]</f>
        <v>0.41111111111111109</v>
      </c>
      <c r="K1160" s="1" t="str">
        <f>VLOOKUP(Tabela1[[#This Row],[Cliente]],'BASE DE CLIENTES'!A:D,4,0)</f>
        <v>EMPRESA SEM MAQUINA</v>
      </c>
      <c r="L1160" s="1" t="str">
        <f>VLOOKUP(Tabela1[[#This Row],[Cliente]],'BASE DE CLIENTES'!A:E,5,0)</f>
        <v>SAMAMBAIA</v>
      </c>
    </row>
    <row r="1161" spans="2:12" x14ac:dyDescent="0.3">
      <c r="B1161" s="1" t="s">
        <v>99</v>
      </c>
      <c r="C1161" s="4" t="str">
        <f>VLOOKUP(Tabela1[[#This Row],[Cliente]],'BASE DE CLIENTES'!A:E,2,0)</f>
        <v>Brasília</v>
      </c>
      <c r="D1161" s="1" t="str">
        <f>VLOOKUP(Tabela1[[#This Row],[Cliente]],'BASE DE CLIENTES'!A:C,3,0)</f>
        <v>DF</v>
      </c>
      <c r="E1161" s="4" t="str">
        <f>CONCATENATE(Tabela1[[#This Row],[CIDADE]],",",Tabela1[[#This Row],[UF]])</f>
        <v>Brasília,DF</v>
      </c>
      <c r="F1161" s="2">
        <v>45791</v>
      </c>
      <c r="G1161" s="17">
        <v>3033</v>
      </c>
      <c r="H1161" s="17">
        <v>4470</v>
      </c>
      <c r="I1161" s="6">
        <f>Tabela1[[#This Row],[Valor total]]-Tabela1[[#This Row],[Valor custo]]</f>
        <v>1437</v>
      </c>
      <c r="J1161" s="7">
        <f>Tabela1[[#This Row],[MARGEM BRUTA]]/Tabela1[[#This Row],[Valor total]]</f>
        <v>0.32147651006711409</v>
      </c>
      <c r="K1161" s="1" t="str">
        <f>VLOOKUP(Tabela1[[#This Row],[Cliente]],'BASE DE CLIENTES'!A:D,4,0)</f>
        <v>EMPRESA COM MAQUINA</v>
      </c>
      <c r="L1161" s="1" t="str">
        <f>VLOOKUP(Tabela1[[#This Row],[Cliente]],'BASE DE CLIENTES'!A:E,5,0)</f>
        <v>ARAPOANGA (PLANALTINA)</v>
      </c>
    </row>
    <row r="1162" spans="2:12" x14ac:dyDescent="0.3">
      <c r="B1162" s="1" t="s">
        <v>55</v>
      </c>
      <c r="C1162" s="4" t="str">
        <f>VLOOKUP(Tabela1[[#This Row],[Cliente]],'BASE DE CLIENTES'!A:E,2,0)</f>
        <v>Brasília</v>
      </c>
      <c r="D1162" s="1" t="str">
        <f>VLOOKUP(Tabela1[[#This Row],[Cliente]],'BASE DE CLIENTES'!A:C,3,0)</f>
        <v>DF</v>
      </c>
      <c r="E1162" s="4" t="str">
        <f>CONCATENATE(Tabela1[[#This Row],[CIDADE]],",",Tabela1[[#This Row],[UF]])</f>
        <v>Brasília,DF</v>
      </c>
      <c r="F1162" s="2">
        <v>45791</v>
      </c>
      <c r="G1162" s="17">
        <v>146.62</v>
      </c>
      <c r="H1162" s="17">
        <v>450</v>
      </c>
      <c r="I1162" s="6">
        <f>Tabela1[[#This Row],[Valor total]]-Tabela1[[#This Row],[Valor custo]]</f>
        <v>303.38</v>
      </c>
      <c r="J1162" s="7">
        <f>Tabela1[[#This Row],[MARGEM BRUTA]]/Tabela1[[#This Row],[Valor total]]</f>
        <v>0.67417777777777776</v>
      </c>
      <c r="K1162" s="1" t="str">
        <f>VLOOKUP(Tabela1[[#This Row],[Cliente]],'BASE DE CLIENTES'!A:D,4,0)</f>
        <v>EMPRESA SEM MAQUINA</v>
      </c>
      <c r="L1162" s="1" t="str">
        <f>VLOOKUP(Tabela1[[#This Row],[Cliente]],'BASE DE CLIENTES'!A:E,5,0)</f>
        <v>RECANTO DAS EMAS</v>
      </c>
    </row>
    <row r="1163" spans="2:12" x14ac:dyDescent="0.3">
      <c r="B1163" s="1" t="s">
        <v>55</v>
      </c>
      <c r="C1163" s="4" t="str">
        <f>VLOOKUP(Tabela1[[#This Row],[Cliente]],'BASE DE CLIENTES'!A:E,2,0)</f>
        <v>Brasília</v>
      </c>
      <c r="D1163" s="1" t="str">
        <f>VLOOKUP(Tabela1[[#This Row],[Cliente]],'BASE DE CLIENTES'!A:C,3,0)</f>
        <v>DF</v>
      </c>
      <c r="E1163" s="4" t="str">
        <f>CONCATENATE(Tabela1[[#This Row],[CIDADE]],",",Tabela1[[#This Row],[UF]])</f>
        <v>Brasília,DF</v>
      </c>
      <c r="F1163" s="2">
        <v>45791</v>
      </c>
      <c r="G1163" s="17">
        <v>1628</v>
      </c>
      <c r="H1163" s="17">
        <v>2565</v>
      </c>
      <c r="I1163" s="6">
        <f>Tabela1[[#This Row],[Valor total]]-Tabela1[[#This Row],[Valor custo]]</f>
        <v>937</v>
      </c>
      <c r="J1163" s="7">
        <f>Tabela1[[#This Row],[MARGEM BRUTA]]/Tabela1[[#This Row],[Valor total]]</f>
        <v>0.36530214424951268</v>
      </c>
      <c r="K1163" s="1" t="str">
        <f>VLOOKUP(Tabela1[[#This Row],[Cliente]],'BASE DE CLIENTES'!A:D,4,0)</f>
        <v>EMPRESA SEM MAQUINA</v>
      </c>
      <c r="L1163" s="1" t="str">
        <f>VLOOKUP(Tabela1[[#This Row],[Cliente]],'BASE DE CLIENTES'!A:E,5,0)</f>
        <v>RECANTO DAS EMAS</v>
      </c>
    </row>
    <row r="1164" spans="2:12" x14ac:dyDescent="0.3">
      <c r="B1164" s="1" t="s">
        <v>175</v>
      </c>
      <c r="C1164" s="4" t="str">
        <f>VLOOKUP(Tabela1[[#This Row],[Cliente]],'BASE DE CLIENTES'!A:E,2,0)</f>
        <v>Araguari</v>
      </c>
      <c r="D1164" s="1" t="str">
        <f>VLOOKUP(Tabela1[[#This Row],[Cliente]],'BASE DE CLIENTES'!A:C,3,0)</f>
        <v>MG</v>
      </c>
      <c r="E1164" s="4" t="str">
        <f>CONCATENATE(Tabela1[[#This Row],[CIDADE]],",",Tabela1[[#This Row],[UF]])</f>
        <v>Araguari,MG</v>
      </c>
      <c r="F1164" s="2">
        <v>45667</v>
      </c>
      <c r="G1164" s="17">
        <v>158</v>
      </c>
      <c r="H1164" s="17">
        <v>242.5</v>
      </c>
      <c r="I1164" s="6">
        <f>Tabela1[[#This Row],[Valor total]]-Tabela1[[#This Row],[Valor custo]]</f>
        <v>84.5</v>
      </c>
      <c r="J1164" s="7">
        <f>Tabela1[[#This Row],[MARGEM BRUTA]]/Tabela1[[#This Row],[Valor total]]</f>
        <v>0.34845360824742266</v>
      </c>
      <c r="K1164" s="1" t="str">
        <f>VLOOKUP(Tabela1[[#This Row],[Cliente]],'BASE DE CLIENTES'!A:D,4,0)</f>
        <v>EMPRESA COM MAQUINA</v>
      </c>
      <c r="L1164" s="1" t="str">
        <f>VLOOKUP(Tabela1[[#This Row],[Cliente]],'BASE DE CLIENTES'!A:E,5,0)</f>
        <v>Araguari</v>
      </c>
    </row>
    <row r="1165" spans="2:12" x14ac:dyDescent="0.3">
      <c r="B1165" s="1" t="s">
        <v>174</v>
      </c>
      <c r="C1165" s="4" t="str">
        <f>VLOOKUP(Tabela1[[#This Row],[Cliente]],'BASE DE CLIENTES'!A:E,2,0)</f>
        <v>Araguari</v>
      </c>
      <c r="D1165" s="1" t="str">
        <f>VLOOKUP(Tabela1[[#This Row],[Cliente]],'BASE DE CLIENTES'!A:C,3,0)</f>
        <v>MG</v>
      </c>
      <c r="E1165" s="4" t="str">
        <f>CONCATENATE(Tabela1[[#This Row],[CIDADE]],",",Tabela1[[#This Row],[UF]])</f>
        <v>Araguari,MG</v>
      </c>
      <c r="F1165" s="2">
        <v>45665</v>
      </c>
      <c r="G1165" s="17">
        <v>4812</v>
      </c>
      <c r="H1165" s="17">
        <v>6850</v>
      </c>
      <c r="I1165" s="6">
        <f>Tabela1[[#This Row],[Valor total]]-Tabela1[[#This Row],[Valor custo]]</f>
        <v>2038</v>
      </c>
      <c r="J1165" s="7">
        <f>Tabela1[[#This Row],[MARGEM BRUTA]]/Tabela1[[#This Row],[Valor total]]</f>
        <v>0.29751824817518246</v>
      </c>
      <c r="K1165" s="1" t="str">
        <f>VLOOKUP(Tabela1[[#This Row],[Cliente]],'BASE DE CLIENTES'!A:D,4,0)</f>
        <v>EMPRESA COM MAQUINA</v>
      </c>
      <c r="L1165" s="1" t="str">
        <f>VLOOKUP(Tabela1[[#This Row],[Cliente]],'BASE DE CLIENTES'!A:E,5,0)</f>
        <v>Araguari</v>
      </c>
    </row>
    <row r="1166" spans="2:12" x14ac:dyDescent="0.3">
      <c r="B1166" s="1" t="s">
        <v>52</v>
      </c>
      <c r="C1166" s="4" t="str">
        <f>VLOOKUP(Tabela1[[#This Row],[Cliente]],'BASE DE CLIENTES'!A:E,2,0)</f>
        <v>Brasília</v>
      </c>
      <c r="D1166" s="1" t="str">
        <f>VLOOKUP(Tabela1[[#This Row],[Cliente]],'BASE DE CLIENTES'!A:C,3,0)</f>
        <v>DF</v>
      </c>
      <c r="E1166" s="4" t="str">
        <f>CONCATENATE(Tabela1[[#This Row],[CIDADE]],",",Tabela1[[#This Row],[UF]])</f>
        <v>Brasília,DF</v>
      </c>
      <c r="F1166" s="2">
        <v>45790</v>
      </c>
      <c r="G1166" s="17">
        <v>124</v>
      </c>
      <c r="H1166" s="17">
        <v>165</v>
      </c>
      <c r="I1166" s="6">
        <f>Tabela1[[#This Row],[Valor total]]-Tabela1[[#This Row],[Valor custo]]</f>
        <v>41</v>
      </c>
      <c r="J1166" s="7">
        <f>Tabela1[[#This Row],[MARGEM BRUTA]]/Tabela1[[#This Row],[Valor total]]</f>
        <v>0.24848484848484848</v>
      </c>
      <c r="K1166" s="1" t="str">
        <f>VLOOKUP(Tabela1[[#This Row],[Cliente]],'BASE DE CLIENTES'!A:D,4,0)</f>
        <v>SERRALHEIRO</v>
      </c>
      <c r="L1166" s="1" t="str">
        <f>VLOOKUP(Tabela1[[#This Row],[Cliente]],'BASE DE CLIENTES'!A:E,5,0)</f>
        <v>Ceilândia Sul (Ceilândia)</v>
      </c>
    </row>
    <row r="1167" spans="2:12" x14ac:dyDescent="0.3">
      <c r="B1167" s="1" t="s">
        <v>38</v>
      </c>
      <c r="C1167" s="4" t="str">
        <f>VLOOKUP(Tabela1[[#This Row],[Cliente]],'BASE DE CLIENTES'!A:E,2,0)</f>
        <v>Brasília</v>
      </c>
      <c r="D1167" s="1" t="str">
        <f>VLOOKUP(Tabela1[[#This Row],[Cliente]],'BASE DE CLIENTES'!A:C,3,0)</f>
        <v>DF</v>
      </c>
      <c r="E1167" s="4" t="str">
        <f>CONCATENATE(Tabela1[[#This Row],[CIDADE]],",",Tabela1[[#This Row],[UF]])</f>
        <v>Brasília,DF</v>
      </c>
      <c r="F1167" s="2">
        <v>45790</v>
      </c>
      <c r="G1167" s="17">
        <v>1419</v>
      </c>
      <c r="H1167" s="17">
        <v>2160</v>
      </c>
      <c r="I1167" s="6">
        <f>Tabela1[[#This Row],[Valor total]]-Tabela1[[#This Row],[Valor custo]]</f>
        <v>741</v>
      </c>
      <c r="J1167" s="7">
        <f>Tabela1[[#This Row],[MARGEM BRUTA]]/Tabela1[[#This Row],[Valor total]]</f>
        <v>0.34305555555555556</v>
      </c>
      <c r="K1167" s="1" t="str">
        <f>VLOOKUP(Tabela1[[#This Row],[Cliente]],'BASE DE CLIENTES'!A:D,4,0)</f>
        <v>EMPRESA SEM MAQUINA</v>
      </c>
      <c r="L1167" s="1" t="str">
        <f>VLOOKUP(Tabela1[[#This Row],[Cliente]],'BASE DE CLIENTES'!A:E,5,0)</f>
        <v>PONTE ALTA NORTE (GAMA)</v>
      </c>
    </row>
    <row r="1168" spans="2:12" x14ac:dyDescent="0.3">
      <c r="B1168" s="1" t="s">
        <v>161</v>
      </c>
      <c r="C1168" s="4" t="str">
        <f>VLOOKUP(Tabela1[[#This Row],[Cliente]],'BASE DE CLIENTES'!A:E,2,0)</f>
        <v>Brasília</v>
      </c>
      <c r="D1168" s="1" t="str">
        <f>VLOOKUP(Tabela1[[#This Row],[Cliente]],'BASE DE CLIENTES'!A:C,3,0)</f>
        <v>DF</v>
      </c>
      <c r="E1168" s="4" t="str">
        <f>CONCATENATE(Tabela1[[#This Row],[CIDADE]],",",Tabela1[[#This Row],[UF]])</f>
        <v>Brasília,DF</v>
      </c>
      <c r="F1168" s="2">
        <v>45790</v>
      </c>
      <c r="G1168" s="17">
        <v>2099.35</v>
      </c>
      <c r="H1168" s="17">
        <v>2985</v>
      </c>
      <c r="I1168" s="6">
        <f>Tabela1[[#This Row],[Valor total]]-Tabela1[[#This Row],[Valor custo]]</f>
        <v>885.65000000000009</v>
      </c>
      <c r="J1168" s="7">
        <f>Tabela1[[#This Row],[MARGEM BRUTA]]/Tabela1[[#This Row],[Valor total]]</f>
        <v>0.29670016750418765</v>
      </c>
      <c r="K1168" s="1" t="str">
        <f>VLOOKUP(Tabela1[[#This Row],[Cliente]],'BASE DE CLIENTES'!A:D,4,0)</f>
        <v>EMPRESA COM MAQUINA</v>
      </c>
      <c r="L1168" s="1" t="str">
        <f>VLOOKUP(Tabela1[[#This Row],[Cliente]],'BASE DE CLIENTES'!A:E,5,0)</f>
        <v>RIACHO FUNDO II</v>
      </c>
    </row>
    <row r="1169" spans="2:12" x14ac:dyDescent="0.3">
      <c r="B1169" s="1" t="s">
        <v>174</v>
      </c>
      <c r="C1169" s="4" t="str">
        <f>VLOOKUP(Tabela1[[#This Row],[Cliente]],'BASE DE CLIENTES'!A:E,2,0)</f>
        <v>Araguari</v>
      </c>
      <c r="D1169" s="1" t="str">
        <f>VLOOKUP(Tabela1[[#This Row],[Cliente]],'BASE DE CLIENTES'!A:C,3,0)</f>
        <v>MG</v>
      </c>
      <c r="E1169" s="4" t="str">
        <f>CONCATENATE(Tabela1[[#This Row],[CIDADE]],",",Tabela1[[#This Row],[UF]])</f>
        <v>Araguari,MG</v>
      </c>
      <c r="F1169" s="2">
        <v>45715</v>
      </c>
      <c r="G1169" s="17">
        <v>6305.88</v>
      </c>
      <c r="H1169" s="17">
        <v>9029</v>
      </c>
      <c r="I1169" s="6">
        <f>Tabela1[[#This Row],[Valor total]]-Tabela1[[#This Row],[Valor custo]]</f>
        <v>2723.12</v>
      </c>
      <c r="J1169" s="7">
        <f>Tabela1[[#This Row],[MARGEM BRUTA]]/Tabela1[[#This Row],[Valor total]]</f>
        <v>0.30159707608816039</v>
      </c>
      <c r="K1169" s="1" t="str">
        <f>VLOOKUP(Tabela1[[#This Row],[Cliente]],'BASE DE CLIENTES'!A:D,4,0)</f>
        <v>EMPRESA COM MAQUINA</v>
      </c>
      <c r="L1169" s="1" t="str">
        <f>VLOOKUP(Tabela1[[#This Row],[Cliente]],'BASE DE CLIENTES'!A:E,5,0)</f>
        <v>Araguari</v>
      </c>
    </row>
    <row r="1170" spans="2:12" x14ac:dyDescent="0.3">
      <c r="B1170" s="1" t="s">
        <v>27</v>
      </c>
      <c r="C1170" s="4" t="str">
        <f>VLOOKUP(Tabela1[[#This Row],[Cliente]],'BASE DE CLIENTES'!A:E,2,0)</f>
        <v>Brasília</v>
      </c>
      <c r="D1170" s="1" t="str">
        <f>VLOOKUP(Tabela1[[#This Row],[Cliente]],'BASE DE CLIENTES'!A:C,3,0)</f>
        <v>DF</v>
      </c>
      <c r="E1170" s="4" t="str">
        <f>CONCATENATE(Tabela1[[#This Row],[CIDADE]],",",Tabela1[[#This Row],[UF]])</f>
        <v>Brasília,DF</v>
      </c>
      <c r="F1170" s="2">
        <v>45790</v>
      </c>
      <c r="G1170" s="17">
        <v>31.6</v>
      </c>
      <c r="H1170" s="17">
        <v>140</v>
      </c>
      <c r="I1170" s="6">
        <f>Tabela1[[#This Row],[Valor total]]-Tabela1[[#This Row],[Valor custo]]</f>
        <v>108.4</v>
      </c>
      <c r="J1170" s="7">
        <f>Tabela1[[#This Row],[MARGEM BRUTA]]/Tabela1[[#This Row],[Valor total]]</f>
        <v>0.77428571428571435</v>
      </c>
      <c r="K1170" s="1" t="str">
        <f>VLOOKUP(Tabela1[[#This Row],[Cliente]],'BASE DE CLIENTES'!A:D,4,0)</f>
        <v>EMPRESA SEM MAQUINA</v>
      </c>
      <c r="L1170" s="1" t="str">
        <f>VLOOKUP(Tabela1[[#This Row],[Cliente]],'BASE DE CLIENTES'!A:E,5,0)</f>
        <v>RECANTO DAS EMAS</v>
      </c>
    </row>
    <row r="1171" spans="2:12" x14ac:dyDescent="0.3">
      <c r="B1171" s="1" t="s">
        <v>123</v>
      </c>
      <c r="C1171" s="4" t="str">
        <f>VLOOKUP(Tabela1[[#This Row],[Cliente]],'BASE DE CLIENTES'!A:E,2,0)</f>
        <v>Brasília</v>
      </c>
      <c r="D1171" s="1" t="str">
        <f>VLOOKUP(Tabela1[[#This Row],[Cliente]],'BASE DE CLIENTES'!A:C,3,0)</f>
        <v>DF</v>
      </c>
      <c r="E1171" s="4" t="str">
        <f>CONCATENATE(Tabela1[[#This Row],[CIDADE]],",",Tabela1[[#This Row],[UF]])</f>
        <v>Brasília,DF</v>
      </c>
      <c r="F1171" s="2">
        <v>45790</v>
      </c>
      <c r="G1171" s="17">
        <v>13.69</v>
      </c>
      <c r="H1171" s="17">
        <v>100</v>
      </c>
      <c r="I1171" s="6">
        <f>Tabela1[[#This Row],[Valor total]]-Tabela1[[#This Row],[Valor custo]]</f>
        <v>86.31</v>
      </c>
      <c r="J1171" s="7">
        <f>Tabela1[[#This Row],[MARGEM BRUTA]]/Tabela1[[#This Row],[Valor total]]</f>
        <v>0.86309999999999998</v>
      </c>
      <c r="K1171" s="1" t="str">
        <f>VLOOKUP(Tabela1[[#This Row],[Cliente]],'BASE DE CLIENTES'!A:D,4,0)</f>
        <v>EMPRESA COM MAQUINA</v>
      </c>
      <c r="L1171" s="1" t="str">
        <f>VLOOKUP(Tabela1[[#This Row],[Cliente]],'BASE DE CLIENTES'!A:E,5,0)</f>
        <v>ADE CEILÂNDIA</v>
      </c>
    </row>
    <row r="1172" spans="2:12" x14ac:dyDescent="0.3">
      <c r="B1172" s="1" t="s">
        <v>68</v>
      </c>
      <c r="C1172" s="4" t="str">
        <f>VLOOKUP(Tabela1[[#This Row],[Cliente]],'BASE DE CLIENTES'!A:E,2,0)</f>
        <v>Brasília</v>
      </c>
      <c r="D1172" s="1" t="str">
        <f>VLOOKUP(Tabela1[[#This Row],[Cliente]],'BASE DE CLIENTES'!A:C,3,0)</f>
        <v>DF</v>
      </c>
      <c r="E1172" s="4" t="str">
        <f>CONCATENATE(Tabela1[[#This Row],[CIDADE]],",",Tabela1[[#This Row],[UF]])</f>
        <v>Brasília,DF</v>
      </c>
      <c r="F1172" s="2">
        <v>45790</v>
      </c>
      <c r="G1172" s="17">
        <v>2003.87</v>
      </c>
      <c r="H1172" s="17">
        <v>2760</v>
      </c>
      <c r="I1172" s="6">
        <f>Tabela1[[#This Row],[Valor total]]-Tabela1[[#This Row],[Valor custo]]</f>
        <v>756.13000000000011</v>
      </c>
      <c r="J1172" s="7">
        <f>Tabela1[[#This Row],[MARGEM BRUTA]]/Tabela1[[#This Row],[Valor total]]</f>
        <v>0.27396014492753629</v>
      </c>
      <c r="K1172" s="1" t="str">
        <f>VLOOKUP(Tabela1[[#This Row],[Cliente]],'BASE DE CLIENTES'!A:D,4,0)</f>
        <v>EMPRESA COM MAQUINA</v>
      </c>
      <c r="L1172" s="1" t="str">
        <f>VLOOKUP(Tabela1[[#This Row],[Cliente]],'BASE DE CLIENTES'!A:E,5,0)</f>
        <v>SAMAMBAIA SUL (SAMAMBAIA)</v>
      </c>
    </row>
    <row r="1173" spans="2:12" x14ac:dyDescent="0.3">
      <c r="B1173" s="1" t="s">
        <v>88</v>
      </c>
      <c r="C1173" s="4" t="str">
        <f>VLOOKUP(Tabela1[[#This Row],[Cliente]],'BASE DE CLIENTES'!A:E,2,0)</f>
        <v>Brasília</v>
      </c>
      <c r="D1173" s="1" t="str">
        <f>VLOOKUP(Tabela1[[#This Row],[Cliente]],'BASE DE CLIENTES'!A:C,3,0)</f>
        <v>DF</v>
      </c>
      <c r="E1173" s="4" t="str">
        <f>CONCATENATE(Tabela1[[#This Row],[CIDADE]],",",Tabela1[[#This Row],[UF]])</f>
        <v>Brasília,DF</v>
      </c>
      <c r="F1173" s="2">
        <v>45789</v>
      </c>
      <c r="G1173" s="17">
        <v>658.21</v>
      </c>
      <c r="H1173" s="17">
        <v>900</v>
      </c>
      <c r="I1173" s="6">
        <f>Tabela1[[#This Row],[Valor total]]-Tabela1[[#This Row],[Valor custo]]</f>
        <v>241.78999999999996</v>
      </c>
      <c r="J1173" s="7">
        <f>Tabela1[[#This Row],[MARGEM BRUTA]]/Tabela1[[#This Row],[Valor total]]</f>
        <v>0.26865555555555554</v>
      </c>
      <c r="K1173" s="1" t="str">
        <f>VLOOKUP(Tabela1[[#This Row],[Cliente]],'BASE DE CLIENTES'!A:D,4,0)</f>
        <v>SERRALHEIRO</v>
      </c>
      <c r="L1173" s="1" t="str">
        <f>VLOOKUP(Tabela1[[#This Row],[Cliente]],'BASE DE CLIENTES'!A:E,5,0)</f>
        <v>RECANTO DAS EMAS</v>
      </c>
    </row>
    <row r="1174" spans="2:12" x14ac:dyDescent="0.3">
      <c r="B1174" s="1" t="s">
        <v>174</v>
      </c>
      <c r="C1174" s="4" t="str">
        <f>VLOOKUP(Tabela1[[#This Row],[Cliente]],'BASE DE CLIENTES'!A:E,2,0)</f>
        <v>Araguari</v>
      </c>
      <c r="D1174" s="1" t="str">
        <f>VLOOKUP(Tabela1[[#This Row],[Cliente]],'BASE DE CLIENTES'!A:C,3,0)</f>
        <v>MG</v>
      </c>
      <c r="E1174" s="4" t="str">
        <f>CONCATENATE(Tabela1[[#This Row],[CIDADE]],",",Tabela1[[#This Row],[UF]])</f>
        <v>Araguari,MG</v>
      </c>
      <c r="F1174" s="2">
        <v>45712</v>
      </c>
      <c r="G1174" s="17">
        <v>861.45</v>
      </c>
      <c r="H1174" s="17">
        <v>791</v>
      </c>
      <c r="I1174" s="6">
        <f>Tabela1[[#This Row],[Valor total]]-Tabela1[[#This Row],[Valor custo]]</f>
        <v>-70.450000000000045</v>
      </c>
      <c r="J1174" s="7">
        <f>Tabela1[[#This Row],[MARGEM BRUTA]]/Tabela1[[#This Row],[Valor total]]</f>
        <v>-8.9064475347661251E-2</v>
      </c>
      <c r="K1174" s="1" t="str">
        <f>VLOOKUP(Tabela1[[#This Row],[Cliente]],'BASE DE CLIENTES'!A:D,4,0)</f>
        <v>EMPRESA COM MAQUINA</v>
      </c>
      <c r="L1174" s="1" t="str">
        <f>VLOOKUP(Tabela1[[#This Row],[Cliente]],'BASE DE CLIENTES'!A:E,5,0)</f>
        <v>Araguari</v>
      </c>
    </row>
    <row r="1175" spans="2:12" x14ac:dyDescent="0.3">
      <c r="B1175" s="1" t="s">
        <v>68</v>
      </c>
      <c r="C1175" s="4" t="str">
        <f>VLOOKUP(Tabela1[[#This Row],[Cliente]],'BASE DE CLIENTES'!A:E,2,0)</f>
        <v>Brasília</v>
      </c>
      <c r="D1175" s="1" t="str">
        <f>VLOOKUP(Tabela1[[#This Row],[Cliente]],'BASE DE CLIENTES'!A:C,3,0)</f>
        <v>DF</v>
      </c>
      <c r="E1175" s="4" t="str">
        <f>CONCATENATE(Tabela1[[#This Row],[CIDADE]],",",Tabela1[[#This Row],[UF]])</f>
        <v>Brasília,DF</v>
      </c>
      <c r="F1175" s="2">
        <v>45789</v>
      </c>
      <c r="G1175" s="17">
        <v>83.07</v>
      </c>
      <c r="H1175" s="17">
        <v>371</v>
      </c>
      <c r="I1175" s="6">
        <f>Tabela1[[#This Row],[Valor total]]-Tabela1[[#This Row],[Valor custo]]</f>
        <v>287.93</v>
      </c>
      <c r="J1175" s="7">
        <f>Tabela1[[#This Row],[MARGEM BRUTA]]/Tabela1[[#This Row],[Valor total]]</f>
        <v>0.77609164420485177</v>
      </c>
      <c r="K1175" s="1" t="str">
        <f>VLOOKUP(Tabela1[[#This Row],[Cliente]],'BASE DE CLIENTES'!A:D,4,0)</f>
        <v>EMPRESA COM MAQUINA</v>
      </c>
      <c r="L1175" s="1" t="str">
        <f>VLOOKUP(Tabela1[[#This Row],[Cliente]],'BASE DE CLIENTES'!A:E,5,0)</f>
        <v>SAMAMBAIA SUL (SAMAMBAIA)</v>
      </c>
    </row>
    <row r="1176" spans="2:12" x14ac:dyDescent="0.3">
      <c r="B1176" s="1" t="s">
        <v>174</v>
      </c>
      <c r="C1176" s="4" t="str">
        <f>VLOOKUP(Tabela1[[#This Row],[Cliente]],'BASE DE CLIENTES'!A:E,2,0)</f>
        <v>Araguari</v>
      </c>
      <c r="D1176" s="1" t="str">
        <f>VLOOKUP(Tabela1[[#This Row],[Cliente]],'BASE DE CLIENTES'!A:C,3,0)</f>
        <v>MG</v>
      </c>
      <c r="E1176" s="4" t="str">
        <f>CONCATENATE(Tabela1[[#This Row],[CIDADE]],",",Tabela1[[#This Row],[UF]])</f>
        <v>Araguari,MG</v>
      </c>
      <c r="F1176" s="2">
        <v>45709</v>
      </c>
      <c r="G1176" s="17">
        <v>494.28</v>
      </c>
      <c r="H1176" s="17">
        <v>640</v>
      </c>
      <c r="I1176" s="6">
        <f>Tabela1[[#This Row],[Valor total]]-Tabela1[[#This Row],[Valor custo]]</f>
        <v>145.72000000000003</v>
      </c>
      <c r="J1176" s="7">
        <f>Tabela1[[#This Row],[MARGEM BRUTA]]/Tabela1[[#This Row],[Valor total]]</f>
        <v>0.22768750000000004</v>
      </c>
      <c r="K1176" s="1" t="str">
        <f>VLOOKUP(Tabela1[[#This Row],[Cliente]],'BASE DE CLIENTES'!A:D,4,0)</f>
        <v>EMPRESA COM MAQUINA</v>
      </c>
      <c r="L1176" s="1" t="str">
        <f>VLOOKUP(Tabela1[[#This Row],[Cliente]],'BASE DE CLIENTES'!A:E,5,0)</f>
        <v>Araguari</v>
      </c>
    </row>
    <row r="1177" spans="2:12" x14ac:dyDescent="0.3">
      <c r="B1177" s="1" t="s">
        <v>161</v>
      </c>
      <c r="C1177" s="4" t="str">
        <f>VLOOKUP(Tabela1[[#This Row],[Cliente]],'BASE DE CLIENTES'!A:E,2,0)</f>
        <v>Brasília</v>
      </c>
      <c r="D1177" s="1" t="str">
        <f>VLOOKUP(Tabela1[[#This Row],[Cliente]],'BASE DE CLIENTES'!A:C,3,0)</f>
        <v>DF</v>
      </c>
      <c r="E1177" s="4" t="str">
        <f>CONCATENATE(Tabela1[[#This Row],[CIDADE]],",",Tabela1[[#This Row],[UF]])</f>
        <v>Brasília,DF</v>
      </c>
      <c r="F1177" s="2">
        <v>45789</v>
      </c>
      <c r="G1177" s="17">
        <v>3075</v>
      </c>
      <c r="H1177" s="17">
        <v>3900</v>
      </c>
      <c r="I1177" s="6">
        <f>Tabela1[[#This Row],[Valor total]]-Tabela1[[#This Row],[Valor custo]]</f>
        <v>825</v>
      </c>
      <c r="J1177" s="7">
        <f>Tabela1[[#This Row],[MARGEM BRUTA]]/Tabela1[[#This Row],[Valor total]]</f>
        <v>0.21153846153846154</v>
      </c>
      <c r="K1177" s="1" t="str">
        <f>VLOOKUP(Tabela1[[#This Row],[Cliente]],'BASE DE CLIENTES'!A:D,4,0)</f>
        <v>EMPRESA COM MAQUINA</v>
      </c>
      <c r="L1177" s="1" t="str">
        <f>VLOOKUP(Tabela1[[#This Row],[Cliente]],'BASE DE CLIENTES'!A:E,5,0)</f>
        <v>RIACHO FUNDO II</v>
      </c>
    </row>
    <row r="1178" spans="2:12" x14ac:dyDescent="0.3">
      <c r="B1178" s="1" t="s">
        <v>85</v>
      </c>
      <c r="C1178" s="4" t="str">
        <f>VLOOKUP(Tabela1[[#This Row],[Cliente]],'BASE DE CLIENTES'!A:E,2,0)</f>
        <v>Brasília</v>
      </c>
      <c r="D1178" s="1" t="str">
        <f>VLOOKUP(Tabela1[[#This Row],[Cliente]],'BASE DE CLIENTES'!A:C,3,0)</f>
        <v>DF</v>
      </c>
      <c r="E1178" s="4" t="str">
        <f>CONCATENATE(Tabela1[[#This Row],[CIDADE]],",",Tabela1[[#This Row],[UF]])</f>
        <v>Brasília,DF</v>
      </c>
      <c r="F1178" s="2">
        <v>45789</v>
      </c>
      <c r="G1178" s="17">
        <v>41</v>
      </c>
      <c r="H1178" s="17">
        <v>55</v>
      </c>
      <c r="I1178" s="6">
        <f>Tabela1[[#This Row],[Valor total]]-Tabela1[[#This Row],[Valor custo]]</f>
        <v>14</v>
      </c>
      <c r="J1178" s="7">
        <f>Tabela1[[#This Row],[MARGEM BRUTA]]/Tabela1[[#This Row],[Valor total]]</f>
        <v>0.25454545454545452</v>
      </c>
      <c r="K1178" s="1" t="str">
        <f>VLOOKUP(Tabela1[[#This Row],[Cliente]],'BASE DE CLIENTES'!A:D,4,0)</f>
        <v>SERRALHEIRO</v>
      </c>
      <c r="L1178" s="1" t="str">
        <f>VLOOKUP(Tabela1[[#This Row],[Cliente]],'BASE DE CLIENTES'!A:E,5,0)</f>
        <v>SAMAMBAIA NORTE (SAMAMBAIA)</v>
      </c>
    </row>
    <row r="1179" spans="2:12" x14ac:dyDescent="0.3">
      <c r="B1179" s="1" t="s">
        <v>175</v>
      </c>
      <c r="C1179" s="4" t="str">
        <f>VLOOKUP(Tabela1[[#This Row],[Cliente]],'BASE DE CLIENTES'!A:E,2,0)</f>
        <v>Araguari</v>
      </c>
      <c r="D1179" s="1" t="str">
        <f>VLOOKUP(Tabela1[[#This Row],[Cliente]],'BASE DE CLIENTES'!A:C,3,0)</f>
        <v>MG</v>
      </c>
      <c r="E1179" s="4" t="str">
        <f>CONCATENATE(Tabela1[[#This Row],[CIDADE]],",",Tabela1[[#This Row],[UF]])</f>
        <v>Araguari,MG</v>
      </c>
      <c r="F1179" s="2">
        <v>45708</v>
      </c>
      <c r="G1179" s="17">
        <v>494.28</v>
      </c>
      <c r="H1179" s="17">
        <v>640</v>
      </c>
      <c r="I1179" s="6">
        <f>Tabela1[[#This Row],[Valor total]]-Tabela1[[#This Row],[Valor custo]]</f>
        <v>145.72000000000003</v>
      </c>
      <c r="J1179" s="7">
        <f>Tabela1[[#This Row],[MARGEM BRUTA]]/Tabela1[[#This Row],[Valor total]]</f>
        <v>0.22768750000000004</v>
      </c>
      <c r="K1179" s="1" t="str">
        <f>VLOOKUP(Tabela1[[#This Row],[Cliente]],'BASE DE CLIENTES'!A:D,4,0)</f>
        <v>EMPRESA COM MAQUINA</v>
      </c>
      <c r="L1179" s="1" t="str">
        <f>VLOOKUP(Tabela1[[#This Row],[Cliente]],'BASE DE CLIENTES'!A:E,5,0)</f>
        <v>Araguari</v>
      </c>
    </row>
    <row r="1180" spans="2:12" x14ac:dyDescent="0.3">
      <c r="B1180" s="1" t="s">
        <v>176</v>
      </c>
      <c r="C1180" s="4" t="str">
        <f>VLOOKUP(Tabela1[[#This Row],[Cliente]],'BASE DE CLIENTES'!A:E,2,0)</f>
        <v>Brasília</v>
      </c>
      <c r="D1180" s="1" t="str">
        <f>VLOOKUP(Tabela1[[#This Row],[Cliente]],'BASE DE CLIENTES'!A:C,3,0)</f>
        <v>DF</v>
      </c>
      <c r="E1180" s="4" t="str">
        <f>CONCATENATE(Tabela1[[#This Row],[CIDADE]],",",Tabela1[[#This Row],[UF]])</f>
        <v>Brasília,DF</v>
      </c>
      <c r="F1180" s="2">
        <v>45789</v>
      </c>
      <c r="G1180" s="17">
        <v>521</v>
      </c>
      <c r="H1180" s="17">
        <v>700</v>
      </c>
      <c r="I1180" s="6">
        <f>Tabela1[[#This Row],[Valor total]]-Tabela1[[#This Row],[Valor custo]]</f>
        <v>179</v>
      </c>
      <c r="J1180" s="7">
        <f>Tabela1[[#This Row],[MARGEM BRUTA]]/Tabela1[[#This Row],[Valor total]]</f>
        <v>0.25571428571428573</v>
      </c>
      <c r="K1180" s="1" t="str">
        <f>VLOOKUP(Tabela1[[#This Row],[Cliente]],'BASE DE CLIENTES'!A:D,4,0)</f>
        <v>OUTROS RAMOS</v>
      </c>
      <c r="L1180" s="1" t="str">
        <f>VLOOKUP(Tabela1[[#This Row],[Cliente]],'BASE DE CLIENTES'!A:E,5,0)</f>
        <v>CEILANDIA NORTE</v>
      </c>
    </row>
    <row r="1181" spans="2:12" x14ac:dyDescent="0.3">
      <c r="B1181" s="1" t="s">
        <v>96</v>
      </c>
      <c r="C1181" s="4" t="str">
        <f>VLOOKUP(Tabela1[[#This Row],[Cliente]],'BASE DE CLIENTES'!A:E,2,0)</f>
        <v>Brasília</v>
      </c>
      <c r="D1181" s="1" t="str">
        <f>VLOOKUP(Tabela1[[#This Row],[Cliente]],'BASE DE CLIENTES'!A:C,3,0)</f>
        <v>DF</v>
      </c>
      <c r="E1181" s="4" t="str">
        <f>CONCATENATE(Tabela1[[#This Row],[CIDADE]],",",Tabela1[[#This Row],[UF]])</f>
        <v>Brasília,DF</v>
      </c>
      <c r="F1181" s="2">
        <v>45787</v>
      </c>
      <c r="G1181" s="17">
        <v>894</v>
      </c>
      <c r="H1181" s="17">
        <v>1300</v>
      </c>
      <c r="I1181" s="6">
        <f>Tabela1[[#This Row],[Valor total]]-Tabela1[[#This Row],[Valor custo]]</f>
        <v>406</v>
      </c>
      <c r="J1181" s="7">
        <f>Tabela1[[#This Row],[MARGEM BRUTA]]/Tabela1[[#This Row],[Valor total]]</f>
        <v>0.31230769230769229</v>
      </c>
      <c r="K1181" s="1" t="str">
        <f>VLOOKUP(Tabela1[[#This Row],[Cliente]],'BASE DE CLIENTES'!A:D,4,0)</f>
        <v>EMPRESA SEM MAQUINA</v>
      </c>
      <c r="L1181" s="1" t="str">
        <f>VLOOKUP(Tabela1[[#This Row],[Cliente]],'BASE DE CLIENTES'!A:E,5,0)</f>
        <v>CEILANDIA NORTE (CEILANDIA)</v>
      </c>
    </row>
    <row r="1182" spans="2:12" x14ac:dyDescent="0.3">
      <c r="B1182" s="1" t="s">
        <v>27</v>
      </c>
      <c r="C1182" s="4" t="str">
        <f>VLOOKUP(Tabela1[[#This Row],[Cliente]],'BASE DE CLIENTES'!A:E,2,0)</f>
        <v>Brasília</v>
      </c>
      <c r="D1182" s="1" t="str">
        <f>VLOOKUP(Tabela1[[#This Row],[Cliente]],'BASE DE CLIENTES'!A:C,3,0)</f>
        <v>DF</v>
      </c>
      <c r="E1182" s="4" t="str">
        <f>CONCATENATE(Tabela1[[#This Row],[CIDADE]],",",Tabela1[[#This Row],[UF]])</f>
        <v>Brasília,DF</v>
      </c>
      <c r="F1182" s="2">
        <v>45786</v>
      </c>
      <c r="G1182" s="17">
        <v>473</v>
      </c>
      <c r="H1182" s="17">
        <v>650</v>
      </c>
      <c r="I1182" s="6">
        <f>Tabela1[[#This Row],[Valor total]]-Tabela1[[#This Row],[Valor custo]]</f>
        <v>177</v>
      </c>
      <c r="J1182" s="7">
        <f>Tabela1[[#This Row],[MARGEM BRUTA]]/Tabela1[[#This Row],[Valor total]]</f>
        <v>0.27230769230769231</v>
      </c>
      <c r="K1182" s="1" t="str">
        <f>VLOOKUP(Tabela1[[#This Row],[Cliente]],'BASE DE CLIENTES'!A:D,4,0)</f>
        <v>EMPRESA SEM MAQUINA</v>
      </c>
      <c r="L1182" s="1" t="str">
        <f>VLOOKUP(Tabela1[[#This Row],[Cliente]],'BASE DE CLIENTES'!A:E,5,0)</f>
        <v>RECANTO DAS EMAS</v>
      </c>
    </row>
    <row r="1183" spans="2:12" x14ac:dyDescent="0.3">
      <c r="B1183" s="1" t="s">
        <v>25</v>
      </c>
      <c r="C1183" s="4" t="str">
        <f>VLOOKUP(Tabela1[[#This Row],[Cliente]],'BASE DE CLIENTES'!A:E,2,0)</f>
        <v>Brasília</v>
      </c>
      <c r="D1183" s="1" t="str">
        <f>VLOOKUP(Tabela1[[#This Row],[Cliente]],'BASE DE CLIENTES'!A:C,3,0)</f>
        <v>DF</v>
      </c>
      <c r="E1183" s="4" t="str">
        <f>CONCATENATE(Tabela1[[#This Row],[CIDADE]],",",Tabela1[[#This Row],[UF]])</f>
        <v>Brasília,DF</v>
      </c>
      <c r="F1183" s="2">
        <v>45786</v>
      </c>
      <c r="G1183" s="17">
        <v>8197.4</v>
      </c>
      <c r="H1183" s="17">
        <v>11700</v>
      </c>
      <c r="I1183" s="6">
        <f>Tabela1[[#This Row],[Valor total]]-Tabela1[[#This Row],[Valor custo]]</f>
        <v>3502.6000000000004</v>
      </c>
      <c r="J1183" s="7">
        <f>Tabela1[[#This Row],[MARGEM BRUTA]]/Tabela1[[#This Row],[Valor total]]</f>
        <v>0.29936752136752137</v>
      </c>
      <c r="K1183" s="1" t="str">
        <f>VLOOKUP(Tabela1[[#This Row],[Cliente]],'BASE DE CLIENTES'!A:D,4,0)</f>
        <v>EMPRESA COM MAQUINA</v>
      </c>
      <c r="L1183" s="1" t="str">
        <f>VLOOKUP(Tabela1[[#This Row],[Cliente]],'BASE DE CLIENTES'!A:E,5,0)</f>
        <v>CEILANDIA NORTE (CEILANDIA)</v>
      </c>
    </row>
    <row r="1184" spans="2:12" x14ac:dyDescent="0.3">
      <c r="B1184" s="1" t="s">
        <v>174</v>
      </c>
      <c r="C1184" s="4" t="str">
        <f>VLOOKUP(Tabela1[[#This Row],[Cliente]],'BASE DE CLIENTES'!A:E,2,0)</f>
        <v>Araguari</v>
      </c>
      <c r="D1184" s="1" t="str">
        <f>VLOOKUP(Tabela1[[#This Row],[Cliente]],'BASE DE CLIENTES'!A:C,3,0)</f>
        <v>MG</v>
      </c>
      <c r="E1184" s="4" t="str">
        <f>CONCATENATE(Tabela1[[#This Row],[CIDADE]],",",Tabela1[[#This Row],[UF]])</f>
        <v>Araguari,MG</v>
      </c>
      <c r="F1184" s="2">
        <v>45729</v>
      </c>
      <c r="G1184" s="17">
        <v>266.22000000000003</v>
      </c>
      <c r="H1184" s="17">
        <v>585</v>
      </c>
      <c r="I1184" s="6">
        <f>Tabela1[[#This Row],[Valor total]]-Tabela1[[#This Row],[Valor custo]]</f>
        <v>318.77999999999997</v>
      </c>
      <c r="J1184" s="7">
        <f>Tabela1[[#This Row],[MARGEM BRUTA]]/Tabela1[[#This Row],[Valor total]]</f>
        <v>0.54492307692307684</v>
      </c>
      <c r="K1184" s="1" t="str">
        <f>VLOOKUP(Tabela1[[#This Row],[Cliente]],'BASE DE CLIENTES'!A:D,4,0)</f>
        <v>EMPRESA COM MAQUINA</v>
      </c>
      <c r="L1184" s="1" t="str">
        <f>VLOOKUP(Tabela1[[#This Row],[Cliente]],'BASE DE CLIENTES'!A:E,5,0)</f>
        <v>Araguari</v>
      </c>
    </row>
    <row r="1185" spans="2:12" x14ac:dyDescent="0.3">
      <c r="B1185" s="1" t="s">
        <v>174</v>
      </c>
      <c r="C1185" s="4" t="str">
        <f>VLOOKUP(Tabela1[[#This Row],[Cliente]],'BASE DE CLIENTES'!A:E,2,0)</f>
        <v>Araguari</v>
      </c>
      <c r="D1185" s="1" t="str">
        <f>VLOOKUP(Tabela1[[#This Row],[Cliente]],'BASE DE CLIENTES'!A:C,3,0)</f>
        <v>MG</v>
      </c>
      <c r="E1185" s="4" t="str">
        <f>CONCATENATE(Tabela1[[#This Row],[CIDADE]],",",Tabela1[[#This Row],[UF]])</f>
        <v>Araguari,MG</v>
      </c>
      <c r="F1185" s="2">
        <v>45771</v>
      </c>
      <c r="G1185" s="17">
        <v>75</v>
      </c>
      <c r="H1185" s="17">
        <v>105</v>
      </c>
      <c r="I1185" s="6">
        <f>Tabela1[[#This Row],[Valor total]]-Tabela1[[#This Row],[Valor custo]]</f>
        <v>30</v>
      </c>
      <c r="J1185" s="7">
        <f>Tabela1[[#This Row],[MARGEM BRUTA]]/Tabela1[[#This Row],[Valor total]]</f>
        <v>0.2857142857142857</v>
      </c>
      <c r="K1185" s="1" t="str">
        <f>VLOOKUP(Tabela1[[#This Row],[Cliente]],'BASE DE CLIENTES'!A:D,4,0)</f>
        <v>EMPRESA COM MAQUINA</v>
      </c>
      <c r="L1185" s="1" t="str">
        <f>VLOOKUP(Tabela1[[#This Row],[Cliente]],'BASE DE CLIENTES'!A:E,5,0)</f>
        <v>Araguari</v>
      </c>
    </row>
    <row r="1186" spans="2:12" x14ac:dyDescent="0.3">
      <c r="B1186" s="1" t="s">
        <v>174</v>
      </c>
      <c r="C1186" s="4" t="str">
        <f>VLOOKUP(Tabela1[[#This Row],[Cliente]],'BASE DE CLIENTES'!A:E,2,0)</f>
        <v>Araguari</v>
      </c>
      <c r="D1186" s="1" t="str">
        <f>VLOOKUP(Tabela1[[#This Row],[Cliente]],'BASE DE CLIENTES'!A:C,3,0)</f>
        <v>MG</v>
      </c>
      <c r="E1186" s="4" t="str">
        <f>CONCATENATE(Tabela1[[#This Row],[CIDADE]],",",Tabela1[[#This Row],[UF]])</f>
        <v>Araguari,MG</v>
      </c>
      <c r="F1186" s="2">
        <v>45762</v>
      </c>
      <c r="G1186" s="17">
        <v>3056</v>
      </c>
      <c r="H1186" s="17">
        <v>4700</v>
      </c>
      <c r="I1186" s="6">
        <f>Tabela1[[#This Row],[Valor total]]-Tabela1[[#This Row],[Valor custo]]</f>
        <v>1644</v>
      </c>
      <c r="J1186" s="7">
        <f>Tabela1[[#This Row],[MARGEM BRUTA]]/Tabela1[[#This Row],[Valor total]]</f>
        <v>0.34978723404255319</v>
      </c>
      <c r="K1186" s="1" t="str">
        <f>VLOOKUP(Tabela1[[#This Row],[Cliente]],'BASE DE CLIENTES'!A:D,4,0)</f>
        <v>EMPRESA COM MAQUINA</v>
      </c>
      <c r="L1186" s="1" t="str">
        <f>VLOOKUP(Tabela1[[#This Row],[Cliente]],'BASE DE CLIENTES'!A:E,5,0)</f>
        <v>Araguari</v>
      </c>
    </row>
    <row r="1187" spans="2:12" x14ac:dyDescent="0.3">
      <c r="B1187" s="1" t="s">
        <v>68</v>
      </c>
      <c r="C1187" s="4" t="str">
        <f>VLOOKUP(Tabela1[[#This Row],[Cliente]],'BASE DE CLIENTES'!A:E,2,0)</f>
        <v>Brasília</v>
      </c>
      <c r="D1187" s="1" t="str">
        <f>VLOOKUP(Tabela1[[#This Row],[Cliente]],'BASE DE CLIENTES'!A:C,3,0)</f>
        <v>DF</v>
      </c>
      <c r="E1187" s="4" t="str">
        <f>CONCATENATE(Tabela1[[#This Row],[CIDADE]],",",Tabela1[[#This Row],[UF]])</f>
        <v>Brasília,DF</v>
      </c>
      <c r="F1187" s="2">
        <v>45786</v>
      </c>
      <c r="G1187" s="17">
        <v>705.13</v>
      </c>
      <c r="H1187" s="17">
        <v>1215</v>
      </c>
      <c r="I1187" s="6">
        <f>Tabela1[[#This Row],[Valor total]]-Tabela1[[#This Row],[Valor custo]]</f>
        <v>509.87</v>
      </c>
      <c r="J1187" s="7">
        <f>Tabela1[[#This Row],[MARGEM BRUTA]]/Tabela1[[#This Row],[Valor total]]</f>
        <v>0.41964609053497942</v>
      </c>
      <c r="K1187" s="1" t="str">
        <f>VLOOKUP(Tabela1[[#This Row],[Cliente]],'BASE DE CLIENTES'!A:D,4,0)</f>
        <v>EMPRESA COM MAQUINA</v>
      </c>
      <c r="L1187" s="1" t="str">
        <f>VLOOKUP(Tabela1[[#This Row],[Cliente]],'BASE DE CLIENTES'!A:E,5,0)</f>
        <v>SAMAMBAIA SUL (SAMAMBAIA)</v>
      </c>
    </row>
    <row r="1188" spans="2:12" x14ac:dyDescent="0.3">
      <c r="B1188" s="1" t="s">
        <v>174</v>
      </c>
      <c r="C1188" s="4" t="str">
        <f>VLOOKUP(Tabela1[[#This Row],[Cliente]],'BASE DE CLIENTES'!A:E,2,0)</f>
        <v>Araguari</v>
      </c>
      <c r="D1188" s="1" t="str">
        <f>VLOOKUP(Tabela1[[#This Row],[Cliente]],'BASE DE CLIENTES'!A:C,3,0)</f>
        <v>MG</v>
      </c>
      <c r="E1188" s="4" t="str">
        <f>CONCATENATE(Tabela1[[#This Row],[CIDADE]],",",Tabela1[[#This Row],[UF]])</f>
        <v>Araguari,MG</v>
      </c>
      <c r="F1188" s="2">
        <v>45798</v>
      </c>
      <c r="G1188" s="17">
        <v>369.7</v>
      </c>
      <c r="H1188" s="17">
        <v>508</v>
      </c>
      <c r="I1188" s="6">
        <f>Tabela1[[#This Row],[Valor total]]-Tabela1[[#This Row],[Valor custo]]</f>
        <v>138.30000000000001</v>
      </c>
      <c r="J1188" s="7">
        <f>Tabela1[[#This Row],[MARGEM BRUTA]]/Tabela1[[#This Row],[Valor total]]</f>
        <v>0.27224409448818898</v>
      </c>
      <c r="K1188" s="1" t="str">
        <f>VLOOKUP(Tabela1[[#This Row],[Cliente]],'BASE DE CLIENTES'!A:D,4,0)</f>
        <v>EMPRESA COM MAQUINA</v>
      </c>
      <c r="L1188" s="1" t="str">
        <f>VLOOKUP(Tabela1[[#This Row],[Cliente]],'BASE DE CLIENTES'!A:E,5,0)</f>
        <v>Araguari</v>
      </c>
    </row>
    <row r="1189" spans="2:12" x14ac:dyDescent="0.3">
      <c r="B1189" s="1" t="s">
        <v>174</v>
      </c>
      <c r="C1189" s="4" t="str">
        <f>VLOOKUP(Tabela1[[#This Row],[Cliente]],'BASE DE CLIENTES'!A:E,2,0)</f>
        <v>Araguari</v>
      </c>
      <c r="D1189" s="1" t="str">
        <f>VLOOKUP(Tabela1[[#This Row],[Cliente]],'BASE DE CLIENTES'!A:C,3,0)</f>
        <v>MG</v>
      </c>
      <c r="E1189" s="4" t="str">
        <f>CONCATENATE(Tabela1[[#This Row],[CIDADE]],",",Tabela1[[#This Row],[UF]])</f>
        <v>Araguari,MG</v>
      </c>
      <c r="F1189" s="2">
        <v>45828</v>
      </c>
      <c r="G1189" s="17">
        <v>820</v>
      </c>
      <c r="H1189" s="17">
        <v>1175</v>
      </c>
      <c r="I1189" s="6">
        <f>Tabela1[[#This Row],[Valor total]]-Tabela1[[#This Row],[Valor custo]]</f>
        <v>355</v>
      </c>
      <c r="J1189" s="7">
        <f>Tabela1[[#This Row],[MARGEM BRUTA]]/Tabela1[[#This Row],[Valor total]]</f>
        <v>0.30212765957446808</v>
      </c>
      <c r="K1189" s="1" t="str">
        <f>VLOOKUP(Tabela1[[#This Row],[Cliente]],'BASE DE CLIENTES'!A:D,4,0)</f>
        <v>EMPRESA COM MAQUINA</v>
      </c>
      <c r="L1189" s="1" t="str">
        <f>VLOOKUP(Tabela1[[#This Row],[Cliente]],'BASE DE CLIENTES'!A:E,5,0)</f>
        <v>Araguari</v>
      </c>
    </row>
    <row r="1190" spans="2:12" x14ac:dyDescent="0.3">
      <c r="B1190" s="1" t="s">
        <v>55</v>
      </c>
      <c r="C1190" s="4" t="str">
        <f>VLOOKUP(Tabela1[[#This Row],[Cliente]],'BASE DE CLIENTES'!A:E,2,0)</f>
        <v>Brasília</v>
      </c>
      <c r="D1190" s="1" t="str">
        <f>VLOOKUP(Tabela1[[#This Row],[Cliente]],'BASE DE CLIENTES'!A:C,3,0)</f>
        <v>DF</v>
      </c>
      <c r="E1190" s="4" t="str">
        <f>CONCATENATE(Tabela1[[#This Row],[CIDADE]],",",Tabela1[[#This Row],[UF]])</f>
        <v>Brasília,DF</v>
      </c>
      <c r="F1190" s="2">
        <v>45785</v>
      </c>
      <c r="G1190" s="17">
        <v>2148.21</v>
      </c>
      <c r="H1190" s="17">
        <v>3315</v>
      </c>
      <c r="I1190" s="6">
        <f>Tabela1[[#This Row],[Valor total]]-Tabela1[[#This Row],[Valor custo]]</f>
        <v>1166.79</v>
      </c>
      <c r="J1190" s="7">
        <f>Tabela1[[#This Row],[MARGEM BRUTA]]/Tabela1[[#This Row],[Valor total]]</f>
        <v>0.35197285067873302</v>
      </c>
      <c r="K1190" s="1" t="str">
        <f>VLOOKUP(Tabela1[[#This Row],[Cliente]],'BASE DE CLIENTES'!A:D,4,0)</f>
        <v>EMPRESA SEM MAQUINA</v>
      </c>
      <c r="L1190" s="1" t="str">
        <f>VLOOKUP(Tabela1[[#This Row],[Cliente]],'BASE DE CLIENTES'!A:E,5,0)</f>
        <v>RECANTO DAS EMAS</v>
      </c>
    </row>
    <row r="1191" spans="2:12" x14ac:dyDescent="0.3">
      <c r="B1191" s="1" t="s">
        <v>174</v>
      </c>
      <c r="C1191" s="4" t="str">
        <f>VLOOKUP(Tabela1[[#This Row],[Cliente]],'BASE DE CLIENTES'!A:E,2,0)</f>
        <v>Araguari</v>
      </c>
      <c r="D1191" s="1" t="str">
        <f>VLOOKUP(Tabela1[[#This Row],[Cliente]],'BASE DE CLIENTES'!A:C,3,0)</f>
        <v>MG</v>
      </c>
      <c r="E1191" s="4" t="str">
        <f>CONCATENATE(Tabela1[[#This Row],[CIDADE]],",",Tabela1[[#This Row],[UF]])</f>
        <v>Araguari,MG</v>
      </c>
      <c r="F1191" s="2">
        <v>45852</v>
      </c>
      <c r="G1191" s="17">
        <v>4221.42</v>
      </c>
      <c r="H1191" s="17">
        <v>6730</v>
      </c>
      <c r="I1191" s="6">
        <f>Tabela1[[#This Row],[Valor total]]-Tabela1[[#This Row],[Valor custo]]</f>
        <v>2508.58</v>
      </c>
      <c r="J1191" s="7">
        <f>Tabela1[[#This Row],[MARGEM BRUTA]]/Tabela1[[#This Row],[Valor total]]</f>
        <v>0.37274591381872213</v>
      </c>
      <c r="K1191" s="1" t="str">
        <f>VLOOKUP(Tabela1[[#This Row],[Cliente]],'BASE DE CLIENTES'!A:D,4,0)</f>
        <v>EMPRESA COM MAQUINA</v>
      </c>
      <c r="L1191" s="1" t="str">
        <f>VLOOKUP(Tabela1[[#This Row],[Cliente]],'BASE DE CLIENTES'!A:E,5,0)</f>
        <v>Araguari</v>
      </c>
    </row>
    <row r="1192" spans="2:12" x14ac:dyDescent="0.3">
      <c r="B1192" s="1" t="s">
        <v>120</v>
      </c>
      <c r="C1192" s="4" t="str">
        <f>VLOOKUP(Tabela1[[#This Row],[Cliente]],'BASE DE CLIENTES'!A:E,2,0)</f>
        <v>Brasília</v>
      </c>
      <c r="D1192" s="1" t="str">
        <f>VLOOKUP(Tabela1[[#This Row],[Cliente]],'BASE DE CLIENTES'!A:C,3,0)</f>
        <v>DF</v>
      </c>
      <c r="E1192" s="4" t="str">
        <f>CONCATENATE(Tabela1[[#This Row],[CIDADE]],",",Tabela1[[#This Row],[UF]])</f>
        <v>Brasília,DF</v>
      </c>
      <c r="F1192" s="2">
        <v>45869</v>
      </c>
      <c r="G1192" s="17">
        <v>764.6</v>
      </c>
      <c r="H1192" s="17">
        <v>1230</v>
      </c>
      <c r="I1192" s="6">
        <f>Tabela1[[#This Row],[Valor total]]-Tabela1[[#This Row],[Valor custo]]</f>
        <v>465.4</v>
      </c>
      <c r="J1192" s="7">
        <f>Tabela1[[#This Row],[MARGEM BRUTA]]/Tabela1[[#This Row],[Valor total]]</f>
        <v>0.37837398373983738</v>
      </c>
      <c r="K1192" s="1" t="str">
        <f>VLOOKUP(Tabela1[[#This Row],[Cliente]],'BASE DE CLIENTES'!A:D,4,0)</f>
        <v>EMPRESA SEM MAQUINA</v>
      </c>
      <c r="L1192" s="1" t="str">
        <f>VLOOKUP(Tabela1[[#This Row],[Cliente]],'BASE DE CLIENTES'!A:E,5,0)</f>
        <v>SAMAMBAIA</v>
      </c>
    </row>
    <row r="1193" spans="2:12" x14ac:dyDescent="0.3">
      <c r="B1193" s="1" t="s">
        <v>174</v>
      </c>
      <c r="C1193" s="4" t="str">
        <f>VLOOKUP(Tabela1[[#This Row],[Cliente]],'BASE DE CLIENTES'!A:E,2,0)</f>
        <v>Araguari</v>
      </c>
      <c r="D1193" s="1" t="str">
        <f>VLOOKUP(Tabela1[[#This Row],[Cliente]],'BASE DE CLIENTES'!A:C,3,0)</f>
        <v>MG</v>
      </c>
      <c r="E1193" s="4" t="str">
        <f>CONCATENATE(Tabela1[[#This Row],[CIDADE]],",",Tabela1[[#This Row],[UF]])</f>
        <v>Araguari,MG</v>
      </c>
      <c r="F1193" s="2">
        <v>45873</v>
      </c>
      <c r="G1193" s="17">
        <v>10594.2</v>
      </c>
      <c r="H1193" s="17">
        <v>16651.37</v>
      </c>
      <c r="I1193" s="6">
        <f>Tabela1[[#This Row],[Valor total]]-Tabela1[[#This Row],[Valor custo]]</f>
        <v>6057.1699999999983</v>
      </c>
      <c r="J1193" s="7">
        <f>Tabela1[[#This Row],[MARGEM BRUTA]]/Tabela1[[#This Row],[Valor total]]</f>
        <v>0.36376406265670624</v>
      </c>
      <c r="K1193" s="1" t="str">
        <f>VLOOKUP(Tabela1[[#This Row],[Cliente]],'BASE DE CLIENTES'!A:D,4,0)</f>
        <v>EMPRESA COM MAQUINA</v>
      </c>
      <c r="L1193" s="1" t="str">
        <f>VLOOKUP(Tabela1[[#This Row],[Cliente]],'BASE DE CLIENTES'!A:E,5,0)</f>
        <v>Araguari</v>
      </c>
    </row>
    <row r="1194" spans="2:12" x14ac:dyDescent="0.3">
      <c r="B1194" s="1" t="s">
        <v>177</v>
      </c>
      <c r="C1194" s="4" t="str">
        <f>VLOOKUP(Tabela1[[#This Row],[Cliente]],'BASE DE CLIENTES'!A:E,2,0)</f>
        <v xml:space="preserve">Belém </v>
      </c>
      <c r="D1194" s="1" t="str">
        <f>VLOOKUP(Tabela1[[#This Row],[Cliente]],'BASE DE CLIENTES'!A:C,3,0)</f>
        <v>PA</v>
      </c>
      <c r="E1194" s="4" t="str">
        <f>CONCATENATE(Tabela1[[#This Row],[CIDADE]],",",Tabela1[[#This Row],[UF]])</f>
        <v>Belém ,PA</v>
      </c>
      <c r="F1194" s="2">
        <v>45925</v>
      </c>
      <c r="G1194" s="17">
        <v>8820.9599999999991</v>
      </c>
      <c r="H1194" s="17">
        <v>13000</v>
      </c>
      <c r="I1194" s="6">
        <f>Tabela1[[#This Row],[Valor total]]-Tabela1[[#This Row],[Valor custo]]</f>
        <v>4179.0400000000009</v>
      </c>
      <c r="J1194" s="7">
        <f>Tabela1[[#This Row],[MARGEM BRUTA]]/Tabela1[[#This Row],[Valor total]]</f>
        <v>0.32146461538461546</v>
      </c>
      <c r="K1194" s="1" t="str">
        <f>VLOOKUP(Tabela1[[#This Row],[Cliente]],'BASE DE CLIENTES'!A:D,4,0)</f>
        <v>EMPRESA COM MAQUINA</v>
      </c>
      <c r="L1194" s="1" t="str">
        <f>VLOOKUP(Tabela1[[#This Row],[Cliente]],'BASE DE CLIENTES'!A:E,5,0)</f>
        <v xml:space="preserve">Belém </v>
      </c>
    </row>
    <row r="1195" spans="2:12" x14ac:dyDescent="0.3">
      <c r="B1195" s="1" t="s">
        <v>178</v>
      </c>
      <c r="C1195" s="4" t="str">
        <f>VLOOKUP(Tabela1[[#This Row],[Cliente]],'BASE DE CLIENTES'!A:E,2,0)</f>
        <v xml:space="preserve">Belém </v>
      </c>
      <c r="D1195" s="1" t="str">
        <f>VLOOKUP(Tabela1[[#This Row],[Cliente]],'BASE DE CLIENTES'!A:C,3,0)</f>
        <v>PA</v>
      </c>
      <c r="E1195" s="4" t="str">
        <f>CONCATENATE(Tabela1[[#This Row],[CIDADE]],",",Tabela1[[#This Row],[UF]])</f>
        <v>Belém ,PA</v>
      </c>
      <c r="F1195" s="2">
        <v>45911</v>
      </c>
      <c r="G1195" s="17">
        <v>4894.88</v>
      </c>
      <c r="H1195" s="17">
        <v>8000</v>
      </c>
      <c r="I1195" s="6">
        <f>Tabela1[[#This Row],[Valor total]]-Tabela1[[#This Row],[Valor custo]]</f>
        <v>3105.12</v>
      </c>
      <c r="J1195" s="7">
        <f>Tabela1[[#This Row],[MARGEM BRUTA]]/Tabela1[[#This Row],[Valor total]]</f>
        <v>0.38813999999999999</v>
      </c>
      <c r="K1195" s="1" t="str">
        <f>VLOOKUP(Tabela1[[#This Row],[Cliente]],'BASE DE CLIENTES'!A:D,4,0)</f>
        <v>EMPRESA COM MAQUINA</v>
      </c>
      <c r="L1195" s="1" t="str">
        <f>VLOOKUP(Tabela1[[#This Row],[Cliente]],'BASE DE CLIENTES'!A:E,5,0)</f>
        <v xml:space="preserve">Belém </v>
      </c>
    </row>
    <row r="1196" spans="2:12" x14ac:dyDescent="0.3">
      <c r="B1196" s="1" t="s">
        <v>96</v>
      </c>
      <c r="C1196" s="4" t="str">
        <f>VLOOKUP(Tabela1[[#This Row],[Cliente]],'BASE DE CLIENTES'!A:E,2,0)</f>
        <v>Brasília</v>
      </c>
      <c r="D1196" s="1" t="str">
        <f>VLOOKUP(Tabela1[[#This Row],[Cliente]],'BASE DE CLIENTES'!A:C,3,0)</f>
        <v>DF</v>
      </c>
      <c r="E1196" s="4" t="str">
        <f>CONCATENATE(Tabela1[[#This Row],[CIDADE]],",",Tabela1[[#This Row],[UF]])</f>
        <v>Brasília,DF</v>
      </c>
      <c r="F1196" s="2">
        <v>45785</v>
      </c>
      <c r="G1196" s="17">
        <v>447</v>
      </c>
      <c r="H1196" s="17">
        <v>650</v>
      </c>
      <c r="I1196" s="6">
        <f>Tabela1[[#This Row],[Valor total]]-Tabela1[[#This Row],[Valor custo]]</f>
        <v>203</v>
      </c>
      <c r="J1196" s="7">
        <f>Tabela1[[#This Row],[MARGEM BRUTA]]/Tabela1[[#This Row],[Valor total]]</f>
        <v>0.31230769230769229</v>
      </c>
      <c r="K1196" s="1" t="str">
        <f>VLOOKUP(Tabela1[[#This Row],[Cliente]],'BASE DE CLIENTES'!A:D,4,0)</f>
        <v>EMPRESA SEM MAQUINA</v>
      </c>
      <c r="L1196" s="1" t="str">
        <f>VLOOKUP(Tabela1[[#This Row],[Cliente]],'BASE DE CLIENTES'!A:E,5,0)</f>
        <v>CEILANDIA NORTE (CEILANDIA)</v>
      </c>
    </row>
    <row r="1197" spans="2:12" x14ac:dyDescent="0.3">
      <c r="B1197" s="1" t="s">
        <v>55</v>
      </c>
      <c r="C1197" s="4" t="str">
        <f>VLOOKUP(Tabela1[[#This Row],[Cliente]],'BASE DE CLIENTES'!A:E,2,0)</f>
        <v>Brasília</v>
      </c>
      <c r="D1197" s="1" t="str">
        <f>VLOOKUP(Tabela1[[#This Row],[Cliente]],'BASE DE CLIENTES'!A:C,3,0)</f>
        <v>DF</v>
      </c>
      <c r="E1197" s="4" t="str">
        <f>CONCATENATE(Tabela1[[#This Row],[CIDADE]],",",Tabela1[[#This Row],[UF]])</f>
        <v>Brasília,DF</v>
      </c>
      <c r="F1197" s="2">
        <v>45785</v>
      </c>
      <c r="G1197" s="17">
        <v>1467</v>
      </c>
      <c r="H1197" s="17">
        <v>2290</v>
      </c>
      <c r="I1197" s="6">
        <f>Tabela1[[#This Row],[Valor total]]-Tabela1[[#This Row],[Valor custo]]</f>
        <v>823</v>
      </c>
      <c r="J1197" s="7">
        <f>Tabela1[[#This Row],[MARGEM BRUTA]]/Tabela1[[#This Row],[Valor total]]</f>
        <v>0.3593886462882096</v>
      </c>
      <c r="K1197" s="1" t="str">
        <f>VLOOKUP(Tabela1[[#This Row],[Cliente]],'BASE DE CLIENTES'!A:D,4,0)</f>
        <v>EMPRESA SEM MAQUINA</v>
      </c>
      <c r="L1197" s="1" t="str">
        <f>VLOOKUP(Tabela1[[#This Row],[Cliente]],'BASE DE CLIENTES'!A:E,5,0)</f>
        <v>RECANTO DAS EMAS</v>
      </c>
    </row>
    <row r="1198" spans="2:12" x14ac:dyDescent="0.3">
      <c r="B1198" s="1" t="s">
        <v>179</v>
      </c>
      <c r="C1198" s="4" t="str">
        <f>VLOOKUP(Tabela1[[#This Row],[Cliente]],'BASE DE CLIENTES'!A:E,2,0)</f>
        <v>Brasilândia de Minas</v>
      </c>
      <c r="D1198" s="1" t="str">
        <f>VLOOKUP(Tabela1[[#This Row],[Cliente]],'BASE DE CLIENTES'!A:C,3,0)</f>
        <v>MG</v>
      </c>
      <c r="E1198" s="4" t="str">
        <f>CONCATENATE(Tabela1[[#This Row],[CIDADE]],",",Tabela1[[#This Row],[UF]])</f>
        <v>Brasilândia de Minas,MG</v>
      </c>
      <c r="F1198" s="2">
        <v>45764</v>
      </c>
      <c r="G1198" s="17">
        <v>423.56</v>
      </c>
      <c r="H1198" s="17">
        <v>700</v>
      </c>
      <c r="I1198" s="6">
        <f>Tabela1[[#This Row],[Valor total]]-Tabela1[[#This Row],[Valor custo]]</f>
        <v>276.44</v>
      </c>
      <c r="J1198" s="7">
        <f>Tabela1[[#This Row],[MARGEM BRUTA]]/Tabela1[[#This Row],[Valor total]]</f>
        <v>0.39491428571428572</v>
      </c>
      <c r="K1198" s="1" t="str">
        <f>VLOOKUP(Tabela1[[#This Row],[Cliente]],'BASE DE CLIENTES'!A:D,4,0)</f>
        <v>EMPRESA SEM MAQUINA</v>
      </c>
      <c r="L1198" s="1" t="str">
        <f>VLOOKUP(Tabela1[[#This Row],[Cliente]],'BASE DE CLIENTES'!A:E,5,0)</f>
        <v>Brasilândia de Minas</v>
      </c>
    </row>
    <row r="1199" spans="2:12" x14ac:dyDescent="0.3">
      <c r="B1199" s="1" t="s">
        <v>179</v>
      </c>
      <c r="C1199" s="4" t="str">
        <f>VLOOKUP(Tabela1[[#This Row],[Cliente]],'BASE DE CLIENTES'!A:E,2,0)</f>
        <v>Brasilândia de Minas</v>
      </c>
      <c r="D1199" s="1" t="str">
        <f>VLOOKUP(Tabela1[[#This Row],[Cliente]],'BASE DE CLIENTES'!A:C,3,0)</f>
        <v>MG</v>
      </c>
      <c r="E1199" s="4" t="str">
        <f>CONCATENATE(Tabela1[[#This Row],[CIDADE]],",",Tabela1[[#This Row],[UF]])</f>
        <v>Brasilândia de Minas,MG</v>
      </c>
      <c r="F1199" s="2">
        <v>45782</v>
      </c>
      <c r="G1199" s="17">
        <v>486.1</v>
      </c>
      <c r="H1199" s="17">
        <v>773</v>
      </c>
      <c r="I1199" s="6">
        <f>Tabela1[[#This Row],[Valor total]]-Tabela1[[#This Row],[Valor custo]]</f>
        <v>286.89999999999998</v>
      </c>
      <c r="J1199" s="7">
        <f>Tabela1[[#This Row],[MARGEM BRUTA]]/Tabela1[[#This Row],[Valor total]]</f>
        <v>0.37115135834411384</v>
      </c>
      <c r="K1199" s="1" t="str">
        <f>VLOOKUP(Tabela1[[#This Row],[Cliente]],'BASE DE CLIENTES'!A:D,4,0)</f>
        <v>EMPRESA SEM MAQUINA</v>
      </c>
      <c r="L1199" s="1" t="str">
        <f>VLOOKUP(Tabela1[[#This Row],[Cliente]],'BASE DE CLIENTES'!A:E,5,0)</f>
        <v>Brasilândia de Minas</v>
      </c>
    </row>
    <row r="1200" spans="2:12" x14ac:dyDescent="0.3">
      <c r="B1200" s="1" t="s">
        <v>179</v>
      </c>
      <c r="C1200" s="4" t="str">
        <f>VLOOKUP(Tabela1[[#This Row],[Cliente]],'BASE DE CLIENTES'!A:E,2,0)</f>
        <v>Brasilândia de Minas</v>
      </c>
      <c r="D1200" s="1" t="str">
        <f>VLOOKUP(Tabela1[[#This Row],[Cliente]],'BASE DE CLIENTES'!A:C,3,0)</f>
        <v>MG</v>
      </c>
      <c r="E1200" s="4" t="str">
        <f>CONCATENATE(Tabela1[[#This Row],[CIDADE]],",",Tabela1[[#This Row],[UF]])</f>
        <v>Brasilândia de Minas,MG</v>
      </c>
      <c r="F1200" s="2">
        <v>45782</v>
      </c>
      <c r="G1200" s="17">
        <v>5.88</v>
      </c>
      <c r="H1200" s="17">
        <v>8</v>
      </c>
      <c r="I1200" s="6">
        <f>Tabela1[[#This Row],[Valor total]]-Tabela1[[#This Row],[Valor custo]]</f>
        <v>2.12</v>
      </c>
      <c r="J1200" s="7">
        <f>Tabela1[[#This Row],[MARGEM BRUTA]]/Tabela1[[#This Row],[Valor total]]</f>
        <v>0.26500000000000001</v>
      </c>
      <c r="K1200" s="1" t="str">
        <f>VLOOKUP(Tabela1[[#This Row],[Cliente]],'BASE DE CLIENTES'!A:D,4,0)</f>
        <v>EMPRESA SEM MAQUINA</v>
      </c>
      <c r="L1200" s="1" t="str">
        <f>VLOOKUP(Tabela1[[#This Row],[Cliente]],'BASE DE CLIENTES'!A:E,5,0)</f>
        <v>Brasilândia de Minas</v>
      </c>
    </row>
    <row r="1201" spans="2:12" x14ac:dyDescent="0.3">
      <c r="B1201" s="1" t="s">
        <v>179</v>
      </c>
      <c r="C1201" s="4" t="str">
        <f>VLOOKUP(Tabela1[[#This Row],[Cliente]],'BASE DE CLIENTES'!A:E,2,0)</f>
        <v>Brasilândia de Minas</v>
      </c>
      <c r="D1201" s="1" t="str">
        <f>VLOOKUP(Tabela1[[#This Row],[Cliente]],'BASE DE CLIENTES'!A:C,3,0)</f>
        <v>MG</v>
      </c>
      <c r="E1201" s="4" t="str">
        <f>CONCATENATE(Tabela1[[#This Row],[CIDADE]],",",Tabela1[[#This Row],[UF]])</f>
        <v>Brasilândia de Minas,MG</v>
      </c>
      <c r="F1201" s="2">
        <v>45782</v>
      </c>
      <c r="G1201" s="17">
        <v>906.2</v>
      </c>
      <c r="H1201" s="17">
        <v>1246</v>
      </c>
      <c r="I1201" s="6">
        <f>Tabela1[[#This Row],[Valor total]]-Tabela1[[#This Row],[Valor custo]]</f>
        <v>339.79999999999995</v>
      </c>
      <c r="J1201" s="7">
        <f>Tabela1[[#This Row],[MARGEM BRUTA]]/Tabela1[[#This Row],[Valor total]]</f>
        <v>0.27271268057784909</v>
      </c>
      <c r="K1201" s="1" t="str">
        <f>VLOOKUP(Tabela1[[#This Row],[Cliente]],'BASE DE CLIENTES'!A:D,4,0)</f>
        <v>EMPRESA SEM MAQUINA</v>
      </c>
      <c r="L1201" s="1" t="str">
        <f>VLOOKUP(Tabela1[[#This Row],[Cliente]],'BASE DE CLIENTES'!A:E,5,0)</f>
        <v>Brasilândia de Minas</v>
      </c>
    </row>
    <row r="1202" spans="2:12" x14ac:dyDescent="0.3">
      <c r="B1202" s="1" t="s">
        <v>180</v>
      </c>
      <c r="C1202" s="4" t="str">
        <f>VLOOKUP(Tabela1[[#This Row],[Cliente]],'BASE DE CLIENTES'!A:E,2,0)</f>
        <v>Brasília</v>
      </c>
      <c r="D1202" s="1" t="str">
        <f>VLOOKUP(Tabela1[[#This Row],[Cliente]],'BASE DE CLIENTES'!A:C,3,0)</f>
        <v>DF</v>
      </c>
      <c r="E1202" s="4" t="str">
        <f>CONCATENATE(Tabela1[[#This Row],[CIDADE]],",",Tabela1[[#This Row],[UF]])</f>
        <v>Brasília,DF</v>
      </c>
      <c r="F1202" s="2">
        <v>45784</v>
      </c>
      <c r="G1202" s="17">
        <v>7215</v>
      </c>
      <c r="H1202" s="17">
        <v>9991</v>
      </c>
      <c r="I1202" s="6">
        <f>Tabela1[[#This Row],[Valor total]]-Tabela1[[#This Row],[Valor custo]]</f>
        <v>2776</v>
      </c>
      <c r="J1202" s="7">
        <f>Tabela1[[#This Row],[MARGEM BRUTA]]/Tabela1[[#This Row],[Valor total]]</f>
        <v>0.2778500650585527</v>
      </c>
      <c r="K1202" s="1" t="str">
        <f>VLOOKUP(Tabela1[[#This Row],[Cliente]],'BASE DE CLIENTES'!A:D,4,0)</f>
        <v>EMPRESA COM MAQUINA</v>
      </c>
      <c r="L1202" s="1" t="str">
        <f>VLOOKUP(Tabela1[[#This Row],[Cliente]],'BASE DE CLIENTES'!A:E,5,0)</f>
        <v>SETOR INDUSTRIAL (TAGUATINGA)</v>
      </c>
    </row>
    <row r="1203" spans="2:12" x14ac:dyDescent="0.3">
      <c r="B1203" s="1" t="s">
        <v>161</v>
      </c>
      <c r="C1203" s="4" t="str">
        <f>VLOOKUP(Tabela1[[#This Row],[Cliente]],'BASE DE CLIENTES'!A:E,2,0)</f>
        <v>Brasília</v>
      </c>
      <c r="D1203" s="1" t="str">
        <f>VLOOKUP(Tabela1[[#This Row],[Cliente]],'BASE DE CLIENTES'!A:C,3,0)</f>
        <v>DF</v>
      </c>
      <c r="E1203" s="4" t="str">
        <f>CONCATENATE(Tabela1[[#This Row],[CIDADE]],",",Tabela1[[#This Row],[UF]])</f>
        <v>Brasília,DF</v>
      </c>
      <c r="F1203" s="2">
        <v>45784</v>
      </c>
      <c r="G1203" s="17">
        <v>16380.3</v>
      </c>
      <c r="H1203" s="17">
        <v>22790</v>
      </c>
      <c r="I1203" s="6">
        <f>Tabela1[[#This Row],[Valor total]]-Tabela1[[#This Row],[Valor custo]]</f>
        <v>6409.7000000000007</v>
      </c>
      <c r="J1203" s="7">
        <f>Tabela1[[#This Row],[MARGEM BRUTA]]/Tabela1[[#This Row],[Valor total]]</f>
        <v>0.2812505484861782</v>
      </c>
      <c r="K1203" s="1" t="str">
        <f>VLOOKUP(Tabela1[[#This Row],[Cliente]],'BASE DE CLIENTES'!A:D,4,0)</f>
        <v>EMPRESA COM MAQUINA</v>
      </c>
      <c r="L1203" s="1" t="str">
        <f>VLOOKUP(Tabela1[[#This Row],[Cliente]],'BASE DE CLIENTES'!A:E,5,0)</f>
        <v>RIACHO FUNDO II</v>
      </c>
    </row>
    <row r="1204" spans="2:12" x14ac:dyDescent="0.3">
      <c r="B1204" s="1" t="s">
        <v>25</v>
      </c>
      <c r="C1204" s="4" t="str">
        <f>VLOOKUP(Tabela1[[#This Row],[Cliente]],'BASE DE CLIENTES'!A:E,2,0)</f>
        <v>Brasília</v>
      </c>
      <c r="D1204" s="1" t="str">
        <f>VLOOKUP(Tabela1[[#This Row],[Cliente]],'BASE DE CLIENTES'!A:C,3,0)</f>
        <v>DF</v>
      </c>
      <c r="E1204" s="4" t="str">
        <f>CONCATENATE(Tabela1[[#This Row],[CIDADE]],",",Tabela1[[#This Row],[UF]])</f>
        <v>Brasília,DF</v>
      </c>
      <c r="F1204" s="2">
        <v>45784</v>
      </c>
      <c r="G1204" s="17">
        <v>33.56</v>
      </c>
      <c r="H1204" s="17">
        <v>85</v>
      </c>
      <c r="I1204" s="6">
        <f>Tabela1[[#This Row],[Valor total]]-Tabela1[[#This Row],[Valor custo]]</f>
        <v>51.44</v>
      </c>
      <c r="J1204" s="7">
        <f>Tabela1[[#This Row],[MARGEM BRUTA]]/Tabela1[[#This Row],[Valor total]]</f>
        <v>0.60517647058823532</v>
      </c>
      <c r="K1204" s="1" t="str">
        <f>VLOOKUP(Tabela1[[#This Row],[Cliente]],'BASE DE CLIENTES'!A:D,4,0)</f>
        <v>EMPRESA COM MAQUINA</v>
      </c>
      <c r="L1204" s="1" t="str">
        <f>VLOOKUP(Tabela1[[#This Row],[Cliente]],'BASE DE CLIENTES'!A:E,5,0)</f>
        <v>CEILANDIA NORTE (CEILANDIA)</v>
      </c>
    </row>
    <row r="1205" spans="2:12" x14ac:dyDescent="0.3">
      <c r="B1205" s="1" t="s">
        <v>181</v>
      </c>
      <c r="C1205" s="4" t="str">
        <f>VLOOKUP(Tabela1[[#This Row],[Cliente]],'BASE DE CLIENTES'!A:E,2,0)</f>
        <v>Brasilândia de Minas</v>
      </c>
      <c r="D1205" s="1" t="str">
        <f>VLOOKUP(Tabela1[[#This Row],[Cliente]],'BASE DE CLIENTES'!A:C,3,0)</f>
        <v>MG</v>
      </c>
      <c r="E1205" s="4" t="str">
        <f>CONCATENATE(Tabela1[[#This Row],[CIDADE]],",",Tabela1[[#This Row],[UF]])</f>
        <v>Brasilândia de Minas,MG</v>
      </c>
      <c r="F1205" s="2">
        <v>45814</v>
      </c>
      <c r="G1205" s="17">
        <v>473</v>
      </c>
      <c r="H1205" s="17">
        <v>650</v>
      </c>
      <c r="I1205" s="6">
        <f>Tabela1[[#This Row],[Valor total]]-Tabela1[[#This Row],[Valor custo]]</f>
        <v>177</v>
      </c>
      <c r="J1205" s="7">
        <f>Tabela1[[#This Row],[MARGEM BRUTA]]/Tabela1[[#This Row],[Valor total]]</f>
        <v>0.27230769230769231</v>
      </c>
      <c r="K1205" s="1" t="str">
        <f>VLOOKUP(Tabela1[[#This Row],[Cliente]],'BASE DE CLIENTES'!A:D,4,0)</f>
        <v>SERRALHEIRO</v>
      </c>
      <c r="L1205" s="1" t="str">
        <f>VLOOKUP(Tabela1[[#This Row],[Cliente]],'BASE DE CLIENTES'!A:E,5,0)</f>
        <v>Brasilândia de Minas</v>
      </c>
    </row>
    <row r="1206" spans="2:12" x14ac:dyDescent="0.3">
      <c r="B1206" s="1" t="s">
        <v>179</v>
      </c>
      <c r="C1206" s="4" t="str">
        <f>VLOOKUP(Tabela1[[#This Row],[Cliente]],'BASE DE CLIENTES'!A:E,2,0)</f>
        <v>Brasilândia de Minas</v>
      </c>
      <c r="D1206" s="1" t="str">
        <f>VLOOKUP(Tabela1[[#This Row],[Cliente]],'BASE DE CLIENTES'!A:C,3,0)</f>
        <v>MG</v>
      </c>
      <c r="E1206" s="4" t="str">
        <f>CONCATENATE(Tabela1[[#This Row],[CIDADE]],",",Tabela1[[#This Row],[UF]])</f>
        <v>Brasilândia de Minas,MG</v>
      </c>
      <c r="F1206" s="2">
        <v>45856</v>
      </c>
      <c r="G1206" s="17">
        <v>942.2</v>
      </c>
      <c r="H1206" s="17">
        <v>1381</v>
      </c>
      <c r="I1206" s="6">
        <f>Tabela1[[#This Row],[Valor total]]-Tabela1[[#This Row],[Valor custo]]</f>
        <v>438.79999999999995</v>
      </c>
      <c r="J1206" s="7">
        <f>Tabela1[[#This Row],[MARGEM BRUTA]]/Tabela1[[#This Row],[Valor total]]</f>
        <v>0.31774076755973929</v>
      </c>
      <c r="K1206" s="1" t="str">
        <f>VLOOKUP(Tabela1[[#This Row],[Cliente]],'BASE DE CLIENTES'!A:D,4,0)</f>
        <v>EMPRESA SEM MAQUINA</v>
      </c>
      <c r="L1206" s="1" t="str">
        <f>VLOOKUP(Tabela1[[#This Row],[Cliente]],'BASE DE CLIENTES'!A:E,5,0)</f>
        <v>Brasilândia de Minas</v>
      </c>
    </row>
    <row r="1207" spans="2:12" x14ac:dyDescent="0.3">
      <c r="B1207" s="1" t="s">
        <v>27</v>
      </c>
      <c r="C1207" s="4" t="str">
        <f>VLOOKUP(Tabela1[[#This Row],[Cliente]],'BASE DE CLIENTES'!A:E,2,0)</f>
        <v>Brasília</v>
      </c>
      <c r="D1207" s="1" t="str">
        <f>VLOOKUP(Tabela1[[#This Row],[Cliente]],'BASE DE CLIENTES'!A:C,3,0)</f>
        <v>DF</v>
      </c>
      <c r="E1207" s="4" t="str">
        <f>CONCATENATE(Tabela1[[#This Row],[CIDADE]],",",Tabela1[[#This Row],[UF]])</f>
        <v>Brasília,DF</v>
      </c>
      <c r="F1207" s="2">
        <v>45784</v>
      </c>
      <c r="G1207" s="17">
        <v>894</v>
      </c>
      <c r="H1207" s="17">
        <v>1230</v>
      </c>
      <c r="I1207" s="6">
        <f>Tabela1[[#This Row],[Valor total]]-Tabela1[[#This Row],[Valor custo]]</f>
        <v>336</v>
      </c>
      <c r="J1207" s="7">
        <f>Tabela1[[#This Row],[MARGEM BRUTA]]/Tabela1[[#This Row],[Valor total]]</f>
        <v>0.27317073170731709</v>
      </c>
      <c r="K1207" s="1" t="str">
        <f>VLOOKUP(Tabela1[[#This Row],[Cliente]],'BASE DE CLIENTES'!A:D,4,0)</f>
        <v>EMPRESA SEM MAQUINA</v>
      </c>
      <c r="L1207" s="1" t="str">
        <f>VLOOKUP(Tabela1[[#This Row],[Cliente]],'BASE DE CLIENTES'!A:E,5,0)</f>
        <v>RECANTO DAS EMAS</v>
      </c>
    </row>
    <row r="1208" spans="2:12" x14ac:dyDescent="0.3">
      <c r="B1208" s="1" t="s">
        <v>68</v>
      </c>
      <c r="C1208" s="4" t="str">
        <f>VLOOKUP(Tabela1[[#This Row],[Cliente]],'BASE DE CLIENTES'!A:E,2,0)</f>
        <v>Brasília</v>
      </c>
      <c r="D1208" s="1" t="str">
        <f>VLOOKUP(Tabela1[[#This Row],[Cliente]],'BASE DE CLIENTES'!A:C,3,0)</f>
        <v>DF</v>
      </c>
      <c r="E1208" s="4" t="str">
        <f>CONCATENATE(Tabela1[[#This Row],[CIDADE]],",",Tabela1[[#This Row],[UF]])</f>
        <v>Brasília,DF</v>
      </c>
      <c r="F1208" s="2">
        <v>45784</v>
      </c>
      <c r="G1208" s="17">
        <v>42</v>
      </c>
      <c r="H1208" s="17">
        <v>55</v>
      </c>
      <c r="I1208" s="6">
        <f>Tabela1[[#This Row],[Valor total]]-Tabela1[[#This Row],[Valor custo]]</f>
        <v>13</v>
      </c>
      <c r="J1208" s="7">
        <f>Tabela1[[#This Row],[MARGEM BRUTA]]/Tabela1[[#This Row],[Valor total]]</f>
        <v>0.23636363636363636</v>
      </c>
      <c r="K1208" s="1" t="str">
        <f>VLOOKUP(Tabela1[[#This Row],[Cliente]],'BASE DE CLIENTES'!A:D,4,0)</f>
        <v>EMPRESA COM MAQUINA</v>
      </c>
      <c r="L1208" s="1" t="str">
        <f>VLOOKUP(Tabela1[[#This Row],[Cliente]],'BASE DE CLIENTES'!A:E,5,0)</f>
        <v>SAMAMBAIA SUL (SAMAMBAIA)</v>
      </c>
    </row>
    <row r="1209" spans="2:12" x14ac:dyDescent="0.3">
      <c r="B1209" s="1" t="s">
        <v>179</v>
      </c>
      <c r="C1209" s="4" t="str">
        <f>VLOOKUP(Tabela1[[#This Row],[Cliente]],'BASE DE CLIENTES'!A:E,2,0)</f>
        <v>Brasilândia de Minas</v>
      </c>
      <c r="D1209" s="1" t="str">
        <f>VLOOKUP(Tabela1[[#This Row],[Cliente]],'BASE DE CLIENTES'!A:C,3,0)</f>
        <v>MG</v>
      </c>
      <c r="E1209" s="4" t="str">
        <f>CONCATENATE(Tabela1[[#This Row],[CIDADE]],",",Tabela1[[#This Row],[UF]])</f>
        <v>Brasilândia de Minas,MG</v>
      </c>
      <c r="F1209" s="2">
        <v>45842</v>
      </c>
      <c r="G1209" s="17">
        <v>57.13</v>
      </c>
      <c r="H1209" s="17">
        <v>150</v>
      </c>
      <c r="I1209" s="6">
        <f>Tabela1[[#This Row],[Valor total]]-Tabela1[[#This Row],[Valor custo]]</f>
        <v>92.87</v>
      </c>
      <c r="J1209" s="7">
        <f>Tabela1[[#This Row],[MARGEM BRUTA]]/Tabela1[[#This Row],[Valor total]]</f>
        <v>0.61913333333333331</v>
      </c>
      <c r="K1209" s="1" t="str">
        <f>VLOOKUP(Tabela1[[#This Row],[Cliente]],'BASE DE CLIENTES'!A:D,4,0)</f>
        <v>EMPRESA SEM MAQUINA</v>
      </c>
      <c r="L1209" s="1" t="str">
        <f>VLOOKUP(Tabela1[[#This Row],[Cliente]],'BASE DE CLIENTES'!A:E,5,0)</f>
        <v>Brasilândia de Minas</v>
      </c>
    </row>
    <row r="1210" spans="2:12" x14ac:dyDescent="0.3">
      <c r="B1210" s="1" t="s">
        <v>179</v>
      </c>
      <c r="C1210" s="4" t="str">
        <f>VLOOKUP(Tabela1[[#This Row],[Cliente]],'BASE DE CLIENTES'!A:E,2,0)</f>
        <v>Brasilândia de Minas</v>
      </c>
      <c r="D1210" s="1" t="str">
        <f>VLOOKUP(Tabela1[[#This Row],[Cliente]],'BASE DE CLIENTES'!A:C,3,0)</f>
        <v>MG</v>
      </c>
      <c r="E1210" s="4" t="str">
        <f>CONCATENATE(Tabela1[[#This Row],[CIDADE]],",",Tabela1[[#This Row],[UF]])</f>
        <v>Brasilândia de Minas,MG</v>
      </c>
      <c r="F1210" s="2">
        <v>45842</v>
      </c>
      <c r="G1210" s="17">
        <v>1030.33</v>
      </c>
      <c r="H1210" s="17">
        <v>1521</v>
      </c>
      <c r="I1210" s="6">
        <f>Tabela1[[#This Row],[Valor total]]-Tabela1[[#This Row],[Valor custo]]</f>
        <v>490.67000000000007</v>
      </c>
      <c r="J1210" s="7">
        <f>Tabela1[[#This Row],[MARGEM BRUTA]]/Tabela1[[#This Row],[Valor total]]</f>
        <v>0.32259697567389878</v>
      </c>
      <c r="K1210" s="1" t="str">
        <f>VLOOKUP(Tabela1[[#This Row],[Cliente]],'BASE DE CLIENTES'!A:D,4,0)</f>
        <v>EMPRESA SEM MAQUINA</v>
      </c>
      <c r="L1210" s="1" t="str">
        <f>VLOOKUP(Tabela1[[#This Row],[Cliente]],'BASE DE CLIENTES'!A:E,5,0)</f>
        <v>Brasilândia de Minas</v>
      </c>
    </row>
    <row r="1211" spans="2:12" x14ac:dyDescent="0.3">
      <c r="B1211" s="1" t="s">
        <v>179</v>
      </c>
      <c r="C1211" s="4" t="str">
        <f>VLOOKUP(Tabela1[[#This Row],[Cliente]],'BASE DE CLIENTES'!A:E,2,0)</f>
        <v>Brasilândia de Minas</v>
      </c>
      <c r="D1211" s="1" t="str">
        <f>VLOOKUP(Tabela1[[#This Row],[Cliente]],'BASE DE CLIENTES'!A:C,3,0)</f>
        <v>MG</v>
      </c>
      <c r="E1211" s="4" t="str">
        <f>CONCATENATE(Tabela1[[#This Row],[CIDADE]],",",Tabela1[[#This Row],[UF]])</f>
        <v>Brasilândia de Minas,MG</v>
      </c>
      <c r="F1211" s="2">
        <v>45897</v>
      </c>
      <c r="G1211" s="17">
        <v>0</v>
      </c>
      <c r="H1211" s="17">
        <v>365</v>
      </c>
      <c r="I1211" s="6">
        <f>Tabela1[[#This Row],[Valor total]]-Tabela1[[#This Row],[Valor custo]]</f>
        <v>365</v>
      </c>
      <c r="J1211" s="7">
        <f>Tabela1[[#This Row],[MARGEM BRUTA]]/Tabela1[[#This Row],[Valor total]]</f>
        <v>1</v>
      </c>
      <c r="K1211" s="1" t="str">
        <f>VLOOKUP(Tabela1[[#This Row],[Cliente]],'BASE DE CLIENTES'!A:D,4,0)</f>
        <v>EMPRESA SEM MAQUINA</v>
      </c>
      <c r="L1211" s="1" t="str">
        <f>VLOOKUP(Tabela1[[#This Row],[Cliente]],'BASE DE CLIENTES'!A:E,5,0)</f>
        <v>Brasilândia de Minas</v>
      </c>
    </row>
    <row r="1212" spans="2:12" x14ac:dyDescent="0.3">
      <c r="B1212" s="1" t="s">
        <v>36</v>
      </c>
      <c r="C1212" s="4" t="str">
        <f>VLOOKUP(Tabela1[[#This Row],[Cliente]],'BASE DE CLIENTES'!A:E,2,0)</f>
        <v>Brasília</v>
      </c>
      <c r="D1212" s="1" t="str">
        <f>VLOOKUP(Tabela1[[#This Row],[Cliente]],'BASE DE CLIENTES'!A:C,3,0)</f>
        <v>DF</v>
      </c>
      <c r="E1212" s="4" t="str">
        <f>CONCATENATE(Tabela1[[#This Row],[CIDADE]],",",Tabela1[[#This Row],[UF]])</f>
        <v>Brasília,DF</v>
      </c>
      <c r="F1212" s="2">
        <v>45783</v>
      </c>
      <c r="G1212" s="17">
        <v>0</v>
      </c>
      <c r="H1212" s="17">
        <v>270</v>
      </c>
      <c r="I1212" s="6">
        <f>Tabela1[[#This Row],[Valor total]]-Tabela1[[#This Row],[Valor custo]]</f>
        <v>270</v>
      </c>
      <c r="J1212" s="7">
        <f>Tabela1[[#This Row],[MARGEM BRUTA]]/Tabela1[[#This Row],[Valor total]]</f>
        <v>1</v>
      </c>
      <c r="K1212" s="1" t="str">
        <f>VLOOKUP(Tabela1[[#This Row],[Cliente]],'BASE DE CLIENTES'!A:D,4,0)</f>
        <v>SERRALHEIRO</v>
      </c>
      <c r="L1212" s="1" t="str">
        <f>VLOOKUP(Tabela1[[#This Row],[Cliente]],'BASE DE CLIENTES'!A:E,5,0)</f>
        <v>CEILANDIA SUL (CEILANDIA)</v>
      </c>
    </row>
    <row r="1213" spans="2:12" x14ac:dyDescent="0.3">
      <c r="B1213" s="1" t="s">
        <v>21</v>
      </c>
      <c r="C1213" s="4" t="str">
        <f>VLOOKUP(Tabela1[[#This Row],[Cliente]],'BASE DE CLIENTES'!A:E,2,0)</f>
        <v>Brasília</v>
      </c>
      <c r="D1213" s="1" t="str">
        <f>VLOOKUP(Tabela1[[#This Row],[Cliente]],'BASE DE CLIENTES'!A:C,3,0)</f>
        <v>DF</v>
      </c>
      <c r="E1213" s="4" t="str">
        <f>CONCATENATE(Tabela1[[#This Row],[CIDADE]],",",Tabela1[[#This Row],[UF]])</f>
        <v>Brasília,DF</v>
      </c>
      <c r="F1213" s="2">
        <v>45664</v>
      </c>
      <c r="G1213" s="17">
        <v>0</v>
      </c>
      <c r="H1213" s="17">
        <v>550</v>
      </c>
      <c r="I1213" s="6">
        <f>Tabela1[[#This Row],[Valor total]]-Tabela1[[#This Row],[Valor custo]]</f>
        <v>550</v>
      </c>
      <c r="J1213" s="7">
        <f>Tabela1[[#This Row],[MARGEM BRUTA]]/Tabela1[[#This Row],[Valor total]]</f>
        <v>1</v>
      </c>
      <c r="K1213" s="1" t="str">
        <f>VLOOKUP(Tabela1[[#This Row],[Cliente]],'BASE DE CLIENTES'!A:D,4,0)</f>
        <v>EMPRESA COM MAQUINA</v>
      </c>
      <c r="L1213" s="1" t="str">
        <f>VLOOKUP(Tabela1[[#This Row],[Cliente]],'BASE DE CLIENTES'!A:E,5,0)</f>
        <v>RIACHO FUNDO II</v>
      </c>
    </row>
    <row r="1214" spans="2:12" x14ac:dyDescent="0.3">
      <c r="B1214" s="1" t="s">
        <v>179</v>
      </c>
      <c r="C1214" s="4" t="str">
        <f>VLOOKUP(Tabela1[[#This Row],[Cliente]],'BASE DE CLIENTES'!A:E,2,0)</f>
        <v>Brasilândia de Minas</v>
      </c>
      <c r="D1214" s="1" t="str">
        <f>VLOOKUP(Tabela1[[#This Row],[Cliente]],'BASE DE CLIENTES'!A:C,3,0)</f>
        <v>MG</v>
      </c>
      <c r="E1214" s="4" t="str">
        <f>CONCATENATE(Tabela1[[#This Row],[CIDADE]],",",Tabela1[[#This Row],[UF]])</f>
        <v>Brasilândia de Minas,MG</v>
      </c>
      <c r="F1214" s="2">
        <v>45897</v>
      </c>
      <c r="G1214" s="17">
        <v>815.09</v>
      </c>
      <c r="H1214" s="17">
        <v>1150</v>
      </c>
      <c r="I1214" s="6">
        <f>Tabela1[[#This Row],[Valor total]]-Tabela1[[#This Row],[Valor custo]]</f>
        <v>334.90999999999997</v>
      </c>
      <c r="J1214" s="7">
        <f>Tabela1[[#This Row],[MARGEM BRUTA]]/Tabela1[[#This Row],[Valor total]]</f>
        <v>0.29122608695652169</v>
      </c>
      <c r="K1214" s="1" t="str">
        <f>VLOOKUP(Tabela1[[#This Row],[Cliente]],'BASE DE CLIENTES'!A:D,4,0)</f>
        <v>EMPRESA SEM MAQUINA</v>
      </c>
      <c r="L1214" s="1" t="str">
        <f>VLOOKUP(Tabela1[[#This Row],[Cliente]],'BASE DE CLIENTES'!A:E,5,0)</f>
        <v>Brasilândia de Minas</v>
      </c>
    </row>
    <row r="1215" spans="2:12" x14ac:dyDescent="0.3">
      <c r="B1215" s="1" t="s">
        <v>57</v>
      </c>
      <c r="C1215" s="4" t="str">
        <f>VLOOKUP(Tabela1[[#This Row],[Cliente]],'BASE DE CLIENTES'!A:E,2,0)</f>
        <v>Brasília</v>
      </c>
      <c r="D1215" s="1" t="str">
        <f>VLOOKUP(Tabela1[[#This Row],[Cliente]],'BASE DE CLIENTES'!A:C,3,0)</f>
        <v>DF</v>
      </c>
      <c r="E1215" s="4" t="str">
        <f>CONCATENATE(Tabela1[[#This Row],[CIDADE]],",",Tabela1[[#This Row],[UF]])</f>
        <v>Brasília,DF</v>
      </c>
      <c r="F1215" s="2">
        <v>45783</v>
      </c>
      <c r="G1215" s="17">
        <v>628.1</v>
      </c>
      <c r="H1215" s="17">
        <v>1019</v>
      </c>
      <c r="I1215" s="6">
        <f>Tabela1[[#This Row],[Valor total]]-Tabela1[[#This Row],[Valor custo]]</f>
        <v>390.9</v>
      </c>
      <c r="J1215" s="7">
        <f>Tabela1[[#This Row],[MARGEM BRUTA]]/Tabela1[[#This Row],[Valor total]]</f>
        <v>0.38361138370951914</v>
      </c>
      <c r="K1215" s="1" t="str">
        <f>VLOOKUP(Tabela1[[#This Row],[Cliente]],'BASE DE CLIENTES'!A:D,4,0)</f>
        <v>SERRALHEIRO</v>
      </c>
      <c r="L1215" s="1" t="str">
        <f>VLOOKUP(Tabela1[[#This Row],[Cliente]],'BASE DE CLIENTES'!A:E,5,0)</f>
        <v>ARAPOANGA (PLANALTINA)</v>
      </c>
    </row>
    <row r="1216" spans="2:12" x14ac:dyDescent="0.3">
      <c r="B1216" s="1" t="s">
        <v>182</v>
      </c>
      <c r="C1216" s="4" t="str">
        <f>VLOOKUP(Tabela1[[#This Row],[Cliente]],'BASE DE CLIENTES'!A:E,2,0)</f>
        <v>Brasilândia de Minas</v>
      </c>
      <c r="D1216" s="1" t="str">
        <f>VLOOKUP(Tabela1[[#This Row],[Cliente]],'BASE DE CLIENTES'!A:C,3,0)</f>
        <v>MG</v>
      </c>
      <c r="E1216" s="4" t="str">
        <f>CONCATENATE(Tabela1[[#This Row],[CIDADE]],",",Tabela1[[#This Row],[UF]])</f>
        <v>Brasilândia de Minas,MG</v>
      </c>
      <c r="F1216" s="2">
        <v>45880</v>
      </c>
      <c r="G1216" s="17">
        <v>95</v>
      </c>
      <c r="H1216" s="17">
        <v>540</v>
      </c>
      <c r="I1216" s="6">
        <f>Tabela1[[#This Row],[Valor total]]-Tabela1[[#This Row],[Valor custo]]</f>
        <v>445</v>
      </c>
      <c r="J1216" s="7">
        <f>Tabela1[[#This Row],[MARGEM BRUTA]]/Tabela1[[#This Row],[Valor total]]</f>
        <v>0.82407407407407407</v>
      </c>
      <c r="K1216" s="1" t="str">
        <f>VLOOKUP(Tabela1[[#This Row],[Cliente]],'BASE DE CLIENTES'!A:D,4,0)</f>
        <v>OUTROS RAMOS</v>
      </c>
      <c r="L1216" s="1" t="str">
        <f>VLOOKUP(Tabela1[[#This Row],[Cliente]],'BASE DE CLIENTES'!A:E,5,0)</f>
        <v>Brasilândia de Minas</v>
      </c>
    </row>
    <row r="1217" spans="2:12" x14ac:dyDescent="0.3">
      <c r="B1217" s="1" t="s">
        <v>120</v>
      </c>
      <c r="C1217" s="4" t="str">
        <f>VLOOKUP(Tabela1[[#This Row],[Cliente]],'BASE DE CLIENTES'!A:E,2,0)</f>
        <v>Brasília</v>
      </c>
      <c r="D1217" s="1" t="str">
        <f>VLOOKUP(Tabela1[[#This Row],[Cliente]],'BASE DE CLIENTES'!A:C,3,0)</f>
        <v>DF</v>
      </c>
      <c r="E1217" s="4" t="str">
        <f>CONCATENATE(Tabela1[[#This Row],[CIDADE]],",",Tabela1[[#This Row],[UF]])</f>
        <v>Brasília,DF</v>
      </c>
      <c r="F1217" s="2">
        <v>45863</v>
      </c>
      <c r="G1217" s="17">
        <v>360.5</v>
      </c>
      <c r="H1217" s="17">
        <v>1000</v>
      </c>
      <c r="I1217" s="6">
        <f>Tabela1[[#This Row],[Valor total]]-Tabela1[[#This Row],[Valor custo]]</f>
        <v>639.5</v>
      </c>
      <c r="J1217" s="7">
        <f>Tabela1[[#This Row],[MARGEM BRUTA]]/Tabela1[[#This Row],[Valor total]]</f>
        <v>0.63949999999999996</v>
      </c>
      <c r="K1217" s="1" t="str">
        <f>VLOOKUP(Tabela1[[#This Row],[Cliente]],'BASE DE CLIENTES'!A:D,4,0)</f>
        <v>EMPRESA SEM MAQUINA</v>
      </c>
      <c r="L1217" s="1" t="str">
        <f>VLOOKUP(Tabela1[[#This Row],[Cliente]],'BASE DE CLIENTES'!A:E,5,0)</f>
        <v>SAMAMBAIA</v>
      </c>
    </row>
    <row r="1218" spans="2:12" x14ac:dyDescent="0.3">
      <c r="B1218" s="1" t="s">
        <v>179</v>
      </c>
      <c r="C1218" s="4" t="str">
        <f>VLOOKUP(Tabela1[[#This Row],[Cliente]],'BASE DE CLIENTES'!A:E,2,0)</f>
        <v>Brasilândia de Minas</v>
      </c>
      <c r="D1218" s="1" t="str">
        <f>VLOOKUP(Tabela1[[#This Row],[Cliente]],'BASE DE CLIENTES'!A:C,3,0)</f>
        <v>MG</v>
      </c>
      <c r="E1218" s="4" t="str">
        <f>CONCATENATE(Tabela1[[#This Row],[CIDADE]],",",Tabela1[[#This Row],[UF]])</f>
        <v>Brasilândia de Minas,MG</v>
      </c>
      <c r="F1218" s="2">
        <v>45880</v>
      </c>
      <c r="G1218" s="17">
        <v>382.3</v>
      </c>
      <c r="H1218" s="17">
        <v>620</v>
      </c>
      <c r="I1218" s="6">
        <f>Tabela1[[#This Row],[Valor total]]-Tabela1[[#This Row],[Valor custo]]</f>
        <v>237.7</v>
      </c>
      <c r="J1218" s="7">
        <f>Tabela1[[#This Row],[MARGEM BRUTA]]/Tabela1[[#This Row],[Valor total]]</f>
        <v>0.38338709677419353</v>
      </c>
      <c r="K1218" s="1" t="str">
        <f>VLOOKUP(Tabela1[[#This Row],[Cliente]],'BASE DE CLIENTES'!A:D,4,0)</f>
        <v>EMPRESA SEM MAQUINA</v>
      </c>
      <c r="L1218" s="1" t="str">
        <f>VLOOKUP(Tabela1[[#This Row],[Cliente]],'BASE DE CLIENTES'!A:E,5,0)</f>
        <v>Brasilândia de Minas</v>
      </c>
    </row>
    <row r="1219" spans="2:12" x14ac:dyDescent="0.3">
      <c r="B1219" s="1" t="s">
        <v>140</v>
      </c>
      <c r="C1219" s="4" t="str">
        <f>VLOOKUP(Tabela1[[#This Row],[Cliente]],'BASE DE CLIENTES'!A:E,2,0)</f>
        <v>Brasília</v>
      </c>
      <c r="D1219" s="1" t="str">
        <f>VLOOKUP(Tabela1[[#This Row],[Cliente]],'BASE DE CLIENTES'!A:C,3,0)</f>
        <v>DF</v>
      </c>
      <c r="E1219" s="4" t="str">
        <f>CONCATENATE(Tabela1[[#This Row],[CIDADE]],",",Tabela1[[#This Row],[UF]])</f>
        <v>Brasília,DF</v>
      </c>
      <c r="F1219" s="2">
        <v>45782</v>
      </c>
      <c r="G1219" s="17">
        <v>9536</v>
      </c>
      <c r="H1219" s="17">
        <v>13800</v>
      </c>
      <c r="I1219" s="6">
        <f>Tabela1[[#This Row],[Valor total]]-Tabela1[[#This Row],[Valor custo]]</f>
        <v>4264</v>
      </c>
      <c r="J1219" s="7">
        <f>Tabela1[[#This Row],[MARGEM BRUTA]]/Tabela1[[#This Row],[Valor total]]</f>
        <v>0.3089855072463768</v>
      </c>
      <c r="K1219" s="1" t="str">
        <f>VLOOKUP(Tabela1[[#This Row],[Cliente]],'BASE DE CLIENTES'!A:D,4,0)</f>
        <v>EMPRESA COM MAQUINA</v>
      </c>
      <c r="L1219" s="1" t="str">
        <f>VLOOKUP(Tabela1[[#This Row],[Cliente]],'BASE DE CLIENTES'!A:E,5,0)</f>
        <v>RECANTO DAS EMAS</v>
      </c>
    </row>
    <row r="1220" spans="2:12" x14ac:dyDescent="0.3">
      <c r="B1220" s="1" t="s">
        <v>111</v>
      </c>
      <c r="C1220" s="4" t="str">
        <f>VLOOKUP(Tabela1[[#This Row],[Cliente]],'BASE DE CLIENTES'!A:E,2,0)</f>
        <v>Brasília</v>
      </c>
      <c r="D1220" s="1" t="str">
        <f>VLOOKUP(Tabela1[[#This Row],[Cliente]],'BASE DE CLIENTES'!A:C,3,0)</f>
        <v>DF</v>
      </c>
      <c r="E1220" s="4" t="str">
        <f>CONCATENATE(Tabela1[[#This Row],[CIDADE]],",",Tabela1[[#This Row],[UF]])</f>
        <v>Brasília,DF</v>
      </c>
      <c r="F1220" s="2">
        <v>45782</v>
      </c>
      <c r="G1220" s="17">
        <v>7099.47</v>
      </c>
      <c r="H1220" s="17">
        <v>11290</v>
      </c>
      <c r="I1220" s="6">
        <f>Tabela1[[#This Row],[Valor total]]-Tabela1[[#This Row],[Valor custo]]</f>
        <v>4190.53</v>
      </c>
      <c r="J1220" s="7">
        <f>Tabela1[[#This Row],[MARGEM BRUTA]]/Tabela1[[#This Row],[Valor total]]</f>
        <v>0.37117183348095656</v>
      </c>
      <c r="K1220" s="1" t="str">
        <f>VLOOKUP(Tabela1[[#This Row],[Cliente]],'BASE DE CLIENTES'!A:D,4,0)</f>
        <v>EMPRESA SEM MAQUINA</v>
      </c>
      <c r="L1220" s="1" t="str">
        <f>VLOOKUP(Tabela1[[#This Row],[Cliente]],'BASE DE CLIENTES'!A:E,5,0)</f>
        <v>TAGUATINGA SUL (TAGUATINGA)</v>
      </c>
    </row>
    <row r="1221" spans="2:12" x14ac:dyDescent="0.3">
      <c r="B1221" s="1" t="s">
        <v>179</v>
      </c>
      <c r="C1221" s="4" t="str">
        <f>VLOOKUP(Tabela1[[#This Row],[Cliente]],'BASE DE CLIENTES'!A:E,2,0)</f>
        <v>Brasilândia de Minas</v>
      </c>
      <c r="D1221" s="1" t="str">
        <f>VLOOKUP(Tabela1[[#This Row],[Cliente]],'BASE DE CLIENTES'!A:C,3,0)</f>
        <v>MG</v>
      </c>
      <c r="E1221" s="4" t="str">
        <f>CONCATENATE(Tabela1[[#This Row],[CIDADE]],",",Tabela1[[#This Row],[UF]])</f>
        <v>Brasilândia de Minas,MG</v>
      </c>
      <c r="F1221" s="2">
        <v>45908</v>
      </c>
      <c r="G1221" s="17">
        <v>6.1</v>
      </c>
      <c r="H1221" s="17">
        <v>8</v>
      </c>
      <c r="I1221" s="6">
        <f>Tabela1[[#This Row],[Valor total]]-Tabela1[[#This Row],[Valor custo]]</f>
        <v>1.9000000000000004</v>
      </c>
      <c r="J1221" s="7">
        <f>Tabela1[[#This Row],[MARGEM BRUTA]]/Tabela1[[#This Row],[Valor total]]</f>
        <v>0.23750000000000004</v>
      </c>
      <c r="K1221" s="1" t="str">
        <f>VLOOKUP(Tabela1[[#This Row],[Cliente]],'BASE DE CLIENTES'!A:D,4,0)</f>
        <v>EMPRESA SEM MAQUINA</v>
      </c>
      <c r="L1221" s="1" t="str">
        <f>VLOOKUP(Tabela1[[#This Row],[Cliente]],'BASE DE CLIENTES'!A:E,5,0)</f>
        <v>Brasilândia de Minas</v>
      </c>
    </row>
    <row r="1222" spans="2:12" x14ac:dyDescent="0.3">
      <c r="B1222" s="1" t="s">
        <v>55</v>
      </c>
      <c r="C1222" s="4" t="str">
        <f>VLOOKUP(Tabela1[[#This Row],[Cliente]],'BASE DE CLIENTES'!A:E,2,0)</f>
        <v>Brasília</v>
      </c>
      <c r="D1222" s="1" t="str">
        <f>VLOOKUP(Tabela1[[#This Row],[Cliente]],'BASE DE CLIENTES'!A:C,3,0)</f>
        <v>DF</v>
      </c>
      <c r="E1222" s="4" t="str">
        <f>CONCATENATE(Tabela1[[#This Row],[CIDADE]],",",Tabela1[[#This Row],[UF]])</f>
        <v>Brasília,DF</v>
      </c>
      <c r="F1222" s="2">
        <v>45782</v>
      </c>
      <c r="G1222" s="17">
        <v>1025</v>
      </c>
      <c r="H1222" s="17">
        <v>1350</v>
      </c>
      <c r="I1222" s="6">
        <f>Tabela1[[#This Row],[Valor total]]-Tabela1[[#This Row],[Valor custo]]</f>
        <v>325</v>
      </c>
      <c r="J1222" s="7">
        <f>Tabela1[[#This Row],[MARGEM BRUTA]]/Tabela1[[#This Row],[Valor total]]</f>
        <v>0.24074074074074073</v>
      </c>
      <c r="K1222" s="1" t="str">
        <f>VLOOKUP(Tabela1[[#This Row],[Cliente]],'BASE DE CLIENTES'!A:D,4,0)</f>
        <v>EMPRESA SEM MAQUINA</v>
      </c>
      <c r="L1222" s="1" t="str">
        <f>VLOOKUP(Tabela1[[#This Row],[Cliente]],'BASE DE CLIENTES'!A:E,5,0)</f>
        <v>RECANTO DAS EMAS</v>
      </c>
    </row>
    <row r="1223" spans="2:12" x14ac:dyDescent="0.3">
      <c r="B1223" s="1" t="s">
        <v>179</v>
      </c>
      <c r="C1223" s="4" t="str">
        <f>VLOOKUP(Tabela1[[#This Row],[Cliente]],'BASE DE CLIENTES'!A:E,2,0)</f>
        <v>Brasilândia de Minas</v>
      </c>
      <c r="D1223" s="1" t="str">
        <f>VLOOKUP(Tabela1[[#This Row],[Cliente]],'BASE DE CLIENTES'!A:C,3,0)</f>
        <v>MG</v>
      </c>
      <c r="E1223" s="4" t="str">
        <f>CONCATENATE(Tabela1[[#This Row],[CIDADE]],",",Tabela1[[#This Row],[UF]])</f>
        <v>Brasilândia de Minas,MG</v>
      </c>
      <c r="F1223" s="2">
        <v>45903</v>
      </c>
      <c r="G1223" s="17">
        <v>1778.39</v>
      </c>
      <c r="H1223" s="17">
        <v>2800</v>
      </c>
      <c r="I1223" s="6">
        <f>Tabela1[[#This Row],[Valor total]]-Tabela1[[#This Row],[Valor custo]]</f>
        <v>1021.6099999999999</v>
      </c>
      <c r="J1223" s="7">
        <f>Tabela1[[#This Row],[MARGEM BRUTA]]/Tabela1[[#This Row],[Valor total]]</f>
        <v>0.36486071428571426</v>
      </c>
      <c r="K1223" s="1" t="str">
        <f>VLOOKUP(Tabela1[[#This Row],[Cliente]],'BASE DE CLIENTES'!A:D,4,0)</f>
        <v>EMPRESA SEM MAQUINA</v>
      </c>
      <c r="L1223" s="1" t="str">
        <f>VLOOKUP(Tabela1[[#This Row],[Cliente]],'BASE DE CLIENTES'!A:E,5,0)</f>
        <v>Brasilândia de Minas</v>
      </c>
    </row>
    <row r="1224" spans="2:12" x14ac:dyDescent="0.3">
      <c r="B1224" s="1" t="s">
        <v>183</v>
      </c>
      <c r="C1224" s="4" t="str">
        <f>VLOOKUP(Tabela1[[#This Row],[Cliente]],'BASE DE CLIENTES'!A:E,2,0)</f>
        <v>Caldas Novas</v>
      </c>
      <c r="D1224" s="1" t="str">
        <f>VLOOKUP(Tabela1[[#This Row],[Cliente]],'BASE DE CLIENTES'!A:C,3,0)</f>
        <v>GO</v>
      </c>
      <c r="E1224" s="4" t="str">
        <f>CONCATENATE(Tabela1[[#This Row],[CIDADE]],",",Tabela1[[#This Row],[UF]])</f>
        <v>Caldas Novas,GO</v>
      </c>
      <c r="F1224" s="2">
        <v>45862</v>
      </c>
      <c r="G1224" s="17">
        <v>8661.18</v>
      </c>
      <c r="H1224" s="17">
        <v>13500</v>
      </c>
      <c r="I1224" s="6">
        <f>Tabela1[[#This Row],[Valor total]]-Tabela1[[#This Row],[Valor custo]]</f>
        <v>4838.82</v>
      </c>
      <c r="J1224" s="7">
        <f>Tabela1[[#This Row],[MARGEM BRUTA]]/Tabela1[[#This Row],[Valor total]]</f>
        <v>0.35843111111111109</v>
      </c>
      <c r="K1224" s="1" t="str">
        <f>VLOOKUP(Tabela1[[#This Row],[Cliente]],'BASE DE CLIENTES'!A:D,4,0)</f>
        <v>EMPRESA COM MAQUINA</v>
      </c>
      <c r="L1224" s="1" t="str">
        <f>VLOOKUP(Tabela1[[#This Row],[Cliente]],'BASE DE CLIENTES'!A:E,5,0)</f>
        <v>Caldas Novas</v>
      </c>
    </row>
    <row r="1225" spans="2:12" x14ac:dyDescent="0.3">
      <c r="B1225" s="1" t="s">
        <v>68</v>
      </c>
      <c r="C1225" s="4" t="str">
        <f>VLOOKUP(Tabela1[[#This Row],[Cliente]],'BASE DE CLIENTES'!A:E,2,0)</f>
        <v>Brasília</v>
      </c>
      <c r="D1225" s="1" t="str">
        <f>VLOOKUP(Tabela1[[#This Row],[Cliente]],'BASE DE CLIENTES'!A:C,3,0)</f>
        <v>DF</v>
      </c>
      <c r="E1225" s="4" t="str">
        <f>CONCATENATE(Tabela1[[#This Row],[CIDADE]],",",Tabela1[[#This Row],[UF]])</f>
        <v>Brasília,DF</v>
      </c>
      <c r="F1225" s="2">
        <v>45782</v>
      </c>
      <c r="G1225" s="17">
        <v>409.87</v>
      </c>
      <c r="H1225" s="17">
        <v>585</v>
      </c>
      <c r="I1225" s="6">
        <f>Tabela1[[#This Row],[Valor total]]-Tabela1[[#This Row],[Valor custo]]</f>
        <v>175.13</v>
      </c>
      <c r="J1225" s="7">
        <f>Tabela1[[#This Row],[MARGEM BRUTA]]/Tabela1[[#This Row],[Valor total]]</f>
        <v>0.29936752136752137</v>
      </c>
      <c r="K1225" s="1" t="str">
        <f>VLOOKUP(Tabela1[[#This Row],[Cliente]],'BASE DE CLIENTES'!A:D,4,0)</f>
        <v>EMPRESA COM MAQUINA</v>
      </c>
      <c r="L1225" s="1" t="str">
        <f>VLOOKUP(Tabela1[[#This Row],[Cliente]],'BASE DE CLIENTES'!A:E,5,0)</f>
        <v>SAMAMBAIA SUL (SAMAMBAIA)</v>
      </c>
    </row>
    <row r="1226" spans="2:12" x14ac:dyDescent="0.3">
      <c r="B1226" s="1" t="s">
        <v>76</v>
      </c>
      <c r="C1226" s="4" t="str">
        <f>VLOOKUP(Tabela1[[#This Row],[Cliente]],'BASE DE CLIENTES'!A:E,2,0)</f>
        <v>Brasília</v>
      </c>
      <c r="D1226" s="1" t="str">
        <f>VLOOKUP(Tabela1[[#This Row],[Cliente]],'BASE DE CLIENTES'!A:C,3,0)</f>
        <v>DF</v>
      </c>
      <c r="E1226" s="4" t="str">
        <f>CONCATENATE(Tabela1[[#This Row],[CIDADE]],",",Tabela1[[#This Row],[UF]])</f>
        <v>Brasília,DF</v>
      </c>
      <c r="F1226" s="2">
        <v>45782</v>
      </c>
      <c r="G1226" s="17">
        <v>5404</v>
      </c>
      <c r="H1226" s="17">
        <v>7750</v>
      </c>
      <c r="I1226" s="6">
        <f>Tabela1[[#This Row],[Valor total]]-Tabela1[[#This Row],[Valor custo]]</f>
        <v>2346</v>
      </c>
      <c r="J1226" s="7">
        <f>Tabela1[[#This Row],[MARGEM BRUTA]]/Tabela1[[#This Row],[Valor total]]</f>
        <v>0.30270967741935484</v>
      </c>
      <c r="K1226" s="1" t="str">
        <f>VLOOKUP(Tabela1[[#This Row],[Cliente]],'BASE DE CLIENTES'!A:D,4,0)</f>
        <v>EMPRESA COM MAQUINA</v>
      </c>
      <c r="L1226" s="1" t="str">
        <f>VLOOKUP(Tabela1[[#This Row],[Cliente]],'BASE DE CLIENTES'!A:E,5,0)</f>
        <v>Setor Placa da Mercedes (Núcleo Bandeirante)</v>
      </c>
    </row>
    <row r="1227" spans="2:12" x14ac:dyDescent="0.3">
      <c r="B1227" s="1" t="s">
        <v>183</v>
      </c>
      <c r="C1227" s="4" t="str">
        <f>VLOOKUP(Tabela1[[#This Row],[Cliente]],'BASE DE CLIENTES'!A:E,2,0)</f>
        <v>Caldas Novas</v>
      </c>
      <c r="D1227" s="1" t="str">
        <f>VLOOKUP(Tabela1[[#This Row],[Cliente]],'BASE DE CLIENTES'!A:C,3,0)</f>
        <v>GO</v>
      </c>
      <c r="E1227" s="4" t="str">
        <f>CONCATENATE(Tabela1[[#This Row],[CIDADE]],",",Tabela1[[#This Row],[UF]])</f>
        <v>Caldas Novas,GO</v>
      </c>
      <c r="F1227" s="2">
        <v>45855</v>
      </c>
      <c r="G1227" s="17">
        <v>5028.99</v>
      </c>
      <c r="H1227" s="17">
        <v>7500</v>
      </c>
      <c r="I1227" s="6">
        <f>Tabela1[[#This Row],[Valor total]]-Tabela1[[#This Row],[Valor custo]]</f>
        <v>2471.0100000000002</v>
      </c>
      <c r="J1227" s="7">
        <f>Tabela1[[#This Row],[MARGEM BRUTA]]/Tabela1[[#This Row],[Valor total]]</f>
        <v>0.32946800000000004</v>
      </c>
      <c r="K1227" s="1" t="str">
        <f>VLOOKUP(Tabela1[[#This Row],[Cliente]],'BASE DE CLIENTES'!A:D,4,0)</f>
        <v>EMPRESA COM MAQUINA</v>
      </c>
      <c r="L1227" s="1" t="str">
        <f>VLOOKUP(Tabela1[[#This Row],[Cliente]],'BASE DE CLIENTES'!A:E,5,0)</f>
        <v>Caldas Novas</v>
      </c>
    </row>
    <row r="1228" spans="2:12" x14ac:dyDescent="0.3">
      <c r="B1228" s="1" t="s">
        <v>183</v>
      </c>
      <c r="C1228" s="4" t="str">
        <f>VLOOKUP(Tabela1[[#This Row],[Cliente]],'BASE DE CLIENTES'!A:E,2,0)</f>
        <v>Caldas Novas</v>
      </c>
      <c r="D1228" s="1" t="str">
        <f>VLOOKUP(Tabela1[[#This Row],[Cliente]],'BASE DE CLIENTES'!A:C,3,0)</f>
        <v>GO</v>
      </c>
      <c r="E1228" s="4" t="str">
        <f>CONCATENATE(Tabela1[[#This Row],[CIDADE]],",",Tabela1[[#This Row],[UF]])</f>
        <v>Caldas Novas,GO</v>
      </c>
      <c r="F1228" s="2">
        <v>45854</v>
      </c>
      <c r="G1228" s="17">
        <v>1118.56</v>
      </c>
      <c r="H1228" s="17">
        <v>2640</v>
      </c>
      <c r="I1228" s="6">
        <f>Tabela1[[#This Row],[Valor total]]-Tabela1[[#This Row],[Valor custo]]</f>
        <v>1521.44</v>
      </c>
      <c r="J1228" s="7">
        <f>Tabela1[[#This Row],[MARGEM BRUTA]]/Tabela1[[#This Row],[Valor total]]</f>
        <v>0.57630303030303032</v>
      </c>
      <c r="K1228" s="1" t="str">
        <f>VLOOKUP(Tabela1[[#This Row],[Cliente]],'BASE DE CLIENTES'!A:D,4,0)</f>
        <v>EMPRESA COM MAQUINA</v>
      </c>
      <c r="L1228" s="1" t="str">
        <f>VLOOKUP(Tabela1[[#This Row],[Cliente]],'BASE DE CLIENTES'!A:E,5,0)</f>
        <v>Caldas Novas</v>
      </c>
    </row>
    <row r="1229" spans="2:12" x14ac:dyDescent="0.3">
      <c r="B1229" s="1" t="s">
        <v>183</v>
      </c>
      <c r="C1229" s="4" t="str">
        <f>VLOOKUP(Tabela1[[#This Row],[Cliente]],'BASE DE CLIENTES'!A:E,2,0)</f>
        <v>Caldas Novas</v>
      </c>
      <c r="D1229" s="1" t="str">
        <f>VLOOKUP(Tabela1[[#This Row],[Cliente]],'BASE DE CLIENTES'!A:C,3,0)</f>
        <v>GO</v>
      </c>
      <c r="E1229" s="4" t="str">
        <f>CONCATENATE(Tabela1[[#This Row],[CIDADE]],",",Tabela1[[#This Row],[UF]])</f>
        <v>Caldas Novas,GO</v>
      </c>
      <c r="F1229" s="2">
        <v>45875</v>
      </c>
      <c r="G1229" s="17">
        <v>8750.9</v>
      </c>
      <c r="H1229" s="17">
        <v>12731.7</v>
      </c>
      <c r="I1229" s="6">
        <f>Tabela1[[#This Row],[Valor total]]-Tabela1[[#This Row],[Valor custo]]</f>
        <v>3980.8000000000011</v>
      </c>
      <c r="J1229" s="7">
        <f>Tabela1[[#This Row],[MARGEM BRUTA]]/Tabela1[[#This Row],[Valor total]]</f>
        <v>0.31266837892818722</v>
      </c>
      <c r="K1229" s="1" t="str">
        <f>VLOOKUP(Tabela1[[#This Row],[Cliente]],'BASE DE CLIENTES'!A:D,4,0)</f>
        <v>EMPRESA COM MAQUINA</v>
      </c>
      <c r="L1229" s="1" t="str">
        <f>VLOOKUP(Tabela1[[#This Row],[Cliente]],'BASE DE CLIENTES'!A:E,5,0)</f>
        <v>Caldas Novas</v>
      </c>
    </row>
    <row r="1230" spans="2:12" x14ac:dyDescent="0.3">
      <c r="B1230" s="1" t="s">
        <v>97</v>
      </c>
      <c r="C1230" s="4" t="str">
        <f>VLOOKUP(Tabela1[[#This Row],[Cliente]],'BASE DE CLIENTES'!A:E,2,0)</f>
        <v>Brasília</v>
      </c>
      <c r="D1230" s="1" t="str">
        <f>VLOOKUP(Tabela1[[#This Row],[Cliente]],'BASE DE CLIENTES'!A:C,3,0)</f>
        <v>DF</v>
      </c>
      <c r="E1230" s="4" t="str">
        <f>CONCATENATE(Tabela1[[#This Row],[CIDADE]],",",Tabela1[[#This Row],[UF]])</f>
        <v>Brasília,DF</v>
      </c>
      <c r="F1230" s="2">
        <v>45782</v>
      </c>
      <c r="G1230" s="17">
        <v>1814</v>
      </c>
      <c r="H1230" s="17">
        <v>2855</v>
      </c>
      <c r="I1230" s="6">
        <f>Tabela1[[#This Row],[Valor total]]-Tabela1[[#This Row],[Valor custo]]</f>
        <v>1041</v>
      </c>
      <c r="J1230" s="7">
        <f>Tabela1[[#This Row],[MARGEM BRUTA]]/Tabela1[[#This Row],[Valor total]]</f>
        <v>0.36462346760070052</v>
      </c>
      <c r="K1230" s="1" t="str">
        <f>VLOOKUP(Tabela1[[#This Row],[Cliente]],'BASE DE CLIENTES'!A:D,4,0)</f>
        <v>SERRALHEIRO</v>
      </c>
      <c r="L1230" s="1" t="str">
        <f>VLOOKUP(Tabela1[[#This Row],[Cliente]],'BASE DE CLIENTES'!A:E,5,0)</f>
        <v>CEILANDIA NORTE</v>
      </c>
    </row>
    <row r="1231" spans="2:12" x14ac:dyDescent="0.3">
      <c r="B1231" s="1" t="s">
        <v>183</v>
      </c>
      <c r="C1231" s="4" t="str">
        <f>VLOOKUP(Tabela1[[#This Row],[Cliente]],'BASE DE CLIENTES'!A:E,2,0)</f>
        <v>Caldas Novas</v>
      </c>
      <c r="D1231" s="1" t="str">
        <f>VLOOKUP(Tabela1[[#This Row],[Cliente]],'BASE DE CLIENTES'!A:C,3,0)</f>
        <v>GO</v>
      </c>
      <c r="E1231" s="4" t="str">
        <f>CONCATENATE(Tabela1[[#This Row],[CIDADE]],",",Tabela1[[#This Row],[UF]])</f>
        <v>Caldas Novas,GO</v>
      </c>
      <c r="F1231" s="2">
        <v>45874</v>
      </c>
      <c r="G1231" s="17">
        <v>764.6</v>
      </c>
      <c r="H1231" s="17">
        <v>1143.9000000000001</v>
      </c>
      <c r="I1231" s="6">
        <f>Tabela1[[#This Row],[Valor total]]-Tabela1[[#This Row],[Valor custo]]</f>
        <v>379.30000000000007</v>
      </c>
      <c r="J1231" s="7">
        <f>Tabela1[[#This Row],[MARGEM BRUTA]]/Tabela1[[#This Row],[Valor total]]</f>
        <v>0.33158492875251339</v>
      </c>
      <c r="K1231" s="1" t="str">
        <f>VLOOKUP(Tabela1[[#This Row],[Cliente]],'BASE DE CLIENTES'!A:D,4,0)</f>
        <v>EMPRESA COM MAQUINA</v>
      </c>
      <c r="L1231" s="1" t="str">
        <f>VLOOKUP(Tabela1[[#This Row],[Cliente]],'BASE DE CLIENTES'!A:E,5,0)</f>
        <v>Caldas Novas</v>
      </c>
    </row>
    <row r="1232" spans="2:12" x14ac:dyDescent="0.3">
      <c r="B1232" s="1" t="s">
        <v>183</v>
      </c>
      <c r="C1232" s="4" t="str">
        <f>VLOOKUP(Tabela1[[#This Row],[Cliente]],'BASE DE CLIENTES'!A:E,2,0)</f>
        <v>Caldas Novas</v>
      </c>
      <c r="D1232" s="1" t="str">
        <f>VLOOKUP(Tabela1[[#This Row],[Cliente]],'BASE DE CLIENTES'!A:C,3,0)</f>
        <v>GO</v>
      </c>
      <c r="E1232" s="4" t="str">
        <f>CONCATENATE(Tabela1[[#This Row],[CIDADE]],",",Tabela1[[#This Row],[UF]])</f>
        <v>Caldas Novas,GO</v>
      </c>
      <c r="F1232" s="2">
        <v>45902</v>
      </c>
      <c r="G1232" s="17">
        <v>11408.8</v>
      </c>
      <c r="H1232" s="17">
        <v>15700</v>
      </c>
      <c r="I1232" s="6">
        <f>Tabela1[[#This Row],[Valor total]]-Tabela1[[#This Row],[Valor custo]]</f>
        <v>4291.2000000000007</v>
      </c>
      <c r="J1232" s="7">
        <f>Tabela1[[#This Row],[MARGEM BRUTA]]/Tabela1[[#This Row],[Valor total]]</f>
        <v>0.27332484076433128</v>
      </c>
      <c r="K1232" s="1" t="str">
        <f>VLOOKUP(Tabela1[[#This Row],[Cliente]],'BASE DE CLIENTES'!A:D,4,0)</f>
        <v>EMPRESA COM MAQUINA</v>
      </c>
      <c r="L1232" s="1" t="str">
        <f>VLOOKUP(Tabela1[[#This Row],[Cliente]],'BASE DE CLIENTES'!A:E,5,0)</f>
        <v>Caldas Novas</v>
      </c>
    </row>
    <row r="1233" spans="2:12" x14ac:dyDescent="0.3">
      <c r="B1233" s="1" t="s">
        <v>183</v>
      </c>
      <c r="C1233" s="4" t="str">
        <f>VLOOKUP(Tabela1[[#This Row],[Cliente]],'BASE DE CLIENTES'!A:E,2,0)</f>
        <v>Caldas Novas</v>
      </c>
      <c r="D1233" s="1" t="str">
        <f>VLOOKUP(Tabela1[[#This Row],[Cliente]],'BASE DE CLIENTES'!A:C,3,0)</f>
        <v>GO</v>
      </c>
      <c r="E1233" s="4" t="str">
        <f>CONCATENATE(Tabela1[[#This Row],[CIDADE]],",",Tabela1[[#This Row],[UF]])</f>
        <v>Caldas Novas,GO</v>
      </c>
      <c r="F1233" s="2">
        <v>45902</v>
      </c>
      <c r="G1233" s="17">
        <v>910</v>
      </c>
      <c r="H1233" s="17">
        <v>1395</v>
      </c>
      <c r="I1233" s="6">
        <f>Tabela1[[#This Row],[Valor total]]-Tabela1[[#This Row],[Valor custo]]</f>
        <v>485</v>
      </c>
      <c r="J1233" s="7">
        <f>Tabela1[[#This Row],[MARGEM BRUTA]]/Tabela1[[#This Row],[Valor total]]</f>
        <v>0.34767025089605735</v>
      </c>
      <c r="K1233" s="1" t="str">
        <f>VLOOKUP(Tabela1[[#This Row],[Cliente]],'BASE DE CLIENTES'!A:D,4,0)</f>
        <v>EMPRESA COM MAQUINA</v>
      </c>
      <c r="L1233" s="1" t="str">
        <f>VLOOKUP(Tabela1[[#This Row],[Cliente]],'BASE DE CLIENTES'!A:E,5,0)</f>
        <v>Caldas Novas</v>
      </c>
    </row>
    <row r="1234" spans="2:12" x14ac:dyDescent="0.3">
      <c r="B1234" s="1" t="s">
        <v>27</v>
      </c>
      <c r="C1234" s="4" t="str">
        <f>VLOOKUP(Tabela1[[#This Row],[Cliente]],'BASE DE CLIENTES'!A:E,2,0)</f>
        <v>Brasília</v>
      </c>
      <c r="D1234" s="1" t="str">
        <f>VLOOKUP(Tabela1[[#This Row],[Cliente]],'BASE DE CLIENTES'!A:C,3,0)</f>
        <v>DF</v>
      </c>
      <c r="E1234" s="4" t="str">
        <f>CONCATENATE(Tabela1[[#This Row],[CIDADE]],",",Tabela1[[#This Row],[UF]])</f>
        <v>Brasília,DF</v>
      </c>
      <c r="F1234" s="2">
        <v>45779</v>
      </c>
      <c r="G1234" s="17">
        <v>600.20000000000005</v>
      </c>
      <c r="H1234" s="17">
        <v>1105</v>
      </c>
      <c r="I1234" s="6">
        <f>Tabela1[[#This Row],[Valor total]]-Tabela1[[#This Row],[Valor custo]]</f>
        <v>504.79999999999995</v>
      </c>
      <c r="J1234" s="7">
        <f>Tabela1[[#This Row],[MARGEM BRUTA]]/Tabela1[[#This Row],[Valor total]]</f>
        <v>0.45683257918552034</v>
      </c>
      <c r="K1234" s="1" t="str">
        <f>VLOOKUP(Tabela1[[#This Row],[Cliente]],'BASE DE CLIENTES'!A:D,4,0)</f>
        <v>EMPRESA SEM MAQUINA</v>
      </c>
      <c r="L1234" s="1" t="str">
        <f>VLOOKUP(Tabela1[[#This Row],[Cliente]],'BASE DE CLIENTES'!A:E,5,0)</f>
        <v>RECANTO DAS EMAS</v>
      </c>
    </row>
    <row r="1235" spans="2:12" x14ac:dyDescent="0.3">
      <c r="B1235" s="1" t="s">
        <v>106</v>
      </c>
      <c r="C1235" s="4" t="str">
        <f>VLOOKUP(Tabela1[[#This Row],[Cliente]],'BASE DE CLIENTES'!A:E,2,0)</f>
        <v>Brasília</v>
      </c>
      <c r="D1235" s="1" t="str">
        <f>VLOOKUP(Tabela1[[#This Row],[Cliente]],'BASE DE CLIENTES'!A:C,3,0)</f>
        <v>DF</v>
      </c>
      <c r="E1235" s="4" t="str">
        <f>CONCATENATE(Tabela1[[#This Row],[CIDADE]],",",Tabela1[[#This Row],[UF]])</f>
        <v>Brasília,DF</v>
      </c>
      <c r="F1235" s="2">
        <v>45779</v>
      </c>
      <c r="G1235" s="17">
        <v>409.87</v>
      </c>
      <c r="H1235" s="17">
        <v>585</v>
      </c>
      <c r="I1235" s="6">
        <f>Tabela1[[#This Row],[Valor total]]-Tabela1[[#This Row],[Valor custo]]</f>
        <v>175.13</v>
      </c>
      <c r="J1235" s="7">
        <f>Tabela1[[#This Row],[MARGEM BRUTA]]/Tabela1[[#This Row],[Valor total]]</f>
        <v>0.29936752136752137</v>
      </c>
      <c r="K1235" s="1" t="str">
        <f>VLOOKUP(Tabela1[[#This Row],[Cliente]],'BASE DE CLIENTES'!A:D,4,0)</f>
        <v>EMPRESA COM MAQUINA</v>
      </c>
      <c r="L1235" s="1" t="str">
        <f>VLOOKUP(Tabela1[[#This Row],[Cliente]],'BASE DE CLIENTES'!A:E,5,0)</f>
        <v>26 DE SETEMBRO</v>
      </c>
    </row>
    <row r="1236" spans="2:12" x14ac:dyDescent="0.3">
      <c r="B1236" s="1" t="s">
        <v>120</v>
      </c>
      <c r="C1236" s="4" t="str">
        <f>VLOOKUP(Tabela1[[#This Row],[Cliente]],'BASE DE CLIENTES'!A:E,2,0)</f>
        <v>Brasília</v>
      </c>
      <c r="D1236" s="1" t="str">
        <f>VLOOKUP(Tabela1[[#This Row],[Cliente]],'BASE DE CLIENTES'!A:C,3,0)</f>
        <v>DF</v>
      </c>
      <c r="E1236" s="4" t="str">
        <f>CONCATENATE(Tabela1[[#This Row],[CIDADE]],",",Tabela1[[#This Row],[UF]])</f>
        <v>Brasília,DF</v>
      </c>
      <c r="F1236" s="2">
        <v>45861</v>
      </c>
      <c r="G1236" s="17">
        <v>1133.74</v>
      </c>
      <c r="H1236" s="17">
        <v>1875</v>
      </c>
      <c r="I1236" s="6">
        <f>Tabela1[[#This Row],[Valor total]]-Tabela1[[#This Row],[Valor custo]]</f>
        <v>741.26</v>
      </c>
      <c r="J1236" s="7">
        <f>Tabela1[[#This Row],[MARGEM BRUTA]]/Tabela1[[#This Row],[Valor total]]</f>
        <v>0.39533866666666667</v>
      </c>
      <c r="K1236" s="1" t="str">
        <f>VLOOKUP(Tabela1[[#This Row],[Cliente]],'BASE DE CLIENTES'!A:D,4,0)</f>
        <v>EMPRESA SEM MAQUINA</v>
      </c>
      <c r="L1236" s="1" t="str">
        <f>VLOOKUP(Tabela1[[#This Row],[Cliente]],'BASE DE CLIENTES'!A:E,5,0)</f>
        <v>SAMAMBAIA</v>
      </c>
    </row>
    <row r="1237" spans="2:12" x14ac:dyDescent="0.3">
      <c r="B1237" s="1" t="s">
        <v>52</v>
      </c>
      <c r="C1237" s="4" t="str">
        <f>VLOOKUP(Tabela1[[#This Row],[Cliente]],'BASE DE CLIENTES'!A:E,2,0)</f>
        <v>Brasília</v>
      </c>
      <c r="D1237" s="1" t="str">
        <f>VLOOKUP(Tabela1[[#This Row],[Cliente]],'BASE DE CLIENTES'!A:C,3,0)</f>
        <v>DF</v>
      </c>
      <c r="E1237" s="4" t="str">
        <f>CONCATENATE(Tabela1[[#This Row],[CIDADE]],",",Tabela1[[#This Row],[UF]])</f>
        <v>Brasília,DF</v>
      </c>
      <c r="F1237" s="2">
        <v>45779</v>
      </c>
      <c r="G1237" s="17">
        <v>1437.3</v>
      </c>
      <c r="H1237" s="17">
        <v>2127</v>
      </c>
      <c r="I1237" s="6">
        <f>Tabela1[[#This Row],[Valor total]]-Tabela1[[#This Row],[Valor custo]]</f>
        <v>689.7</v>
      </c>
      <c r="J1237" s="7">
        <f>Tabela1[[#This Row],[MARGEM BRUTA]]/Tabela1[[#This Row],[Valor total]]</f>
        <v>0.32425952045133993</v>
      </c>
      <c r="K1237" s="1" t="str">
        <f>VLOOKUP(Tabela1[[#This Row],[Cliente]],'BASE DE CLIENTES'!A:D,4,0)</f>
        <v>SERRALHEIRO</v>
      </c>
      <c r="L1237" s="1" t="str">
        <f>VLOOKUP(Tabela1[[#This Row],[Cliente]],'BASE DE CLIENTES'!A:E,5,0)</f>
        <v>Ceilândia Sul (Ceilândia)</v>
      </c>
    </row>
    <row r="1238" spans="2:12" x14ac:dyDescent="0.3">
      <c r="B1238" s="1" t="s">
        <v>184</v>
      </c>
      <c r="C1238" s="4" t="str">
        <f>VLOOKUP(Tabela1[[#This Row],[Cliente]],'BASE DE CLIENTES'!A:E,2,0)</f>
        <v>Castanhal</v>
      </c>
      <c r="D1238" s="1" t="str">
        <f>VLOOKUP(Tabela1[[#This Row],[Cliente]],'BASE DE CLIENTES'!A:C,3,0)</f>
        <v>PA</v>
      </c>
      <c r="E1238" s="4" t="str">
        <f>CONCATENATE(Tabela1[[#This Row],[CIDADE]],",",Tabela1[[#This Row],[UF]])</f>
        <v>Castanhal,PA</v>
      </c>
      <c r="F1238" s="2">
        <v>45930</v>
      </c>
      <c r="G1238" s="17">
        <v>6565.1</v>
      </c>
      <c r="H1238" s="17">
        <v>10390</v>
      </c>
      <c r="I1238" s="6">
        <f>Tabela1[[#This Row],[Valor total]]-Tabela1[[#This Row],[Valor custo]]</f>
        <v>3824.8999999999996</v>
      </c>
      <c r="J1238" s="7">
        <f>Tabela1[[#This Row],[MARGEM BRUTA]]/Tabela1[[#This Row],[Valor total]]</f>
        <v>0.36813282001924924</v>
      </c>
      <c r="K1238" s="1" t="str">
        <f>VLOOKUP(Tabela1[[#This Row],[Cliente]],'BASE DE CLIENTES'!A:D,4,0)</f>
        <v>EMPRESA COM MAQUINA</v>
      </c>
      <c r="L1238" s="1" t="str">
        <f>VLOOKUP(Tabela1[[#This Row],[Cliente]],'BASE DE CLIENTES'!A:E,5,0)</f>
        <v>Castanhal</v>
      </c>
    </row>
    <row r="1239" spans="2:12" x14ac:dyDescent="0.3">
      <c r="B1239" s="1" t="s">
        <v>120</v>
      </c>
      <c r="C1239" s="4" t="str">
        <f>VLOOKUP(Tabela1[[#This Row],[Cliente]],'BASE DE CLIENTES'!A:E,2,0)</f>
        <v>Brasília</v>
      </c>
      <c r="D1239" s="1" t="str">
        <f>VLOOKUP(Tabela1[[#This Row],[Cliente]],'BASE DE CLIENTES'!A:C,3,0)</f>
        <v>DF</v>
      </c>
      <c r="E1239" s="4" t="str">
        <f>CONCATENATE(Tabela1[[#This Row],[CIDADE]],",",Tabela1[[#This Row],[UF]])</f>
        <v>Brasília,DF</v>
      </c>
      <c r="F1239" s="2">
        <v>45855</v>
      </c>
      <c r="G1239" s="17">
        <v>1017.8</v>
      </c>
      <c r="H1239" s="17">
        <v>1990</v>
      </c>
      <c r="I1239" s="6">
        <f>Tabela1[[#This Row],[Valor total]]-Tabela1[[#This Row],[Valor custo]]</f>
        <v>972.2</v>
      </c>
      <c r="J1239" s="7">
        <f>Tabela1[[#This Row],[MARGEM BRUTA]]/Tabela1[[#This Row],[Valor total]]</f>
        <v>0.48854271356783924</v>
      </c>
      <c r="K1239" s="1" t="str">
        <f>VLOOKUP(Tabela1[[#This Row],[Cliente]],'BASE DE CLIENTES'!A:D,4,0)</f>
        <v>EMPRESA SEM MAQUINA</v>
      </c>
      <c r="L1239" s="1" t="str">
        <f>VLOOKUP(Tabela1[[#This Row],[Cliente]],'BASE DE CLIENTES'!A:E,5,0)</f>
        <v>SAMAMBAIA</v>
      </c>
    </row>
    <row r="1240" spans="2:12" x14ac:dyDescent="0.3">
      <c r="B1240" s="1" t="s">
        <v>70</v>
      </c>
      <c r="C1240" s="4" t="str">
        <f>VLOOKUP(Tabela1[[#This Row],[Cliente]],'BASE DE CLIENTES'!A:E,2,0)</f>
        <v>Brasília</v>
      </c>
      <c r="D1240" s="1" t="str">
        <f>VLOOKUP(Tabela1[[#This Row],[Cliente]],'BASE DE CLIENTES'!A:C,3,0)</f>
        <v>DF</v>
      </c>
      <c r="E1240" s="4" t="str">
        <f>CONCATENATE(Tabela1[[#This Row],[CIDADE]],",",Tabela1[[#This Row],[UF]])</f>
        <v>Brasília,DF</v>
      </c>
      <c r="F1240" s="2">
        <v>45779</v>
      </c>
      <c r="G1240" s="17">
        <v>1341</v>
      </c>
      <c r="H1240" s="17">
        <v>1845</v>
      </c>
      <c r="I1240" s="6">
        <f>Tabela1[[#This Row],[Valor total]]-Tabela1[[#This Row],[Valor custo]]</f>
        <v>504</v>
      </c>
      <c r="J1240" s="7">
        <f>Tabela1[[#This Row],[MARGEM BRUTA]]/Tabela1[[#This Row],[Valor total]]</f>
        <v>0.27317073170731709</v>
      </c>
      <c r="K1240" s="1" t="str">
        <f>VLOOKUP(Tabela1[[#This Row],[Cliente]],'BASE DE CLIENTES'!A:D,4,0)</f>
        <v>EMPRESA COM MAQUINA</v>
      </c>
      <c r="L1240" s="1" t="str">
        <f>VLOOKUP(Tabela1[[#This Row],[Cliente]],'BASE DE CLIENTES'!A:E,5,0)</f>
        <v>TAGUATINGA NORTE (TAGUATINGA)</v>
      </c>
    </row>
    <row r="1241" spans="2:12" x14ac:dyDescent="0.3">
      <c r="B1241" s="1" t="s">
        <v>185</v>
      </c>
      <c r="C1241" s="4" t="str">
        <f>VLOOKUP(Tabela1[[#This Row],[Cliente]],'BASE DE CLIENTES'!A:E,2,0)</f>
        <v>Castanhal</v>
      </c>
      <c r="D1241" s="1" t="str">
        <f>VLOOKUP(Tabela1[[#This Row],[Cliente]],'BASE DE CLIENTES'!A:C,3,0)</f>
        <v>PA</v>
      </c>
      <c r="E1241" s="4" t="str">
        <f>CONCATENATE(Tabela1[[#This Row],[CIDADE]],",",Tabela1[[#This Row],[UF]])</f>
        <v>Castanhal,PA</v>
      </c>
      <c r="F1241" s="2">
        <v>45910</v>
      </c>
      <c r="G1241" s="17">
        <v>3608.18</v>
      </c>
      <c r="H1241" s="17">
        <v>5748</v>
      </c>
      <c r="I1241" s="6">
        <f>Tabela1[[#This Row],[Valor total]]-Tabela1[[#This Row],[Valor custo]]</f>
        <v>2139.8200000000002</v>
      </c>
      <c r="J1241" s="7">
        <f>Tabela1[[#This Row],[MARGEM BRUTA]]/Tabela1[[#This Row],[Valor total]]</f>
        <v>0.37227209464161448</v>
      </c>
      <c r="K1241" s="1" t="str">
        <f>VLOOKUP(Tabela1[[#This Row],[Cliente]],'BASE DE CLIENTES'!A:D,4,0)</f>
        <v>SEM CLASSIFICAÇÃO</v>
      </c>
      <c r="L1241" s="1" t="str">
        <f>VLOOKUP(Tabela1[[#This Row],[Cliente]],'BASE DE CLIENTES'!A:E,5,0)</f>
        <v>Castanhal</v>
      </c>
    </row>
    <row r="1242" spans="2:12" x14ac:dyDescent="0.3">
      <c r="B1242" s="1" t="s">
        <v>108</v>
      </c>
      <c r="C1242" s="4" t="str">
        <f>VLOOKUP(Tabela1[[#This Row],[Cliente]],'BASE DE CLIENTES'!A:E,2,0)</f>
        <v>Brasília</v>
      </c>
      <c r="D1242" s="1" t="str">
        <f>VLOOKUP(Tabela1[[#This Row],[Cliente]],'BASE DE CLIENTES'!A:C,3,0)</f>
        <v>DF</v>
      </c>
      <c r="E1242" s="4" t="str">
        <f>CONCATENATE(Tabela1[[#This Row],[CIDADE]],",",Tabela1[[#This Row],[UF]])</f>
        <v>Brasília,DF</v>
      </c>
      <c r="F1242" s="2">
        <v>45779</v>
      </c>
      <c r="G1242" s="17">
        <v>12.19</v>
      </c>
      <c r="H1242" s="17">
        <v>16.5</v>
      </c>
      <c r="I1242" s="6">
        <f>Tabela1[[#This Row],[Valor total]]-Tabela1[[#This Row],[Valor custo]]</f>
        <v>4.3100000000000005</v>
      </c>
      <c r="J1242" s="7">
        <f>Tabela1[[#This Row],[MARGEM BRUTA]]/Tabela1[[#This Row],[Valor total]]</f>
        <v>0.26121212121212123</v>
      </c>
      <c r="K1242" s="1" t="str">
        <f>VLOOKUP(Tabela1[[#This Row],[Cliente]],'BASE DE CLIENTES'!A:D,4,0)</f>
        <v>SERRALHEIRO</v>
      </c>
      <c r="L1242" s="1" t="str">
        <f>VLOOKUP(Tabela1[[#This Row],[Cliente]],'BASE DE CLIENTES'!A:E,5,0)</f>
        <v>Vila Planalto</v>
      </c>
    </row>
    <row r="1243" spans="2:12" x14ac:dyDescent="0.3">
      <c r="B1243" s="1" t="s">
        <v>108</v>
      </c>
      <c r="C1243" s="4" t="str">
        <f>VLOOKUP(Tabela1[[#This Row],[Cliente]],'BASE DE CLIENTES'!A:E,2,0)</f>
        <v>Brasília</v>
      </c>
      <c r="D1243" s="1" t="str">
        <f>VLOOKUP(Tabela1[[#This Row],[Cliente]],'BASE DE CLIENTES'!A:C,3,0)</f>
        <v>DF</v>
      </c>
      <c r="E1243" s="4" t="str">
        <f>CONCATENATE(Tabela1[[#This Row],[CIDADE]],",",Tabela1[[#This Row],[UF]])</f>
        <v>Brasília,DF</v>
      </c>
      <c r="F1243" s="2">
        <v>45779</v>
      </c>
      <c r="G1243" s="17">
        <v>7.9</v>
      </c>
      <c r="H1243" s="17">
        <v>40</v>
      </c>
      <c r="I1243" s="6">
        <f>Tabela1[[#This Row],[Valor total]]-Tabela1[[#This Row],[Valor custo]]</f>
        <v>32.1</v>
      </c>
      <c r="J1243" s="7">
        <f>Tabela1[[#This Row],[MARGEM BRUTA]]/Tabela1[[#This Row],[Valor total]]</f>
        <v>0.80249999999999999</v>
      </c>
      <c r="K1243" s="1" t="str">
        <f>VLOOKUP(Tabela1[[#This Row],[Cliente]],'BASE DE CLIENTES'!A:D,4,0)</f>
        <v>SERRALHEIRO</v>
      </c>
      <c r="L1243" s="1" t="str">
        <f>VLOOKUP(Tabela1[[#This Row],[Cliente]],'BASE DE CLIENTES'!A:E,5,0)</f>
        <v>Vila Planalto</v>
      </c>
    </row>
    <row r="1244" spans="2:12" x14ac:dyDescent="0.3">
      <c r="B1244" s="1" t="s">
        <v>184</v>
      </c>
      <c r="C1244" s="4" t="str">
        <f>VLOOKUP(Tabela1[[#This Row],[Cliente]],'BASE DE CLIENTES'!A:E,2,0)</f>
        <v>Castanhal</v>
      </c>
      <c r="D1244" s="1" t="str">
        <f>VLOOKUP(Tabela1[[#This Row],[Cliente]],'BASE DE CLIENTES'!A:C,3,0)</f>
        <v>PA</v>
      </c>
      <c r="E1244" s="4" t="str">
        <f>CONCATENATE(Tabela1[[#This Row],[CIDADE]],",",Tabela1[[#This Row],[UF]])</f>
        <v>Castanhal,PA</v>
      </c>
      <c r="F1244" s="2">
        <v>45910</v>
      </c>
      <c r="G1244" s="17">
        <v>3718.18</v>
      </c>
      <c r="H1244" s="17">
        <v>5658</v>
      </c>
      <c r="I1244" s="6">
        <f>Tabela1[[#This Row],[Valor total]]-Tabela1[[#This Row],[Valor custo]]</f>
        <v>1939.8200000000002</v>
      </c>
      <c r="J1244" s="7">
        <f>Tabela1[[#This Row],[MARGEM BRUTA]]/Tabela1[[#This Row],[Valor total]]</f>
        <v>0.3428455284552846</v>
      </c>
      <c r="K1244" s="1" t="str">
        <f>VLOOKUP(Tabela1[[#This Row],[Cliente]],'BASE DE CLIENTES'!A:D,4,0)</f>
        <v>EMPRESA COM MAQUINA</v>
      </c>
      <c r="L1244" s="1" t="str">
        <f>VLOOKUP(Tabela1[[#This Row],[Cliente]],'BASE DE CLIENTES'!A:E,5,0)</f>
        <v>Castanhal</v>
      </c>
    </row>
    <row r="1245" spans="2:12" x14ac:dyDescent="0.3">
      <c r="B1245" s="1" t="s">
        <v>117</v>
      </c>
      <c r="C1245" s="4" t="str">
        <f>VLOOKUP(Tabela1[[#This Row],[Cliente]],'BASE DE CLIENTES'!A:E,2,0)</f>
        <v>Brasília</v>
      </c>
      <c r="D1245" s="1" t="str">
        <f>VLOOKUP(Tabela1[[#This Row],[Cliente]],'BASE DE CLIENTES'!A:C,3,0)</f>
        <v>DF</v>
      </c>
      <c r="E1245" s="4" t="str">
        <f>CONCATENATE(Tabela1[[#This Row],[CIDADE]],",",Tabela1[[#This Row],[UF]])</f>
        <v>Brasília,DF</v>
      </c>
      <c r="F1245" s="2">
        <v>45779</v>
      </c>
      <c r="G1245" s="17">
        <v>66</v>
      </c>
      <c r="H1245" s="17">
        <v>300</v>
      </c>
      <c r="I1245" s="6">
        <f>Tabela1[[#This Row],[Valor total]]-Tabela1[[#This Row],[Valor custo]]</f>
        <v>234</v>
      </c>
      <c r="J1245" s="7">
        <f>Tabela1[[#This Row],[MARGEM BRUTA]]/Tabela1[[#This Row],[Valor total]]</f>
        <v>0.78</v>
      </c>
      <c r="K1245" s="1" t="str">
        <f>VLOOKUP(Tabela1[[#This Row],[Cliente]],'BASE DE CLIENTES'!A:D,4,0)</f>
        <v>EMPRESA COM MAQUINA</v>
      </c>
      <c r="L1245" s="1" t="str">
        <f>VLOOKUP(Tabela1[[#This Row],[Cliente]],'BASE DE CLIENTES'!A:E,5,0)</f>
        <v>SETOR HABITACIONAL ARNIQUEIRA (AGUAS CLARAS)</v>
      </c>
    </row>
    <row r="1246" spans="2:12" x14ac:dyDescent="0.3">
      <c r="B1246" s="1" t="s">
        <v>161</v>
      </c>
      <c r="C1246" s="4" t="str">
        <f>VLOOKUP(Tabela1[[#This Row],[Cliente]],'BASE DE CLIENTES'!A:E,2,0)</f>
        <v>Brasília</v>
      </c>
      <c r="D1246" s="1" t="str">
        <f>VLOOKUP(Tabela1[[#This Row],[Cliente]],'BASE DE CLIENTES'!A:C,3,0)</f>
        <v>DF</v>
      </c>
      <c r="E1246" s="4" t="str">
        <f>CONCATENATE(Tabela1[[#This Row],[CIDADE]],",",Tabela1[[#This Row],[UF]])</f>
        <v>Brasília,DF</v>
      </c>
      <c r="F1246" s="2">
        <v>45779</v>
      </c>
      <c r="G1246" s="17">
        <v>268.45999999999998</v>
      </c>
      <c r="H1246" s="17">
        <v>550</v>
      </c>
      <c r="I1246" s="6">
        <f>Tabela1[[#This Row],[Valor total]]-Tabela1[[#This Row],[Valor custo]]</f>
        <v>281.54000000000002</v>
      </c>
      <c r="J1246" s="7">
        <f>Tabela1[[#This Row],[MARGEM BRUTA]]/Tabela1[[#This Row],[Valor total]]</f>
        <v>0.51189090909090917</v>
      </c>
      <c r="K1246" s="1" t="str">
        <f>VLOOKUP(Tabela1[[#This Row],[Cliente]],'BASE DE CLIENTES'!A:D,4,0)</f>
        <v>EMPRESA COM MAQUINA</v>
      </c>
      <c r="L1246" s="1" t="str">
        <f>VLOOKUP(Tabela1[[#This Row],[Cliente]],'BASE DE CLIENTES'!A:E,5,0)</f>
        <v>RIACHO FUNDO II</v>
      </c>
    </row>
    <row r="1247" spans="2:12" x14ac:dyDescent="0.3">
      <c r="B1247" s="1" t="s">
        <v>120</v>
      </c>
      <c r="C1247" s="4" t="str">
        <f>VLOOKUP(Tabela1[[#This Row],[Cliente]],'BASE DE CLIENTES'!A:E,2,0)</f>
        <v>Brasília</v>
      </c>
      <c r="D1247" s="1" t="str">
        <f>VLOOKUP(Tabela1[[#This Row],[Cliente]],'BASE DE CLIENTES'!A:C,3,0)</f>
        <v>DF</v>
      </c>
      <c r="E1247" s="4" t="str">
        <f>CONCATENATE(Tabela1[[#This Row],[CIDADE]],",",Tabela1[[#This Row],[UF]])</f>
        <v>Brasília,DF</v>
      </c>
      <c r="F1247" s="2">
        <v>45853</v>
      </c>
      <c r="G1247" s="17">
        <v>888</v>
      </c>
      <c r="H1247" s="17">
        <v>1310</v>
      </c>
      <c r="I1247" s="6">
        <f>Tabela1[[#This Row],[Valor total]]-Tabela1[[#This Row],[Valor custo]]</f>
        <v>422</v>
      </c>
      <c r="J1247" s="7">
        <f>Tabela1[[#This Row],[MARGEM BRUTA]]/Tabela1[[#This Row],[Valor total]]</f>
        <v>0.32213740458015266</v>
      </c>
      <c r="K1247" s="1" t="str">
        <f>VLOOKUP(Tabela1[[#This Row],[Cliente]],'BASE DE CLIENTES'!A:D,4,0)</f>
        <v>EMPRESA SEM MAQUINA</v>
      </c>
      <c r="L1247" s="1" t="str">
        <f>VLOOKUP(Tabela1[[#This Row],[Cliente]],'BASE DE CLIENTES'!A:E,5,0)</f>
        <v>SAMAMBAIA</v>
      </c>
    </row>
    <row r="1248" spans="2:12" x14ac:dyDescent="0.3">
      <c r="B1248" s="1" t="s">
        <v>184</v>
      </c>
      <c r="C1248" s="4" t="str">
        <f>VLOOKUP(Tabela1[[#This Row],[Cliente]],'BASE DE CLIENTES'!A:E,2,0)</f>
        <v>Castanhal</v>
      </c>
      <c r="D1248" s="1" t="str">
        <f>VLOOKUP(Tabela1[[#This Row],[Cliente]],'BASE DE CLIENTES'!A:C,3,0)</f>
        <v>PA</v>
      </c>
      <c r="E1248" s="4" t="str">
        <f>CONCATENATE(Tabela1[[#This Row],[CIDADE]],",",Tabela1[[#This Row],[UF]])</f>
        <v>Castanhal,PA</v>
      </c>
      <c r="F1248" s="2">
        <v>45909</v>
      </c>
      <c r="G1248" s="17">
        <v>110</v>
      </c>
      <c r="H1248" s="17">
        <v>360</v>
      </c>
      <c r="I1248" s="6">
        <f>Tabela1[[#This Row],[Valor total]]-Tabela1[[#This Row],[Valor custo]]</f>
        <v>250</v>
      </c>
      <c r="J1248" s="7">
        <f>Tabela1[[#This Row],[MARGEM BRUTA]]/Tabela1[[#This Row],[Valor total]]</f>
        <v>0.69444444444444442</v>
      </c>
      <c r="K1248" s="1" t="str">
        <f>VLOOKUP(Tabela1[[#This Row],[Cliente]],'BASE DE CLIENTES'!A:D,4,0)</f>
        <v>EMPRESA COM MAQUINA</v>
      </c>
      <c r="L1248" s="1" t="str">
        <f>VLOOKUP(Tabela1[[#This Row],[Cliente]],'BASE DE CLIENTES'!A:E,5,0)</f>
        <v>Castanhal</v>
      </c>
    </row>
    <row r="1249" spans="2:12" x14ac:dyDescent="0.3">
      <c r="B1249" s="1" t="s">
        <v>68</v>
      </c>
      <c r="C1249" s="4" t="str">
        <f>VLOOKUP(Tabela1[[#This Row],[Cliente]],'BASE DE CLIENTES'!A:E,2,0)</f>
        <v>Brasília</v>
      </c>
      <c r="D1249" s="1" t="str">
        <f>VLOOKUP(Tabela1[[#This Row],[Cliente]],'BASE DE CLIENTES'!A:C,3,0)</f>
        <v>DF</v>
      </c>
      <c r="E1249" s="4" t="str">
        <f>CONCATENATE(Tabela1[[#This Row],[CIDADE]],",",Tabela1[[#This Row],[UF]])</f>
        <v>Brasília,DF</v>
      </c>
      <c r="F1249" s="2">
        <v>45838</v>
      </c>
      <c r="G1249" s="17">
        <v>3286</v>
      </c>
      <c r="H1249" s="17">
        <v>4460</v>
      </c>
      <c r="I1249" s="6">
        <f>Tabela1[[#This Row],[Valor total]]-Tabela1[[#This Row],[Valor custo]]</f>
        <v>1174</v>
      </c>
      <c r="J1249" s="7">
        <f>Tabela1[[#This Row],[MARGEM BRUTA]]/Tabela1[[#This Row],[Valor total]]</f>
        <v>0.26322869955156952</v>
      </c>
      <c r="K1249" s="1" t="str">
        <f>VLOOKUP(Tabela1[[#This Row],[Cliente]],'BASE DE CLIENTES'!A:D,4,0)</f>
        <v>EMPRESA COM MAQUINA</v>
      </c>
      <c r="L1249" s="1" t="str">
        <f>VLOOKUP(Tabela1[[#This Row],[Cliente]],'BASE DE CLIENTES'!A:E,5,0)</f>
        <v>SAMAMBAIA SUL (SAMAMBAIA)</v>
      </c>
    </row>
    <row r="1250" spans="2:12" x14ac:dyDescent="0.3">
      <c r="B1250" s="1" t="s">
        <v>38</v>
      </c>
      <c r="C1250" s="4" t="str">
        <f>VLOOKUP(Tabela1[[#This Row],[Cliente]],'BASE DE CLIENTES'!A:E,2,0)</f>
        <v>Brasília</v>
      </c>
      <c r="D1250" s="1" t="str">
        <f>VLOOKUP(Tabela1[[#This Row],[Cliente]],'BASE DE CLIENTES'!A:C,3,0)</f>
        <v>DF</v>
      </c>
      <c r="E1250" s="4" t="str">
        <f>CONCATENATE(Tabela1[[#This Row],[CIDADE]],",",Tabela1[[#This Row],[UF]])</f>
        <v>Brasília,DF</v>
      </c>
      <c r="F1250" s="2">
        <v>45838</v>
      </c>
      <c r="G1250" s="17">
        <v>268.45999999999998</v>
      </c>
      <c r="H1250" s="17">
        <v>550</v>
      </c>
      <c r="I1250" s="6">
        <f>Tabela1[[#This Row],[Valor total]]-Tabela1[[#This Row],[Valor custo]]</f>
        <v>281.54000000000002</v>
      </c>
      <c r="J1250" s="7">
        <f>Tabela1[[#This Row],[MARGEM BRUTA]]/Tabela1[[#This Row],[Valor total]]</f>
        <v>0.51189090909090917</v>
      </c>
      <c r="K1250" s="1" t="str">
        <f>VLOOKUP(Tabela1[[#This Row],[Cliente]],'BASE DE CLIENTES'!A:D,4,0)</f>
        <v>EMPRESA SEM MAQUINA</v>
      </c>
      <c r="L1250" s="1" t="str">
        <f>VLOOKUP(Tabela1[[#This Row],[Cliente]],'BASE DE CLIENTES'!A:E,5,0)</f>
        <v>PONTE ALTA NORTE (GAMA)</v>
      </c>
    </row>
    <row r="1251" spans="2:12" x14ac:dyDescent="0.3">
      <c r="B1251" s="1" t="s">
        <v>186</v>
      </c>
      <c r="C1251" s="4" t="str">
        <f>VLOOKUP(Tabela1[[#This Row],[Cliente]],'BASE DE CLIENTES'!A:E,2,0)</f>
        <v>Eunápolis</v>
      </c>
      <c r="D1251" s="1" t="str">
        <f>VLOOKUP(Tabela1[[#This Row],[Cliente]],'BASE DE CLIENTES'!A:C,3,0)</f>
        <v>BA</v>
      </c>
      <c r="E1251" s="4" t="str">
        <f>CONCATENATE(Tabela1[[#This Row],[CIDADE]],",",Tabela1[[#This Row],[UF]])</f>
        <v>Eunápolis,BA</v>
      </c>
      <c r="F1251" s="2">
        <v>45705</v>
      </c>
      <c r="G1251" s="17">
        <v>9156.4</v>
      </c>
      <c r="H1251" s="17">
        <v>16645</v>
      </c>
      <c r="I1251" s="6">
        <f>Tabela1[[#This Row],[Valor total]]-Tabela1[[#This Row],[Valor custo]]</f>
        <v>7488.6</v>
      </c>
      <c r="J1251" s="7">
        <f>Tabela1[[#This Row],[MARGEM BRUTA]]/Tabela1[[#This Row],[Valor total]]</f>
        <v>0.44990087113247224</v>
      </c>
      <c r="K1251" s="1" t="str">
        <f>VLOOKUP(Tabela1[[#This Row],[Cliente]],'BASE DE CLIENTES'!A:D,4,0)</f>
        <v>EMPRESA SEM MAQUINA</v>
      </c>
      <c r="L1251" s="1" t="str">
        <f>VLOOKUP(Tabela1[[#This Row],[Cliente]],'BASE DE CLIENTES'!A:E,5,0)</f>
        <v>Eunápolis</v>
      </c>
    </row>
    <row r="1252" spans="2:12" x14ac:dyDescent="0.3">
      <c r="B1252" s="1" t="s">
        <v>52</v>
      </c>
      <c r="C1252" s="4" t="str">
        <f>VLOOKUP(Tabela1[[#This Row],[Cliente]],'BASE DE CLIENTES'!A:E,2,0)</f>
        <v>Brasília</v>
      </c>
      <c r="D1252" s="1" t="str">
        <f>VLOOKUP(Tabela1[[#This Row],[Cliente]],'BASE DE CLIENTES'!A:C,3,0)</f>
        <v>DF</v>
      </c>
      <c r="E1252" s="4" t="str">
        <f>CONCATENATE(Tabela1[[#This Row],[CIDADE]],",",Tabela1[[#This Row],[UF]])</f>
        <v>Brasília,DF</v>
      </c>
      <c r="F1252" s="2">
        <v>45838</v>
      </c>
      <c r="G1252" s="17">
        <v>1006.6</v>
      </c>
      <c r="H1252" s="17">
        <v>1553</v>
      </c>
      <c r="I1252" s="6">
        <f>Tabela1[[#This Row],[Valor total]]-Tabela1[[#This Row],[Valor custo]]</f>
        <v>546.4</v>
      </c>
      <c r="J1252" s="7">
        <f>Tabela1[[#This Row],[MARGEM BRUTA]]/Tabela1[[#This Row],[Valor total]]</f>
        <v>0.35183515775917579</v>
      </c>
      <c r="K1252" s="1" t="str">
        <f>VLOOKUP(Tabela1[[#This Row],[Cliente]],'BASE DE CLIENTES'!A:D,4,0)</f>
        <v>SERRALHEIRO</v>
      </c>
      <c r="L1252" s="1" t="str">
        <f>VLOOKUP(Tabela1[[#This Row],[Cliente]],'BASE DE CLIENTES'!A:E,5,0)</f>
        <v>Ceilândia Sul (Ceilândia)</v>
      </c>
    </row>
    <row r="1253" spans="2:12" x14ac:dyDescent="0.3">
      <c r="B1253" s="1" t="s">
        <v>106</v>
      </c>
      <c r="C1253" s="4" t="str">
        <f>VLOOKUP(Tabela1[[#This Row],[Cliente]],'BASE DE CLIENTES'!A:E,2,0)</f>
        <v>Brasília</v>
      </c>
      <c r="D1253" s="1" t="str">
        <f>VLOOKUP(Tabela1[[#This Row],[Cliente]],'BASE DE CLIENTES'!A:C,3,0)</f>
        <v>DF</v>
      </c>
      <c r="E1253" s="4" t="str">
        <f>CONCATENATE(Tabela1[[#This Row],[CIDADE]],",",Tabela1[[#This Row],[UF]])</f>
        <v>Brasília,DF</v>
      </c>
      <c r="F1253" s="2">
        <v>45838</v>
      </c>
      <c r="G1253" s="17">
        <v>521</v>
      </c>
      <c r="H1253" s="17">
        <v>810</v>
      </c>
      <c r="I1253" s="6">
        <f>Tabela1[[#This Row],[Valor total]]-Tabela1[[#This Row],[Valor custo]]</f>
        <v>289</v>
      </c>
      <c r="J1253" s="7">
        <f>Tabela1[[#This Row],[MARGEM BRUTA]]/Tabela1[[#This Row],[Valor total]]</f>
        <v>0.35679012345679012</v>
      </c>
      <c r="K1253" s="1" t="str">
        <f>VLOOKUP(Tabela1[[#This Row],[Cliente]],'BASE DE CLIENTES'!A:D,4,0)</f>
        <v>EMPRESA COM MAQUINA</v>
      </c>
      <c r="L1253" s="1" t="str">
        <f>VLOOKUP(Tabela1[[#This Row],[Cliente]],'BASE DE CLIENTES'!A:E,5,0)</f>
        <v>26 DE SETEMBRO</v>
      </c>
    </row>
    <row r="1254" spans="2:12" x14ac:dyDescent="0.3">
      <c r="B1254" s="1" t="s">
        <v>186</v>
      </c>
      <c r="C1254" s="4" t="str">
        <f>VLOOKUP(Tabela1[[#This Row],[Cliente]],'BASE DE CLIENTES'!A:E,2,0)</f>
        <v>Eunápolis</v>
      </c>
      <c r="D1254" s="1" t="str">
        <f>VLOOKUP(Tabela1[[#This Row],[Cliente]],'BASE DE CLIENTES'!A:C,3,0)</f>
        <v>BA</v>
      </c>
      <c r="E1254" s="4" t="str">
        <f>CONCATENATE(Tabela1[[#This Row],[CIDADE]],",",Tabela1[[#This Row],[UF]])</f>
        <v>Eunápolis,BA</v>
      </c>
      <c r="F1254" s="2">
        <v>45825</v>
      </c>
      <c r="G1254" s="17">
        <v>5664.99</v>
      </c>
      <c r="H1254" s="17">
        <v>10920</v>
      </c>
      <c r="I1254" s="6">
        <f>Tabela1[[#This Row],[Valor total]]-Tabela1[[#This Row],[Valor custo]]</f>
        <v>5255.01</v>
      </c>
      <c r="J1254" s="7">
        <f>Tabela1[[#This Row],[MARGEM BRUTA]]/Tabela1[[#This Row],[Valor total]]</f>
        <v>0.481228021978022</v>
      </c>
      <c r="K1254" s="1" t="str">
        <f>VLOOKUP(Tabela1[[#This Row],[Cliente]],'BASE DE CLIENTES'!A:D,4,0)</f>
        <v>EMPRESA SEM MAQUINA</v>
      </c>
      <c r="L1254" s="1" t="str">
        <f>VLOOKUP(Tabela1[[#This Row],[Cliente]],'BASE DE CLIENTES'!A:E,5,0)</f>
        <v>Eunápolis</v>
      </c>
    </row>
    <row r="1255" spans="2:12" x14ac:dyDescent="0.3">
      <c r="B1255" s="1" t="s">
        <v>97</v>
      </c>
      <c r="C1255" s="4" t="str">
        <f>VLOOKUP(Tabela1[[#This Row],[Cliente]],'BASE DE CLIENTES'!A:E,2,0)</f>
        <v>Brasília</v>
      </c>
      <c r="D1255" s="1" t="str">
        <f>VLOOKUP(Tabela1[[#This Row],[Cliente]],'BASE DE CLIENTES'!A:C,3,0)</f>
        <v>DF</v>
      </c>
      <c r="E1255" s="4" t="str">
        <f>CONCATENATE(Tabela1[[#This Row],[CIDADE]],",",Tabela1[[#This Row],[UF]])</f>
        <v>Brasília,DF</v>
      </c>
      <c r="F1255" s="2">
        <v>45838</v>
      </c>
      <c r="G1255" s="17">
        <v>609.63</v>
      </c>
      <c r="H1255" s="17">
        <v>1000</v>
      </c>
      <c r="I1255" s="6">
        <f>Tabela1[[#This Row],[Valor total]]-Tabela1[[#This Row],[Valor custo]]</f>
        <v>390.37</v>
      </c>
      <c r="J1255" s="7">
        <f>Tabela1[[#This Row],[MARGEM BRUTA]]/Tabela1[[#This Row],[Valor total]]</f>
        <v>0.39036999999999999</v>
      </c>
      <c r="K1255" s="1" t="str">
        <f>VLOOKUP(Tabela1[[#This Row],[Cliente]],'BASE DE CLIENTES'!A:D,4,0)</f>
        <v>SERRALHEIRO</v>
      </c>
      <c r="L1255" s="1" t="str">
        <f>VLOOKUP(Tabela1[[#This Row],[Cliente]],'BASE DE CLIENTES'!A:E,5,0)</f>
        <v>CEILANDIA NORTE</v>
      </c>
    </row>
    <row r="1256" spans="2:12" x14ac:dyDescent="0.3">
      <c r="B1256" s="1" t="s">
        <v>187</v>
      </c>
      <c r="C1256" s="4" t="str">
        <f>VLOOKUP(Tabela1[[#This Row],[Cliente]],'BASE DE CLIENTES'!A:E,2,0)</f>
        <v>Brasília</v>
      </c>
      <c r="D1256" s="1" t="str">
        <f>VLOOKUP(Tabela1[[#This Row],[Cliente]],'BASE DE CLIENTES'!A:C,3,0)</f>
        <v>DF</v>
      </c>
      <c r="E1256" s="4" t="str">
        <f>CONCATENATE(Tabela1[[#This Row],[CIDADE]],",",Tabela1[[#This Row],[UF]])</f>
        <v>Brasília,DF</v>
      </c>
      <c r="F1256" s="2">
        <v>45836</v>
      </c>
      <c r="G1256" s="17">
        <v>90</v>
      </c>
      <c r="H1256" s="17">
        <v>180</v>
      </c>
      <c r="I1256" s="6">
        <f>Tabela1[[#This Row],[Valor total]]-Tabela1[[#This Row],[Valor custo]]</f>
        <v>90</v>
      </c>
      <c r="J1256" s="7">
        <f>Tabela1[[#This Row],[MARGEM BRUTA]]/Tabela1[[#This Row],[Valor total]]</f>
        <v>0.5</v>
      </c>
      <c r="K1256" s="1" t="str">
        <f>VLOOKUP(Tabela1[[#This Row],[Cliente]],'BASE DE CLIENTES'!A:D,4,0)</f>
        <v>SERRALHEIRO</v>
      </c>
      <c r="L1256" s="1" t="str">
        <f>VLOOKUP(Tabela1[[#This Row],[Cliente]],'BASE DE CLIENTES'!A:E,5,0)</f>
        <v>CEILANDIA SUL (CEILANDIA)</v>
      </c>
    </row>
    <row r="1257" spans="2:12" x14ac:dyDescent="0.3">
      <c r="B1257" s="1" t="s">
        <v>52</v>
      </c>
      <c r="C1257" s="4" t="str">
        <f>VLOOKUP(Tabela1[[#This Row],[Cliente]],'BASE DE CLIENTES'!A:E,2,0)</f>
        <v>Brasília</v>
      </c>
      <c r="D1257" s="1" t="str">
        <f>VLOOKUP(Tabela1[[#This Row],[Cliente]],'BASE DE CLIENTES'!A:C,3,0)</f>
        <v>DF</v>
      </c>
      <c r="E1257" s="4" t="str">
        <f>CONCATENATE(Tabela1[[#This Row],[CIDADE]],",",Tabela1[[#This Row],[UF]])</f>
        <v>Brasília,DF</v>
      </c>
      <c r="F1257" s="2">
        <v>45835</v>
      </c>
      <c r="G1257" s="17">
        <v>958.2</v>
      </c>
      <c r="H1257" s="17">
        <v>1420</v>
      </c>
      <c r="I1257" s="6">
        <f>Tabela1[[#This Row],[Valor total]]-Tabela1[[#This Row],[Valor custo]]</f>
        <v>461.79999999999995</v>
      </c>
      <c r="J1257" s="7">
        <f>Tabela1[[#This Row],[MARGEM BRUTA]]/Tabela1[[#This Row],[Valor total]]</f>
        <v>0.32521126760563379</v>
      </c>
      <c r="K1257" s="1" t="str">
        <f>VLOOKUP(Tabela1[[#This Row],[Cliente]],'BASE DE CLIENTES'!A:D,4,0)</f>
        <v>SERRALHEIRO</v>
      </c>
      <c r="L1257" s="1" t="str">
        <f>VLOOKUP(Tabela1[[#This Row],[Cliente]],'BASE DE CLIENTES'!A:E,5,0)</f>
        <v>Ceilândia Sul (Ceilândia)</v>
      </c>
    </row>
    <row r="1258" spans="2:12" x14ac:dyDescent="0.3">
      <c r="B1258" s="1" t="s">
        <v>161</v>
      </c>
      <c r="C1258" s="4" t="str">
        <f>VLOOKUP(Tabela1[[#This Row],[Cliente]],'BASE DE CLIENTES'!A:E,2,0)</f>
        <v>Brasília</v>
      </c>
      <c r="D1258" s="1" t="str">
        <f>VLOOKUP(Tabela1[[#This Row],[Cliente]],'BASE DE CLIENTES'!A:C,3,0)</f>
        <v>DF</v>
      </c>
      <c r="E1258" s="4" t="str">
        <f>CONCATENATE(Tabela1[[#This Row],[CIDADE]],",",Tabela1[[#This Row],[UF]])</f>
        <v>Brasília,DF</v>
      </c>
      <c r="F1258" s="2">
        <v>45835</v>
      </c>
      <c r="G1258" s="17">
        <v>268.45999999999998</v>
      </c>
      <c r="H1258" s="17">
        <v>650</v>
      </c>
      <c r="I1258" s="6">
        <f>Tabela1[[#This Row],[Valor total]]-Tabela1[[#This Row],[Valor custo]]</f>
        <v>381.54</v>
      </c>
      <c r="J1258" s="7">
        <f>Tabela1[[#This Row],[MARGEM BRUTA]]/Tabela1[[#This Row],[Valor total]]</f>
        <v>0.58698461538461544</v>
      </c>
      <c r="K1258" s="1" t="str">
        <f>VLOOKUP(Tabela1[[#This Row],[Cliente]],'BASE DE CLIENTES'!A:D,4,0)</f>
        <v>EMPRESA COM MAQUINA</v>
      </c>
      <c r="L1258" s="1" t="str">
        <f>VLOOKUP(Tabela1[[#This Row],[Cliente]],'BASE DE CLIENTES'!A:E,5,0)</f>
        <v>RIACHO FUNDO II</v>
      </c>
    </row>
    <row r="1259" spans="2:12" x14ac:dyDescent="0.3">
      <c r="B1259" s="1" t="s">
        <v>186</v>
      </c>
      <c r="C1259" s="4" t="str">
        <f>VLOOKUP(Tabela1[[#This Row],[Cliente]],'BASE DE CLIENTES'!A:E,2,0)</f>
        <v>Eunápolis</v>
      </c>
      <c r="D1259" s="1" t="str">
        <f>VLOOKUP(Tabela1[[#This Row],[Cliente]],'BASE DE CLIENTES'!A:C,3,0)</f>
        <v>BA</v>
      </c>
      <c r="E1259" s="4" t="str">
        <f>CONCATENATE(Tabela1[[#This Row],[CIDADE]],",",Tabela1[[#This Row],[UF]])</f>
        <v>Eunápolis,BA</v>
      </c>
      <c r="F1259" s="2">
        <v>45919</v>
      </c>
      <c r="G1259" s="17">
        <v>9687.74</v>
      </c>
      <c r="H1259" s="17">
        <v>15700</v>
      </c>
      <c r="I1259" s="6">
        <f>Tabela1[[#This Row],[Valor total]]-Tabela1[[#This Row],[Valor custo]]</f>
        <v>6012.26</v>
      </c>
      <c r="J1259" s="7">
        <f>Tabela1[[#This Row],[MARGEM BRUTA]]/Tabela1[[#This Row],[Valor total]]</f>
        <v>0.38294649681528664</v>
      </c>
      <c r="K1259" s="1" t="str">
        <f>VLOOKUP(Tabela1[[#This Row],[Cliente]],'BASE DE CLIENTES'!A:D,4,0)</f>
        <v>EMPRESA SEM MAQUINA</v>
      </c>
      <c r="L1259" s="1" t="str">
        <f>VLOOKUP(Tabela1[[#This Row],[Cliente]],'BASE DE CLIENTES'!A:E,5,0)</f>
        <v>Eunápolis</v>
      </c>
    </row>
    <row r="1260" spans="2:12" x14ac:dyDescent="0.3">
      <c r="B1260" s="1" t="s">
        <v>25</v>
      </c>
      <c r="C1260" s="4" t="str">
        <f>VLOOKUP(Tabela1[[#This Row],[Cliente]],'BASE DE CLIENTES'!A:E,2,0)</f>
        <v>Brasília</v>
      </c>
      <c r="D1260" s="1" t="str">
        <f>VLOOKUP(Tabela1[[#This Row],[Cliente]],'BASE DE CLIENTES'!A:C,3,0)</f>
        <v>DF</v>
      </c>
      <c r="E1260" s="4" t="str">
        <f>CONCATENATE(Tabela1[[#This Row],[CIDADE]],",",Tabela1[[#This Row],[UF]])</f>
        <v>Brasília,DF</v>
      </c>
      <c r="F1260" s="2">
        <v>45835</v>
      </c>
      <c r="G1260" s="17">
        <v>1157</v>
      </c>
      <c r="H1260" s="17">
        <v>1815</v>
      </c>
      <c r="I1260" s="6">
        <f>Tabela1[[#This Row],[Valor total]]-Tabela1[[#This Row],[Valor custo]]</f>
        <v>658</v>
      </c>
      <c r="J1260" s="7">
        <f>Tabela1[[#This Row],[MARGEM BRUTA]]/Tabela1[[#This Row],[Valor total]]</f>
        <v>0.36253443526170798</v>
      </c>
      <c r="K1260" s="1" t="str">
        <f>VLOOKUP(Tabela1[[#This Row],[Cliente]],'BASE DE CLIENTES'!A:D,4,0)</f>
        <v>EMPRESA COM MAQUINA</v>
      </c>
      <c r="L1260" s="1" t="str">
        <f>VLOOKUP(Tabela1[[#This Row],[Cliente]],'BASE DE CLIENTES'!A:E,5,0)</f>
        <v>CEILANDIA NORTE (CEILANDIA)</v>
      </c>
    </row>
    <row r="1261" spans="2:12" x14ac:dyDescent="0.3">
      <c r="B1261" s="1" t="s">
        <v>188</v>
      </c>
      <c r="C1261" s="4" t="str">
        <f>VLOOKUP(Tabela1[[#This Row],[Cliente]],'BASE DE CLIENTES'!A:E,2,0)</f>
        <v>Formosa</v>
      </c>
      <c r="D1261" s="1" t="str">
        <f>VLOOKUP(Tabela1[[#This Row],[Cliente]],'BASE DE CLIENTES'!A:C,3,0)</f>
        <v>GO</v>
      </c>
      <c r="E1261" s="4" t="str">
        <f>CONCATENATE(Tabela1[[#This Row],[CIDADE]],",",Tabela1[[#This Row],[UF]])</f>
        <v>Formosa,GO</v>
      </c>
      <c r="F1261" s="2">
        <v>45665</v>
      </c>
      <c r="G1261" s="17">
        <v>31.32</v>
      </c>
      <c r="H1261" s="17">
        <v>120</v>
      </c>
      <c r="I1261" s="6">
        <f>Tabela1[[#This Row],[Valor total]]-Tabela1[[#This Row],[Valor custo]]</f>
        <v>88.68</v>
      </c>
      <c r="J1261" s="7">
        <f>Tabela1[[#This Row],[MARGEM BRUTA]]/Tabela1[[#This Row],[Valor total]]</f>
        <v>0.7390000000000001</v>
      </c>
      <c r="K1261" s="1" t="str">
        <f>VLOOKUP(Tabela1[[#This Row],[Cliente]],'BASE DE CLIENTES'!A:D,4,0)</f>
        <v>SEM CLASSIFICAÇÃO</v>
      </c>
      <c r="L1261" s="1" t="str">
        <f>VLOOKUP(Tabela1[[#This Row],[Cliente]],'BASE DE CLIENTES'!A:E,5,0)</f>
        <v>Formosa</v>
      </c>
    </row>
    <row r="1262" spans="2:12" x14ac:dyDescent="0.3">
      <c r="B1262" s="1" t="s">
        <v>27</v>
      </c>
      <c r="C1262" s="4" t="str">
        <f>VLOOKUP(Tabela1[[#This Row],[Cliente]],'BASE DE CLIENTES'!A:E,2,0)</f>
        <v>Brasília</v>
      </c>
      <c r="D1262" s="1" t="str">
        <f>VLOOKUP(Tabela1[[#This Row],[Cliente]],'BASE DE CLIENTES'!A:C,3,0)</f>
        <v>DF</v>
      </c>
      <c r="E1262" s="4" t="str">
        <f>CONCATENATE(Tabela1[[#This Row],[CIDADE]],",",Tabela1[[#This Row],[UF]])</f>
        <v>Brasília,DF</v>
      </c>
      <c r="F1262" s="2">
        <v>45835</v>
      </c>
      <c r="G1262" s="17">
        <v>497</v>
      </c>
      <c r="H1262" s="17">
        <v>750</v>
      </c>
      <c r="I1262" s="6">
        <f>Tabela1[[#This Row],[Valor total]]-Tabela1[[#This Row],[Valor custo]]</f>
        <v>253</v>
      </c>
      <c r="J1262" s="7">
        <f>Tabela1[[#This Row],[MARGEM BRUTA]]/Tabela1[[#This Row],[Valor total]]</f>
        <v>0.33733333333333332</v>
      </c>
      <c r="K1262" s="1" t="str">
        <f>VLOOKUP(Tabela1[[#This Row],[Cliente]],'BASE DE CLIENTES'!A:D,4,0)</f>
        <v>EMPRESA SEM MAQUINA</v>
      </c>
      <c r="L1262" s="1" t="str">
        <f>VLOOKUP(Tabela1[[#This Row],[Cliente]],'BASE DE CLIENTES'!A:E,5,0)</f>
        <v>RECANTO DAS EMAS</v>
      </c>
    </row>
    <row r="1263" spans="2:12" x14ac:dyDescent="0.3">
      <c r="B1263" s="1" t="s">
        <v>189</v>
      </c>
      <c r="C1263" s="4" t="str">
        <f>VLOOKUP(Tabela1[[#This Row],[Cliente]],'BASE DE CLIENTES'!A:E,2,0)</f>
        <v>Formosa</v>
      </c>
      <c r="D1263" s="1" t="str">
        <f>VLOOKUP(Tabela1[[#This Row],[Cliente]],'BASE DE CLIENTES'!A:C,3,0)</f>
        <v>GO</v>
      </c>
      <c r="E1263" s="4" t="str">
        <f>CONCATENATE(Tabela1[[#This Row],[CIDADE]],",",Tabela1[[#This Row],[UF]])</f>
        <v>Formosa,GO</v>
      </c>
      <c r="F1263" s="2">
        <v>45659</v>
      </c>
      <c r="G1263" s="17">
        <v>535.33000000000004</v>
      </c>
      <c r="H1263" s="17">
        <v>800</v>
      </c>
      <c r="I1263" s="6">
        <f>Tabela1[[#This Row],[Valor total]]-Tabela1[[#This Row],[Valor custo]]</f>
        <v>264.66999999999996</v>
      </c>
      <c r="J1263" s="7">
        <f>Tabela1[[#This Row],[MARGEM BRUTA]]/Tabela1[[#This Row],[Valor total]]</f>
        <v>0.33083749999999995</v>
      </c>
      <c r="K1263" s="1" t="str">
        <f>VLOOKUP(Tabela1[[#This Row],[Cliente]],'BASE DE CLIENTES'!A:D,4,0)</f>
        <v>SEM CLASSIFICAÇÃO</v>
      </c>
      <c r="L1263" s="1" t="str">
        <f>VLOOKUP(Tabela1[[#This Row],[Cliente]],'BASE DE CLIENTES'!A:E,5,0)</f>
        <v>Formosa</v>
      </c>
    </row>
    <row r="1264" spans="2:12" x14ac:dyDescent="0.3">
      <c r="B1264" s="1" t="s">
        <v>189</v>
      </c>
      <c r="C1264" s="4" t="str">
        <f>VLOOKUP(Tabela1[[#This Row],[Cliente]],'BASE DE CLIENTES'!A:E,2,0)</f>
        <v>Formosa</v>
      </c>
      <c r="D1264" s="1" t="str">
        <f>VLOOKUP(Tabela1[[#This Row],[Cliente]],'BASE DE CLIENTES'!A:C,3,0)</f>
        <v>GO</v>
      </c>
      <c r="E1264" s="4" t="str">
        <f>CONCATENATE(Tabela1[[#This Row],[CIDADE]],",",Tabela1[[#This Row],[UF]])</f>
        <v>Formosa,GO</v>
      </c>
      <c r="F1264" s="2">
        <v>45721</v>
      </c>
      <c r="G1264" s="17">
        <v>49.21</v>
      </c>
      <c r="H1264" s="17">
        <v>80</v>
      </c>
      <c r="I1264" s="6">
        <f>Tabela1[[#This Row],[Valor total]]-Tabela1[[#This Row],[Valor custo]]</f>
        <v>30.79</v>
      </c>
      <c r="J1264" s="7">
        <f>Tabela1[[#This Row],[MARGEM BRUTA]]/Tabela1[[#This Row],[Valor total]]</f>
        <v>0.38487499999999997</v>
      </c>
      <c r="K1264" s="1" t="str">
        <f>VLOOKUP(Tabela1[[#This Row],[Cliente]],'BASE DE CLIENTES'!A:D,4,0)</f>
        <v>SEM CLASSIFICAÇÃO</v>
      </c>
      <c r="L1264" s="1" t="str">
        <f>VLOOKUP(Tabela1[[#This Row],[Cliente]],'BASE DE CLIENTES'!A:E,5,0)</f>
        <v>Formosa</v>
      </c>
    </row>
    <row r="1265" spans="2:12" x14ac:dyDescent="0.3">
      <c r="B1265" s="1" t="s">
        <v>121</v>
      </c>
      <c r="C1265" s="4" t="str">
        <f>VLOOKUP(Tabela1[[#This Row],[Cliente]],'BASE DE CLIENTES'!A:E,2,0)</f>
        <v>Brasília</v>
      </c>
      <c r="D1265" s="1" t="str">
        <f>VLOOKUP(Tabela1[[#This Row],[Cliente]],'BASE DE CLIENTES'!A:C,3,0)</f>
        <v>DF</v>
      </c>
      <c r="E1265" s="4" t="str">
        <f>CONCATENATE(Tabela1[[#This Row],[CIDADE]],",",Tabela1[[#This Row],[UF]])</f>
        <v>Brasília,DF</v>
      </c>
      <c r="F1265" s="2">
        <v>45880</v>
      </c>
      <c r="G1265" s="17">
        <v>382.3</v>
      </c>
      <c r="H1265" s="17">
        <v>500</v>
      </c>
      <c r="I1265" s="6">
        <f>Tabela1[[#This Row],[Valor total]]-Tabela1[[#This Row],[Valor custo]]</f>
        <v>117.69999999999999</v>
      </c>
      <c r="J1265" s="7">
        <f>Tabela1[[#This Row],[MARGEM BRUTA]]/Tabela1[[#This Row],[Valor total]]</f>
        <v>0.23539999999999997</v>
      </c>
      <c r="K1265" s="1" t="str">
        <f>VLOOKUP(Tabela1[[#This Row],[Cliente]],'BASE DE CLIENTES'!A:D,4,0)</f>
        <v>SEM CLASSIFICAÇÃO</v>
      </c>
      <c r="L1265" s="1" t="str">
        <f>VLOOKUP(Tabela1[[#This Row],[Cliente]],'BASE DE CLIENTES'!A:E,5,0)</f>
        <v>Asa Sul</v>
      </c>
    </row>
    <row r="1266" spans="2:12" x14ac:dyDescent="0.3">
      <c r="B1266" s="1" t="s">
        <v>55</v>
      </c>
      <c r="C1266" s="4" t="str">
        <f>VLOOKUP(Tabela1[[#This Row],[Cliente]],'BASE DE CLIENTES'!A:E,2,0)</f>
        <v>Brasília</v>
      </c>
      <c r="D1266" s="1" t="str">
        <f>VLOOKUP(Tabela1[[#This Row],[Cliente]],'BASE DE CLIENTES'!A:C,3,0)</f>
        <v>DF</v>
      </c>
      <c r="E1266" s="4" t="str">
        <f>CONCATENATE(Tabela1[[#This Row],[CIDADE]],",",Tabela1[[#This Row],[UF]])</f>
        <v>Brasília,DF</v>
      </c>
      <c r="F1266" s="2">
        <v>45835</v>
      </c>
      <c r="G1266" s="17">
        <v>67.12</v>
      </c>
      <c r="H1266" s="17">
        <v>170</v>
      </c>
      <c r="I1266" s="6">
        <f>Tabela1[[#This Row],[Valor total]]-Tabela1[[#This Row],[Valor custo]]</f>
        <v>102.88</v>
      </c>
      <c r="J1266" s="7">
        <f>Tabela1[[#This Row],[MARGEM BRUTA]]/Tabela1[[#This Row],[Valor total]]</f>
        <v>0.60517647058823532</v>
      </c>
      <c r="K1266" s="1" t="str">
        <f>VLOOKUP(Tabela1[[#This Row],[Cliente]],'BASE DE CLIENTES'!A:D,4,0)</f>
        <v>EMPRESA SEM MAQUINA</v>
      </c>
      <c r="L1266" s="1" t="str">
        <f>VLOOKUP(Tabela1[[#This Row],[Cliente]],'BASE DE CLIENTES'!A:E,5,0)</f>
        <v>RECANTO DAS EMAS</v>
      </c>
    </row>
    <row r="1267" spans="2:12" x14ac:dyDescent="0.3">
      <c r="B1267" s="1" t="s">
        <v>190</v>
      </c>
      <c r="C1267" s="4" t="str">
        <f>VLOOKUP(Tabela1[[#This Row],[Cliente]],'BASE DE CLIENTES'!A:E,2,0)</f>
        <v>Brasília</v>
      </c>
      <c r="D1267" s="1" t="str">
        <f>VLOOKUP(Tabela1[[#This Row],[Cliente]],'BASE DE CLIENTES'!A:C,3,0)</f>
        <v>DF</v>
      </c>
      <c r="E1267" s="4" t="str">
        <f>CONCATENATE(Tabela1[[#This Row],[CIDADE]],",",Tabela1[[#This Row],[UF]])</f>
        <v>Brasília,DF</v>
      </c>
      <c r="F1267" s="2">
        <v>45835</v>
      </c>
      <c r="G1267" s="17">
        <v>268.45999999999998</v>
      </c>
      <c r="H1267" s="17">
        <v>550</v>
      </c>
      <c r="I1267" s="6">
        <f>Tabela1[[#This Row],[Valor total]]-Tabela1[[#This Row],[Valor custo]]</f>
        <v>281.54000000000002</v>
      </c>
      <c r="J1267" s="7">
        <f>Tabela1[[#This Row],[MARGEM BRUTA]]/Tabela1[[#This Row],[Valor total]]</f>
        <v>0.51189090909090917</v>
      </c>
      <c r="K1267" s="1" t="str">
        <f>VLOOKUP(Tabela1[[#This Row],[Cliente]],'BASE DE CLIENTES'!A:D,4,0)</f>
        <v>EMPRESA COM MAQUINA</v>
      </c>
      <c r="L1267" s="1" t="str">
        <f>VLOOKUP(Tabela1[[#This Row],[Cliente]],'BASE DE CLIENTES'!A:E,5,0)</f>
        <v>RIACHO FUNDO I</v>
      </c>
    </row>
    <row r="1268" spans="2:12" x14ac:dyDescent="0.3">
      <c r="B1268" s="1" t="s">
        <v>161</v>
      </c>
      <c r="C1268" s="4" t="str">
        <f>VLOOKUP(Tabela1[[#This Row],[Cliente]],'BASE DE CLIENTES'!A:E,2,0)</f>
        <v>Brasília</v>
      </c>
      <c r="D1268" s="1" t="str">
        <f>VLOOKUP(Tabela1[[#This Row],[Cliente]],'BASE DE CLIENTES'!A:C,3,0)</f>
        <v>DF</v>
      </c>
      <c r="E1268" s="4" t="str">
        <f>CONCATENATE(Tabela1[[#This Row],[CIDADE]],",",Tabela1[[#This Row],[UF]])</f>
        <v>Brasília,DF</v>
      </c>
      <c r="F1268" s="2">
        <v>45835</v>
      </c>
      <c r="G1268" s="17">
        <v>7175</v>
      </c>
      <c r="H1268" s="17">
        <v>11750</v>
      </c>
      <c r="I1268" s="6">
        <f>Tabela1[[#This Row],[Valor total]]-Tabela1[[#This Row],[Valor custo]]</f>
        <v>4575</v>
      </c>
      <c r="J1268" s="7">
        <f>Tabela1[[#This Row],[MARGEM BRUTA]]/Tabela1[[#This Row],[Valor total]]</f>
        <v>0.38936170212765958</v>
      </c>
      <c r="K1268" s="1" t="str">
        <f>VLOOKUP(Tabela1[[#This Row],[Cliente]],'BASE DE CLIENTES'!A:D,4,0)</f>
        <v>EMPRESA COM MAQUINA</v>
      </c>
      <c r="L1268" s="1" t="str">
        <f>VLOOKUP(Tabela1[[#This Row],[Cliente]],'BASE DE CLIENTES'!A:E,5,0)</f>
        <v>RIACHO FUNDO II</v>
      </c>
    </row>
    <row r="1269" spans="2:12" x14ac:dyDescent="0.3">
      <c r="B1269" s="1" t="s">
        <v>189</v>
      </c>
      <c r="C1269" s="4" t="str">
        <f>VLOOKUP(Tabela1[[#This Row],[Cliente]],'BASE DE CLIENTES'!A:E,2,0)</f>
        <v>Formosa</v>
      </c>
      <c r="D1269" s="1" t="str">
        <f>VLOOKUP(Tabela1[[#This Row],[Cliente]],'BASE DE CLIENTES'!A:C,3,0)</f>
        <v>GO</v>
      </c>
      <c r="E1269" s="4" t="str">
        <f>CONCATENATE(Tabela1[[#This Row],[CIDADE]],",",Tabela1[[#This Row],[UF]])</f>
        <v>Formosa,GO</v>
      </c>
      <c r="F1269" s="2">
        <v>45721</v>
      </c>
      <c r="G1269" s="17">
        <v>470.52</v>
      </c>
      <c r="H1269" s="17">
        <v>765</v>
      </c>
      <c r="I1269" s="6">
        <f>Tabela1[[#This Row],[Valor total]]-Tabela1[[#This Row],[Valor custo]]</f>
        <v>294.48</v>
      </c>
      <c r="J1269" s="7">
        <f>Tabela1[[#This Row],[MARGEM BRUTA]]/Tabela1[[#This Row],[Valor total]]</f>
        <v>0.38494117647058829</v>
      </c>
      <c r="K1269" s="1" t="str">
        <f>VLOOKUP(Tabela1[[#This Row],[Cliente]],'BASE DE CLIENTES'!A:D,4,0)</f>
        <v>SEM CLASSIFICAÇÃO</v>
      </c>
      <c r="L1269" s="1" t="str">
        <f>VLOOKUP(Tabela1[[#This Row],[Cliente]],'BASE DE CLIENTES'!A:E,5,0)</f>
        <v>Formosa</v>
      </c>
    </row>
    <row r="1270" spans="2:12" x14ac:dyDescent="0.3">
      <c r="B1270" s="1" t="s">
        <v>190</v>
      </c>
      <c r="C1270" s="4" t="str">
        <f>VLOOKUP(Tabela1[[#This Row],[Cliente]],'BASE DE CLIENTES'!A:E,2,0)</f>
        <v>Brasília</v>
      </c>
      <c r="D1270" s="1" t="str">
        <f>VLOOKUP(Tabela1[[#This Row],[Cliente]],'BASE DE CLIENTES'!A:C,3,0)</f>
        <v>DF</v>
      </c>
      <c r="E1270" s="4" t="str">
        <f>CONCATENATE(Tabela1[[#This Row],[CIDADE]],",",Tabela1[[#This Row],[UF]])</f>
        <v>Brasília,DF</v>
      </c>
      <c r="F1270" s="2">
        <v>45834</v>
      </c>
      <c r="G1270" s="17">
        <v>4730</v>
      </c>
      <c r="H1270" s="17">
        <v>6100</v>
      </c>
      <c r="I1270" s="6">
        <f>Tabela1[[#This Row],[Valor total]]-Tabela1[[#This Row],[Valor custo]]</f>
        <v>1370</v>
      </c>
      <c r="J1270" s="7">
        <f>Tabela1[[#This Row],[MARGEM BRUTA]]/Tabela1[[#This Row],[Valor total]]</f>
        <v>0.22459016393442624</v>
      </c>
      <c r="K1270" s="1" t="str">
        <f>VLOOKUP(Tabela1[[#This Row],[Cliente]],'BASE DE CLIENTES'!A:D,4,0)</f>
        <v>EMPRESA COM MAQUINA</v>
      </c>
      <c r="L1270" s="1" t="str">
        <f>VLOOKUP(Tabela1[[#This Row],[Cliente]],'BASE DE CLIENTES'!A:E,5,0)</f>
        <v>RIACHO FUNDO I</v>
      </c>
    </row>
    <row r="1271" spans="2:12" x14ac:dyDescent="0.3">
      <c r="B1271" s="1" t="s">
        <v>142</v>
      </c>
      <c r="C1271" s="4" t="str">
        <f>VLOOKUP(Tabela1[[#This Row],[Cliente]],'BASE DE CLIENTES'!A:E,2,0)</f>
        <v>Brasília</v>
      </c>
      <c r="D1271" s="1" t="str">
        <f>VLOOKUP(Tabela1[[#This Row],[Cliente]],'BASE DE CLIENTES'!A:C,3,0)</f>
        <v>DF</v>
      </c>
      <c r="E1271" s="4" t="str">
        <f>CONCATENATE(Tabela1[[#This Row],[CIDADE]],",",Tabela1[[#This Row],[UF]])</f>
        <v>Brasília,DF</v>
      </c>
      <c r="F1271" s="2">
        <v>45834</v>
      </c>
      <c r="G1271" s="17">
        <v>57.13</v>
      </c>
      <c r="H1271" s="17">
        <v>200</v>
      </c>
      <c r="I1271" s="6">
        <f>Tabela1[[#This Row],[Valor total]]-Tabela1[[#This Row],[Valor custo]]</f>
        <v>142.87</v>
      </c>
      <c r="J1271" s="7">
        <f>Tabela1[[#This Row],[MARGEM BRUTA]]/Tabela1[[#This Row],[Valor total]]</f>
        <v>0.71435000000000004</v>
      </c>
      <c r="K1271" s="1" t="str">
        <f>VLOOKUP(Tabela1[[#This Row],[Cliente]],'BASE DE CLIENTES'!A:D,4,0)</f>
        <v>OUTROS RAMOS</v>
      </c>
      <c r="L1271" s="1" t="str">
        <f>VLOOKUP(Tabela1[[#This Row],[Cliente]],'BASE DE CLIENTES'!A:E,5,0)</f>
        <v>RIACHO FUNDO II</v>
      </c>
    </row>
    <row r="1272" spans="2:12" x14ac:dyDescent="0.3">
      <c r="B1272" s="1" t="s">
        <v>189</v>
      </c>
      <c r="C1272" s="4" t="str">
        <f>VLOOKUP(Tabela1[[#This Row],[Cliente]],'BASE DE CLIENTES'!A:E,2,0)</f>
        <v>Formosa</v>
      </c>
      <c r="D1272" s="1" t="str">
        <f>VLOOKUP(Tabela1[[#This Row],[Cliente]],'BASE DE CLIENTES'!A:C,3,0)</f>
        <v>GO</v>
      </c>
      <c r="E1272" s="4" t="str">
        <f>CONCATENATE(Tabela1[[#This Row],[CIDADE]],",",Tabela1[[#This Row],[UF]])</f>
        <v>Formosa,GO</v>
      </c>
      <c r="F1272" s="2">
        <v>45777</v>
      </c>
      <c r="G1272" s="17">
        <v>12.2</v>
      </c>
      <c r="H1272" s="17">
        <v>16</v>
      </c>
      <c r="I1272" s="6">
        <f>Tabela1[[#This Row],[Valor total]]-Tabela1[[#This Row],[Valor custo]]</f>
        <v>3.8000000000000007</v>
      </c>
      <c r="J1272" s="7">
        <f>Tabela1[[#This Row],[MARGEM BRUTA]]/Tabela1[[#This Row],[Valor total]]</f>
        <v>0.23750000000000004</v>
      </c>
      <c r="K1272" s="1" t="str">
        <f>VLOOKUP(Tabela1[[#This Row],[Cliente]],'BASE DE CLIENTES'!A:D,4,0)</f>
        <v>SEM CLASSIFICAÇÃO</v>
      </c>
      <c r="L1272" s="1" t="str">
        <f>VLOOKUP(Tabela1[[#This Row],[Cliente]],'BASE DE CLIENTES'!A:E,5,0)</f>
        <v>Formosa</v>
      </c>
    </row>
    <row r="1273" spans="2:12" x14ac:dyDescent="0.3">
      <c r="B1273" s="1" t="s">
        <v>189</v>
      </c>
      <c r="C1273" s="4" t="str">
        <f>VLOOKUP(Tabela1[[#This Row],[Cliente]],'BASE DE CLIENTES'!A:E,2,0)</f>
        <v>Formosa</v>
      </c>
      <c r="D1273" s="1" t="str">
        <f>VLOOKUP(Tabela1[[#This Row],[Cliente]],'BASE DE CLIENTES'!A:C,3,0)</f>
        <v>GO</v>
      </c>
      <c r="E1273" s="4" t="str">
        <f>CONCATENATE(Tabela1[[#This Row],[CIDADE]],",",Tabela1[[#This Row],[UF]])</f>
        <v>Formosa,GO</v>
      </c>
      <c r="F1273" s="2">
        <v>45897</v>
      </c>
      <c r="G1273" s="17">
        <v>86.52</v>
      </c>
      <c r="H1273" s="17">
        <v>360</v>
      </c>
      <c r="I1273" s="6">
        <f>Tabela1[[#This Row],[Valor total]]-Tabela1[[#This Row],[Valor custo]]</f>
        <v>273.48</v>
      </c>
      <c r="J1273" s="7">
        <f>Tabela1[[#This Row],[MARGEM BRUTA]]/Tabela1[[#This Row],[Valor total]]</f>
        <v>0.75966666666666671</v>
      </c>
      <c r="K1273" s="1" t="str">
        <f>VLOOKUP(Tabela1[[#This Row],[Cliente]],'BASE DE CLIENTES'!A:D,4,0)</f>
        <v>SEM CLASSIFICAÇÃO</v>
      </c>
      <c r="L1273" s="1" t="str">
        <f>VLOOKUP(Tabela1[[#This Row],[Cliente]],'BASE DE CLIENTES'!A:E,5,0)</f>
        <v>Formosa</v>
      </c>
    </row>
    <row r="1274" spans="2:12" x14ac:dyDescent="0.3">
      <c r="B1274" s="1" t="s">
        <v>189</v>
      </c>
      <c r="C1274" s="4" t="str">
        <f>VLOOKUP(Tabela1[[#This Row],[Cliente]],'BASE DE CLIENTES'!A:E,2,0)</f>
        <v>Formosa</v>
      </c>
      <c r="D1274" s="1" t="str">
        <f>VLOOKUP(Tabela1[[#This Row],[Cliente]],'BASE DE CLIENTES'!A:C,3,0)</f>
        <v>GO</v>
      </c>
      <c r="E1274" s="4" t="str">
        <f>CONCATENATE(Tabela1[[#This Row],[CIDADE]],",",Tabela1[[#This Row],[UF]])</f>
        <v>Formosa,GO</v>
      </c>
      <c r="F1274" s="2">
        <v>45925</v>
      </c>
      <c r="G1274" s="17">
        <v>477</v>
      </c>
      <c r="H1274" s="17">
        <v>850</v>
      </c>
      <c r="I1274" s="6">
        <f>Tabela1[[#This Row],[Valor total]]-Tabela1[[#This Row],[Valor custo]]</f>
        <v>373</v>
      </c>
      <c r="J1274" s="7">
        <f>Tabela1[[#This Row],[MARGEM BRUTA]]/Tabela1[[#This Row],[Valor total]]</f>
        <v>0.43882352941176472</v>
      </c>
      <c r="K1274" s="1" t="str">
        <f>VLOOKUP(Tabela1[[#This Row],[Cliente]],'BASE DE CLIENTES'!A:D,4,0)</f>
        <v>SEM CLASSIFICAÇÃO</v>
      </c>
      <c r="L1274" s="1" t="str">
        <f>VLOOKUP(Tabela1[[#This Row],[Cliente]],'BASE DE CLIENTES'!A:E,5,0)</f>
        <v>Formosa</v>
      </c>
    </row>
    <row r="1275" spans="2:12" x14ac:dyDescent="0.3">
      <c r="B1275" s="1" t="s">
        <v>85</v>
      </c>
      <c r="C1275" s="4" t="str">
        <f>VLOOKUP(Tabela1[[#This Row],[Cliente]],'BASE DE CLIENTES'!A:E,2,0)</f>
        <v>Brasília</v>
      </c>
      <c r="D1275" s="1" t="str">
        <f>VLOOKUP(Tabela1[[#This Row],[Cliente]],'BASE DE CLIENTES'!A:C,3,0)</f>
        <v>DF</v>
      </c>
      <c r="E1275" s="4" t="str">
        <f>CONCATENATE(Tabela1[[#This Row],[CIDADE]],",",Tabela1[[#This Row],[UF]])</f>
        <v>Brasília,DF</v>
      </c>
      <c r="F1275" s="2">
        <v>45834</v>
      </c>
      <c r="G1275" s="17">
        <v>347.46</v>
      </c>
      <c r="H1275" s="17">
        <v>850</v>
      </c>
      <c r="I1275" s="6">
        <f>Tabela1[[#This Row],[Valor total]]-Tabela1[[#This Row],[Valor custo]]</f>
        <v>502.54</v>
      </c>
      <c r="J1275" s="7">
        <f>Tabela1[[#This Row],[MARGEM BRUTA]]/Tabela1[[#This Row],[Valor total]]</f>
        <v>0.5912235294117647</v>
      </c>
      <c r="K1275" s="1" t="str">
        <f>VLOOKUP(Tabela1[[#This Row],[Cliente]],'BASE DE CLIENTES'!A:D,4,0)</f>
        <v>SERRALHEIRO</v>
      </c>
      <c r="L1275" s="1" t="str">
        <f>VLOOKUP(Tabela1[[#This Row],[Cliente]],'BASE DE CLIENTES'!A:E,5,0)</f>
        <v>SAMAMBAIA NORTE (SAMAMBAIA)</v>
      </c>
    </row>
    <row r="1276" spans="2:12" x14ac:dyDescent="0.3">
      <c r="B1276" s="1" t="s">
        <v>55</v>
      </c>
      <c r="C1276" s="4" t="str">
        <f>VLOOKUP(Tabela1[[#This Row],[Cliente]],'BASE DE CLIENTES'!A:E,2,0)</f>
        <v>Brasília</v>
      </c>
      <c r="D1276" s="1" t="str">
        <f>VLOOKUP(Tabela1[[#This Row],[Cliente]],'BASE DE CLIENTES'!A:C,3,0)</f>
        <v>DF</v>
      </c>
      <c r="E1276" s="4" t="str">
        <f>CONCATENATE(Tabela1[[#This Row],[CIDADE]],",",Tabela1[[#This Row],[UF]])</f>
        <v>Brasília,DF</v>
      </c>
      <c r="F1276" s="2">
        <v>45834</v>
      </c>
      <c r="G1276" s="17">
        <v>584</v>
      </c>
      <c r="H1276" s="17">
        <v>945</v>
      </c>
      <c r="I1276" s="6">
        <f>Tabela1[[#This Row],[Valor total]]-Tabela1[[#This Row],[Valor custo]]</f>
        <v>361</v>
      </c>
      <c r="J1276" s="7">
        <f>Tabela1[[#This Row],[MARGEM BRUTA]]/Tabela1[[#This Row],[Valor total]]</f>
        <v>0.38201058201058202</v>
      </c>
      <c r="K1276" s="1" t="str">
        <f>VLOOKUP(Tabela1[[#This Row],[Cliente]],'BASE DE CLIENTES'!A:D,4,0)</f>
        <v>EMPRESA SEM MAQUINA</v>
      </c>
      <c r="L1276" s="1" t="str">
        <f>VLOOKUP(Tabela1[[#This Row],[Cliente]],'BASE DE CLIENTES'!A:E,5,0)</f>
        <v>RECANTO DAS EMAS</v>
      </c>
    </row>
    <row r="1277" spans="2:12" x14ac:dyDescent="0.3">
      <c r="B1277" s="1" t="s">
        <v>189</v>
      </c>
      <c r="C1277" s="4" t="str">
        <f>VLOOKUP(Tabela1[[#This Row],[Cliente]],'BASE DE CLIENTES'!A:E,2,0)</f>
        <v>Formosa</v>
      </c>
      <c r="D1277" s="1" t="str">
        <f>VLOOKUP(Tabela1[[#This Row],[Cliente]],'BASE DE CLIENTES'!A:C,3,0)</f>
        <v>GO</v>
      </c>
      <c r="E1277" s="4" t="str">
        <f>CONCATENATE(Tabela1[[#This Row],[CIDADE]],",",Tabela1[[#This Row],[UF]])</f>
        <v>Formosa,GO</v>
      </c>
      <c r="F1277" s="2">
        <v>45905</v>
      </c>
      <c r="G1277" s="17">
        <v>1413.6</v>
      </c>
      <c r="H1277" s="17">
        <v>2600</v>
      </c>
      <c r="I1277" s="6">
        <f>Tabela1[[#This Row],[Valor total]]-Tabela1[[#This Row],[Valor custo]]</f>
        <v>1186.4000000000001</v>
      </c>
      <c r="J1277" s="7">
        <f>Tabela1[[#This Row],[MARGEM BRUTA]]/Tabela1[[#This Row],[Valor total]]</f>
        <v>0.45630769230769236</v>
      </c>
      <c r="K1277" s="1" t="str">
        <f>VLOOKUP(Tabela1[[#This Row],[Cliente]],'BASE DE CLIENTES'!A:D,4,0)</f>
        <v>SEM CLASSIFICAÇÃO</v>
      </c>
      <c r="L1277" s="1" t="str">
        <f>VLOOKUP(Tabela1[[#This Row],[Cliente]],'BASE DE CLIENTES'!A:E,5,0)</f>
        <v>Formosa</v>
      </c>
    </row>
    <row r="1278" spans="2:12" x14ac:dyDescent="0.3">
      <c r="B1278" s="1" t="s">
        <v>189</v>
      </c>
      <c r="C1278" s="4" t="str">
        <f>VLOOKUP(Tabela1[[#This Row],[Cliente]],'BASE DE CLIENTES'!A:E,2,0)</f>
        <v>Formosa</v>
      </c>
      <c r="D1278" s="1" t="str">
        <f>VLOOKUP(Tabela1[[#This Row],[Cliente]],'BASE DE CLIENTES'!A:C,3,0)</f>
        <v>GO</v>
      </c>
      <c r="E1278" s="4" t="str">
        <f>CONCATENATE(Tabela1[[#This Row],[CIDADE]],",",Tabela1[[#This Row],[UF]])</f>
        <v>Formosa,GO</v>
      </c>
      <c r="F1278" s="2">
        <v>45902</v>
      </c>
      <c r="G1278" s="17">
        <v>2010.3</v>
      </c>
      <c r="H1278" s="17">
        <v>3710</v>
      </c>
      <c r="I1278" s="6">
        <f>Tabela1[[#This Row],[Valor total]]-Tabela1[[#This Row],[Valor custo]]</f>
        <v>1699.7</v>
      </c>
      <c r="J1278" s="7">
        <f>Tabela1[[#This Row],[MARGEM BRUTA]]/Tabela1[[#This Row],[Valor total]]</f>
        <v>0.45814016172506739</v>
      </c>
      <c r="K1278" s="1" t="str">
        <f>VLOOKUP(Tabela1[[#This Row],[Cliente]],'BASE DE CLIENTES'!A:D,4,0)</f>
        <v>SEM CLASSIFICAÇÃO</v>
      </c>
      <c r="L1278" s="1" t="str">
        <f>VLOOKUP(Tabela1[[#This Row],[Cliente]],'BASE DE CLIENTES'!A:E,5,0)</f>
        <v>Formosa</v>
      </c>
    </row>
    <row r="1279" spans="2:12" x14ac:dyDescent="0.3">
      <c r="B1279" s="1" t="s">
        <v>161</v>
      </c>
      <c r="C1279" s="4" t="str">
        <f>VLOOKUP(Tabela1[[#This Row],[Cliente]],'BASE DE CLIENTES'!A:E,2,0)</f>
        <v>Brasília</v>
      </c>
      <c r="D1279" s="1" t="str">
        <f>VLOOKUP(Tabela1[[#This Row],[Cliente]],'BASE DE CLIENTES'!A:C,3,0)</f>
        <v>DF</v>
      </c>
      <c r="E1279" s="4" t="str">
        <f>CONCATENATE(Tabela1[[#This Row],[CIDADE]],",",Tabela1[[#This Row],[UF]])</f>
        <v>Brasília,DF</v>
      </c>
      <c r="F1279" s="2">
        <v>45834</v>
      </c>
      <c r="G1279" s="17">
        <v>4098.7</v>
      </c>
      <c r="H1279" s="17">
        <v>5850</v>
      </c>
      <c r="I1279" s="6">
        <f>Tabela1[[#This Row],[Valor total]]-Tabela1[[#This Row],[Valor custo]]</f>
        <v>1751.3000000000002</v>
      </c>
      <c r="J1279" s="7">
        <f>Tabela1[[#This Row],[MARGEM BRUTA]]/Tabela1[[#This Row],[Valor total]]</f>
        <v>0.29936752136752137</v>
      </c>
      <c r="K1279" s="1" t="str">
        <f>VLOOKUP(Tabela1[[#This Row],[Cliente]],'BASE DE CLIENTES'!A:D,4,0)</f>
        <v>EMPRESA COM MAQUINA</v>
      </c>
      <c r="L1279" s="1" t="str">
        <f>VLOOKUP(Tabela1[[#This Row],[Cliente]],'BASE DE CLIENTES'!A:E,5,0)</f>
        <v>RIACHO FUNDO II</v>
      </c>
    </row>
    <row r="1280" spans="2:12" x14ac:dyDescent="0.3">
      <c r="B1280" s="1" t="s">
        <v>138</v>
      </c>
      <c r="C1280" s="4" t="str">
        <f>VLOOKUP(Tabela1[[#This Row],[Cliente]],'BASE DE CLIENTES'!A:E,2,0)</f>
        <v>Brasília</v>
      </c>
      <c r="D1280" s="1" t="str">
        <f>VLOOKUP(Tabela1[[#This Row],[Cliente]],'BASE DE CLIENTES'!A:C,3,0)</f>
        <v>DF</v>
      </c>
      <c r="E1280" s="4" t="str">
        <f>CONCATENATE(Tabela1[[#This Row],[CIDADE]],",",Tabela1[[#This Row],[UF]])</f>
        <v>Brasília,DF</v>
      </c>
      <c r="F1280" s="2">
        <v>45834</v>
      </c>
      <c r="G1280" s="17">
        <v>2000</v>
      </c>
      <c r="H1280" s="17">
        <v>3000</v>
      </c>
      <c r="I1280" s="6">
        <f>Tabela1[[#This Row],[Valor total]]-Tabela1[[#This Row],[Valor custo]]</f>
        <v>1000</v>
      </c>
      <c r="J1280" s="7">
        <f>Tabela1[[#This Row],[MARGEM BRUTA]]/Tabela1[[#This Row],[Valor total]]</f>
        <v>0.33333333333333331</v>
      </c>
      <c r="K1280" s="1" t="str">
        <f>VLOOKUP(Tabela1[[#This Row],[Cliente]],'BASE DE CLIENTES'!A:D,4,0)</f>
        <v>OUTROS RAMOS</v>
      </c>
      <c r="L1280" s="1" t="str">
        <f>VLOOKUP(Tabela1[[#This Row],[Cliente]],'BASE DE CLIENTES'!A:E,5,0)</f>
        <v>CEILANDIA NORTE (CEILANDIA)</v>
      </c>
    </row>
    <row r="1281" spans="1:12" x14ac:dyDescent="0.3">
      <c r="B1281" s="1" t="s">
        <v>191</v>
      </c>
      <c r="C1281" s="4" t="str">
        <f>VLOOKUP(Tabela1[[#This Row],[Cliente]],'BASE DE CLIENTES'!A:E,2,0)</f>
        <v>Fortaleza</v>
      </c>
      <c r="D1281" s="1" t="str">
        <f>VLOOKUP(Tabela1[[#This Row],[Cliente]],'BASE DE CLIENTES'!A:C,3,0)</f>
        <v>CE</v>
      </c>
      <c r="E1281" s="4" t="str">
        <f>CONCATENATE(Tabela1[[#This Row],[CIDADE]],",",Tabela1[[#This Row],[UF]])</f>
        <v>Fortaleza,CE</v>
      </c>
      <c r="F1281" s="2">
        <v>45708</v>
      </c>
      <c r="G1281" s="17">
        <v>3556.31</v>
      </c>
      <c r="H1281" s="17">
        <v>9445</v>
      </c>
      <c r="I1281" s="6">
        <f>Tabela1[[#This Row],[Valor total]]-Tabela1[[#This Row],[Valor custo]]</f>
        <v>5888.6900000000005</v>
      </c>
      <c r="J1281" s="7">
        <f>Tabela1[[#This Row],[MARGEM BRUTA]]/Tabela1[[#This Row],[Valor total]]</f>
        <v>0.62347167813658022</v>
      </c>
      <c r="K1281" s="1" t="str">
        <f>VLOOKUP(Tabela1[[#This Row],[Cliente]],'BASE DE CLIENTES'!A:D,4,0)</f>
        <v>EMPRESA COM MAQUINA</v>
      </c>
      <c r="L1281" s="1" t="str">
        <f>VLOOKUP(Tabela1[[#This Row],[Cliente]],'BASE DE CLIENTES'!A:E,5,0)</f>
        <v>Fortaleza</v>
      </c>
    </row>
    <row r="1282" spans="1:12" x14ac:dyDescent="0.3">
      <c r="B1282" s="1" t="s">
        <v>76</v>
      </c>
      <c r="C1282" s="4" t="str">
        <f>VLOOKUP(Tabela1[[#This Row],[Cliente]],'BASE DE CLIENTES'!A:E,2,0)</f>
        <v>Brasília</v>
      </c>
      <c r="D1282" s="1" t="str">
        <f>VLOOKUP(Tabela1[[#This Row],[Cliente]],'BASE DE CLIENTES'!A:C,3,0)</f>
        <v>DF</v>
      </c>
      <c r="E1282" s="4" t="str">
        <f>CONCATENATE(Tabela1[[#This Row],[CIDADE]],",",Tabela1[[#This Row],[UF]])</f>
        <v>Brasília,DF</v>
      </c>
      <c r="F1282" s="2">
        <v>45834</v>
      </c>
      <c r="G1282" s="17">
        <v>539.5</v>
      </c>
      <c r="H1282" s="17">
        <v>600</v>
      </c>
      <c r="I1282" s="6">
        <f>Tabela1[[#This Row],[Valor total]]-Tabela1[[#This Row],[Valor custo]]</f>
        <v>60.5</v>
      </c>
      <c r="J1282" s="7">
        <f>Tabela1[[#This Row],[MARGEM BRUTA]]/Tabela1[[#This Row],[Valor total]]</f>
        <v>0.10083333333333333</v>
      </c>
      <c r="K1282" s="1" t="str">
        <f>VLOOKUP(Tabela1[[#This Row],[Cliente]],'BASE DE CLIENTES'!A:D,4,0)</f>
        <v>EMPRESA COM MAQUINA</v>
      </c>
      <c r="L1282" s="1" t="str">
        <f>VLOOKUP(Tabela1[[#This Row],[Cliente]],'BASE DE CLIENTES'!A:E,5,0)</f>
        <v>Setor Placa da Mercedes (Núcleo Bandeirante)</v>
      </c>
    </row>
    <row r="1283" spans="1:12" x14ac:dyDescent="0.3">
      <c r="B1283" s="1" t="s">
        <v>42</v>
      </c>
      <c r="C1283" s="4" t="str">
        <f>VLOOKUP(Tabela1[[#This Row],[Cliente]],'BASE DE CLIENTES'!A:E,2,0)</f>
        <v>Brasília</v>
      </c>
      <c r="D1283" s="1" t="str">
        <f>VLOOKUP(Tabela1[[#This Row],[Cliente]],'BASE DE CLIENTES'!A:C,3,0)</f>
        <v>DF</v>
      </c>
      <c r="E1283" s="4" t="str">
        <f>CONCATENATE(Tabela1[[#This Row],[CIDADE]],",",Tabela1[[#This Row],[UF]])</f>
        <v>Brasília,DF</v>
      </c>
      <c r="F1283" s="2">
        <v>45834</v>
      </c>
      <c r="G1283" s="17">
        <v>570.14</v>
      </c>
      <c r="H1283" s="17">
        <v>875</v>
      </c>
      <c r="I1283" s="6">
        <f>Tabela1[[#This Row],[Valor total]]-Tabela1[[#This Row],[Valor custo]]</f>
        <v>304.86</v>
      </c>
      <c r="J1283" s="7">
        <f>Tabela1[[#This Row],[MARGEM BRUTA]]/Tabela1[[#This Row],[Valor total]]</f>
        <v>0.34841142857142859</v>
      </c>
      <c r="K1283" s="1" t="str">
        <f>VLOOKUP(Tabela1[[#This Row],[Cliente]],'BASE DE CLIENTES'!A:D,4,0)</f>
        <v>EMPRESA SEM MAQUINA</v>
      </c>
      <c r="L1283" s="1" t="str">
        <f>VLOOKUP(Tabela1[[#This Row],[Cliente]],'BASE DE CLIENTES'!A:E,5,0)</f>
        <v>SAMAMBAIA</v>
      </c>
    </row>
    <row r="1284" spans="1:12" x14ac:dyDescent="0.3">
      <c r="B1284" s="1" t="s">
        <v>191</v>
      </c>
      <c r="C1284" s="4" t="str">
        <f>VLOOKUP(Tabela1[[#This Row],[Cliente]],'BASE DE CLIENTES'!A:E,2,0)</f>
        <v>Fortaleza</v>
      </c>
      <c r="D1284" s="1" t="str">
        <f>VLOOKUP(Tabela1[[#This Row],[Cliente]],'BASE DE CLIENTES'!A:C,3,0)</f>
        <v>CE</v>
      </c>
      <c r="E1284" s="4" t="str">
        <f>CONCATENATE(Tabela1[[#This Row],[CIDADE]],",",Tabela1[[#This Row],[UF]])</f>
        <v>Fortaleza,CE</v>
      </c>
      <c r="F1284" s="2">
        <v>45896</v>
      </c>
      <c r="G1284" s="17">
        <v>10404.120000000001</v>
      </c>
      <c r="H1284" s="17">
        <v>15996</v>
      </c>
      <c r="I1284" s="6">
        <f>Tabela1[[#This Row],[Valor total]]-Tabela1[[#This Row],[Valor custo]]</f>
        <v>5591.8799999999992</v>
      </c>
      <c r="J1284" s="7">
        <f>Tabela1[[#This Row],[MARGEM BRUTA]]/Tabela1[[#This Row],[Valor total]]</f>
        <v>0.34957989497374337</v>
      </c>
      <c r="K1284" s="1" t="str">
        <f>VLOOKUP(Tabela1[[#This Row],[Cliente]],'BASE DE CLIENTES'!A:D,4,0)</f>
        <v>EMPRESA COM MAQUINA</v>
      </c>
      <c r="L1284" s="1" t="str">
        <f>VLOOKUP(Tabela1[[#This Row],[Cliente]],'BASE DE CLIENTES'!A:E,5,0)</f>
        <v>Fortaleza</v>
      </c>
    </row>
    <row r="1285" spans="1:12" x14ac:dyDescent="0.3">
      <c r="B1285" s="1" t="s">
        <v>138</v>
      </c>
      <c r="C1285" s="4" t="str">
        <f>VLOOKUP(Tabela1[[#This Row],[Cliente]],'BASE DE CLIENTES'!A:E,2,0)</f>
        <v>Brasília</v>
      </c>
      <c r="D1285" s="1" t="str">
        <f>VLOOKUP(Tabela1[[#This Row],[Cliente]],'BASE DE CLIENTES'!A:C,3,0)</f>
        <v>DF</v>
      </c>
      <c r="E1285" s="4" t="str">
        <f>CONCATENATE(Tabela1[[#This Row],[CIDADE]],",",Tabela1[[#This Row],[UF]])</f>
        <v>Brasília,DF</v>
      </c>
      <c r="F1285" s="2">
        <v>45833</v>
      </c>
      <c r="G1285" s="17">
        <v>200</v>
      </c>
      <c r="H1285" s="17">
        <v>325</v>
      </c>
      <c r="I1285" s="6">
        <f>Tabela1[[#This Row],[Valor total]]-Tabela1[[#This Row],[Valor custo]]</f>
        <v>125</v>
      </c>
      <c r="J1285" s="7">
        <f>Tabela1[[#This Row],[MARGEM BRUTA]]/Tabela1[[#This Row],[Valor total]]</f>
        <v>0.38461538461538464</v>
      </c>
      <c r="K1285" s="1" t="str">
        <f>VLOOKUP(Tabela1[[#This Row],[Cliente]],'BASE DE CLIENTES'!A:D,4,0)</f>
        <v>OUTROS RAMOS</v>
      </c>
      <c r="L1285" s="1" t="str">
        <f>VLOOKUP(Tabela1[[#This Row],[Cliente]],'BASE DE CLIENTES'!A:E,5,0)</f>
        <v>CEILANDIA NORTE (CEILANDIA)</v>
      </c>
    </row>
    <row r="1286" spans="1:12" x14ac:dyDescent="0.3">
      <c r="A1286" s="1" t="s">
        <v>192</v>
      </c>
      <c r="B1286" s="1" t="s">
        <v>193</v>
      </c>
      <c r="C1286" s="4" t="str">
        <f>VLOOKUP(Tabela1[[#This Row],[Cliente]],'BASE DE CLIENTES'!A:E,2,0)</f>
        <v>Goiânia</v>
      </c>
      <c r="D1286" s="1" t="str">
        <f>VLOOKUP(Tabela1[[#This Row],[Cliente]],'BASE DE CLIENTES'!A:C,3,0)</f>
        <v>GO</v>
      </c>
      <c r="E1286" s="4" t="str">
        <f>CONCATENATE(Tabela1[[#This Row],[CIDADE]],",",Tabela1[[#This Row],[UF]])</f>
        <v>Goiânia,GO</v>
      </c>
      <c r="F1286" s="2">
        <v>45688</v>
      </c>
      <c r="G1286" s="17">
        <v>1317.6</v>
      </c>
      <c r="H1286" s="17">
        <v>2185</v>
      </c>
      <c r="I1286" s="6">
        <f>Tabela1[[#This Row],[Valor total]]-Tabela1[[#This Row],[Valor custo]]</f>
        <v>867.40000000000009</v>
      </c>
      <c r="J1286" s="7">
        <f>Tabela1[[#This Row],[MARGEM BRUTA]]/Tabela1[[#This Row],[Valor total]]</f>
        <v>0.39697940503432499</v>
      </c>
      <c r="K1286" s="1" t="str">
        <f>VLOOKUP(Tabela1[[#This Row],[Cliente]],'BASE DE CLIENTES'!A:D,4,0)</f>
        <v>SEM CLASSIFICAÇÃO</v>
      </c>
      <c r="L1286" s="1" t="str">
        <f>VLOOKUP(Tabela1[[#This Row],[Cliente]],'BASE DE CLIENTES'!A:E,5,0)</f>
        <v>Goiânia</v>
      </c>
    </row>
    <row r="1287" spans="1:12" x14ac:dyDescent="0.3">
      <c r="B1287" s="1" t="s">
        <v>13</v>
      </c>
      <c r="C1287" s="4" t="str">
        <f>VLOOKUP(Tabela1[[#This Row],[Cliente]],'BASE DE CLIENTES'!A:E,2,0)</f>
        <v>Brasília</v>
      </c>
      <c r="D1287" s="1" t="str">
        <f>VLOOKUP(Tabela1[[#This Row],[Cliente]],'BASE DE CLIENTES'!A:C,3,0)</f>
        <v>DF</v>
      </c>
      <c r="E1287" s="4" t="str">
        <f>CONCATENATE(Tabela1[[#This Row],[CIDADE]],",",Tabela1[[#This Row],[UF]])</f>
        <v>Brasília,DF</v>
      </c>
      <c r="F1287" s="2">
        <v>45833</v>
      </c>
      <c r="G1287" s="17">
        <v>288.8</v>
      </c>
      <c r="H1287" s="17">
        <v>240</v>
      </c>
      <c r="I1287" s="6">
        <f>Tabela1[[#This Row],[Valor total]]-Tabela1[[#This Row],[Valor custo]]</f>
        <v>-48.800000000000011</v>
      </c>
      <c r="J1287" s="7">
        <f>Tabela1[[#This Row],[MARGEM BRUTA]]/Tabela1[[#This Row],[Valor total]]</f>
        <v>-0.20333333333333339</v>
      </c>
      <c r="K1287" s="1" t="str">
        <f>VLOOKUP(Tabela1[[#This Row],[Cliente]],'BASE DE CLIENTES'!A:D,4,0)</f>
        <v>EMPRESA COM MAQUINA</v>
      </c>
      <c r="L1287" s="1" t="str">
        <f>VLOOKUP(Tabela1[[#This Row],[Cliente]],'BASE DE CLIENTES'!A:E,5,0)</f>
        <v>CANDANGOLANDIA</v>
      </c>
    </row>
    <row r="1288" spans="1:12" x14ac:dyDescent="0.3">
      <c r="A1288" s="1" t="s">
        <v>194</v>
      </c>
      <c r="B1288" s="1" t="s">
        <v>195</v>
      </c>
      <c r="C1288" s="4" t="str">
        <f>VLOOKUP(Tabela1[[#This Row],[Cliente]],'BASE DE CLIENTES'!A:E,2,0)</f>
        <v>Goiânia</v>
      </c>
      <c r="D1288" s="1" t="str">
        <f>VLOOKUP(Tabela1[[#This Row],[Cliente]],'BASE DE CLIENTES'!A:C,3,0)</f>
        <v>GO</v>
      </c>
      <c r="E1288" s="4" t="str">
        <f>CONCATENATE(Tabela1[[#This Row],[CIDADE]],",",Tabela1[[#This Row],[UF]])</f>
        <v>Goiânia,GO</v>
      </c>
      <c r="F1288" s="2">
        <v>45689</v>
      </c>
      <c r="G1288" s="17">
        <v>4485.04</v>
      </c>
      <c r="H1288" s="17">
        <v>7600</v>
      </c>
      <c r="I1288" s="6">
        <f>Tabela1[[#This Row],[Valor total]]-Tabela1[[#This Row],[Valor custo]]</f>
        <v>3114.96</v>
      </c>
      <c r="J1288" s="7">
        <f>Tabela1[[#This Row],[MARGEM BRUTA]]/Tabela1[[#This Row],[Valor total]]</f>
        <v>0.40986315789473687</v>
      </c>
      <c r="K1288" s="1" t="str">
        <f>VLOOKUP(Tabela1[[#This Row],[Cliente]],'BASE DE CLIENTES'!A:D,4,0)</f>
        <v>EMPRESA COM MAQUINA</v>
      </c>
      <c r="L1288" s="1" t="str">
        <f>VLOOKUP(Tabela1[[#This Row],[Cliente]],'BASE DE CLIENTES'!A:E,5,0)</f>
        <v>Goiânia</v>
      </c>
    </row>
    <row r="1289" spans="1:12" x14ac:dyDescent="0.3">
      <c r="A1289" s="1" t="s">
        <v>196</v>
      </c>
      <c r="B1289" s="1" t="s">
        <v>197</v>
      </c>
      <c r="C1289" s="4" t="str">
        <f>VLOOKUP(Tabela1[[#This Row],[Cliente]],'BASE DE CLIENTES'!A:E,2,0)</f>
        <v>Goiânia</v>
      </c>
      <c r="D1289" s="1" t="str">
        <f>VLOOKUP(Tabela1[[#This Row],[Cliente]],'BASE DE CLIENTES'!A:C,3,0)</f>
        <v>GO</v>
      </c>
      <c r="E1289" s="4" t="str">
        <f>CONCATENATE(Tabela1[[#This Row],[CIDADE]],",",Tabela1[[#This Row],[UF]])</f>
        <v>Goiânia,GO</v>
      </c>
      <c r="F1289" s="2">
        <v>45688</v>
      </c>
      <c r="G1289" s="17">
        <v>13484.85</v>
      </c>
      <c r="H1289" s="17">
        <v>19310</v>
      </c>
      <c r="I1289" s="6">
        <f>Tabela1[[#This Row],[Valor total]]-Tabela1[[#This Row],[Valor custo]]</f>
        <v>5825.15</v>
      </c>
      <c r="J1289" s="7">
        <f>Tabela1[[#This Row],[MARGEM BRUTA]]/Tabela1[[#This Row],[Valor total]]</f>
        <v>0.30166494044536507</v>
      </c>
      <c r="K1289" s="1" t="str">
        <f>VLOOKUP(Tabela1[[#This Row],[Cliente]],'BASE DE CLIENTES'!A:D,4,0)</f>
        <v>EMPRESA COM MAQUINA</v>
      </c>
      <c r="L1289" s="1" t="str">
        <f>VLOOKUP(Tabela1[[#This Row],[Cliente]],'BASE DE CLIENTES'!A:E,5,0)</f>
        <v>Goiânia</v>
      </c>
    </row>
    <row r="1290" spans="1:12" x14ac:dyDescent="0.3">
      <c r="A1290" s="1" t="s">
        <v>198</v>
      </c>
      <c r="B1290" s="1" t="s">
        <v>199</v>
      </c>
      <c r="C1290" s="4" t="str">
        <f>VLOOKUP(Tabela1[[#This Row],[Cliente]],'BASE DE CLIENTES'!A:E,2,0)</f>
        <v>Goiânia</v>
      </c>
      <c r="D1290" s="1" t="str">
        <f>VLOOKUP(Tabela1[[#This Row],[Cliente]],'BASE DE CLIENTES'!A:C,3,0)</f>
        <v>GO</v>
      </c>
      <c r="E1290" s="4" t="str">
        <f>CONCATENATE(Tabela1[[#This Row],[CIDADE]],",",Tabela1[[#This Row],[UF]])</f>
        <v>Goiânia,GO</v>
      </c>
      <c r="F1290" s="2">
        <v>45685</v>
      </c>
      <c r="G1290" s="17">
        <v>4387.76</v>
      </c>
      <c r="H1290" s="17">
        <v>6720</v>
      </c>
      <c r="I1290" s="6">
        <f>Tabela1[[#This Row],[Valor total]]-Tabela1[[#This Row],[Valor custo]]</f>
        <v>2332.2399999999998</v>
      </c>
      <c r="J1290" s="7">
        <f>Tabela1[[#This Row],[MARGEM BRUTA]]/Tabela1[[#This Row],[Valor total]]</f>
        <v>0.34705952380952376</v>
      </c>
      <c r="K1290" s="1" t="str">
        <f>VLOOKUP(Tabela1[[#This Row],[Cliente]],'BASE DE CLIENTES'!A:D,4,0)</f>
        <v>EMPRESA COM MAQUINA</v>
      </c>
      <c r="L1290" s="1" t="str">
        <f>VLOOKUP(Tabela1[[#This Row],[Cliente]],'BASE DE CLIENTES'!A:E,5,0)</f>
        <v>Goiânia</v>
      </c>
    </row>
    <row r="1291" spans="1:12" x14ac:dyDescent="0.3">
      <c r="B1291" s="1" t="s">
        <v>70</v>
      </c>
      <c r="C1291" s="4" t="str">
        <f>VLOOKUP(Tabela1[[#This Row],[Cliente]],'BASE DE CLIENTES'!A:E,2,0)</f>
        <v>Brasília</v>
      </c>
      <c r="D1291" s="1" t="str">
        <f>VLOOKUP(Tabela1[[#This Row],[Cliente]],'BASE DE CLIENTES'!A:C,3,0)</f>
        <v>DF</v>
      </c>
      <c r="E1291" s="4" t="str">
        <f>CONCATENATE(Tabela1[[#This Row],[CIDADE]],",",Tabela1[[#This Row],[UF]])</f>
        <v>Brasília,DF</v>
      </c>
      <c r="F1291" s="2">
        <v>45833</v>
      </c>
      <c r="G1291" s="17">
        <v>521</v>
      </c>
      <c r="H1291" s="17">
        <v>550</v>
      </c>
      <c r="I1291" s="6">
        <f>Tabela1[[#This Row],[Valor total]]-Tabela1[[#This Row],[Valor custo]]</f>
        <v>29</v>
      </c>
      <c r="J1291" s="7">
        <f>Tabela1[[#This Row],[MARGEM BRUTA]]/Tabela1[[#This Row],[Valor total]]</f>
        <v>5.2727272727272727E-2</v>
      </c>
      <c r="K1291" s="1" t="str">
        <f>VLOOKUP(Tabela1[[#This Row],[Cliente]],'BASE DE CLIENTES'!A:D,4,0)</f>
        <v>EMPRESA COM MAQUINA</v>
      </c>
      <c r="L1291" s="1" t="str">
        <f>VLOOKUP(Tabela1[[#This Row],[Cliente]],'BASE DE CLIENTES'!A:E,5,0)</f>
        <v>TAGUATINGA NORTE (TAGUATINGA)</v>
      </c>
    </row>
    <row r="1292" spans="1:12" x14ac:dyDescent="0.3">
      <c r="A1292" s="1" t="s">
        <v>200</v>
      </c>
      <c r="B1292" s="1" t="s">
        <v>195</v>
      </c>
      <c r="C1292" s="4" t="str">
        <f>VLOOKUP(Tabela1[[#This Row],[Cliente]],'BASE DE CLIENTES'!A:E,2,0)</f>
        <v>Goiânia</v>
      </c>
      <c r="D1292" s="1" t="str">
        <f>VLOOKUP(Tabela1[[#This Row],[Cliente]],'BASE DE CLIENTES'!A:C,3,0)</f>
        <v>GO</v>
      </c>
      <c r="E1292" s="4" t="str">
        <f>CONCATENATE(Tabela1[[#This Row],[CIDADE]],",",Tabela1[[#This Row],[UF]])</f>
        <v>Goiânia,GO</v>
      </c>
      <c r="F1292" s="2">
        <v>45684</v>
      </c>
      <c r="G1292" s="17">
        <v>409.87</v>
      </c>
      <c r="H1292" s="17">
        <v>580</v>
      </c>
      <c r="I1292" s="6">
        <f>Tabela1[[#This Row],[Valor total]]-Tabela1[[#This Row],[Valor custo]]</f>
        <v>170.13</v>
      </c>
      <c r="J1292" s="7">
        <f>Tabela1[[#This Row],[MARGEM BRUTA]]/Tabela1[[#This Row],[Valor total]]</f>
        <v>0.29332758620689653</v>
      </c>
      <c r="K1292" s="1" t="str">
        <f>VLOOKUP(Tabela1[[#This Row],[Cliente]],'BASE DE CLIENTES'!A:D,4,0)</f>
        <v>EMPRESA COM MAQUINA</v>
      </c>
      <c r="L1292" s="1" t="str">
        <f>VLOOKUP(Tabela1[[#This Row],[Cliente]],'BASE DE CLIENTES'!A:E,5,0)</f>
        <v>Goiânia</v>
      </c>
    </row>
    <row r="1293" spans="1:12" x14ac:dyDescent="0.3">
      <c r="B1293" s="1" t="s">
        <v>13</v>
      </c>
      <c r="C1293" s="4" t="str">
        <f>VLOOKUP(Tabela1[[#This Row],[Cliente]],'BASE DE CLIENTES'!A:E,2,0)</f>
        <v>Brasília</v>
      </c>
      <c r="D1293" s="1" t="str">
        <f>VLOOKUP(Tabela1[[#This Row],[Cliente]],'BASE DE CLIENTES'!A:C,3,0)</f>
        <v>DF</v>
      </c>
      <c r="E1293" s="4" t="str">
        <f>CONCATENATE(Tabela1[[#This Row],[CIDADE]],",",Tabela1[[#This Row],[UF]])</f>
        <v>Brasília,DF</v>
      </c>
      <c r="F1293" s="2">
        <v>45833</v>
      </c>
      <c r="G1293" s="17">
        <v>221.16</v>
      </c>
      <c r="H1293" s="17">
        <v>320</v>
      </c>
      <c r="I1293" s="6">
        <f>Tabela1[[#This Row],[Valor total]]-Tabela1[[#This Row],[Valor custo]]</f>
        <v>98.84</v>
      </c>
      <c r="J1293" s="7">
        <f>Tabela1[[#This Row],[MARGEM BRUTA]]/Tabela1[[#This Row],[Valor total]]</f>
        <v>0.30887500000000001</v>
      </c>
      <c r="K1293" s="1" t="str">
        <f>VLOOKUP(Tabela1[[#This Row],[Cliente]],'BASE DE CLIENTES'!A:D,4,0)</f>
        <v>EMPRESA COM MAQUINA</v>
      </c>
      <c r="L1293" s="1" t="str">
        <f>VLOOKUP(Tabela1[[#This Row],[Cliente]],'BASE DE CLIENTES'!A:E,5,0)</f>
        <v>CANDANGOLANDIA</v>
      </c>
    </row>
    <row r="1294" spans="1:12" x14ac:dyDescent="0.3">
      <c r="A1294" s="1" t="s">
        <v>201</v>
      </c>
      <c r="B1294" s="1" t="s">
        <v>195</v>
      </c>
      <c r="C1294" s="4" t="str">
        <f>VLOOKUP(Tabela1[[#This Row],[Cliente]],'BASE DE CLIENTES'!A:E,2,0)</f>
        <v>Goiânia</v>
      </c>
      <c r="D1294" s="1" t="str">
        <f>VLOOKUP(Tabela1[[#This Row],[Cliente]],'BASE DE CLIENTES'!A:C,3,0)</f>
        <v>GO</v>
      </c>
      <c r="E1294" s="4" t="str">
        <f>CONCATENATE(Tabela1[[#This Row],[CIDADE]],",",Tabela1[[#This Row],[UF]])</f>
        <v>Goiânia,GO</v>
      </c>
      <c r="F1294" s="2">
        <v>45681</v>
      </c>
      <c r="G1294" s="17">
        <v>13280.4</v>
      </c>
      <c r="H1294" s="17">
        <v>18000</v>
      </c>
      <c r="I1294" s="6">
        <f>Tabela1[[#This Row],[Valor total]]-Tabela1[[#This Row],[Valor custo]]</f>
        <v>4719.6000000000004</v>
      </c>
      <c r="J1294" s="7">
        <f>Tabela1[[#This Row],[MARGEM BRUTA]]/Tabela1[[#This Row],[Valor total]]</f>
        <v>0.26220000000000004</v>
      </c>
      <c r="K1294" s="1" t="str">
        <f>VLOOKUP(Tabela1[[#This Row],[Cliente]],'BASE DE CLIENTES'!A:D,4,0)</f>
        <v>EMPRESA COM MAQUINA</v>
      </c>
      <c r="L1294" s="1" t="str">
        <f>VLOOKUP(Tabela1[[#This Row],[Cliente]],'BASE DE CLIENTES'!A:E,5,0)</f>
        <v>Goiânia</v>
      </c>
    </row>
    <row r="1295" spans="1:12" x14ac:dyDescent="0.3">
      <c r="B1295" s="1" t="s">
        <v>68</v>
      </c>
      <c r="C1295" s="4" t="str">
        <f>VLOOKUP(Tabela1[[#This Row],[Cliente]],'BASE DE CLIENTES'!A:E,2,0)</f>
        <v>Brasília</v>
      </c>
      <c r="D1295" s="1" t="str">
        <f>VLOOKUP(Tabela1[[#This Row],[Cliente]],'BASE DE CLIENTES'!A:C,3,0)</f>
        <v>DF</v>
      </c>
      <c r="E1295" s="4" t="str">
        <f>CONCATENATE(Tabela1[[#This Row],[CIDADE]],",",Tabela1[[#This Row],[UF]])</f>
        <v>Brasília,DF</v>
      </c>
      <c r="F1295" s="2">
        <v>45833</v>
      </c>
      <c r="G1295" s="17">
        <v>7586.35</v>
      </c>
      <c r="H1295" s="17">
        <v>11438</v>
      </c>
      <c r="I1295" s="6">
        <f>Tabela1[[#This Row],[Valor total]]-Tabela1[[#This Row],[Valor custo]]</f>
        <v>3851.6499999999996</v>
      </c>
      <c r="J1295" s="7">
        <f>Tabela1[[#This Row],[MARGEM BRUTA]]/Tabela1[[#This Row],[Valor total]]</f>
        <v>0.33674156321035142</v>
      </c>
      <c r="K1295" s="1" t="str">
        <f>VLOOKUP(Tabela1[[#This Row],[Cliente]],'BASE DE CLIENTES'!A:D,4,0)</f>
        <v>EMPRESA COM MAQUINA</v>
      </c>
      <c r="L1295" s="1" t="str">
        <f>VLOOKUP(Tabela1[[#This Row],[Cliente]],'BASE DE CLIENTES'!A:E,5,0)</f>
        <v>SAMAMBAIA SUL (SAMAMBAIA)</v>
      </c>
    </row>
    <row r="1296" spans="1:12" x14ac:dyDescent="0.3">
      <c r="A1296" s="1" t="s">
        <v>202</v>
      </c>
      <c r="B1296" s="1" t="s">
        <v>193</v>
      </c>
      <c r="C1296" s="4" t="str">
        <f>VLOOKUP(Tabela1[[#This Row],[Cliente]],'BASE DE CLIENTES'!A:E,2,0)</f>
        <v>Goiânia</v>
      </c>
      <c r="D1296" s="1" t="str">
        <f>VLOOKUP(Tabela1[[#This Row],[Cliente]],'BASE DE CLIENTES'!A:C,3,0)</f>
        <v>GO</v>
      </c>
      <c r="E1296" s="4" t="str">
        <f>CONCATENATE(Tabela1[[#This Row],[CIDADE]],",",Tabela1[[#This Row],[UF]])</f>
        <v>Goiânia,GO</v>
      </c>
      <c r="F1296" s="2">
        <v>45680</v>
      </c>
      <c r="G1296" s="17">
        <v>798.81</v>
      </c>
      <c r="H1296" s="17">
        <v>1500</v>
      </c>
      <c r="I1296" s="6">
        <f>Tabela1[[#This Row],[Valor total]]-Tabela1[[#This Row],[Valor custo]]</f>
        <v>701.19</v>
      </c>
      <c r="J1296" s="7">
        <f>Tabela1[[#This Row],[MARGEM BRUTA]]/Tabela1[[#This Row],[Valor total]]</f>
        <v>0.46746000000000004</v>
      </c>
      <c r="K1296" s="1" t="str">
        <f>VLOOKUP(Tabela1[[#This Row],[Cliente]],'BASE DE CLIENTES'!A:D,4,0)</f>
        <v>SEM CLASSIFICAÇÃO</v>
      </c>
      <c r="L1296" s="1" t="str">
        <f>VLOOKUP(Tabela1[[#This Row],[Cliente]],'BASE DE CLIENTES'!A:E,5,0)</f>
        <v>Goiânia</v>
      </c>
    </row>
    <row r="1297" spans="2:12" x14ac:dyDescent="0.3">
      <c r="B1297" s="1" t="s">
        <v>203</v>
      </c>
      <c r="C1297" s="4" t="str">
        <f>VLOOKUP(Tabela1[[#This Row],[Cliente]],'BASE DE CLIENTES'!A:E,2,0)</f>
        <v>Goiânia</v>
      </c>
      <c r="D1297" s="1" t="str">
        <f>VLOOKUP(Tabela1[[#This Row],[Cliente]],'BASE DE CLIENTES'!A:C,3,0)</f>
        <v>GO</v>
      </c>
      <c r="E1297" s="4" t="str">
        <f>CONCATENATE(Tabela1[[#This Row],[CIDADE]],",",Tabela1[[#This Row],[UF]])</f>
        <v>Goiânia,GO</v>
      </c>
      <c r="F1297" s="2">
        <v>45678</v>
      </c>
      <c r="G1297" s="17">
        <v>571.29999999999995</v>
      </c>
      <c r="H1297" s="17">
        <v>1800</v>
      </c>
      <c r="I1297" s="6">
        <f>Tabela1[[#This Row],[Valor total]]-Tabela1[[#This Row],[Valor custo]]</f>
        <v>1228.7</v>
      </c>
      <c r="J1297" s="7">
        <f>Tabela1[[#This Row],[MARGEM BRUTA]]/Tabela1[[#This Row],[Valor total]]</f>
        <v>0.68261111111111117</v>
      </c>
      <c r="K1297" s="1" t="str">
        <f>VLOOKUP(Tabela1[[#This Row],[Cliente]],'BASE DE CLIENTES'!A:D,4,0)</f>
        <v>EMPRESA COM MAQUINA</v>
      </c>
      <c r="L1297" s="1" t="str">
        <f>VLOOKUP(Tabela1[[#This Row],[Cliente]],'BASE DE CLIENTES'!A:E,5,0)</f>
        <v>Goiânia</v>
      </c>
    </row>
    <row r="1298" spans="2:12" x14ac:dyDescent="0.3">
      <c r="B1298" s="1" t="s">
        <v>204</v>
      </c>
      <c r="C1298" s="4" t="str">
        <f>VLOOKUP(Tabela1[[#This Row],[Cliente]],'BASE DE CLIENTES'!A:E,2,0)</f>
        <v>Goiânia</v>
      </c>
      <c r="D1298" s="1" t="str">
        <f>VLOOKUP(Tabela1[[#This Row],[Cliente]],'BASE DE CLIENTES'!A:C,3,0)</f>
        <v>GO</v>
      </c>
      <c r="E1298" s="4" t="str">
        <f>CONCATENATE(Tabela1[[#This Row],[CIDADE]],",",Tabela1[[#This Row],[UF]])</f>
        <v>Goiânia,GO</v>
      </c>
      <c r="F1298" s="2">
        <v>45678</v>
      </c>
      <c r="G1298" s="17">
        <v>17814.900000000001</v>
      </c>
      <c r="H1298" s="17">
        <v>23965</v>
      </c>
      <c r="I1298" s="6">
        <f>Tabela1[[#This Row],[Valor total]]-Tabela1[[#This Row],[Valor custo]]</f>
        <v>6150.0999999999985</v>
      </c>
      <c r="J1298" s="7">
        <f>Tabela1[[#This Row],[MARGEM BRUTA]]/Tabela1[[#This Row],[Valor total]]</f>
        <v>0.25662841644064255</v>
      </c>
      <c r="K1298" s="1" t="str">
        <f>VLOOKUP(Tabela1[[#This Row],[Cliente]],'BASE DE CLIENTES'!A:D,4,0)</f>
        <v>EMPRESA COM MAQUINA</v>
      </c>
      <c r="L1298" s="1" t="str">
        <f>VLOOKUP(Tabela1[[#This Row],[Cliente]],'BASE DE CLIENTES'!A:E,5,0)</f>
        <v>Goiânia</v>
      </c>
    </row>
    <row r="1299" spans="2:12" x14ac:dyDescent="0.3">
      <c r="B1299" s="1" t="s">
        <v>55</v>
      </c>
      <c r="C1299" s="4" t="str">
        <f>VLOOKUP(Tabela1[[#This Row],[Cliente]],'BASE DE CLIENTES'!A:E,2,0)</f>
        <v>Brasília</v>
      </c>
      <c r="D1299" s="1" t="str">
        <f>VLOOKUP(Tabela1[[#This Row],[Cliente]],'BASE DE CLIENTES'!A:C,3,0)</f>
        <v>DF</v>
      </c>
      <c r="E1299" s="4" t="str">
        <f>CONCATENATE(Tabela1[[#This Row],[CIDADE]],",",Tabela1[[#This Row],[UF]])</f>
        <v>Brasília,DF</v>
      </c>
      <c r="F1299" s="2">
        <v>45832</v>
      </c>
      <c r="G1299" s="17">
        <v>1042</v>
      </c>
      <c r="H1299" s="17">
        <v>1680</v>
      </c>
      <c r="I1299" s="6">
        <f>Tabela1[[#This Row],[Valor total]]-Tabela1[[#This Row],[Valor custo]]</f>
        <v>638</v>
      </c>
      <c r="J1299" s="7">
        <f>Tabela1[[#This Row],[MARGEM BRUTA]]/Tabela1[[#This Row],[Valor total]]</f>
        <v>0.37976190476190474</v>
      </c>
      <c r="K1299" s="1" t="str">
        <f>VLOOKUP(Tabela1[[#This Row],[Cliente]],'BASE DE CLIENTES'!A:D,4,0)</f>
        <v>EMPRESA SEM MAQUINA</v>
      </c>
      <c r="L1299" s="1" t="str">
        <f>VLOOKUP(Tabela1[[#This Row],[Cliente]],'BASE DE CLIENTES'!A:E,5,0)</f>
        <v>RECANTO DAS EMAS</v>
      </c>
    </row>
    <row r="1300" spans="2:12" x14ac:dyDescent="0.3">
      <c r="B1300" s="1" t="s">
        <v>68</v>
      </c>
      <c r="C1300" s="4" t="str">
        <f>VLOOKUP(Tabela1[[#This Row],[Cliente]],'BASE DE CLIENTES'!A:E,2,0)</f>
        <v>Brasília</v>
      </c>
      <c r="D1300" s="1" t="str">
        <f>VLOOKUP(Tabela1[[#This Row],[Cliente]],'BASE DE CLIENTES'!A:C,3,0)</f>
        <v>DF</v>
      </c>
      <c r="E1300" s="4" t="str">
        <f>CONCATENATE(Tabela1[[#This Row],[CIDADE]],",",Tabela1[[#This Row],[UF]])</f>
        <v>Brasília,DF</v>
      </c>
      <c r="F1300" s="2">
        <v>45832</v>
      </c>
      <c r="G1300" s="17">
        <v>473</v>
      </c>
      <c r="H1300" s="17">
        <v>671</v>
      </c>
      <c r="I1300" s="6">
        <f>Tabela1[[#This Row],[Valor total]]-Tabela1[[#This Row],[Valor custo]]</f>
        <v>198</v>
      </c>
      <c r="J1300" s="7">
        <f>Tabela1[[#This Row],[MARGEM BRUTA]]/Tabela1[[#This Row],[Valor total]]</f>
        <v>0.29508196721311475</v>
      </c>
      <c r="K1300" s="1" t="str">
        <f>VLOOKUP(Tabela1[[#This Row],[Cliente]],'BASE DE CLIENTES'!A:D,4,0)</f>
        <v>EMPRESA COM MAQUINA</v>
      </c>
      <c r="L1300" s="1" t="str">
        <f>VLOOKUP(Tabela1[[#This Row],[Cliente]],'BASE DE CLIENTES'!A:E,5,0)</f>
        <v>SAMAMBAIA SUL (SAMAMBAIA)</v>
      </c>
    </row>
    <row r="1301" spans="2:12" x14ac:dyDescent="0.3">
      <c r="B1301" s="1" t="s">
        <v>187</v>
      </c>
      <c r="C1301" s="4" t="str">
        <f>VLOOKUP(Tabela1[[#This Row],[Cliente]],'BASE DE CLIENTES'!A:E,2,0)</f>
        <v>Brasília</v>
      </c>
      <c r="D1301" s="1" t="str">
        <f>VLOOKUP(Tabela1[[#This Row],[Cliente]],'BASE DE CLIENTES'!A:C,3,0)</f>
        <v>DF</v>
      </c>
      <c r="E1301" s="4" t="str">
        <f>CONCATENATE(Tabela1[[#This Row],[CIDADE]],",",Tabela1[[#This Row],[UF]])</f>
        <v>Brasília,DF</v>
      </c>
      <c r="F1301" s="2">
        <v>45832</v>
      </c>
      <c r="G1301" s="17">
        <v>710</v>
      </c>
      <c r="H1301" s="17">
        <v>1200</v>
      </c>
      <c r="I1301" s="6">
        <f>Tabela1[[#This Row],[Valor total]]-Tabela1[[#This Row],[Valor custo]]</f>
        <v>490</v>
      </c>
      <c r="J1301" s="7">
        <f>Tabela1[[#This Row],[MARGEM BRUTA]]/Tabela1[[#This Row],[Valor total]]</f>
        <v>0.40833333333333333</v>
      </c>
      <c r="K1301" s="1" t="str">
        <f>VLOOKUP(Tabela1[[#This Row],[Cliente]],'BASE DE CLIENTES'!A:D,4,0)</f>
        <v>SERRALHEIRO</v>
      </c>
      <c r="L1301" s="1" t="str">
        <f>VLOOKUP(Tabela1[[#This Row],[Cliente]],'BASE DE CLIENTES'!A:E,5,0)</f>
        <v>CEILANDIA SUL (CEILANDIA)</v>
      </c>
    </row>
    <row r="1302" spans="2:12" x14ac:dyDescent="0.3">
      <c r="B1302" s="1" t="s">
        <v>15</v>
      </c>
      <c r="C1302" s="4" t="str">
        <f>VLOOKUP(Tabela1[[#This Row],[Cliente]],'BASE DE CLIENTES'!A:E,2,0)</f>
        <v>Brasília</v>
      </c>
      <c r="D1302" s="1" t="str">
        <f>VLOOKUP(Tabela1[[#This Row],[Cliente]],'BASE DE CLIENTES'!A:C,3,0)</f>
        <v>DF</v>
      </c>
      <c r="E1302" s="4" t="str">
        <f>CONCATENATE(Tabela1[[#This Row],[CIDADE]],",",Tabela1[[#This Row],[UF]])</f>
        <v>Brasília,DF</v>
      </c>
      <c r="F1302" s="2">
        <v>45832</v>
      </c>
      <c r="G1302" s="17">
        <v>4364</v>
      </c>
      <c r="H1302" s="17">
        <v>7720</v>
      </c>
      <c r="I1302" s="6">
        <f>Tabela1[[#This Row],[Valor total]]-Tabela1[[#This Row],[Valor custo]]</f>
        <v>3356</v>
      </c>
      <c r="J1302" s="7">
        <f>Tabela1[[#This Row],[MARGEM BRUTA]]/Tabela1[[#This Row],[Valor total]]</f>
        <v>0.43471502590673577</v>
      </c>
      <c r="K1302" s="1" t="str">
        <f>VLOOKUP(Tabela1[[#This Row],[Cliente]],'BASE DE CLIENTES'!A:D,4,0)</f>
        <v>SERRALHEIRO</v>
      </c>
      <c r="L1302" s="1" t="str">
        <f>VLOOKUP(Tabela1[[#This Row],[Cliente]],'BASE DE CLIENTES'!A:E,5,0)</f>
        <v>SETOR HABITACIONAL VICENTE PIRES</v>
      </c>
    </row>
    <row r="1303" spans="2:12" x14ac:dyDescent="0.3">
      <c r="B1303" s="1" t="s">
        <v>25</v>
      </c>
      <c r="C1303" s="4" t="str">
        <f>VLOOKUP(Tabela1[[#This Row],[Cliente]],'BASE DE CLIENTES'!A:E,2,0)</f>
        <v>Brasília</v>
      </c>
      <c r="D1303" s="1" t="str">
        <f>VLOOKUP(Tabela1[[#This Row],[Cliente]],'BASE DE CLIENTES'!A:C,3,0)</f>
        <v>DF</v>
      </c>
      <c r="E1303" s="4" t="str">
        <f>CONCATENATE(Tabela1[[#This Row],[CIDADE]],",",Tabela1[[#This Row],[UF]])</f>
        <v>Brasília,DF</v>
      </c>
      <c r="F1303" s="2">
        <v>45832</v>
      </c>
      <c r="G1303" s="17">
        <v>441.47</v>
      </c>
      <c r="H1303" s="17">
        <v>705</v>
      </c>
      <c r="I1303" s="6">
        <f>Tabela1[[#This Row],[Valor total]]-Tabela1[[#This Row],[Valor custo]]</f>
        <v>263.52999999999997</v>
      </c>
      <c r="J1303" s="7">
        <f>Tabela1[[#This Row],[MARGEM BRUTA]]/Tabela1[[#This Row],[Valor total]]</f>
        <v>0.37380141843971626</v>
      </c>
      <c r="K1303" s="1" t="str">
        <f>VLOOKUP(Tabela1[[#This Row],[Cliente]],'BASE DE CLIENTES'!A:D,4,0)</f>
        <v>EMPRESA COM MAQUINA</v>
      </c>
      <c r="L1303" s="1" t="str">
        <f>VLOOKUP(Tabela1[[#This Row],[Cliente]],'BASE DE CLIENTES'!A:E,5,0)</f>
        <v>CEILANDIA NORTE (CEILANDIA)</v>
      </c>
    </row>
    <row r="1304" spans="2:12" x14ac:dyDescent="0.3">
      <c r="B1304" s="1" t="s">
        <v>205</v>
      </c>
      <c r="C1304" s="4" t="str">
        <f>VLOOKUP(Tabela1[[#This Row],[Cliente]],'BASE DE CLIENTES'!A:E,2,0)</f>
        <v>Brasília</v>
      </c>
      <c r="D1304" s="1" t="str">
        <f>VLOOKUP(Tabela1[[#This Row],[Cliente]],'BASE DE CLIENTES'!A:C,3,0)</f>
        <v>DF</v>
      </c>
      <c r="E1304" s="4" t="str">
        <f>CONCATENATE(Tabela1[[#This Row],[CIDADE]],",",Tabela1[[#This Row],[UF]])</f>
        <v>Brasília,DF</v>
      </c>
      <c r="F1304" s="2">
        <v>45832</v>
      </c>
      <c r="G1304" s="17">
        <v>237</v>
      </c>
      <c r="H1304" s="17">
        <v>750</v>
      </c>
      <c r="I1304" s="6">
        <f>Tabela1[[#This Row],[Valor total]]-Tabela1[[#This Row],[Valor custo]]</f>
        <v>513</v>
      </c>
      <c r="J1304" s="7">
        <f>Tabela1[[#This Row],[MARGEM BRUTA]]/Tabela1[[#This Row],[Valor total]]</f>
        <v>0.68400000000000005</v>
      </c>
      <c r="K1304" s="1" t="str">
        <f>VLOOKUP(Tabela1[[#This Row],[Cliente]],'BASE DE CLIENTES'!A:D,4,0)</f>
        <v>PRODUTOS ELETRONICOS</v>
      </c>
      <c r="L1304" s="1" t="str">
        <f>VLOOKUP(Tabela1[[#This Row],[Cliente]],'BASE DE CLIENTES'!A:E,5,0)</f>
        <v>AREAL (AGUAS CLARAS)</v>
      </c>
    </row>
    <row r="1305" spans="2:12" x14ac:dyDescent="0.3">
      <c r="B1305" s="1" t="s">
        <v>199</v>
      </c>
      <c r="C1305" s="4" t="str">
        <f>VLOOKUP(Tabela1[[#This Row],[Cliente]],'BASE DE CLIENTES'!A:E,2,0)</f>
        <v>Goiânia</v>
      </c>
      <c r="D1305" s="1" t="str">
        <f>VLOOKUP(Tabela1[[#This Row],[Cliente]],'BASE DE CLIENTES'!A:C,3,0)</f>
        <v>GO</v>
      </c>
      <c r="E1305" s="4" t="str">
        <f>CONCATENATE(Tabela1[[#This Row],[CIDADE]],",",Tabela1[[#This Row],[UF]])</f>
        <v>Goiânia,GO</v>
      </c>
      <c r="F1305" s="2">
        <v>45677</v>
      </c>
      <c r="G1305" s="17">
        <v>6479.52</v>
      </c>
      <c r="H1305" s="17">
        <v>9360</v>
      </c>
      <c r="I1305" s="6">
        <f>Tabela1[[#This Row],[Valor total]]-Tabela1[[#This Row],[Valor custo]]</f>
        <v>2880.4799999999996</v>
      </c>
      <c r="J1305" s="7">
        <f>Tabela1[[#This Row],[MARGEM BRUTA]]/Tabela1[[#This Row],[Valor total]]</f>
        <v>0.30774358974358967</v>
      </c>
      <c r="K1305" s="1" t="str">
        <f>VLOOKUP(Tabela1[[#This Row],[Cliente]],'BASE DE CLIENTES'!A:D,4,0)</f>
        <v>EMPRESA COM MAQUINA</v>
      </c>
      <c r="L1305" s="1" t="str">
        <f>VLOOKUP(Tabela1[[#This Row],[Cliente]],'BASE DE CLIENTES'!A:E,5,0)</f>
        <v>Goiânia</v>
      </c>
    </row>
    <row r="1306" spans="2:12" x14ac:dyDescent="0.3">
      <c r="B1306" s="1" t="s">
        <v>120</v>
      </c>
      <c r="C1306" s="4" t="str">
        <f>VLOOKUP(Tabela1[[#This Row],[Cliente]],'BASE DE CLIENTES'!A:E,2,0)</f>
        <v>Brasília</v>
      </c>
      <c r="D1306" s="1" t="str">
        <f>VLOOKUP(Tabela1[[#This Row],[Cliente]],'BASE DE CLIENTES'!A:C,3,0)</f>
        <v>DF</v>
      </c>
      <c r="E1306" s="4" t="str">
        <f>CONCATENATE(Tabela1[[#This Row],[CIDADE]],",",Tabela1[[#This Row],[UF]])</f>
        <v>Brasília,DF</v>
      </c>
      <c r="F1306" s="2">
        <v>45848</v>
      </c>
      <c r="G1306" s="17">
        <v>943.7</v>
      </c>
      <c r="H1306" s="17">
        <v>1351</v>
      </c>
      <c r="I1306" s="6">
        <f>Tabela1[[#This Row],[Valor total]]-Tabela1[[#This Row],[Valor custo]]</f>
        <v>407.29999999999995</v>
      </c>
      <c r="J1306" s="7">
        <f>Tabela1[[#This Row],[MARGEM BRUTA]]/Tabela1[[#This Row],[Valor total]]</f>
        <v>0.30148038490007401</v>
      </c>
      <c r="K1306" s="1" t="str">
        <f>VLOOKUP(Tabela1[[#This Row],[Cliente]],'BASE DE CLIENTES'!A:D,4,0)</f>
        <v>EMPRESA SEM MAQUINA</v>
      </c>
      <c r="L1306" s="1" t="str">
        <f>VLOOKUP(Tabela1[[#This Row],[Cliente]],'BASE DE CLIENTES'!A:E,5,0)</f>
        <v>SAMAMBAIA</v>
      </c>
    </row>
    <row r="1307" spans="2:12" x14ac:dyDescent="0.3">
      <c r="B1307" s="1" t="s">
        <v>88</v>
      </c>
      <c r="C1307" s="4" t="str">
        <f>VLOOKUP(Tabela1[[#This Row],[Cliente]],'BASE DE CLIENTES'!A:E,2,0)</f>
        <v>Brasília</v>
      </c>
      <c r="D1307" s="1" t="str">
        <f>VLOOKUP(Tabela1[[#This Row],[Cliente]],'BASE DE CLIENTES'!A:C,3,0)</f>
        <v>DF</v>
      </c>
      <c r="E1307" s="4" t="str">
        <f>CONCATENATE(Tabela1[[#This Row],[CIDADE]],",",Tabela1[[#This Row],[UF]])</f>
        <v>Brasília,DF</v>
      </c>
      <c r="F1307" s="2">
        <v>45832</v>
      </c>
      <c r="G1307" s="17">
        <v>33</v>
      </c>
      <c r="H1307" s="17">
        <v>150</v>
      </c>
      <c r="I1307" s="6">
        <f>Tabela1[[#This Row],[Valor total]]-Tabela1[[#This Row],[Valor custo]]</f>
        <v>117</v>
      </c>
      <c r="J1307" s="7">
        <f>Tabela1[[#This Row],[MARGEM BRUTA]]/Tabela1[[#This Row],[Valor total]]</f>
        <v>0.78</v>
      </c>
      <c r="K1307" s="1" t="str">
        <f>VLOOKUP(Tabela1[[#This Row],[Cliente]],'BASE DE CLIENTES'!A:D,4,0)</f>
        <v>SERRALHEIRO</v>
      </c>
      <c r="L1307" s="1" t="str">
        <f>VLOOKUP(Tabela1[[#This Row],[Cliente]],'BASE DE CLIENTES'!A:E,5,0)</f>
        <v>RECANTO DAS EMAS</v>
      </c>
    </row>
    <row r="1308" spans="2:12" x14ac:dyDescent="0.3">
      <c r="B1308" s="1" t="s">
        <v>105</v>
      </c>
      <c r="C1308" s="4" t="str">
        <f>VLOOKUP(Tabela1[[#This Row],[Cliente]],'BASE DE CLIENTES'!A:E,2,0)</f>
        <v>Brasília</v>
      </c>
      <c r="D1308" s="1" t="str">
        <f>VLOOKUP(Tabela1[[#This Row],[Cliente]],'BASE DE CLIENTES'!A:C,3,0)</f>
        <v>DF</v>
      </c>
      <c r="E1308" s="4" t="str">
        <f>CONCATENATE(Tabela1[[#This Row],[CIDADE]],",",Tabela1[[#This Row],[UF]])</f>
        <v>Brasília,DF</v>
      </c>
      <c r="F1308" s="2">
        <v>45832</v>
      </c>
      <c r="G1308" s="17">
        <v>12453.7</v>
      </c>
      <c r="H1308" s="17">
        <v>18800</v>
      </c>
      <c r="I1308" s="6">
        <f>Tabela1[[#This Row],[Valor total]]-Tabela1[[#This Row],[Valor custo]]</f>
        <v>6346.2999999999993</v>
      </c>
      <c r="J1308" s="7">
        <f>Tabela1[[#This Row],[MARGEM BRUTA]]/Tabela1[[#This Row],[Valor total]]</f>
        <v>0.33756914893617018</v>
      </c>
      <c r="K1308" s="1" t="str">
        <f>VLOOKUP(Tabela1[[#This Row],[Cliente]],'BASE DE CLIENTES'!A:D,4,0)</f>
        <v>EMPRESA COM MAQUINA</v>
      </c>
      <c r="L1308" s="1" t="str">
        <f>VLOOKUP(Tabela1[[#This Row],[Cliente]],'BASE DE CLIENTES'!A:E,5,0)</f>
        <v>PLANALTINA</v>
      </c>
    </row>
    <row r="1309" spans="2:12" x14ac:dyDescent="0.3">
      <c r="B1309" s="1" t="s">
        <v>55</v>
      </c>
      <c r="C1309" s="4" t="str">
        <f>VLOOKUP(Tabela1[[#This Row],[Cliente]],'BASE DE CLIENTES'!A:E,2,0)</f>
        <v>Brasília</v>
      </c>
      <c r="D1309" s="1" t="str">
        <f>VLOOKUP(Tabela1[[#This Row],[Cliente]],'BASE DE CLIENTES'!A:C,3,0)</f>
        <v>DF</v>
      </c>
      <c r="E1309" s="4" t="str">
        <f>CONCATENATE(Tabela1[[#This Row],[CIDADE]],",",Tabela1[[#This Row],[UF]])</f>
        <v>Brasília,DF</v>
      </c>
      <c r="F1309" s="2">
        <v>45832</v>
      </c>
      <c r="G1309" s="17">
        <v>98.42</v>
      </c>
      <c r="H1309" s="17">
        <v>160</v>
      </c>
      <c r="I1309" s="6">
        <f>Tabela1[[#This Row],[Valor total]]-Tabela1[[#This Row],[Valor custo]]</f>
        <v>61.58</v>
      </c>
      <c r="J1309" s="7">
        <f>Tabela1[[#This Row],[MARGEM BRUTA]]/Tabela1[[#This Row],[Valor total]]</f>
        <v>0.38487499999999997</v>
      </c>
      <c r="K1309" s="1" t="str">
        <f>VLOOKUP(Tabela1[[#This Row],[Cliente]],'BASE DE CLIENTES'!A:D,4,0)</f>
        <v>EMPRESA SEM MAQUINA</v>
      </c>
      <c r="L1309" s="1" t="str">
        <f>VLOOKUP(Tabela1[[#This Row],[Cliente]],'BASE DE CLIENTES'!A:E,5,0)</f>
        <v>RECANTO DAS EMAS</v>
      </c>
    </row>
    <row r="1310" spans="2:12" x14ac:dyDescent="0.3">
      <c r="B1310" s="1" t="s">
        <v>206</v>
      </c>
      <c r="C1310" s="4" t="str">
        <f>VLOOKUP(Tabela1[[#This Row],[Cliente]],'BASE DE CLIENTES'!A:E,2,0)</f>
        <v>Goiânia</v>
      </c>
      <c r="D1310" s="1" t="str">
        <f>VLOOKUP(Tabela1[[#This Row],[Cliente]],'BASE DE CLIENTES'!A:C,3,0)</f>
        <v>GO</v>
      </c>
      <c r="E1310" s="4" t="str">
        <f>CONCATENATE(Tabela1[[#This Row],[CIDADE]],",",Tabela1[[#This Row],[UF]])</f>
        <v>Goiânia,GO</v>
      </c>
      <c r="F1310" s="2">
        <v>45673</v>
      </c>
      <c r="G1310" s="17">
        <v>11187.9</v>
      </c>
      <c r="H1310" s="17">
        <v>17557</v>
      </c>
      <c r="I1310" s="6">
        <f>Tabela1[[#This Row],[Valor total]]-Tabela1[[#This Row],[Valor custo]]</f>
        <v>6369.1</v>
      </c>
      <c r="J1310" s="7">
        <f>Tabela1[[#This Row],[MARGEM BRUTA]]/Tabela1[[#This Row],[Valor total]]</f>
        <v>0.36276698752634279</v>
      </c>
      <c r="K1310" s="1" t="str">
        <f>VLOOKUP(Tabela1[[#This Row],[Cliente]],'BASE DE CLIENTES'!A:D,4,0)</f>
        <v>EMPRESA COM MAQUINA</v>
      </c>
      <c r="L1310" s="1" t="str">
        <f>VLOOKUP(Tabela1[[#This Row],[Cliente]],'BASE DE CLIENTES'!A:E,5,0)</f>
        <v>Goiânia</v>
      </c>
    </row>
    <row r="1311" spans="2:12" x14ac:dyDescent="0.3">
      <c r="B1311" s="1" t="s">
        <v>99</v>
      </c>
      <c r="C1311" s="4" t="str">
        <f>VLOOKUP(Tabela1[[#This Row],[Cliente]],'BASE DE CLIENTES'!A:E,2,0)</f>
        <v>Brasília</v>
      </c>
      <c r="D1311" s="1" t="str">
        <f>VLOOKUP(Tabela1[[#This Row],[Cliente]],'BASE DE CLIENTES'!A:C,3,0)</f>
        <v>DF</v>
      </c>
      <c r="E1311" s="4" t="str">
        <f>CONCATENATE(Tabela1[[#This Row],[CIDADE]],",",Tabela1[[#This Row],[UF]])</f>
        <v>Brasília,DF</v>
      </c>
      <c r="F1311" s="2">
        <v>45832</v>
      </c>
      <c r="G1311" s="17">
        <v>2690</v>
      </c>
      <c r="H1311" s="17">
        <v>3765</v>
      </c>
      <c r="I1311" s="6">
        <f>Tabela1[[#This Row],[Valor total]]-Tabela1[[#This Row],[Valor custo]]</f>
        <v>1075</v>
      </c>
      <c r="J1311" s="7">
        <f>Tabela1[[#This Row],[MARGEM BRUTA]]/Tabela1[[#This Row],[Valor total]]</f>
        <v>0.28552456839309431</v>
      </c>
      <c r="K1311" s="1" t="str">
        <f>VLOOKUP(Tabela1[[#This Row],[Cliente]],'BASE DE CLIENTES'!A:D,4,0)</f>
        <v>EMPRESA COM MAQUINA</v>
      </c>
      <c r="L1311" s="1" t="str">
        <f>VLOOKUP(Tabela1[[#This Row],[Cliente]],'BASE DE CLIENTES'!A:E,5,0)</f>
        <v>ARAPOANGA (PLANALTINA)</v>
      </c>
    </row>
    <row r="1312" spans="2:12" x14ac:dyDescent="0.3">
      <c r="B1312" s="1" t="s">
        <v>105</v>
      </c>
      <c r="C1312" s="4" t="str">
        <f>VLOOKUP(Tabela1[[#This Row],[Cliente]],'BASE DE CLIENTES'!A:E,2,0)</f>
        <v>Brasília</v>
      </c>
      <c r="D1312" s="1" t="str">
        <f>VLOOKUP(Tabela1[[#This Row],[Cliente]],'BASE DE CLIENTES'!A:C,3,0)</f>
        <v>DF</v>
      </c>
      <c r="E1312" s="4" t="str">
        <f>CONCATENATE(Tabela1[[#This Row],[CIDADE]],",",Tabela1[[#This Row],[UF]])</f>
        <v>Brasília,DF</v>
      </c>
      <c r="F1312" s="2">
        <v>45832</v>
      </c>
      <c r="G1312" s="17">
        <v>12453.7</v>
      </c>
      <c r="H1312" s="17">
        <v>18800</v>
      </c>
      <c r="I1312" s="6">
        <f>Tabela1[[#This Row],[Valor total]]-Tabela1[[#This Row],[Valor custo]]</f>
        <v>6346.2999999999993</v>
      </c>
      <c r="J1312" s="7">
        <f>Tabela1[[#This Row],[MARGEM BRUTA]]/Tabela1[[#This Row],[Valor total]]</f>
        <v>0.33756914893617018</v>
      </c>
      <c r="K1312" s="1" t="str">
        <f>VLOOKUP(Tabela1[[#This Row],[Cliente]],'BASE DE CLIENTES'!A:D,4,0)</f>
        <v>EMPRESA COM MAQUINA</v>
      </c>
      <c r="L1312" s="1" t="str">
        <f>VLOOKUP(Tabela1[[#This Row],[Cliente]],'BASE DE CLIENTES'!A:E,5,0)</f>
        <v>PLANALTINA</v>
      </c>
    </row>
    <row r="1313" spans="2:12" x14ac:dyDescent="0.3">
      <c r="B1313" s="1" t="s">
        <v>142</v>
      </c>
      <c r="C1313" s="4" t="str">
        <f>VLOOKUP(Tabela1[[#This Row],[Cliente]],'BASE DE CLIENTES'!A:E,2,0)</f>
        <v>Brasília</v>
      </c>
      <c r="D1313" s="1" t="str">
        <f>VLOOKUP(Tabela1[[#This Row],[Cliente]],'BASE DE CLIENTES'!A:C,3,0)</f>
        <v>DF</v>
      </c>
      <c r="E1313" s="4" t="str">
        <f>CONCATENATE(Tabela1[[#This Row],[CIDADE]],",",Tabela1[[#This Row],[UF]])</f>
        <v>Brasília,DF</v>
      </c>
      <c r="F1313" s="2">
        <v>45832</v>
      </c>
      <c r="G1313" s="17">
        <v>57.13</v>
      </c>
      <c r="H1313" s="17">
        <v>257.5</v>
      </c>
      <c r="I1313" s="6">
        <f>Tabela1[[#This Row],[Valor total]]-Tabela1[[#This Row],[Valor custo]]</f>
        <v>200.37</v>
      </c>
      <c r="J1313" s="7">
        <f>Tabela1[[#This Row],[MARGEM BRUTA]]/Tabela1[[#This Row],[Valor total]]</f>
        <v>0.7781359223300971</v>
      </c>
      <c r="K1313" s="1" t="str">
        <f>VLOOKUP(Tabela1[[#This Row],[Cliente]],'BASE DE CLIENTES'!A:D,4,0)</f>
        <v>OUTROS RAMOS</v>
      </c>
      <c r="L1313" s="1" t="str">
        <f>VLOOKUP(Tabela1[[#This Row],[Cliente]],'BASE DE CLIENTES'!A:E,5,0)</f>
        <v>RIACHO FUNDO II</v>
      </c>
    </row>
    <row r="1314" spans="2:12" x14ac:dyDescent="0.3">
      <c r="B1314" s="1" t="s">
        <v>141</v>
      </c>
      <c r="C1314" s="4" t="str">
        <f>VLOOKUP(Tabela1[[#This Row],[Cliente]],'BASE DE CLIENTES'!A:E,2,0)</f>
        <v>Brasília</v>
      </c>
      <c r="D1314" s="1" t="str">
        <f>VLOOKUP(Tabela1[[#This Row],[Cliente]],'BASE DE CLIENTES'!A:C,3,0)</f>
        <v>DF</v>
      </c>
      <c r="E1314" s="4" t="str">
        <f>CONCATENATE(Tabela1[[#This Row],[CIDADE]],",",Tabela1[[#This Row],[UF]])</f>
        <v>Brasília,DF</v>
      </c>
      <c r="F1314" s="2">
        <v>45832</v>
      </c>
      <c r="G1314" s="17">
        <v>4913</v>
      </c>
      <c r="H1314" s="17">
        <v>7545</v>
      </c>
      <c r="I1314" s="6">
        <f>Tabela1[[#This Row],[Valor total]]-Tabela1[[#This Row],[Valor custo]]</f>
        <v>2632</v>
      </c>
      <c r="J1314" s="7">
        <f>Tabela1[[#This Row],[MARGEM BRUTA]]/Tabela1[[#This Row],[Valor total]]</f>
        <v>0.34884029158383034</v>
      </c>
      <c r="K1314" s="1" t="str">
        <f>VLOOKUP(Tabela1[[#This Row],[Cliente]],'BASE DE CLIENTES'!A:D,4,0)</f>
        <v>EMPRESA COM MAQUINA</v>
      </c>
      <c r="L1314" s="1" t="str">
        <f>VLOOKUP(Tabela1[[#This Row],[Cliente]],'BASE DE CLIENTES'!A:E,5,0)</f>
        <v>TAGUATINGA</v>
      </c>
    </row>
    <row r="1315" spans="2:12" x14ac:dyDescent="0.3">
      <c r="B1315" s="1" t="s">
        <v>68</v>
      </c>
      <c r="C1315" s="4" t="str">
        <f>VLOOKUP(Tabela1[[#This Row],[Cliente]],'BASE DE CLIENTES'!A:E,2,0)</f>
        <v>Brasília</v>
      </c>
      <c r="D1315" s="1" t="str">
        <f>VLOOKUP(Tabela1[[#This Row],[Cliente]],'BASE DE CLIENTES'!A:C,3,0)</f>
        <v>DF</v>
      </c>
      <c r="E1315" s="4" t="str">
        <f>CONCATENATE(Tabela1[[#This Row],[CIDADE]],",",Tabela1[[#This Row],[UF]])</f>
        <v>Brasília,DF</v>
      </c>
      <c r="F1315" s="2">
        <v>45831</v>
      </c>
      <c r="G1315" s="17">
        <v>710</v>
      </c>
      <c r="H1315" s="17">
        <v>1215</v>
      </c>
      <c r="I1315" s="6">
        <f>Tabela1[[#This Row],[Valor total]]-Tabela1[[#This Row],[Valor custo]]</f>
        <v>505</v>
      </c>
      <c r="J1315" s="7">
        <f>Tabela1[[#This Row],[MARGEM BRUTA]]/Tabela1[[#This Row],[Valor total]]</f>
        <v>0.41563786008230452</v>
      </c>
      <c r="K1315" s="1" t="str">
        <f>VLOOKUP(Tabela1[[#This Row],[Cliente]],'BASE DE CLIENTES'!A:D,4,0)</f>
        <v>EMPRESA COM MAQUINA</v>
      </c>
      <c r="L1315" s="1" t="str">
        <f>VLOOKUP(Tabela1[[#This Row],[Cliente]],'BASE DE CLIENTES'!A:E,5,0)</f>
        <v>SAMAMBAIA SUL (SAMAMBAIA)</v>
      </c>
    </row>
    <row r="1316" spans="2:12" x14ac:dyDescent="0.3">
      <c r="B1316" s="1" t="s">
        <v>141</v>
      </c>
      <c r="C1316" s="4" t="str">
        <f>VLOOKUP(Tabela1[[#This Row],[Cliente]],'BASE DE CLIENTES'!A:E,2,0)</f>
        <v>Brasília</v>
      </c>
      <c r="D1316" s="1" t="str">
        <f>VLOOKUP(Tabela1[[#This Row],[Cliente]],'BASE DE CLIENTES'!A:C,3,0)</f>
        <v>DF</v>
      </c>
      <c r="E1316" s="4" t="str">
        <f>CONCATENATE(Tabela1[[#This Row],[CIDADE]],",",Tabela1[[#This Row],[UF]])</f>
        <v>Brasília,DF</v>
      </c>
      <c r="F1316" s="2">
        <v>45831</v>
      </c>
      <c r="G1316" s="17">
        <v>70</v>
      </c>
      <c r="H1316" s="17">
        <v>70</v>
      </c>
      <c r="I1316" s="6">
        <f>Tabela1[[#This Row],[Valor total]]-Tabela1[[#This Row],[Valor custo]]</f>
        <v>0</v>
      </c>
      <c r="J1316" s="7">
        <f>Tabela1[[#This Row],[MARGEM BRUTA]]/Tabela1[[#This Row],[Valor total]]</f>
        <v>0</v>
      </c>
      <c r="K1316" s="1" t="str">
        <f>VLOOKUP(Tabela1[[#This Row],[Cliente]],'BASE DE CLIENTES'!A:D,4,0)</f>
        <v>EMPRESA COM MAQUINA</v>
      </c>
      <c r="L1316" s="1" t="str">
        <f>VLOOKUP(Tabela1[[#This Row],[Cliente]],'BASE DE CLIENTES'!A:E,5,0)</f>
        <v>TAGUATINGA</v>
      </c>
    </row>
    <row r="1317" spans="2:12" x14ac:dyDescent="0.3">
      <c r="B1317" s="1" t="s">
        <v>59</v>
      </c>
      <c r="C1317" s="4" t="str">
        <f>VLOOKUP(Tabela1[[#This Row],[Cliente]],'BASE DE CLIENTES'!A:E,2,0)</f>
        <v>Brasília</v>
      </c>
      <c r="D1317" s="1" t="str">
        <f>VLOOKUP(Tabela1[[#This Row],[Cliente]],'BASE DE CLIENTES'!A:C,3,0)</f>
        <v>DF</v>
      </c>
      <c r="E1317" s="4" t="str">
        <f>CONCATENATE(Tabela1[[#This Row],[CIDADE]],",",Tabela1[[#This Row],[UF]])</f>
        <v>Brasília,DF</v>
      </c>
      <c r="F1317" s="2">
        <v>45831</v>
      </c>
      <c r="G1317" s="17">
        <v>0</v>
      </c>
      <c r="H1317" s="17">
        <v>500</v>
      </c>
      <c r="I1317" s="6">
        <f>Tabela1[[#This Row],[Valor total]]-Tabela1[[#This Row],[Valor custo]]</f>
        <v>500</v>
      </c>
      <c r="J1317" s="7">
        <f>Tabela1[[#This Row],[MARGEM BRUTA]]/Tabela1[[#This Row],[Valor total]]</f>
        <v>1</v>
      </c>
      <c r="K1317" s="1" t="str">
        <f>VLOOKUP(Tabela1[[#This Row],[Cliente]],'BASE DE CLIENTES'!A:D,4,0)</f>
        <v>EMPRESA COM MAQUINA</v>
      </c>
      <c r="L1317" s="1" t="str">
        <f>VLOOKUP(Tabela1[[#This Row],[Cliente]],'BASE DE CLIENTES'!A:E,5,0)</f>
        <v>SETOR HABITACIONAL VICENTE PIRES</v>
      </c>
    </row>
    <row r="1318" spans="2:12" x14ac:dyDescent="0.3">
      <c r="B1318" s="1" t="s">
        <v>207</v>
      </c>
      <c r="C1318" s="4" t="str">
        <f>VLOOKUP(Tabela1[[#This Row],[Cliente]],'BASE DE CLIENTES'!A:E,2,0)</f>
        <v>Brasília</v>
      </c>
      <c r="D1318" s="1" t="str">
        <f>VLOOKUP(Tabela1[[#This Row],[Cliente]],'BASE DE CLIENTES'!A:C,3,0)</f>
        <v>DF</v>
      </c>
      <c r="E1318" s="4" t="str">
        <f>CONCATENATE(Tabela1[[#This Row],[CIDADE]],",",Tabela1[[#This Row],[UF]])</f>
        <v>Brasília,DF</v>
      </c>
      <c r="F1318" s="2">
        <v>45779</v>
      </c>
      <c r="G1318" s="17">
        <v>5.2</v>
      </c>
      <c r="H1318" s="17">
        <v>494.4</v>
      </c>
      <c r="I1318" s="6">
        <f>Tabela1[[#This Row],[Valor total]]-Tabela1[[#This Row],[Valor custo]]</f>
        <v>489.2</v>
      </c>
      <c r="J1318" s="7">
        <f>Tabela1[[#This Row],[MARGEM BRUTA]]/Tabela1[[#This Row],[Valor total]]</f>
        <v>0.98948220064724923</v>
      </c>
      <c r="K1318" s="1" t="str">
        <f>VLOOKUP(Tabela1[[#This Row],[Cliente]],'BASE DE CLIENTES'!A:D,4,0)</f>
        <v>SEM CLASSIFICAÇÃO</v>
      </c>
      <c r="L1318" s="1" t="str">
        <f>VLOOKUP(Tabela1[[#This Row],[Cliente]],'BASE DE CLIENTES'!A:E,5,0)</f>
        <v>SETOR NORTE (BRAZLANDIA)</v>
      </c>
    </row>
    <row r="1319" spans="2:12" x14ac:dyDescent="0.3">
      <c r="B1319" s="1" t="s">
        <v>203</v>
      </c>
      <c r="C1319" s="4" t="str">
        <f>VLOOKUP(Tabela1[[#This Row],[Cliente]],'BASE DE CLIENTES'!A:E,2,0)</f>
        <v>Goiânia</v>
      </c>
      <c r="D1319" s="1" t="str">
        <f>VLOOKUP(Tabela1[[#This Row],[Cliente]],'BASE DE CLIENTES'!A:C,3,0)</f>
        <v>GO</v>
      </c>
      <c r="E1319" s="4" t="str">
        <f>CONCATENATE(Tabela1[[#This Row],[CIDADE]],",",Tabela1[[#This Row],[UF]])</f>
        <v>Goiânia,GO</v>
      </c>
      <c r="F1319" s="2">
        <v>45665</v>
      </c>
      <c r="G1319" s="17">
        <v>3652.15</v>
      </c>
      <c r="H1319" s="17">
        <v>5000</v>
      </c>
      <c r="I1319" s="6">
        <f>Tabela1[[#This Row],[Valor total]]-Tabela1[[#This Row],[Valor custo]]</f>
        <v>1347.85</v>
      </c>
      <c r="J1319" s="7">
        <f>Tabela1[[#This Row],[MARGEM BRUTA]]/Tabela1[[#This Row],[Valor total]]</f>
        <v>0.26956999999999998</v>
      </c>
      <c r="K1319" s="1" t="str">
        <f>VLOOKUP(Tabela1[[#This Row],[Cliente]],'BASE DE CLIENTES'!A:D,4,0)</f>
        <v>EMPRESA COM MAQUINA</v>
      </c>
      <c r="L1319" s="1" t="str">
        <f>VLOOKUP(Tabela1[[#This Row],[Cliente]],'BASE DE CLIENTES'!A:E,5,0)</f>
        <v>Goiânia</v>
      </c>
    </row>
    <row r="1320" spans="2:12" x14ac:dyDescent="0.3">
      <c r="B1320" s="1" t="s">
        <v>127</v>
      </c>
      <c r="C1320" s="4" t="str">
        <f>VLOOKUP(Tabela1[[#This Row],[Cliente]],'BASE DE CLIENTES'!A:E,2,0)</f>
        <v>Brasília</v>
      </c>
      <c r="D1320" s="1" t="str">
        <f>VLOOKUP(Tabela1[[#This Row],[Cliente]],'BASE DE CLIENTES'!A:C,3,0)</f>
        <v>DF</v>
      </c>
      <c r="E1320" s="4" t="str">
        <f>CONCATENATE(Tabela1[[#This Row],[CIDADE]],",",Tabela1[[#This Row],[UF]])</f>
        <v>Brasília,DF</v>
      </c>
      <c r="F1320" s="2">
        <v>45831</v>
      </c>
      <c r="G1320" s="17">
        <v>75</v>
      </c>
      <c r="H1320" s="17">
        <v>90</v>
      </c>
      <c r="I1320" s="6">
        <f>Tabela1[[#This Row],[Valor total]]-Tabela1[[#This Row],[Valor custo]]</f>
        <v>15</v>
      </c>
      <c r="J1320" s="7">
        <f>Tabela1[[#This Row],[MARGEM BRUTA]]/Tabela1[[#This Row],[Valor total]]</f>
        <v>0.16666666666666666</v>
      </c>
      <c r="K1320" s="1" t="str">
        <f>VLOOKUP(Tabela1[[#This Row],[Cliente]],'BASE DE CLIENTES'!A:D,4,0)</f>
        <v>EMPRESA COM MAQUINA</v>
      </c>
      <c r="L1320" s="1" t="str">
        <f>VLOOKUP(Tabela1[[#This Row],[Cliente]],'BASE DE CLIENTES'!A:E,5,0)</f>
        <v>CEILANDIA SUL (CEILANDIA)</v>
      </c>
    </row>
    <row r="1321" spans="2:12" x14ac:dyDescent="0.3">
      <c r="B1321" s="1" t="s">
        <v>38</v>
      </c>
      <c r="C1321" s="4" t="str">
        <f>VLOOKUP(Tabela1[[#This Row],[Cliente]],'BASE DE CLIENTES'!A:E,2,0)</f>
        <v>Brasília</v>
      </c>
      <c r="D1321" s="1" t="str">
        <f>VLOOKUP(Tabela1[[#This Row],[Cliente]],'BASE DE CLIENTES'!A:C,3,0)</f>
        <v>DF</v>
      </c>
      <c r="E1321" s="4" t="str">
        <f>CONCATENATE(Tabela1[[#This Row],[CIDADE]],",",Tabela1[[#This Row],[UF]])</f>
        <v>Brasília,DF</v>
      </c>
      <c r="F1321" s="2">
        <v>45831</v>
      </c>
      <c r="G1321" s="17">
        <v>147.63</v>
      </c>
      <c r="H1321" s="17">
        <v>240</v>
      </c>
      <c r="I1321" s="6">
        <f>Tabela1[[#This Row],[Valor total]]-Tabela1[[#This Row],[Valor custo]]</f>
        <v>92.37</v>
      </c>
      <c r="J1321" s="7">
        <f>Tabela1[[#This Row],[MARGEM BRUTA]]/Tabela1[[#This Row],[Valor total]]</f>
        <v>0.38487500000000002</v>
      </c>
      <c r="K1321" s="1" t="str">
        <f>VLOOKUP(Tabela1[[#This Row],[Cliente]],'BASE DE CLIENTES'!A:D,4,0)</f>
        <v>EMPRESA SEM MAQUINA</v>
      </c>
      <c r="L1321" s="1" t="str">
        <f>VLOOKUP(Tabela1[[#This Row],[Cliente]],'BASE DE CLIENTES'!A:E,5,0)</f>
        <v>PONTE ALTA NORTE (GAMA)</v>
      </c>
    </row>
    <row r="1322" spans="2:12" x14ac:dyDescent="0.3">
      <c r="B1322" s="1" t="s">
        <v>208</v>
      </c>
      <c r="C1322" s="4" t="str">
        <f>VLOOKUP(Tabela1[[#This Row],[Cliente]],'BASE DE CLIENTES'!A:E,2,0)</f>
        <v>Brasília</v>
      </c>
      <c r="D1322" s="1" t="str">
        <f>VLOOKUP(Tabela1[[#This Row],[Cliente]],'BASE DE CLIENTES'!A:C,3,0)</f>
        <v>DF</v>
      </c>
      <c r="E1322" s="4" t="str">
        <f>CONCATENATE(Tabela1[[#This Row],[CIDADE]],",",Tabela1[[#This Row],[UF]])</f>
        <v>Brasília,DF</v>
      </c>
      <c r="F1322" s="2">
        <v>45831</v>
      </c>
      <c r="G1322" s="17">
        <v>293.13</v>
      </c>
      <c r="H1322" s="17">
        <v>470</v>
      </c>
      <c r="I1322" s="6">
        <f>Tabela1[[#This Row],[Valor total]]-Tabela1[[#This Row],[Valor custo]]</f>
        <v>176.87</v>
      </c>
      <c r="J1322" s="7">
        <f>Tabela1[[#This Row],[MARGEM BRUTA]]/Tabela1[[#This Row],[Valor total]]</f>
        <v>0.37631914893617024</v>
      </c>
      <c r="K1322" s="1" t="str">
        <f>VLOOKUP(Tabela1[[#This Row],[Cliente]],'BASE DE CLIENTES'!A:D,4,0)</f>
        <v>SEM CLASSIFICAÇÃO</v>
      </c>
      <c r="L1322" s="1" t="str">
        <f>VLOOKUP(Tabela1[[#This Row],[Cliente]],'BASE DE CLIENTES'!A:E,5,0)</f>
        <v>Riacho Fundo I</v>
      </c>
    </row>
    <row r="1323" spans="2:12" x14ac:dyDescent="0.3">
      <c r="B1323" s="1" t="s">
        <v>209</v>
      </c>
      <c r="C1323" s="4" t="str">
        <f>VLOOKUP(Tabela1[[#This Row],[Cliente]],'BASE DE CLIENTES'!A:E,2,0)</f>
        <v>Brasília</v>
      </c>
      <c r="D1323" s="1" t="str">
        <f>VLOOKUP(Tabela1[[#This Row],[Cliente]],'BASE DE CLIENTES'!A:C,3,0)</f>
        <v>DF</v>
      </c>
      <c r="E1323" s="4" t="str">
        <f>CONCATENATE(Tabela1[[#This Row],[CIDADE]],",",Tabela1[[#This Row],[UF]])</f>
        <v>Brasília,DF</v>
      </c>
      <c r="F1323" s="2">
        <v>45831</v>
      </c>
      <c r="G1323" s="17">
        <v>7.9</v>
      </c>
      <c r="H1323" s="17">
        <v>35</v>
      </c>
      <c r="I1323" s="6">
        <f>Tabela1[[#This Row],[Valor total]]-Tabela1[[#This Row],[Valor custo]]</f>
        <v>27.1</v>
      </c>
      <c r="J1323" s="7">
        <f>Tabela1[[#This Row],[MARGEM BRUTA]]/Tabela1[[#This Row],[Valor total]]</f>
        <v>0.77428571428571435</v>
      </c>
      <c r="K1323" s="1" t="str">
        <f>VLOOKUP(Tabela1[[#This Row],[Cliente]],'BASE DE CLIENTES'!A:D,4,0)</f>
        <v>OUTROS RAMOS</v>
      </c>
      <c r="L1323" s="1" t="str">
        <f>VLOOKUP(Tabela1[[#This Row],[Cliente]],'BASE DE CLIENTES'!A:E,5,0)</f>
        <v>TAGUATINGA NORTE (TAGUATINGA)</v>
      </c>
    </row>
    <row r="1324" spans="2:12" x14ac:dyDescent="0.3">
      <c r="B1324" s="1" t="s">
        <v>59</v>
      </c>
      <c r="C1324" s="4" t="str">
        <f>VLOOKUP(Tabela1[[#This Row],[Cliente]],'BASE DE CLIENTES'!A:E,2,0)</f>
        <v>Brasília</v>
      </c>
      <c r="D1324" s="1" t="str">
        <f>VLOOKUP(Tabela1[[#This Row],[Cliente]],'BASE DE CLIENTES'!A:C,3,0)</f>
        <v>DF</v>
      </c>
      <c r="E1324" s="4" t="str">
        <f>CONCATENATE(Tabela1[[#This Row],[CIDADE]],",",Tabela1[[#This Row],[UF]])</f>
        <v>Brasília,DF</v>
      </c>
      <c r="F1324" s="2">
        <v>45831</v>
      </c>
      <c r="G1324" s="17">
        <v>10103.790000000001</v>
      </c>
      <c r="H1324" s="17">
        <v>14340</v>
      </c>
      <c r="I1324" s="6">
        <f>Tabela1[[#This Row],[Valor total]]-Tabela1[[#This Row],[Valor custo]]</f>
        <v>4236.2099999999991</v>
      </c>
      <c r="J1324" s="7">
        <f>Tabela1[[#This Row],[MARGEM BRUTA]]/Tabela1[[#This Row],[Valor total]]</f>
        <v>0.29541213389121335</v>
      </c>
      <c r="K1324" s="1" t="str">
        <f>VLOOKUP(Tabela1[[#This Row],[Cliente]],'BASE DE CLIENTES'!A:D,4,0)</f>
        <v>EMPRESA COM MAQUINA</v>
      </c>
      <c r="L1324" s="1" t="str">
        <f>VLOOKUP(Tabela1[[#This Row],[Cliente]],'BASE DE CLIENTES'!A:E,5,0)</f>
        <v>SETOR HABITACIONAL VICENTE PIRES</v>
      </c>
    </row>
    <row r="1325" spans="2:12" x14ac:dyDescent="0.3">
      <c r="B1325" s="1" t="s">
        <v>210</v>
      </c>
      <c r="C1325" s="4" t="str">
        <f>VLOOKUP(Tabela1[[#This Row],[Cliente]],'BASE DE CLIENTES'!A:E,2,0)</f>
        <v>Brasília</v>
      </c>
      <c r="D1325" s="1" t="str">
        <f>VLOOKUP(Tabela1[[#This Row],[Cliente]],'BASE DE CLIENTES'!A:C,3,0)</f>
        <v>DF</v>
      </c>
      <c r="E1325" s="4" t="str">
        <f>CONCATENATE(Tabela1[[#This Row],[CIDADE]],",",Tabela1[[#This Row],[UF]])</f>
        <v>Brasília,DF</v>
      </c>
      <c r="F1325" s="2">
        <v>45867</v>
      </c>
      <c r="G1325" s="17">
        <v>293.13</v>
      </c>
      <c r="H1325" s="17">
        <v>467</v>
      </c>
      <c r="I1325" s="6">
        <f>Tabela1[[#This Row],[Valor total]]-Tabela1[[#This Row],[Valor custo]]</f>
        <v>173.87</v>
      </c>
      <c r="J1325" s="7">
        <f>Tabela1[[#This Row],[MARGEM BRUTA]]/Tabela1[[#This Row],[Valor total]]</f>
        <v>0.37231263383297647</v>
      </c>
      <c r="K1325" s="1" t="str">
        <f>VLOOKUP(Tabela1[[#This Row],[Cliente]],'BASE DE CLIENTES'!A:D,4,0)</f>
        <v>SEM CLASSIFICAÇÃO</v>
      </c>
      <c r="L1325" s="1" t="str">
        <f>VLOOKUP(Tabela1[[#This Row],[Cliente]],'BASE DE CLIENTES'!A:E,5,0)</f>
        <v>ÁGUAS CLARAS</v>
      </c>
    </row>
    <row r="1326" spans="2:12" x14ac:dyDescent="0.3">
      <c r="B1326" s="1" t="s">
        <v>193</v>
      </c>
      <c r="C1326" s="4" t="str">
        <f>VLOOKUP(Tabela1[[#This Row],[Cliente]],'BASE DE CLIENTES'!A:E,2,0)</f>
        <v>Goiânia</v>
      </c>
      <c r="D1326" s="1" t="str">
        <f>VLOOKUP(Tabela1[[#This Row],[Cliente]],'BASE DE CLIENTES'!A:C,3,0)</f>
        <v>GO</v>
      </c>
      <c r="E1326" s="4" t="str">
        <f>CONCATENATE(Tabela1[[#This Row],[CIDADE]],",",Tabela1[[#This Row],[UF]])</f>
        <v>Goiânia,GO</v>
      </c>
      <c r="F1326" s="2">
        <v>45665</v>
      </c>
      <c r="G1326" s="17">
        <v>7927.12</v>
      </c>
      <c r="H1326" s="17">
        <v>11070</v>
      </c>
      <c r="I1326" s="6">
        <f>Tabela1[[#This Row],[Valor total]]-Tabela1[[#This Row],[Valor custo]]</f>
        <v>3142.88</v>
      </c>
      <c r="J1326" s="7">
        <f>Tabela1[[#This Row],[MARGEM BRUTA]]/Tabela1[[#This Row],[Valor total]]</f>
        <v>0.28390966576332433</v>
      </c>
      <c r="K1326" s="1" t="str">
        <f>VLOOKUP(Tabela1[[#This Row],[Cliente]],'BASE DE CLIENTES'!A:D,4,0)</f>
        <v>SEM CLASSIFICAÇÃO</v>
      </c>
      <c r="L1326" s="1" t="str">
        <f>VLOOKUP(Tabela1[[#This Row],[Cliente]],'BASE DE CLIENTES'!A:E,5,0)</f>
        <v>Goiânia</v>
      </c>
    </row>
    <row r="1327" spans="2:12" x14ac:dyDescent="0.3">
      <c r="B1327" s="1" t="s">
        <v>147</v>
      </c>
      <c r="C1327" s="4" t="str">
        <f>VLOOKUP(Tabela1[[#This Row],[Cliente]],'BASE DE CLIENTES'!A:E,2,0)</f>
        <v>Brasília</v>
      </c>
      <c r="D1327" s="1" t="str">
        <f>VLOOKUP(Tabela1[[#This Row],[Cliente]],'BASE DE CLIENTES'!A:C,3,0)</f>
        <v>DF</v>
      </c>
      <c r="E1327" s="4" t="str">
        <f>CONCATENATE(Tabela1[[#This Row],[CIDADE]],",",Tabela1[[#This Row],[UF]])</f>
        <v>Brasília,DF</v>
      </c>
      <c r="F1327" s="2">
        <v>45783</v>
      </c>
      <c r="G1327" s="17">
        <v>118.5</v>
      </c>
      <c r="H1327" s="17">
        <v>450</v>
      </c>
      <c r="I1327" s="6">
        <f>Tabela1[[#This Row],[Valor total]]-Tabela1[[#This Row],[Valor custo]]</f>
        <v>331.5</v>
      </c>
      <c r="J1327" s="7">
        <f>Tabela1[[#This Row],[MARGEM BRUTA]]/Tabela1[[#This Row],[Valor total]]</f>
        <v>0.73666666666666669</v>
      </c>
      <c r="K1327" s="1" t="str">
        <f>VLOOKUP(Tabela1[[#This Row],[Cliente]],'BASE DE CLIENTES'!A:D,4,0)</f>
        <v>SEM CLASSIFICAÇÃO</v>
      </c>
      <c r="L1327" s="1" t="str">
        <f>VLOOKUP(Tabela1[[#This Row],[Cliente]],'BASE DE CLIENTES'!A:E,5,0)</f>
        <v>AREAL (AGUAS CLARAS)</v>
      </c>
    </row>
    <row r="1328" spans="2:12" x14ac:dyDescent="0.3">
      <c r="B1328" s="1" t="s">
        <v>199</v>
      </c>
      <c r="C1328" s="4" t="str">
        <f>VLOOKUP(Tabela1[[#This Row],[Cliente]],'BASE DE CLIENTES'!A:E,2,0)</f>
        <v>Goiânia</v>
      </c>
      <c r="D1328" s="1" t="str">
        <f>VLOOKUP(Tabela1[[#This Row],[Cliente]],'BASE DE CLIENTES'!A:C,3,0)</f>
        <v>GO</v>
      </c>
      <c r="E1328" s="4" t="str">
        <f>CONCATENATE(Tabela1[[#This Row],[CIDADE]],",",Tabela1[[#This Row],[UF]])</f>
        <v>Goiânia,GO</v>
      </c>
      <c r="F1328" s="2">
        <v>45665</v>
      </c>
      <c r="G1328" s="17">
        <v>1981.91</v>
      </c>
      <c r="H1328" s="17">
        <v>2980</v>
      </c>
      <c r="I1328" s="6">
        <f>Tabela1[[#This Row],[Valor total]]-Tabela1[[#This Row],[Valor custo]]</f>
        <v>998.08999999999992</v>
      </c>
      <c r="J1328" s="7">
        <f>Tabela1[[#This Row],[MARGEM BRUTA]]/Tabela1[[#This Row],[Valor total]]</f>
        <v>0.33492953020134225</v>
      </c>
      <c r="K1328" s="1" t="str">
        <f>VLOOKUP(Tabela1[[#This Row],[Cliente]],'BASE DE CLIENTES'!A:D,4,0)</f>
        <v>EMPRESA COM MAQUINA</v>
      </c>
      <c r="L1328" s="1" t="str">
        <f>VLOOKUP(Tabela1[[#This Row],[Cliente]],'BASE DE CLIENTES'!A:E,5,0)</f>
        <v>Goiânia</v>
      </c>
    </row>
    <row r="1329" spans="2:12" x14ac:dyDescent="0.3">
      <c r="B1329" s="1" t="s">
        <v>199</v>
      </c>
      <c r="C1329" s="4" t="str">
        <f>VLOOKUP(Tabela1[[#This Row],[Cliente]],'BASE DE CLIENTES'!A:E,2,0)</f>
        <v>Goiânia</v>
      </c>
      <c r="D1329" s="1" t="str">
        <f>VLOOKUP(Tabela1[[#This Row],[Cliente]],'BASE DE CLIENTES'!A:C,3,0)</f>
        <v>GO</v>
      </c>
      <c r="E1329" s="4" t="str">
        <f>CONCATENATE(Tabela1[[#This Row],[CIDADE]],",",Tabela1[[#This Row],[UF]])</f>
        <v>Goiânia,GO</v>
      </c>
      <c r="F1329" s="2">
        <v>45664</v>
      </c>
      <c r="G1329" s="17">
        <v>3137.7</v>
      </c>
      <c r="H1329" s="17">
        <v>4320</v>
      </c>
      <c r="I1329" s="6">
        <f>Tabela1[[#This Row],[Valor total]]-Tabela1[[#This Row],[Valor custo]]</f>
        <v>1182.3000000000002</v>
      </c>
      <c r="J1329" s="7">
        <f>Tabela1[[#This Row],[MARGEM BRUTA]]/Tabela1[[#This Row],[Valor total]]</f>
        <v>0.27368055555555559</v>
      </c>
      <c r="K1329" s="1" t="str">
        <f>VLOOKUP(Tabela1[[#This Row],[Cliente]],'BASE DE CLIENTES'!A:D,4,0)</f>
        <v>EMPRESA COM MAQUINA</v>
      </c>
      <c r="L1329" s="1" t="str">
        <f>VLOOKUP(Tabela1[[#This Row],[Cliente]],'BASE DE CLIENTES'!A:E,5,0)</f>
        <v>Goiânia</v>
      </c>
    </row>
    <row r="1330" spans="2:12" x14ac:dyDescent="0.3">
      <c r="B1330" s="1" t="s">
        <v>211</v>
      </c>
      <c r="C1330" s="4" t="str">
        <f>VLOOKUP(Tabela1[[#This Row],[Cliente]],'BASE DE CLIENTES'!A:E,2,0)</f>
        <v>Goiânia</v>
      </c>
      <c r="D1330" s="1" t="str">
        <f>VLOOKUP(Tabela1[[#This Row],[Cliente]],'BASE DE CLIENTES'!A:C,3,0)</f>
        <v>GO</v>
      </c>
      <c r="E1330" s="4" t="str">
        <f>CONCATENATE(Tabela1[[#This Row],[CIDADE]],",",Tabela1[[#This Row],[UF]])</f>
        <v>Goiânia,GO</v>
      </c>
      <c r="F1330" s="2">
        <v>45663</v>
      </c>
      <c r="G1330" s="17">
        <v>718.57</v>
      </c>
      <c r="H1330" s="17">
        <v>1350</v>
      </c>
      <c r="I1330" s="6">
        <f>Tabela1[[#This Row],[Valor total]]-Tabela1[[#This Row],[Valor custo]]</f>
        <v>631.42999999999995</v>
      </c>
      <c r="J1330" s="7">
        <f>Tabela1[[#This Row],[MARGEM BRUTA]]/Tabela1[[#This Row],[Valor total]]</f>
        <v>0.46772592592592588</v>
      </c>
      <c r="K1330" s="1" t="str">
        <f>VLOOKUP(Tabela1[[#This Row],[Cliente]],'BASE DE CLIENTES'!A:D,4,0)</f>
        <v>EMPRESA COM MAQUINA</v>
      </c>
      <c r="L1330" s="1" t="str">
        <f>VLOOKUP(Tabela1[[#This Row],[Cliente]],'BASE DE CLIENTES'!A:E,5,0)</f>
        <v>Goiânia</v>
      </c>
    </row>
    <row r="1331" spans="2:12" x14ac:dyDescent="0.3">
      <c r="B1331" s="1" t="s">
        <v>197</v>
      </c>
      <c r="C1331" s="4" t="str">
        <f>VLOOKUP(Tabela1[[#This Row],[Cliente]],'BASE DE CLIENTES'!A:E,2,0)</f>
        <v>Goiânia</v>
      </c>
      <c r="D1331" s="1" t="str">
        <f>VLOOKUP(Tabela1[[#This Row],[Cliente]],'BASE DE CLIENTES'!A:C,3,0)</f>
        <v>GO</v>
      </c>
      <c r="E1331" s="4" t="str">
        <f>CONCATENATE(Tabela1[[#This Row],[CIDADE]],",",Tabela1[[#This Row],[UF]])</f>
        <v>Goiânia,GO</v>
      </c>
      <c r="F1331" s="2">
        <v>45663</v>
      </c>
      <c r="G1331" s="17">
        <v>10307.26</v>
      </c>
      <c r="H1331" s="17">
        <v>14800</v>
      </c>
      <c r="I1331" s="6">
        <f>Tabela1[[#This Row],[Valor total]]-Tabela1[[#This Row],[Valor custo]]</f>
        <v>4492.74</v>
      </c>
      <c r="J1331" s="7">
        <f>Tabela1[[#This Row],[MARGEM BRUTA]]/Tabela1[[#This Row],[Valor total]]</f>
        <v>0.30356351351351352</v>
      </c>
      <c r="K1331" s="1" t="str">
        <f>VLOOKUP(Tabela1[[#This Row],[Cliente]],'BASE DE CLIENTES'!A:D,4,0)</f>
        <v>EMPRESA COM MAQUINA</v>
      </c>
      <c r="L1331" s="1" t="str">
        <f>VLOOKUP(Tabela1[[#This Row],[Cliente]],'BASE DE CLIENTES'!A:E,5,0)</f>
        <v>Goiânia</v>
      </c>
    </row>
    <row r="1332" spans="2:12" x14ac:dyDescent="0.3">
      <c r="B1332" s="1" t="s">
        <v>212</v>
      </c>
      <c r="C1332" s="4" t="str">
        <f>VLOOKUP(Tabela1[[#This Row],[Cliente]],'BASE DE CLIENTES'!A:E,2,0)</f>
        <v>Brasília</v>
      </c>
      <c r="D1332" s="1" t="str">
        <f>VLOOKUP(Tabela1[[#This Row],[Cliente]],'BASE DE CLIENTES'!A:C,3,0)</f>
        <v>DF</v>
      </c>
      <c r="E1332" s="4" t="str">
        <f>CONCATENATE(Tabela1[[#This Row],[CIDADE]],",",Tabela1[[#This Row],[UF]])</f>
        <v>Brasília,DF</v>
      </c>
      <c r="F1332" s="2">
        <v>45864</v>
      </c>
      <c r="G1332" s="17">
        <v>293.13</v>
      </c>
      <c r="H1332" s="17">
        <v>450</v>
      </c>
      <c r="I1332" s="6">
        <f>Tabela1[[#This Row],[Valor total]]-Tabela1[[#This Row],[Valor custo]]</f>
        <v>156.87</v>
      </c>
      <c r="J1332" s="7">
        <f>Tabela1[[#This Row],[MARGEM BRUTA]]/Tabela1[[#This Row],[Valor total]]</f>
        <v>0.34860000000000002</v>
      </c>
      <c r="K1332" s="1" t="str">
        <f>VLOOKUP(Tabela1[[#This Row],[Cliente]],'BASE DE CLIENTES'!A:D,4,0)</f>
        <v>SEM CLASSIFICAÇÃO</v>
      </c>
      <c r="L1332" s="1" t="str">
        <f>VLOOKUP(Tabela1[[#This Row],[Cliente]],'BASE DE CLIENTES'!A:E,5,0)</f>
        <v>ÁGUAS CLARAS</v>
      </c>
    </row>
    <row r="1333" spans="2:12" x14ac:dyDescent="0.3">
      <c r="B1333" s="1" t="s">
        <v>52</v>
      </c>
      <c r="C1333" s="4" t="str">
        <f>VLOOKUP(Tabela1[[#This Row],[Cliente]],'BASE DE CLIENTES'!A:E,2,0)</f>
        <v>Brasília</v>
      </c>
      <c r="D1333" s="1" t="str">
        <f>VLOOKUP(Tabela1[[#This Row],[Cliente]],'BASE DE CLIENTES'!A:C,3,0)</f>
        <v>DF</v>
      </c>
      <c r="E1333" s="4" t="str">
        <f>CONCATENATE(Tabela1[[#This Row],[CIDADE]],",",Tabela1[[#This Row],[UF]])</f>
        <v>Brasília,DF</v>
      </c>
      <c r="F1333" s="2">
        <v>45831</v>
      </c>
      <c r="G1333" s="17">
        <v>409.87</v>
      </c>
      <c r="H1333" s="17">
        <v>585</v>
      </c>
      <c r="I1333" s="6">
        <f>Tabela1[[#This Row],[Valor total]]-Tabela1[[#This Row],[Valor custo]]</f>
        <v>175.13</v>
      </c>
      <c r="J1333" s="7">
        <f>Tabela1[[#This Row],[MARGEM BRUTA]]/Tabela1[[#This Row],[Valor total]]</f>
        <v>0.29936752136752137</v>
      </c>
      <c r="K1333" s="1" t="str">
        <f>VLOOKUP(Tabela1[[#This Row],[Cliente]],'BASE DE CLIENTES'!A:D,4,0)</f>
        <v>SERRALHEIRO</v>
      </c>
      <c r="L1333" s="1" t="str">
        <f>VLOOKUP(Tabela1[[#This Row],[Cliente]],'BASE DE CLIENTES'!A:E,5,0)</f>
        <v>Ceilândia Sul (Ceilândia)</v>
      </c>
    </row>
    <row r="1334" spans="2:12" x14ac:dyDescent="0.3">
      <c r="B1334" s="1" t="s">
        <v>38</v>
      </c>
      <c r="C1334" s="4" t="str">
        <f>VLOOKUP(Tabela1[[#This Row],[Cliente]],'BASE DE CLIENTES'!A:E,2,0)</f>
        <v>Brasília</v>
      </c>
      <c r="D1334" s="1" t="str">
        <f>VLOOKUP(Tabela1[[#This Row],[Cliente]],'BASE DE CLIENTES'!A:C,3,0)</f>
        <v>DF</v>
      </c>
      <c r="E1334" s="4" t="str">
        <f>CONCATENATE(Tabela1[[#This Row],[CIDADE]],",",Tabela1[[#This Row],[UF]])</f>
        <v>Brasília,DF</v>
      </c>
      <c r="F1334" s="2">
        <v>45831</v>
      </c>
      <c r="G1334" s="17">
        <v>1425.46</v>
      </c>
      <c r="H1334" s="17">
        <v>2479</v>
      </c>
      <c r="I1334" s="6">
        <f>Tabela1[[#This Row],[Valor total]]-Tabela1[[#This Row],[Valor custo]]</f>
        <v>1053.54</v>
      </c>
      <c r="J1334" s="7">
        <f>Tabela1[[#This Row],[MARGEM BRUTA]]/Tabela1[[#This Row],[Valor total]]</f>
        <v>0.42498588140379184</v>
      </c>
      <c r="K1334" s="1" t="str">
        <f>VLOOKUP(Tabela1[[#This Row],[Cliente]],'BASE DE CLIENTES'!A:D,4,0)</f>
        <v>EMPRESA SEM MAQUINA</v>
      </c>
      <c r="L1334" s="1" t="str">
        <f>VLOOKUP(Tabela1[[#This Row],[Cliente]],'BASE DE CLIENTES'!A:E,5,0)</f>
        <v>PONTE ALTA NORTE (GAMA)</v>
      </c>
    </row>
    <row r="1335" spans="2:12" x14ac:dyDescent="0.3">
      <c r="B1335" s="1" t="s">
        <v>15</v>
      </c>
      <c r="C1335" s="4" t="str">
        <f>VLOOKUP(Tabela1[[#This Row],[Cliente]],'BASE DE CLIENTES'!A:E,2,0)</f>
        <v>Brasília</v>
      </c>
      <c r="D1335" s="1" t="str">
        <f>VLOOKUP(Tabela1[[#This Row],[Cliente]],'BASE DE CLIENTES'!A:C,3,0)</f>
        <v>DF</v>
      </c>
      <c r="E1335" s="4" t="str">
        <f>CONCATENATE(Tabela1[[#This Row],[CIDADE]],",",Tabela1[[#This Row],[UF]])</f>
        <v>Brasília,DF</v>
      </c>
      <c r="F1335" s="2">
        <v>45831</v>
      </c>
      <c r="G1335" s="17">
        <v>710</v>
      </c>
      <c r="H1335" s="17">
        <v>1250</v>
      </c>
      <c r="I1335" s="6">
        <f>Tabela1[[#This Row],[Valor total]]-Tabela1[[#This Row],[Valor custo]]</f>
        <v>540</v>
      </c>
      <c r="J1335" s="7">
        <f>Tabela1[[#This Row],[MARGEM BRUTA]]/Tabela1[[#This Row],[Valor total]]</f>
        <v>0.432</v>
      </c>
      <c r="K1335" s="1" t="str">
        <f>VLOOKUP(Tabela1[[#This Row],[Cliente]],'BASE DE CLIENTES'!A:D,4,0)</f>
        <v>SERRALHEIRO</v>
      </c>
      <c r="L1335" s="1" t="str">
        <f>VLOOKUP(Tabela1[[#This Row],[Cliente]],'BASE DE CLIENTES'!A:E,5,0)</f>
        <v>SETOR HABITACIONAL VICENTE PIRES</v>
      </c>
    </row>
    <row r="1336" spans="2:12" x14ac:dyDescent="0.3">
      <c r="B1336" s="1" t="s">
        <v>70</v>
      </c>
      <c r="C1336" s="4" t="str">
        <f>VLOOKUP(Tabela1[[#This Row],[Cliente]],'BASE DE CLIENTES'!A:E,2,0)</f>
        <v>Brasília</v>
      </c>
      <c r="D1336" s="1" t="str">
        <f>VLOOKUP(Tabela1[[#This Row],[Cliente]],'BASE DE CLIENTES'!A:C,3,0)</f>
        <v>DF</v>
      </c>
      <c r="E1336" s="4" t="str">
        <f>CONCATENATE(Tabela1[[#This Row],[CIDADE]],",",Tabela1[[#This Row],[UF]])</f>
        <v>Brasília,DF</v>
      </c>
      <c r="F1336" s="2">
        <v>45831</v>
      </c>
      <c r="G1336" s="17">
        <v>1018</v>
      </c>
      <c r="H1336" s="17">
        <v>1560</v>
      </c>
      <c r="I1336" s="6">
        <f>Tabela1[[#This Row],[Valor total]]-Tabela1[[#This Row],[Valor custo]]</f>
        <v>542</v>
      </c>
      <c r="J1336" s="7">
        <f>Tabela1[[#This Row],[MARGEM BRUTA]]/Tabela1[[#This Row],[Valor total]]</f>
        <v>0.34743589743589742</v>
      </c>
      <c r="K1336" s="1" t="str">
        <f>VLOOKUP(Tabela1[[#This Row],[Cliente]],'BASE DE CLIENTES'!A:D,4,0)</f>
        <v>EMPRESA COM MAQUINA</v>
      </c>
      <c r="L1336" s="1" t="str">
        <f>VLOOKUP(Tabela1[[#This Row],[Cliente]],'BASE DE CLIENTES'!A:E,5,0)</f>
        <v>TAGUATINGA NORTE (TAGUATINGA)</v>
      </c>
    </row>
    <row r="1337" spans="2:12" x14ac:dyDescent="0.3">
      <c r="B1337" s="1" t="s">
        <v>55</v>
      </c>
      <c r="C1337" s="4" t="str">
        <f>VLOOKUP(Tabela1[[#This Row],[Cliente]],'BASE DE CLIENTES'!A:E,2,0)</f>
        <v>Brasília</v>
      </c>
      <c r="D1337" s="1" t="str">
        <f>VLOOKUP(Tabela1[[#This Row],[Cliente]],'BASE DE CLIENTES'!A:C,3,0)</f>
        <v>DF</v>
      </c>
      <c r="E1337" s="4" t="str">
        <f>CONCATENATE(Tabela1[[#This Row],[CIDADE]],",",Tabela1[[#This Row],[UF]])</f>
        <v>Brasília,DF</v>
      </c>
      <c r="F1337" s="2">
        <v>45831</v>
      </c>
      <c r="G1337" s="17">
        <v>2787</v>
      </c>
      <c r="H1337" s="17">
        <v>4500</v>
      </c>
      <c r="I1337" s="6">
        <f>Tabela1[[#This Row],[Valor total]]-Tabela1[[#This Row],[Valor custo]]</f>
        <v>1713</v>
      </c>
      <c r="J1337" s="7">
        <f>Tabela1[[#This Row],[MARGEM BRUTA]]/Tabela1[[#This Row],[Valor total]]</f>
        <v>0.38066666666666665</v>
      </c>
      <c r="K1337" s="1" t="str">
        <f>VLOOKUP(Tabela1[[#This Row],[Cliente]],'BASE DE CLIENTES'!A:D,4,0)</f>
        <v>EMPRESA SEM MAQUINA</v>
      </c>
      <c r="L1337" s="1" t="str">
        <f>VLOOKUP(Tabela1[[#This Row],[Cliente]],'BASE DE CLIENTES'!A:E,5,0)</f>
        <v>RECANTO DAS EMAS</v>
      </c>
    </row>
    <row r="1338" spans="2:12" x14ac:dyDescent="0.3">
      <c r="B1338" s="1" t="s">
        <v>106</v>
      </c>
      <c r="C1338" s="4" t="str">
        <f>VLOOKUP(Tabela1[[#This Row],[Cliente]],'BASE DE CLIENTES'!A:E,2,0)</f>
        <v>Brasília</v>
      </c>
      <c r="D1338" s="1" t="str">
        <f>VLOOKUP(Tabela1[[#This Row],[Cliente]],'BASE DE CLIENTES'!A:C,3,0)</f>
        <v>DF</v>
      </c>
      <c r="E1338" s="4" t="str">
        <f>CONCATENATE(Tabela1[[#This Row],[CIDADE]],",",Tabela1[[#This Row],[UF]])</f>
        <v>Brasília,DF</v>
      </c>
      <c r="F1338" s="2">
        <v>45831</v>
      </c>
      <c r="G1338" s="17">
        <v>473</v>
      </c>
      <c r="H1338" s="17">
        <v>655</v>
      </c>
      <c r="I1338" s="6">
        <f>Tabela1[[#This Row],[Valor total]]-Tabela1[[#This Row],[Valor custo]]</f>
        <v>182</v>
      </c>
      <c r="J1338" s="7">
        <f>Tabela1[[#This Row],[MARGEM BRUTA]]/Tabela1[[#This Row],[Valor total]]</f>
        <v>0.27786259541984731</v>
      </c>
      <c r="K1338" s="1" t="str">
        <f>VLOOKUP(Tabela1[[#This Row],[Cliente]],'BASE DE CLIENTES'!A:D,4,0)</f>
        <v>EMPRESA COM MAQUINA</v>
      </c>
      <c r="L1338" s="1" t="str">
        <f>VLOOKUP(Tabela1[[#This Row],[Cliente]],'BASE DE CLIENTES'!A:E,5,0)</f>
        <v>26 DE SETEMBRO</v>
      </c>
    </row>
    <row r="1339" spans="2:12" x14ac:dyDescent="0.3">
      <c r="B1339" s="1" t="s">
        <v>203</v>
      </c>
      <c r="C1339" s="4" t="str">
        <f>VLOOKUP(Tabela1[[#This Row],[Cliente]],'BASE DE CLIENTES'!A:E,2,0)</f>
        <v>Goiânia</v>
      </c>
      <c r="D1339" s="1" t="str">
        <f>VLOOKUP(Tabela1[[#This Row],[Cliente]],'BASE DE CLIENTES'!A:C,3,0)</f>
        <v>GO</v>
      </c>
      <c r="E1339" s="4" t="str">
        <f>CONCATENATE(Tabela1[[#This Row],[CIDADE]],",",Tabela1[[#This Row],[UF]])</f>
        <v>Goiânia,GO</v>
      </c>
      <c r="F1339" s="2">
        <v>45663</v>
      </c>
      <c r="G1339" s="17">
        <v>6655.11</v>
      </c>
      <c r="H1339" s="17">
        <v>9790</v>
      </c>
      <c r="I1339" s="6">
        <f>Tabela1[[#This Row],[Valor total]]-Tabela1[[#This Row],[Valor custo]]</f>
        <v>3134.8900000000003</v>
      </c>
      <c r="J1339" s="7">
        <f>Tabela1[[#This Row],[MARGEM BRUTA]]/Tabela1[[#This Row],[Valor total]]</f>
        <v>0.32021348314606746</v>
      </c>
      <c r="K1339" s="1" t="str">
        <f>VLOOKUP(Tabela1[[#This Row],[Cliente]],'BASE DE CLIENTES'!A:D,4,0)</f>
        <v>EMPRESA COM MAQUINA</v>
      </c>
      <c r="L1339" s="1" t="str">
        <f>VLOOKUP(Tabela1[[#This Row],[Cliente]],'BASE DE CLIENTES'!A:E,5,0)</f>
        <v>Goiânia</v>
      </c>
    </row>
    <row r="1340" spans="2:12" x14ac:dyDescent="0.3">
      <c r="B1340" s="1" t="s">
        <v>107</v>
      </c>
      <c r="C1340" s="4" t="str">
        <f>VLOOKUP(Tabela1[[#This Row],[Cliente]],'BASE DE CLIENTES'!A:E,2,0)</f>
        <v>Planaltina</v>
      </c>
      <c r="D1340" s="1" t="str">
        <f>VLOOKUP(Tabela1[[#This Row],[Cliente]],'BASE DE CLIENTES'!A:C,3,0)</f>
        <v>DF</v>
      </c>
      <c r="E1340" s="4" t="str">
        <f>CONCATENATE(Tabela1[[#This Row],[CIDADE]],",",Tabela1[[#This Row],[UF]])</f>
        <v>Planaltina,DF</v>
      </c>
      <c r="F1340" s="2">
        <v>45828</v>
      </c>
      <c r="G1340" s="17">
        <v>994</v>
      </c>
      <c r="H1340" s="17">
        <v>1500</v>
      </c>
      <c r="I1340" s="6">
        <f>Tabela1[[#This Row],[Valor total]]-Tabela1[[#This Row],[Valor custo]]</f>
        <v>506</v>
      </c>
      <c r="J1340" s="7">
        <f>Tabela1[[#This Row],[MARGEM BRUTA]]/Tabela1[[#This Row],[Valor total]]</f>
        <v>0.33733333333333332</v>
      </c>
      <c r="K1340" s="1" t="str">
        <f>VLOOKUP(Tabela1[[#This Row],[Cliente]],'BASE DE CLIENTES'!A:D,4,0)</f>
        <v>EMPRESA COM MAQUINA</v>
      </c>
      <c r="L1340" s="1" t="str">
        <f>VLOOKUP(Tabela1[[#This Row],[Cliente]],'BASE DE CLIENTES'!A:E,5,0)</f>
        <v>SETOR LESTE</v>
      </c>
    </row>
    <row r="1341" spans="2:12" x14ac:dyDescent="0.3">
      <c r="B1341" s="1" t="s">
        <v>193</v>
      </c>
      <c r="C1341" s="4" t="str">
        <f>VLOOKUP(Tabela1[[#This Row],[Cliente]],'BASE DE CLIENTES'!A:E,2,0)</f>
        <v>Goiânia</v>
      </c>
      <c r="D1341" s="1" t="str">
        <f>VLOOKUP(Tabela1[[#This Row],[Cliente]],'BASE DE CLIENTES'!A:C,3,0)</f>
        <v>GO</v>
      </c>
      <c r="E1341" s="4" t="str">
        <f>CONCATENATE(Tabela1[[#This Row],[CIDADE]],",",Tabela1[[#This Row],[UF]])</f>
        <v>Goiânia,GO</v>
      </c>
      <c r="F1341" s="2">
        <v>45660</v>
      </c>
      <c r="G1341" s="17">
        <v>878.4</v>
      </c>
      <c r="H1341" s="17">
        <v>1290</v>
      </c>
      <c r="I1341" s="6">
        <f>Tabela1[[#This Row],[Valor total]]-Tabela1[[#This Row],[Valor custo]]</f>
        <v>411.6</v>
      </c>
      <c r="J1341" s="7">
        <f>Tabela1[[#This Row],[MARGEM BRUTA]]/Tabela1[[#This Row],[Valor total]]</f>
        <v>0.3190697674418605</v>
      </c>
      <c r="K1341" s="1" t="str">
        <f>VLOOKUP(Tabela1[[#This Row],[Cliente]],'BASE DE CLIENTES'!A:D,4,0)</f>
        <v>SEM CLASSIFICAÇÃO</v>
      </c>
      <c r="L1341" s="1" t="str">
        <f>VLOOKUP(Tabela1[[#This Row],[Cliente]],'BASE DE CLIENTES'!A:E,5,0)</f>
        <v>Goiânia</v>
      </c>
    </row>
    <row r="1342" spans="2:12" x14ac:dyDescent="0.3">
      <c r="B1342" s="1" t="s">
        <v>187</v>
      </c>
      <c r="C1342" s="4" t="str">
        <f>VLOOKUP(Tabela1[[#This Row],[Cliente]],'BASE DE CLIENTES'!A:E,2,0)</f>
        <v>Brasília</v>
      </c>
      <c r="D1342" s="1" t="str">
        <f>VLOOKUP(Tabela1[[#This Row],[Cliente]],'BASE DE CLIENTES'!A:C,3,0)</f>
        <v>DF</v>
      </c>
      <c r="E1342" s="4" t="str">
        <f>CONCATENATE(Tabela1[[#This Row],[CIDADE]],",",Tabela1[[#This Row],[UF]])</f>
        <v>Brasília,DF</v>
      </c>
      <c r="F1342" s="2">
        <v>45828</v>
      </c>
      <c r="G1342" s="17">
        <v>710</v>
      </c>
      <c r="H1342" s="17">
        <v>580</v>
      </c>
      <c r="I1342" s="6">
        <f>Tabela1[[#This Row],[Valor total]]-Tabela1[[#This Row],[Valor custo]]</f>
        <v>-130</v>
      </c>
      <c r="J1342" s="7">
        <f>Tabela1[[#This Row],[MARGEM BRUTA]]/Tabela1[[#This Row],[Valor total]]</f>
        <v>-0.22413793103448276</v>
      </c>
      <c r="K1342" s="1" t="str">
        <f>VLOOKUP(Tabela1[[#This Row],[Cliente]],'BASE DE CLIENTES'!A:D,4,0)</f>
        <v>SERRALHEIRO</v>
      </c>
      <c r="L1342" s="1" t="str">
        <f>VLOOKUP(Tabela1[[#This Row],[Cliente]],'BASE DE CLIENTES'!A:E,5,0)</f>
        <v>CEILANDIA SUL (CEILANDIA)</v>
      </c>
    </row>
    <row r="1343" spans="2:12" x14ac:dyDescent="0.3">
      <c r="B1343" s="1" t="s">
        <v>88</v>
      </c>
      <c r="C1343" s="4" t="str">
        <f>VLOOKUP(Tabela1[[#This Row],[Cliente]],'BASE DE CLIENTES'!A:E,2,0)</f>
        <v>Brasília</v>
      </c>
      <c r="D1343" s="1" t="str">
        <f>VLOOKUP(Tabela1[[#This Row],[Cliente]],'BASE DE CLIENTES'!A:C,3,0)</f>
        <v>DF</v>
      </c>
      <c r="E1343" s="4" t="str">
        <f>CONCATENATE(Tabela1[[#This Row],[CIDADE]],",",Tabela1[[#This Row],[UF]])</f>
        <v>Brasília,DF</v>
      </c>
      <c r="F1343" s="2">
        <v>45828</v>
      </c>
      <c r="G1343" s="17">
        <v>710</v>
      </c>
      <c r="H1343" s="17">
        <v>1200</v>
      </c>
      <c r="I1343" s="6">
        <f>Tabela1[[#This Row],[Valor total]]-Tabela1[[#This Row],[Valor custo]]</f>
        <v>490</v>
      </c>
      <c r="J1343" s="7">
        <f>Tabela1[[#This Row],[MARGEM BRUTA]]/Tabela1[[#This Row],[Valor total]]</f>
        <v>0.40833333333333333</v>
      </c>
      <c r="K1343" s="1" t="str">
        <f>VLOOKUP(Tabela1[[#This Row],[Cliente]],'BASE DE CLIENTES'!A:D,4,0)</f>
        <v>SERRALHEIRO</v>
      </c>
      <c r="L1343" s="1" t="str">
        <f>VLOOKUP(Tabela1[[#This Row],[Cliente]],'BASE DE CLIENTES'!A:E,5,0)</f>
        <v>RECANTO DAS EMAS</v>
      </c>
    </row>
    <row r="1344" spans="2:12" x14ac:dyDescent="0.3">
      <c r="B1344" s="1" t="s">
        <v>187</v>
      </c>
      <c r="C1344" s="4" t="str">
        <f>VLOOKUP(Tabela1[[#This Row],[Cliente]],'BASE DE CLIENTES'!A:E,2,0)</f>
        <v>Brasília</v>
      </c>
      <c r="D1344" s="1" t="str">
        <f>VLOOKUP(Tabela1[[#This Row],[Cliente]],'BASE DE CLIENTES'!A:C,3,0)</f>
        <v>DF</v>
      </c>
      <c r="E1344" s="4" t="str">
        <f>CONCATENATE(Tabela1[[#This Row],[CIDADE]],",",Tabela1[[#This Row],[UF]])</f>
        <v>Brasília,DF</v>
      </c>
      <c r="F1344" s="2">
        <v>45828</v>
      </c>
      <c r="G1344" s="17">
        <v>1604</v>
      </c>
      <c r="H1344" s="17">
        <v>2500</v>
      </c>
      <c r="I1344" s="6">
        <f>Tabela1[[#This Row],[Valor total]]-Tabela1[[#This Row],[Valor custo]]</f>
        <v>896</v>
      </c>
      <c r="J1344" s="7">
        <f>Tabela1[[#This Row],[MARGEM BRUTA]]/Tabela1[[#This Row],[Valor total]]</f>
        <v>0.3584</v>
      </c>
      <c r="K1344" s="1" t="str">
        <f>VLOOKUP(Tabela1[[#This Row],[Cliente]],'BASE DE CLIENTES'!A:D,4,0)</f>
        <v>SERRALHEIRO</v>
      </c>
      <c r="L1344" s="1" t="str">
        <f>VLOOKUP(Tabela1[[#This Row],[Cliente]],'BASE DE CLIENTES'!A:E,5,0)</f>
        <v>CEILANDIA SUL (CEILANDIA)</v>
      </c>
    </row>
    <row r="1345" spans="2:12" x14ac:dyDescent="0.3">
      <c r="B1345" s="1" t="s">
        <v>70</v>
      </c>
      <c r="C1345" s="4" t="str">
        <f>VLOOKUP(Tabela1[[#This Row],[Cliente]],'BASE DE CLIENTES'!A:E,2,0)</f>
        <v>Brasília</v>
      </c>
      <c r="D1345" s="1" t="str">
        <f>VLOOKUP(Tabela1[[#This Row],[Cliente]],'BASE DE CLIENTES'!A:C,3,0)</f>
        <v>DF</v>
      </c>
      <c r="E1345" s="4" t="str">
        <f>CONCATENATE(Tabela1[[#This Row],[CIDADE]],",",Tabela1[[#This Row],[UF]])</f>
        <v>Brasília,DF</v>
      </c>
      <c r="F1345" s="2">
        <v>45828</v>
      </c>
      <c r="G1345" s="17">
        <v>710</v>
      </c>
      <c r="H1345" s="17">
        <v>1200</v>
      </c>
      <c r="I1345" s="6">
        <f>Tabela1[[#This Row],[Valor total]]-Tabela1[[#This Row],[Valor custo]]</f>
        <v>490</v>
      </c>
      <c r="J1345" s="7">
        <f>Tabela1[[#This Row],[MARGEM BRUTA]]/Tabela1[[#This Row],[Valor total]]</f>
        <v>0.40833333333333333</v>
      </c>
      <c r="K1345" s="1" t="str">
        <f>VLOOKUP(Tabela1[[#This Row],[Cliente]],'BASE DE CLIENTES'!A:D,4,0)</f>
        <v>EMPRESA COM MAQUINA</v>
      </c>
      <c r="L1345" s="1" t="str">
        <f>VLOOKUP(Tabela1[[#This Row],[Cliente]],'BASE DE CLIENTES'!A:E,5,0)</f>
        <v>TAGUATINGA NORTE (TAGUATINGA)</v>
      </c>
    </row>
    <row r="1346" spans="2:12" x14ac:dyDescent="0.3">
      <c r="B1346" s="1" t="s">
        <v>213</v>
      </c>
      <c r="C1346" s="4" t="str">
        <f>VLOOKUP(Tabela1[[#This Row],[Cliente]],'BASE DE CLIENTES'!A:E,2,0)</f>
        <v>Goiânia</v>
      </c>
      <c r="D1346" s="1" t="str">
        <f>VLOOKUP(Tabela1[[#This Row],[Cliente]],'BASE DE CLIENTES'!A:C,3,0)</f>
        <v>GO</v>
      </c>
      <c r="E1346" s="4" t="str">
        <f>CONCATENATE(Tabela1[[#This Row],[CIDADE]],",",Tabela1[[#This Row],[UF]])</f>
        <v>Goiânia,GO</v>
      </c>
      <c r="F1346" s="2">
        <v>45659</v>
      </c>
      <c r="G1346" s="17">
        <v>6588</v>
      </c>
      <c r="H1346" s="17">
        <v>9300</v>
      </c>
      <c r="I1346" s="6">
        <f>Tabela1[[#This Row],[Valor total]]-Tabela1[[#This Row],[Valor custo]]</f>
        <v>2712</v>
      </c>
      <c r="J1346" s="7">
        <f>Tabela1[[#This Row],[MARGEM BRUTA]]/Tabela1[[#This Row],[Valor total]]</f>
        <v>0.29161290322580646</v>
      </c>
      <c r="K1346" s="1" t="str">
        <f>VLOOKUP(Tabela1[[#This Row],[Cliente]],'BASE DE CLIENTES'!A:D,4,0)</f>
        <v>EMPRESA COM MAQUINA</v>
      </c>
      <c r="L1346" s="1" t="str">
        <f>VLOOKUP(Tabela1[[#This Row],[Cliente]],'BASE DE CLIENTES'!A:E,5,0)</f>
        <v>Goiânia</v>
      </c>
    </row>
    <row r="1347" spans="2:12" x14ac:dyDescent="0.3">
      <c r="B1347" s="1" t="s">
        <v>193</v>
      </c>
      <c r="C1347" s="4" t="str">
        <f>VLOOKUP(Tabela1[[#This Row],[Cliente]],'BASE DE CLIENTES'!A:E,2,0)</f>
        <v>Goiânia</v>
      </c>
      <c r="D1347" s="1" t="str">
        <f>VLOOKUP(Tabela1[[#This Row],[Cliente]],'BASE DE CLIENTES'!A:C,3,0)</f>
        <v>GO</v>
      </c>
      <c r="E1347" s="4" t="str">
        <f>CONCATENATE(Tabela1[[#This Row],[CIDADE]],",",Tabela1[[#This Row],[UF]])</f>
        <v>Goiânia,GO</v>
      </c>
      <c r="F1347" s="2">
        <v>45659</v>
      </c>
      <c r="G1347" s="17">
        <v>878.4</v>
      </c>
      <c r="H1347" s="17">
        <v>1290</v>
      </c>
      <c r="I1347" s="6">
        <f>Tabela1[[#This Row],[Valor total]]-Tabela1[[#This Row],[Valor custo]]</f>
        <v>411.6</v>
      </c>
      <c r="J1347" s="7">
        <f>Tabela1[[#This Row],[MARGEM BRUTA]]/Tabela1[[#This Row],[Valor total]]</f>
        <v>0.3190697674418605</v>
      </c>
      <c r="K1347" s="1" t="str">
        <f>VLOOKUP(Tabela1[[#This Row],[Cliente]],'BASE DE CLIENTES'!A:D,4,0)</f>
        <v>SEM CLASSIFICAÇÃO</v>
      </c>
      <c r="L1347" s="1" t="str">
        <f>VLOOKUP(Tabela1[[#This Row],[Cliente]],'BASE DE CLIENTES'!A:E,5,0)</f>
        <v>Goiânia</v>
      </c>
    </row>
    <row r="1348" spans="2:12" x14ac:dyDescent="0.3">
      <c r="B1348" s="1" t="s">
        <v>211</v>
      </c>
      <c r="C1348" s="4" t="str">
        <f>VLOOKUP(Tabela1[[#This Row],[Cliente]],'BASE DE CLIENTES'!A:E,2,0)</f>
        <v>Goiânia</v>
      </c>
      <c r="D1348" s="1" t="str">
        <f>VLOOKUP(Tabela1[[#This Row],[Cliente]],'BASE DE CLIENTES'!A:C,3,0)</f>
        <v>GO</v>
      </c>
      <c r="E1348" s="4" t="str">
        <f>CONCATENATE(Tabela1[[#This Row],[CIDADE]],",",Tabela1[[#This Row],[UF]])</f>
        <v>Goiânia,GO</v>
      </c>
      <c r="F1348" s="2">
        <v>45659</v>
      </c>
      <c r="G1348" s="17">
        <v>1146.43</v>
      </c>
      <c r="H1348" s="17">
        <v>1995</v>
      </c>
      <c r="I1348" s="6">
        <f>Tabela1[[#This Row],[Valor total]]-Tabela1[[#This Row],[Valor custo]]</f>
        <v>848.56999999999994</v>
      </c>
      <c r="J1348" s="7">
        <f>Tabela1[[#This Row],[MARGEM BRUTA]]/Tabela1[[#This Row],[Valor total]]</f>
        <v>0.42534837092731825</v>
      </c>
      <c r="K1348" s="1" t="str">
        <f>VLOOKUP(Tabela1[[#This Row],[Cliente]],'BASE DE CLIENTES'!A:D,4,0)</f>
        <v>EMPRESA COM MAQUINA</v>
      </c>
      <c r="L1348" s="1" t="str">
        <f>VLOOKUP(Tabela1[[#This Row],[Cliente]],'BASE DE CLIENTES'!A:E,5,0)</f>
        <v>Goiânia</v>
      </c>
    </row>
    <row r="1349" spans="2:12" x14ac:dyDescent="0.3">
      <c r="B1349" s="1" t="s">
        <v>161</v>
      </c>
      <c r="C1349" s="4" t="str">
        <f>VLOOKUP(Tabela1[[#This Row],[Cliente]],'BASE DE CLIENTES'!A:E,2,0)</f>
        <v>Brasília</v>
      </c>
      <c r="D1349" s="1" t="str">
        <f>VLOOKUP(Tabela1[[#This Row],[Cliente]],'BASE DE CLIENTES'!A:C,3,0)</f>
        <v>DF</v>
      </c>
      <c r="E1349" s="4" t="str">
        <f>CONCATENATE(Tabela1[[#This Row],[CIDADE]],",",Tabela1[[#This Row],[UF]])</f>
        <v>Brasília,DF</v>
      </c>
      <c r="F1349" s="2">
        <v>45827</v>
      </c>
      <c r="G1349" s="17">
        <v>12045</v>
      </c>
      <c r="H1349" s="17">
        <v>17400</v>
      </c>
      <c r="I1349" s="6">
        <f>Tabela1[[#This Row],[Valor total]]-Tabela1[[#This Row],[Valor custo]]</f>
        <v>5355</v>
      </c>
      <c r="J1349" s="7">
        <f>Tabela1[[#This Row],[MARGEM BRUTA]]/Tabela1[[#This Row],[Valor total]]</f>
        <v>0.30775862068965515</v>
      </c>
      <c r="K1349" s="1" t="str">
        <f>VLOOKUP(Tabela1[[#This Row],[Cliente]],'BASE DE CLIENTES'!A:D,4,0)</f>
        <v>EMPRESA COM MAQUINA</v>
      </c>
      <c r="L1349" s="1" t="str">
        <f>VLOOKUP(Tabela1[[#This Row],[Cliente]],'BASE DE CLIENTES'!A:E,5,0)</f>
        <v>RIACHO FUNDO II</v>
      </c>
    </row>
    <row r="1350" spans="2:12" x14ac:dyDescent="0.3">
      <c r="B1350" s="1" t="s">
        <v>199</v>
      </c>
      <c r="C1350" s="4" t="str">
        <f>VLOOKUP(Tabela1[[#This Row],[Cliente]],'BASE DE CLIENTES'!A:E,2,0)</f>
        <v>Goiânia</v>
      </c>
      <c r="D1350" s="1" t="str">
        <f>VLOOKUP(Tabela1[[#This Row],[Cliente]],'BASE DE CLIENTES'!A:C,3,0)</f>
        <v>GO</v>
      </c>
      <c r="E1350" s="4" t="str">
        <f>CONCATENATE(Tabela1[[#This Row],[CIDADE]],",",Tabela1[[#This Row],[UF]])</f>
        <v>Goiânia,GO</v>
      </c>
      <c r="F1350" s="2">
        <v>45714</v>
      </c>
      <c r="G1350" s="17">
        <v>5130.08</v>
      </c>
      <c r="H1350" s="17">
        <v>7240</v>
      </c>
      <c r="I1350" s="6">
        <f>Tabela1[[#This Row],[Valor total]]-Tabela1[[#This Row],[Valor custo]]</f>
        <v>2109.92</v>
      </c>
      <c r="J1350" s="7">
        <f>Tabela1[[#This Row],[MARGEM BRUTA]]/Tabela1[[#This Row],[Valor total]]</f>
        <v>0.29142541436464087</v>
      </c>
      <c r="K1350" s="1" t="str">
        <f>VLOOKUP(Tabela1[[#This Row],[Cliente]],'BASE DE CLIENTES'!A:D,4,0)</f>
        <v>EMPRESA COM MAQUINA</v>
      </c>
      <c r="L1350" s="1" t="str">
        <f>VLOOKUP(Tabela1[[#This Row],[Cliente]],'BASE DE CLIENTES'!A:E,5,0)</f>
        <v>Goiânia</v>
      </c>
    </row>
    <row r="1351" spans="2:12" x14ac:dyDescent="0.3">
      <c r="B1351" s="1" t="s">
        <v>214</v>
      </c>
      <c r="C1351" s="4" t="str">
        <f>VLOOKUP(Tabela1[[#This Row],[Cliente]],'BASE DE CLIENTES'!A:E,2,0)</f>
        <v>Goiânia</v>
      </c>
      <c r="D1351" s="1" t="str">
        <f>VLOOKUP(Tabela1[[#This Row],[Cliente]],'BASE DE CLIENTES'!A:C,3,0)</f>
        <v>GO</v>
      </c>
      <c r="E1351" s="4" t="str">
        <f>CONCATENATE(Tabela1[[#This Row],[CIDADE]],",",Tabela1[[#This Row],[UF]])</f>
        <v>Goiânia,GO</v>
      </c>
      <c r="F1351" s="2">
        <v>45714</v>
      </c>
      <c r="G1351" s="17">
        <v>6262.66</v>
      </c>
      <c r="H1351" s="17">
        <v>8850</v>
      </c>
      <c r="I1351" s="6">
        <f>Tabela1[[#This Row],[Valor total]]-Tabela1[[#This Row],[Valor custo]]</f>
        <v>2587.34</v>
      </c>
      <c r="J1351" s="7">
        <f>Tabela1[[#This Row],[MARGEM BRUTA]]/Tabela1[[#This Row],[Valor total]]</f>
        <v>0.29235480225988703</v>
      </c>
      <c r="K1351" s="1" t="str">
        <f>VLOOKUP(Tabela1[[#This Row],[Cliente]],'BASE DE CLIENTES'!A:D,4,0)</f>
        <v>EMPRESA COM MAQUINA</v>
      </c>
      <c r="L1351" s="1" t="str">
        <f>VLOOKUP(Tabela1[[#This Row],[Cliente]],'BASE DE CLIENTES'!A:E,5,0)</f>
        <v>Goiânia</v>
      </c>
    </row>
    <row r="1352" spans="2:12" x14ac:dyDescent="0.3">
      <c r="B1352" s="1" t="s">
        <v>215</v>
      </c>
      <c r="C1352" s="4" t="str">
        <f>VLOOKUP(Tabela1[[#This Row],[Cliente]],'BASE DE CLIENTES'!A:E,2,0)</f>
        <v>Goiânia</v>
      </c>
      <c r="D1352" s="1" t="str">
        <f>VLOOKUP(Tabela1[[#This Row],[Cliente]],'BASE DE CLIENTES'!A:C,3,0)</f>
        <v>GO</v>
      </c>
      <c r="E1352" s="4" t="str">
        <f>CONCATENATE(Tabela1[[#This Row],[CIDADE]],",",Tabela1[[#This Row],[UF]])</f>
        <v>Goiânia,GO</v>
      </c>
      <c r="F1352" s="2">
        <v>45708</v>
      </c>
      <c r="G1352" s="17">
        <v>4384.3500000000004</v>
      </c>
      <c r="H1352" s="17">
        <v>6300</v>
      </c>
      <c r="I1352" s="6">
        <f>Tabela1[[#This Row],[Valor total]]-Tabela1[[#This Row],[Valor custo]]</f>
        <v>1915.6499999999996</v>
      </c>
      <c r="J1352" s="7">
        <f>Tabela1[[#This Row],[MARGEM BRUTA]]/Tabela1[[#This Row],[Valor total]]</f>
        <v>0.30407142857142849</v>
      </c>
      <c r="K1352" s="1" t="str">
        <f>VLOOKUP(Tabela1[[#This Row],[Cliente]],'BASE DE CLIENTES'!A:D,4,0)</f>
        <v>EMPRESA COM MAQUINA</v>
      </c>
      <c r="L1352" s="1" t="str">
        <f>VLOOKUP(Tabela1[[#This Row],[Cliente]],'BASE DE CLIENTES'!A:E,5,0)</f>
        <v>Goiânia</v>
      </c>
    </row>
    <row r="1353" spans="2:12" x14ac:dyDescent="0.3">
      <c r="B1353" s="1" t="s">
        <v>55</v>
      </c>
      <c r="C1353" s="4" t="str">
        <f>VLOOKUP(Tabela1[[#This Row],[Cliente]],'BASE DE CLIENTES'!A:E,2,0)</f>
        <v>Brasília</v>
      </c>
      <c r="D1353" s="1" t="str">
        <f>VLOOKUP(Tabela1[[#This Row],[Cliente]],'BASE DE CLIENTES'!A:C,3,0)</f>
        <v>DF</v>
      </c>
      <c r="E1353" s="4" t="str">
        <f>CONCATENATE(Tabela1[[#This Row],[CIDADE]],",",Tabela1[[#This Row],[UF]])</f>
        <v>Brasília,DF</v>
      </c>
      <c r="F1353" s="2">
        <v>45827</v>
      </c>
      <c r="G1353" s="17">
        <v>1435</v>
      </c>
      <c r="H1353" s="17">
        <v>2600</v>
      </c>
      <c r="I1353" s="6">
        <f>Tabela1[[#This Row],[Valor total]]-Tabela1[[#This Row],[Valor custo]]</f>
        <v>1165</v>
      </c>
      <c r="J1353" s="7">
        <f>Tabela1[[#This Row],[MARGEM BRUTA]]/Tabela1[[#This Row],[Valor total]]</f>
        <v>0.44807692307692309</v>
      </c>
      <c r="K1353" s="1" t="str">
        <f>VLOOKUP(Tabela1[[#This Row],[Cliente]],'BASE DE CLIENTES'!A:D,4,0)</f>
        <v>EMPRESA SEM MAQUINA</v>
      </c>
      <c r="L1353" s="1" t="str">
        <f>VLOOKUP(Tabela1[[#This Row],[Cliente]],'BASE DE CLIENTES'!A:E,5,0)</f>
        <v>RECANTO DAS EMAS</v>
      </c>
    </row>
    <row r="1354" spans="2:12" x14ac:dyDescent="0.3">
      <c r="B1354" s="1" t="s">
        <v>195</v>
      </c>
      <c r="C1354" s="4" t="str">
        <f>VLOOKUP(Tabela1[[#This Row],[Cliente]],'BASE DE CLIENTES'!A:E,2,0)</f>
        <v>Goiânia</v>
      </c>
      <c r="D1354" s="1" t="str">
        <f>VLOOKUP(Tabela1[[#This Row],[Cliente]],'BASE DE CLIENTES'!A:C,3,0)</f>
        <v>GO</v>
      </c>
      <c r="E1354" s="4" t="str">
        <f>CONCATENATE(Tabela1[[#This Row],[CIDADE]],",",Tabela1[[#This Row],[UF]])</f>
        <v>Goiânia,GO</v>
      </c>
      <c r="F1354" s="2">
        <v>45708</v>
      </c>
      <c r="G1354" s="17">
        <v>522</v>
      </c>
      <c r="H1354" s="17">
        <v>1500</v>
      </c>
      <c r="I1354" s="6">
        <f>Tabela1[[#This Row],[Valor total]]-Tabela1[[#This Row],[Valor custo]]</f>
        <v>978</v>
      </c>
      <c r="J1354" s="7">
        <f>Tabela1[[#This Row],[MARGEM BRUTA]]/Tabela1[[#This Row],[Valor total]]</f>
        <v>0.65200000000000002</v>
      </c>
      <c r="K1354" s="1" t="str">
        <f>VLOOKUP(Tabela1[[#This Row],[Cliente]],'BASE DE CLIENTES'!A:D,4,0)</f>
        <v>EMPRESA COM MAQUINA</v>
      </c>
      <c r="L1354" s="1" t="str">
        <f>VLOOKUP(Tabela1[[#This Row],[Cliente]],'BASE DE CLIENTES'!A:E,5,0)</f>
        <v>Goiânia</v>
      </c>
    </row>
    <row r="1355" spans="2:12" x14ac:dyDescent="0.3">
      <c r="B1355" s="1" t="s">
        <v>27</v>
      </c>
      <c r="C1355" s="4" t="str">
        <f>VLOOKUP(Tabela1[[#This Row],[Cliente]],'BASE DE CLIENTES'!A:E,2,0)</f>
        <v>Brasília</v>
      </c>
      <c r="D1355" s="1" t="str">
        <f>VLOOKUP(Tabela1[[#This Row],[Cliente]],'BASE DE CLIENTES'!A:C,3,0)</f>
        <v>DF</v>
      </c>
      <c r="E1355" s="4" t="str">
        <f>CONCATENATE(Tabela1[[#This Row],[CIDADE]],",",Tabela1[[#This Row],[UF]])</f>
        <v>Brasília,DF</v>
      </c>
      <c r="F1355" s="2">
        <v>45826</v>
      </c>
      <c r="G1355" s="17">
        <v>819.74</v>
      </c>
      <c r="H1355" s="17">
        <v>1170</v>
      </c>
      <c r="I1355" s="6">
        <f>Tabela1[[#This Row],[Valor total]]-Tabela1[[#This Row],[Valor custo]]</f>
        <v>350.26</v>
      </c>
      <c r="J1355" s="7">
        <f>Tabela1[[#This Row],[MARGEM BRUTA]]/Tabela1[[#This Row],[Valor total]]</f>
        <v>0.29936752136752137</v>
      </c>
      <c r="K1355" s="1" t="str">
        <f>VLOOKUP(Tabela1[[#This Row],[Cliente]],'BASE DE CLIENTES'!A:D,4,0)</f>
        <v>EMPRESA SEM MAQUINA</v>
      </c>
      <c r="L1355" s="1" t="str">
        <f>VLOOKUP(Tabela1[[#This Row],[Cliente]],'BASE DE CLIENTES'!A:E,5,0)</f>
        <v>RECANTO DAS EMAS</v>
      </c>
    </row>
    <row r="1356" spans="2:12" x14ac:dyDescent="0.3">
      <c r="B1356" s="1" t="s">
        <v>206</v>
      </c>
      <c r="C1356" s="4" t="str">
        <f>VLOOKUP(Tabela1[[#This Row],[Cliente]],'BASE DE CLIENTES'!A:E,2,0)</f>
        <v>Goiânia</v>
      </c>
      <c r="D1356" s="1" t="str">
        <f>VLOOKUP(Tabela1[[#This Row],[Cliente]],'BASE DE CLIENTES'!A:C,3,0)</f>
        <v>GO</v>
      </c>
      <c r="E1356" s="4" t="str">
        <f>CONCATENATE(Tabela1[[#This Row],[CIDADE]],",",Tabela1[[#This Row],[UF]])</f>
        <v>Goiânia,GO</v>
      </c>
      <c r="F1356" s="2">
        <v>45708</v>
      </c>
      <c r="G1356" s="17">
        <v>10373.14</v>
      </c>
      <c r="H1356" s="17">
        <v>15020</v>
      </c>
      <c r="I1356" s="6">
        <f>Tabela1[[#This Row],[Valor total]]-Tabela1[[#This Row],[Valor custo]]</f>
        <v>4646.8600000000006</v>
      </c>
      <c r="J1356" s="7">
        <f>Tabela1[[#This Row],[MARGEM BRUTA]]/Tabela1[[#This Row],[Valor total]]</f>
        <v>0.30937816245006661</v>
      </c>
      <c r="K1356" s="1" t="str">
        <f>VLOOKUP(Tabela1[[#This Row],[Cliente]],'BASE DE CLIENTES'!A:D,4,0)</f>
        <v>EMPRESA COM MAQUINA</v>
      </c>
      <c r="L1356" s="1" t="str">
        <f>VLOOKUP(Tabela1[[#This Row],[Cliente]],'BASE DE CLIENTES'!A:E,5,0)</f>
        <v>Goiânia</v>
      </c>
    </row>
    <row r="1357" spans="2:12" x14ac:dyDescent="0.3">
      <c r="B1357" s="1" t="s">
        <v>187</v>
      </c>
      <c r="C1357" s="4" t="str">
        <f>VLOOKUP(Tabela1[[#This Row],[Cliente]],'BASE DE CLIENTES'!A:E,2,0)</f>
        <v>Brasília</v>
      </c>
      <c r="D1357" s="1" t="str">
        <f>VLOOKUP(Tabela1[[#This Row],[Cliente]],'BASE DE CLIENTES'!A:C,3,0)</f>
        <v>DF</v>
      </c>
      <c r="E1357" s="4" t="str">
        <f>CONCATENATE(Tabela1[[#This Row],[CIDADE]],",",Tabela1[[#This Row],[UF]])</f>
        <v>Brasília,DF</v>
      </c>
      <c r="F1357" s="2">
        <v>45826</v>
      </c>
      <c r="G1357" s="17">
        <v>447</v>
      </c>
      <c r="H1357" s="17">
        <v>635</v>
      </c>
      <c r="I1357" s="6">
        <f>Tabela1[[#This Row],[Valor total]]-Tabela1[[#This Row],[Valor custo]]</f>
        <v>188</v>
      </c>
      <c r="J1357" s="7">
        <f>Tabela1[[#This Row],[MARGEM BRUTA]]/Tabela1[[#This Row],[Valor total]]</f>
        <v>0.29606299212598425</v>
      </c>
      <c r="K1357" s="1" t="str">
        <f>VLOOKUP(Tabela1[[#This Row],[Cliente]],'BASE DE CLIENTES'!A:D,4,0)</f>
        <v>SERRALHEIRO</v>
      </c>
      <c r="L1357" s="1" t="str">
        <f>VLOOKUP(Tabela1[[#This Row],[Cliente]],'BASE DE CLIENTES'!A:E,5,0)</f>
        <v>CEILANDIA SUL (CEILANDIA)</v>
      </c>
    </row>
    <row r="1358" spans="2:12" x14ac:dyDescent="0.3">
      <c r="B1358" s="1" t="s">
        <v>106</v>
      </c>
      <c r="C1358" s="4" t="str">
        <f>VLOOKUP(Tabela1[[#This Row],[Cliente]],'BASE DE CLIENTES'!A:E,2,0)</f>
        <v>Brasília</v>
      </c>
      <c r="D1358" s="1" t="str">
        <f>VLOOKUP(Tabela1[[#This Row],[Cliente]],'BASE DE CLIENTES'!A:C,3,0)</f>
        <v>DF</v>
      </c>
      <c r="E1358" s="4" t="str">
        <f>CONCATENATE(Tabela1[[#This Row],[CIDADE]],",",Tabela1[[#This Row],[UF]])</f>
        <v>Brasília,DF</v>
      </c>
      <c r="F1358" s="2">
        <v>45826</v>
      </c>
      <c r="G1358" s="17">
        <v>473</v>
      </c>
      <c r="H1358" s="17">
        <v>655</v>
      </c>
      <c r="I1358" s="6">
        <f>Tabela1[[#This Row],[Valor total]]-Tabela1[[#This Row],[Valor custo]]</f>
        <v>182</v>
      </c>
      <c r="J1358" s="7">
        <f>Tabela1[[#This Row],[MARGEM BRUTA]]/Tabela1[[#This Row],[Valor total]]</f>
        <v>0.27786259541984731</v>
      </c>
      <c r="K1358" s="1" t="str">
        <f>VLOOKUP(Tabela1[[#This Row],[Cliente]],'BASE DE CLIENTES'!A:D,4,0)</f>
        <v>EMPRESA COM MAQUINA</v>
      </c>
      <c r="L1358" s="1" t="str">
        <f>VLOOKUP(Tabela1[[#This Row],[Cliente]],'BASE DE CLIENTES'!A:E,5,0)</f>
        <v>26 DE SETEMBRO</v>
      </c>
    </row>
    <row r="1359" spans="2:12" x14ac:dyDescent="0.3">
      <c r="B1359" s="1" t="s">
        <v>52</v>
      </c>
      <c r="C1359" s="4" t="str">
        <f>VLOOKUP(Tabela1[[#This Row],[Cliente]],'BASE DE CLIENTES'!A:E,2,0)</f>
        <v>Brasília</v>
      </c>
      <c r="D1359" s="1" t="str">
        <f>VLOOKUP(Tabela1[[#This Row],[Cliente]],'BASE DE CLIENTES'!A:C,3,0)</f>
        <v>DF</v>
      </c>
      <c r="E1359" s="4" t="str">
        <f>CONCATENATE(Tabela1[[#This Row],[CIDADE]],",",Tabela1[[#This Row],[UF]])</f>
        <v>Brasília,DF</v>
      </c>
      <c r="F1359" s="2">
        <v>45826</v>
      </c>
      <c r="G1359" s="17">
        <v>1311.04</v>
      </c>
      <c r="H1359" s="17">
        <v>1890</v>
      </c>
      <c r="I1359" s="6">
        <f>Tabela1[[#This Row],[Valor total]]-Tabela1[[#This Row],[Valor custo]]</f>
        <v>578.96</v>
      </c>
      <c r="J1359" s="7">
        <f>Tabela1[[#This Row],[MARGEM BRUTA]]/Tabela1[[#This Row],[Valor total]]</f>
        <v>0.30632804232804234</v>
      </c>
      <c r="K1359" s="1" t="str">
        <f>VLOOKUP(Tabela1[[#This Row],[Cliente]],'BASE DE CLIENTES'!A:D,4,0)</f>
        <v>SERRALHEIRO</v>
      </c>
      <c r="L1359" s="1" t="str">
        <f>VLOOKUP(Tabela1[[#This Row],[Cliente]],'BASE DE CLIENTES'!A:E,5,0)</f>
        <v>Ceilândia Sul (Ceilândia)</v>
      </c>
    </row>
    <row r="1360" spans="2:12" x14ac:dyDescent="0.3">
      <c r="B1360" s="1" t="s">
        <v>197</v>
      </c>
      <c r="C1360" s="4" t="str">
        <f>VLOOKUP(Tabela1[[#This Row],[Cliente]],'BASE DE CLIENTES'!A:E,2,0)</f>
        <v>Goiânia</v>
      </c>
      <c r="D1360" s="1" t="str">
        <f>VLOOKUP(Tabela1[[#This Row],[Cliente]],'BASE DE CLIENTES'!A:C,3,0)</f>
        <v>GO</v>
      </c>
      <c r="E1360" s="4" t="str">
        <f>CONCATENATE(Tabela1[[#This Row],[CIDADE]],",",Tabela1[[#This Row],[UF]])</f>
        <v>Goiânia,GO</v>
      </c>
      <c r="F1360" s="2">
        <v>45706</v>
      </c>
      <c r="G1360" s="17">
        <v>707.23</v>
      </c>
      <c r="H1360" s="17">
        <v>1300</v>
      </c>
      <c r="I1360" s="6">
        <f>Tabela1[[#This Row],[Valor total]]-Tabela1[[#This Row],[Valor custo]]</f>
        <v>592.77</v>
      </c>
      <c r="J1360" s="7">
        <f>Tabela1[[#This Row],[MARGEM BRUTA]]/Tabela1[[#This Row],[Valor total]]</f>
        <v>0.45597692307692306</v>
      </c>
      <c r="K1360" s="1" t="str">
        <f>VLOOKUP(Tabela1[[#This Row],[Cliente]],'BASE DE CLIENTES'!A:D,4,0)</f>
        <v>EMPRESA COM MAQUINA</v>
      </c>
      <c r="L1360" s="1" t="str">
        <f>VLOOKUP(Tabela1[[#This Row],[Cliente]],'BASE DE CLIENTES'!A:E,5,0)</f>
        <v>Goiânia</v>
      </c>
    </row>
    <row r="1361" spans="2:12" x14ac:dyDescent="0.3">
      <c r="B1361" s="1" t="s">
        <v>199</v>
      </c>
      <c r="C1361" s="4" t="str">
        <f>VLOOKUP(Tabela1[[#This Row],[Cliente]],'BASE DE CLIENTES'!A:E,2,0)</f>
        <v>Goiânia</v>
      </c>
      <c r="D1361" s="1" t="str">
        <f>VLOOKUP(Tabela1[[#This Row],[Cliente]],'BASE DE CLIENTES'!A:C,3,0)</f>
        <v>GO</v>
      </c>
      <c r="E1361" s="4" t="str">
        <f>CONCATENATE(Tabela1[[#This Row],[CIDADE]],",",Tabela1[[#This Row],[UF]])</f>
        <v>Goiânia,GO</v>
      </c>
      <c r="F1361" s="2">
        <v>45706</v>
      </c>
      <c r="G1361" s="17">
        <v>4071.71</v>
      </c>
      <c r="H1361" s="17">
        <v>6350</v>
      </c>
      <c r="I1361" s="6">
        <f>Tabela1[[#This Row],[Valor total]]-Tabela1[[#This Row],[Valor custo]]</f>
        <v>2278.29</v>
      </c>
      <c r="J1361" s="7">
        <f>Tabela1[[#This Row],[MARGEM BRUTA]]/Tabela1[[#This Row],[Valor total]]</f>
        <v>0.35878582677165355</v>
      </c>
      <c r="K1361" s="1" t="str">
        <f>VLOOKUP(Tabela1[[#This Row],[Cliente]],'BASE DE CLIENTES'!A:D,4,0)</f>
        <v>EMPRESA COM MAQUINA</v>
      </c>
      <c r="L1361" s="1" t="str">
        <f>VLOOKUP(Tabela1[[#This Row],[Cliente]],'BASE DE CLIENTES'!A:E,5,0)</f>
        <v>Goiânia</v>
      </c>
    </row>
    <row r="1362" spans="2:12" x14ac:dyDescent="0.3">
      <c r="B1362" s="1" t="s">
        <v>96</v>
      </c>
      <c r="C1362" s="4" t="str">
        <f>VLOOKUP(Tabela1[[#This Row],[Cliente]],'BASE DE CLIENTES'!A:E,2,0)</f>
        <v>Brasília</v>
      </c>
      <c r="D1362" s="1" t="str">
        <f>VLOOKUP(Tabela1[[#This Row],[Cliente]],'BASE DE CLIENTES'!A:C,3,0)</f>
        <v>DF</v>
      </c>
      <c r="E1362" s="4" t="str">
        <f>CONCATENATE(Tabela1[[#This Row],[CIDADE]],",",Tabela1[[#This Row],[UF]])</f>
        <v>Brasília,DF</v>
      </c>
      <c r="F1362" s="2">
        <v>45826</v>
      </c>
      <c r="G1362" s="17">
        <v>1892</v>
      </c>
      <c r="H1362" s="17">
        <v>2880</v>
      </c>
      <c r="I1362" s="6">
        <f>Tabela1[[#This Row],[Valor total]]-Tabela1[[#This Row],[Valor custo]]</f>
        <v>988</v>
      </c>
      <c r="J1362" s="7">
        <f>Tabela1[[#This Row],[MARGEM BRUTA]]/Tabela1[[#This Row],[Valor total]]</f>
        <v>0.34305555555555556</v>
      </c>
      <c r="K1362" s="1" t="str">
        <f>VLOOKUP(Tabela1[[#This Row],[Cliente]],'BASE DE CLIENTES'!A:D,4,0)</f>
        <v>EMPRESA SEM MAQUINA</v>
      </c>
      <c r="L1362" s="1" t="str">
        <f>VLOOKUP(Tabela1[[#This Row],[Cliente]],'BASE DE CLIENTES'!A:E,5,0)</f>
        <v>CEILANDIA NORTE (CEILANDIA)</v>
      </c>
    </row>
    <row r="1363" spans="2:12" x14ac:dyDescent="0.3">
      <c r="B1363" s="1" t="s">
        <v>199</v>
      </c>
      <c r="C1363" s="4" t="str">
        <f>VLOOKUP(Tabela1[[#This Row],[Cliente]],'BASE DE CLIENTES'!A:E,2,0)</f>
        <v>Goiânia</v>
      </c>
      <c r="D1363" s="1" t="str">
        <f>VLOOKUP(Tabela1[[#This Row],[Cliente]],'BASE DE CLIENTES'!A:C,3,0)</f>
        <v>GO</v>
      </c>
      <c r="E1363" s="4" t="str">
        <f>CONCATENATE(Tabela1[[#This Row],[CIDADE]],",",Tabela1[[#This Row],[UF]])</f>
        <v>Goiânia,GO</v>
      </c>
      <c r="F1363" s="2">
        <v>45700</v>
      </c>
      <c r="G1363" s="17">
        <v>4225.26</v>
      </c>
      <c r="H1363" s="17">
        <v>7050</v>
      </c>
      <c r="I1363" s="6">
        <f>Tabela1[[#This Row],[Valor total]]-Tabela1[[#This Row],[Valor custo]]</f>
        <v>2824.74</v>
      </c>
      <c r="J1363" s="7">
        <f>Tabela1[[#This Row],[MARGEM BRUTA]]/Tabela1[[#This Row],[Valor total]]</f>
        <v>0.4006723404255319</v>
      </c>
      <c r="K1363" s="1" t="str">
        <f>VLOOKUP(Tabela1[[#This Row],[Cliente]],'BASE DE CLIENTES'!A:D,4,0)</f>
        <v>EMPRESA COM MAQUINA</v>
      </c>
      <c r="L1363" s="1" t="str">
        <f>VLOOKUP(Tabela1[[#This Row],[Cliente]],'BASE DE CLIENTES'!A:E,5,0)</f>
        <v>Goiânia</v>
      </c>
    </row>
    <row r="1364" spans="2:12" x14ac:dyDescent="0.3">
      <c r="B1364" s="1" t="s">
        <v>107</v>
      </c>
      <c r="C1364" s="4" t="str">
        <f>VLOOKUP(Tabela1[[#This Row],[Cliente]],'BASE DE CLIENTES'!A:E,2,0)</f>
        <v>Planaltina</v>
      </c>
      <c r="D1364" s="1" t="str">
        <f>VLOOKUP(Tabela1[[#This Row],[Cliente]],'BASE DE CLIENTES'!A:C,3,0)</f>
        <v>DF</v>
      </c>
      <c r="E1364" s="4" t="str">
        <f>CONCATENATE(Tabela1[[#This Row],[CIDADE]],",",Tabela1[[#This Row],[UF]])</f>
        <v>Planaltina,DF</v>
      </c>
      <c r="F1364" s="2">
        <v>45826</v>
      </c>
      <c r="G1364" s="17">
        <v>497</v>
      </c>
      <c r="H1364" s="17">
        <v>650</v>
      </c>
      <c r="I1364" s="6">
        <f>Tabela1[[#This Row],[Valor total]]-Tabela1[[#This Row],[Valor custo]]</f>
        <v>153</v>
      </c>
      <c r="J1364" s="7">
        <f>Tabela1[[#This Row],[MARGEM BRUTA]]/Tabela1[[#This Row],[Valor total]]</f>
        <v>0.23538461538461539</v>
      </c>
      <c r="K1364" s="1" t="str">
        <f>VLOOKUP(Tabela1[[#This Row],[Cliente]],'BASE DE CLIENTES'!A:D,4,0)</f>
        <v>EMPRESA COM MAQUINA</v>
      </c>
      <c r="L1364" s="1" t="str">
        <f>VLOOKUP(Tabela1[[#This Row],[Cliente]],'BASE DE CLIENTES'!A:E,5,0)</f>
        <v>SETOR LESTE</v>
      </c>
    </row>
    <row r="1365" spans="2:12" x14ac:dyDescent="0.3">
      <c r="B1365" s="1" t="s">
        <v>206</v>
      </c>
      <c r="C1365" s="4" t="str">
        <f>VLOOKUP(Tabela1[[#This Row],[Cliente]],'BASE DE CLIENTES'!A:E,2,0)</f>
        <v>Goiânia</v>
      </c>
      <c r="D1365" s="1" t="str">
        <f>VLOOKUP(Tabela1[[#This Row],[Cliente]],'BASE DE CLIENTES'!A:C,3,0)</f>
        <v>GO</v>
      </c>
      <c r="E1365" s="4" t="str">
        <f>CONCATENATE(Tabela1[[#This Row],[CIDADE]],",",Tabela1[[#This Row],[UF]])</f>
        <v>Goiânia,GO</v>
      </c>
      <c r="F1365" s="2">
        <v>45694</v>
      </c>
      <c r="G1365" s="17">
        <v>6853.8</v>
      </c>
      <c r="H1365" s="17">
        <v>9540</v>
      </c>
      <c r="I1365" s="6">
        <f>Tabela1[[#This Row],[Valor total]]-Tabela1[[#This Row],[Valor custo]]</f>
        <v>2686.2</v>
      </c>
      <c r="J1365" s="7">
        <f>Tabela1[[#This Row],[MARGEM BRUTA]]/Tabela1[[#This Row],[Valor total]]</f>
        <v>0.28157232704402513</v>
      </c>
      <c r="K1365" s="1" t="str">
        <f>VLOOKUP(Tabela1[[#This Row],[Cliente]],'BASE DE CLIENTES'!A:D,4,0)</f>
        <v>EMPRESA COM MAQUINA</v>
      </c>
      <c r="L1365" s="1" t="str">
        <f>VLOOKUP(Tabela1[[#This Row],[Cliente]],'BASE DE CLIENTES'!A:E,5,0)</f>
        <v>Goiânia</v>
      </c>
    </row>
    <row r="1366" spans="2:12" x14ac:dyDescent="0.3">
      <c r="B1366" s="1" t="s">
        <v>100</v>
      </c>
      <c r="C1366" s="4" t="str">
        <f>VLOOKUP(Tabela1[[#This Row],[Cliente]],'BASE DE CLIENTES'!A:E,2,0)</f>
        <v>Águas Lindas de Goiás</v>
      </c>
      <c r="D1366" s="1" t="str">
        <f>VLOOKUP(Tabela1[[#This Row],[Cliente]],'BASE DE CLIENTES'!A:C,3,0)</f>
        <v>GO</v>
      </c>
      <c r="E1366" s="4" t="str">
        <f>CONCATENATE(Tabela1[[#This Row],[CIDADE]],",",Tabela1[[#This Row],[UF]])</f>
        <v>Águas Lindas de Goiás,GO</v>
      </c>
      <c r="F1366" s="2">
        <v>45826</v>
      </c>
      <c r="G1366" s="17">
        <v>447</v>
      </c>
      <c r="H1366" s="17">
        <v>645</v>
      </c>
      <c r="I1366" s="6">
        <f>Tabela1[[#This Row],[Valor total]]-Tabela1[[#This Row],[Valor custo]]</f>
        <v>198</v>
      </c>
      <c r="J1366" s="7">
        <f>Tabela1[[#This Row],[MARGEM BRUTA]]/Tabela1[[#This Row],[Valor total]]</f>
        <v>0.30697674418604654</v>
      </c>
      <c r="K1366" s="1" t="str">
        <f>VLOOKUP(Tabela1[[#This Row],[Cliente]],'BASE DE CLIENTES'!A:D,4,0)</f>
        <v>EMPRESA SEM MAQUINA</v>
      </c>
      <c r="L1366" s="1" t="str">
        <f>VLOOKUP(Tabela1[[#This Row],[Cliente]],'BASE DE CLIENTES'!A:E,5,0)</f>
        <v>Águas Lindas de Goiás</v>
      </c>
    </row>
    <row r="1367" spans="2:12" x14ac:dyDescent="0.3">
      <c r="B1367" s="1" t="s">
        <v>111</v>
      </c>
      <c r="C1367" s="4" t="str">
        <f>VLOOKUP(Tabela1[[#This Row],[Cliente]],'BASE DE CLIENTES'!A:E,2,0)</f>
        <v>Brasília</v>
      </c>
      <c r="D1367" s="1" t="str">
        <f>VLOOKUP(Tabela1[[#This Row],[Cliente]],'BASE DE CLIENTES'!A:C,3,0)</f>
        <v>DF</v>
      </c>
      <c r="E1367" s="4" t="str">
        <f>CONCATENATE(Tabela1[[#This Row],[CIDADE]],",",Tabela1[[#This Row],[UF]])</f>
        <v>Brasília,DF</v>
      </c>
      <c r="F1367" s="2">
        <v>45826</v>
      </c>
      <c r="G1367" s="17">
        <v>33.56</v>
      </c>
      <c r="H1367" s="17">
        <v>445</v>
      </c>
      <c r="I1367" s="6">
        <f>Tabela1[[#This Row],[Valor total]]-Tabela1[[#This Row],[Valor custo]]</f>
        <v>411.44</v>
      </c>
      <c r="J1367" s="7">
        <f>Tabela1[[#This Row],[MARGEM BRUTA]]/Tabela1[[#This Row],[Valor total]]</f>
        <v>0.9245842696629214</v>
      </c>
      <c r="K1367" s="1" t="str">
        <f>VLOOKUP(Tabela1[[#This Row],[Cliente]],'BASE DE CLIENTES'!A:D,4,0)</f>
        <v>EMPRESA SEM MAQUINA</v>
      </c>
      <c r="L1367" s="1" t="str">
        <f>VLOOKUP(Tabela1[[#This Row],[Cliente]],'BASE DE CLIENTES'!A:E,5,0)</f>
        <v>TAGUATINGA SUL (TAGUATINGA)</v>
      </c>
    </row>
    <row r="1368" spans="2:12" x14ac:dyDescent="0.3">
      <c r="B1368" s="1" t="s">
        <v>68</v>
      </c>
      <c r="C1368" s="4" t="str">
        <f>VLOOKUP(Tabela1[[#This Row],[Cliente]],'BASE DE CLIENTES'!A:E,2,0)</f>
        <v>Brasília</v>
      </c>
      <c r="D1368" s="1" t="str">
        <f>VLOOKUP(Tabela1[[#This Row],[Cliente]],'BASE DE CLIENTES'!A:C,3,0)</f>
        <v>DF</v>
      </c>
      <c r="E1368" s="4" t="str">
        <f>CONCATENATE(Tabela1[[#This Row],[CIDADE]],",",Tabela1[[#This Row],[UF]])</f>
        <v>Brasília,DF</v>
      </c>
      <c r="F1368" s="2">
        <v>45826</v>
      </c>
      <c r="G1368" s="17">
        <v>7251.48</v>
      </c>
      <c r="H1368" s="17">
        <v>10045</v>
      </c>
      <c r="I1368" s="6">
        <f>Tabela1[[#This Row],[Valor total]]-Tabela1[[#This Row],[Valor custo]]</f>
        <v>2793.5200000000004</v>
      </c>
      <c r="J1368" s="7">
        <f>Tabela1[[#This Row],[MARGEM BRUTA]]/Tabela1[[#This Row],[Valor total]]</f>
        <v>0.27810054753608765</v>
      </c>
      <c r="K1368" s="1" t="str">
        <f>VLOOKUP(Tabela1[[#This Row],[Cliente]],'BASE DE CLIENTES'!A:D,4,0)</f>
        <v>EMPRESA COM MAQUINA</v>
      </c>
      <c r="L1368" s="1" t="str">
        <f>VLOOKUP(Tabela1[[#This Row],[Cliente]],'BASE DE CLIENTES'!A:E,5,0)</f>
        <v>SAMAMBAIA SUL (SAMAMBAIA)</v>
      </c>
    </row>
    <row r="1369" spans="2:12" x14ac:dyDescent="0.3">
      <c r="B1369" s="1" t="s">
        <v>195</v>
      </c>
      <c r="C1369" s="4" t="str">
        <f>VLOOKUP(Tabela1[[#This Row],[Cliente]],'BASE DE CLIENTES'!A:E,2,0)</f>
        <v>Goiânia</v>
      </c>
      <c r="D1369" s="1" t="str">
        <f>VLOOKUP(Tabela1[[#This Row],[Cliente]],'BASE DE CLIENTES'!A:C,3,0)</f>
        <v>GO</v>
      </c>
      <c r="E1369" s="4" t="str">
        <f>CONCATENATE(Tabela1[[#This Row],[CIDADE]],",",Tabela1[[#This Row],[UF]])</f>
        <v>Goiânia,GO</v>
      </c>
      <c r="F1369" s="2">
        <v>45694</v>
      </c>
      <c r="G1369" s="17">
        <v>5748.56</v>
      </c>
      <c r="H1369" s="17">
        <v>10000</v>
      </c>
      <c r="I1369" s="6">
        <f>Tabela1[[#This Row],[Valor total]]-Tabela1[[#This Row],[Valor custo]]</f>
        <v>4251.4399999999996</v>
      </c>
      <c r="J1369" s="7">
        <f>Tabela1[[#This Row],[MARGEM BRUTA]]/Tabela1[[#This Row],[Valor total]]</f>
        <v>0.42514399999999997</v>
      </c>
      <c r="K1369" s="1" t="str">
        <f>VLOOKUP(Tabela1[[#This Row],[Cliente]],'BASE DE CLIENTES'!A:D,4,0)</f>
        <v>EMPRESA COM MAQUINA</v>
      </c>
      <c r="L1369" s="1" t="str">
        <f>VLOOKUP(Tabela1[[#This Row],[Cliente]],'BASE DE CLIENTES'!A:E,5,0)</f>
        <v>Goiânia</v>
      </c>
    </row>
    <row r="1370" spans="2:12" x14ac:dyDescent="0.3">
      <c r="B1370" s="1" t="s">
        <v>27</v>
      </c>
      <c r="C1370" s="4" t="str">
        <f>VLOOKUP(Tabela1[[#This Row],[Cliente]],'BASE DE CLIENTES'!A:E,2,0)</f>
        <v>Brasília</v>
      </c>
      <c r="D1370" s="1" t="str">
        <f>VLOOKUP(Tabela1[[#This Row],[Cliente]],'BASE DE CLIENTES'!A:C,3,0)</f>
        <v>DF</v>
      </c>
      <c r="E1370" s="4" t="str">
        <f>CONCATENATE(Tabela1[[#This Row],[CIDADE]],",",Tabela1[[#This Row],[UF]])</f>
        <v>Brasília,DF</v>
      </c>
      <c r="F1370" s="2">
        <v>45825</v>
      </c>
      <c r="G1370" s="17">
        <v>409.87</v>
      </c>
      <c r="H1370" s="17">
        <v>585</v>
      </c>
      <c r="I1370" s="6">
        <f>Tabela1[[#This Row],[Valor total]]-Tabela1[[#This Row],[Valor custo]]</f>
        <v>175.13</v>
      </c>
      <c r="J1370" s="7">
        <f>Tabela1[[#This Row],[MARGEM BRUTA]]/Tabela1[[#This Row],[Valor total]]</f>
        <v>0.29936752136752137</v>
      </c>
      <c r="K1370" s="1" t="str">
        <f>VLOOKUP(Tabela1[[#This Row],[Cliente]],'BASE DE CLIENTES'!A:D,4,0)</f>
        <v>EMPRESA SEM MAQUINA</v>
      </c>
      <c r="L1370" s="1" t="str">
        <f>VLOOKUP(Tabela1[[#This Row],[Cliente]],'BASE DE CLIENTES'!A:E,5,0)</f>
        <v>RECANTO DAS EMAS</v>
      </c>
    </row>
    <row r="1371" spans="2:12" x14ac:dyDescent="0.3">
      <c r="B1371" s="1" t="s">
        <v>190</v>
      </c>
      <c r="C1371" s="4" t="str">
        <f>VLOOKUP(Tabela1[[#This Row],[Cliente]],'BASE DE CLIENTES'!A:E,2,0)</f>
        <v>Brasília</v>
      </c>
      <c r="D1371" s="1" t="str">
        <f>VLOOKUP(Tabela1[[#This Row],[Cliente]],'BASE DE CLIENTES'!A:C,3,0)</f>
        <v>DF</v>
      </c>
      <c r="E1371" s="4" t="str">
        <f>CONCATENATE(Tabela1[[#This Row],[CIDADE]],",",Tabela1[[#This Row],[UF]])</f>
        <v>Brasília,DF</v>
      </c>
      <c r="F1371" s="2">
        <v>45825</v>
      </c>
      <c r="G1371" s="17">
        <v>540.99</v>
      </c>
      <c r="H1371" s="17">
        <v>800</v>
      </c>
      <c r="I1371" s="6">
        <f>Tabela1[[#This Row],[Valor total]]-Tabela1[[#This Row],[Valor custo]]</f>
        <v>259.01</v>
      </c>
      <c r="J1371" s="7">
        <f>Tabela1[[#This Row],[MARGEM BRUTA]]/Tabela1[[#This Row],[Valor total]]</f>
        <v>0.32376250000000001</v>
      </c>
      <c r="K1371" s="1" t="str">
        <f>VLOOKUP(Tabela1[[#This Row],[Cliente]],'BASE DE CLIENTES'!A:D,4,0)</f>
        <v>EMPRESA COM MAQUINA</v>
      </c>
      <c r="L1371" s="1" t="str">
        <f>VLOOKUP(Tabela1[[#This Row],[Cliente]],'BASE DE CLIENTES'!A:E,5,0)</f>
        <v>RIACHO FUNDO I</v>
      </c>
    </row>
    <row r="1372" spans="2:12" x14ac:dyDescent="0.3">
      <c r="B1372" s="1" t="s">
        <v>36</v>
      </c>
      <c r="C1372" s="4" t="str">
        <f>VLOOKUP(Tabela1[[#This Row],[Cliente]],'BASE DE CLIENTES'!A:E,2,0)</f>
        <v>Brasília</v>
      </c>
      <c r="D1372" s="1" t="str">
        <f>VLOOKUP(Tabela1[[#This Row],[Cliente]],'BASE DE CLIENTES'!A:C,3,0)</f>
        <v>DF</v>
      </c>
      <c r="E1372" s="4" t="str">
        <f>CONCATENATE(Tabela1[[#This Row],[CIDADE]],",",Tabela1[[#This Row],[UF]])</f>
        <v>Brasília,DF</v>
      </c>
      <c r="F1372" s="2">
        <v>45825</v>
      </c>
      <c r="G1372" s="17">
        <v>447</v>
      </c>
      <c r="H1372" s="17">
        <v>640</v>
      </c>
      <c r="I1372" s="6">
        <f>Tabela1[[#This Row],[Valor total]]-Tabela1[[#This Row],[Valor custo]]</f>
        <v>193</v>
      </c>
      <c r="J1372" s="7">
        <f>Tabela1[[#This Row],[MARGEM BRUTA]]/Tabela1[[#This Row],[Valor total]]</f>
        <v>0.30156250000000001</v>
      </c>
      <c r="K1372" s="1" t="str">
        <f>VLOOKUP(Tabela1[[#This Row],[Cliente]],'BASE DE CLIENTES'!A:D,4,0)</f>
        <v>SERRALHEIRO</v>
      </c>
      <c r="L1372" s="1" t="str">
        <f>VLOOKUP(Tabela1[[#This Row],[Cliente]],'BASE DE CLIENTES'!A:E,5,0)</f>
        <v>CEILANDIA SUL (CEILANDIA)</v>
      </c>
    </row>
    <row r="1373" spans="2:12" x14ac:dyDescent="0.3">
      <c r="B1373" s="1" t="s">
        <v>193</v>
      </c>
      <c r="C1373" s="4" t="str">
        <f>VLOOKUP(Tabela1[[#This Row],[Cliente]],'BASE DE CLIENTES'!A:E,2,0)</f>
        <v>Goiânia</v>
      </c>
      <c r="D1373" s="1" t="str">
        <f>VLOOKUP(Tabela1[[#This Row],[Cliente]],'BASE DE CLIENTES'!A:C,3,0)</f>
        <v>GO</v>
      </c>
      <c r="E1373" s="4" t="str">
        <f>CONCATENATE(Tabela1[[#This Row],[CIDADE]],",",Tabela1[[#This Row],[UF]])</f>
        <v>Goiânia,GO</v>
      </c>
      <c r="F1373" s="2">
        <v>45693</v>
      </c>
      <c r="G1373" s="17">
        <v>4887.3500000000004</v>
      </c>
      <c r="H1373" s="17">
        <v>7080</v>
      </c>
      <c r="I1373" s="6">
        <f>Tabela1[[#This Row],[Valor total]]-Tabela1[[#This Row],[Valor custo]]</f>
        <v>2192.6499999999996</v>
      </c>
      <c r="J1373" s="7">
        <f>Tabela1[[#This Row],[MARGEM BRUTA]]/Tabela1[[#This Row],[Valor total]]</f>
        <v>0.30969632768361577</v>
      </c>
      <c r="K1373" s="1" t="str">
        <f>VLOOKUP(Tabela1[[#This Row],[Cliente]],'BASE DE CLIENTES'!A:D,4,0)</f>
        <v>SEM CLASSIFICAÇÃO</v>
      </c>
      <c r="L1373" s="1" t="str">
        <f>VLOOKUP(Tabela1[[#This Row],[Cliente]],'BASE DE CLIENTES'!A:E,5,0)</f>
        <v>Goiânia</v>
      </c>
    </row>
    <row r="1374" spans="2:12" x14ac:dyDescent="0.3">
      <c r="B1374" s="1" t="s">
        <v>120</v>
      </c>
      <c r="C1374" s="4" t="str">
        <f>VLOOKUP(Tabela1[[#This Row],[Cliente]],'BASE DE CLIENTES'!A:E,2,0)</f>
        <v>Brasília</v>
      </c>
      <c r="D1374" s="1" t="str">
        <f>VLOOKUP(Tabela1[[#This Row],[Cliente]],'BASE DE CLIENTES'!A:C,3,0)</f>
        <v>DF</v>
      </c>
      <c r="E1374" s="4" t="str">
        <f>CONCATENATE(Tabela1[[#This Row],[CIDADE]],",",Tabela1[[#This Row],[UF]])</f>
        <v>Brasília,DF</v>
      </c>
      <c r="F1374" s="2">
        <v>45846</v>
      </c>
      <c r="G1374" s="17">
        <v>2982</v>
      </c>
      <c r="H1374" s="17">
        <v>4500</v>
      </c>
      <c r="I1374" s="6">
        <f>Tabela1[[#This Row],[Valor total]]-Tabela1[[#This Row],[Valor custo]]</f>
        <v>1518</v>
      </c>
      <c r="J1374" s="7">
        <f>Tabela1[[#This Row],[MARGEM BRUTA]]/Tabela1[[#This Row],[Valor total]]</f>
        <v>0.33733333333333332</v>
      </c>
      <c r="K1374" s="1" t="str">
        <f>VLOOKUP(Tabela1[[#This Row],[Cliente]],'BASE DE CLIENTES'!A:D,4,0)</f>
        <v>EMPRESA SEM MAQUINA</v>
      </c>
      <c r="L1374" s="1" t="str">
        <f>VLOOKUP(Tabela1[[#This Row],[Cliente]],'BASE DE CLIENTES'!A:E,5,0)</f>
        <v>SAMAMBAIA</v>
      </c>
    </row>
    <row r="1375" spans="2:12" x14ac:dyDescent="0.3">
      <c r="B1375" s="1" t="s">
        <v>216</v>
      </c>
      <c r="C1375" s="4" t="str">
        <f>VLOOKUP(Tabela1[[#This Row],[Cliente]],'BASE DE CLIENTES'!A:E,2,0)</f>
        <v>Brasília</v>
      </c>
      <c r="D1375" s="1" t="str">
        <f>VLOOKUP(Tabela1[[#This Row],[Cliente]],'BASE DE CLIENTES'!A:C,3,0)</f>
        <v>DF</v>
      </c>
      <c r="E1375" s="4" t="str">
        <f>CONCATENATE(Tabela1[[#This Row],[CIDADE]],",",Tabela1[[#This Row],[UF]])</f>
        <v>Brasília,DF</v>
      </c>
      <c r="F1375" s="2">
        <v>45825</v>
      </c>
      <c r="G1375" s="17">
        <v>11513</v>
      </c>
      <c r="H1375" s="17">
        <v>15000</v>
      </c>
      <c r="I1375" s="6">
        <f>Tabela1[[#This Row],[Valor total]]-Tabela1[[#This Row],[Valor custo]]</f>
        <v>3487</v>
      </c>
      <c r="J1375" s="7">
        <f>Tabela1[[#This Row],[MARGEM BRUTA]]/Tabela1[[#This Row],[Valor total]]</f>
        <v>0.23246666666666665</v>
      </c>
      <c r="K1375" s="1" t="str">
        <f>VLOOKUP(Tabela1[[#This Row],[Cliente]],'BASE DE CLIENTES'!A:D,4,0)</f>
        <v>EMPRESA COM MAQUINA</v>
      </c>
      <c r="L1375" s="1" t="str">
        <f>VLOOKUP(Tabela1[[#This Row],[Cliente]],'BASE DE CLIENTES'!A:E,5,0)</f>
        <v>RIACHO FUNDO II</v>
      </c>
    </row>
    <row r="1376" spans="2:12" x14ac:dyDescent="0.3">
      <c r="B1376" s="1" t="s">
        <v>106</v>
      </c>
      <c r="C1376" s="4" t="str">
        <f>VLOOKUP(Tabela1[[#This Row],[Cliente]],'BASE DE CLIENTES'!A:E,2,0)</f>
        <v>Brasília</v>
      </c>
      <c r="D1376" s="1" t="str">
        <f>VLOOKUP(Tabela1[[#This Row],[Cliente]],'BASE DE CLIENTES'!A:C,3,0)</f>
        <v>DF</v>
      </c>
      <c r="E1376" s="4" t="str">
        <f>CONCATENATE(Tabela1[[#This Row],[CIDADE]],",",Tabela1[[#This Row],[UF]])</f>
        <v>Brasília,DF</v>
      </c>
      <c r="F1376" s="2">
        <v>45825</v>
      </c>
      <c r="G1376" s="17">
        <v>409.87</v>
      </c>
      <c r="H1376" s="17">
        <v>570</v>
      </c>
      <c r="I1376" s="6">
        <f>Tabela1[[#This Row],[Valor total]]-Tabela1[[#This Row],[Valor custo]]</f>
        <v>160.13</v>
      </c>
      <c r="J1376" s="7">
        <f>Tabela1[[#This Row],[MARGEM BRUTA]]/Tabela1[[#This Row],[Valor total]]</f>
        <v>0.28092982456140347</v>
      </c>
      <c r="K1376" s="1" t="str">
        <f>VLOOKUP(Tabela1[[#This Row],[Cliente]],'BASE DE CLIENTES'!A:D,4,0)</f>
        <v>EMPRESA COM MAQUINA</v>
      </c>
      <c r="L1376" s="1" t="str">
        <f>VLOOKUP(Tabela1[[#This Row],[Cliente]],'BASE DE CLIENTES'!A:E,5,0)</f>
        <v>26 DE SETEMBRO</v>
      </c>
    </row>
    <row r="1377" spans="2:12" x14ac:dyDescent="0.3">
      <c r="B1377" s="1" t="s">
        <v>68</v>
      </c>
      <c r="C1377" s="4" t="str">
        <f>VLOOKUP(Tabela1[[#This Row],[Cliente]],'BASE DE CLIENTES'!A:E,2,0)</f>
        <v>Brasília</v>
      </c>
      <c r="D1377" s="1" t="str">
        <f>VLOOKUP(Tabela1[[#This Row],[Cliente]],'BASE DE CLIENTES'!A:C,3,0)</f>
        <v>DF</v>
      </c>
      <c r="E1377" s="4" t="str">
        <f>CONCATENATE(Tabela1[[#This Row],[CIDADE]],",",Tabela1[[#This Row],[UF]])</f>
        <v>Brasília,DF</v>
      </c>
      <c r="F1377" s="2">
        <v>45825</v>
      </c>
      <c r="G1377" s="17">
        <v>0</v>
      </c>
      <c r="H1377" s="17">
        <v>350</v>
      </c>
      <c r="I1377" s="6">
        <f>Tabela1[[#This Row],[Valor total]]-Tabela1[[#This Row],[Valor custo]]</f>
        <v>350</v>
      </c>
      <c r="J1377" s="7">
        <f>Tabela1[[#This Row],[MARGEM BRUTA]]/Tabela1[[#This Row],[Valor total]]</f>
        <v>1</v>
      </c>
      <c r="K1377" s="1" t="str">
        <f>VLOOKUP(Tabela1[[#This Row],[Cliente]],'BASE DE CLIENTES'!A:D,4,0)</f>
        <v>EMPRESA COM MAQUINA</v>
      </c>
      <c r="L1377" s="1" t="str">
        <f>VLOOKUP(Tabela1[[#This Row],[Cliente]],'BASE DE CLIENTES'!A:E,5,0)</f>
        <v>SAMAMBAIA SUL (SAMAMBAIA)</v>
      </c>
    </row>
    <row r="1378" spans="2:12" x14ac:dyDescent="0.3">
      <c r="B1378" s="1" t="s">
        <v>107</v>
      </c>
      <c r="C1378" s="4" t="str">
        <f>VLOOKUP(Tabela1[[#This Row],[Cliente]],'BASE DE CLIENTES'!A:E,2,0)</f>
        <v>Planaltina</v>
      </c>
      <c r="D1378" s="1" t="str">
        <f>VLOOKUP(Tabela1[[#This Row],[Cliente]],'BASE DE CLIENTES'!A:C,3,0)</f>
        <v>DF</v>
      </c>
      <c r="E1378" s="4" t="str">
        <f>CONCATENATE(Tabela1[[#This Row],[CIDADE]],",",Tabela1[[#This Row],[UF]])</f>
        <v>Planaltina,DF</v>
      </c>
      <c r="F1378" s="2">
        <v>45825</v>
      </c>
      <c r="G1378" s="17">
        <v>1645</v>
      </c>
      <c r="H1378" s="17">
        <v>2400</v>
      </c>
      <c r="I1378" s="6">
        <f>Tabela1[[#This Row],[Valor total]]-Tabela1[[#This Row],[Valor custo]]</f>
        <v>755</v>
      </c>
      <c r="J1378" s="7">
        <f>Tabela1[[#This Row],[MARGEM BRUTA]]/Tabela1[[#This Row],[Valor total]]</f>
        <v>0.31458333333333333</v>
      </c>
      <c r="K1378" s="1" t="str">
        <f>VLOOKUP(Tabela1[[#This Row],[Cliente]],'BASE DE CLIENTES'!A:D,4,0)</f>
        <v>EMPRESA COM MAQUINA</v>
      </c>
      <c r="L1378" s="1" t="str">
        <f>VLOOKUP(Tabela1[[#This Row],[Cliente]],'BASE DE CLIENTES'!A:E,5,0)</f>
        <v>SETOR LESTE</v>
      </c>
    </row>
    <row r="1379" spans="2:12" x14ac:dyDescent="0.3">
      <c r="B1379" s="1" t="s">
        <v>199</v>
      </c>
      <c r="C1379" s="4" t="str">
        <f>VLOOKUP(Tabela1[[#This Row],[Cliente]],'BASE DE CLIENTES'!A:E,2,0)</f>
        <v>Goiânia</v>
      </c>
      <c r="D1379" s="1" t="str">
        <f>VLOOKUP(Tabela1[[#This Row],[Cliente]],'BASE DE CLIENTES'!A:C,3,0)</f>
        <v>GO</v>
      </c>
      <c r="E1379" s="4" t="str">
        <f>CONCATENATE(Tabela1[[#This Row],[CIDADE]],",",Tabela1[[#This Row],[UF]])</f>
        <v>Goiânia,GO</v>
      </c>
      <c r="F1379" s="2">
        <v>45691</v>
      </c>
      <c r="G1379" s="17">
        <v>4459.29</v>
      </c>
      <c r="H1379" s="17">
        <v>6560</v>
      </c>
      <c r="I1379" s="6">
        <f>Tabela1[[#This Row],[Valor total]]-Tabela1[[#This Row],[Valor custo]]</f>
        <v>2100.71</v>
      </c>
      <c r="J1379" s="7">
        <f>Tabela1[[#This Row],[MARGEM BRUTA]]/Tabela1[[#This Row],[Valor total]]</f>
        <v>0.32023018292682925</v>
      </c>
      <c r="K1379" s="1" t="str">
        <f>VLOOKUP(Tabela1[[#This Row],[Cliente]],'BASE DE CLIENTES'!A:D,4,0)</f>
        <v>EMPRESA COM MAQUINA</v>
      </c>
      <c r="L1379" s="1" t="str">
        <f>VLOOKUP(Tabela1[[#This Row],[Cliente]],'BASE DE CLIENTES'!A:E,5,0)</f>
        <v>Goiânia</v>
      </c>
    </row>
    <row r="1380" spans="2:12" x14ac:dyDescent="0.3">
      <c r="B1380" s="1" t="s">
        <v>213</v>
      </c>
      <c r="C1380" s="4" t="str">
        <f>VLOOKUP(Tabela1[[#This Row],[Cliente]],'BASE DE CLIENTES'!A:E,2,0)</f>
        <v>Goiânia</v>
      </c>
      <c r="D1380" s="1" t="str">
        <f>VLOOKUP(Tabela1[[#This Row],[Cliente]],'BASE DE CLIENTES'!A:C,3,0)</f>
        <v>GO</v>
      </c>
      <c r="E1380" s="4" t="str">
        <f>CONCATENATE(Tabela1[[#This Row],[CIDADE]],",",Tabela1[[#This Row],[UF]])</f>
        <v>Goiânia,GO</v>
      </c>
      <c r="F1380" s="2">
        <v>45691</v>
      </c>
      <c r="G1380" s="17">
        <v>6629</v>
      </c>
      <c r="H1380" s="17">
        <v>9380</v>
      </c>
      <c r="I1380" s="6">
        <f>Tabela1[[#This Row],[Valor total]]-Tabela1[[#This Row],[Valor custo]]</f>
        <v>2751</v>
      </c>
      <c r="J1380" s="7">
        <f>Tabela1[[#This Row],[MARGEM BRUTA]]/Tabela1[[#This Row],[Valor total]]</f>
        <v>0.29328358208955224</v>
      </c>
      <c r="K1380" s="1" t="str">
        <f>VLOOKUP(Tabela1[[#This Row],[Cliente]],'BASE DE CLIENTES'!A:D,4,0)</f>
        <v>EMPRESA COM MAQUINA</v>
      </c>
      <c r="L1380" s="1" t="str">
        <f>VLOOKUP(Tabela1[[#This Row],[Cliente]],'BASE DE CLIENTES'!A:E,5,0)</f>
        <v>Goiânia</v>
      </c>
    </row>
    <row r="1381" spans="2:12" x14ac:dyDescent="0.3">
      <c r="B1381" s="1" t="s">
        <v>195</v>
      </c>
      <c r="C1381" s="4" t="str">
        <f>VLOOKUP(Tabela1[[#This Row],[Cliente]],'BASE DE CLIENTES'!A:E,2,0)</f>
        <v>Goiânia</v>
      </c>
      <c r="D1381" s="1" t="str">
        <f>VLOOKUP(Tabela1[[#This Row],[Cliente]],'BASE DE CLIENTES'!A:C,3,0)</f>
        <v>GO</v>
      </c>
      <c r="E1381" s="4" t="str">
        <f>CONCATENATE(Tabela1[[#This Row],[CIDADE]],",",Tabela1[[#This Row],[UF]])</f>
        <v>Goiânia,GO</v>
      </c>
      <c r="F1381" s="2">
        <v>45689</v>
      </c>
      <c r="G1381" s="17">
        <v>4485.04</v>
      </c>
      <c r="H1381" s="17">
        <v>7600</v>
      </c>
      <c r="I1381" s="6">
        <f>Tabela1[[#This Row],[Valor total]]-Tabela1[[#This Row],[Valor custo]]</f>
        <v>3114.96</v>
      </c>
      <c r="J1381" s="7">
        <f>Tabela1[[#This Row],[MARGEM BRUTA]]/Tabela1[[#This Row],[Valor total]]</f>
        <v>0.40986315789473687</v>
      </c>
      <c r="K1381" s="1" t="str">
        <f>VLOOKUP(Tabela1[[#This Row],[Cliente]],'BASE DE CLIENTES'!A:D,4,0)</f>
        <v>EMPRESA COM MAQUINA</v>
      </c>
      <c r="L1381" s="1" t="str">
        <f>VLOOKUP(Tabela1[[#This Row],[Cliente]],'BASE DE CLIENTES'!A:E,5,0)</f>
        <v>Goiânia</v>
      </c>
    </row>
    <row r="1382" spans="2:12" x14ac:dyDescent="0.3">
      <c r="B1382" s="1" t="s">
        <v>193</v>
      </c>
      <c r="C1382" s="4" t="str">
        <f>VLOOKUP(Tabela1[[#This Row],[Cliente]],'BASE DE CLIENTES'!A:E,2,0)</f>
        <v>Goiânia</v>
      </c>
      <c r="D1382" s="1" t="str">
        <f>VLOOKUP(Tabela1[[#This Row],[Cliente]],'BASE DE CLIENTES'!A:C,3,0)</f>
        <v>GO</v>
      </c>
      <c r="E1382" s="4" t="str">
        <f>CONCATENATE(Tabela1[[#This Row],[CIDADE]],",",Tabela1[[#This Row],[UF]])</f>
        <v>Goiânia,GO</v>
      </c>
      <c r="F1382" s="2">
        <v>45747</v>
      </c>
      <c r="G1382" s="17">
        <v>725</v>
      </c>
      <c r="H1382" s="17">
        <v>1300</v>
      </c>
      <c r="I1382" s="6">
        <f>Tabela1[[#This Row],[Valor total]]-Tabela1[[#This Row],[Valor custo]]</f>
        <v>575</v>
      </c>
      <c r="J1382" s="7">
        <f>Tabela1[[#This Row],[MARGEM BRUTA]]/Tabela1[[#This Row],[Valor total]]</f>
        <v>0.44230769230769229</v>
      </c>
      <c r="K1382" s="1" t="str">
        <f>VLOOKUP(Tabela1[[#This Row],[Cliente]],'BASE DE CLIENTES'!A:D,4,0)</f>
        <v>SEM CLASSIFICAÇÃO</v>
      </c>
      <c r="L1382" s="1" t="str">
        <f>VLOOKUP(Tabela1[[#This Row],[Cliente]],'BASE DE CLIENTES'!A:E,5,0)</f>
        <v>Goiânia</v>
      </c>
    </row>
    <row r="1383" spans="2:12" x14ac:dyDescent="0.3">
      <c r="B1383" s="1" t="s">
        <v>193</v>
      </c>
      <c r="C1383" s="4" t="str">
        <f>VLOOKUP(Tabela1[[#This Row],[Cliente]],'BASE DE CLIENTES'!A:E,2,0)</f>
        <v>Goiânia</v>
      </c>
      <c r="D1383" s="1" t="str">
        <f>VLOOKUP(Tabela1[[#This Row],[Cliente]],'BASE DE CLIENTES'!A:C,3,0)</f>
        <v>GO</v>
      </c>
      <c r="E1383" s="4" t="str">
        <f>CONCATENATE(Tabela1[[#This Row],[CIDADE]],",",Tabela1[[#This Row],[UF]])</f>
        <v>Goiânia,GO</v>
      </c>
      <c r="F1383" s="2">
        <v>45743</v>
      </c>
      <c r="G1383" s="17">
        <v>1788</v>
      </c>
      <c r="H1383" s="17">
        <v>2480</v>
      </c>
      <c r="I1383" s="6">
        <f>Tabela1[[#This Row],[Valor total]]-Tabela1[[#This Row],[Valor custo]]</f>
        <v>692</v>
      </c>
      <c r="J1383" s="7">
        <f>Tabela1[[#This Row],[MARGEM BRUTA]]/Tabela1[[#This Row],[Valor total]]</f>
        <v>0.27903225806451615</v>
      </c>
      <c r="K1383" s="1" t="str">
        <f>VLOOKUP(Tabela1[[#This Row],[Cliente]],'BASE DE CLIENTES'!A:D,4,0)</f>
        <v>SEM CLASSIFICAÇÃO</v>
      </c>
      <c r="L1383" s="1" t="str">
        <f>VLOOKUP(Tabela1[[#This Row],[Cliente]],'BASE DE CLIENTES'!A:E,5,0)</f>
        <v>Goiânia</v>
      </c>
    </row>
    <row r="1384" spans="2:12" x14ac:dyDescent="0.3">
      <c r="B1384" s="1" t="s">
        <v>68</v>
      </c>
      <c r="C1384" s="4" t="str">
        <f>VLOOKUP(Tabela1[[#This Row],[Cliente]],'BASE DE CLIENTES'!A:E,2,0)</f>
        <v>Brasília</v>
      </c>
      <c r="D1384" s="1" t="str">
        <f>VLOOKUP(Tabela1[[#This Row],[Cliente]],'BASE DE CLIENTES'!A:C,3,0)</f>
        <v>DF</v>
      </c>
      <c r="E1384" s="4" t="str">
        <f>CONCATENATE(Tabela1[[#This Row],[CIDADE]],",",Tabela1[[#This Row],[UF]])</f>
        <v>Brasília,DF</v>
      </c>
      <c r="F1384" s="2">
        <v>45824</v>
      </c>
      <c r="G1384" s="17">
        <v>1169.08</v>
      </c>
      <c r="H1384" s="17">
        <v>1825</v>
      </c>
      <c r="I1384" s="6">
        <f>Tabela1[[#This Row],[Valor total]]-Tabela1[[#This Row],[Valor custo]]</f>
        <v>655.92000000000007</v>
      </c>
      <c r="J1384" s="7">
        <f>Tabela1[[#This Row],[MARGEM BRUTA]]/Tabela1[[#This Row],[Valor total]]</f>
        <v>0.35940821917808224</v>
      </c>
      <c r="K1384" s="1" t="str">
        <f>VLOOKUP(Tabela1[[#This Row],[Cliente]],'BASE DE CLIENTES'!A:D,4,0)</f>
        <v>EMPRESA COM MAQUINA</v>
      </c>
      <c r="L1384" s="1" t="str">
        <f>VLOOKUP(Tabela1[[#This Row],[Cliente]],'BASE DE CLIENTES'!A:E,5,0)</f>
        <v>SAMAMBAIA SUL (SAMAMBAIA)</v>
      </c>
    </row>
    <row r="1385" spans="2:12" x14ac:dyDescent="0.3">
      <c r="B1385" s="1" t="s">
        <v>27</v>
      </c>
      <c r="C1385" s="4" t="str">
        <f>VLOOKUP(Tabela1[[#This Row],[Cliente]],'BASE DE CLIENTES'!A:E,2,0)</f>
        <v>Brasília</v>
      </c>
      <c r="D1385" s="1" t="str">
        <f>VLOOKUP(Tabela1[[#This Row],[Cliente]],'BASE DE CLIENTES'!A:C,3,0)</f>
        <v>DF</v>
      </c>
      <c r="E1385" s="4" t="str">
        <f>CONCATENATE(Tabela1[[#This Row],[CIDADE]],",",Tabela1[[#This Row],[UF]])</f>
        <v>Brasília,DF</v>
      </c>
      <c r="F1385" s="2">
        <v>45824</v>
      </c>
      <c r="G1385" s="17">
        <v>819.74</v>
      </c>
      <c r="H1385" s="17">
        <v>1170</v>
      </c>
      <c r="I1385" s="6">
        <f>Tabela1[[#This Row],[Valor total]]-Tabela1[[#This Row],[Valor custo]]</f>
        <v>350.26</v>
      </c>
      <c r="J1385" s="7">
        <f>Tabela1[[#This Row],[MARGEM BRUTA]]/Tabela1[[#This Row],[Valor total]]</f>
        <v>0.29936752136752137</v>
      </c>
      <c r="K1385" s="1" t="str">
        <f>VLOOKUP(Tabela1[[#This Row],[Cliente]],'BASE DE CLIENTES'!A:D,4,0)</f>
        <v>EMPRESA SEM MAQUINA</v>
      </c>
      <c r="L1385" s="1" t="str">
        <f>VLOOKUP(Tabela1[[#This Row],[Cliente]],'BASE DE CLIENTES'!A:E,5,0)</f>
        <v>RECANTO DAS EMAS</v>
      </c>
    </row>
    <row r="1386" spans="2:12" x14ac:dyDescent="0.3">
      <c r="B1386" s="1" t="s">
        <v>217</v>
      </c>
      <c r="C1386" s="4" t="str">
        <f>VLOOKUP(Tabela1[[#This Row],[Cliente]],'BASE DE CLIENTES'!A:E,2,0)</f>
        <v>Brasília</v>
      </c>
      <c r="D1386" s="1" t="str">
        <f>VLOOKUP(Tabela1[[#This Row],[Cliente]],'BASE DE CLIENTES'!A:C,3,0)</f>
        <v>DF</v>
      </c>
      <c r="E1386" s="4" t="str">
        <f>CONCATENATE(Tabela1[[#This Row],[CIDADE]],",",Tabela1[[#This Row],[UF]])</f>
        <v>Brasília,DF</v>
      </c>
      <c r="F1386" s="2">
        <v>45824</v>
      </c>
      <c r="G1386" s="17">
        <v>521</v>
      </c>
      <c r="H1386" s="17">
        <v>840</v>
      </c>
      <c r="I1386" s="6">
        <f>Tabela1[[#This Row],[Valor total]]-Tabela1[[#This Row],[Valor custo]]</f>
        <v>319</v>
      </c>
      <c r="J1386" s="7">
        <f>Tabela1[[#This Row],[MARGEM BRUTA]]/Tabela1[[#This Row],[Valor total]]</f>
        <v>0.37976190476190474</v>
      </c>
      <c r="K1386" s="1" t="str">
        <f>VLOOKUP(Tabela1[[#This Row],[Cliente]],'BASE DE CLIENTES'!A:D,4,0)</f>
        <v>EMPRESA SEM MAQUINA</v>
      </c>
      <c r="L1386" s="1" t="str">
        <f>VLOOKUP(Tabela1[[#This Row],[Cliente]],'BASE DE CLIENTES'!A:E,5,0)</f>
        <v>SETOR HABITACIONAL VICENTE PIRES</v>
      </c>
    </row>
    <row r="1387" spans="2:12" x14ac:dyDescent="0.3">
      <c r="B1387" s="1" t="s">
        <v>206</v>
      </c>
      <c r="C1387" s="4" t="str">
        <f>VLOOKUP(Tabela1[[#This Row],[Cliente]],'BASE DE CLIENTES'!A:E,2,0)</f>
        <v>Goiânia</v>
      </c>
      <c r="D1387" s="1" t="str">
        <f>VLOOKUP(Tabela1[[#This Row],[Cliente]],'BASE DE CLIENTES'!A:C,3,0)</f>
        <v>GO</v>
      </c>
      <c r="E1387" s="4" t="str">
        <f>CONCATENATE(Tabela1[[#This Row],[CIDADE]],",",Tabela1[[#This Row],[UF]])</f>
        <v>Goiânia,GO</v>
      </c>
      <c r="F1387" s="2">
        <v>45736</v>
      </c>
      <c r="G1387" s="17">
        <v>7194.36</v>
      </c>
      <c r="H1387" s="17">
        <v>14300</v>
      </c>
      <c r="I1387" s="6">
        <f>Tabela1[[#This Row],[Valor total]]-Tabela1[[#This Row],[Valor custo]]</f>
        <v>7105.64</v>
      </c>
      <c r="J1387" s="7">
        <f>Tabela1[[#This Row],[MARGEM BRUTA]]/Tabela1[[#This Row],[Valor total]]</f>
        <v>0.49689790209790213</v>
      </c>
      <c r="K1387" s="1" t="str">
        <f>VLOOKUP(Tabela1[[#This Row],[Cliente]],'BASE DE CLIENTES'!A:D,4,0)</f>
        <v>EMPRESA COM MAQUINA</v>
      </c>
      <c r="L1387" s="1" t="str">
        <f>VLOOKUP(Tabela1[[#This Row],[Cliente]],'BASE DE CLIENTES'!A:E,5,0)</f>
        <v>Goiânia</v>
      </c>
    </row>
    <row r="1388" spans="2:12" x14ac:dyDescent="0.3">
      <c r="B1388" s="1" t="s">
        <v>197</v>
      </c>
      <c r="C1388" s="4" t="str">
        <f>VLOOKUP(Tabela1[[#This Row],[Cliente]],'BASE DE CLIENTES'!A:E,2,0)</f>
        <v>Goiânia</v>
      </c>
      <c r="D1388" s="1" t="str">
        <f>VLOOKUP(Tabela1[[#This Row],[Cliente]],'BASE DE CLIENTES'!A:C,3,0)</f>
        <v>GO</v>
      </c>
      <c r="E1388" s="4" t="str">
        <f>CONCATENATE(Tabela1[[#This Row],[CIDADE]],",",Tabela1[[#This Row],[UF]])</f>
        <v>Goiânia,GO</v>
      </c>
      <c r="F1388" s="2">
        <v>45735</v>
      </c>
      <c r="G1388" s="17">
        <v>8707.44</v>
      </c>
      <c r="H1388" s="17">
        <v>12500</v>
      </c>
      <c r="I1388" s="6">
        <f>Tabela1[[#This Row],[Valor total]]-Tabela1[[#This Row],[Valor custo]]</f>
        <v>3792.5599999999995</v>
      </c>
      <c r="J1388" s="7">
        <f>Tabela1[[#This Row],[MARGEM BRUTA]]/Tabela1[[#This Row],[Valor total]]</f>
        <v>0.30340479999999997</v>
      </c>
      <c r="K1388" s="1" t="str">
        <f>VLOOKUP(Tabela1[[#This Row],[Cliente]],'BASE DE CLIENTES'!A:D,4,0)</f>
        <v>EMPRESA COM MAQUINA</v>
      </c>
      <c r="L1388" s="1" t="str">
        <f>VLOOKUP(Tabela1[[#This Row],[Cliente]],'BASE DE CLIENTES'!A:E,5,0)</f>
        <v>Goiânia</v>
      </c>
    </row>
    <row r="1389" spans="2:12" x14ac:dyDescent="0.3">
      <c r="B1389" s="1" t="s">
        <v>199</v>
      </c>
      <c r="C1389" s="4" t="str">
        <f>VLOOKUP(Tabela1[[#This Row],[Cliente]],'BASE DE CLIENTES'!A:E,2,0)</f>
        <v>Goiânia</v>
      </c>
      <c r="D1389" s="1" t="str">
        <f>VLOOKUP(Tabela1[[#This Row],[Cliente]],'BASE DE CLIENTES'!A:C,3,0)</f>
        <v>GO</v>
      </c>
      <c r="E1389" s="4" t="str">
        <f>CONCATENATE(Tabela1[[#This Row],[CIDADE]],",",Tabela1[[#This Row],[UF]])</f>
        <v>Goiânia,GO</v>
      </c>
      <c r="F1389" s="2">
        <v>45735</v>
      </c>
      <c r="G1389" s="17">
        <v>5314.5</v>
      </c>
      <c r="H1389" s="17">
        <v>7400</v>
      </c>
      <c r="I1389" s="6">
        <f>Tabela1[[#This Row],[Valor total]]-Tabela1[[#This Row],[Valor custo]]</f>
        <v>2085.5</v>
      </c>
      <c r="J1389" s="7">
        <f>Tabela1[[#This Row],[MARGEM BRUTA]]/Tabela1[[#This Row],[Valor total]]</f>
        <v>0.2818243243243243</v>
      </c>
      <c r="K1389" s="1" t="str">
        <f>VLOOKUP(Tabela1[[#This Row],[Cliente]],'BASE DE CLIENTES'!A:D,4,0)</f>
        <v>EMPRESA COM MAQUINA</v>
      </c>
      <c r="L1389" s="1" t="str">
        <f>VLOOKUP(Tabela1[[#This Row],[Cliente]],'BASE DE CLIENTES'!A:E,5,0)</f>
        <v>Goiânia</v>
      </c>
    </row>
    <row r="1390" spans="2:12" x14ac:dyDescent="0.3">
      <c r="B1390" s="1" t="s">
        <v>68</v>
      </c>
      <c r="C1390" s="4" t="str">
        <f>VLOOKUP(Tabela1[[#This Row],[Cliente]],'BASE DE CLIENTES'!A:E,2,0)</f>
        <v>Brasília</v>
      </c>
      <c r="D1390" s="1" t="str">
        <f>VLOOKUP(Tabela1[[#This Row],[Cliente]],'BASE DE CLIENTES'!A:C,3,0)</f>
        <v>DF</v>
      </c>
      <c r="E1390" s="4" t="str">
        <f>CONCATENATE(Tabela1[[#This Row],[CIDADE]],",",Tabela1[[#This Row],[UF]])</f>
        <v>Brasília,DF</v>
      </c>
      <c r="F1390" s="2">
        <v>45824</v>
      </c>
      <c r="G1390" s="17">
        <v>79</v>
      </c>
      <c r="H1390" s="17">
        <v>300</v>
      </c>
      <c r="I1390" s="6">
        <f>Tabela1[[#This Row],[Valor total]]-Tabela1[[#This Row],[Valor custo]]</f>
        <v>221</v>
      </c>
      <c r="J1390" s="7">
        <f>Tabela1[[#This Row],[MARGEM BRUTA]]/Tabela1[[#This Row],[Valor total]]</f>
        <v>0.73666666666666669</v>
      </c>
      <c r="K1390" s="1" t="str">
        <f>VLOOKUP(Tabela1[[#This Row],[Cliente]],'BASE DE CLIENTES'!A:D,4,0)</f>
        <v>EMPRESA COM MAQUINA</v>
      </c>
      <c r="L1390" s="1" t="str">
        <f>VLOOKUP(Tabela1[[#This Row],[Cliente]],'BASE DE CLIENTES'!A:E,5,0)</f>
        <v>SAMAMBAIA SUL (SAMAMBAIA)</v>
      </c>
    </row>
    <row r="1391" spans="2:12" x14ac:dyDescent="0.3">
      <c r="B1391" s="1" t="s">
        <v>195</v>
      </c>
      <c r="C1391" s="4" t="str">
        <f>VLOOKUP(Tabela1[[#This Row],[Cliente]],'BASE DE CLIENTES'!A:E,2,0)</f>
        <v>Goiânia</v>
      </c>
      <c r="D1391" s="1" t="str">
        <f>VLOOKUP(Tabela1[[#This Row],[Cliente]],'BASE DE CLIENTES'!A:C,3,0)</f>
        <v>GO</v>
      </c>
      <c r="E1391" s="4" t="str">
        <f>CONCATENATE(Tabela1[[#This Row],[CIDADE]],",",Tabela1[[#This Row],[UF]])</f>
        <v>Goiânia,GO</v>
      </c>
      <c r="F1391" s="2">
        <v>45735</v>
      </c>
      <c r="G1391" s="17">
        <v>7771.01</v>
      </c>
      <c r="H1391" s="17">
        <v>10750</v>
      </c>
      <c r="I1391" s="6">
        <f>Tabela1[[#This Row],[Valor total]]-Tabela1[[#This Row],[Valor custo]]</f>
        <v>2978.99</v>
      </c>
      <c r="J1391" s="7">
        <f>Tabela1[[#This Row],[MARGEM BRUTA]]/Tabela1[[#This Row],[Valor total]]</f>
        <v>0.27711534883720929</v>
      </c>
      <c r="K1391" s="1" t="str">
        <f>VLOOKUP(Tabela1[[#This Row],[Cliente]],'BASE DE CLIENTES'!A:D,4,0)</f>
        <v>EMPRESA COM MAQUINA</v>
      </c>
      <c r="L1391" s="1" t="str">
        <f>VLOOKUP(Tabela1[[#This Row],[Cliente]],'BASE DE CLIENTES'!A:E,5,0)</f>
        <v>Goiânia</v>
      </c>
    </row>
    <row r="1392" spans="2:12" x14ac:dyDescent="0.3">
      <c r="B1392" s="1" t="s">
        <v>101</v>
      </c>
      <c r="C1392" s="4" t="str">
        <f>VLOOKUP(Tabela1[[#This Row],[Cliente]],'BASE DE CLIENTES'!A:E,2,0)</f>
        <v>Brasília</v>
      </c>
      <c r="D1392" s="1" t="str">
        <f>VLOOKUP(Tabela1[[#This Row],[Cliente]],'BASE DE CLIENTES'!A:C,3,0)</f>
        <v>DF</v>
      </c>
      <c r="E1392" s="4" t="str">
        <f>CONCATENATE(Tabela1[[#This Row],[CIDADE]],",",Tabela1[[#This Row],[UF]])</f>
        <v>Brasília,DF</v>
      </c>
      <c r="F1392" s="2">
        <v>45824</v>
      </c>
      <c r="G1392" s="17">
        <v>725</v>
      </c>
      <c r="H1392" s="17">
        <v>1325</v>
      </c>
      <c r="I1392" s="6">
        <f>Tabela1[[#This Row],[Valor total]]-Tabela1[[#This Row],[Valor custo]]</f>
        <v>600</v>
      </c>
      <c r="J1392" s="7">
        <f>Tabela1[[#This Row],[MARGEM BRUTA]]/Tabela1[[#This Row],[Valor total]]</f>
        <v>0.45283018867924529</v>
      </c>
      <c r="K1392" s="1" t="str">
        <f>VLOOKUP(Tabela1[[#This Row],[Cliente]],'BASE DE CLIENTES'!A:D,4,0)</f>
        <v>SERRALHEIRO</v>
      </c>
      <c r="L1392" s="1" t="str">
        <f>VLOOKUP(Tabela1[[#This Row],[Cliente]],'BASE DE CLIENTES'!A:E,5,0)</f>
        <v>TAGUATINGA SUL (TAGUATINGA)</v>
      </c>
    </row>
    <row r="1393" spans="2:12" x14ac:dyDescent="0.3">
      <c r="B1393" s="1" t="s">
        <v>76</v>
      </c>
      <c r="C1393" s="4" t="str">
        <f>VLOOKUP(Tabela1[[#This Row],[Cliente]],'BASE DE CLIENTES'!A:E,2,0)</f>
        <v>Brasília</v>
      </c>
      <c r="D1393" s="1" t="str">
        <f>VLOOKUP(Tabela1[[#This Row],[Cliente]],'BASE DE CLIENTES'!A:C,3,0)</f>
        <v>DF</v>
      </c>
      <c r="E1393" s="4" t="str">
        <f>CONCATENATE(Tabela1[[#This Row],[CIDADE]],",",Tabela1[[#This Row],[UF]])</f>
        <v>Brasília,DF</v>
      </c>
      <c r="F1393" s="2">
        <v>45824</v>
      </c>
      <c r="G1393" s="17">
        <v>4320</v>
      </c>
      <c r="H1393" s="17">
        <v>7220</v>
      </c>
      <c r="I1393" s="6">
        <f>Tabela1[[#This Row],[Valor total]]-Tabela1[[#This Row],[Valor custo]]</f>
        <v>2900</v>
      </c>
      <c r="J1393" s="7">
        <f>Tabela1[[#This Row],[MARGEM BRUTA]]/Tabela1[[#This Row],[Valor total]]</f>
        <v>0.40166204986149584</v>
      </c>
      <c r="K1393" s="1" t="str">
        <f>VLOOKUP(Tabela1[[#This Row],[Cliente]],'BASE DE CLIENTES'!A:D,4,0)</f>
        <v>EMPRESA COM MAQUINA</v>
      </c>
      <c r="L1393" s="1" t="str">
        <f>VLOOKUP(Tabela1[[#This Row],[Cliente]],'BASE DE CLIENTES'!A:E,5,0)</f>
        <v>Setor Placa da Mercedes (Núcleo Bandeirante)</v>
      </c>
    </row>
    <row r="1394" spans="2:12" x14ac:dyDescent="0.3">
      <c r="B1394" s="1" t="s">
        <v>190</v>
      </c>
      <c r="C1394" s="4" t="str">
        <f>VLOOKUP(Tabela1[[#This Row],[Cliente]],'BASE DE CLIENTES'!A:E,2,0)</f>
        <v>Brasília</v>
      </c>
      <c r="D1394" s="1" t="str">
        <f>VLOOKUP(Tabela1[[#This Row],[Cliente]],'BASE DE CLIENTES'!A:C,3,0)</f>
        <v>DF</v>
      </c>
      <c r="E1394" s="4" t="str">
        <f>CONCATENATE(Tabela1[[#This Row],[CIDADE]],",",Tabela1[[#This Row],[UF]])</f>
        <v>Brasília,DF</v>
      </c>
      <c r="F1394" s="2">
        <v>45824</v>
      </c>
      <c r="G1394" s="17">
        <v>710</v>
      </c>
      <c r="H1394" s="17">
        <v>1170</v>
      </c>
      <c r="I1394" s="6">
        <f>Tabela1[[#This Row],[Valor total]]-Tabela1[[#This Row],[Valor custo]]</f>
        <v>460</v>
      </c>
      <c r="J1394" s="7">
        <f>Tabela1[[#This Row],[MARGEM BRUTA]]/Tabela1[[#This Row],[Valor total]]</f>
        <v>0.39316239316239315</v>
      </c>
      <c r="K1394" s="1" t="str">
        <f>VLOOKUP(Tabela1[[#This Row],[Cliente]],'BASE DE CLIENTES'!A:D,4,0)</f>
        <v>EMPRESA COM MAQUINA</v>
      </c>
      <c r="L1394" s="1" t="str">
        <f>VLOOKUP(Tabela1[[#This Row],[Cliente]],'BASE DE CLIENTES'!A:E,5,0)</f>
        <v>RIACHO FUNDO I</v>
      </c>
    </row>
    <row r="1395" spans="2:12" x14ac:dyDescent="0.3">
      <c r="B1395" s="1" t="s">
        <v>15</v>
      </c>
      <c r="C1395" s="4" t="str">
        <f>VLOOKUP(Tabela1[[#This Row],[Cliente]],'BASE DE CLIENTES'!A:E,2,0)</f>
        <v>Brasília</v>
      </c>
      <c r="D1395" s="1" t="str">
        <f>VLOOKUP(Tabela1[[#This Row],[Cliente]],'BASE DE CLIENTES'!A:C,3,0)</f>
        <v>DF</v>
      </c>
      <c r="E1395" s="4" t="str">
        <f>CONCATENATE(Tabela1[[#This Row],[CIDADE]],",",Tabela1[[#This Row],[UF]])</f>
        <v>Brasília,DF</v>
      </c>
      <c r="F1395" s="2">
        <v>45824</v>
      </c>
      <c r="G1395" s="17">
        <v>473</v>
      </c>
      <c r="H1395" s="17">
        <v>690</v>
      </c>
      <c r="I1395" s="6">
        <f>Tabela1[[#This Row],[Valor total]]-Tabela1[[#This Row],[Valor custo]]</f>
        <v>217</v>
      </c>
      <c r="J1395" s="7">
        <f>Tabela1[[#This Row],[MARGEM BRUTA]]/Tabela1[[#This Row],[Valor total]]</f>
        <v>0.3144927536231884</v>
      </c>
      <c r="K1395" s="1" t="str">
        <f>VLOOKUP(Tabela1[[#This Row],[Cliente]],'BASE DE CLIENTES'!A:D,4,0)</f>
        <v>SERRALHEIRO</v>
      </c>
      <c r="L1395" s="1" t="str">
        <f>VLOOKUP(Tabela1[[#This Row],[Cliente]],'BASE DE CLIENTES'!A:E,5,0)</f>
        <v>SETOR HABITACIONAL VICENTE PIRES</v>
      </c>
    </row>
    <row r="1396" spans="2:12" x14ac:dyDescent="0.3">
      <c r="B1396" s="1" t="s">
        <v>193</v>
      </c>
      <c r="C1396" s="4" t="str">
        <f>VLOOKUP(Tabela1[[#This Row],[Cliente]],'BASE DE CLIENTES'!A:E,2,0)</f>
        <v>Goiânia</v>
      </c>
      <c r="D1396" s="1" t="str">
        <f>VLOOKUP(Tabela1[[#This Row],[Cliente]],'BASE DE CLIENTES'!A:C,3,0)</f>
        <v>GO</v>
      </c>
      <c r="E1396" s="4" t="str">
        <f>CONCATENATE(Tabela1[[#This Row],[CIDADE]],",",Tabela1[[#This Row],[UF]])</f>
        <v>Goiânia,GO</v>
      </c>
      <c r="F1396" s="2">
        <v>45733</v>
      </c>
      <c r="G1396" s="17">
        <v>593.83000000000004</v>
      </c>
      <c r="H1396" s="17">
        <v>869</v>
      </c>
      <c r="I1396" s="6">
        <f>Tabela1[[#This Row],[Valor total]]-Tabela1[[#This Row],[Valor custo]]</f>
        <v>275.16999999999996</v>
      </c>
      <c r="J1396" s="7">
        <f>Tabela1[[#This Row],[MARGEM BRUTA]]/Tabela1[[#This Row],[Valor total]]</f>
        <v>0.31665132336018409</v>
      </c>
      <c r="K1396" s="1" t="str">
        <f>VLOOKUP(Tabela1[[#This Row],[Cliente]],'BASE DE CLIENTES'!A:D,4,0)</f>
        <v>SEM CLASSIFICAÇÃO</v>
      </c>
      <c r="L1396" s="1" t="str">
        <f>VLOOKUP(Tabela1[[#This Row],[Cliente]],'BASE DE CLIENTES'!A:E,5,0)</f>
        <v>Goiânia</v>
      </c>
    </row>
    <row r="1397" spans="2:12" x14ac:dyDescent="0.3">
      <c r="B1397" s="1" t="s">
        <v>25</v>
      </c>
      <c r="C1397" s="4" t="str">
        <f>VLOOKUP(Tabela1[[#This Row],[Cliente]],'BASE DE CLIENTES'!A:E,2,0)</f>
        <v>Brasília</v>
      </c>
      <c r="D1397" s="1" t="str">
        <f>VLOOKUP(Tabela1[[#This Row],[Cliente]],'BASE DE CLIENTES'!A:C,3,0)</f>
        <v>DF</v>
      </c>
      <c r="E1397" s="4" t="str">
        <f>CONCATENATE(Tabela1[[#This Row],[CIDADE]],",",Tabela1[[#This Row],[UF]])</f>
        <v>Brasília,DF</v>
      </c>
      <c r="F1397" s="2">
        <v>45824</v>
      </c>
      <c r="G1397" s="17">
        <v>1119.8699999999999</v>
      </c>
      <c r="H1397" s="17">
        <v>1785</v>
      </c>
      <c r="I1397" s="6">
        <f>Tabela1[[#This Row],[Valor total]]-Tabela1[[#This Row],[Valor custo]]</f>
        <v>665.13000000000011</v>
      </c>
      <c r="J1397" s="7">
        <f>Tabela1[[#This Row],[MARGEM BRUTA]]/Tabela1[[#This Row],[Valor total]]</f>
        <v>0.37262184873949589</v>
      </c>
      <c r="K1397" s="1" t="str">
        <f>VLOOKUP(Tabela1[[#This Row],[Cliente]],'BASE DE CLIENTES'!A:D,4,0)</f>
        <v>EMPRESA COM MAQUINA</v>
      </c>
      <c r="L1397" s="1" t="str">
        <f>VLOOKUP(Tabela1[[#This Row],[Cliente]],'BASE DE CLIENTES'!A:E,5,0)</f>
        <v>CEILANDIA NORTE (CEILANDIA)</v>
      </c>
    </row>
    <row r="1398" spans="2:12" x14ac:dyDescent="0.3">
      <c r="B1398" s="1" t="s">
        <v>193</v>
      </c>
      <c r="C1398" s="4" t="str">
        <f>VLOOKUP(Tabela1[[#This Row],[Cliente]],'BASE DE CLIENTES'!A:E,2,0)</f>
        <v>Goiânia</v>
      </c>
      <c r="D1398" s="1" t="str">
        <f>VLOOKUP(Tabela1[[#This Row],[Cliente]],'BASE DE CLIENTES'!A:C,3,0)</f>
        <v>GO</v>
      </c>
      <c r="E1398" s="4" t="str">
        <f>CONCATENATE(Tabela1[[#This Row],[CIDADE]],",",Tabela1[[#This Row],[UF]])</f>
        <v>Goiânia,GO</v>
      </c>
      <c r="F1398" s="2">
        <v>45734</v>
      </c>
      <c r="G1398" s="17">
        <v>6180.7</v>
      </c>
      <c r="H1398" s="17">
        <v>8850</v>
      </c>
      <c r="I1398" s="6">
        <f>Tabela1[[#This Row],[Valor total]]-Tabela1[[#This Row],[Valor custo]]</f>
        <v>2669.3</v>
      </c>
      <c r="J1398" s="7">
        <f>Tabela1[[#This Row],[MARGEM BRUTA]]/Tabela1[[#This Row],[Valor total]]</f>
        <v>0.30161581920903957</v>
      </c>
      <c r="K1398" s="1" t="str">
        <f>VLOOKUP(Tabela1[[#This Row],[Cliente]],'BASE DE CLIENTES'!A:D,4,0)</f>
        <v>SEM CLASSIFICAÇÃO</v>
      </c>
      <c r="L1398" s="1" t="str">
        <f>VLOOKUP(Tabela1[[#This Row],[Cliente]],'BASE DE CLIENTES'!A:E,5,0)</f>
        <v>Goiânia</v>
      </c>
    </row>
    <row r="1399" spans="2:12" x14ac:dyDescent="0.3">
      <c r="B1399" s="1" t="s">
        <v>55</v>
      </c>
      <c r="C1399" s="4" t="str">
        <f>VLOOKUP(Tabela1[[#This Row],[Cliente]],'BASE DE CLIENTES'!A:E,2,0)</f>
        <v>Brasília</v>
      </c>
      <c r="D1399" s="1" t="str">
        <f>VLOOKUP(Tabela1[[#This Row],[Cliente]],'BASE DE CLIENTES'!A:C,3,0)</f>
        <v>DF</v>
      </c>
      <c r="E1399" s="4" t="str">
        <f>CONCATENATE(Tabela1[[#This Row],[CIDADE]],",",Tabela1[[#This Row],[UF]])</f>
        <v>Brasília,DF</v>
      </c>
      <c r="F1399" s="2">
        <v>45824</v>
      </c>
      <c r="G1399" s="17">
        <v>2554</v>
      </c>
      <c r="H1399" s="17">
        <v>4105</v>
      </c>
      <c r="I1399" s="6">
        <f>Tabela1[[#This Row],[Valor total]]-Tabela1[[#This Row],[Valor custo]]</f>
        <v>1551</v>
      </c>
      <c r="J1399" s="7">
        <f>Tabela1[[#This Row],[MARGEM BRUTA]]/Tabela1[[#This Row],[Valor total]]</f>
        <v>0.37783191230207064</v>
      </c>
      <c r="K1399" s="1" t="str">
        <f>VLOOKUP(Tabela1[[#This Row],[Cliente]],'BASE DE CLIENTES'!A:D,4,0)</f>
        <v>EMPRESA SEM MAQUINA</v>
      </c>
      <c r="L1399" s="1" t="str">
        <f>VLOOKUP(Tabela1[[#This Row],[Cliente]],'BASE DE CLIENTES'!A:E,5,0)</f>
        <v>RECANTO DAS EMAS</v>
      </c>
    </row>
    <row r="1400" spans="2:12" x14ac:dyDescent="0.3">
      <c r="B1400" s="1" t="s">
        <v>27</v>
      </c>
      <c r="C1400" s="4" t="str">
        <f>VLOOKUP(Tabela1[[#This Row],[Cliente]],'BASE DE CLIENTES'!A:E,2,0)</f>
        <v>Brasília</v>
      </c>
      <c r="D1400" s="1" t="str">
        <f>VLOOKUP(Tabela1[[#This Row],[Cliente]],'BASE DE CLIENTES'!A:C,3,0)</f>
        <v>DF</v>
      </c>
      <c r="E1400" s="4" t="str">
        <f>CONCATENATE(Tabela1[[#This Row],[CIDADE]],",",Tabela1[[#This Row],[UF]])</f>
        <v>Brasília,DF</v>
      </c>
      <c r="F1400" s="2">
        <v>45821</v>
      </c>
      <c r="G1400" s="17">
        <v>831.93</v>
      </c>
      <c r="H1400" s="17">
        <v>826.5</v>
      </c>
      <c r="I1400" s="6">
        <f>Tabela1[[#This Row],[Valor total]]-Tabela1[[#This Row],[Valor custo]]</f>
        <v>-5.42999999999995</v>
      </c>
      <c r="J1400" s="7">
        <f>Tabela1[[#This Row],[MARGEM BRUTA]]/Tabela1[[#This Row],[Valor total]]</f>
        <v>-6.569872958257653E-3</v>
      </c>
      <c r="K1400" s="1" t="str">
        <f>VLOOKUP(Tabela1[[#This Row],[Cliente]],'BASE DE CLIENTES'!A:D,4,0)</f>
        <v>EMPRESA SEM MAQUINA</v>
      </c>
      <c r="L1400" s="1" t="str">
        <f>VLOOKUP(Tabela1[[#This Row],[Cliente]],'BASE DE CLIENTES'!A:E,5,0)</f>
        <v>RECANTO DAS EMAS</v>
      </c>
    </row>
    <row r="1401" spans="2:12" x14ac:dyDescent="0.3">
      <c r="B1401" s="1" t="s">
        <v>68</v>
      </c>
      <c r="C1401" s="4" t="str">
        <f>VLOOKUP(Tabela1[[#This Row],[Cliente]],'BASE DE CLIENTES'!A:E,2,0)</f>
        <v>Brasília</v>
      </c>
      <c r="D1401" s="1" t="str">
        <f>VLOOKUP(Tabela1[[#This Row],[Cliente]],'BASE DE CLIENTES'!A:C,3,0)</f>
        <v>DF</v>
      </c>
      <c r="E1401" s="4" t="str">
        <f>CONCATENATE(Tabela1[[#This Row],[CIDADE]],",",Tabela1[[#This Row],[UF]])</f>
        <v>Brasília,DF</v>
      </c>
      <c r="F1401" s="2">
        <v>45821</v>
      </c>
      <c r="G1401" s="17">
        <v>1626</v>
      </c>
      <c r="H1401" s="17">
        <v>2225</v>
      </c>
      <c r="I1401" s="6">
        <f>Tabela1[[#This Row],[Valor total]]-Tabela1[[#This Row],[Valor custo]]</f>
        <v>599</v>
      </c>
      <c r="J1401" s="7">
        <f>Tabela1[[#This Row],[MARGEM BRUTA]]/Tabela1[[#This Row],[Valor total]]</f>
        <v>0.26921348314606741</v>
      </c>
      <c r="K1401" s="1" t="str">
        <f>VLOOKUP(Tabela1[[#This Row],[Cliente]],'BASE DE CLIENTES'!A:D,4,0)</f>
        <v>EMPRESA COM MAQUINA</v>
      </c>
      <c r="L1401" s="1" t="str">
        <f>VLOOKUP(Tabela1[[#This Row],[Cliente]],'BASE DE CLIENTES'!A:E,5,0)</f>
        <v>SAMAMBAIA SUL (SAMAMBAIA)</v>
      </c>
    </row>
    <row r="1402" spans="2:12" x14ac:dyDescent="0.3">
      <c r="B1402" s="1" t="s">
        <v>133</v>
      </c>
      <c r="C1402" s="4" t="str">
        <f>VLOOKUP(Tabela1[[#This Row],[Cliente]],'BASE DE CLIENTES'!A:E,2,0)</f>
        <v>Brasília</v>
      </c>
      <c r="D1402" s="1" t="str">
        <f>VLOOKUP(Tabela1[[#This Row],[Cliente]],'BASE DE CLIENTES'!A:C,3,0)</f>
        <v>DF</v>
      </c>
      <c r="E1402" s="4" t="str">
        <f>CONCATENATE(Tabela1[[#This Row],[CIDADE]],",",Tabela1[[#This Row],[UF]])</f>
        <v>Brasília,DF</v>
      </c>
      <c r="F1402" s="2">
        <v>45821</v>
      </c>
      <c r="G1402" s="17">
        <v>447</v>
      </c>
      <c r="H1402" s="17">
        <v>500</v>
      </c>
      <c r="I1402" s="6">
        <f>Tabela1[[#This Row],[Valor total]]-Tabela1[[#This Row],[Valor custo]]</f>
        <v>53</v>
      </c>
      <c r="J1402" s="7">
        <f>Tabela1[[#This Row],[MARGEM BRUTA]]/Tabela1[[#This Row],[Valor total]]</f>
        <v>0.106</v>
      </c>
      <c r="K1402" s="1" t="str">
        <f>VLOOKUP(Tabela1[[#This Row],[Cliente]],'BASE DE CLIENTES'!A:D,4,0)</f>
        <v>SERRALHEIRO</v>
      </c>
      <c r="L1402" s="1" t="str">
        <f>VLOOKUP(Tabela1[[#This Row],[Cliente]],'BASE DE CLIENTES'!A:E,5,0)</f>
        <v>RECANTO DAS EMAS</v>
      </c>
    </row>
    <row r="1403" spans="2:12" x14ac:dyDescent="0.3">
      <c r="B1403" s="1" t="s">
        <v>52</v>
      </c>
      <c r="C1403" s="4" t="str">
        <f>VLOOKUP(Tabela1[[#This Row],[Cliente]],'BASE DE CLIENTES'!A:E,2,0)</f>
        <v>Brasília</v>
      </c>
      <c r="D1403" s="1" t="str">
        <f>VLOOKUP(Tabela1[[#This Row],[Cliente]],'BASE DE CLIENTES'!A:C,3,0)</f>
        <v>DF</v>
      </c>
      <c r="E1403" s="4" t="str">
        <f>CONCATENATE(Tabela1[[#This Row],[CIDADE]],",",Tabela1[[#This Row],[UF]])</f>
        <v>Brasília,DF</v>
      </c>
      <c r="F1403" s="2">
        <v>45821</v>
      </c>
      <c r="G1403" s="17">
        <v>485.2</v>
      </c>
      <c r="H1403" s="17">
        <v>716</v>
      </c>
      <c r="I1403" s="6">
        <f>Tabela1[[#This Row],[Valor total]]-Tabela1[[#This Row],[Valor custo]]</f>
        <v>230.8</v>
      </c>
      <c r="J1403" s="7">
        <f>Tabela1[[#This Row],[MARGEM BRUTA]]/Tabela1[[#This Row],[Valor total]]</f>
        <v>0.32234636871508382</v>
      </c>
      <c r="K1403" s="1" t="str">
        <f>VLOOKUP(Tabela1[[#This Row],[Cliente]],'BASE DE CLIENTES'!A:D,4,0)</f>
        <v>SERRALHEIRO</v>
      </c>
      <c r="L1403" s="1" t="str">
        <f>VLOOKUP(Tabela1[[#This Row],[Cliente]],'BASE DE CLIENTES'!A:E,5,0)</f>
        <v>Ceilândia Sul (Ceilândia)</v>
      </c>
    </row>
    <row r="1404" spans="2:12" x14ac:dyDescent="0.3">
      <c r="B1404" s="1" t="s">
        <v>199</v>
      </c>
      <c r="C1404" s="4" t="str">
        <f>VLOOKUP(Tabela1[[#This Row],[Cliente]],'BASE DE CLIENTES'!A:E,2,0)</f>
        <v>Goiânia</v>
      </c>
      <c r="D1404" s="1" t="str">
        <f>VLOOKUP(Tabela1[[#This Row],[Cliente]],'BASE DE CLIENTES'!A:C,3,0)</f>
        <v>GO</v>
      </c>
      <c r="E1404" s="4" t="str">
        <f>CONCATENATE(Tabela1[[#This Row],[CIDADE]],",",Tabela1[[#This Row],[UF]])</f>
        <v>Goiânia,GO</v>
      </c>
      <c r="F1404" s="2">
        <v>45734</v>
      </c>
      <c r="G1404" s="17">
        <v>6635.26</v>
      </c>
      <c r="H1404" s="17">
        <v>9694</v>
      </c>
      <c r="I1404" s="6">
        <f>Tabela1[[#This Row],[Valor total]]-Tabela1[[#This Row],[Valor custo]]</f>
        <v>3058.74</v>
      </c>
      <c r="J1404" s="7">
        <f>Tabela1[[#This Row],[MARGEM BRUTA]]/Tabela1[[#This Row],[Valor total]]</f>
        <v>0.31552919331545282</v>
      </c>
      <c r="K1404" s="1" t="str">
        <f>VLOOKUP(Tabela1[[#This Row],[Cliente]],'BASE DE CLIENTES'!A:D,4,0)</f>
        <v>EMPRESA COM MAQUINA</v>
      </c>
      <c r="L1404" s="1" t="str">
        <f>VLOOKUP(Tabela1[[#This Row],[Cliente]],'BASE DE CLIENTES'!A:E,5,0)</f>
        <v>Goiânia</v>
      </c>
    </row>
    <row r="1405" spans="2:12" x14ac:dyDescent="0.3">
      <c r="B1405" s="1" t="s">
        <v>25</v>
      </c>
      <c r="C1405" s="4" t="str">
        <f>VLOOKUP(Tabela1[[#This Row],[Cliente]],'BASE DE CLIENTES'!A:E,2,0)</f>
        <v>Brasília</v>
      </c>
      <c r="D1405" s="1" t="str">
        <f>VLOOKUP(Tabela1[[#This Row],[Cliente]],'BASE DE CLIENTES'!A:C,3,0)</f>
        <v>DF</v>
      </c>
      <c r="E1405" s="4" t="str">
        <f>CONCATENATE(Tabela1[[#This Row],[CIDADE]],",",Tabela1[[#This Row],[UF]])</f>
        <v>Brasília,DF</v>
      </c>
      <c r="F1405" s="2">
        <v>45821</v>
      </c>
      <c r="G1405" s="17">
        <v>90</v>
      </c>
      <c r="H1405" s="17">
        <v>180</v>
      </c>
      <c r="I1405" s="6">
        <f>Tabela1[[#This Row],[Valor total]]-Tabela1[[#This Row],[Valor custo]]</f>
        <v>90</v>
      </c>
      <c r="J1405" s="7">
        <f>Tabela1[[#This Row],[MARGEM BRUTA]]/Tabela1[[#This Row],[Valor total]]</f>
        <v>0.5</v>
      </c>
      <c r="K1405" s="1" t="str">
        <f>VLOOKUP(Tabela1[[#This Row],[Cliente]],'BASE DE CLIENTES'!A:D,4,0)</f>
        <v>EMPRESA COM MAQUINA</v>
      </c>
      <c r="L1405" s="1" t="str">
        <f>VLOOKUP(Tabela1[[#This Row],[Cliente]],'BASE DE CLIENTES'!A:E,5,0)</f>
        <v>CEILANDIA NORTE (CEILANDIA)</v>
      </c>
    </row>
    <row r="1406" spans="2:12" x14ac:dyDescent="0.3">
      <c r="B1406" s="1" t="s">
        <v>197</v>
      </c>
      <c r="C1406" s="4" t="str">
        <f>VLOOKUP(Tabela1[[#This Row],[Cliente]],'BASE DE CLIENTES'!A:E,2,0)</f>
        <v>Goiânia</v>
      </c>
      <c r="D1406" s="1" t="str">
        <f>VLOOKUP(Tabela1[[#This Row],[Cliente]],'BASE DE CLIENTES'!A:C,3,0)</f>
        <v>GO</v>
      </c>
      <c r="E1406" s="4" t="str">
        <f>CONCATENATE(Tabela1[[#This Row],[CIDADE]],",",Tabela1[[#This Row],[UF]])</f>
        <v>Goiânia,GO</v>
      </c>
      <c r="F1406" s="2">
        <v>45734</v>
      </c>
      <c r="G1406" s="17">
        <v>439.2</v>
      </c>
      <c r="H1406" s="17">
        <v>620</v>
      </c>
      <c r="I1406" s="6">
        <f>Tabela1[[#This Row],[Valor total]]-Tabela1[[#This Row],[Valor custo]]</f>
        <v>180.8</v>
      </c>
      <c r="J1406" s="7">
        <f>Tabela1[[#This Row],[MARGEM BRUTA]]/Tabela1[[#This Row],[Valor total]]</f>
        <v>0.29161290322580646</v>
      </c>
      <c r="K1406" s="1" t="str">
        <f>VLOOKUP(Tabela1[[#This Row],[Cliente]],'BASE DE CLIENTES'!A:D,4,0)</f>
        <v>EMPRESA COM MAQUINA</v>
      </c>
      <c r="L1406" s="1" t="str">
        <f>VLOOKUP(Tabela1[[#This Row],[Cliente]],'BASE DE CLIENTES'!A:E,5,0)</f>
        <v>Goiânia</v>
      </c>
    </row>
    <row r="1407" spans="2:12" x14ac:dyDescent="0.3">
      <c r="B1407" s="1" t="s">
        <v>55</v>
      </c>
      <c r="C1407" s="4" t="str">
        <f>VLOOKUP(Tabela1[[#This Row],[Cliente]],'BASE DE CLIENTES'!A:E,2,0)</f>
        <v>Brasília</v>
      </c>
      <c r="D1407" s="1" t="str">
        <f>VLOOKUP(Tabela1[[#This Row],[Cliente]],'BASE DE CLIENTES'!A:C,3,0)</f>
        <v>DF</v>
      </c>
      <c r="E1407" s="4" t="str">
        <f>CONCATENATE(Tabela1[[#This Row],[CIDADE]],",",Tabela1[[#This Row],[UF]])</f>
        <v>Brasília,DF</v>
      </c>
      <c r="F1407" s="2">
        <v>45821</v>
      </c>
      <c r="G1407" s="17">
        <v>493.58</v>
      </c>
      <c r="H1407" s="17">
        <v>1320</v>
      </c>
      <c r="I1407" s="6">
        <f>Tabela1[[#This Row],[Valor total]]-Tabela1[[#This Row],[Valor custo]]</f>
        <v>826.42000000000007</v>
      </c>
      <c r="J1407" s="7">
        <f>Tabela1[[#This Row],[MARGEM BRUTA]]/Tabela1[[#This Row],[Valor total]]</f>
        <v>0.62607575757575762</v>
      </c>
      <c r="K1407" s="1" t="str">
        <f>VLOOKUP(Tabela1[[#This Row],[Cliente]],'BASE DE CLIENTES'!A:D,4,0)</f>
        <v>EMPRESA SEM MAQUINA</v>
      </c>
      <c r="L1407" s="1" t="str">
        <f>VLOOKUP(Tabela1[[#This Row],[Cliente]],'BASE DE CLIENTES'!A:E,5,0)</f>
        <v>RECANTO DAS EMAS</v>
      </c>
    </row>
    <row r="1408" spans="2:12" x14ac:dyDescent="0.3">
      <c r="B1408" s="1" t="s">
        <v>23</v>
      </c>
      <c r="C1408" s="4" t="str">
        <f>VLOOKUP(Tabela1[[#This Row],[Cliente]],'BASE DE CLIENTES'!A:E,2,0)</f>
        <v>Brasília</v>
      </c>
      <c r="D1408" s="1" t="str">
        <f>VLOOKUP(Tabela1[[#This Row],[Cliente]],'BASE DE CLIENTES'!A:C,3,0)</f>
        <v>DF</v>
      </c>
      <c r="E1408" s="4" t="str">
        <f>CONCATENATE(Tabela1[[#This Row],[CIDADE]],",",Tabela1[[#This Row],[UF]])</f>
        <v>Brasília,DF</v>
      </c>
      <c r="F1408" s="2">
        <v>45821</v>
      </c>
      <c r="G1408" s="17">
        <v>1229.6099999999999</v>
      </c>
      <c r="H1408" s="17">
        <v>1740</v>
      </c>
      <c r="I1408" s="6">
        <f>Tabela1[[#This Row],[Valor total]]-Tabela1[[#This Row],[Valor custo]]</f>
        <v>510.3900000000001</v>
      </c>
      <c r="J1408" s="7">
        <f>Tabela1[[#This Row],[MARGEM BRUTA]]/Tabela1[[#This Row],[Valor total]]</f>
        <v>0.29332758620689658</v>
      </c>
      <c r="K1408" s="1" t="str">
        <f>VLOOKUP(Tabela1[[#This Row],[Cliente]],'BASE DE CLIENTES'!A:D,4,0)</f>
        <v>EMPRESA SEM MAQUINA</v>
      </c>
      <c r="L1408" s="1" t="str">
        <f>VLOOKUP(Tabela1[[#This Row],[Cliente]],'BASE DE CLIENTES'!A:E,5,0)</f>
        <v>SETOR INDUSTRIAL (TAGUATINGA)</v>
      </c>
    </row>
    <row r="1409" spans="2:12" x14ac:dyDescent="0.3">
      <c r="B1409" s="1" t="s">
        <v>78</v>
      </c>
      <c r="C1409" s="4" t="str">
        <f>VLOOKUP(Tabela1[[#This Row],[Cliente]],'BASE DE CLIENTES'!A:E,2,0)</f>
        <v>Brasília</v>
      </c>
      <c r="D1409" s="1" t="str">
        <f>VLOOKUP(Tabela1[[#This Row],[Cliente]],'BASE DE CLIENTES'!A:C,3,0)</f>
        <v>DF</v>
      </c>
      <c r="E1409" s="4" t="str">
        <f>CONCATENATE(Tabela1[[#This Row],[CIDADE]],",",Tabela1[[#This Row],[UF]])</f>
        <v>Brasília,DF</v>
      </c>
      <c r="F1409" s="2">
        <v>45821</v>
      </c>
      <c r="G1409" s="17">
        <v>2360.38</v>
      </c>
      <c r="H1409" s="17">
        <v>3170</v>
      </c>
      <c r="I1409" s="6">
        <f>Tabela1[[#This Row],[Valor total]]-Tabela1[[#This Row],[Valor custo]]</f>
        <v>809.61999999999989</v>
      </c>
      <c r="J1409" s="7">
        <f>Tabela1[[#This Row],[MARGEM BRUTA]]/Tabela1[[#This Row],[Valor total]]</f>
        <v>0.25540063091482645</v>
      </c>
      <c r="K1409" s="1" t="str">
        <f>VLOOKUP(Tabela1[[#This Row],[Cliente]],'BASE DE CLIENTES'!A:D,4,0)</f>
        <v>SERRALHEIRO</v>
      </c>
      <c r="L1409" s="1" t="str">
        <f>VLOOKUP(Tabela1[[#This Row],[Cliente]],'BASE DE CLIENTES'!A:E,5,0)</f>
        <v>Vila do Boa (São Sebastião)</v>
      </c>
    </row>
    <row r="1410" spans="2:12" x14ac:dyDescent="0.3">
      <c r="B1410" s="1" t="s">
        <v>161</v>
      </c>
      <c r="C1410" s="4" t="str">
        <f>VLOOKUP(Tabela1[[#This Row],[Cliente]],'BASE DE CLIENTES'!A:E,2,0)</f>
        <v>Brasília</v>
      </c>
      <c r="D1410" s="1" t="str">
        <f>VLOOKUP(Tabela1[[#This Row],[Cliente]],'BASE DE CLIENTES'!A:C,3,0)</f>
        <v>DF</v>
      </c>
      <c r="E1410" s="4" t="str">
        <f>CONCATENATE(Tabela1[[#This Row],[CIDADE]],",",Tabela1[[#This Row],[UF]])</f>
        <v>Brasília,DF</v>
      </c>
      <c r="F1410" s="2">
        <v>45820</v>
      </c>
      <c r="G1410" s="17">
        <v>13870.05</v>
      </c>
      <c r="H1410" s="17">
        <v>19325</v>
      </c>
      <c r="I1410" s="6">
        <f>Tabela1[[#This Row],[Valor total]]-Tabela1[[#This Row],[Valor custo]]</f>
        <v>5454.9500000000007</v>
      </c>
      <c r="J1410" s="7">
        <f>Tabela1[[#This Row],[MARGEM BRUTA]]/Tabela1[[#This Row],[Valor total]]</f>
        <v>0.2822742561448901</v>
      </c>
      <c r="K1410" s="1" t="str">
        <f>VLOOKUP(Tabela1[[#This Row],[Cliente]],'BASE DE CLIENTES'!A:D,4,0)</f>
        <v>EMPRESA COM MAQUINA</v>
      </c>
      <c r="L1410" s="1" t="str">
        <f>VLOOKUP(Tabela1[[#This Row],[Cliente]],'BASE DE CLIENTES'!A:E,5,0)</f>
        <v>RIACHO FUNDO II</v>
      </c>
    </row>
    <row r="1411" spans="2:12" x14ac:dyDescent="0.3">
      <c r="B1411" s="1" t="s">
        <v>213</v>
      </c>
      <c r="C1411" s="4" t="str">
        <f>VLOOKUP(Tabela1[[#This Row],[Cliente]],'BASE DE CLIENTES'!A:E,2,0)</f>
        <v>Goiânia</v>
      </c>
      <c r="D1411" s="1" t="str">
        <f>VLOOKUP(Tabela1[[#This Row],[Cliente]],'BASE DE CLIENTES'!A:C,3,0)</f>
        <v>GO</v>
      </c>
      <c r="E1411" s="4" t="str">
        <f>CONCATENATE(Tabela1[[#This Row],[CIDADE]],",",Tabela1[[#This Row],[UF]])</f>
        <v>Goiânia,GO</v>
      </c>
      <c r="F1411" s="2">
        <v>45730</v>
      </c>
      <c r="G1411" s="17">
        <v>6588</v>
      </c>
      <c r="H1411" s="17">
        <v>9300</v>
      </c>
      <c r="I1411" s="6">
        <f>Tabela1[[#This Row],[Valor total]]-Tabela1[[#This Row],[Valor custo]]</f>
        <v>2712</v>
      </c>
      <c r="J1411" s="7">
        <f>Tabela1[[#This Row],[MARGEM BRUTA]]/Tabela1[[#This Row],[Valor total]]</f>
        <v>0.29161290322580646</v>
      </c>
      <c r="K1411" s="1" t="str">
        <f>VLOOKUP(Tabela1[[#This Row],[Cliente]],'BASE DE CLIENTES'!A:D,4,0)</f>
        <v>EMPRESA COM MAQUINA</v>
      </c>
      <c r="L1411" s="1" t="str">
        <f>VLOOKUP(Tabela1[[#This Row],[Cliente]],'BASE DE CLIENTES'!A:E,5,0)</f>
        <v>Goiânia</v>
      </c>
    </row>
    <row r="1412" spans="2:12" x14ac:dyDescent="0.3">
      <c r="B1412" s="1" t="s">
        <v>123</v>
      </c>
      <c r="C1412" s="4" t="str">
        <f>VLOOKUP(Tabela1[[#This Row],[Cliente]],'BASE DE CLIENTES'!A:E,2,0)</f>
        <v>Brasília</v>
      </c>
      <c r="D1412" s="1" t="str">
        <f>VLOOKUP(Tabela1[[#This Row],[Cliente]],'BASE DE CLIENTES'!A:C,3,0)</f>
        <v>DF</v>
      </c>
      <c r="E1412" s="4" t="str">
        <f>CONCATENATE(Tabela1[[#This Row],[CIDADE]],",",Tabela1[[#This Row],[UF]])</f>
        <v>Brasília,DF</v>
      </c>
      <c r="F1412" s="2">
        <v>45820</v>
      </c>
      <c r="G1412" s="17">
        <v>13.69</v>
      </c>
      <c r="H1412" s="17">
        <v>100</v>
      </c>
      <c r="I1412" s="6">
        <f>Tabela1[[#This Row],[Valor total]]-Tabela1[[#This Row],[Valor custo]]</f>
        <v>86.31</v>
      </c>
      <c r="J1412" s="7">
        <f>Tabela1[[#This Row],[MARGEM BRUTA]]/Tabela1[[#This Row],[Valor total]]</f>
        <v>0.86309999999999998</v>
      </c>
      <c r="K1412" s="1" t="str">
        <f>VLOOKUP(Tabela1[[#This Row],[Cliente]],'BASE DE CLIENTES'!A:D,4,0)</f>
        <v>EMPRESA COM MAQUINA</v>
      </c>
      <c r="L1412" s="1" t="str">
        <f>VLOOKUP(Tabela1[[#This Row],[Cliente]],'BASE DE CLIENTES'!A:E,5,0)</f>
        <v>ADE CEILÂNDIA</v>
      </c>
    </row>
    <row r="1413" spans="2:12" x14ac:dyDescent="0.3">
      <c r="B1413" s="1" t="s">
        <v>42</v>
      </c>
      <c r="C1413" s="4" t="str">
        <f>VLOOKUP(Tabela1[[#This Row],[Cliente]],'BASE DE CLIENTES'!A:E,2,0)</f>
        <v>Brasília</v>
      </c>
      <c r="D1413" s="1" t="str">
        <f>VLOOKUP(Tabela1[[#This Row],[Cliente]],'BASE DE CLIENTES'!A:C,3,0)</f>
        <v>DF</v>
      </c>
      <c r="E1413" s="4" t="str">
        <f>CONCATENATE(Tabela1[[#This Row],[CIDADE]],",",Tabela1[[#This Row],[UF]])</f>
        <v>Brasília,DF</v>
      </c>
      <c r="F1413" s="2">
        <v>45820</v>
      </c>
      <c r="G1413" s="17">
        <v>1892</v>
      </c>
      <c r="H1413" s="17">
        <v>2600</v>
      </c>
      <c r="I1413" s="6">
        <f>Tabela1[[#This Row],[Valor total]]-Tabela1[[#This Row],[Valor custo]]</f>
        <v>708</v>
      </c>
      <c r="J1413" s="7">
        <f>Tabela1[[#This Row],[MARGEM BRUTA]]/Tabela1[[#This Row],[Valor total]]</f>
        <v>0.27230769230769231</v>
      </c>
      <c r="K1413" s="1" t="str">
        <f>VLOOKUP(Tabela1[[#This Row],[Cliente]],'BASE DE CLIENTES'!A:D,4,0)</f>
        <v>EMPRESA SEM MAQUINA</v>
      </c>
      <c r="L1413" s="1" t="str">
        <f>VLOOKUP(Tabela1[[#This Row],[Cliente]],'BASE DE CLIENTES'!A:E,5,0)</f>
        <v>SAMAMBAIA</v>
      </c>
    </row>
    <row r="1414" spans="2:12" x14ac:dyDescent="0.3">
      <c r="B1414" s="1" t="s">
        <v>68</v>
      </c>
      <c r="C1414" s="4" t="str">
        <f>VLOOKUP(Tabela1[[#This Row],[Cliente]],'BASE DE CLIENTES'!A:E,2,0)</f>
        <v>Brasília</v>
      </c>
      <c r="D1414" s="1" t="str">
        <f>VLOOKUP(Tabela1[[#This Row],[Cliente]],'BASE DE CLIENTES'!A:C,3,0)</f>
        <v>DF</v>
      </c>
      <c r="E1414" s="4" t="str">
        <f>CONCATENATE(Tabela1[[#This Row],[CIDADE]],",",Tabela1[[#This Row],[UF]])</f>
        <v>Brasília,DF</v>
      </c>
      <c r="F1414" s="2">
        <v>45820</v>
      </c>
      <c r="G1414" s="17">
        <v>894</v>
      </c>
      <c r="H1414" s="17">
        <v>1248</v>
      </c>
      <c r="I1414" s="6">
        <f>Tabela1[[#This Row],[Valor total]]-Tabela1[[#This Row],[Valor custo]]</f>
        <v>354</v>
      </c>
      <c r="J1414" s="7">
        <f>Tabela1[[#This Row],[MARGEM BRUTA]]/Tabela1[[#This Row],[Valor total]]</f>
        <v>0.28365384615384615</v>
      </c>
      <c r="K1414" s="1" t="str">
        <f>VLOOKUP(Tabela1[[#This Row],[Cliente]],'BASE DE CLIENTES'!A:D,4,0)</f>
        <v>EMPRESA COM MAQUINA</v>
      </c>
      <c r="L1414" s="1" t="str">
        <f>VLOOKUP(Tabela1[[#This Row],[Cliente]],'BASE DE CLIENTES'!A:E,5,0)</f>
        <v>SAMAMBAIA SUL (SAMAMBAIA)</v>
      </c>
    </row>
    <row r="1415" spans="2:12" x14ac:dyDescent="0.3">
      <c r="B1415" s="1" t="s">
        <v>27</v>
      </c>
      <c r="C1415" s="4" t="str">
        <f>VLOOKUP(Tabela1[[#This Row],[Cliente]],'BASE DE CLIENTES'!A:E,2,0)</f>
        <v>Brasília</v>
      </c>
      <c r="D1415" s="1" t="str">
        <f>VLOOKUP(Tabela1[[#This Row],[Cliente]],'BASE DE CLIENTES'!A:C,3,0)</f>
        <v>DF</v>
      </c>
      <c r="E1415" s="4" t="str">
        <f>CONCATENATE(Tabela1[[#This Row],[CIDADE]],",",Tabela1[[#This Row],[UF]])</f>
        <v>Brasília,DF</v>
      </c>
      <c r="F1415" s="2">
        <v>45820</v>
      </c>
      <c r="G1415" s="17">
        <v>1852.87</v>
      </c>
      <c r="H1415" s="17">
        <v>2340</v>
      </c>
      <c r="I1415" s="6">
        <f>Tabela1[[#This Row],[Valor total]]-Tabela1[[#This Row],[Valor custo]]</f>
        <v>487.13000000000011</v>
      </c>
      <c r="J1415" s="7">
        <f>Tabela1[[#This Row],[MARGEM BRUTA]]/Tabela1[[#This Row],[Valor total]]</f>
        <v>0.20817521367521372</v>
      </c>
      <c r="K1415" s="1" t="str">
        <f>VLOOKUP(Tabela1[[#This Row],[Cliente]],'BASE DE CLIENTES'!A:D,4,0)</f>
        <v>EMPRESA SEM MAQUINA</v>
      </c>
      <c r="L1415" s="1" t="str">
        <f>VLOOKUP(Tabela1[[#This Row],[Cliente]],'BASE DE CLIENTES'!A:E,5,0)</f>
        <v>RECANTO DAS EMAS</v>
      </c>
    </row>
    <row r="1416" spans="2:12" x14ac:dyDescent="0.3">
      <c r="B1416" s="1" t="s">
        <v>193</v>
      </c>
      <c r="C1416" s="4" t="str">
        <f>VLOOKUP(Tabela1[[#This Row],[Cliente]],'BASE DE CLIENTES'!A:E,2,0)</f>
        <v>Goiânia</v>
      </c>
      <c r="D1416" s="1" t="str">
        <f>VLOOKUP(Tabela1[[#This Row],[Cliente]],'BASE DE CLIENTES'!A:C,3,0)</f>
        <v>GO</v>
      </c>
      <c r="E1416" s="4" t="str">
        <f>CONCATENATE(Tabela1[[#This Row],[CIDADE]],",",Tabela1[[#This Row],[UF]])</f>
        <v>Goiânia,GO</v>
      </c>
      <c r="F1416" s="2">
        <v>45730</v>
      </c>
      <c r="G1416" s="17">
        <v>1594.35</v>
      </c>
      <c r="H1416" s="17">
        <v>2070</v>
      </c>
      <c r="I1416" s="6">
        <f>Tabela1[[#This Row],[Valor total]]-Tabela1[[#This Row],[Valor custo]]</f>
        <v>475.65000000000009</v>
      </c>
      <c r="J1416" s="7">
        <f>Tabela1[[#This Row],[MARGEM BRUTA]]/Tabela1[[#This Row],[Valor total]]</f>
        <v>0.22978260869565223</v>
      </c>
      <c r="K1416" s="1" t="str">
        <f>VLOOKUP(Tabela1[[#This Row],[Cliente]],'BASE DE CLIENTES'!A:D,4,0)</f>
        <v>SEM CLASSIFICAÇÃO</v>
      </c>
      <c r="L1416" s="1" t="str">
        <f>VLOOKUP(Tabela1[[#This Row],[Cliente]],'BASE DE CLIENTES'!A:E,5,0)</f>
        <v>Goiânia</v>
      </c>
    </row>
    <row r="1417" spans="2:12" x14ac:dyDescent="0.3">
      <c r="B1417" s="1" t="s">
        <v>199</v>
      </c>
      <c r="C1417" s="4" t="str">
        <f>VLOOKUP(Tabela1[[#This Row],[Cliente]],'BASE DE CLIENTES'!A:E,2,0)</f>
        <v>Goiânia</v>
      </c>
      <c r="D1417" s="1" t="str">
        <f>VLOOKUP(Tabela1[[#This Row],[Cliente]],'BASE DE CLIENTES'!A:C,3,0)</f>
        <v>GO</v>
      </c>
      <c r="E1417" s="4" t="str">
        <f>CONCATENATE(Tabela1[[#This Row],[CIDADE]],",",Tabela1[[#This Row],[UF]])</f>
        <v>Goiânia,GO</v>
      </c>
      <c r="F1417" s="2">
        <v>45729</v>
      </c>
      <c r="G1417" s="17">
        <v>3293.1</v>
      </c>
      <c r="H1417" s="17">
        <v>4490</v>
      </c>
      <c r="I1417" s="6">
        <f>Tabela1[[#This Row],[Valor total]]-Tabela1[[#This Row],[Valor custo]]</f>
        <v>1196.9000000000001</v>
      </c>
      <c r="J1417" s="7">
        <f>Tabela1[[#This Row],[MARGEM BRUTA]]/Tabela1[[#This Row],[Valor total]]</f>
        <v>0.2665701559020045</v>
      </c>
      <c r="K1417" s="1" t="str">
        <f>VLOOKUP(Tabela1[[#This Row],[Cliente]],'BASE DE CLIENTES'!A:D,4,0)</f>
        <v>EMPRESA COM MAQUINA</v>
      </c>
      <c r="L1417" s="1" t="str">
        <f>VLOOKUP(Tabela1[[#This Row],[Cliente]],'BASE DE CLIENTES'!A:E,5,0)</f>
        <v>Goiânia</v>
      </c>
    </row>
    <row r="1418" spans="2:12" x14ac:dyDescent="0.3">
      <c r="B1418" s="1" t="s">
        <v>218</v>
      </c>
      <c r="C1418" s="4" t="str">
        <f>VLOOKUP(Tabela1[[#This Row],[Cliente]],'BASE DE CLIENTES'!A:E,2,0)</f>
        <v>Brasília</v>
      </c>
      <c r="D1418" s="1" t="str">
        <f>VLOOKUP(Tabela1[[#This Row],[Cliente]],'BASE DE CLIENTES'!A:C,3,0)</f>
        <v>DF</v>
      </c>
      <c r="E1418" s="4" t="str">
        <f>CONCATENATE(Tabela1[[#This Row],[CIDADE]],",",Tabela1[[#This Row],[UF]])</f>
        <v>Brasília,DF</v>
      </c>
      <c r="F1418" s="2">
        <v>45842</v>
      </c>
      <c r="G1418" s="17">
        <v>293.13</v>
      </c>
      <c r="H1418" s="17">
        <v>450</v>
      </c>
      <c r="I1418" s="6">
        <f>Tabela1[[#This Row],[Valor total]]-Tabela1[[#This Row],[Valor custo]]</f>
        <v>156.87</v>
      </c>
      <c r="J1418" s="7">
        <f>Tabela1[[#This Row],[MARGEM BRUTA]]/Tabela1[[#This Row],[Valor total]]</f>
        <v>0.34860000000000002</v>
      </c>
      <c r="K1418" s="1" t="str">
        <f>VLOOKUP(Tabela1[[#This Row],[Cliente]],'BASE DE CLIENTES'!A:D,4,0)</f>
        <v>SEM CLASSIFICAÇÃO</v>
      </c>
      <c r="L1418" s="1" t="str">
        <f>VLOOKUP(Tabela1[[#This Row],[Cliente]],'BASE DE CLIENTES'!A:E,5,0)</f>
        <v>Riacho Fundo II</v>
      </c>
    </row>
    <row r="1419" spans="2:12" x14ac:dyDescent="0.3">
      <c r="B1419" s="1" t="s">
        <v>199</v>
      </c>
      <c r="C1419" s="4" t="str">
        <f>VLOOKUP(Tabela1[[#This Row],[Cliente]],'BASE DE CLIENTES'!A:E,2,0)</f>
        <v>Goiânia</v>
      </c>
      <c r="D1419" s="1" t="str">
        <f>VLOOKUP(Tabela1[[#This Row],[Cliente]],'BASE DE CLIENTES'!A:C,3,0)</f>
        <v>GO</v>
      </c>
      <c r="E1419" s="4" t="str">
        <f>CONCATENATE(Tabela1[[#This Row],[CIDADE]],",",Tabela1[[#This Row],[UF]])</f>
        <v>Goiânia,GO</v>
      </c>
      <c r="F1419" s="2">
        <v>45726</v>
      </c>
      <c r="G1419" s="17">
        <v>5556.2</v>
      </c>
      <c r="H1419" s="17">
        <v>8325</v>
      </c>
      <c r="I1419" s="6">
        <f>Tabela1[[#This Row],[Valor total]]-Tabela1[[#This Row],[Valor custo]]</f>
        <v>2768.8</v>
      </c>
      <c r="J1419" s="7">
        <f>Tabela1[[#This Row],[MARGEM BRUTA]]/Tabela1[[#This Row],[Valor total]]</f>
        <v>0.33258858858858859</v>
      </c>
      <c r="K1419" s="1" t="str">
        <f>VLOOKUP(Tabela1[[#This Row],[Cliente]],'BASE DE CLIENTES'!A:D,4,0)</f>
        <v>EMPRESA COM MAQUINA</v>
      </c>
      <c r="L1419" s="1" t="str">
        <f>VLOOKUP(Tabela1[[#This Row],[Cliente]],'BASE DE CLIENTES'!A:E,5,0)</f>
        <v>Goiânia</v>
      </c>
    </row>
    <row r="1420" spans="2:12" x14ac:dyDescent="0.3">
      <c r="B1420" s="1" t="s">
        <v>106</v>
      </c>
      <c r="C1420" s="4" t="str">
        <f>VLOOKUP(Tabela1[[#This Row],[Cliente]],'BASE DE CLIENTES'!A:E,2,0)</f>
        <v>Brasília</v>
      </c>
      <c r="D1420" s="1" t="str">
        <f>VLOOKUP(Tabela1[[#This Row],[Cliente]],'BASE DE CLIENTES'!A:C,3,0)</f>
        <v>DF</v>
      </c>
      <c r="E1420" s="4" t="str">
        <f>CONCATENATE(Tabela1[[#This Row],[CIDADE]],",",Tabela1[[#This Row],[UF]])</f>
        <v>Brasília,DF</v>
      </c>
      <c r="F1420" s="2">
        <v>45819</v>
      </c>
      <c r="G1420" s="17">
        <v>2516.11</v>
      </c>
      <c r="H1420" s="17">
        <v>3660</v>
      </c>
      <c r="I1420" s="6">
        <f>Tabela1[[#This Row],[Valor total]]-Tabela1[[#This Row],[Valor custo]]</f>
        <v>1143.8899999999999</v>
      </c>
      <c r="J1420" s="7">
        <f>Tabela1[[#This Row],[MARGEM BRUTA]]/Tabela1[[#This Row],[Valor total]]</f>
        <v>0.31253825136612018</v>
      </c>
      <c r="K1420" s="1" t="str">
        <f>VLOOKUP(Tabela1[[#This Row],[Cliente]],'BASE DE CLIENTES'!A:D,4,0)</f>
        <v>EMPRESA COM MAQUINA</v>
      </c>
      <c r="L1420" s="1" t="str">
        <f>VLOOKUP(Tabela1[[#This Row],[Cliente]],'BASE DE CLIENTES'!A:E,5,0)</f>
        <v>26 DE SETEMBRO</v>
      </c>
    </row>
    <row r="1421" spans="2:12" x14ac:dyDescent="0.3">
      <c r="B1421" s="1" t="s">
        <v>27</v>
      </c>
      <c r="C1421" s="4" t="str">
        <f>VLOOKUP(Tabela1[[#This Row],[Cliente]],'BASE DE CLIENTES'!A:E,2,0)</f>
        <v>Brasília</v>
      </c>
      <c r="D1421" s="1" t="str">
        <f>VLOOKUP(Tabela1[[#This Row],[Cliente]],'BASE DE CLIENTES'!A:C,3,0)</f>
        <v>DF</v>
      </c>
      <c r="E1421" s="4" t="str">
        <f>CONCATENATE(Tabela1[[#This Row],[CIDADE]],",",Tabela1[[#This Row],[UF]])</f>
        <v>Brasília,DF</v>
      </c>
      <c r="F1421" s="2">
        <v>45819</v>
      </c>
      <c r="G1421" s="17">
        <v>706.94</v>
      </c>
      <c r="H1421" s="17">
        <v>1245</v>
      </c>
      <c r="I1421" s="6">
        <f>Tabela1[[#This Row],[Valor total]]-Tabela1[[#This Row],[Valor custo]]</f>
        <v>538.05999999999995</v>
      </c>
      <c r="J1421" s="7">
        <f>Tabela1[[#This Row],[MARGEM BRUTA]]/Tabela1[[#This Row],[Valor total]]</f>
        <v>0.43217670682730919</v>
      </c>
      <c r="K1421" s="1" t="str">
        <f>VLOOKUP(Tabela1[[#This Row],[Cliente]],'BASE DE CLIENTES'!A:D,4,0)</f>
        <v>EMPRESA SEM MAQUINA</v>
      </c>
      <c r="L1421" s="1" t="str">
        <f>VLOOKUP(Tabela1[[#This Row],[Cliente]],'BASE DE CLIENTES'!A:E,5,0)</f>
        <v>RECANTO DAS EMAS</v>
      </c>
    </row>
    <row r="1422" spans="2:12" x14ac:dyDescent="0.3">
      <c r="B1422" s="1" t="s">
        <v>120</v>
      </c>
      <c r="C1422" s="4" t="str">
        <f>VLOOKUP(Tabela1[[#This Row],[Cliente]],'BASE DE CLIENTES'!A:E,2,0)</f>
        <v>Brasília</v>
      </c>
      <c r="D1422" s="1" t="str">
        <f>VLOOKUP(Tabela1[[#This Row],[Cliente]],'BASE DE CLIENTES'!A:C,3,0)</f>
        <v>DF</v>
      </c>
      <c r="E1422" s="4" t="str">
        <f>CONCATENATE(Tabela1[[#This Row],[CIDADE]],",",Tabela1[[#This Row],[UF]])</f>
        <v>Brasília,DF</v>
      </c>
      <c r="F1422" s="2">
        <v>45842</v>
      </c>
      <c r="G1422" s="17">
        <v>473</v>
      </c>
      <c r="H1422" s="17">
        <v>655</v>
      </c>
      <c r="I1422" s="6">
        <f>Tabela1[[#This Row],[Valor total]]-Tabela1[[#This Row],[Valor custo]]</f>
        <v>182</v>
      </c>
      <c r="J1422" s="7">
        <f>Tabela1[[#This Row],[MARGEM BRUTA]]/Tabela1[[#This Row],[Valor total]]</f>
        <v>0.27786259541984731</v>
      </c>
      <c r="K1422" s="1" t="str">
        <f>VLOOKUP(Tabela1[[#This Row],[Cliente]],'BASE DE CLIENTES'!A:D,4,0)</f>
        <v>EMPRESA SEM MAQUINA</v>
      </c>
      <c r="L1422" s="1" t="str">
        <f>VLOOKUP(Tabela1[[#This Row],[Cliente]],'BASE DE CLIENTES'!A:E,5,0)</f>
        <v>SAMAMBAIA</v>
      </c>
    </row>
    <row r="1423" spans="2:12" x14ac:dyDescent="0.3">
      <c r="B1423" s="1" t="s">
        <v>111</v>
      </c>
      <c r="C1423" s="4" t="str">
        <f>VLOOKUP(Tabela1[[#This Row],[Cliente]],'BASE DE CLIENTES'!A:E,2,0)</f>
        <v>Brasília</v>
      </c>
      <c r="D1423" s="1" t="str">
        <f>VLOOKUP(Tabela1[[#This Row],[Cliente]],'BASE DE CLIENTES'!A:C,3,0)</f>
        <v>DF</v>
      </c>
      <c r="E1423" s="4" t="str">
        <f>CONCATENATE(Tabela1[[#This Row],[CIDADE]],",",Tabela1[[#This Row],[UF]])</f>
        <v>Brasília,DF</v>
      </c>
      <c r="F1423" s="2">
        <v>45819</v>
      </c>
      <c r="G1423" s="17">
        <v>3078</v>
      </c>
      <c r="H1423" s="17">
        <v>5000</v>
      </c>
      <c r="I1423" s="6">
        <f>Tabela1[[#This Row],[Valor total]]-Tabela1[[#This Row],[Valor custo]]</f>
        <v>1922</v>
      </c>
      <c r="J1423" s="7">
        <f>Tabela1[[#This Row],[MARGEM BRUTA]]/Tabela1[[#This Row],[Valor total]]</f>
        <v>0.38440000000000002</v>
      </c>
      <c r="K1423" s="1" t="str">
        <f>VLOOKUP(Tabela1[[#This Row],[Cliente]],'BASE DE CLIENTES'!A:D,4,0)</f>
        <v>EMPRESA SEM MAQUINA</v>
      </c>
      <c r="L1423" s="1" t="str">
        <f>VLOOKUP(Tabela1[[#This Row],[Cliente]],'BASE DE CLIENTES'!A:E,5,0)</f>
        <v>TAGUATINGA SUL (TAGUATINGA)</v>
      </c>
    </row>
    <row r="1424" spans="2:12" x14ac:dyDescent="0.3">
      <c r="B1424" s="1" t="s">
        <v>36</v>
      </c>
      <c r="C1424" s="4" t="str">
        <f>VLOOKUP(Tabela1[[#This Row],[Cliente]],'BASE DE CLIENTES'!A:E,2,0)</f>
        <v>Brasília</v>
      </c>
      <c r="D1424" s="1" t="str">
        <f>VLOOKUP(Tabela1[[#This Row],[Cliente]],'BASE DE CLIENTES'!A:C,3,0)</f>
        <v>DF</v>
      </c>
      <c r="E1424" s="4" t="str">
        <f>CONCATENATE(Tabela1[[#This Row],[CIDADE]],",",Tabela1[[#This Row],[UF]])</f>
        <v>Brasília,DF</v>
      </c>
      <c r="F1424" s="2">
        <v>45819</v>
      </c>
      <c r="G1424" s="17">
        <v>165.8</v>
      </c>
      <c r="H1424" s="17">
        <v>255</v>
      </c>
      <c r="I1424" s="6">
        <f>Tabela1[[#This Row],[Valor total]]-Tabela1[[#This Row],[Valor custo]]</f>
        <v>89.199999999999989</v>
      </c>
      <c r="J1424" s="7">
        <f>Tabela1[[#This Row],[MARGEM BRUTA]]/Tabela1[[#This Row],[Valor total]]</f>
        <v>0.34980392156862739</v>
      </c>
      <c r="K1424" s="1" t="str">
        <f>VLOOKUP(Tabela1[[#This Row],[Cliente]],'BASE DE CLIENTES'!A:D,4,0)</f>
        <v>SERRALHEIRO</v>
      </c>
      <c r="L1424" s="1" t="str">
        <f>VLOOKUP(Tabela1[[#This Row],[Cliente]],'BASE DE CLIENTES'!A:E,5,0)</f>
        <v>CEILANDIA SUL (CEILANDIA)</v>
      </c>
    </row>
    <row r="1425" spans="2:12" x14ac:dyDescent="0.3">
      <c r="B1425" s="1" t="s">
        <v>193</v>
      </c>
      <c r="C1425" s="4" t="str">
        <f>VLOOKUP(Tabela1[[#This Row],[Cliente]],'BASE DE CLIENTES'!A:E,2,0)</f>
        <v>Goiânia</v>
      </c>
      <c r="D1425" s="1" t="str">
        <f>VLOOKUP(Tabela1[[#This Row],[Cliente]],'BASE DE CLIENTES'!A:C,3,0)</f>
        <v>GO</v>
      </c>
      <c r="E1425" s="4" t="str">
        <f>CONCATENATE(Tabela1[[#This Row],[CIDADE]],",",Tabela1[[#This Row],[UF]])</f>
        <v>Goiânia,GO</v>
      </c>
      <c r="F1425" s="2">
        <v>45723</v>
      </c>
      <c r="G1425" s="17">
        <v>4630.05</v>
      </c>
      <c r="H1425" s="17">
        <v>6210</v>
      </c>
      <c r="I1425" s="6">
        <f>Tabela1[[#This Row],[Valor total]]-Tabela1[[#This Row],[Valor custo]]</f>
        <v>1579.9499999999998</v>
      </c>
      <c r="J1425" s="7">
        <f>Tabela1[[#This Row],[MARGEM BRUTA]]/Tabela1[[#This Row],[Valor total]]</f>
        <v>0.25442028985507242</v>
      </c>
      <c r="K1425" s="1" t="str">
        <f>VLOOKUP(Tabela1[[#This Row],[Cliente]],'BASE DE CLIENTES'!A:D,4,0)</f>
        <v>SEM CLASSIFICAÇÃO</v>
      </c>
      <c r="L1425" s="1" t="str">
        <f>VLOOKUP(Tabela1[[#This Row],[Cliente]],'BASE DE CLIENTES'!A:E,5,0)</f>
        <v>Goiânia</v>
      </c>
    </row>
    <row r="1426" spans="2:12" x14ac:dyDescent="0.3">
      <c r="B1426" s="1" t="s">
        <v>97</v>
      </c>
      <c r="C1426" s="4" t="str">
        <f>VLOOKUP(Tabela1[[#This Row],[Cliente]],'BASE DE CLIENTES'!A:E,2,0)</f>
        <v>Brasília</v>
      </c>
      <c r="D1426" s="1" t="str">
        <f>VLOOKUP(Tabela1[[#This Row],[Cliente]],'BASE DE CLIENTES'!A:C,3,0)</f>
        <v>DF</v>
      </c>
      <c r="E1426" s="4" t="str">
        <f>CONCATENATE(Tabela1[[#This Row],[CIDADE]],",",Tabela1[[#This Row],[UF]])</f>
        <v>Brasília,DF</v>
      </c>
      <c r="F1426" s="2">
        <v>45819</v>
      </c>
      <c r="G1426" s="17">
        <v>946</v>
      </c>
      <c r="H1426" s="17">
        <v>1440</v>
      </c>
      <c r="I1426" s="6">
        <f>Tabela1[[#This Row],[Valor total]]-Tabela1[[#This Row],[Valor custo]]</f>
        <v>494</v>
      </c>
      <c r="J1426" s="7">
        <f>Tabela1[[#This Row],[MARGEM BRUTA]]/Tabela1[[#This Row],[Valor total]]</f>
        <v>0.34305555555555556</v>
      </c>
      <c r="K1426" s="1" t="str">
        <f>VLOOKUP(Tabela1[[#This Row],[Cliente]],'BASE DE CLIENTES'!A:D,4,0)</f>
        <v>SERRALHEIRO</v>
      </c>
      <c r="L1426" s="1" t="str">
        <f>VLOOKUP(Tabela1[[#This Row],[Cliente]],'BASE DE CLIENTES'!A:E,5,0)</f>
        <v>CEILANDIA NORTE</v>
      </c>
    </row>
    <row r="1427" spans="2:12" x14ac:dyDescent="0.3">
      <c r="B1427" s="1" t="s">
        <v>55</v>
      </c>
      <c r="C1427" s="4" t="str">
        <f>VLOOKUP(Tabela1[[#This Row],[Cliente]],'BASE DE CLIENTES'!A:E,2,0)</f>
        <v>Brasília</v>
      </c>
      <c r="D1427" s="1" t="str">
        <f>VLOOKUP(Tabela1[[#This Row],[Cliente]],'BASE DE CLIENTES'!A:C,3,0)</f>
        <v>DF</v>
      </c>
      <c r="E1427" s="4" t="str">
        <f>CONCATENATE(Tabela1[[#This Row],[CIDADE]],",",Tabela1[[#This Row],[UF]])</f>
        <v>Brasília,DF</v>
      </c>
      <c r="F1427" s="2">
        <v>45819</v>
      </c>
      <c r="G1427" s="17">
        <v>1814</v>
      </c>
      <c r="H1427" s="17">
        <v>2655</v>
      </c>
      <c r="I1427" s="6">
        <f>Tabela1[[#This Row],[Valor total]]-Tabela1[[#This Row],[Valor custo]]</f>
        <v>841</v>
      </c>
      <c r="J1427" s="7">
        <f>Tabela1[[#This Row],[MARGEM BRUTA]]/Tabela1[[#This Row],[Valor total]]</f>
        <v>0.31676082862523541</v>
      </c>
      <c r="K1427" s="1" t="str">
        <f>VLOOKUP(Tabela1[[#This Row],[Cliente]],'BASE DE CLIENTES'!A:D,4,0)</f>
        <v>EMPRESA SEM MAQUINA</v>
      </c>
      <c r="L1427" s="1" t="str">
        <f>VLOOKUP(Tabela1[[#This Row],[Cliente]],'BASE DE CLIENTES'!A:E,5,0)</f>
        <v>RECANTO DAS EMAS</v>
      </c>
    </row>
    <row r="1428" spans="2:12" x14ac:dyDescent="0.3">
      <c r="B1428" s="1" t="s">
        <v>68</v>
      </c>
      <c r="C1428" s="4" t="str">
        <f>VLOOKUP(Tabela1[[#This Row],[Cliente]],'BASE DE CLIENTES'!A:E,2,0)</f>
        <v>Brasília</v>
      </c>
      <c r="D1428" s="1" t="str">
        <f>VLOOKUP(Tabela1[[#This Row],[Cliente]],'BASE DE CLIENTES'!A:C,3,0)</f>
        <v>DF</v>
      </c>
      <c r="E1428" s="4" t="str">
        <f>CONCATENATE(Tabela1[[#This Row],[CIDADE]],",",Tabela1[[#This Row],[UF]])</f>
        <v>Brasília,DF</v>
      </c>
      <c r="F1428" s="2">
        <v>45819</v>
      </c>
      <c r="G1428" s="17">
        <v>250</v>
      </c>
      <c r="H1428" s="17">
        <v>300</v>
      </c>
      <c r="I1428" s="6">
        <f>Tabela1[[#This Row],[Valor total]]-Tabela1[[#This Row],[Valor custo]]</f>
        <v>50</v>
      </c>
      <c r="J1428" s="7">
        <f>Tabela1[[#This Row],[MARGEM BRUTA]]/Tabela1[[#This Row],[Valor total]]</f>
        <v>0.16666666666666666</v>
      </c>
      <c r="K1428" s="1" t="str">
        <f>VLOOKUP(Tabela1[[#This Row],[Cliente]],'BASE DE CLIENTES'!A:D,4,0)</f>
        <v>EMPRESA COM MAQUINA</v>
      </c>
      <c r="L1428" s="1" t="str">
        <f>VLOOKUP(Tabela1[[#This Row],[Cliente]],'BASE DE CLIENTES'!A:E,5,0)</f>
        <v>SAMAMBAIA SUL (SAMAMBAIA)</v>
      </c>
    </row>
    <row r="1429" spans="2:12" x14ac:dyDescent="0.3">
      <c r="B1429" s="1" t="s">
        <v>219</v>
      </c>
      <c r="C1429" s="4" t="str">
        <f>VLOOKUP(Tabela1[[#This Row],[Cliente]],'BASE DE CLIENTES'!A:E,2,0)</f>
        <v>Goiânia</v>
      </c>
      <c r="D1429" s="1" t="str">
        <f>VLOOKUP(Tabela1[[#This Row],[Cliente]],'BASE DE CLIENTES'!A:C,3,0)</f>
        <v>GO</v>
      </c>
      <c r="E1429" s="4" t="str">
        <f>CONCATENATE(Tabela1[[#This Row],[CIDADE]],",",Tabela1[[#This Row],[UF]])</f>
        <v>Goiânia,GO</v>
      </c>
      <c r="F1429" s="2">
        <v>45721</v>
      </c>
      <c r="G1429" s="17">
        <v>13864.8</v>
      </c>
      <c r="H1429" s="17">
        <v>17175</v>
      </c>
      <c r="I1429" s="6">
        <f>Tabela1[[#This Row],[Valor total]]-Tabela1[[#This Row],[Valor custo]]</f>
        <v>3310.2000000000007</v>
      </c>
      <c r="J1429" s="7">
        <f>Tabela1[[#This Row],[MARGEM BRUTA]]/Tabela1[[#This Row],[Valor total]]</f>
        <v>0.19273362445414852</v>
      </c>
      <c r="K1429" s="1" t="str">
        <f>VLOOKUP(Tabela1[[#This Row],[Cliente]],'BASE DE CLIENTES'!A:D,4,0)</f>
        <v>EMPRESA COM MAQUINA</v>
      </c>
      <c r="L1429" s="1" t="str">
        <f>VLOOKUP(Tabela1[[#This Row],[Cliente]],'BASE DE CLIENTES'!A:E,5,0)</f>
        <v>Goiânia</v>
      </c>
    </row>
    <row r="1430" spans="2:12" x14ac:dyDescent="0.3">
      <c r="B1430" s="1" t="s">
        <v>78</v>
      </c>
      <c r="C1430" s="4" t="str">
        <f>VLOOKUP(Tabela1[[#This Row],[Cliente]],'BASE DE CLIENTES'!A:E,2,0)</f>
        <v>Brasília</v>
      </c>
      <c r="D1430" s="1" t="str">
        <f>VLOOKUP(Tabela1[[#This Row],[Cliente]],'BASE DE CLIENTES'!A:C,3,0)</f>
        <v>DF</v>
      </c>
      <c r="E1430" s="4" t="str">
        <f>CONCATENATE(Tabela1[[#This Row],[CIDADE]],",",Tabela1[[#This Row],[UF]])</f>
        <v>Brasília,DF</v>
      </c>
      <c r="F1430" s="2">
        <v>45819</v>
      </c>
      <c r="G1430" s="17">
        <v>631.6</v>
      </c>
      <c r="H1430" s="17">
        <v>1300</v>
      </c>
      <c r="I1430" s="6">
        <f>Tabela1[[#This Row],[Valor total]]-Tabela1[[#This Row],[Valor custo]]</f>
        <v>668.4</v>
      </c>
      <c r="J1430" s="7">
        <f>Tabela1[[#This Row],[MARGEM BRUTA]]/Tabela1[[#This Row],[Valor total]]</f>
        <v>0.51415384615384618</v>
      </c>
      <c r="K1430" s="1" t="str">
        <f>VLOOKUP(Tabela1[[#This Row],[Cliente]],'BASE DE CLIENTES'!A:D,4,0)</f>
        <v>SERRALHEIRO</v>
      </c>
      <c r="L1430" s="1" t="str">
        <f>VLOOKUP(Tabela1[[#This Row],[Cliente]],'BASE DE CLIENTES'!A:E,5,0)</f>
        <v>Vila do Boa (São Sebastião)</v>
      </c>
    </row>
    <row r="1431" spans="2:12" x14ac:dyDescent="0.3">
      <c r="B1431" s="1" t="s">
        <v>199</v>
      </c>
      <c r="C1431" s="4" t="str">
        <f>VLOOKUP(Tabela1[[#This Row],[Cliente]],'BASE DE CLIENTES'!A:E,2,0)</f>
        <v>Goiânia</v>
      </c>
      <c r="D1431" s="1" t="str">
        <f>VLOOKUP(Tabela1[[#This Row],[Cliente]],'BASE DE CLIENTES'!A:C,3,0)</f>
        <v>GO</v>
      </c>
      <c r="E1431" s="4" t="str">
        <f>CONCATENATE(Tabela1[[#This Row],[CIDADE]],",",Tabela1[[#This Row],[UF]])</f>
        <v>Goiânia,GO</v>
      </c>
      <c r="F1431" s="2">
        <v>45776</v>
      </c>
      <c r="G1431" s="17">
        <v>3126</v>
      </c>
      <c r="H1431" s="17">
        <v>4860</v>
      </c>
      <c r="I1431" s="6">
        <f>Tabela1[[#This Row],[Valor total]]-Tabela1[[#This Row],[Valor custo]]</f>
        <v>1734</v>
      </c>
      <c r="J1431" s="7">
        <f>Tabela1[[#This Row],[MARGEM BRUTA]]/Tabela1[[#This Row],[Valor total]]</f>
        <v>0.35679012345679012</v>
      </c>
      <c r="K1431" s="1" t="str">
        <f>VLOOKUP(Tabela1[[#This Row],[Cliente]],'BASE DE CLIENTES'!A:D,4,0)</f>
        <v>EMPRESA COM MAQUINA</v>
      </c>
      <c r="L1431" s="1" t="str">
        <f>VLOOKUP(Tabela1[[#This Row],[Cliente]],'BASE DE CLIENTES'!A:E,5,0)</f>
        <v>Goiânia</v>
      </c>
    </row>
    <row r="1432" spans="2:12" x14ac:dyDescent="0.3">
      <c r="B1432" s="1" t="s">
        <v>206</v>
      </c>
      <c r="C1432" s="4" t="str">
        <f>VLOOKUP(Tabela1[[#This Row],[Cliente]],'BASE DE CLIENTES'!A:E,2,0)</f>
        <v>Goiânia</v>
      </c>
      <c r="D1432" s="1" t="str">
        <f>VLOOKUP(Tabela1[[#This Row],[Cliente]],'BASE DE CLIENTES'!A:C,3,0)</f>
        <v>GO</v>
      </c>
      <c r="E1432" s="4" t="str">
        <f>CONCATENATE(Tabela1[[#This Row],[CIDADE]],",",Tabela1[[#This Row],[UF]])</f>
        <v>Goiânia,GO</v>
      </c>
      <c r="F1432" s="2">
        <v>45772</v>
      </c>
      <c r="G1432" s="17">
        <v>7497.8</v>
      </c>
      <c r="H1432" s="17">
        <v>10970</v>
      </c>
      <c r="I1432" s="6">
        <f>Tabela1[[#This Row],[Valor total]]-Tabela1[[#This Row],[Valor custo]]</f>
        <v>3472.2</v>
      </c>
      <c r="J1432" s="7">
        <f>Tabela1[[#This Row],[MARGEM BRUTA]]/Tabela1[[#This Row],[Valor total]]</f>
        <v>0.31651777575205103</v>
      </c>
      <c r="K1432" s="1" t="str">
        <f>VLOOKUP(Tabela1[[#This Row],[Cliente]],'BASE DE CLIENTES'!A:D,4,0)</f>
        <v>EMPRESA COM MAQUINA</v>
      </c>
      <c r="L1432" s="1" t="str">
        <f>VLOOKUP(Tabela1[[#This Row],[Cliente]],'BASE DE CLIENTES'!A:E,5,0)</f>
        <v>Goiânia</v>
      </c>
    </row>
    <row r="1433" spans="2:12" x14ac:dyDescent="0.3">
      <c r="B1433" s="1" t="s">
        <v>213</v>
      </c>
      <c r="C1433" s="4" t="str">
        <f>VLOOKUP(Tabela1[[#This Row],[Cliente]],'BASE DE CLIENTES'!A:E,2,0)</f>
        <v>Goiânia</v>
      </c>
      <c r="D1433" s="1" t="str">
        <f>VLOOKUP(Tabela1[[#This Row],[Cliente]],'BASE DE CLIENTES'!A:C,3,0)</f>
        <v>GO</v>
      </c>
      <c r="E1433" s="4" t="str">
        <f>CONCATENATE(Tabela1[[#This Row],[CIDADE]],",",Tabela1[[#This Row],[UF]])</f>
        <v>Goiânia,GO</v>
      </c>
      <c r="F1433" s="2">
        <v>45772</v>
      </c>
      <c r="G1433" s="17">
        <v>5454</v>
      </c>
      <c r="H1433" s="17">
        <v>7470</v>
      </c>
      <c r="I1433" s="6">
        <f>Tabela1[[#This Row],[Valor total]]-Tabela1[[#This Row],[Valor custo]]</f>
        <v>2016</v>
      </c>
      <c r="J1433" s="7">
        <f>Tabela1[[#This Row],[MARGEM BRUTA]]/Tabela1[[#This Row],[Valor total]]</f>
        <v>0.26987951807228916</v>
      </c>
      <c r="K1433" s="1" t="str">
        <f>VLOOKUP(Tabela1[[#This Row],[Cliente]],'BASE DE CLIENTES'!A:D,4,0)</f>
        <v>EMPRESA COM MAQUINA</v>
      </c>
      <c r="L1433" s="1" t="str">
        <f>VLOOKUP(Tabela1[[#This Row],[Cliente]],'BASE DE CLIENTES'!A:E,5,0)</f>
        <v>Goiânia</v>
      </c>
    </row>
    <row r="1434" spans="2:12" x14ac:dyDescent="0.3">
      <c r="B1434" s="1" t="s">
        <v>70</v>
      </c>
      <c r="C1434" s="4" t="str">
        <f>VLOOKUP(Tabela1[[#This Row],[Cliente]],'BASE DE CLIENTES'!A:E,2,0)</f>
        <v>Brasília</v>
      </c>
      <c r="D1434" s="1" t="str">
        <f>VLOOKUP(Tabela1[[#This Row],[Cliente]],'BASE DE CLIENTES'!A:C,3,0)</f>
        <v>DF</v>
      </c>
      <c r="E1434" s="4" t="str">
        <f>CONCATENATE(Tabela1[[#This Row],[CIDADE]],",",Tabela1[[#This Row],[UF]])</f>
        <v>Brasília,DF</v>
      </c>
      <c r="F1434" s="2">
        <v>45819</v>
      </c>
      <c r="G1434" s="17">
        <v>5100</v>
      </c>
      <c r="H1434" s="17">
        <v>7170</v>
      </c>
      <c r="I1434" s="6">
        <f>Tabela1[[#This Row],[Valor total]]-Tabela1[[#This Row],[Valor custo]]</f>
        <v>2070</v>
      </c>
      <c r="J1434" s="7">
        <f>Tabela1[[#This Row],[MARGEM BRUTA]]/Tabela1[[#This Row],[Valor total]]</f>
        <v>0.28870292887029286</v>
      </c>
      <c r="K1434" s="1" t="str">
        <f>VLOOKUP(Tabela1[[#This Row],[Cliente]],'BASE DE CLIENTES'!A:D,4,0)</f>
        <v>EMPRESA COM MAQUINA</v>
      </c>
      <c r="L1434" s="1" t="str">
        <f>VLOOKUP(Tabela1[[#This Row],[Cliente]],'BASE DE CLIENTES'!A:E,5,0)</f>
        <v>TAGUATINGA NORTE (TAGUATINGA)</v>
      </c>
    </row>
    <row r="1435" spans="2:12" x14ac:dyDescent="0.3">
      <c r="B1435" s="1" t="s">
        <v>25</v>
      </c>
      <c r="C1435" s="4" t="str">
        <f>VLOOKUP(Tabela1[[#This Row],[Cliente]],'BASE DE CLIENTES'!A:E,2,0)</f>
        <v>Brasília</v>
      </c>
      <c r="D1435" s="1" t="str">
        <f>VLOOKUP(Tabela1[[#This Row],[Cliente]],'BASE DE CLIENTES'!A:C,3,0)</f>
        <v>DF</v>
      </c>
      <c r="E1435" s="4" t="str">
        <f>CONCATENATE(Tabela1[[#This Row],[CIDADE]],",",Tabela1[[#This Row],[UF]])</f>
        <v>Brasília,DF</v>
      </c>
      <c r="F1435" s="2">
        <v>45818</v>
      </c>
      <c r="G1435" s="17">
        <v>90</v>
      </c>
      <c r="H1435" s="17">
        <v>180</v>
      </c>
      <c r="I1435" s="6">
        <f>Tabela1[[#This Row],[Valor total]]-Tabela1[[#This Row],[Valor custo]]</f>
        <v>90</v>
      </c>
      <c r="J1435" s="7">
        <f>Tabela1[[#This Row],[MARGEM BRUTA]]/Tabela1[[#This Row],[Valor total]]</f>
        <v>0.5</v>
      </c>
      <c r="K1435" s="1" t="str">
        <f>VLOOKUP(Tabela1[[#This Row],[Cliente]],'BASE DE CLIENTES'!A:D,4,0)</f>
        <v>EMPRESA COM MAQUINA</v>
      </c>
      <c r="L1435" s="1" t="str">
        <f>VLOOKUP(Tabela1[[#This Row],[Cliente]],'BASE DE CLIENTES'!A:E,5,0)</f>
        <v>CEILANDIA NORTE (CEILANDIA)</v>
      </c>
    </row>
    <row r="1436" spans="2:12" x14ac:dyDescent="0.3">
      <c r="B1436" s="1" t="s">
        <v>68</v>
      </c>
      <c r="C1436" s="4" t="str">
        <f>VLOOKUP(Tabela1[[#This Row],[Cliente]],'BASE DE CLIENTES'!A:E,2,0)</f>
        <v>Brasília</v>
      </c>
      <c r="D1436" s="1" t="str">
        <f>VLOOKUP(Tabela1[[#This Row],[Cliente]],'BASE DE CLIENTES'!A:C,3,0)</f>
        <v>DF</v>
      </c>
      <c r="E1436" s="4" t="str">
        <f>CONCATENATE(Tabela1[[#This Row],[CIDADE]],",",Tabela1[[#This Row],[UF]])</f>
        <v>Brasília,DF</v>
      </c>
      <c r="F1436" s="2">
        <v>45818</v>
      </c>
      <c r="G1436" s="17">
        <v>882.87</v>
      </c>
      <c r="H1436" s="17">
        <v>912</v>
      </c>
      <c r="I1436" s="6">
        <f>Tabela1[[#This Row],[Valor total]]-Tabela1[[#This Row],[Valor custo]]</f>
        <v>29.129999999999995</v>
      </c>
      <c r="J1436" s="7">
        <f>Tabela1[[#This Row],[MARGEM BRUTA]]/Tabela1[[#This Row],[Valor total]]</f>
        <v>3.1940789473684207E-2</v>
      </c>
      <c r="K1436" s="1" t="str">
        <f>VLOOKUP(Tabela1[[#This Row],[Cliente]],'BASE DE CLIENTES'!A:D,4,0)</f>
        <v>EMPRESA COM MAQUINA</v>
      </c>
      <c r="L1436" s="1" t="str">
        <f>VLOOKUP(Tabela1[[#This Row],[Cliente]],'BASE DE CLIENTES'!A:E,5,0)</f>
        <v>SAMAMBAIA SUL (SAMAMBAIA)</v>
      </c>
    </row>
    <row r="1437" spans="2:12" x14ac:dyDescent="0.3">
      <c r="B1437" s="1" t="s">
        <v>106</v>
      </c>
      <c r="C1437" s="4" t="str">
        <f>VLOOKUP(Tabela1[[#This Row],[Cliente]],'BASE DE CLIENTES'!A:E,2,0)</f>
        <v>Brasília</v>
      </c>
      <c r="D1437" s="1" t="str">
        <f>VLOOKUP(Tabela1[[#This Row],[Cliente]],'BASE DE CLIENTES'!A:C,3,0)</f>
        <v>DF</v>
      </c>
      <c r="E1437" s="4" t="str">
        <f>CONCATENATE(Tabela1[[#This Row],[CIDADE]],",",Tabela1[[#This Row],[UF]])</f>
        <v>Brasília,DF</v>
      </c>
      <c r="F1437" s="2">
        <v>45818</v>
      </c>
      <c r="G1437" s="17">
        <v>473</v>
      </c>
      <c r="H1437" s="17">
        <v>655</v>
      </c>
      <c r="I1437" s="6">
        <f>Tabela1[[#This Row],[Valor total]]-Tabela1[[#This Row],[Valor custo]]</f>
        <v>182</v>
      </c>
      <c r="J1437" s="7">
        <f>Tabela1[[#This Row],[MARGEM BRUTA]]/Tabela1[[#This Row],[Valor total]]</f>
        <v>0.27786259541984731</v>
      </c>
      <c r="K1437" s="1" t="str">
        <f>VLOOKUP(Tabela1[[#This Row],[Cliente]],'BASE DE CLIENTES'!A:D,4,0)</f>
        <v>EMPRESA COM MAQUINA</v>
      </c>
      <c r="L1437" s="1" t="str">
        <f>VLOOKUP(Tabela1[[#This Row],[Cliente]],'BASE DE CLIENTES'!A:E,5,0)</f>
        <v>26 DE SETEMBRO</v>
      </c>
    </row>
    <row r="1438" spans="2:12" x14ac:dyDescent="0.3">
      <c r="B1438" s="1" t="s">
        <v>98</v>
      </c>
      <c r="C1438" s="4" t="str">
        <f>VLOOKUP(Tabela1[[#This Row],[Cliente]],'BASE DE CLIENTES'!A:E,2,0)</f>
        <v>Brasília</v>
      </c>
      <c r="D1438" s="1" t="str">
        <f>VLOOKUP(Tabela1[[#This Row],[Cliente]],'BASE DE CLIENTES'!A:C,3,0)</f>
        <v>DF</v>
      </c>
      <c r="E1438" s="4" t="str">
        <f>CONCATENATE(Tabela1[[#This Row],[CIDADE]],",",Tabela1[[#This Row],[UF]])</f>
        <v>Brasília,DF</v>
      </c>
      <c r="F1438" s="2">
        <v>45818</v>
      </c>
      <c r="G1438" s="17">
        <v>31.6</v>
      </c>
      <c r="H1438" s="17">
        <v>140</v>
      </c>
      <c r="I1438" s="6">
        <f>Tabela1[[#This Row],[Valor total]]-Tabela1[[#This Row],[Valor custo]]</f>
        <v>108.4</v>
      </c>
      <c r="J1438" s="7">
        <f>Tabela1[[#This Row],[MARGEM BRUTA]]/Tabela1[[#This Row],[Valor total]]</f>
        <v>0.77428571428571435</v>
      </c>
      <c r="K1438" s="1" t="str">
        <f>VLOOKUP(Tabela1[[#This Row],[Cliente]],'BASE DE CLIENTES'!A:D,4,0)</f>
        <v>SERRALHEIRO</v>
      </c>
      <c r="L1438" s="1" t="str">
        <f>VLOOKUP(Tabela1[[#This Row],[Cliente]],'BASE DE CLIENTES'!A:E,5,0)</f>
        <v>SANTA MARIA</v>
      </c>
    </row>
    <row r="1439" spans="2:12" x14ac:dyDescent="0.3">
      <c r="B1439" s="1" t="s">
        <v>27</v>
      </c>
      <c r="C1439" s="4" t="str">
        <f>VLOOKUP(Tabela1[[#This Row],[Cliente]],'BASE DE CLIENTES'!A:E,2,0)</f>
        <v>Brasília</v>
      </c>
      <c r="D1439" s="1" t="str">
        <f>VLOOKUP(Tabela1[[#This Row],[Cliente]],'BASE DE CLIENTES'!A:C,3,0)</f>
        <v>DF</v>
      </c>
      <c r="E1439" s="4" t="str">
        <f>CONCATENATE(Tabela1[[#This Row],[CIDADE]],",",Tabela1[[#This Row],[UF]])</f>
        <v>Brasília,DF</v>
      </c>
      <c r="F1439" s="2">
        <v>45818</v>
      </c>
      <c r="G1439" s="17">
        <v>534.87</v>
      </c>
      <c r="H1439" s="17">
        <v>735</v>
      </c>
      <c r="I1439" s="6">
        <f>Tabela1[[#This Row],[Valor total]]-Tabela1[[#This Row],[Valor custo]]</f>
        <v>200.13</v>
      </c>
      <c r="J1439" s="7">
        <f>Tabela1[[#This Row],[MARGEM BRUTA]]/Tabela1[[#This Row],[Valor total]]</f>
        <v>0.2722857142857143</v>
      </c>
      <c r="K1439" s="1" t="str">
        <f>VLOOKUP(Tabela1[[#This Row],[Cliente]],'BASE DE CLIENTES'!A:D,4,0)</f>
        <v>EMPRESA SEM MAQUINA</v>
      </c>
      <c r="L1439" s="1" t="str">
        <f>VLOOKUP(Tabela1[[#This Row],[Cliente]],'BASE DE CLIENTES'!A:E,5,0)</f>
        <v>RECANTO DAS EMAS</v>
      </c>
    </row>
    <row r="1440" spans="2:12" x14ac:dyDescent="0.3">
      <c r="B1440" s="1" t="s">
        <v>161</v>
      </c>
      <c r="C1440" s="4" t="str">
        <f>VLOOKUP(Tabela1[[#This Row],[Cliente]],'BASE DE CLIENTES'!A:E,2,0)</f>
        <v>Brasília</v>
      </c>
      <c r="D1440" s="1" t="str">
        <f>VLOOKUP(Tabela1[[#This Row],[Cliente]],'BASE DE CLIENTES'!A:C,3,0)</f>
        <v>DF</v>
      </c>
      <c r="E1440" s="4" t="str">
        <f>CONCATENATE(Tabela1[[#This Row],[CIDADE]],",",Tabela1[[#This Row],[UF]])</f>
        <v>Brasília,DF</v>
      </c>
      <c r="F1440" s="2">
        <v>45818</v>
      </c>
      <c r="G1440" s="17">
        <v>2336</v>
      </c>
      <c r="H1440" s="17">
        <v>3600</v>
      </c>
      <c r="I1440" s="6">
        <f>Tabela1[[#This Row],[Valor total]]-Tabela1[[#This Row],[Valor custo]]</f>
        <v>1264</v>
      </c>
      <c r="J1440" s="7">
        <f>Tabela1[[#This Row],[MARGEM BRUTA]]/Tabela1[[#This Row],[Valor total]]</f>
        <v>0.3511111111111111</v>
      </c>
      <c r="K1440" s="1" t="str">
        <f>VLOOKUP(Tabela1[[#This Row],[Cliente]],'BASE DE CLIENTES'!A:D,4,0)</f>
        <v>EMPRESA COM MAQUINA</v>
      </c>
      <c r="L1440" s="1" t="str">
        <f>VLOOKUP(Tabela1[[#This Row],[Cliente]],'BASE DE CLIENTES'!A:E,5,0)</f>
        <v>RIACHO FUNDO II</v>
      </c>
    </row>
    <row r="1441" spans="2:12" x14ac:dyDescent="0.3">
      <c r="B1441" s="1" t="s">
        <v>34</v>
      </c>
      <c r="C1441" s="4" t="str">
        <f>VLOOKUP(Tabela1[[#This Row],[Cliente]],'BASE DE CLIENTES'!A:E,2,0)</f>
        <v>Brasília</v>
      </c>
      <c r="D1441" s="1" t="str">
        <f>VLOOKUP(Tabela1[[#This Row],[Cliente]],'BASE DE CLIENTES'!A:C,3,0)</f>
        <v>DF</v>
      </c>
      <c r="E1441" s="4" t="str">
        <f>CONCATENATE(Tabela1[[#This Row],[CIDADE]],",",Tabela1[[#This Row],[UF]])</f>
        <v>Brasília,DF</v>
      </c>
      <c r="F1441" s="2">
        <v>45818</v>
      </c>
      <c r="G1441" s="17">
        <v>473</v>
      </c>
      <c r="H1441" s="17">
        <v>741.2</v>
      </c>
      <c r="I1441" s="6">
        <f>Tabela1[[#This Row],[Valor total]]-Tabela1[[#This Row],[Valor custo]]</f>
        <v>268.20000000000005</v>
      </c>
      <c r="J1441" s="7">
        <f>Tabela1[[#This Row],[MARGEM BRUTA]]/Tabela1[[#This Row],[Valor total]]</f>
        <v>0.3618456556934701</v>
      </c>
      <c r="K1441" s="1" t="str">
        <f>VLOOKUP(Tabela1[[#This Row],[Cliente]],'BASE DE CLIENTES'!A:D,4,0)</f>
        <v>SERRALHEIRO</v>
      </c>
      <c r="L1441" s="1" t="str">
        <f>VLOOKUP(Tabela1[[#This Row],[Cliente]],'BASE DE CLIENTES'!A:E,5,0)</f>
        <v>RECANTO DAS EMAS</v>
      </c>
    </row>
    <row r="1442" spans="2:12" x14ac:dyDescent="0.3">
      <c r="B1442" s="1" t="s">
        <v>220</v>
      </c>
      <c r="C1442" s="4" t="str">
        <f>VLOOKUP(Tabela1[[#This Row],[Cliente]],'BASE DE CLIENTES'!A:E,2,0)</f>
        <v>Goiânia</v>
      </c>
      <c r="D1442" s="1" t="str">
        <f>VLOOKUP(Tabela1[[#This Row],[Cliente]],'BASE DE CLIENTES'!A:C,3,0)</f>
        <v>GO</v>
      </c>
      <c r="E1442" s="4" t="str">
        <f>CONCATENATE(Tabela1[[#This Row],[CIDADE]],",",Tabela1[[#This Row],[UF]])</f>
        <v>Goiânia,GO</v>
      </c>
      <c r="F1442" s="2">
        <v>45771</v>
      </c>
      <c r="G1442" s="17">
        <v>994</v>
      </c>
      <c r="H1442" s="17">
        <v>1460</v>
      </c>
      <c r="I1442" s="6">
        <f>Tabela1[[#This Row],[Valor total]]-Tabela1[[#This Row],[Valor custo]]</f>
        <v>466</v>
      </c>
      <c r="J1442" s="7">
        <f>Tabela1[[#This Row],[MARGEM BRUTA]]/Tabela1[[#This Row],[Valor total]]</f>
        <v>0.31917808219178084</v>
      </c>
      <c r="K1442" s="1" t="str">
        <f>VLOOKUP(Tabela1[[#This Row],[Cliente]],'BASE DE CLIENTES'!A:D,4,0)</f>
        <v>EMPRESA COM MAQUINA</v>
      </c>
      <c r="L1442" s="1" t="str">
        <f>VLOOKUP(Tabela1[[#This Row],[Cliente]],'BASE DE CLIENTES'!A:E,5,0)</f>
        <v>Goiânia</v>
      </c>
    </row>
    <row r="1443" spans="2:12" x14ac:dyDescent="0.3">
      <c r="B1443" s="1" t="s">
        <v>199</v>
      </c>
      <c r="C1443" s="4" t="str">
        <f>VLOOKUP(Tabela1[[#This Row],[Cliente]],'BASE DE CLIENTES'!A:E,2,0)</f>
        <v>Goiânia</v>
      </c>
      <c r="D1443" s="1" t="str">
        <f>VLOOKUP(Tabela1[[#This Row],[Cliente]],'BASE DE CLIENTES'!A:C,3,0)</f>
        <v>GO</v>
      </c>
      <c r="E1443" s="4" t="str">
        <f>CONCATENATE(Tabela1[[#This Row],[CIDADE]],",",Tabela1[[#This Row],[UF]])</f>
        <v>Goiânia,GO</v>
      </c>
      <c r="F1443" s="2">
        <v>45769</v>
      </c>
      <c r="G1443" s="17">
        <v>2838</v>
      </c>
      <c r="H1443" s="17">
        <v>3930</v>
      </c>
      <c r="I1443" s="6">
        <f>Tabela1[[#This Row],[Valor total]]-Tabela1[[#This Row],[Valor custo]]</f>
        <v>1092</v>
      </c>
      <c r="J1443" s="7">
        <f>Tabela1[[#This Row],[MARGEM BRUTA]]/Tabela1[[#This Row],[Valor total]]</f>
        <v>0.27786259541984731</v>
      </c>
      <c r="K1443" s="1" t="str">
        <f>VLOOKUP(Tabela1[[#This Row],[Cliente]],'BASE DE CLIENTES'!A:D,4,0)</f>
        <v>EMPRESA COM MAQUINA</v>
      </c>
      <c r="L1443" s="1" t="str">
        <f>VLOOKUP(Tabela1[[#This Row],[Cliente]],'BASE DE CLIENTES'!A:E,5,0)</f>
        <v>Goiânia</v>
      </c>
    </row>
    <row r="1444" spans="2:12" x14ac:dyDescent="0.3">
      <c r="B1444" s="1" t="s">
        <v>221</v>
      </c>
      <c r="C1444" s="4" t="str">
        <f>VLOOKUP(Tabela1[[#This Row],[Cliente]],'BASE DE CLIENTES'!A:E,2,0)</f>
        <v>Goiânia</v>
      </c>
      <c r="D1444" s="1" t="str">
        <f>VLOOKUP(Tabela1[[#This Row],[Cliente]],'BASE DE CLIENTES'!A:C,3,0)</f>
        <v>GO</v>
      </c>
      <c r="E1444" s="4" t="str">
        <f>CONCATENATE(Tabela1[[#This Row],[CIDADE]],",",Tabela1[[#This Row],[UF]])</f>
        <v>Goiânia,GO</v>
      </c>
      <c r="F1444" s="2">
        <v>45769</v>
      </c>
      <c r="G1444" s="17">
        <v>2474</v>
      </c>
      <c r="H1444" s="17">
        <v>4400</v>
      </c>
      <c r="I1444" s="6">
        <f>Tabela1[[#This Row],[Valor total]]-Tabela1[[#This Row],[Valor custo]]</f>
        <v>1926</v>
      </c>
      <c r="J1444" s="7">
        <f>Tabela1[[#This Row],[MARGEM BRUTA]]/Tabela1[[#This Row],[Valor total]]</f>
        <v>0.43772727272727274</v>
      </c>
      <c r="K1444" s="1" t="str">
        <f>VLOOKUP(Tabela1[[#This Row],[Cliente]],'BASE DE CLIENTES'!A:D,4,0)</f>
        <v>EMPRESA COM MAQUINA</v>
      </c>
      <c r="L1444" s="1" t="str">
        <f>VLOOKUP(Tabela1[[#This Row],[Cliente]],'BASE DE CLIENTES'!A:E,5,0)</f>
        <v>Goiânia</v>
      </c>
    </row>
    <row r="1445" spans="2:12" x14ac:dyDescent="0.3">
      <c r="B1445" s="1" t="s">
        <v>220</v>
      </c>
      <c r="C1445" s="4" t="str">
        <f>VLOOKUP(Tabela1[[#This Row],[Cliente]],'BASE DE CLIENTES'!A:E,2,0)</f>
        <v>Goiânia</v>
      </c>
      <c r="D1445" s="1" t="str">
        <f>VLOOKUP(Tabela1[[#This Row],[Cliente]],'BASE DE CLIENTES'!A:C,3,0)</f>
        <v>GO</v>
      </c>
      <c r="E1445" s="4" t="str">
        <f>CONCATENATE(Tabela1[[#This Row],[CIDADE]],",",Tabela1[[#This Row],[UF]])</f>
        <v>Goiânia,GO</v>
      </c>
      <c r="F1445" s="2">
        <v>45769</v>
      </c>
      <c r="G1445" s="17">
        <v>584</v>
      </c>
      <c r="H1445" s="17">
        <v>869</v>
      </c>
      <c r="I1445" s="6">
        <f>Tabela1[[#This Row],[Valor total]]-Tabela1[[#This Row],[Valor custo]]</f>
        <v>285</v>
      </c>
      <c r="J1445" s="7">
        <f>Tabela1[[#This Row],[MARGEM BRUTA]]/Tabela1[[#This Row],[Valor total]]</f>
        <v>0.32796317606444186</v>
      </c>
      <c r="K1445" s="1" t="str">
        <f>VLOOKUP(Tabela1[[#This Row],[Cliente]],'BASE DE CLIENTES'!A:D,4,0)</f>
        <v>EMPRESA COM MAQUINA</v>
      </c>
      <c r="L1445" s="1" t="str">
        <f>VLOOKUP(Tabela1[[#This Row],[Cliente]],'BASE DE CLIENTES'!A:E,5,0)</f>
        <v>Goiânia</v>
      </c>
    </row>
    <row r="1446" spans="2:12" x14ac:dyDescent="0.3">
      <c r="B1446" s="1" t="s">
        <v>120</v>
      </c>
      <c r="C1446" s="4" t="str">
        <f>VLOOKUP(Tabela1[[#This Row],[Cliente]],'BASE DE CLIENTES'!A:E,2,0)</f>
        <v>Brasília</v>
      </c>
      <c r="D1446" s="1" t="str">
        <f>VLOOKUP(Tabela1[[#This Row],[Cliente]],'BASE DE CLIENTES'!A:C,3,0)</f>
        <v>DF</v>
      </c>
      <c r="E1446" s="4" t="str">
        <f>CONCATENATE(Tabela1[[#This Row],[CIDADE]],",",Tabela1[[#This Row],[UF]])</f>
        <v>Brasília,DF</v>
      </c>
      <c r="F1446" s="2">
        <v>45841</v>
      </c>
      <c r="G1446" s="17">
        <v>57.13</v>
      </c>
      <c r="H1446" s="17">
        <v>190</v>
      </c>
      <c r="I1446" s="6">
        <f>Tabela1[[#This Row],[Valor total]]-Tabela1[[#This Row],[Valor custo]]</f>
        <v>132.87</v>
      </c>
      <c r="J1446" s="7">
        <f>Tabela1[[#This Row],[MARGEM BRUTA]]/Tabela1[[#This Row],[Valor total]]</f>
        <v>0.69931578947368422</v>
      </c>
      <c r="K1446" s="1" t="str">
        <f>VLOOKUP(Tabela1[[#This Row],[Cliente]],'BASE DE CLIENTES'!A:D,4,0)</f>
        <v>EMPRESA SEM MAQUINA</v>
      </c>
      <c r="L1446" s="1" t="str">
        <f>VLOOKUP(Tabela1[[#This Row],[Cliente]],'BASE DE CLIENTES'!A:E,5,0)</f>
        <v>SAMAMBAIA</v>
      </c>
    </row>
    <row r="1447" spans="2:12" x14ac:dyDescent="0.3">
      <c r="B1447" s="1" t="s">
        <v>52</v>
      </c>
      <c r="C1447" s="4" t="str">
        <f>VLOOKUP(Tabela1[[#This Row],[Cliente]],'BASE DE CLIENTES'!A:E,2,0)</f>
        <v>Brasília</v>
      </c>
      <c r="D1447" s="1" t="str">
        <f>VLOOKUP(Tabela1[[#This Row],[Cliente]],'BASE DE CLIENTES'!A:C,3,0)</f>
        <v>DF</v>
      </c>
      <c r="E1447" s="4" t="str">
        <f>CONCATENATE(Tabela1[[#This Row],[CIDADE]],",",Tabela1[[#This Row],[UF]])</f>
        <v>Brasília,DF</v>
      </c>
      <c r="F1447" s="2">
        <v>45817</v>
      </c>
      <c r="G1447" s="17">
        <v>18.3</v>
      </c>
      <c r="H1447" s="17">
        <v>24</v>
      </c>
      <c r="I1447" s="6">
        <f>Tabela1[[#This Row],[Valor total]]-Tabela1[[#This Row],[Valor custo]]</f>
        <v>5.6999999999999993</v>
      </c>
      <c r="J1447" s="7">
        <f>Tabela1[[#This Row],[MARGEM BRUTA]]/Tabela1[[#This Row],[Valor total]]</f>
        <v>0.23749999999999996</v>
      </c>
      <c r="K1447" s="1" t="str">
        <f>VLOOKUP(Tabela1[[#This Row],[Cliente]],'BASE DE CLIENTES'!A:D,4,0)</f>
        <v>SERRALHEIRO</v>
      </c>
      <c r="L1447" s="1" t="str">
        <f>VLOOKUP(Tabela1[[#This Row],[Cliente]],'BASE DE CLIENTES'!A:E,5,0)</f>
        <v>Ceilândia Sul (Ceilândia)</v>
      </c>
    </row>
    <row r="1448" spans="2:12" x14ac:dyDescent="0.3">
      <c r="B1448" s="1" t="s">
        <v>52</v>
      </c>
      <c r="C1448" s="4" t="str">
        <f>VLOOKUP(Tabela1[[#This Row],[Cliente]],'BASE DE CLIENTES'!A:E,2,0)</f>
        <v>Brasília</v>
      </c>
      <c r="D1448" s="1" t="str">
        <f>VLOOKUP(Tabela1[[#This Row],[Cliente]],'BASE DE CLIENTES'!A:C,3,0)</f>
        <v>DF</v>
      </c>
      <c r="E1448" s="4" t="str">
        <f>CONCATENATE(Tabela1[[#This Row],[CIDADE]],",",Tabela1[[#This Row],[UF]])</f>
        <v>Brasília,DF</v>
      </c>
      <c r="F1448" s="2">
        <v>45817</v>
      </c>
      <c r="G1448" s="17">
        <v>1229.6099999999999</v>
      </c>
      <c r="H1448" s="17">
        <v>1755</v>
      </c>
      <c r="I1448" s="6">
        <f>Tabela1[[#This Row],[Valor total]]-Tabela1[[#This Row],[Valor custo]]</f>
        <v>525.3900000000001</v>
      </c>
      <c r="J1448" s="7">
        <f>Tabela1[[#This Row],[MARGEM BRUTA]]/Tabela1[[#This Row],[Valor total]]</f>
        <v>0.29936752136752143</v>
      </c>
      <c r="K1448" s="1" t="str">
        <f>VLOOKUP(Tabela1[[#This Row],[Cliente]],'BASE DE CLIENTES'!A:D,4,0)</f>
        <v>SERRALHEIRO</v>
      </c>
      <c r="L1448" s="1" t="str">
        <f>VLOOKUP(Tabela1[[#This Row],[Cliente]],'BASE DE CLIENTES'!A:E,5,0)</f>
        <v>Ceilândia Sul (Ceilândia)</v>
      </c>
    </row>
    <row r="1449" spans="2:12" x14ac:dyDescent="0.3">
      <c r="B1449" s="1" t="s">
        <v>68</v>
      </c>
      <c r="C1449" s="4" t="str">
        <f>VLOOKUP(Tabela1[[#This Row],[Cliente]],'BASE DE CLIENTES'!A:E,2,0)</f>
        <v>Brasília</v>
      </c>
      <c r="D1449" s="1" t="str">
        <f>VLOOKUP(Tabela1[[#This Row],[Cliente]],'BASE DE CLIENTES'!A:C,3,0)</f>
        <v>DF</v>
      </c>
      <c r="E1449" s="4" t="str">
        <f>CONCATENATE(Tabela1[[#This Row],[CIDADE]],",",Tabela1[[#This Row],[UF]])</f>
        <v>Brasília,DF</v>
      </c>
      <c r="F1449" s="2">
        <v>45817</v>
      </c>
      <c r="G1449" s="17">
        <v>1303.8699999999999</v>
      </c>
      <c r="H1449" s="17">
        <v>1815</v>
      </c>
      <c r="I1449" s="6">
        <f>Tabela1[[#This Row],[Valor total]]-Tabela1[[#This Row],[Valor custo]]</f>
        <v>511.13000000000011</v>
      </c>
      <c r="J1449" s="7">
        <f>Tabela1[[#This Row],[MARGEM BRUTA]]/Tabela1[[#This Row],[Valor total]]</f>
        <v>0.28161432506887057</v>
      </c>
      <c r="K1449" s="1" t="str">
        <f>VLOOKUP(Tabela1[[#This Row],[Cliente]],'BASE DE CLIENTES'!A:D,4,0)</f>
        <v>EMPRESA COM MAQUINA</v>
      </c>
      <c r="L1449" s="1" t="str">
        <f>VLOOKUP(Tabela1[[#This Row],[Cliente]],'BASE DE CLIENTES'!A:E,5,0)</f>
        <v>SAMAMBAIA SUL (SAMAMBAIA)</v>
      </c>
    </row>
    <row r="1450" spans="2:12" x14ac:dyDescent="0.3">
      <c r="B1450" s="1" t="s">
        <v>106</v>
      </c>
      <c r="C1450" s="4" t="str">
        <f>VLOOKUP(Tabela1[[#This Row],[Cliente]],'BASE DE CLIENTES'!A:E,2,0)</f>
        <v>Brasília</v>
      </c>
      <c r="D1450" s="1" t="str">
        <f>VLOOKUP(Tabela1[[#This Row],[Cliente]],'BASE DE CLIENTES'!A:C,3,0)</f>
        <v>DF</v>
      </c>
      <c r="E1450" s="4" t="str">
        <f>CONCATENATE(Tabela1[[#This Row],[CIDADE]],",",Tabela1[[#This Row],[UF]])</f>
        <v>Brasília,DF</v>
      </c>
      <c r="F1450" s="2">
        <v>45817</v>
      </c>
      <c r="G1450" s="17">
        <v>1564.37</v>
      </c>
      <c r="H1450" s="17">
        <v>1575</v>
      </c>
      <c r="I1450" s="6">
        <f>Tabela1[[#This Row],[Valor total]]-Tabela1[[#This Row],[Valor custo]]</f>
        <v>10.630000000000109</v>
      </c>
      <c r="J1450" s="7">
        <f>Tabela1[[#This Row],[MARGEM BRUTA]]/Tabela1[[#This Row],[Valor total]]</f>
        <v>6.7492063492064188E-3</v>
      </c>
      <c r="K1450" s="1" t="str">
        <f>VLOOKUP(Tabela1[[#This Row],[Cliente]],'BASE DE CLIENTES'!A:D,4,0)</f>
        <v>EMPRESA COM MAQUINA</v>
      </c>
      <c r="L1450" s="1" t="str">
        <f>VLOOKUP(Tabela1[[#This Row],[Cliente]],'BASE DE CLIENTES'!A:E,5,0)</f>
        <v>26 DE SETEMBRO</v>
      </c>
    </row>
    <row r="1451" spans="2:12" x14ac:dyDescent="0.3">
      <c r="B1451" s="1" t="s">
        <v>76</v>
      </c>
      <c r="C1451" s="4" t="str">
        <f>VLOOKUP(Tabela1[[#This Row],[Cliente]],'BASE DE CLIENTES'!A:E,2,0)</f>
        <v>Brasília</v>
      </c>
      <c r="D1451" s="1" t="str">
        <f>VLOOKUP(Tabela1[[#This Row],[Cliente]],'BASE DE CLIENTES'!A:C,3,0)</f>
        <v>DF</v>
      </c>
      <c r="E1451" s="4" t="str">
        <f>CONCATENATE(Tabela1[[#This Row],[CIDADE]],",",Tabela1[[#This Row],[UF]])</f>
        <v>Brasília,DF</v>
      </c>
      <c r="F1451" s="2">
        <v>45817</v>
      </c>
      <c r="G1451" s="17">
        <v>5797.3</v>
      </c>
      <c r="H1451" s="17">
        <v>7550</v>
      </c>
      <c r="I1451" s="6">
        <f>Tabela1[[#This Row],[Valor total]]-Tabela1[[#This Row],[Valor custo]]</f>
        <v>1752.6999999999998</v>
      </c>
      <c r="J1451" s="7">
        <f>Tabela1[[#This Row],[MARGEM BRUTA]]/Tabela1[[#This Row],[Valor total]]</f>
        <v>0.23214569536423837</v>
      </c>
      <c r="K1451" s="1" t="str">
        <f>VLOOKUP(Tabela1[[#This Row],[Cliente]],'BASE DE CLIENTES'!A:D,4,0)</f>
        <v>EMPRESA COM MAQUINA</v>
      </c>
      <c r="L1451" s="1" t="str">
        <f>VLOOKUP(Tabela1[[#This Row],[Cliente]],'BASE DE CLIENTES'!A:E,5,0)</f>
        <v>Setor Placa da Mercedes (Núcleo Bandeirante)</v>
      </c>
    </row>
    <row r="1452" spans="2:12" x14ac:dyDescent="0.3">
      <c r="B1452" s="1" t="s">
        <v>206</v>
      </c>
      <c r="C1452" s="4" t="str">
        <f>VLOOKUP(Tabela1[[#This Row],[Cliente]],'BASE DE CLIENTES'!A:E,2,0)</f>
        <v>Goiânia</v>
      </c>
      <c r="D1452" s="1" t="str">
        <f>VLOOKUP(Tabela1[[#This Row],[Cliente]],'BASE DE CLIENTES'!A:C,3,0)</f>
        <v>GO</v>
      </c>
      <c r="E1452" s="4" t="str">
        <f>CONCATENATE(Tabela1[[#This Row],[CIDADE]],",",Tabela1[[#This Row],[UF]])</f>
        <v>Goiânia,GO</v>
      </c>
      <c r="F1452" s="2">
        <v>45763</v>
      </c>
      <c r="G1452" s="17">
        <v>5746.92</v>
      </c>
      <c r="H1452" s="17">
        <v>8750</v>
      </c>
      <c r="I1452" s="6">
        <f>Tabela1[[#This Row],[Valor total]]-Tabela1[[#This Row],[Valor custo]]</f>
        <v>3003.08</v>
      </c>
      <c r="J1452" s="7">
        <f>Tabela1[[#This Row],[MARGEM BRUTA]]/Tabela1[[#This Row],[Valor total]]</f>
        <v>0.34320914285714282</v>
      </c>
      <c r="K1452" s="1" t="str">
        <f>VLOOKUP(Tabela1[[#This Row],[Cliente]],'BASE DE CLIENTES'!A:D,4,0)</f>
        <v>EMPRESA COM MAQUINA</v>
      </c>
      <c r="L1452" s="1" t="str">
        <f>VLOOKUP(Tabela1[[#This Row],[Cliente]],'BASE DE CLIENTES'!A:E,5,0)</f>
        <v>Goiânia</v>
      </c>
    </row>
    <row r="1453" spans="2:12" x14ac:dyDescent="0.3">
      <c r="B1453" s="1" t="s">
        <v>195</v>
      </c>
      <c r="C1453" s="4" t="str">
        <f>VLOOKUP(Tabela1[[#This Row],[Cliente]],'BASE DE CLIENTES'!A:E,2,0)</f>
        <v>Goiânia</v>
      </c>
      <c r="D1453" s="1" t="str">
        <f>VLOOKUP(Tabela1[[#This Row],[Cliente]],'BASE DE CLIENTES'!A:C,3,0)</f>
        <v>GO</v>
      </c>
      <c r="E1453" s="4" t="str">
        <f>CONCATENATE(Tabela1[[#This Row],[CIDADE]],",",Tabela1[[#This Row],[UF]])</f>
        <v>Goiânia,GO</v>
      </c>
      <c r="F1453" s="2">
        <v>45761</v>
      </c>
      <c r="G1453" s="17">
        <v>9460</v>
      </c>
      <c r="H1453" s="17">
        <v>11980</v>
      </c>
      <c r="I1453" s="6">
        <f>Tabela1[[#This Row],[Valor total]]-Tabela1[[#This Row],[Valor custo]]</f>
        <v>2520</v>
      </c>
      <c r="J1453" s="7">
        <f>Tabela1[[#This Row],[MARGEM BRUTA]]/Tabela1[[#This Row],[Valor total]]</f>
        <v>0.21035058430717862</v>
      </c>
      <c r="K1453" s="1" t="str">
        <f>VLOOKUP(Tabela1[[#This Row],[Cliente]],'BASE DE CLIENTES'!A:D,4,0)</f>
        <v>EMPRESA COM MAQUINA</v>
      </c>
      <c r="L1453" s="1" t="str">
        <f>VLOOKUP(Tabela1[[#This Row],[Cliente]],'BASE DE CLIENTES'!A:E,5,0)</f>
        <v>Goiânia</v>
      </c>
    </row>
    <row r="1454" spans="2:12" x14ac:dyDescent="0.3">
      <c r="B1454" s="1" t="s">
        <v>220</v>
      </c>
      <c r="C1454" s="4" t="str">
        <f>VLOOKUP(Tabela1[[#This Row],[Cliente]],'BASE DE CLIENTES'!A:E,2,0)</f>
        <v>Goiânia</v>
      </c>
      <c r="D1454" s="1" t="str">
        <f>VLOOKUP(Tabela1[[#This Row],[Cliente]],'BASE DE CLIENTES'!A:C,3,0)</f>
        <v>GO</v>
      </c>
      <c r="E1454" s="4" t="str">
        <f>CONCATENATE(Tabela1[[#This Row],[CIDADE]],",",Tabela1[[#This Row],[UF]])</f>
        <v>Goiânia,GO</v>
      </c>
      <c r="F1454" s="2">
        <v>45761</v>
      </c>
      <c r="G1454" s="17">
        <v>6215</v>
      </c>
      <c r="H1454" s="17">
        <v>8905</v>
      </c>
      <c r="I1454" s="6">
        <f>Tabela1[[#This Row],[Valor total]]-Tabela1[[#This Row],[Valor custo]]</f>
        <v>2690</v>
      </c>
      <c r="J1454" s="7">
        <f>Tabela1[[#This Row],[MARGEM BRUTA]]/Tabela1[[#This Row],[Valor total]]</f>
        <v>0.30207748455923639</v>
      </c>
      <c r="K1454" s="1" t="str">
        <f>VLOOKUP(Tabela1[[#This Row],[Cliente]],'BASE DE CLIENTES'!A:D,4,0)</f>
        <v>EMPRESA COM MAQUINA</v>
      </c>
      <c r="L1454" s="1" t="str">
        <f>VLOOKUP(Tabela1[[#This Row],[Cliente]],'BASE DE CLIENTES'!A:E,5,0)</f>
        <v>Goiânia</v>
      </c>
    </row>
    <row r="1455" spans="2:12" x14ac:dyDescent="0.3">
      <c r="B1455" s="1" t="s">
        <v>123</v>
      </c>
      <c r="C1455" s="4" t="str">
        <f>VLOOKUP(Tabela1[[#This Row],[Cliente]],'BASE DE CLIENTES'!A:E,2,0)</f>
        <v>Brasília</v>
      </c>
      <c r="D1455" s="1" t="str">
        <f>VLOOKUP(Tabela1[[#This Row],[Cliente]],'BASE DE CLIENTES'!A:C,3,0)</f>
        <v>DF</v>
      </c>
      <c r="E1455" s="4" t="str">
        <f>CONCATENATE(Tabela1[[#This Row],[CIDADE]],",",Tabela1[[#This Row],[UF]])</f>
        <v>Brasília,DF</v>
      </c>
      <c r="F1455" s="2">
        <v>45814</v>
      </c>
      <c r="G1455" s="17">
        <v>697.1</v>
      </c>
      <c r="H1455" s="17">
        <v>955</v>
      </c>
      <c r="I1455" s="6">
        <f>Tabela1[[#This Row],[Valor total]]-Tabela1[[#This Row],[Valor custo]]</f>
        <v>257.89999999999998</v>
      </c>
      <c r="J1455" s="7">
        <f>Tabela1[[#This Row],[MARGEM BRUTA]]/Tabela1[[#This Row],[Valor total]]</f>
        <v>0.27005235602094241</v>
      </c>
      <c r="K1455" s="1" t="str">
        <f>VLOOKUP(Tabela1[[#This Row],[Cliente]],'BASE DE CLIENTES'!A:D,4,0)</f>
        <v>EMPRESA COM MAQUINA</v>
      </c>
      <c r="L1455" s="1" t="str">
        <f>VLOOKUP(Tabela1[[#This Row],[Cliente]],'BASE DE CLIENTES'!A:E,5,0)</f>
        <v>ADE CEILÂNDIA</v>
      </c>
    </row>
    <row r="1456" spans="2:12" x14ac:dyDescent="0.3">
      <c r="B1456" s="1" t="s">
        <v>55</v>
      </c>
      <c r="C1456" s="4" t="str">
        <f>VLOOKUP(Tabela1[[#This Row],[Cliente]],'BASE DE CLIENTES'!A:E,2,0)</f>
        <v>Brasília</v>
      </c>
      <c r="D1456" s="1" t="str">
        <f>VLOOKUP(Tabela1[[#This Row],[Cliente]],'BASE DE CLIENTES'!A:C,3,0)</f>
        <v>DF</v>
      </c>
      <c r="E1456" s="4" t="str">
        <f>CONCATENATE(Tabela1[[#This Row],[CIDADE]],",",Tabela1[[#This Row],[UF]])</f>
        <v>Brasília,DF</v>
      </c>
      <c r="F1456" s="2">
        <v>45814</v>
      </c>
      <c r="G1456" s="17">
        <v>219.42</v>
      </c>
      <c r="H1456" s="17">
        <v>270</v>
      </c>
      <c r="I1456" s="6">
        <f>Tabela1[[#This Row],[Valor total]]-Tabela1[[#This Row],[Valor custo]]</f>
        <v>50.580000000000013</v>
      </c>
      <c r="J1456" s="7">
        <f>Tabela1[[#This Row],[MARGEM BRUTA]]/Tabela1[[#This Row],[Valor total]]</f>
        <v>0.18733333333333338</v>
      </c>
      <c r="K1456" s="1" t="str">
        <f>VLOOKUP(Tabela1[[#This Row],[Cliente]],'BASE DE CLIENTES'!A:D,4,0)</f>
        <v>EMPRESA SEM MAQUINA</v>
      </c>
      <c r="L1456" s="1" t="str">
        <f>VLOOKUP(Tabela1[[#This Row],[Cliente]],'BASE DE CLIENTES'!A:E,5,0)</f>
        <v>RECANTO DAS EMAS</v>
      </c>
    </row>
    <row r="1457" spans="2:12" x14ac:dyDescent="0.3">
      <c r="B1457" s="1" t="s">
        <v>27</v>
      </c>
      <c r="C1457" s="4" t="str">
        <f>VLOOKUP(Tabela1[[#This Row],[Cliente]],'BASE DE CLIENTES'!A:E,2,0)</f>
        <v>Brasília</v>
      </c>
      <c r="D1457" s="1" t="str">
        <f>VLOOKUP(Tabela1[[#This Row],[Cliente]],'BASE DE CLIENTES'!A:C,3,0)</f>
        <v>DF</v>
      </c>
      <c r="E1457" s="4" t="str">
        <f>CONCATENATE(Tabela1[[#This Row],[CIDADE]],",",Tabela1[[#This Row],[UF]])</f>
        <v>Brasília,DF</v>
      </c>
      <c r="F1457" s="2">
        <v>45814</v>
      </c>
      <c r="G1457" s="17">
        <v>2238.7399999999998</v>
      </c>
      <c r="H1457" s="17">
        <v>2790</v>
      </c>
      <c r="I1457" s="6">
        <f>Tabela1[[#This Row],[Valor total]]-Tabela1[[#This Row],[Valor custo]]</f>
        <v>551.26000000000022</v>
      </c>
      <c r="J1457" s="7">
        <f>Tabela1[[#This Row],[MARGEM BRUTA]]/Tabela1[[#This Row],[Valor total]]</f>
        <v>0.19758422939068107</v>
      </c>
      <c r="K1457" s="1" t="str">
        <f>VLOOKUP(Tabela1[[#This Row],[Cliente]],'BASE DE CLIENTES'!A:D,4,0)</f>
        <v>EMPRESA SEM MAQUINA</v>
      </c>
      <c r="L1457" s="1" t="str">
        <f>VLOOKUP(Tabela1[[#This Row],[Cliente]],'BASE DE CLIENTES'!A:E,5,0)</f>
        <v>RECANTO DAS EMAS</v>
      </c>
    </row>
    <row r="1458" spans="2:12" x14ac:dyDescent="0.3">
      <c r="B1458" s="1" t="s">
        <v>187</v>
      </c>
      <c r="C1458" s="4" t="str">
        <f>VLOOKUP(Tabela1[[#This Row],[Cliente]],'BASE DE CLIENTES'!A:E,2,0)</f>
        <v>Brasília</v>
      </c>
      <c r="D1458" s="1" t="str">
        <f>VLOOKUP(Tabela1[[#This Row],[Cliente]],'BASE DE CLIENTES'!A:C,3,0)</f>
        <v>DF</v>
      </c>
      <c r="E1458" s="4" t="str">
        <f>CONCATENATE(Tabela1[[#This Row],[CIDADE]],",",Tabela1[[#This Row],[UF]])</f>
        <v>Brasília,DF</v>
      </c>
      <c r="F1458" s="2">
        <v>45814</v>
      </c>
      <c r="G1458" s="17">
        <v>521</v>
      </c>
      <c r="H1458" s="17">
        <v>700</v>
      </c>
      <c r="I1458" s="6">
        <f>Tabela1[[#This Row],[Valor total]]-Tabela1[[#This Row],[Valor custo]]</f>
        <v>179</v>
      </c>
      <c r="J1458" s="7">
        <f>Tabela1[[#This Row],[MARGEM BRUTA]]/Tabela1[[#This Row],[Valor total]]</f>
        <v>0.25571428571428573</v>
      </c>
      <c r="K1458" s="1" t="str">
        <f>VLOOKUP(Tabela1[[#This Row],[Cliente]],'BASE DE CLIENTES'!A:D,4,0)</f>
        <v>SERRALHEIRO</v>
      </c>
      <c r="L1458" s="1" t="str">
        <f>VLOOKUP(Tabela1[[#This Row],[Cliente]],'BASE DE CLIENTES'!A:E,5,0)</f>
        <v>CEILANDIA SUL (CEILANDIA)</v>
      </c>
    </row>
    <row r="1459" spans="2:12" x14ac:dyDescent="0.3">
      <c r="B1459" s="1" t="s">
        <v>120</v>
      </c>
      <c r="C1459" s="4" t="str">
        <f>VLOOKUP(Tabela1[[#This Row],[Cliente]],'BASE DE CLIENTES'!A:E,2,0)</f>
        <v>Brasília</v>
      </c>
      <c r="D1459" s="1" t="str">
        <f>VLOOKUP(Tabela1[[#This Row],[Cliente]],'BASE DE CLIENTES'!A:C,3,0)</f>
        <v>DF</v>
      </c>
      <c r="E1459" s="4" t="str">
        <f>CONCATENATE(Tabela1[[#This Row],[CIDADE]],",",Tabela1[[#This Row],[UF]])</f>
        <v>Brasília,DF</v>
      </c>
      <c r="F1459" s="2">
        <v>45898</v>
      </c>
      <c r="G1459" s="17">
        <v>1813.87</v>
      </c>
      <c r="H1459" s="17">
        <v>2915</v>
      </c>
      <c r="I1459" s="6">
        <f>Tabela1[[#This Row],[Valor total]]-Tabela1[[#This Row],[Valor custo]]</f>
        <v>1101.1300000000001</v>
      </c>
      <c r="J1459" s="7">
        <f>Tabela1[[#This Row],[MARGEM BRUTA]]/Tabela1[[#This Row],[Valor total]]</f>
        <v>0.37774614065180107</v>
      </c>
      <c r="K1459" s="1" t="str">
        <f>VLOOKUP(Tabela1[[#This Row],[Cliente]],'BASE DE CLIENTES'!A:D,4,0)</f>
        <v>EMPRESA SEM MAQUINA</v>
      </c>
      <c r="L1459" s="1" t="str">
        <f>VLOOKUP(Tabela1[[#This Row],[Cliente]],'BASE DE CLIENTES'!A:E,5,0)</f>
        <v>SAMAMBAIA</v>
      </c>
    </row>
    <row r="1460" spans="2:12" x14ac:dyDescent="0.3">
      <c r="B1460" s="1" t="s">
        <v>199</v>
      </c>
      <c r="C1460" s="4" t="str">
        <f>VLOOKUP(Tabela1[[#This Row],[Cliente]],'BASE DE CLIENTES'!A:E,2,0)</f>
        <v>Goiânia</v>
      </c>
      <c r="D1460" s="1" t="str">
        <f>VLOOKUP(Tabela1[[#This Row],[Cliente]],'BASE DE CLIENTES'!A:C,3,0)</f>
        <v>GO</v>
      </c>
      <c r="E1460" s="4" t="str">
        <f>CONCATENATE(Tabela1[[#This Row],[CIDADE]],",",Tabela1[[#This Row],[UF]])</f>
        <v>Goiânia,GO</v>
      </c>
      <c r="F1460" s="2">
        <v>45757</v>
      </c>
      <c r="G1460" s="17">
        <v>3479</v>
      </c>
      <c r="H1460" s="17">
        <v>5250</v>
      </c>
      <c r="I1460" s="6">
        <f>Tabela1[[#This Row],[Valor total]]-Tabela1[[#This Row],[Valor custo]]</f>
        <v>1771</v>
      </c>
      <c r="J1460" s="7">
        <f>Tabela1[[#This Row],[MARGEM BRUTA]]/Tabela1[[#This Row],[Valor total]]</f>
        <v>0.33733333333333332</v>
      </c>
      <c r="K1460" s="1" t="str">
        <f>VLOOKUP(Tabela1[[#This Row],[Cliente]],'BASE DE CLIENTES'!A:D,4,0)</f>
        <v>EMPRESA COM MAQUINA</v>
      </c>
      <c r="L1460" s="1" t="str">
        <f>VLOOKUP(Tabela1[[#This Row],[Cliente]],'BASE DE CLIENTES'!A:E,5,0)</f>
        <v>Goiânia</v>
      </c>
    </row>
    <row r="1461" spans="2:12" x14ac:dyDescent="0.3">
      <c r="B1461" s="1" t="s">
        <v>221</v>
      </c>
      <c r="C1461" s="4" t="str">
        <f>VLOOKUP(Tabela1[[#This Row],[Cliente]],'BASE DE CLIENTES'!A:E,2,0)</f>
        <v>Goiânia</v>
      </c>
      <c r="D1461" s="1" t="str">
        <f>VLOOKUP(Tabela1[[#This Row],[Cliente]],'BASE DE CLIENTES'!A:C,3,0)</f>
        <v>GO</v>
      </c>
      <c r="E1461" s="4" t="str">
        <f>CONCATENATE(Tabela1[[#This Row],[CIDADE]],",",Tabela1[[#This Row],[UF]])</f>
        <v>Goiânia,GO</v>
      </c>
      <c r="F1461" s="2">
        <v>45757</v>
      </c>
      <c r="G1461" s="17">
        <v>9460</v>
      </c>
      <c r="H1461" s="17">
        <v>11980</v>
      </c>
      <c r="I1461" s="6">
        <f>Tabela1[[#This Row],[Valor total]]-Tabela1[[#This Row],[Valor custo]]</f>
        <v>2520</v>
      </c>
      <c r="J1461" s="7">
        <f>Tabela1[[#This Row],[MARGEM BRUTA]]/Tabela1[[#This Row],[Valor total]]</f>
        <v>0.21035058430717862</v>
      </c>
      <c r="K1461" s="1" t="str">
        <f>VLOOKUP(Tabela1[[#This Row],[Cliente]],'BASE DE CLIENTES'!A:D,4,0)</f>
        <v>EMPRESA COM MAQUINA</v>
      </c>
      <c r="L1461" s="1" t="str">
        <f>VLOOKUP(Tabela1[[#This Row],[Cliente]],'BASE DE CLIENTES'!A:E,5,0)</f>
        <v>Goiânia</v>
      </c>
    </row>
    <row r="1462" spans="2:12" x14ac:dyDescent="0.3">
      <c r="B1462" s="1" t="s">
        <v>52</v>
      </c>
      <c r="C1462" s="4" t="str">
        <f>VLOOKUP(Tabela1[[#This Row],[Cliente]],'BASE DE CLIENTES'!A:E,2,0)</f>
        <v>Brasília</v>
      </c>
      <c r="D1462" s="1" t="str">
        <f>VLOOKUP(Tabela1[[#This Row],[Cliente]],'BASE DE CLIENTES'!A:C,3,0)</f>
        <v>DF</v>
      </c>
      <c r="E1462" s="4" t="str">
        <f>CONCATENATE(Tabela1[[#This Row],[CIDADE]],",",Tabela1[[#This Row],[UF]])</f>
        <v>Brasília,DF</v>
      </c>
      <c r="F1462" s="2">
        <v>45814</v>
      </c>
      <c r="G1462" s="17">
        <v>584</v>
      </c>
      <c r="H1462" s="17">
        <v>940</v>
      </c>
      <c r="I1462" s="6">
        <f>Tabela1[[#This Row],[Valor total]]-Tabela1[[#This Row],[Valor custo]]</f>
        <v>356</v>
      </c>
      <c r="J1462" s="7">
        <f>Tabela1[[#This Row],[MARGEM BRUTA]]/Tabela1[[#This Row],[Valor total]]</f>
        <v>0.37872340425531914</v>
      </c>
      <c r="K1462" s="1" t="str">
        <f>VLOOKUP(Tabela1[[#This Row],[Cliente]],'BASE DE CLIENTES'!A:D,4,0)</f>
        <v>SERRALHEIRO</v>
      </c>
      <c r="L1462" s="1" t="str">
        <f>VLOOKUP(Tabela1[[#This Row],[Cliente]],'BASE DE CLIENTES'!A:E,5,0)</f>
        <v>Ceilândia Sul (Ceilândia)</v>
      </c>
    </row>
    <row r="1463" spans="2:12" x14ac:dyDescent="0.3">
      <c r="B1463" s="1" t="s">
        <v>220</v>
      </c>
      <c r="C1463" s="4" t="str">
        <f>VLOOKUP(Tabela1[[#This Row],[Cliente]],'BASE DE CLIENTES'!A:E,2,0)</f>
        <v>Goiânia</v>
      </c>
      <c r="D1463" s="1" t="str">
        <f>VLOOKUP(Tabela1[[#This Row],[Cliente]],'BASE DE CLIENTES'!A:C,3,0)</f>
        <v>GO</v>
      </c>
      <c r="E1463" s="4" t="str">
        <f>CONCATENATE(Tabela1[[#This Row],[CIDADE]],",",Tabela1[[#This Row],[UF]])</f>
        <v>Goiânia,GO</v>
      </c>
      <c r="F1463" s="2">
        <v>45757</v>
      </c>
      <c r="G1463" s="17">
        <v>1042</v>
      </c>
      <c r="H1463" s="17">
        <v>1620</v>
      </c>
      <c r="I1463" s="6">
        <f>Tabela1[[#This Row],[Valor total]]-Tabela1[[#This Row],[Valor custo]]</f>
        <v>578</v>
      </c>
      <c r="J1463" s="7">
        <f>Tabela1[[#This Row],[MARGEM BRUTA]]/Tabela1[[#This Row],[Valor total]]</f>
        <v>0.35679012345679012</v>
      </c>
      <c r="K1463" s="1" t="str">
        <f>VLOOKUP(Tabela1[[#This Row],[Cliente]],'BASE DE CLIENTES'!A:D,4,0)</f>
        <v>EMPRESA COM MAQUINA</v>
      </c>
      <c r="L1463" s="1" t="str">
        <f>VLOOKUP(Tabela1[[#This Row],[Cliente]],'BASE DE CLIENTES'!A:E,5,0)</f>
        <v>Goiânia</v>
      </c>
    </row>
    <row r="1464" spans="2:12" x14ac:dyDescent="0.3">
      <c r="B1464" s="1" t="s">
        <v>107</v>
      </c>
      <c r="C1464" s="4" t="str">
        <f>VLOOKUP(Tabela1[[#This Row],[Cliente]],'BASE DE CLIENTES'!A:E,2,0)</f>
        <v>Planaltina</v>
      </c>
      <c r="D1464" s="1" t="str">
        <f>VLOOKUP(Tabela1[[#This Row],[Cliente]],'BASE DE CLIENTES'!A:C,3,0)</f>
        <v>DF</v>
      </c>
      <c r="E1464" s="4" t="str">
        <f>CONCATENATE(Tabela1[[#This Row],[CIDADE]],",",Tabela1[[#This Row],[UF]])</f>
        <v>Planaltina,DF</v>
      </c>
      <c r="F1464" s="2">
        <v>45814</v>
      </c>
      <c r="G1464" s="17">
        <v>1443</v>
      </c>
      <c r="H1464" s="17">
        <v>2060</v>
      </c>
      <c r="I1464" s="6">
        <f>Tabela1[[#This Row],[Valor total]]-Tabela1[[#This Row],[Valor custo]]</f>
        <v>617</v>
      </c>
      <c r="J1464" s="7">
        <f>Tabela1[[#This Row],[MARGEM BRUTA]]/Tabela1[[#This Row],[Valor total]]</f>
        <v>0.29951456310679614</v>
      </c>
      <c r="K1464" s="1" t="str">
        <f>VLOOKUP(Tabela1[[#This Row],[Cliente]],'BASE DE CLIENTES'!A:D,4,0)</f>
        <v>EMPRESA COM MAQUINA</v>
      </c>
      <c r="L1464" s="1" t="str">
        <f>VLOOKUP(Tabela1[[#This Row],[Cliente]],'BASE DE CLIENTES'!A:E,5,0)</f>
        <v>SETOR LESTE</v>
      </c>
    </row>
    <row r="1465" spans="2:12" x14ac:dyDescent="0.3">
      <c r="B1465" s="1" t="s">
        <v>55</v>
      </c>
      <c r="C1465" s="4" t="str">
        <f>VLOOKUP(Tabela1[[#This Row],[Cliente]],'BASE DE CLIENTES'!A:E,2,0)</f>
        <v>Brasília</v>
      </c>
      <c r="D1465" s="1" t="str">
        <f>VLOOKUP(Tabela1[[#This Row],[Cliente]],'BASE DE CLIENTES'!A:C,3,0)</f>
        <v>DF</v>
      </c>
      <c r="E1465" s="4" t="str">
        <f>CONCATENATE(Tabela1[[#This Row],[CIDADE]],",",Tabela1[[#This Row],[UF]])</f>
        <v>Brasília,DF</v>
      </c>
      <c r="F1465" s="2">
        <v>45814</v>
      </c>
      <c r="G1465" s="17">
        <v>2129.8000000000002</v>
      </c>
      <c r="H1465" s="17">
        <v>3320</v>
      </c>
      <c r="I1465" s="6">
        <f>Tabela1[[#This Row],[Valor total]]-Tabela1[[#This Row],[Valor custo]]</f>
        <v>1190.1999999999998</v>
      </c>
      <c r="J1465" s="7">
        <f>Tabela1[[#This Row],[MARGEM BRUTA]]/Tabela1[[#This Row],[Valor total]]</f>
        <v>0.35849397590361443</v>
      </c>
      <c r="K1465" s="1" t="str">
        <f>VLOOKUP(Tabela1[[#This Row],[Cliente]],'BASE DE CLIENTES'!A:D,4,0)</f>
        <v>EMPRESA SEM MAQUINA</v>
      </c>
      <c r="L1465" s="1" t="str">
        <f>VLOOKUP(Tabela1[[#This Row],[Cliente]],'BASE DE CLIENTES'!A:E,5,0)</f>
        <v>RECANTO DAS EMAS</v>
      </c>
    </row>
    <row r="1466" spans="2:12" x14ac:dyDescent="0.3">
      <c r="B1466" s="1" t="s">
        <v>68</v>
      </c>
      <c r="C1466" s="4" t="str">
        <f>VLOOKUP(Tabela1[[#This Row],[Cliente]],'BASE DE CLIENTES'!A:E,2,0)</f>
        <v>Brasília</v>
      </c>
      <c r="D1466" s="1" t="str">
        <f>VLOOKUP(Tabela1[[#This Row],[Cliente]],'BASE DE CLIENTES'!A:C,3,0)</f>
        <v>DF</v>
      </c>
      <c r="E1466" s="4" t="str">
        <f>CONCATENATE(Tabela1[[#This Row],[CIDADE]],",",Tabela1[[#This Row],[UF]])</f>
        <v>Brasília,DF</v>
      </c>
      <c r="F1466" s="2">
        <v>45814</v>
      </c>
      <c r="G1466" s="17">
        <v>409.87</v>
      </c>
      <c r="H1466" s="17">
        <v>585</v>
      </c>
      <c r="I1466" s="6">
        <f>Tabela1[[#This Row],[Valor total]]-Tabela1[[#This Row],[Valor custo]]</f>
        <v>175.13</v>
      </c>
      <c r="J1466" s="7">
        <f>Tabela1[[#This Row],[MARGEM BRUTA]]/Tabela1[[#This Row],[Valor total]]</f>
        <v>0.29936752136752137</v>
      </c>
      <c r="K1466" s="1" t="str">
        <f>VLOOKUP(Tabela1[[#This Row],[Cliente]],'BASE DE CLIENTES'!A:D,4,0)</f>
        <v>EMPRESA COM MAQUINA</v>
      </c>
      <c r="L1466" s="1" t="str">
        <f>VLOOKUP(Tabela1[[#This Row],[Cliente]],'BASE DE CLIENTES'!A:E,5,0)</f>
        <v>SAMAMBAIA SUL (SAMAMBAIA)</v>
      </c>
    </row>
    <row r="1467" spans="2:12" x14ac:dyDescent="0.3">
      <c r="B1467" s="1" t="s">
        <v>36</v>
      </c>
      <c r="C1467" s="4" t="str">
        <f>VLOOKUP(Tabela1[[#This Row],[Cliente]],'BASE DE CLIENTES'!A:E,2,0)</f>
        <v>Brasília</v>
      </c>
      <c r="D1467" s="1" t="str">
        <f>VLOOKUP(Tabela1[[#This Row],[Cliente]],'BASE DE CLIENTES'!A:C,3,0)</f>
        <v>DF</v>
      </c>
      <c r="E1467" s="4" t="str">
        <f>CONCATENATE(Tabela1[[#This Row],[CIDADE]],",",Tabela1[[#This Row],[UF]])</f>
        <v>Brasília,DF</v>
      </c>
      <c r="F1467" s="2">
        <v>45813</v>
      </c>
      <c r="G1467" s="17">
        <v>946</v>
      </c>
      <c r="H1467" s="17">
        <v>2000</v>
      </c>
      <c r="I1467" s="6">
        <f>Tabela1[[#This Row],[Valor total]]-Tabela1[[#This Row],[Valor custo]]</f>
        <v>1054</v>
      </c>
      <c r="J1467" s="7">
        <f>Tabela1[[#This Row],[MARGEM BRUTA]]/Tabela1[[#This Row],[Valor total]]</f>
        <v>0.52700000000000002</v>
      </c>
      <c r="K1467" s="1" t="str">
        <f>VLOOKUP(Tabela1[[#This Row],[Cliente]],'BASE DE CLIENTES'!A:D,4,0)</f>
        <v>SERRALHEIRO</v>
      </c>
      <c r="L1467" s="1" t="str">
        <f>VLOOKUP(Tabela1[[#This Row],[Cliente]],'BASE DE CLIENTES'!A:E,5,0)</f>
        <v>CEILANDIA SUL (CEILANDIA)</v>
      </c>
    </row>
    <row r="1468" spans="2:12" x14ac:dyDescent="0.3">
      <c r="B1468" s="1" t="s">
        <v>36</v>
      </c>
      <c r="C1468" s="4" t="str">
        <f>VLOOKUP(Tabela1[[#This Row],[Cliente]],'BASE DE CLIENTES'!A:E,2,0)</f>
        <v>Brasília</v>
      </c>
      <c r="D1468" s="1" t="str">
        <f>VLOOKUP(Tabela1[[#This Row],[Cliente]],'BASE DE CLIENTES'!A:C,3,0)</f>
        <v>DF</v>
      </c>
      <c r="E1468" s="4" t="str">
        <f>CONCATENATE(Tabela1[[#This Row],[CIDADE]],",",Tabela1[[#This Row],[UF]])</f>
        <v>Brasília,DF</v>
      </c>
      <c r="F1468" s="2">
        <v>45813</v>
      </c>
      <c r="G1468" s="17">
        <v>103.69</v>
      </c>
      <c r="H1468" s="17">
        <v>300</v>
      </c>
      <c r="I1468" s="6">
        <f>Tabela1[[#This Row],[Valor total]]-Tabela1[[#This Row],[Valor custo]]</f>
        <v>196.31</v>
      </c>
      <c r="J1468" s="7">
        <f>Tabela1[[#This Row],[MARGEM BRUTA]]/Tabela1[[#This Row],[Valor total]]</f>
        <v>0.65436666666666665</v>
      </c>
      <c r="K1468" s="1" t="str">
        <f>VLOOKUP(Tabela1[[#This Row],[Cliente]],'BASE DE CLIENTES'!A:D,4,0)</f>
        <v>SERRALHEIRO</v>
      </c>
      <c r="L1468" s="1" t="str">
        <f>VLOOKUP(Tabela1[[#This Row],[Cliente]],'BASE DE CLIENTES'!A:E,5,0)</f>
        <v>CEILANDIA SUL (CEILANDIA)</v>
      </c>
    </row>
    <row r="1469" spans="2:12" x14ac:dyDescent="0.3">
      <c r="B1469" s="1" t="s">
        <v>222</v>
      </c>
      <c r="C1469" s="4" t="str">
        <f>VLOOKUP(Tabela1[[#This Row],[Cliente]],'BASE DE CLIENTES'!A:E,2,0)</f>
        <v>Goiânia</v>
      </c>
      <c r="D1469" s="1" t="str">
        <f>VLOOKUP(Tabela1[[#This Row],[Cliente]],'BASE DE CLIENTES'!A:C,3,0)</f>
        <v>GO</v>
      </c>
      <c r="E1469" s="4" t="str">
        <f>CONCATENATE(Tabela1[[#This Row],[CIDADE]],",",Tabela1[[#This Row],[UF]])</f>
        <v>Goiânia,GO</v>
      </c>
      <c r="F1469" s="2">
        <v>45755</v>
      </c>
      <c r="G1469" s="17">
        <v>7804</v>
      </c>
      <c r="H1469" s="17">
        <v>11000.01</v>
      </c>
      <c r="I1469" s="6">
        <f>Tabela1[[#This Row],[Valor total]]-Tabela1[[#This Row],[Valor custo]]</f>
        <v>3196.01</v>
      </c>
      <c r="J1469" s="7">
        <f>Tabela1[[#This Row],[MARGEM BRUTA]]/Tabela1[[#This Row],[Valor total]]</f>
        <v>0.29054609950354593</v>
      </c>
      <c r="K1469" s="1" t="str">
        <f>VLOOKUP(Tabela1[[#This Row],[Cliente]],'BASE DE CLIENTES'!A:D,4,0)</f>
        <v>EMPRESA COM MAQUINA</v>
      </c>
      <c r="L1469" s="1" t="str">
        <f>VLOOKUP(Tabela1[[#This Row],[Cliente]],'BASE DE CLIENTES'!A:E,5,0)</f>
        <v>Goiânia</v>
      </c>
    </row>
    <row r="1470" spans="2:12" x14ac:dyDescent="0.3">
      <c r="B1470" s="1" t="s">
        <v>68</v>
      </c>
      <c r="C1470" s="4" t="str">
        <f>VLOOKUP(Tabela1[[#This Row],[Cliente]],'BASE DE CLIENTES'!A:E,2,0)</f>
        <v>Brasília</v>
      </c>
      <c r="D1470" s="1" t="str">
        <f>VLOOKUP(Tabela1[[#This Row],[Cliente]],'BASE DE CLIENTES'!A:C,3,0)</f>
        <v>DF</v>
      </c>
      <c r="E1470" s="4" t="str">
        <f>CONCATENATE(Tabela1[[#This Row],[CIDADE]],",",Tabela1[[#This Row],[UF]])</f>
        <v>Brasília,DF</v>
      </c>
      <c r="F1470" s="2">
        <v>45813</v>
      </c>
      <c r="G1470" s="17">
        <v>923.87</v>
      </c>
      <c r="H1470" s="17">
        <v>1295</v>
      </c>
      <c r="I1470" s="6">
        <f>Tabela1[[#This Row],[Valor total]]-Tabela1[[#This Row],[Valor custo]]</f>
        <v>371.13</v>
      </c>
      <c r="J1470" s="7">
        <f>Tabela1[[#This Row],[MARGEM BRUTA]]/Tabela1[[#This Row],[Valor total]]</f>
        <v>0.2865868725868726</v>
      </c>
      <c r="K1470" s="1" t="str">
        <f>VLOOKUP(Tabela1[[#This Row],[Cliente]],'BASE DE CLIENTES'!A:D,4,0)</f>
        <v>EMPRESA COM MAQUINA</v>
      </c>
      <c r="L1470" s="1" t="str">
        <f>VLOOKUP(Tabela1[[#This Row],[Cliente]],'BASE DE CLIENTES'!A:E,5,0)</f>
        <v>SAMAMBAIA SUL (SAMAMBAIA)</v>
      </c>
    </row>
    <row r="1471" spans="2:12" x14ac:dyDescent="0.3">
      <c r="B1471" s="1" t="s">
        <v>123</v>
      </c>
      <c r="C1471" s="4" t="str">
        <f>VLOOKUP(Tabela1[[#This Row],[Cliente]],'BASE DE CLIENTES'!A:E,2,0)</f>
        <v>Brasília</v>
      </c>
      <c r="D1471" s="1" t="str">
        <f>VLOOKUP(Tabela1[[#This Row],[Cliente]],'BASE DE CLIENTES'!A:C,3,0)</f>
        <v>DF</v>
      </c>
      <c r="E1471" s="4" t="str">
        <f>CONCATENATE(Tabela1[[#This Row],[CIDADE]],",",Tabela1[[#This Row],[UF]])</f>
        <v>Brasília,DF</v>
      </c>
      <c r="F1471" s="2">
        <v>45813</v>
      </c>
      <c r="G1471" s="17">
        <v>473</v>
      </c>
      <c r="H1471" s="17">
        <v>650</v>
      </c>
      <c r="I1471" s="6">
        <f>Tabela1[[#This Row],[Valor total]]-Tabela1[[#This Row],[Valor custo]]</f>
        <v>177</v>
      </c>
      <c r="J1471" s="7">
        <f>Tabela1[[#This Row],[MARGEM BRUTA]]/Tabela1[[#This Row],[Valor total]]</f>
        <v>0.27230769230769231</v>
      </c>
      <c r="K1471" s="1" t="str">
        <f>VLOOKUP(Tabela1[[#This Row],[Cliente]],'BASE DE CLIENTES'!A:D,4,0)</f>
        <v>EMPRESA COM MAQUINA</v>
      </c>
      <c r="L1471" s="1" t="str">
        <f>VLOOKUP(Tabela1[[#This Row],[Cliente]],'BASE DE CLIENTES'!A:E,5,0)</f>
        <v>ADE CEILÂNDIA</v>
      </c>
    </row>
    <row r="1472" spans="2:12" x14ac:dyDescent="0.3">
      <c r="B1472" s="1" t="s">
        <v>123</v>
      </c>
      <c r="C1472" s="4" t="str">
        <f>VLOOKUP(Tabela1[[#This Row],[Cliente]],'BASE DE CLIENTES'!A:E,2,0)</f>
        <v>Brasília</v>
      </c>
      <c r="D1472" s="1" t="str">
        <f>VLOOKUP(Tabela1[[#This Row],[Cliente]],'BASE DE CLIENTES'!A:C,3,0)</f>
        <v>DF</v>
      </c>
      <c r="E1472" s="4" t="str">
        <f>CONCATENATE(Tabela1[[#This Row],[CIDADE]],",",Tabela1[[#This Row],[UF]])</f>
        <v>Brasília,DF</v>
      </c>
      <c r="F1472" s="2">
        <v>45813</v>
      </c>
      <c r="G1472" s="17">
        <v>32.5</v>
      </c>
      <c r="H1472" s="17">
        <v>50</v>
      </c>
      <c r="I1472" s="6">
        <f>Tabela1[[#This Row],[Valor total]]-Tabela1[[#This Row],[Valor custo]]</f>
        <v>17.5</v>
      </c>
      <c r="J1472" s="7">
        <f>Tabela1[[#This Row],[MARGEM BRUTA]]/Tabela1[[#This Row],[Valor total]]</f>
        <v>0.35</v>
      </c>
      <c r="K1472" s="1" t="str">
        <f>VLOOKUP(Tabela1[[#This Row],[Cliente]],'BASE DE CLIENTES'!A:D,4,0)</f>
        <v>EMPRESA COM MAQUINA</v>
      </c>
      <c r="L1472" s="1" t="str">
        <f>VLOOKUP(Tabela1[[#This Row],[Cliente]],'BASE DE CLIENTES'!A:E,5,0)</f>
        <v>ADE CEILÂNDIA</v>
      </c>
    </row>
    <row r="1473" spans="2:12" x14ac:dyDescent="0.3">
      <c r="B1473" s="1" t="s">
        <v>38</v>
      </c>
      <c r="C1473" s="4" t="str">
        <f>VLOOKUP(Tabela1[[#This Row],[Cliente]],'BASE DE CLIENTES'!A:E,2,0)</f>
        <v>Brasília</v>
      </c>
      <c r="D1473" s="1" t="str">
        <f>VLOOKUP(Tabela1[[#This Row],[Cliente]],'BASE DE CLIENTES'!A:C,3,0)</f>
        <v>DF</v>
      </c>
      <c r="E1473" s="4" t="str">
        <f>CONCATENATE(Tabela1[[#This Row],[CIDADE]],",",Tabela1[[#This Row],[UF]])</f>
        <v>Brasília,DF</v>
      </c>
      <c r="F1473" s="2">
        <v>45813</v>
      </c>
      <c r="G1473" s="17">
        <v>146.12</v>
      </c>
      <c r="H1473" s="17">
        <v>570</v>
      </c>
      <c r="I1473" s="6">
        <f>Tabela1[[#This Row],[Valor total]]-Tabela1[[#This Row],[Valor custo]]</f>
        <v>423.88</v>
      </c>
      <c r="J1473" s="7">
        <f>Tabela1[[#This Row],[MARGEM BRUTA]]/Tabela1[[#This Row],[Valor total]]</f>
        <v>0.74364912280701756</v>
      </c>
      <c r="K1473" s="1" t="str">
        <f>VLOOKUP(Tabela1[[#This Row],[Cliente]],'BASE DE CLIENTES'!A:D,4,0)</f>
        <v>EMPRESA SEM MAQUINA</v>
      </c>
      <c r="L1473" s="1" t="str">
        <f>VLOOKUP(Tabela1[[#This Row],[Cliente]],'BASE DE CLIENTES'!A:E,5,0)</f>
        <v>PONTE ALTA NORTE (GAMA)</v>
      </c>
    </row>
    <row r="1474" spans="2:12" x14ac:dyDescent="0.3">
      <c r="B1474" s="1" t="s">
        <v>88</v>
      </c>
      <c r="C1474" s="4" t="str">
        <f>VLOOKUP(Tabela1[[#This Row],[Cliente]],'BASE DE CLIENTES'!A:E,2,0)</f>
        <v>Brasília</v>
      </c>
      <c r="D1474" s="1" t="str">
        <f>VLOOKUP(Tabela1[[#This Row],[Cliente]],'BASE DE CLIENTES'!A:C,3,0)</f>
        <v>DF</v>
      </c>
      <c r="E1474" s="4" t="str">
        <f>CONCATENATE(Tabela1[[#This Row],[CIDADE]],",",Tabela1[[#This Row],[UF]])</f>
        <v>Brasília,DF</v>
      </c>
      <c r="F1474" s="2">
        <v>45813</v>
      </c>
      <c r="G1474" s="17">
        <v>506</v>
      </c>
      <c r="H1474" s="17">
        <v>850</v>
      </c>
      <c r="I1474" s="6">
        <f>Tabela1[[#This Row],[Valor total]]-Tabela1[[#This Row],[Valor custo]]</f>
        <v>344</v>
      </c>
      <c r="J1474" s="7">
        <f>Tabela1[[#This Row],[MARGEM BRUTA]]/Tabela1[[#This Row],[Valor total]]</f>
        <v>0.40470588235294119</v>
      </c>
      <c r="K1474" s="1" t="str">
        <f>VLOOKUP(Tabela1[[#This Row],[Cliente]],'BASE DE CLIENTES'!A:D,4,0)</f>
        <v>SERRALHEIRO</v>
      </c>
      <c r="L1474" s="1" t="str">
        <f>VLOOKUP(Tabela1[[#This Row],[Cliente]],'BASE DE CLIENTES'!A:E,5,0)</f>
        <v>RECANTO DAS EMAS</v>
      </c>
    </row>
    <row r="1475" spans="2:12" x14ac:dyDescent="0.3">
      <c r="B1475" s="1" t="s">
        <v>27</v>
      </c>
      <c r="C1475" s="4" t="str">
        <f>VLOOKUP(Tabela1[[#This Row],[Cliente]],'BASE DE CLIENTES'!A:E,2,0)</f>
        <v>Brasília</v>
      </c>
      <c r="D1475" s="1" t="str">
        <f>VLOOKUP(Tabela1[[#This Row],[Cliente]],'BASE DE CLIENTES'!A:C,3,0)</f>
        <v>DF</v>
      </c>
      <c r="E1475" s="4" t="str">
        <f>CONCATENATE(Tabela1[[#This Row],[CIDADE]],",",Tabela1[[#This Row],[UF]])</f>
        <v>Brasília,DF</v>
      </c>
      <c r="F1475" s="2">
        <v>45813</v>
      </c>
      <c r="G1475" s="17">
        <v>1168</v>
      </c>
      <c r="H1475" s="17">
        <v>1620</v>
      </c>
      <c r="I1475" s="6">
        <f>Tabela1[[#This Row],[Valor total]]-Tabela1[[#This Row],[Valor custo]]</f>
        <v>452</v>
      </c>
      <c r="J1475" s="7">
        <f>Tabela1[[#This Row],[MARGEM BRUTA]]/Tabela1[[#This Row],[Valor total]]</f>
        <v>0.27901234567901234</v>
      </c>
      <c r="K1475" s="1" t="str">
        <f>VLOOKUP(Tabela1[[#This Row],[Cliente]],'BASE DE CLIENTES'!A:D,4,0)</f>
        <v>EMPRESA SEM MAQUINA</v>
      </c>
      <c r="L1475" s="1" t="str">
        <f>VLOOKUP(Tabela1[[#This Row],[Cliente]],'BASE DE CLIENTES'!A:E,5,0)</f>
        <v>RECANTO DAS EMAS</v>
      </c>
    </row>
    <row r="1476" spans="2:12" x14ac:dyDescent="0.3">
      <c r="B1476" s="1" t="s">
        <v>78</v>
      </c>
      <c r="C1476" s="4" t="str">
        <f>VLOOKUP(Tabela1[[#This Row],[Cliente]],'BASE DE CLIENTES'!A:E,2,0)</f>
        <v>Brasília</v>
      </c>
      <c r="D1476" s="1" t="str">
        <f>VLOOKUP(Tabela1[[#This Row],[Cliente]],'BASE DE CLIENTES'!A:C,3,0)</f>
        <v>DF</v>
      </c>
      <c r="E1476" s="4" t="str">
        <f>CONCATENATE(Tabela1[[#This Row],[CIDADE]],",",Tabela1[[#This Row],[UF]])</f>
        <v>Brasília,DF</v>
      </c>
      <c r="F1476" s="2">
        <v>45813</v>
      </c>
      <c r="G1476" s="17">
        <v>49.21</v>
      </c>
      <c r="H1476" s="17">
        <v>80</v>
      </c>
      <c r="I1476" s="6">
        <f>Tabela1[[#This Row],[Valor total]]-Tabela1[[#This Row],[Valor custo]]</f>
        <v>30.79</v>
      </c>
      <c r="J1476" s="7">
        <f>Tabela1[[#This Row],[MARGEM BRUTA]]/Tabela1[[#This Row],[Valor total]]</f>
        <v>0.38487499999999997</v>
      </c>
      <c r="K1476" s="1" t="str">
        <f>VLOOKUP(Tabela1[[#This Row],[Cliente]],'BASE DE CLIENTES'!A:D,4,0)</f>
        <v>SERRALHEIRO</v>
      </c>
      <c r="L1476" s="1" t="str">
        <f>VLOOKUP(Tabela1[[#This Row],[Cliente]],'BASE DE CLIENTES'!A:E,5,0)</f>
        <v>Vila do Boa (São Sebastião)</v>
      </c>
    </row>
    <row r="1477" spans="2:12" x14ac:dyDescent="0.3">
      <c r="B1477" s="1" t="s">
        <v>106</v>
      </c>
      <c r="C1477" s="4" t="str">
        <f>VLOOKUP(Tabela1[[#This Row],[Cliente]],'BASE DE CLIENTES'!A:E,2,0)</f>
        <v>Brasília</v>
      </c>
      <c r="D1477" s="1" t="str">
        <f>VLOOKUP(Tabela1[[#This Row],[Cliente]],'BASE DE CLIENTES'!A:C,3,0)</f>
        <v>DF</v>
      </c>
      <c r="E1477" s="4" t="str">
        <f>CONCATENATE(Tabela1[[#This Row],[CIDADE]],",",Tabela1[[#This Row],[UF]])</f>
        <v>Brasília,DF</v>
      </c>
      <c r="F1477" s="2">
        <v>45813</v>
      </c>
      <c r="G1477" s="17">
        <v>521</v>
      </c>
      <c r="H1477" s="17">
        <v>750</v>
      </c>
      <c r="I1477" s="6">
        <f>Tabela1[[#This Row],[Valor total]]-Tabela1[[#This Row],[Valor custo]]</f>
        <v>229</v>
      </c>
      <c r="J1477" s="7">
        <f>Tabela1[[#This Row],[MARGEM BRUTA]]/Tabela1[[#This Row],[Valor total]]</f>
        <v>0.30533333333333335</v>
      </c>
      <c r="K1477" s="1" t="str">
        <f>VLOOKUP(Tabela1[[#This Row],[Cliente]],'BASE DE CLIENTES'!A:D,4,0)</f>
        <v>EMPRESA COM MAQUINA</v>
      </c>
      <c r="L1477" s="1" t="str">
        <f>VLOOKUP(Tabela1[[#This Row],[Cliente]],'BASE DE CLIENTES'!A:E,5,0)</f>
        <v>26 DE SETEMBRO</v>
      </c>
    </row>
    <row r="1478" spans="2:12" x14ac:dyDescent="0.3">
      <c r="B1478" s="1" t="s">
        <v>220</v>
      </c>
      <c r="C1478" s="4" t="str">
        <f>VLOOKUP(Tabela1[[#This Row],[Cliente]],'BASE DE CLIENTES'!A:E,2,0)</f>
        <v>Goiânia</v>
      </c>
      <c r="D1478" s="1" t="str">
        <f>VLOOKUP(Tabela1[[#This Row],[Cliente]],'BASE DE CLIENTES'!A:C,3,0)</f>
        <v>GO</v>
      </c>
      <c r="E1478" s="4" t="str">
        <f>CONCATENATE(Tabela1[[#This Row],[CIDADE]],",",Tabela1[[#This Row],[UF]])</f>
        <v>Goiânia,GO</v>
      </c>
      <c r="F1478" s="2">
        <v>45755</v>
      </c>
      <c r="G1478" s="17">
        <v>1500</v>
      </c>
      <c r="H1478" s="17">
        <v>2270</v>
      </c>
      <c r="I1478" s="6">
        <f>Tabela1[[#This Row],[Valor total]]-Tabela1[[#This Row],[Valor custo]]</f>
        <v>770</v>
      </c>
      <c r="J1478" s="7">
        <f>Tabela1[[#This Row],[MARGEM BRUTA]]/Tabela1[[#This Row],[Valor total]]</f>
        <v>0.33920704845814981</v>
      </c>
      <c r="K1478" s="1" t="str">
        <f>VLOOKUP(Tabela1[[#This Row],[Cliente]],'BASE DE CLIENTES'!A:D,4,0)</f>
        <v>EMPRESA COM MAQUINA</v>
      </c>
      <c r="L1478" s="1" t="str">
        <f>VLOOKUP(Tabela1[[#This Row],[Cliente]],'BASE DE CLIENTES'!A:E,5,0)</f>
        <v>Goiânia</v>
      </c>
    </row>
    <row r="1479" spans="2:12" x14ac:dyDescent="0.3">
      <c r="B1479" s="1" t="s">
        <v>223</v>
      </c>
      <c r="C1479" s="4" t="str">
        <f>VLOOKUP(Tabela1[[#This Row],[Cliente]],'BASE DE CLIENTES'!A:E,2,0)</f>
        <v>Goiânia</v>
      </c>
      <c r="D1479" s="1" t="str">
        <f>VLOOKUP(Tabela1[[#This Row],[Cliente]],'BASE DE CLIENTES'!A:C,3,0)</f>
        <v>GO</v>
      </c>
      <c r="E1479" s="4" t="str">
        <f>CONCATENATE(Tabela1[[#This Row],[CIDADE]],",",Tabela1[[#This Row],[UF]])</f>
        <v>Goiânia,GO</v>
      </c>
      <c r="F1479" s="2">
        <v>45754</v>
      </c>
      <c r="G1479" s="17">
        <v>931.21</v>
      </c>
      <c r="H1479" s="17">
        <v>1780</v>
      </c>
      <c r="I1479" s="6">
        <f>Tabela1[[#This Row],[Valor total]]-Tabela1[[#This Row],[Valor custo]]</f>
        <v>848.79</v>
      </c>
      <c r="J1479" s="7">
        <f>Tabela1[[#This Row],[MARGEM BRUTA]]/Tabela1[[#This Row],[Valor total]]</f>
        <v>0.47684831460674154</v>
      </c>
      <c r="K1479" s="1" t="str">
        <f>VLOOKUP(Tabela1[[#This Row],[Cliente]],'BASE DE CLIENTES'!A:D,4,0)</f>
        <v>EMPRESA COM MAQUINA</v>
      </c>
      <c r="L1479" s="1" t="str">
        <f>VLOOKUP(Tabela1[[#This Row],[Cliente]],'BASE DE CLIENTES'!A:E,5,0)</f>
        <v>Goiânia</v>
      </c>
    </row>
    <row r="1480" spans="2:12" x14ac:dyDescent="0.3">
      <c r="B1480" s="1" t="s">
        <v>199</v>
      </c>
      <c r="C1480" s="4" t="str">
        <f>VLOOKUP(Tabela1[[#This Row],[Cliente]],'BASE DE CLIENTES'!A:E,2,0)</f>
        <v>Goiânia</v>
      </c>
      <c r="D1480" s="1" t="str">
        <f>VLOOKUP(Tabela1[[#This Row],[Cliente]],'BASE DE CLIENTES'!A:C,3,0)</f>
        <v>GO</v>
      </c>
      <c r="E1480" s="4" t="str">
        <f>CONCATENATE(Tabela1[[#This Row],[CIDADE]],",",Tabela1[[#This Row],[UF]])</f>
        <v>Goiânia,GO</v>
      </c>
      <c r="F1480" s="2">
        <v>45750</v>
      </c>
      <c r="G1480" s="17">
        <v>3558</v>
      </c>
      <c r="H1480" s="17">
        <v>5425</v>
      </c>
      <c r="I1480" s="6">
        <f>Tabela1[[#This Row],[Valor total]]-Tabela1[[#This Row],[Valor custo]]</f>
        <v>1867</v>
      </c>
      <c r="J1480" s="7">
        <f>Tabela1[[#This Row],[MARGEM BRUTA]]/Tabela1[[#This Row],[Valor total]]</f>
        <v>0.34414746543778801</v>
      </c>
      <c r="K1480" s="1" t="str">
        <f>VLOOKUP(Tabela1[[#This Row],[Cliente]],'BASE DE CLIENTES'!A:D,4,0)</f>
        <v>EMPRESA COM MAQUINA</v>
      </c>
      <c r="L1480" s="1" t="str">
        <f>VLOOKUP(Tabela1[[#This Row],[Cliente]],'BASE DE CLIENTES'!A:E,5,0)</f>
        <v>Goiânia</v>
      </c>
    </row>
    <row r="1481" spans="2:12" x14ac:dyDescent="0.3">
      <c r="B1481" s="1" t="s">
        <v>199</v>
      </c>
      <c r="C1481" s="4" t="str">
        <f>VLOOKUP(Tabela1[[#This Row],[Cliente]],'BASE DE CLIENTES'!A:E,2,0)</f>
        <v>Goiânia</v>
      </c>
      <c r="D1481" s="1" t="str">
        <f>VLOOKUP(Tabela1[[#This Row],[Cliente]],'BASE DE CLIENTES'!A:C,3,0)</f>
        <v>GO</v>
      </c>
      <c r="E1481" s="4" t="str">
        <f>CONCATENATE(Tabela1[[#This Row],[CIDADE]],",",Tabela1[[#This Row],[UF]])</f>
        <v>Goiânia,GO</v>
      </c>
      <c r="F1481" s="2">
        <v>45749</v>
      </c>
      <c r="G1481" s="17">
        <v>4730</v>
      </c>
      <c r="H1481" s="17">
        <v>6550</v>
      </c>
      <c r="I1481" s="6">
        <f>Tabela1[[#This Row],[Valor total]]-Tabela1[[#This Row],[Valor custo]]</f>
        <v>1820</v>
      </c>
      <c r="J1481" s="7">
        <f>Tabela1[[#This Row],[MARGEM BRUTA]]/Tabela1[[#This Row],[Valor total]]</f>
        <v>0.27786259541984731</v>
      </c>
      <c r="K1481" s="1" t="str">
        <f>VLOOKUP(Tabela1[[#This Row],[Cliente]],'BASE DE CLIENTES'!A:D,4,0)</f>
        <v>EMPRESA COM MAQUINA</v>
      </c>
      <c r="L1481" s="1" t="str">
        <f>VLOOKUP(Tabela1[[#This Row],[Cliente]],'BASE DE CLIENTES'!A:E,5,0)</f>
        <v>Goiânia</v>
      </c>
    </row>
    <row r="1482" spans="2:12" x14ac:dyDescent="0.3">
      <c r="B1482" s="1" t="s">
        <v>220</v>
      </c>
      <c r="C1482" s="4" t="str">
        <f>VLOOKUP(Tabela1[[#This Row],[Cliente]],'BASE DE CLIENTES'!A:E,2,0)</f>
        <v>Goiânia</v>
      </c>
      <c r="D1482" s="1" t="str">
        <f>VLOOKUP(Tabela1[[#This Row],[Cliente]],'BASE DE CLIENTES'!A:C,3,0)</f>
        <v>GO</v>
      </c>
      <c r="E1482" s="4" t="str">
        <f>CONCATENATE(Tabela1[[#This Row],[CIDADE]],",",Tabela1[[#This Row],[UF]])</f>
        <v>Goiânia,GO</v>
      </c>
      <c r="F1482" s="2">
        <v>45749</v>
      </c>
      <c r="G1482" s="17">
        <v>2819</v>
      </c>
      <c r="H1482" s="17">
        <v>3969</v>
      </c>
      <c r="I1482" s="6">
        <f>Tabela1[[#This Row],[Valor total]]-Tabela1[[#This Row],[Valor custo]]</f>
        <v>1150</v>
      </c>
      <c r="J1482" s="7">
        <f>Tabela1[[#This Row],[MARGEM BRUTA]]/Tabela1[[#This Row],[Valor total]]</f>
        <v>0.28974552784076596</v>
      </c>
      <c r="K1482" s="1" t="str">
        <f>VLOOKUP(Tabela1[[#This Row],[Cliente]],'BASE DE CLIENTES'!A:D,4,0)</f>
        <v>EMPRESA COM MAQUINA</v>
      </c>
      <c r="L1482" s="1" t="str">
        <f>VLOOKUP(Tabela1[[#This Row],[Cliente]],'BASE DE CLIENTES'!A:E,5,0)</f>
        <v>Goiânia</v>
      </c>
    </row>
    <row r="1483" spans="2:12" x14ac:dyDescent="0.3">
      <c r="B1483" s="1" t="s">
        <v>161</v>
      </c>
      <c r="C1483" s="4" t="str">
        <f>VLOOKUP(Tabela1[[#This Row],[Cliente]],'BASE DE CLIENTES'!A:E,2,0)</f>
        <v>Brasília</v>
      </c>
      <c r="D1483" s="1" t="str">
        <f>VLOOKUP(Tabela1[[#This Row],[Cliente]],'BASE DE CLIENTES'!A:C,3,0)</f>
        <v>DF</v>
      </c>
      <c r="E1483" s="4" t="str">
        <f>CONCATENATE(Tabela1[[#This Row],[CIDADE]],",",Tabela1[[#This Row],[UF]])</f>
        <v>Brasília,DF</v>
      </c>
      <c r="F1483" s="2">
        <v>45813</v>
      </c>
      <c r="G1483" s="17">
        <v>8292.2000000000007</v>
      </c>
      <c r="H1483" s="17">
        <v>11700</v>
      </c>
      <c r="I1483" s="6">
        <f>Tabela1[[#This Row],[Valor total]]-Tabela1[[#This Row],[Valor custo]]</f>
        <v>3407.7999999999993</v>
      </c>
      <c r="J1483" s="7">
        <f>Tabela1[[#This Row],[MARGEM BRUTA]]/Tabela1[[#This Row],[Valor total]]</f>
        <v>0.29126495726495721</v>
      </c>
      <c r="K1483" s="1" t="str">
        <f>VLOOKUP(Tabela1[[#This Row],[Cliente]],'BASE DE CLIENTES'!A:D,4,0)</f>
        <v>EMPRESA COM MAQUINA</v>
      </c>
      <c r="L1483" s="1" t="str">
        <f>VLOOKUP(Tabela1[[#This Row],[Cliente]],'BASE DE CLIENTES'!A:E,5,0)</f>
        <v>RIACHO FUNDO II</v>
      </c>
    </row>
    <row r="1484" spans="2:12" x14ac:dyDescent="0.3">
      <c r="B1484" s="1" t="s">
        <v>195</v>
      </c>
      <c r="C1484" s="4" t="str">
        <f>VLOOKUP(Tabela1[[#This Row],[Cliente]],'BASE DE CLIENTES'!A:E,2,0)</f>
        <v>Goiânia</v>
      </c>
      <c r="D1484" s="1" t="str">
        <f>VLOOKUP(Tabela1[[#This Row],[Cliente]],'BASE DE CLIENTES'!A:C,3,0)</f>
        <v>GO</v>
      </c>
      <c r="E1484" s="4" t="str">
        <f>CONCATENATE(Tabela1[[#This Row],[CIDADE]],",",Tabela1[[#This Row],[UF]])</f>
        <v>Goiânia,GO</v>
      </c>
      <c r="F1484" s="2">
        <v>45807</v>
      </c>
      <c r="G1484" s="17">
        <v>1025</v>
      </c>
      <c r="H1484" s="17">
        <v>1600</v>
      </c>
      <c r="I1484" s="6">
        <f>Tabela1[[#This Row],[Valor total]]-Tabela1[[#This Row],[Valor custo]]</f>
        <v>575</v>
      </c>
      <c r="J1484" s="7">
        <f>Tabela1[[#This Row],[MARGEM BRUTA]]/Tabela1[[#This Row],[Valor total]]</f>
        <v>0.359375</v>
      </c>
      <c r="K1484" s="1" t="str">
        <f>VLOOKUP(Tabela1[[#This Row],[Cliente]],'BASE DE CLIENTES'!A:D,4,0)</f>
        <v>EMPRESA COM MAQUINA</v>
      </c>
      <c r="L1484" s="1" t="str">
        <f>VLOOKUP(Tabela1[[#This Row],[Cliente]],'BASE DE CLIENTES'!A:E,5,0)</f>
        <v>Goiânia</v>
      </c>
    </row>
    <row r="1485" spans="2:12" x14ac:dyDescent="0.3">
      <c r="B1485" s="1" t="s">
        <v>106</v>
      </c>
      <c r="C1485" s="4" t="str">
        <f>VLOOKUP(Tabela1[[#This Row],[Cliente]],'BASE DE CLIENTES'!A:E,2,0)</f>
        <v>Brasília</v>
      </c>
      <c r="D1485" s="1" t="str">
        <f>VLOOKUP(Tabela1[[#This Row],[Cliente]],'BASE DE CLIENTES'!A:C,3,0)</f>
        <v>DF</v>
      </c>
      <c r="E1485" s="4" t="str">
        <f>CONCATENATE(Tabela1[[#This Row],[CIDADE]],",",Tabela1[[#This Row],[UF]])</f>
        <v>Brasília,DF</v>
      </c>
      <c r="F1485" s="2">
        <v>45813</v>
      </c>
      <c r="G1485" s="17">
        <v>833.43</v>
      </c>
      <c r="H1485" s="17">
        <v>1250</v>
      </c>
      <c r="I1485" s="6">
        <f>Tabela1[[#This Row],[Valor total]]-Tabela1[[#This Row],[Valor custo]]</f>
        <v>416.57000000000005</v>
      </c>
      <c r="J1485" s="7">
        <f>Tabela1[[#This Row],[MARGEM BRUTA]]/Tabela1[[#This Row],[Valor total]]</f>
        <v>0.33325600000000005</v>
      </c>
      <c r="K1485" s="1" t="str">
        <f>VLOOKUP(Tabela1[[#This Row],[Cliente]],'BASE DE CLIENTES'!A:D,4,0)</f>
        <v>EMPRESA COM MAQUINA</v>
      </c>
      <c r="L1485" s="1" t="str">
        <f>VLOOKUP(Tabela1[[#This Row],[Cliente]],'BASE DE CLIENTES'!A:E,5,0)</f>
        <v>26 DE SETEMBRO</v>
      </c>
    </row>
    <row r="1486" spans="2:12" x14ac:dyDescent="0.3">
      <c r="B1486" s="1" t="s">
        <v>195</v>
      </c>
      <c r="C1486" s="4" t="str">
        <f>VLOOKUP(Tabela1[[#This Row],[Cliente]],'BASE DE CLIENTES'!A:E,2,0)</f>
        <v>Goiânia</v>
      </c>
      <c r="D1486" s="1" t="str">
        <f>VLOOKUP(Tabela1[[#This Row],[Cliente]],'BASE DE CLIENTES'!A:C,3,0)</f>
        <v>GO</v>
      </c>
      <c r="E1486" s="4" t="str">
        <f>CONCATENATE(Tabela1[[#This Row],[CIDADE]],",",Tabela1[[#This Row],[UF]])</f>
        <v>Goiânia,GO</v>
      </c>
      <c r="F1486" s="2">
        <v>45806</v>
      </c>
      <c r="G1486" s="17">
        <v>17029.400000000001</v>
      </c>
      <c r="H1486" s="17">
        <v>22625</v>
      </c>
      <c r="I1486" s="6">
        <f>Tabela1[[#This Row],[Valor total]]-Tabela1[[#This Row],[Valor custo]]</f>
        <v>5595.5999999999985</v>
      </c>
      <c r="J1486" s="7">
        <f>Tabela1[[#This Row],[MARGEM BRUTA]]/Tabela1[[#This Row],[Valor total]]</f>
        <v>0.24731933701657452</v>
      </c>
      <c r="K1486" s="1" t="str">
        <f>VLOOKUP(Tabela1[[#This Row],[Cliente]],'BASE DE CLIENTES'!A:D,4,0)</f>
        <v>EMPRESA COM MAQUINA</v>
      </c>
      <c r="L1486" s="1" t="str">
        <f>VLOOKUP(Tabela1[[#This Row],[Cliente]],'BASE DE CLIENTES'!A:E,5,0)</f>
        <v>Goiânia</v>
      </c>
    </row>
    <row r="1487" spans="2:12" x14ac:dyDescent="0.3">
      <c r="B1487" s="1" t="s">
        <v>199</v>
      </c>
      <c r="C1487" s="4" t="str">
        <f>VLOOKUP(Tabela1[[#This Row],[Cliente]],'BASE DE CLIENTES'!A:E,2,0)</f>
        <v>Goiânia</v>
      </c>
      <c r="D1487" s="1" t="str">
        <f>VLOOKUP(Tabela1[[#This Row],[Cliente]],'BASE DE CLIENTES'!A:C,3,0)</f>
        <v>GO</v>
      </c>
      <c r="E1487" s="4" t="str">
        <f>CONCATENATE(Tabela1[[#This Row],[CIDADE]],",",Tabela1[[#This Row],[UF]])</f>
        <v>Goiânia,GO</v>
      </c>
      <c r="F1487" s="2">
        <v>45803</v>
      </c>
      <c r="G1487" s="17">
        <v>5435</v>
      </c>
      <c r="H1487" s="17">
        <v>7710</v>
      </c>
      <c r="I1487" s="6">
        <f>Tabela1[[#This Row],[Valor total]]-Tabela1[[#This Row],[Valor custo]]</f>
        <v>2275</v>
      </c>
      <c r="J1487" s="7">
        <f>Tabela1[[#This Row],[MARGEM BRUTA]]/Tabela1[[#This Row],[Valor total]]</f>
        <v>0.29507133592736706</v>
      </c>
      <c r="K1487" s="1" t="str">
        <f>VLOOKUP(Tabela1[[#This Row],[Cliente]],'BASE DE CLIENTES'!A:D,4,0)</f>
        <v>EMPRESA COM MAQUINA</v>
      </c>
      <c r="L1487" s="1" t="str">
        <f>VLOOKUP(Tabela1[[#This Row],[Cliente]],'BASE DE CLIENTES'!A:E,5,0)</f>
        <v>Goiânia</v>
      </c>
    </row>
    <row r="1488" spans="2:12" x14ac:dyDescent="0.3">
      <c r="B1488" s="1" t="s">
        <v>52</v>
      </c>
      <c r="C1488" s="4" t="str">
        <f>VLOOKUP(Tabela1[[#This Row],[Cliente]],'BASE DE CLIENTES'!A:E,2,0)</f>
        <v>Brasília</v>
      </c>
      <c r="D1488" s="1" t="str">
        <f>VLOOKUP(Tabela1[[#This Row],[Cliente]],'BASE DE CLIENTES'!A:C,3,0)</f>
        <v>DF</v>
      </c>
      <c r="E1488" s="4" t="str">
        <f>CONCATENATE(Tabela1[[#This Row],[CIDADE]],",",Tabela1[[#This Row],[UF]])</f>
        <v>Brasília,DF</v>
      </c>
      <c r="F1488" s="2">
        <v>45812</v>
      </c>
      <c r="G1488" s="17">
        <v>473</v>
      </c>
      <c r="H1488" s="17">
        <v>696</v>
      </c>
      <c r="I1488" s="6">
        <f>Tabela1[[#This Row],[Valor total]]-Tabela1[[#This Row],[Valor custo]]</f>
        <v>223</v>
      </c>
      <c r="J1488" s="7">
        <f>Tabela1[[#This Row],[MARGEM BRUTA]]/Tabela1[[#This Row],[Valor total]]</f>
        <v>0.3204022988505747</v>
      </c>
      <c r="K1488" s="1" t="str">
        <f>VLOOKUP(Tabela1[[#This Row],[Cliente]],'BASE DE CLIENTES'!A:D,4,0)</f>
        <v>SERRALHEIRO</v>
      </c>
      <c r="L1488" s="1" t="str">
        <f>VLOOKUP(Tabela1[[#This Row],[Cliente]],'BASE DE CLIENTES'!A:E,5,0)</f>
        <v>Ceilândia Sul (Ceilândia)</v>
      </c>
    </row>
    <row r="1489" spans="2:12" x14ac:dyDescent="0.3">
      <c r="B1489" s="1" t="s">
        <v>165</v>
      </c>
      <c r="C1489" s="4" t="str">
        <f>VLOOKUP(Tabela1[[#This Row],[Cliente]],'BASE DE CLIENTES'!A:E,2,0)</f>
        <v>Brasília</v>
      </c>
      <c r="D1489" s="1" t="str">
        <f>VLOOKUP(Tabela1[[#This Row],[Cliente]],'BASE DE CLIENTES'!A:C,3,0)</f>
        <v>DF</v>
      </c>
      <c r="E1489" s="4" t="str">
        <f>CONCATENATE(Tabela1[[#This Row],[CIDADE]],",",Tabela1[[#This Row],[UF]])</f>
        <v>Brasília,DF</v>
      </c>
      <c r="F1489" s="2">
        <v>45812</v>
      </c>
      <c r="G1489" s="17">
        <v>2217.9</v>
      </c>
      <c r="H1489" s="17">
        <v>3465</v>
      </c>
      <c r="I1489" s="6">
        <f>Tabela1[[#This Row],[Valor total]]-Tabela1[[#This Row],[Valor custo]]</f>
        <v>1247.0999999999999</v>
      </c>
      <c r="J1489" s="7">
        <f>Tabela1[[#This Row],[MARGEM BRUTA]]/Tabela1[[#This Row],[Valor total]]</f>
        <v>0.35991341991341991</v>
      </c>
      <c r="K1489" s="1" t="str">
        <f>VLOOKUP(Tabela1[[#This Row],[Cliente]],'BASE DE CLIENTES'!A:D,4,0)</f>
        <v>EMPRESA SEM MAQUINA</v>
      </c>
      <c r="L1489" s="1" t="str">
        <f>VLOOKUP(Tabela1[[#This Row],[Cliente]],'BASE DE CLIENTES'!A:E,5,0)</f>
        <v>SETOR HABITACIONAL VICENTE PIRES</v>
      </c>
    </row>
    <row r="1490" spans="2:12" x14ac:dyDescent="0.3">
      <c r="B1490" s="1" t="s">
        <v>38</v>
      </c>
      <c r="C1490" s="4" t="str">
        <f>VLOOKUP(Tabela1[[#This Row],[Cliente]],'BASE DE CLIENTES'!A:E,2,0)</f>
        <v>Brasília</v>
      </c>
      <c r="D1490" s="1" t="str">
        <f>VLOOKUP(Tabela1[[#This Row],[Cliente]],'BASE DE CLIENTES'!A:C,3,0)</f>
        <v>DF</v>
      </c>
      <c r="E1490" s="4" t="str">
        <f>CONCATENATE(Tabela1[[#This Row],[CIDADE]],",",Tabela1[[#This Row],[UF]])</f>
        <v>Brasília,DF</v>
      </c>
      <c r="F1490" s="2">
        <v>45812</v>
      </c>
      <c r="G1490" s="17">
        <v>473</v>
      </c>
      <c r="H1490" s="17">
        <v>720</v>
      </c>
      <c r="I1490" s="6">
        <f>Tabela1[[#This Row],[Valor total]]-Tabela1[[#This Row],[Valor custo]]</f>
        <v>247</v>
      </c>
      <c r="J1490" s="7">
        <f>Tabela1[[#This Row],[MARGEM BRUTA]]/Tabela1[[#This Row],[Valor total]]</f>
        <v>0.34305555555555556</v>
      </c>
      <c r="K1490" s="1" t="str">
        <f>VLOOKUP(Tabela1[[#This Row],[Cliente]],'BASE DE CLIENTES'!A:D,4,0)</f>
        <v>EMPRESA SEM MAQUINA</v>
      </c>
      <c r="L1490" s="1" t="str">
        <f>VLOOKUP(Tabela1[[#This Row],[Cliente]],'BASE DE CLIENTES'!A:E,5,0)</f>
        <v>PONTE ALTA NORTE (GAMA)</v>
      </c>
    </row>
    <row r="1491" spans="2:12" x14ac:dyDescent="0.3">
      <c r="B1491" s="1" t="s">
        <v>224</v>
      </c>
      <c r="C1491" s="4" t="str">
        <f>VLOOKUP(Tabela1[[#This Row],[Cliente]],'BASE DE CLIENTES'!A:E,2,0)</f>
        <v>Brasília</v>
      </c>
      <c r="D1491" s="1" t="str">
        <f>VLOOKUP(Tabela1[[#This Row],[Cliente]],'BASE DE CLIENTES'!A:C,3,0)</f>
        <v>DF</v>
      </c>
      <c r="E1491" s="4" t="str">
        <f>CONCATENATE(Tabela1[[#This Row],[CIDADE]],",",Tabela1[[#This Row],[UF]])</f>
        <v>Brasília,DF</v>
      </c>
      <c r="F1491" s="2">
        <v>45812</v>
      </c>
      <c r="G1491" s="17">
        <v>0</v>
      </c>
      <c r="H1491" s="17">
        <v>520</v>
      </c>
      <c r="I1491" s="6">
        <f>Tabela1[[#This Row],[Valor total]]-Tabela1[[#This Row],[Valor custo]]</f>
        <v>520</v>
      </c>
      <c r="J1491" s="7">
        <f>Tabela1[[#This Row],[MARGEM BRUTA]]/Tabela1[[#This Row],[Valor total]]</f>
        <v>1</v>
      </c>
      <c r="K1491" s="1" t="str">
        <f>VLOOKUP(Tabela1[[#This Row],[Cliente]],'BASE DE CLIENTES'!A:D,4,0)</f>
        <v>EMPRESA COM MAQUINA</v>
      </c>
      <c r="L1491" s="1" t="str">
        <f>VLOOKUP(Tabela1[[#This Row],[Cliente]],'BASE DE CLIENTES'!A:E,5,0)</f>
        <v>SETOR INDUSTRIAL (CEILANDIA)</v>
      </c>
    </row>
    <row r="1492" spans="2:12" x14ac:dyDescent="0.3">
      <c r="B1492" s="1" t="s">
        <v>137</v>
      </c>
      <c r="C1492" s="4" t="str">
        <f>VLOOKUP(Tabela1[[#This Row],[Cliente]],'BASE DE CLIENTES'!A:E,2,0)</f>
        <v>Brasília</v>
      </c>
      <c r="D1492" s="1" t="str">
        <f>VLOOKUP(Tabela1[[#This Row],[Cliente]],'BASE DE CLIENTES'!A:C,3,0)</f>
        <v>DF</v>
      </c>
      <c r="E1492" s="4" t="str">
        <f>CONCATENATE(Tabela1[[#This Row],[CIDADE]],",",Tabela1[[#This Row],[UF]])</f>
        <v>Brasília,DF</v>
      </c>
      <c r="F1492" s="2">
        <v>45812</v>
      </c>
      <c r="G1492" s="17">
        <v>9.3800000000000008</v>
      </c>
      <c r="H1492" s="17">
        <v>0</v>
      </c>
      <c r="I1492" s="6">
        <f>Tabela1[[#This Row],[Valor total]]-Tabela1[[#This Row],[Valor custo]]</f>
        <v>-9.3800000000000008</v>
      </c>
      <c r="J1492" s="7" t="e">
        <f>Tabela1[[#This Row],[MARGEM BRUTA]]/Tabela1[[#This Row],[Valor total]]</f>
        <v>#DIV/0!</v>
      </c>
      <c r="K1492" s="1" t="str">
        <f>VLOOKUP(Tabela1[[#This Row],[Cliente]],'BASE DE CLIENTES'!A:D,4,0)</f>
        <v>SÓCIO</v>
      </c>
      <c r="L1492" s="1" t="str">
        <f>VLOOKUP(Tabela1[[#This Row],[Cliente]],'BASE DE CLIENTES'!A:E,5,0)</f>
        <v>Taguatinga Sul (Taguatinga)</v>
      </c>
    </row>
    <row r="1493" spans="2:12" x14ac:dyDescent="0.3">
      <c r="B1493" s="1" t="s">
        <v>225</v>
      </c>
      <c r="C1493" s="4" t="str">
        <f>VLOOKUP(Tabela1[[#This Row],[Cliente]],'BASE DE CLIENTES'!A:E,2,0)</f>
        <v>Goiânia</v>
      </c>
      <c r="D1493" s="1" t="str">
        <f>VLOOKUP(Tabela1[[#This Row],[Cliente]],'BASE DE CLIENTES'!A:C,3,0)</f>
        <v>GO</v>
      </c>
      <c r="E1493" s="4" t="str">
        <f>CONCATENATE(Tabela1[[#This Row],[CIDADE]],",",Tabela1[[#This Row],[UF]])</f>
        <v>Goiânia,GO</v>
      </c>
      <c r="F1493" s="2">
        <v>45799</v>
      </c>
      <c r="G1493" s="17">
        <v>1025</v>
      </c>
      <c r="H1493" s="17">
        <v>1500</v>
      </c>
      <c r="I1493" s="6">
        <f>Tabela1[[#This Row],[Valor total]]-Tabela1[[#This Row],[Valor custo]]</f>
        <v>475</v>
      </c>
      <c r="J1493" s="7">
        <f>Tabela1[[#This Row],[MARGEM BRUTA]]/Tabela1[[#This Row],[Valor total]]</f>
        <v>0.31666666666666665</v>
      </c>
      <c r="K1493" s="1" t="str">
        <f>VLOOKUP(Tabela1[[#This Row],[Cliente]],'BASE DE CLIENTES'!A:D,4,0)</f>
        <v>EMPRESA SEM MAQUINA</v>
      </c>
      <c r="L1493" s="1" t="str">
        <f>VLOOKUP(Tabela1[[#This Row],[Cliente]],'BASE DE CLIENTES'!A:E,5,0)</f>
        <v>Goiânia</v>
      </c>
    </row>
    <row r="1494" spans="2:12" x14ac:dyDescent="0.3">
      <c r="B1494" s="1" t="s">
        <v>111</v>
      </c>
      <c r="C1494" s="4" t="str">
        <f>VLOOKUP(Tabela1[[#This Row],[Cliente]],'BASE DE CLIENTES'!A:E,2,0)</f>
        <v>Brasília</v>
      </c>
      <c r="D1494" s="1" t="str">
        <f>VLOOKUP(Tabela1[[#This Row],[Cliente]],'BASE DE CLIENTES'!A:C,3,0)</f>
        <v>DF</v>
      </c>
      <c r="E1494" s="4" t="str">
        <f>CONCATENATE(Tabela1[[#This Row],[CIDADE]],",",Tabela1[[#This Row],[UF]])</f>
        <v>Brasília,DF</v>
      </c>
      <c r="F1494" s="2">
        <v>45812</v>
      </c>
      <c r="G1494" s="17">
        <v>5211</v>
      </c>
      <c r="H1494" s="17">
        <v>7960</v>
      </c>
      <c r="I1494" s="6">
        <f>Tabela1[[#This Row],[Valor total]]-Tabela1[[#This Row],[Valor custo]]</f>
        <v>2749</v>
      </c>
      <c r="J1494" s="7">
        <f>Tabela1[[#This Row],[MARGEM BRUTA]]/Tabela1[[#This Row],[Valor total]]</f>
        <v>0.34535175879396984</v>
      </c>
      <c r="K1494" s="1" t="str">
        <f>VLOOKUP(Tabela1[[#This Row],[Cliente]],'BASE DE CLIENTES'!A:D,4,0)</f>
        <v>EMPRESA SEM MAQUINA</v>
      </c>
      <c r="L1494" s="1" t="str">
        <f>VLOOKUP(Tabela1[[#This Row],[Cliente]],'BASE DE CLIENTES'!A:E,5,0)</f>
        <v>TAGUATINGA SUL (TAGUATINGA)</v>
      </c>
    </row>
    <row r="1495" spans="2:12" x14ac:dyDescent="0.3">
      <c r="B1495" s="1" t="s">
        <v>68</v>
      </c>
      <c r="C1495" s="4" t="str">
        <f>VLOOKUP(Tabela1[[#This Row],[Cliente]],'BASE DE CLIENTES'!A:E,2,0)</f>
        <v>Brasília</v>
      </c>
      <c r="D1495" s="1" t="str">
        <f>VLOOKUP(Tabela1[[#This Row],[Cliente]],'BASE DE CLIENTES'!A:C,3,0)</f>
        <v>DF</v>
      </c>
      <c r="E1495" s="4" t="str">
        <f>CONCATENATE(Tabela1[[#This Row],[CIDADE]],",",Tabela1[[#This Row],[UF]])</f>
        <v>Brasília,DF</v>
      </c>
      <c r="F1495" s="2">
        <v>45812</v>
      </c>
      <c r="G1495" s="17">
        <v>823.27</v>
      </c>
      <c r="H1495" s="17">
        <v>1158</v>
      </c>
      <c r="I1495" s="6">
        <f>Tabela1[[#This Row],[Valor total]]-Tabela1[[#This Row],[Valor custo]]</f>
        <v>334.73</v>
      </c>
      <c r="J1495" s="7">
        <f>Tabela1[[#This Row],[MARGEM BRUTA]]/Tabela1[[#This Row],[Valor total]]</f>
        <v>0.2890587219343696</v>
      </c>
      <c r="K1495" s="1" t="str">
        <f>VLOOKUP(Tabela1[[#This Row],[Cliente]],'BASE DE CLIENTES'!A:D,4,0)</f>
        <v>EMPRESA COM MAQUINA</v>
      </c>
      <c r="L1495" s="1" t="str">
        <f>VLOOKUP(Tabela1[[#This Row],[Cliente]],'BASE DE CLIENTES'!A:E,5,0)</f>
        <v>SAMAMBAIA SUL (SAMAMBAIA)</v>
      </c>
    </row>
    <row r="1496" spans="2:12" x14ac:dyDescent="0.3">
      <c r="B1496" s="1" t="s">
        <v>96</v>
      </c>
      <c r="C1496" s="4" t="str">
        <f>VLOOKUP(Tabela1[[#This Row],[Cliente]],'BASE DE CLIENTES'!A:E,2,0)</f>
        <v>Brasília</v>
      </c>
      <c r="D1496" s="1" t="str">
        <f>VLOOKUP(Tabela1[[#This Row],[Cliente]],'BASE DE CLIENTES'!A:C,3,0)</f>
        <v>DF</v>
      </c>
      <c r="E1496" s="4" t="str">
        <f>CONCATENATE(Tabela1[[#This Row],[CIDADE]],",",Tabela1[[#This Row],[UF]])</f>
        <v>Brasília,DF</v>
      </c>
      <c r="F1496" s="2">
        <v>45812</v>
      </c>
      <c r="G1496" s="17">
        <v>1042</v>
      </c>
      <c r="H1496" s="17">
        <v>1680</v>
      </c>
      <c r="I1496" s="6">
        <f>Tabela1[[#This Row],[Valor total]]-Tabela1[[#This Row],[Valor custo]]</f>
        <v>638</v>
      </c>
      <c r="J1496" s="7">
        <f>Tabela1[[#This Row],[MARGEM BRUTA]]/Tabela1[[#This Row],[Valor total]]</f>
        <v>0.37976190476190474</v>
      </c>
      <c r="K1496" s="1" t="str">
        <f>VLOOKUP(Tabela1[[#This Row],[Cliente]],'BASE DE CLIENTES'!A:D,4,0)</f>
        <v>EMPRESA SEM MAQUINA</v>
      </c>
      <c r="L1496" s="1" t="str">
        <f>VLOOKUP(Tabela1[[#This Row],[Cliente]],'BASE DE CLIENTES'!A:E,5,0)</f>
        <v>CEILANDIA NORTE (CEILANDIA)</v>
      </c>
    </row>
    <row r="1497" spans="2:12" x14ac:dyDescent="0.3">
      <c r="B1497" s="1" t="s">
        <v>220</v>
      </c>
      <c r="C1497" s="4" t="str">
        <f>VLOOKUP(Tabela1[[#This Row],[Cliente]],'BASE DE CLIENTES'!A:E,2,0)</f>
        <v>Goiânia</v>
      </c>
      <c r="D1497" s="1" t="str">
        <f>VLOOKUP(Tabela1[[#This Row],[Cliente]],'BASE DE CLIENTES'!A:C,3,0)</f>
        <v>GO</v>
      </c>
      <c r="E1497" s="4" t="str">
        <f>CONCATENATE(Tabela1[[#This Row],[CIDADE]],",",Tabela1[[#This Row],[UF]])</f>
        <v>Goiânia,GO</v>
      </c>
      <c r="F1497" s="2">
        <v>45799</v>
      </c>
      <c r="G1497" s="17">
        <v>4749.6000000000004</v>
      </c>
      <c r="H1497" s="17">
        <v>6810</v>
      </c>
      <c r="I1497" s="6">
        <f>Tabela1[[#This Row],[Valor total]]-Tabela1[[#This Row],[Valor custo]]</f>
        <v>2060.3999999999996</v>
      </c>
      <c r="J1497" s="7">
        <f>Tabela1[[#This Row],[MARGEM BRUTA]]/Tabela1[[#This Row],[Valor total]]</f>
        <v>0.30255506607929511</v>
      </c>
      <c r="K1497" s="1" t="str">
        <f>VLOOKUP(Tabela1[[#This Row],[Cliente]],'BASE DE CLIENTES'!A:D,4,0)</f>
        <v>EMPRESA COM MAQUINA</v>
      </c>
      <c r="L1497" s="1" t="str">
        <f>VLOOKUP(Tabela1[[#This Row],[Cliente]],'BASE DE CLIENTES'!A:E,5,0)</f>
        <v>Goiânia</v>
      </c>
    </row>
    <row r="1498" spans="2:12" x14ac:dyDescent="0.3">
      <c r="B1498" s="1" t="s">
        <v>70</v>
      </c>
      <c r="C1498" s="4" t="str">
        <f>VLOOKUP(Tabela1[[#This Row],[Cliente]],'BASE DE CLIENTES'!A:E,2,0)</f>
        <v>Brasília</v>
      </c>
      <c r="D1498" s="1" t="str">
        <f>VLOOKUP(Tabela1[[#This Row],[Cliente]],'BASE DE CLIENTES'!A:C,3,0)</f>
        <v>DF</v>
      </c>
      <c r="E1498" s="4" t="str">
        <f>CONCATENATE(Tabela1[[#This Row],[CIDADE]],",",Tabela1[[#This Row],[UF]])</f>
        <v>Brasília,DF</v>
      </c>
      <c r="F1498" s="2">
        <v>45811</v>
      </c>
      <c r="G1498" s="17">
        <v>970</v>
      </c>
      <c r="H1498" s="17">
        <v>1355</v>
      </c>
      <c r="I1498" s="6">
        <f>Tabela1[[#This Row],[Valor total]]-Tabela1[[#This Row],[Valor custo]]</f>
        <v>385</v>
      </c>
      <c r="J1498" s="7">
        <f>Tabela1[[#This Row],[MARGEM BRUTA]]/Tabela1[[#This Row],[Valor total]]</f>
        <v>0.28413284132841327</v>
      </c>
      <c r="K1498" s="1" t="str">
        <f>VLOOKUP(Tabela1[[#This Row],[Cliente]],'BASE DE CLIENTES'!A:D,4,0)</f>
        <v>EMPRESA COM MAQUINA</v>
      </c>
      <c r="L1498" s="1" t="str">
        <f>VLOOKUP(Tabela1[[#This Row],[Cliente]],'BASE DE CLIENTES'!A:E,5,0)</f>
        <v>TAGUATINGA NORTE (TAGUATINGA)</v>
      </c>
    </row>
    <row r="1499" spans="2:12" x14ac:dyDescent="0.3">
      <c r="B1499" s="1" t="s">
        <v>27</v>
      </c>
      <c r="C1499" s="4" t="str">
        <f>VLOOKUP(Tabela1[[#This Row],[Cliente]],'BASE DE CLIENTES'!A:E,2,0)</f>
        <v>Brasília</v>
      </c>
      <c r="D1499" s="1" t="str">
        <f>VLOOKUP(Tabela1[[#This Row],[Cliente]],'BASE DE CLIENTES'!A:C,3,0)</f>
        <v>DF</v>
      </c>
      <c r="E1499" s="4" t="str">
        <f>CONCATENATE(Tabela1[[#This Row],[CIDADE]],",",Tabela1[[#This Row],[UF]])</f>
        <v>Brasília,DF</v>
      </c>
      <c r="F1499" s="2">
        <v>45811</v>
      </c>
      <c r="G1499" s="17">
        <v>29.49</v>
      </c>
      <c r="H1499" s="17">
        <v>160</v>
      </c>
      <c r="I1499" s="6">
        <f>Tabela1[[#This Row],[Valor total]]-Tabela1[[#This Row],[Valor custo]]</f>
        <v>130.51</v>
      </c>
      <c r="J1499" s="7">
        <f>Tabela1[[#This Row],[MARGEM BRUTA]]/Tabela1[[#This Row],[Valor total]]</f>
        <v>0.8156874999999999</v>
      </c>
      <c r="K1499" s="1" t="str">
        <f>VLOOKUP(Tabela1[[#This Row],[Cliente]],'BASE DE CLIENTES'!A:D,4,0)</f>
        <v>EMPRESA SEM MAQUINA</v>
      </c>
      <c r="L1499" s="1" t="str">
        <f>VLOOKUP(Tabela1[[#This Row],[Cliente]],'BASE DE CLIENTES'!A:E,5,0)</f>
        <v>RECANTO DAS EMAS</v>
      </c>
    </row>
    <row r="1500" spans="2:12" x14ac:dyDescent="0.3">
      <c r="B1500" s="1" t="s">
        <v>226</v>
      </c>
      <c r="C1500" s="4" t="str">
        <f>VLOOKUP(Tabela1[[#This Row],[Cliente]],'BASE DE CLIENTES'!A:E,2,0)</f>
        <v>Brasília</v>
      </c>
      <c r="D1500" s="1" t="str">
        <f>VLOOKUP(Tabela1[[#This Row],[Cliente]],'BASE DE CLIENTES'!A:C,3,0)</f>
        <v>DF</v>
      </c>
      <c r="E1500" s="4" t="str">
        <f>CONCATENATE(Tabela1[[#This Row],[CIDADE]],",",Tabela1[[#This Row],[UF]])</f>
        <v>Brasília,DF</v>
      </c>
      <c r="F1500" s="2">
        <v>45898</v>
      </c>
      <c r="G1500" s="17">
        <v>293.13</v>
      </c>
      <c r="H1500" s="17">
        <v>450</v>
      </c>
      <c r="I1500" s="6">
        <f>Tabela1[[#This Row],[Valor total]]-Tabela1[[#This Row],[Valor custo]]</f>
        <v>156.87</v>
      </c>
      <c r="J1500" s="7">
        <f>Tabela1[[#This Row],[MARGEM BRUTA]]/Tabela1[[#This Row],[Valor total]]</f>
        <v>0.34860000000000002</v>
      </c>
      <c r="K1500" s="1" t="str">
        <f>VLOOKUP(Tabela1[[#This Row],[Cliente]],'BASE DE CLIENTES'!A:D,4,0)</f>
        <v>SEM CLASSIFICAÇÃO</v>
      </c>
      <c r="L1500" s="1" t="str">
        <f>VLOOKUP(Tabela1[[#This Row],[Cliente]],'BASE DE CLIENTES'!A:E,5,0)</f>
        <v>Areal (Águas Claras)</v>
      </c>
    </row>
    <row r="1501" spans="2:12" x14ac:dyDescent="0.3">
      <c r="B1501" s="1" t="s">
        <v>38</v>
      </c>
      <c r="C1501" s="4" t="str">
        <f>VLOOKUP(Tabela1[[#This Row],[Cliente]],'BASE DE CLIENTES'!A:E,2,0)</f>
        <v>Brasília</v>
      </c>
      <c r="D1501" s="1" t="str">
        <f>VLOOKUP(Tabela1[[#This Row],[Cliente]],'BASE DE CLIENTES'!A:C,3,0)</f>
        <v>DF</v>
      </c>
      <c r="E1501" s="4" t="str">
        <f>CONCATENATE(Tabela1[[#This Row],[CIDADE]],",",Tabela1[[#This Row],[UF]])</f>
        <v>Brasília,DF</v>
      </c>
      <c r="F1501" s="2">
        <v>45811</v>
      </c>
      <c r="G1501" s="17">
        <v>473</v>
      </c>
      <c r="H1501" s="17">
        <v>750</v>
      </c>
      <c r="I1501" s="6">
        <f>Tabela1[[#This Row],[Valor total]]-Tabela1[[#This Row],[Valor custo]]</f>
        <v>277</v>
      </c>
      <c r="J1501" s="7">
        <f>Tabela1[[#This Row],[MARGEM BRUTA]]/Tabela1[[#This Row],[Valor total]]</f>
        <v>0.36933333333333335</v>
      </c>
      <c r="K1501" s="1" t="str">
        <f>VLOOKUP(Tabela1[[#This Row],[Cliente]],'BASE DE CLIENTES'!A:D,4,0)</f>
        <v>EMPRESA SEM MAQUINA</v>
      </c>
      <c r="L1501" s="1" t="str">
        <f>VLOOKUP(Tabela1[[#This Row],[Cliente]],'BASE DE CLIENTES'!A:E,5,0)</f>
        <v>PONTE ALTA NORTE (GAMA)</v>
      </c>
    </row>
    <row r="1502" spans="2:12" x14ac:dyDescent="0.3">
      <c r="B1502" s="1" t="s">
        <v>55</v>
      </c>
      <c r="C1502" s="4" t="str">
        <f>VLOOKUP(Tabela1[[#This Row],[Cliente]],'BASE DE CLIENTES'!A:E,2,0)</f>
        <v>Brasília</v>
      </c>
      <c r="D1502" s="1" t="str">
        <f>VLOOKUP(Tabela1[[#This Row],[Cliente]],'BASE DE CLIENTES'!A:C,3,0)</f>
        <v>DF</v>
      </c>
      <c r="E1502" s="4" t="str">
        <f>CONCATENATE(Tabela1[[#This Row],[CIDADE]],",",Tabela1[[#This Row],[UF]])</f>
        <v>Brasília,DF</v>
      </c>
      <c r="F1502" s="2">
        <v>45811</v>
      </c>
      <c r="G1502" s="17">
        <v>50</v>
      </c>
      <c r="H1502" s="17">
        <v>60</v>
      </c>
      <c r="I1502" s="6">
        <f>Tabela1[[#This Row],[Valor total]]-Tabela1[[#This Row],[Valor custo]]</f>
        <v>10</v>
      </c>
      <c r="J1502" s="7">
        <f>Tabela1[[#This Row],[MARGEM BRUTA]]/Tabela1[[#This Row],[Valor total]]</f>
        <v>0.16666666666666666</v>
      </c>
      <c r="K1502" s="1" t="str">
        <f>VLOOKUP(Tabela1[[#This Row],[Cliente]],'BASE DE CLIENTES'!A:D,4,0)</f>
        <v>EMPRESA SEM MAQUINA</v>
      </c>
      <c r="L1502" s="1" t="str">
        <f>VLOOKUP(Tabela1[[#This Row],[Cliente]],'BASE DE CLIENTES'!A:E,5,0)</f>
        <v>RECANTO DAS EMAS</v>
      </c>
    </row>
    <row r="1503" spans="2:12" x14ac:dyDescent="0.3">
      <c r="B1503" s="1" t="s">
        <v>120</v>
      </c>
      <c r="C1503" s="4" t="str">
        <f>VLOOKUP(Tabela1[[#This Row],[Cliente]],'BASE DE CLIENTES'!A:E,2,0)</f>
        <v>Brasília</v>
      </c>
      <c r="D1503" s="1" t="str">
        <f>VLOOKUP(Tabela1[[#This Row],[Cliente]],'BASE DE CLIENTES'!A:C,3,0)</f>
        <v>DF</v>
      </c>
      <c r="E1503" s="4" t="str">
        <f>CONCATENATE(Tabela1[[#This Row],[CIDADE]],",",Tabela1[[#This Row],[UF]])</f>
        <v>Brasília,DF</v>
      </c>
      <c r="F1503" s="2">
        <v>45895</v>
      </c>
      <c r="G1503" s="17">
        <v>455</v>
      </c>
      <c r="H1503" s="17">
        <v>650</v>
      </c>
      <c r="I1503" s="6">
        <f>Tabela1[[#This Row],[Valor total]]-Tabela1[[#This Row],[Valor custo]]</f>
        <v>195</v>
      </c>
      <c r="J1503" s="7">
        <f>Tabela1[[#This Row],[MARGEM BRUTA]]/Tabela1[[#This Row],[Valor total]]</f>
        <v>0.3</v>
      </c>
      <c r="K1503" s="1" t="str">
        <f>VLOOKUP(Tabela1[[#This Row],[Cliente]],'BASE DE CLIENTES'!A:D,4,0)</f>
        <v>EMPRESA SEM MAQUINA</v>
      </c>
      <c r="L1503" s="1" t="str">
        <f>VLOOKUP(Tabela1[[#This Row],[Cliente]],'BASE DE CLIENTES'!A:E,5,0)</f>
        <v>SAMAMBAIA</v>
      </c>
    </row>
    <row r="1504" spans="2:12" x14ac:dyDescent="0.3">
      <c r="B1504" s="1" t="s">
        <v>220</v>
      </c>
      <c r="C1504" s="4" t="str">
        <f>VLOOKUP(Tabela1[[#This Row],[Cliente]],'BASE DE CLIENTES'!A:E,2,0)</f>
        <v>Goiânia</v>
      </c>
      <c r="D1504" s="1" t="str">
        <f>VLOOKUP(Tabela1[[#This Row],[Cliente]],'BASE DE CLIENTES'!A:C,3,0)</f>
        <v>GO</v>
      </c>
      <c r="E1504" s="4" t="str">
        <f>CONCATENATE(Tabela1[[#This Row],[CIDADE]],",",Tabela1[[#This Row],[UF]])</f>
        <v>Goiânia,GO</v>
      </c>
      <c r="F1504" s="2">
        <v>45798</v>
      </c>
      <c r="G1504" s="17">
        <v>1419</v>
      </c>
      <c r="H1504" s="17">
        <v>1965</v>
      </c>
      <c r="I1504" s="6">
        <f>Tabela1[[#This Row],[Valor total]]-Tabela1[[#This Row],[Valor custo]]</f>
        <v>546</v>
      </c>
      <c r="J1504" s="7">
        <f>Tabela1[[#This Row],[MARGEM BRUTA]]/Tabela1[[#This Row],[Valor total]]</f>
        <v>0.27786259541984731</v>
      </c>
      <c r="K1504" s="1" t="str">
        <f>VLOOKUP(Tabela1[[#This Row],[Cliente]],'BASE DE CLIENTES'!A:D,4,0)</f>
        <v>EMPRESA COM MAQUINA</v>
      </c>
      <c r="L1504" s="1" t="str">
        <f>VLOOKUP(Tabela1[[#This Row],[Cliente]],'BASE DE CLIENTES'!A:E,5,0)</f>
        <v>Goiânia</v>
      </c>
    </row>
    <row r="1505" spans="2:12" x14ac:dyDescent="0.3">
      <c r="B1505" s="1" t="s">
        <v>206</v>
      </c>
      <c r="C1505" s="4" t="str">
        <f>VLOOKUP(Tabela1[[#This Row],[Cliente]],'BASE DE CLIENTES'!A:E,2,0)</f>
        <v>Goiânia</v>
      </c>
      <c r="D1505" s="1" t="str">
        <f>VLOOKUP(Tabela1[[#This Row],[Cliente]],'BASE DE CLIENTES'!A:C,3,0)</f>
        <v>GO</v>
      </c>
      <c r="E1505" s="4" t="str">
        <f>CONCATENATE(Tabela1[[#This Row],[CIDADE]],",",Tabela1[[#This Row],[UF]])</f>
        <v>Goiânia,GO</v>
      </c>
      <c r="F1505" s="2">
        <v>45798</v>
      </c>
      <c r="G1505" s="17">
        <v>16218.7</v>
      </c>
      <c r="H1505" s="17">
        <v>21620</v>
      </c>
      <c r="I1505" s="6">
        <f>Tabela1[[#This Row],[Valor total]]-Tabela1[[#This Row],[Valor custo]]</f>
        <v>5401.2999999999993</v>
      </c>
      <c r="J1505" s="7">
        <f>Tabela1[[#This Row],[MARGEM BRUTA]]/Tabela1[[#This Row],[Valor total]]</f>
        <v>0.24982886216466232</v>
      </c>
      <c r="K1505" s="1" t="str">
        <f>VLOOKUP(Tabela1[[#This Row],[Cliente]],'BASE DE CLIENTES'!A:D,4,0)</f>
        <v>EMPRESA COM MAQUINA</v>
      </c>
      <c r="L1505" s="1" t="str">
        <f>VLOOKUP(Tabela1[[#This Row],[Cliente]],'BASE DE CLIENTES'!A:E,5,0)</f>
        <v>Goiânia</v>
      </c>
    </row>
    <row r="1506" spans="2:12" x14ac:dyDescent="0.3">
      <c r="B1506" s="1" t="s">
        <v>227</v>
      </c>
      <c r="C1506" s="4" t="str">
        <f>VLOOKUP(Tabela1[[#This Row],[Cliente]],'BASE DE CLIENTES'!A:E,2,0)</f>
        <v>Goiânia</v>
      </c>
      <c r="D1506" s="1" t="str">
        <f>VLOOKUP(Tabela1[[#This Row],[Cliente]],'BASE DE CLIENTES'!A:C,3,0)</f>
        <v>GO</v>
      </c>
      <c r="E1506" s="4" t="str">
        <f>CONCATENATE(Tabela1[[#This Row],[CIDADE]],",",Tabela1[[#This Row],[UF]])</f>
        <v>Goiânia,GO</v>
      </c>
      <c r="F1506" s="2">
        <v>45792</v>
      </c>
      <c r="G1506" s="17">
        <v>584</v>
      </c>
      <c r="H1506" s="17">
        <v>845</v>
      </c>
      <c r="I1506" s="6">
        <f>Tabela1[[#This Row],[Valor total]]-Tabela1[[#This Row],[Valor custo]]</f>
        <v>261</v>
      </c>
      <c r="J1506" s="7">
        <f>Tabela1[[#This Row],[MARGEM BRUTA]]/Tabela1[[#This Row],[Valor total]]</f>
        <v>0.30887573964497039</v>
      </c>
      <c r="K1506" s="1" t="str">
        <f>VLOOKUP(Tabela1[[#This Row],[Cliente]],'BASE DE CLIENTES'!A:D,4,0)</f>
        <v>EMPRESA SEM MAQUINA</v>
      </c>
      <c r="L1506" s="1" t="str">
        <f>VLOOKUP(Tabela1[[#This Row],[Cliente]],'BASE DE CLIENTES'!A:E,5,0)</f>
        <v>Goiânia</v>
      </c>
    </row>
    <row r="1507" spans="2:12" x14ac:dyDescent="0.3">
      <c r="B1507" s="1" t="s">
        <v>111</v>
      </c>
      <c r="C1507" s="4" t="str">
        <f>VLOOKUP(Tabela1[[#This Row],[Cliente]],'BASE DE CLIENTES'!A:E,2,0)</f>
        <v>Brasília</v>
      </c>
      <c r="D1507" s="1" t="str">
        <f>VLOOKUP(Tabela1[[#This Row],[Cliente]],'BASE DE CLIENTES'!A:C,3,0)</f>
        <v>DF</v>
      </c>
      <c r="E1507" s="4" t="str">
        <f>CONCATENATE(Tabela1[[#This Row],[CIDADE]],",",Tabela1[[#This Row],[UF]])</f>
        <v>Brasília,DF</v>
      </c>
      <c r="F1507" s="2">
        <v>45811</v>
      </c>
      <c r="G1507" s="17">
        <v>134.30000000000001</v>
      </c>
      <c r="H1507" s="17">
        <v>595</v>
      </c>
      <c r="I1507" s="6">
        <f>Tabela1[[#This Row],[Valor total]]-Tabela1[[#This Row],[Valor custo]]</f>
        <v>460.7</v>
      </c>
      <c r="J1507" s="7">
        <f>Tabela1[[#This Row],[MARGEM BRUTA]]/Tabela1[[#This Row],[Valor total]]</f>
        <v>0.77428571428571424</v>
      </c>
      <c r="K1507" s="1" t="str">
        <f>VLOOKUP(Tabela1[[#This Row],[Cliente]],'BASE DE CLIENTES'!A:D,4,0)</f>
        <v>EMPRESA SEM MAQUINA</v>
      </c>
      <c r="L1507" s="1" t="str">
        <f>VLOOKUP(Tabela1[[#This Row],[Cliente]],'BASE DE CLIENTES'!A:E,5,0)</f>
        <v>TAGUATINGA SUL (TAGUATINGA)</v>
      </c>
    </row>
    <row r="1508" spans="2:12" x14ac:dyDescent="0.3">
      <c r="B1508" s="1" t="s">
        <v>161</v>
      </c>
      <c r="C1508" s="4" t="str">
        <f>VLOOKUP(Tabela1[[#This Row],[Cliente]],'BASE DE CLIENTES'!A:E,2,0)</f>
        <v>Brasília</v>
      </c>
      <c r="D1508" s="1" t="str">
        <f>VLOOKUP(Tabela1[[#This Row],[Cliente]],'BASE DE CLIENTES'!A:C,3,0)</f>
        <v>DF</v>
      </c>
      <c r="E1508" s="4" t="str">
        <f>CONCATENATE(Tabela1[[#This Row],[CIDADE]],",",Tabela1[[#This Row],[UF]])</f>
        <v>Brasília,DF</v>
      </c>
      <c r="F1508" s="2">
        <v>45811</v>
      </c>
      <c r="G1508" s="17">
        <v>2605</v>
      </c>
      <c r="H1508" s="17">
        <v>3750</v>
      </c>
      <c r="I1508" s="6">
        <f>Tabela1[[#This Row],[Valor total]]-Tabela1[[#This Row],[Valor custo]]</f>
        <v>1145</v>
      </c>
      <c r="J1508" s="7">
        <f>Tabela1[[#This Row],[MARGEM BRUTA]]/Tabela1[[#This Row],[Valor total]]</f>
        <v>0.30533333333333335</v>
      </c>
      <c r="K1508" s="1" t="str">
        <f>VLOOKUP(Tabela1[[#This Row],[Cliente]],'BASE DE CLIENTES'!A:D,4,0)</f>
        <v>EMPRESA COM MAQUINA</v>
      </c>
      <c r="L1508" s="1" t="str">
        <f>VLOOKUP(Tabela1[[#This Row],[Cliente]],'BASE DE CLIENTES'!A:E,5,0)</f>
        <v>RIACHO FUNDO II</v>
      </c>
    </row>
    <row r="1509" spans="2:12" x14ac:dyDescent="0.3">
      <c r="B1509" s="1" t="s">
        <v>68</v>
      </c>
      <c r="C1509" s="4" t="str">
        <f>VLOOKUP(Tabela1[[#This Row],[Cliente]],'BASE DE CLIENTES'!A:E,2,0)</f>
        <v>Brasília</v>
      </c>
      <c r="D1509" s="1" t="str">
        <f>VLOOKUP(Tabela1[[#This Row],[Cliente]],'BASE DE CLIENTES'!A:C,3,0)</f>
        <v>DF</v>
      </c>
      <c r="E1509" s="4" t="str">
        <f>CONCATENATE(Tabela1[[#This Row],[CIDADE]],",",Tabela1[[#This Row],[UF]])</f>
        <v>Brasília,DF</v>
      </c>
      <c r="F1509" s="2">
        <v>45811</v>
      </c>
      <c r="G1509" s="17">
        <v>419.25</v>
      </c>
      <c r="H1509" s="17">
        <v>600</v>
      </c>
      <c r="I1509" s="6">
        <f>Tabela1[[#This Row],[Valor total]]-Tabela1[[#This Row],[Valor custo]]</f>
        <v>180.75</v>
      </c>
      <c r="J1509" s="7">
        <f>Tabela1[[#This Row],[MARGEM BRUTA]]/Tabela1[[#This Row],[Valor total]]</f>
        <v>0.30125000000000002</v>
      </c>
      <c r="K1509" s="1" t="str">
        <f>VLOOKUP(Tabela1[[#This Row],[Cliente]],'BASE DE CLIENTES'!A:D,4,0)</f>
        <v>EMPRESA COM MAQUINA</v>
      </c>
      <c r="L1509" s="1" t="str">
        <f>VLOOKUP(Tabela1[[#This Row],[Cliente]],'BASE DE CLIENTES'!A:E,5,0)</f>
        <v>SAMAMBAIA SUL (SAMAMBAIA)</v>
      </c>
    </row>
    <row r="1510" spans="2:12" x14ac:dyDescent="0.3">
      <c r="B1510" s="1" t="s">
        <v>52</v>
      </c>
      <c r="C1510" s="4" t="str">
        <f>VLOOKUP(Tabela1[[#This Row],[Cliente]],'BASE DE CLIENTES'!A:E,2,0)</f>
        <v>Brasília</v>
      </c>
      <c r="D1510" s="1" t="str">
        <f>VLOOKUP(Tabela1[[#This Row],[Cliente]],'BASE DE CLIENTES'!A:C,3,0)</f>
        <v>DF</v>
      </c>
      <c r="E1510" s="4" t="str">
        <f>CONCATENATE(Tabela1[[#This Row],[CIDADE]],",",Tabela1[[#This Row],[UF]])</f>
        <v>Brasília,DF</v>
      </c>
      <c r="F1510" s="2">
        <v>45810</v>
      </c>
      <c r="G1510" s="17">
        <v>831.94</v>
      </c>
      <c r="H1510" s="17">
        <v>1186</v>
      </c>
      <c r="I1510" s="6">
        <f>Tabela1[[#This Row],[Valor total]]-Tabela1[[#This Row],[Valor custo]]</f>
        <v>354.05999999999995</v>
      </c>
      <c r="J1510" s="7">
        <f>Tabela1[[#This Row],[MARGEM BRUTA]]/Tabela1[[#This Row],[Valor total]]</f>
        <v>0.29853288364249575</v>
      </c>
      <c r="K1510" s="1" t="str">
        <f>VLOOKUP(Tabela1[[#This Row],[Cliente]],'BASE DE CLIENTES'!A:D,4,0)</f>
        <v>SERRALHEIRO</v>
      </c>
      <c r="L1510" s="1" t="str">
        <f>VLOOKUP(Tabela1[[#This Row],[Cliente]],'BASE DE CLIENTES'!A:E,5,0)</f>
        <v>Ceilândia Sul (Ceilândia)</v>
      </c>
    </row>
    <row r="1511" spans="2:12" x14ac:dyDescent="0.3">
      <c r="B1511" s="1" t="s">
        <v>220</v>
      </c>
      <c r="C1511" s="4" t="str">
        <f>VLOOKUP(Tabela1[[#This Row],[Cliente]],'BASE DE CLIENTES'!A:E,2,0)</f>
        <v>Goiânia</v>
      </c>
      <c r="D1511" s="1" t="str">
        <f>VLOOKUP(Tabela1[[#This Row],[Cliente]],'BASE DE CLIENTES'!A:C,3,0)</f>
        <v>GO</v>
      </c>
      <c r="E1511" s="4" t="str">
        <f>CONCATENATE(Tabela1[[#This Row],[CIDADE]],",",Tabela1[[#This Row],[UF]])</f>
        <v>Goiânia,GO</v>
      </c>
      <c r="F1511" s="2">
        <v>45792</v>
      </c>
      <c r="G1511" s="17">
        <v>2335</v>
      </c>
      <c r="H1511" s="17">
        <v>3310</v>
      </c>
      <c r="I1511" s="6">
        <f>Tabela1[[#This Row],[Valor total]]-Tabela1[[#This Row],[Valor custo]]</f>
        <v>975</v>
      </c>
      <c r="J1511" s="7">
        <f>Tabela1[[#This Row],[MARGEM BRUTA]]/Tabela1[[#This Row],[Valor total]]</f>
        <v>0.29456193353474319</v>
      </c>
      <c r="K1511" s="1" t="str">
        <f>VLOOKUP(Tabela1[[#This Row],[Cliente]],'BASE DE CLIENTES'!A:D,4,0)</f>
        <v>EMPRESA COM MAQUINA</v>
      </c>
      <c r="L1511" s="1" t="str">
        <f>VLOOKUP(Tabela1[[#This Row],[Cliente]],'BASE DE CLIENTES'!A:E,5,0)</f>
        <v>Goiânia</v>
      </c>
    </row>
    <row r="1512" spans="2:12" x14ac:dyDescent="0.3">
      <c r="B1512" s="1" t="s">
        <v>106</v>
      </c>
      <c r="C1512" s="4" t="str">
        <f>VLOOKUP(Tabela1[[#This Row],[Cliente]],'BASE DE CLIENTES'!A:E,2,0)</f>
        <v>Brasília</v>
      </c>
      <c r="D1512" s="1" t="str">
        <f>VLOOKUP(Tabela1[[#This Row],[Cliente]],'BASE DE CLIENTES'!A:C,3,0)</f>
        <v>DF</v>
      </c>
      <c r="E1512" s="4" t="str">
        <f>CONCATENATE(Tabela1[[#This Row],[CIDADE]],",",Tabela1[[#This Row],[UF]])</f>
        <v>Brasília,DF</v>
      </c>
      <c r="F1512" s="2">
        <v>45810</v>
      </c>
      <c r="G1512" s="17">
        <v>1292.74</v>
      </c>
      <c r="H1512" s="17">
        <v>1795</v>
      </c>
      <c r="I1512" s="6">
        <f>Tabela1[[#This Row],[Valor total]]-Tabela1[[#This Row],[Valor custo]]</f>
        <v>502.26</v>
      </c>
      <c r="J1512" s="7">
        <f>Tabela1[[#This Row],[MARGEM BRUTA]]/Tabela1[[#This Row],[Valor total]]</f>
        <v>0.27981058495821726</v>
      </c>
      <c r="K1512" s="1" t="str">
        <f>VLOOKUP(Tabela1[[#This Row],[Cliente]],'BASE DE CLIENTES'!A:D,4,0)</f>
        <v>EMPRESA COM MAQUINA</v>
      </c>
      <c r="L1512" s="1" t="str">
        <f>VLOOKUP(Tabela1[[#This Row],[Cliente]],'BASE DE CLIENTES'!A:E,5,0)</f>
        <v>26 DE SETEMBRO</v>
      </c>
    </row>
    <row r="1513" spans="2:12" x14ac:dyDescent="0.3">
      <c r="B1513" s="1" t="s">
        <v>199</v>
      </c>
      <c r="C1513" s="4" t="str">
        <f>VLOOKUP(Tabela1[[#This Row],[Cliente]],'BASE DE CLIENTES'!A:E,2,0)</f>
        <v>Goiânia</v>
      </c>
      <c r="D1513" s="1" t="str">
        <f>VLOOKUP(Tabela1[[#This Row],[Cliente]],'BASE DE CLIENTES'!A:C,3,0)</f>
        <v>GO</v>
      </c>
      <c r="E1513" s="4" t="str">
        <f>CONCATENATE(Tabela1[[#This Row],[CIDADE]],",",Tabela1[[#This Row],[UF]])</f>
        <v>Goiânia,GO</v>
      </c>
      <c r="F1513" s="2">
        <v>45791</v>
      </c>
      <c r="G1513" s="17">
        <v>3904</v>
      </c>
      <c r="H1513" s="17">
        <v>5715</v>
      </c>
      <c r="I1513" s="6">
        <f>Tabela1[[#This Row],[Valor total]]-Tabela1[[#This Row],[Valor custo]]</f>
        <v>1811</v>
      </c>
      <c r="J1513" s="7">
        <f>Tabela1[[#This Row],[MARGEM BRUTA]]/Tabela1[[#This Row],[Valor total]]</f>
        <v>0.3168853893263342</v>
      </c>
      <c r="K1513" s="1" t="str">
        <f>VLOOKUP(Tabela1[[#This Row],[Cliente]],'BASE DE CLIENTES'!A:D,4,0)</f>
        <v>EMPRESA COM MAQUINA</v>
      </c>
      <c r="L1513" s="1" t="str">
        <f>VLOOKUP(Tabela1[[#This Row],[Cliente]],'BASE DE CLIENTES'!A:E,5,0)</f>
        <v>Goiânia</v>
      </c>
    </row>
    <row r="1514" spans="2:12" x14ac:dyDescent="0.3">
      <c r="B1514" s="1" t="s">
        <v>220</v>
      </c>
      <c r="C1514" s="4" t="str">
        <f>VLOOKUP(Tabela1[[#This Row],[Cliente]],'BASE DE CLIENTES'!A:E,2,0)</f>
        <v>Goiânia</v>
      </c>
      <c r="D1514" s="1" t="str">
        <f>VLOOKUP(Tabela1[[#This Row],[Cliente]],'BASE DE CLIENTES'!A:C,3,0)</f>
        <v>GO</v>
      </c>
      <c r="E1514" s="4" t="str">
        <f>CONCATENATE(Tabela1[[#This Row],[CIDADE]],",",Tabela1[[#This Row],[UF]])</f>
        <v>Goiânia,GO</v>
      </c>
      <c r="F1514" s="2">
        <v>45790</v>
      </c>
      <c r="G1514" s="17">
        <v>1788</v>
      </c>
      <c r="H1514" s="17">
        <v>2460</v>
      </c>
      <c r="I1514" s="6">
        <f>Tabela1[[#This Row],[Valor total]]-Tabela1[[#This Row],[Valor custo]]</f>
        <v>672</v>
      </c>
      <c r="J1514" s="7">
        <f>Tabela1[[#This Row],[MARGEM BRUTA]]/Tabela1[[#This Row],[Valor total]]</f>
        <v>0.27317073170731709</v>
      </c>
      <c r="K1514" s="1" t="str">
        <f>VLOOKUP(Tabela1[[#This Row],[Cliente]],'BASE DE CLIENTES'!A:D,4,0)</f>
        <v>EMPRESA COM MAQUINA</v>
      </c>
      <c r="L1514" s="1" t="str">
        <f>VLOOKUP(Tabela1[[#This Row],[Cliente]],'BASE DE CLIENTES'!A:E,5,0)</f>
        <v>Goiânia</v>
      </c>
    </row>
    <row r="1515" spans="2:12" x14ac:dyDescent="0.3">
      <c r="B1515" s="1" t="s">
        <v>199</v>
      </c>
      <c r="C1515" s="4" t="str">
        <f>VLOOKUP(Tabela1[[#This Row],[Cliente]],'BASE DE CLIENTES'!A:E,2,0)</f>
        <v>Goiânia</v>
      </c>
      <c r="D1515" s="1" t="str">
        <f>VLOOKUP(Tabela1[[#This Row],[Cliente]],'BASE DE CLIENTES'!A:C,3,0)</f>
        <v>GO</v>
      </c>
      <c r="E1515" s="4" t="str">
        <f>CONCATENATE(Tabela1[[#This Row],[CIDADE]],",",Tabela1[[#This Row],[UF]])</f>
        <v>Goiânia,GO</v>
      </c>
      <c r="F1515" s="2">
        <v>45785</v>
      </c>
      <c r="G1515" s="17">
        <v>3706</v>
      </c>
      <c r="H1515" s="17">
        <v>5120</v>
      </c>
      <c r="I1515" s="6">
        <f>Tabela1[[#This Row],[Valor total]]-Tabela1[[#This Row],[Valor custo]]</f>
        <v>1414</v>
      </c>
      <c r="J1515" s="7">
        <f>Tabela1[[#This Row],[MARGEM BRUTA]]/Tabela1[[#This Row],[Valor total]]</f>
        <v>0.27617187500000001</v>
      </c>
      <c r="K1515" s="1" t="str">
        <f>VLOOKUP(Tabela1[[#This Row],[Cliente]],'BASE DE CLIENTES'!A:D,4,0)</f>
        <v>EMPRESA COM MAQUINA</v>
      </c>
      <c r="L1515" s="1" t="str">
        <f>VLOOKUP(Tabela1[[#This Row],[Cliente]],'BASE DE CLIENTES'!A:E,5,0)</f>
        <v>Goiânia</v>
      </c>
    </row>
    <row r="1516" spans="2:12" x14ac:dyDescent="0.3">
      <c r="B1516" s="1" t="s">
        <v>197</v>
      </c>
      <c r="C1516" s="4" t="str">
        <f>VLOOKUP(Tabela1[[#This Row],[Cliente]],'BASE DE CLIENTES'!A:E,2,0)</f>
        <v>Goiânia</v>
      </c>
      <c r="D1516" s="1" t="str">
        <f>VLOOKUP(Tabela1[[#This Row],[Cliente]],'BASE DE CLIENTES'!A:C,3,0)</f>
        <v>GO</v>
      </c>
      <c r="E1516" s="4" t="str">
        <f>CONCATENATE(Tabela1[[#This Row],[CIDADE]],",",Tabela1[[#This Row],[UF]])</f>
        <v>Goiânia,GO</v>
      </c>
      <c r="F1516" s="2">
        <v>45785</v>
      </c>
      <c r="G1516" s="17">
        <v>5210.8999999999996</v>
      </c>
      <c r="H1516" s="17">
        <v>6900</v>
      </c>
      <c r="I1516" s="6">
        <f>Tabela1[[#This Row],[Valor total]]-Tabela1[[#This Row],[Valor custo]]</f>
        <v>1689.1000000000004</v>
      </c>
      <c r="J1516" s="7">
        <f>Tabela1[[#This Row],[MARGEM BRUTA]]/Tabela1[[#This Row],[Valor total]]</f>
        <v>0.24479710144927541</v>
      </c>
      <c r="K1516" s="1" t="str">
        <f>VLOOKUP(Tabela1[[#This Row],[Cliente]],'BASE DE CLIENTES'!A:D,4,0)</f>
        <v>EMPRESA COM MAQUINA</v>
      </c>
      <c r="L1516" s="1" t="str">
        <f>VLOOKUP(Tabela1[[#This Row],[Cliente]],'BASE DE CLIENTES'!A:E,5,0)</f>
        <v>Goiânia</v>
      </c>
    </row>
    <row r="1517" spans="2:12" x14ac:dyDescent="0.3">
      <c r="B1517" s="1" t="s">
        <v>220</v>
      </c>
      <c r="C1517" s="4" t="str">
        <f>VLOOKUP(Tabela1[[#This Row],[Cliente]],'BASE DE CLIENTES'!A:E,2,0)</f>
        <v>Goiânia</v>
      </c>
      <c r="D1517" s="1" t="str">
        <f>VLOOKUP(Tabela1[[#This Row],[Cliente]],'BASE DE CLIENTES'!A:C,3,0)</f>
        <v>GO</v>
      </c>
      <c r="E1517" s="4" t="str">
        <f>CONCATENATE(Tabela1[[#This Row],[CIDADE]],",",Tabela1[[#This Row],[UF]])</f>
        <v>Goiânia,GO</v>
      </c>
      <c r="F1517" s="2">
        <v>45784</v>
      </c>
      <c r="G1517" s="17">
        <v>894</v>
      </c>
      <c r="H1517" s="17">
        <v>1230</v>
      </c>
      <c r="I1517" s="6">
        <f>Tabela1[[#This Row],[Valor total]]-Tabela1[[#This Row],[Valor custo]]</f>
        <v>336</v>
      </c>
      <c r="J1517" s="7">
        <f>Tabela1[[#This Row],[MARGEM BRUTA]]/Tabela1[[#This Row],[Valor total]]</f>
        <v>0.27317073170731709</v>
      </c>
      <c r="K1517" s="1" t="str">
        <f>VLOOKUP(Tabela1[[#This Row],[Cliente]],'BASE DE CLIENTES'!A:D,4,0)</f>
        <v>EMPRESA COM MAQUINA</v>
      </c>
      <c r="L1517" s="1" t="str">
        <f>VLOOKUP(Tabela1[[#This Row],[Cliente]],'BASE DE CLIENTES'!A:E,5,0)</f>
        <v>Goiânia</v>
      </c>
    </row>
    <row r="1518" spans="2:12" x14ac:dyDescent="0.3">
      <c r="B1518" s="1" t="s">
        <v>220</v>
      </c>
      <c r="C1518" s="4" t="str">
        <f>VLOOKUP(Tabela1[[#This Row],[Cliente]],'BASE DE CLIENTES'!A:E,2,0)</f>
        <v>Goiânia</v>
      </c>
      <c r="D1518" s="1" t="str">
        <f>VLOOKUP(Tabela1[[#This Row],[Cliente]],'BASE DE CLIENTES'!A:C,3,0)</f>
        <v>GO</v>
      </c>
      <c r="E1518" s="4" t="str">
        <f>CONCATENATE(Tabela1[[#This Row],[CIDADE]],",",Tabela1[[#This Row],[UF]])</f>
        <v>Goiânia,GO</v>
      </c>
      <c r="F1518" s="2">
        <v>45779</v>
      </c>
      <c r="G1518" s="17">
        <v>2285</v>
      </c>
      <c r="H1518" s="17">
        <v>3210</v>
      </c>
      <c r="I1518" s="6">
        <f>Tabela1[[#This Row],[Valor total]]-Tabela1[[#This Row],[Valor custo]]</f>
        <v>925</v>
      </c>
      <c r="J1518" s="7">
        <f>Tabela1[[#This Row],[MARGEM BRUTA]]/Tabela1[[#This Row],[Valor total]]</f>
        <v>0.28816199376947038</v>
      </c>
      <c r="K1518" s="1" t="str">
        <f>VLOOKUP(Tabela1[[#This Row],[Cliente]],'BASE DE CLIENTES'!A:D,4,0)</f>
        <v>EMPRESA COM MAQUINA</v>
      </c>
      <c r="L1518" s="1" t="str">
        <f>VLOOKUP(Tabela1[[#This Row],[Cliente]],'BASE DE CLIENTES'!A:E,5,0)</f>
        <v>Goiânia</v>
      </c>
    </row>
    <row r="1519" spans="2:12" x14ac:dyDescent="0.3">
      <c r="B1519" s="1" t="s">
        <v>199</v>
      </c>
      <c r="C1519" s="4" t="str">
        <f>VLOOKUP(Tabela1[[#This Row],[Cliente]],'BASE DE CLIENTES'!A:E,2,0)</f>
        <v>Goiânia</v>
      </c>
      <c r="D1519" s="1" t="str">
        <f>VLOOKUP(Tabela1[[#This Row],[Cliente]],'BASE DE CLIENTES'!A:C,3,0)</f>
        <v>GO</v>
      </c>
      <c r="E1519" s="4" t="str">
        <f>CONCATENATE(Tabela1[[#This Row],[CIDADE]],",",Tabela1[[#This Row],[UF]])</f>
        <v>Goiânia,GO</v>
      </c>
      <c r="F1519" s="2">
        <v>45779</v>
      </c>
      <c r="G1519" s="17">
        <v>3126</v>
      </c>
      <c r="H1519" s="17">
        <v>4860</v>
      </c>
      <c r="I1519" s="6">
        <f>Tabela1[[#This Row],[Valor total]]-Tabela1[[#This Row],[Valor custo]]</f>
        <v>1734</v>
      </c>
      <c r="J1519" s="7">
        <f>Tabela1[[#This Row],[MARGEM BRUTA]]/Tabela1[[#This Row],[Valor total]]</f>
        <v>0.35679012345679012</v>
      </c>
      <c r="K1519" s="1" t="str">
        <f>VLOOKUP(Tabela1[[#This Row],[Cliente]],'BASE DE CLIENTES'!A:D,4,0)</f>
        <v>EMPRESA COM MAQUINA</v>
      </c>
      <c r="L1519" s="1" t="str">
        <f>VLOOKUP(Tabela1[[#This Row],[Cliente]],'BASE DE CLIENTES'!A:E,5,0)</f>
        <v>Goiânia</v>
      </c>
    </row>
    <row r="1520" spans="2:12" x14ac:dyDescent="0.3">
      <c r="B1520" s="1" t="s">
        <v>68</v>
      </c>
      <c r="C1520" s="4" t="str">
        <f>VLOOKUP(Tabela1[[#This Row],[Cliente]],'BASE DE CLIENTES'!A:E,2,0)</f>
        <v>Brasília</v>
      </c>
      <c r="D1520" s="1" t="str">
        <f>VLOOKUP(Tabela1[[#This Row],[Cliente]],'BASE DE CLIENTES'!A:C,3,0)</f>
        <v>DF</v>
      </c>
      <c r="E1520" s="4" t="str">
        <f>CONCATENATE(Tabela1[[#This Row],[CIDADE]],",",Tabela1[[#This Row],[UF]])</f>
        <v>Brasília,DF</v>
      </c>
      <c r="F1520" s="2">
        <v>45810</v>
      </c>
      <c r="G1520" s="17">
        <v>894.74</v>
      </c>
      <c r="H1520" s="17">
        <v>1260</v>
      </c>
      <c r="I1520" s="6">
        <f>Tabela1[[#This Row],[Valor total]]-Tabela1[[#This Row],[Valor custo]]</f>
        <v>365.26</v>
      </c>
      <c r="J1520" s="7">
        <f>Tabela1[[#This Row],[MARGEM BRUTA]]/Tabela1[[#This Row],[Valor total]]</f>
        <v>0.28988888888888886</v>
      </c>
      <c r="K1520" s="1" t="str">
        <f>VLOOKUP(Tabela1[[#This Row],[Cliente]],'BASE DE CLIENTES'!A:D,4,0)</f>
        <v>EMPRESA COM MAQUINA</v>
      </c>
      <c r="L1520" s="1" t="str">
        <f>VLOOKUP(Tabela1[[#This Row],[Cliente]],'BASE DE CLIENTES'!A:E,5,0)</f>
        <v>SAMAMBAIA SUL (SAMAMBAIA)</v>
      </c>
    </row>
    <row r="1521" spans="2:12" x14ac:dyDescent="0.3">
      <c r="B1521" s="1" t="s">
        <v>197</v>
      </c>
      <c r="C1521" s="4" t="str">
        <f>VLOOKUP(Tabela1[[#This Row],[Cliente]],'BASE DE CLIENTES'!A:E,2,0)</f>
        <v>Goiânia</v>
      </c>
      <c r="D1521" s="1" t="str">
        <f>VLOOKUP(Tabela1[[#This Row],[Cliente]],'BASE DE CLIENTES'!A:C,3,0)</f>
        <v>GO</v>
      </c>
      <c r="E1521" s="4" t="str">
        <f>CONCATENATE(Tabela1[[#This Row],[CIDADE]],",",Tabela1[[#This Row],[UF]])</f>
        <v>Goiânia,GO</v>
      </c>
      <c r="F1521" s="2">
        <v>45838</v>
      </c>
      <c r="G1521" s="17">
        <v>1480</v>
      </c>
      <c r="H1521" s="17">
        <v>2800</v>
      </c>
      <c r="I1521" s="6">
        <f>Tabela1[[#This Row],[Valor total]]-Tabela1[[#This Row],[Valor custo]]</f>
        <v>1320</v>
      </c>
      <c r="J1521" s="7">
        <f>Tabela1[[#This Row],[MARGEM BRUTA]]/Tabela1[[#This Row],[Valor total]]</f>
        <v>0.47142857142857142</v>
      </c>
      <c r="K1521" s="1" t="str">
        <f>VLOOKUP(Tabela1[[#This Row],[Cliente]],'BASE DE CLIENTES'!A:D,4,0)</f>
        <v>EMPRESA COM MAQUINA</v>
      </c>
      <c r="L1521" s="1" t="str">
        <f>VLOOKUP(Tabela1[[#This Row],[Cliente]],'BASE DE CLIENTES'!A:E,5,0)</f>
        <v>Goiânia</v>
      </c>
    </row>
    <row r="1522" spans="2:12" x14ac:dyDescent="0.3">
      <c r="B1522" s="1" t="s">
        <v>140</v>
      </c>
      <c r="C1522" s="4" t="str">
        <f>VLOOKUP(Tabela1[[#This Row],[Cliente]],'BASE DE CLIENTES'!A:E,2,0)</f>
        <v>Brasília</v>
      </c>
      <c r="D1522" s="1" t="str">
        <f>VLOOKUP(Tabela1[[#This Row],[Cliente]],'BASE DE CLIENTES'!A:C,3,0)</f>
        <v>DF</v>
      </c>
      <c r="E1522" s="4" t="str">
        <f>CONCATENATE(Tabela1[[#This Row],[CIDADE]],",",Tabela1[[#This Row],[UF]])</f>
        <v>Brasília,DF</v>
      </c>
      <c r="F1522" s="2">
        <v>45869</v>
      </c>
      <c r="G1522" s="17">
        <v>1410</v>
      </c>
      <c r="H1522" s="17">
        <v>3000</v>
      </c>
      <c r="I1522" s="6">
        <f>Tabela1[[#This Row],[Valor total]]-Tabela1[[#This Row],[Valor custo]]</f>
        <v>1590</v>
      </c>
      <c r="J1522" s="7">
        <f>Tabela1[[#This Row],[MARGEM BRUTA]]/Tabela1[[#This Row],[Valor total]]</f>
        <v>0.53</v>
      </c>
      <c r="K1522" s="1" t="str">
        <f>VLOOKUP(Tabela1[[#This Row],[Cliente]],'BASE DE CLIENTES'!A:D,4,0)</f>
        <v>EMPRESA COM MAQUINA</v>
      </c>
      <c r="L1522" s="1" t="str">
        <f>VLOOKUP(Tabela1[[#This Row],[Cliente]],'BASE DE CLIENTES'!A:E,5,0)</f>
        <v>RECANTO DAS EMAS</v>
      </c>
    </row>
    <row r="1523" spans="2:12" x14ac:dyDescent="0.3">
      <c r="B1523" s="1" t="s">
        <v>120</v>
      </c>
      <c r="C1523" s="4" t="str">
        <f>VLOOKUP(Tabela1[[#This Row],[Cliente]],'BASE DE CLIENTES'!A:E,2,0)</f>
        <v>Brasília</v>
      </c>
      <c r="D1523" s="1" t="str">
        <f>VLOOKUP(Tabela1[[#This Row],[Cliente]],'BASE DE CLIENTES'!A:C,3,0)</f>
        <v>DF</v>
      </c>
      <c r="E1523" s="4" t="str">
        <f>CONCATENATE(Tabela1[[#This Row],[CIDADE]],",",Tabela1[[#This Row],[UF]])</f>
        <v>Brasília,DF</v>
      </c>
      <c r="F1523" s="2">
        <v>45895</v>
      </c>
      <c r="G1523" s="17">
        <v>932</v>
      </c>
      <c r="H1523" s="17">
        <v>1560</v>
      </c>
      <c r="I1523" s="6">
        <f>Tabela1[[#This Row],[Valor total]]-Tabela1[[#This Row],[Valor custo]]</f>
        <v>628</v>
      </c>
      <c r="J1523" s="7">
        <f>Tabela1[[#This Row],[MARGEM BRUTA]]/Tabela1[[#This Row],[Valor total]]</f>
        <v>0.40256410256410258</v>
      </c>
      <c r="K1523" s="1" t="str">
        <f>VLOOKUP(Tabela1[[#This Row],[Cliente]],'BASE DE CLIENTES'!A:D,4,0)</f>
        <v>EMPRESA SEM MAQUINA</v>
      </c>
      <c r="L1523" s="1" t="str">
        <f>VLOOKUP(Tabela1[[#This Row],[Cliente]],'BASE DE CLIENTES'!A:E,5,0)</f>
        <v>SAMAMBAIA</v>
      </c>
    </row>
    <row r="1524" spans="2:12" x14ac:dyDescent="0.3">
      <c r="B1524" s="1" t="s">
        <v>106</v>
      </c>
      <c r="C1524" s="4" t="str">
        <f>VLOOKUP(Tabela1[[#This Row],[Cliente]],'BASE DE CLIENTES'!A:E,2,0)</f>
        <v>Brasília</v>
      </c>
      <c r="D1524" s="1" t="str">
        <f>VLOOKUP(Tabela1[[#This Row],[Cliente]],'BASE DE CLIENTES'!A:C,3,0)</f>
        <v>DF</v>
      </c>
      <c r="E1524" s="4" t="str">
        <f>CONCATENATE(Tabela1[[#This Row],[CIDADE]],",",Tabela1[[#This Row],[UF]])</f>
        <v>Brasília,DF</v>
      </c>
      <c r="F1524" s="2">
        <v>45869</v>
      </c>
      <c r="G1524" s="17">
        <v>1602</v>
      </c>
      <c r="H1524" s="17">
        <v>2607</v>
      </c>
      <c r="I1524" s="6">
        <f>Tabela1[[#This Row],[Valor total]]-Tabela1[[#This Row],[Valor custo]]</f>
        <v>1005</v>
      </c>
      <c r="J1524" s="7">
        <f>Tabela1[[#This Row],[MARGEM BRUTA]]/Tabela1[[#This Row],[Valor total]]</f>
        <v>0.38550057537399307</v>
      </c>
      <c r="K1524" s="1" t="str">
        <f>VLOOKUP(Tabela1[[#This Row],[Cliente]],'BASE DE CLIENTES'!A:D,4,0)</f>
        <v>EMPRESA COM MAQUINA</v>
      </c>
      <c r="L1524" s="1" t="str">
        <f>VLOOKUP(Tabela1[[#This Row],[Cliente]],'BASE DE CLIENTES'!A:E,5,0)</f>
        <v>26 DE SETEMBRO</v>
      </c>
    </row>
    <row r="1525" spans="2:12" x14ac:dyDescent="0.3">
      <c r="B1525" s="1" t="s">
        <v>222</v>
      </c>
      <c r="C1525" s="4" t="str">
        <f>VLOOKUP(Tabela1[[#This Row],[Cliente]],'BASE DE CLIENTES'!A:E,2,0)</f>
        <v>Goiânia</v>
      </c>
      <c r="D1525" s="1" t="str">
        <f>VLOOKUP(Tabela1[[#This Row],[Cliente]],'BASE DE CLIENTES'!A:C,3,0)</f>
        <v>GO</v>
      </c>
      <c r="E1525" s="4" t="str">
        <f>CONCATENATE(Tabela1[[#This Row],[CIDADE]],",",Tabela1[[#This Row],[UF]])</f>
        <v>Goiânia,GO</v>
      </c>
      <c r="F1525" s="2">
        <v>45834</v>
      </c>
      <c r="G1525" s="17">
        <v>9929.9500000000007</v>
      </c>
      <c r="H1525" s="17">
        <v>15795</v>
      </c>
      <c r="I1525" s="6">
        <f>Tabela1[[#This Row],[Valor total]]-Tabela1[[#This Row],[Valor custo]]</f>
        <v>5865.0499999999993</v>
      </c>
      <c r="J1525" s="7">
        <f>Tabela1[[#This Row],[MARGEM BRUTA]]/Tabela1[[#This Row],[Valor total]]</f>
        <v>0.3713232035454257</v>
      </c>
      <c r="K1525" s="1" t="str">
        <f>VLOOKUP(Tabela1[[#This Row],[Cliente]],'BASE DE CLIENTES'!A:D,4,0)</f>
        <v>EMPRESA COM MAQUINA</v>
      </c>
      <c r="L1525" s="1" t="str">
        <f>VLOOKUP(Tabela1[[#This Row],[Cliente]],'BASE DE CLIENTES'!A:E,5,0)</f>
        <v>Goiânia</v>
      </c>
    </row>
    <row r="1526" spans="2:12" x14ac:dyDescent="0.3">
      <c r="B1526" s="1" t="s">
        <v>220</v>
      </c>
      <c r="C1526" s="4" t="str">
        <f>VLOOKUP(Tabela1[[#This Row],[Cliente]],'BASE DE CLIENTES'!A:E,2,0)</f>
        <v>Goiânia</v>
      </c>
      <c r="D1526" s="1" t="str">
        <f>VLOOKUP(Tabela1[[#This Row],[Cliente]],'BASE DE CLIENTES'!A:C,3,0)</f>
        <v>GO</v>
      </c>
      <c r="E1526" s="4" t="str">
        <f>CONCATENATE(Tabela1[[#This Row],[CIDADE]],",",Tabela1[[#This Row],[UF]])</f>
        <v>Goiânia,GO</v>
      </c>
      <c r="F1526" s="2">
        <v>45833</v>
      </c>
      <c r="G1526" s="17">
        <v>584</v>
      </c>
      <c r="H1526" s="17">
        <v>869</v>
      </c>
      <c r="I1526" s="6">
        <f>Tabela1[[#This Row],[Valor total]]-Tabela1[[#This Row],[Valor custo]]</f>
        <v>285</v>
      </c>
      <c r="J1526" s="7">
        <f>Tabela1[[#This Row],[MARGEM BRUTA]]/Tabela1[[#This Row],[Valor total]]</f>
        <v>0.32796317606444186</v>
      </c>
      <c r="K1526" s="1" t="str">
        <f>VLOOKUP(Tabela1[[#This Row],[Cliente]],'BASE DE CLIENTES'!A:D,4,0)</f>
        <v>EMPRESA COM MAQUINA</v>
      </c>
      <c r="L1526" s="1" t="str">
        <f>VLOOKUP(Tabela1[[#This Row],[Cliente]],'BASE DE CLIENTES'!A:E,5,0)</f>
        <v>Goiânia</v>
      </c>
    </row>
    <row r="1527" spans="2:12" x14ac:dyDescent="0.3">
      <c r="B1527" s="1" t="s">
        <v>42</v>
      </c>
      <c r="C1527" s="4" t="str">
        <f>VLOOKUP(Tabela1[[#This Row],[Cliente]],'BASE DE CLIENTES'!A:E,2,0)</f>
        <v>Brasília</v>
      </c>
      <c r="D1527" s="1" t="str">
        <f>VLOOKUP(Tabela1[[#This Row],[Cliente]],'BASE DE CLIENTES'!A:C,3,0)</f>
        <v>DF</v>
      </c>
      <c r="E1527" s="4" t="str">
        <f>CONCATENATE(Tabela1[[#This Row],[CIDADE]],",",Tabela1[[#This Row],[UF]])</f>
        <v>Brasília,DF</v>
      </c>
      <c r="F1527" s="2">
        <v>45869</v>
      </c>
      <c r="G1527" s="17">
        <v>815.09</v>
      </c>
      <c r="H1527" s="17">
        <v>1300</v>
      </c>
      <c r="I1527" s="6">
        <f>Tabela1[[#This Row],[Valor total]]-Tabela1[[#This Row],[Valor custo]]</f>
        <v>484.90999999999997</v>
      </c>
      <c r="J1527" s="7">
        <f>Tabela1[[#This Row],[MARGEM BRUTA]]/Tabela1[[#This Row],[Valor total]]</f>
        <v>0.37300769230769226</v>
      </c>
      <c r="K1527" s="1" t="str">
        <f>VLOOKUP(Tabela1[[#This Row],[Cliente]],'BASE DE CLIENTES'!A:D,4,0)</f>
        <v>EMPRESA SEM MAQUINA</v>
      </c>
      <c r="L1527" s="1" t="str">
        <f>VLOOKUP(Tabela1[[#This Row],[Cliente]],'BASE DE CLIENTES'!A:E,5,0)</f>
        <v>SAMAMBAIA</v>
      </c>
    </row>
    <row r="1528" spans="2:12" x14ac:dyDescent="0.3">
      <c r="B1528" s="1" t="s">
        <v>52</v>
      </c>
      <c r="C1528" s="4" t="str">
        <f>VLOOKUP(Tabela1[[#This Row],[Cliente]],'BASE DE CLIENTES'!A:E,2,0)</f>
        <v>Brasília</v>
      </c>
      <c r="D1528" s="1" t="str">
        <f>VLOOKUP(Tabela1[[#This Row],[Cliente]],'BASE DE CLIENTES'!A:C,3,0)</f>
        <v>DF</v>
      </c>
      <c r="E1528" s="4" t="str">
        <f>CONCATENATE(Tabela1[[#This Row],[CIDADE]],",",Tabela1[[#This Row],[UF]])</f>
        <v>Brasília,DF</v>
      </c>
      <c r="F1528" s="2">
        <v>45869</v>
      </c>
      <c r="G1528" s="17">
        <v>2192.29</v>
      </c>
      <c r="H1528" s="17">
        <v>3648</v>
      </c>
      <c r="I1528" s="6">
        <f>Tabela1[[#This Row],[Valor total]]-Tabela1[[#This Row],[Valor custo]]</f>
        <v>1455.71</v>
      </c>
      <c r="J1528" s="7">
        <f>Tabela1[[#This Row],[MARGEM BRUTA]]/Tabela1[[#This Row],[Valor total]]</f>
        <v>0.39904331140350879</v>
      </c>
      <c r="K1528" s="1" t="str">
        <f>VLOOKUP(Tabela1[[#This Row],[Cliente]],'BASE DE CLIENTES'!A:D,4,0)</f>
        <v>SERRALHEIRO</v>
      </c>
      <c r="L1528" s="1" t="str">
        <f>VLOOKUP(Tabela1[[#This Row],[Cliente]],'BASE DE CLIENTES'!A:E,5,0)</f>
        <v>Ceilândia Sul (Ceilândia)</v>
      </c>
    </row>
    <row r="1529" spans="2:12" x14ac:dyDescent="0.3">
      <c r="B1529" s="1" t="s">
        <v>195</v>
      </c>
      <c r="C1529" s="4" t="str">
        <f>VLOOKUP(Tabela1[[#This Row],[Cliente]],'BASE DE CLIENTES'!A:E,2,0)</f>
        <v>Goiânia</v>
      </c>
      <c r="D1529" s="1" t="str">
        <f>VLOOKUP(Tabela1[[#This Row],[Cliente]],'BASE DE CLIENTES'!A:C,3,0)</f>
        <v>GO</v>
      </c>
      <c r="E1529" s="4" t="str">
        <f>CONCATENATE(Tabela1[[#This Row],[CIDADE]],",",Tabela1[[#This Row],[UF]])</f>
        <v>Goiânia,GO</v>
      </c>
      <c r="F1529" s="2">
        <v>45833</v>
      </c>
      <c r="G1529" s="17">
        <v>757</v>
      </c>
      <c r="H1529" s="17">
        <v>1500</v>
      </c>
      <c r="I1529" s="6">
        <f>Tabela1[[#This Row],[Valor total]]-Tabela1[[#This Row],[Valor custo]]</f>
        <v>743</v>
      </c>
      <c r="J1529" s="7">
        <f>Tabela1[[#This Row],[MARGEM BRUTA]]/Tabela1[[#This Row],[Valor total]]</f>
        <v>0.49533333333333335</v>
      </c>
      <c r="K1529" s="1" t="str">
        <f>VLOOKUP(Tabela1[[#This Row],[Cliente]],'BASE DE CLIENTES'!A:D,4,0)</f>
        <v>EMPRESA COM MAQUINA</v>
      </c>
      <c r="L1529" s="1" t="str">
        <f>VLOOKUP(Tabela1[[#This Row],[Cliente]],'BASE DE CLIENTES'!A:E,5,0)</f>
        <v>Goiânia</v>
      </c>
    </row>
    <row r="1530" spans="2:12" x14ac:dyDescent="0.3">
      <c r="B1530" s="1" t="s">
        <v>38</v>
      </c>
      <c r="C1530" s="4" t="str">
        <f>VLOOKUP(Tabela1[[#This Row],[Cliente]],'BASE DE CLIENTES'!A:E,2,0)</f>
        <v>Brasília</v>
      </c>
      <c r="D1530" s="1" t="str">
        <f>VLOOKUP(Tabela1[[#This Row],[Cliente]],'BASE DE CLIENTES'!A:C,3,0)</f>
        <v>DF</v>
      </c>
      <c r="E1530" s="4" t="str">
        <f>CONCATENATE(Tabela1[[#This Row],[CIDADE]],",",Tabela1[[#This Row],[UF]])</f>
        <v>Brasília,DF</v>
      </c>
      <c r="F1530" s="2">
        <v>45869</v>
      </c>
      <c r="G1530" s="17">
        <v>910</v>
      </c>
      <c r="H1530" s="17">
        <v>1570</v>
      </c>
      <c r="I1530" s="6">
        <f>Tabela1[[#This Row],[Valor total]]-Tabela1[[#This Row],[Valor custo]]</f>
        <v>660</v>
      </c>
      <c r="J1530" s="7">
        <f>Tabela1[[#This Row],[MARGEM BRUTA]]/Tabela1[[#This Row],[Valor total]]</f>
        <v>0.42038216560509556</v>
      </c>
      <c r="K1530" s="1" t="str">
        <f>VLOOKUP(Tabela1[[#This Row],[Cliente]],'BASE DE CLIENTES'!A:D,4,0)</f>
        <v>EMPRESA SEM MAQUINA</v>
      </c>
      <c r="L1530" s="1" t="str">
        <f>VLOOKUP(Tabela1[[#This Row],[Cliente]],'BASE DE CLIENTES'!A:E,5,0)</f>
        <v>PONTE ALTA NORTE (GAMA)</v>
      </c>
    </row>
    <row r="1531" spans="2:12" x14ac:dyDescent="0.3">
      <c r="B1531" s="1" t="s">
        <v>120</v>
      </c>
      <c r="C1531" s="4" t="str">
        <f>VLOOKUP(Tabela1[[#This Row],[Cliente]],'BASE DE CLIENTES'!A:E,2,0)</f>
        <v>Brasília</v>
      </c>
      <c r="D1531" s="1" t="str">
        <f>VLOOKUP(Tabela1[[#This Row],[Cliente]],'BASE DE CLIENTES'!A:C,3,0)</f>
        <v>DF</v>
      </c>
      <c r="E1531" s="4" t="str">
        <f>CONCATENATE(Tabela1[[#This Row],[CIDADE]],",",Tabela1[[#This Row],[UF]])</f>
        <v>Brasília,DF</v>
      </c>
      <c r="F1531" s="2">
        <v>45880</v>
      </c>
      <c r="G1531" s="17">
        <v>2590.67</v>
      </c>
      <c r="H1531" s="17">
        <v>4080</v>
      </c>
      <c r="I1531" s="6">
        <f>Tabela1[[#This Row],[Valor total]]-Tabela1[[#This Row],[Valor custo]]</f>
        <v>1489.33</v>
      </c>
      <c r="J1531" s="7">
        <f>Tabela1[[#This Row],[MARGEM BRUTA]]/Tabela1[[#This Row],[Valor total]]</f>
        <v>0.36503186274509802</v>
      </c>
      <c r="K1531" s="1" t="str">
        <f>VLOOKUP(Tabela1[[#This Row],[Cliente]],'BASE DE CLIENTES'!A:D,4,0)</f>
        <v>EMPRESA SEM MAQUINA</v>
      </c>
      <c r="L1531" s="1" t="str">
        <f>VLOOKUP(Tabela1[[#This Row],[Cliente]],'BASE DE CLIENTES'!A:E,5,0)</f>
        <v>SAMAMBAIA</v>
      </c>
    </row>
    <row r="1532" spans="2:12" x14ac:dyDescent="0.3">
      <c r="B1532" s="1" t="s">
        <v>55</v>
      </c>
      <c r="C1532" s="4" t="str">
        <f>VLOOKUP(Tabela1[[#This Row],[Cliente]],'BASE DE CLIENTES'!A:E,2,0)</f>
        <v>Brasília</v>
      </c>
      <c r="D1532" s="1" t="str">
        <f>VLOOKUP(Tabela1[[#This Row],[Cliente]],'BASE DE CLIENTES'!A:C,3,0)</f>
        <v>DF</v>
      </c>
      <c r="E1532" s="4" t="str">
        <f>CONCATENATE(Tabela1[[#This Row],[CIDADE]],",",Tabela1[[#This Row],[UF]])</f>
        <v>Brasília,DF</v>
      </c>
      <c r="F1532" s="2">
        <v>45869</v>
      </c>
      <c r="G1532" s="17">
        <v>937.78</v>
      </c>
      <c r="H1532" s="17">
        <v>1500</v>
      </c>
      <c r="I1532" s="6">
        <f>Tabela1[[#This Row],[Valor total]]-Tabela1[[#This Row],[Valor custo]]</f>
        <v>562.22</v>
      </c>
      <c r="J1532" s="7">
        <f>Tabela1[[#This Row],[MARGEM BRUTA]]/Tabela1[[#This Row],[Valor total]]</f>
        <v>0.37481333333333333</v>
      </c>
      <c r="K1532" s="1" t="str">
        <f>VLOOKUP(Tabela1[[#This Row],[Cliente]],'BASE DE CLIENTES'!A:D,4,0)</f>
        <v>EMPRESA SEM MAQUINA</v>
      </c>
      <c r="L1532" s="1" t="str">
        <f>VLOOKUP(Tabela1[[#This Row],[Cliente]],'BASE DE CLIENTES'!A:E,5,0)</f>
        <v>RECANTO DAS EMAS</v>
      </c>
    </row>
    <row r="1533" spans="2:12" x14ac:dyDescent="0.3">
      <c r="B1533" s="1" t="s">
        <v>228</v>
      </c>
      <c r="C1533" s="4" t="str">
        <f>VLOOKUP(Tabela1[[#This Row],[Cliente]],'BASE DE CLIENTES'!A:E,2,0)</f>
        <v>Brasília</v>
      </c>
      <c r="D1533" s="1" t="str">
        <f>VLOOKUP(Tabela1[[#This Row],[Cliente]],'BASE DE CLIENTES'!A:C,3,0)</f>
        <v>DF</v>
      </c>
      <c r="E1533" s="4" t="str">
        <f>CONCATENATE(Tabela1[[#This Row],[CIDADE]],",",Tabela1[[#This Row],[UF]])</f>
        <v>Brasília,DF</v>
      </c>
      <c r="F1533" s="2">
        <v>45869</v>
      </c>
      <c r="G1533" s="17">
        <v>72.2</v>
      </c>
      <c r="H1533" s="17">
        <v>55</v>
      </c>
      <c r="I1533" s="6">
        <f>Tabela1[[#This Row],[Valor total]]-Tabela1[[#This Row],[Valor custo]]</f>
        <v>-17.200000000000003</v>
      </c>
      <c r="J1533" s="7">
        <f>Tabela1[[#This Row],[MARGEM BRUTA]]/Tabela1[[#This Row],[Valor total]]</f>
        <v>-0.3127272727272728</v>
      </c>
      <c r="K1533" s="1" t="str">
        <f>VLOOKUP(Tabela1[[#This Row],[Cliente]],'BASE DE CLIENTES'!A:D,4,0)</f>
        <v>FUNCIONÁRIO</v>
      </c>
      <c r="L1533" s="1" t="str">
        <f>VLOOKUP(Tabela1[[#This Row],[Cliente]],'BASE DE CLIENTES'!A:E,5,0)</f>
        <v>Taguatinga Sul (Taguatinga)</v>
      </c>
    </row>
    <row r="1534" spans="2:12" x14ac:dyDescent="0.3">
      <c r="B1534" s="1" t="s">
        <v>206</v>
      </c>
      <c r="C1534" s="4" t="str">
        <f>VLOOKUP(Tabela1[[#This Row],[Cliente]],'BASE DE CLIENTES'!A:E,2,0)</f>
        <v>Goiânia</v>
      </c>
      <c r="D1534" s="1" t="str">
        <f>VLOOKUP(Tabela1[[#This Row],[Cliente]],'BASE DE CLIENTES'!A:C,3,0)</f>
        <v>GO</v>
      </c>
      <c r="E1534" s="4" t="str">
        <f>CONCATENATE(Tabela1[[#This Row],[CIDADE]],",",Tabela1[[#This Row],[UF]])</f>
        <v>Goiânia,GO</v>
      </c>
      <c r="F1534" s="2">
        <v>45832</v>
      </c>
      <c r="G1534" s="17">
        <v>10019</v>
      </c>
      <c r="H1534" s="17">
        <v>13800</v>
      </c>
      <c r="I1534" s="6">
        <f>Tabela1[[#This Row],[Valor total]]-Tabela1[[#This Row],[Valor custo]]</f>
        <v>3781</v>
      </c>
      <c r="J1534" s="7">
        <f>Tabela1[[#This Row],[MARGEM BRUTA]]/Tabela1[[#This Row],[Valor total]]</f>
        <v>0.27398550724637682</v>
      </c>
      <c r="K1534" s="1" t="str">
        <f>VLOOKUP(Tabela1[[#This Row],[Cliente]],'BASE DE CLIENTES'!A:D,4,0)</f>
        <v>EMPRESA COM MAQUINA</v>
      </c>
      <c r="L1534" s="1" t="str">
        <f>VLOOKUP(Tabela1[[#This Row],[Cliente]],'BASE DE CLIENTES'!A:E,5,0)</f>
        <v>Goiânia</v>
      </c>
    </row>
    <row r="1535" spans="2:12" x14ac:dyDescent="0.3">
      <c r="B1535" s="1" t="s">
        <v>106</v>
      </c>
      <c r="C1535" s="4" t="str">
        <f>VLOOKUP(Tabela1[[#This Row],[Cliente]],'BASE DE CLIENTES'!A:E,2,0)</f>
        <v>Brasília</v>
      </c>
      <c r="D1535" s="1" t="str">
        <f>VLOOKUP(Tabela1[[#This Row],[Cliente]],'BASE DE CLIENTES'!A:C,3,0)</f>
        <v>DF</v>
      </c>
      <c r="E1535" s="4" t="str">
        <f>CONCATENATE(Tabela1[[#This Row],[CIDADE]],",",Tabela1[[#This Row],[UF]])</f>
        <v>Brasília,DF</v>
      </c>
      <c r="F1535" s="2">
        <v>45868</v>
      </c>
      <c r="G1535" s="17">
        <v>2907.69</v>
      </c>
      <c r="H1535" s="17">
        <v>4855</v>
      </c>
      <c r="I1535" s="6">
        <f>Tabela1[[#This Row],[Valor total]]-Tabela1[[#This Row],[Valor custo]]</f>
        <v>1947.31</v>
      </c>
      <c r="J1535" s="7">
        <f>Tabela1[[#This Row],[MARGEM BRUTA]]/Tabela1[[#This Row],[Valor total]]</f>
        <v>0.40109371781668379</v>
      </c>
      <c r="K1535" s="1" t="str">
        <f>VLOOKUP(Tabela1[[#This Row],[Cliente]],'BASE DE CLIENTES'!A:D,4,0)</f>
        <v>EMPRESA COM MAQUINA</v>
      </c>
      <c r="L1535" s="1" t="str">
        <f>VLOOKUP(Tabela1[[#This Row],[Cliente]],'BASE DE CLIENTES'!A:E,5,0)</f>
        <v>26 DE SETEMBRO</v>
      </c>
    </row>
    <row r="1536" spans="2:12" x14ac:dyDescent="0.3">
      <c r="B1536" s="1" t="s">
        <v>120</v>
      </c>
      <c r="C1536" s="4" t="str">
        <f>VLOOKUP(Tabela1[[#This Row],[Cliente]],'BASE DE CLIENTES'!A:E,2,0)</f>
        <v>Brasília</v>
      </c>
      <c r="D1536" s="1" t="str">
        <f>VLOOKUP(Tabela1[[#This Row],[Cliente]],'BASE DE CLIENTES'!A:C,3,0)</f>
        <v>DF</v>
      </c>
      <c r="E1536" s="4" t="str">
        <f>CONCATENATE(Tabela1[[#This Row],[CIDADE]],",",Tabela1[[#This Row],[UF]])</f>
        <v>Brasília,DF</v>
      </c>
      <c r="F1536" s="2">
        <v>45876</v>
      </c>
      <c r="G1536" s="17">
        <v>613.74</v>
      </c>
      <c r="H1536" s="17">
        <v>820</v>
      </c>
      <c r="I1536" s="6">
        <f>Tabela1[[#This Row],[Valor total]]-Tabela1[[#This Row],[Valor custo]]</f>
        <v>206.26</v>
      </c>
      <c r="J1536" s="7">
        <f>Tabela1[[#This Row],[MARGEM BRUTA]]/Tabela1[[#This Row],[Valor total]]</f>
        <v>0.25153658536585366</v>
      </c>
      <c r="K1536" s="1" t="str">
        <f>VLOOKUP(Tabela1[[#This Row],[Cliente]],'BASE DE CLIENTES'!A:D,4,0)</f>
        <v>EMPRESA SEM MAQUINA</v>
      </c>
      <c r="L1536" s="1" t="str">
        <f>VLOOKUP(Tabela1[[#This Row],[Cliente]],'BASE DE CLIENTES'!A:E,5,0)</f>
        <v>SAMAMBAIA</v>
      </c>
    </row>
    <row r="1537" spans="2:12" x14ac:dyDescent="0.3">
      <c r="B1537" s="1" t="s">
        <v>229</v>
      </c>
      <c r="C1537" s="4" t="str">
        <f>VLOOKUP(Tabela1[[#This Row],[Cliente]],'BASE DE CLIENTES'!A:E,2,0)</f>
        <v>Brasília</v>
      </c>
      <c r="D1537" s="1" t="str">
        <f>VLOOKUP(Tabela1[[#This Row],[Cliente]],'BASE DE CLIENTES'!A:C,3,0)</f>
        <v>DF</v>
      </c>
      <c r="E1537" s="4" t="str">
        <f>CONCATENATE(Tabela1[[#This Row],[CIDADE]],",",Tabela1[[#This Row],[UF]])</f>
        <v>Brasília,DF</v>
      </c>
      <c r="F1537" s="2">
        <v>45873</v>
      </c>
      <c r="G1537" s="17">
        <v>293.13</v>
      </c>
      <c r="H1537" s="17">
        <v>450</v>
      </c>
      <c r="I1537" s="6">
        <f>Tabela1[[#This Row],[Valor total]]-Tabela1[[#This Row],[Valor custo]]</f>
        <v>156.87</v>
      </c>
      <c r="J1537" s="7">
        <f>Tabela1[[#This Row],[MARGEM BRUTA]]/Tabela1[[#This Row],[Valor total]]</f>
        <v>0.34860000000000002</v>
      </c>
      <c r="K1537" s="1" t="str">
        <f>VLOOKUP(Tabela1[[#This Row],[Cliente]],'BASE DE CLIENTES'!A:D,4,0)</f>
        <v>SEM CLASSIFICAÇÃO</v>
      </c>
      <c r="L1537" s="1" t="str">
        <f>VLOOKUP(Tabela1[[#This Row],[Cliente]],'BASE DE CLIENTES'!A:E,5,0)</f>
        <v>Zona Industrial (Guará)</v>
      </c>
    </row>
    <row r="1538" spans="2:12" x14ac:dyDescent="0.3">
      <c r="B1538" s="1" t="s">
        <v>133</v>
      </c>
      <c r="C1538" s="4" t="str">
        <f>VLOOKUP(Tabela1[[#This Row],[Cliente]],'BASE DE CLIENTES'!A:E,2,0)</f>
        <v>Brasília</v>
      </c>
      <c r="D1538" s="1" t="str">
        <f>VLOOKUP(Tabela1[[#This Row],[Cliente]],'BASE DE CLIENTES'!A:C,3,0)</f>
        <v>DF</v>
      </c>
      <c r="E1538" s="4" t="str">
        <f>CONCATENATE(Tabela1[[#This Row],[CIDADE]],",",Tabela1[[#This Row],[UF]])</f>
        <v>Brasília,DF</v>
      </c>
      <c r="F1538" s="2">
        <v>45868</v>
      </c>
      <c r="G1538" s="17">
        <v>1775.58</v>
      </c>
      <c r="H1538" s="17">
        <v>2900</v>
      </c>
      <c r="I1538" s="6">
        <f>Tabela1[[#This Row],[Valor total]]-Tabela1[[#This Row],[Valor custo]]</f>
        <v>1124.42</v>
      </c>
      <c r="J1538" s="7">
        <f>Tabela1[[#This Row],[MARGEM BRUTA]]/Tabela1[[#This Row],[Valor total]]</f>
        <v>0.38773103448275864</v>
      </c>
      <c r="K1538" s="1" t="str">
        <f>VLOOKUP(Tabela1[[#This Row],[Cliente]],'BASE DE CLIENTES'!A:D,4,0)</f>
        <v>SERRALHEIRO</v>
      </c>
      <c r="L1538" s="1" t="str">
        <f>VLOOKUP(Tabela1[[#This Row],[Cliente]],'BASE DE CLIENTES'!A:E,5,0)</f>
        <v>RECANTO DAS EMAS</v>
      </c>
    </row>
    <row r="1539" spans="2:12" x14ac:dyDescent="0.3">
      <c r="B1539" s="1" t="s">
        <v>199</v>
      </c>
      <c r="C1539" s="4" t="str">
        <f>VLOOKUP(Tabela1[[#This Row],[Cliente]],'BASE DE CLIENTES'!A:E,2,0)</f>
        <v>Goiânia</v>
      </c>
      <c r="D1539" s="1" t="str">
        <f>VLOOKUP(Tabela1[[#This Row],[Cliente]],'BASE DE CLIENTES'!A:C,3,0)</f>
        <v>GO</v>
      </c>
      <c r="E1539" s="4" t="str">
        <f>CONCATENATE(Tabela1[[#This Row],[CIDADE]],",",Tabela1[[#This Row],[UF]])</f>
        <v>Goiânia,GO</v>
      </c>
      <c r="F1539" s="2">
        <v>45831</v>
      </c>
      <c r="G1539" s="17">
        <v>7760</v>
      </c>
      <c r="H1539" s="17">
        <v>11240</v>
      </c>
      <c r="I1539" s="6">
        <f>Tabela1[[#This Row],[Valor total]]-Tabela1[[#This Row],[Valor custo]]</f>
        <v>3480</v>
      </c>
      <c r="J1539" s="7">
        <f>Tabela1[[#This Row],[MARGEM BRUTA]]/Tabela1[[#This Row],[Valor total]]</f>
        <v>0.30960854092526691</v>
      </c>
      <c r="K1539" s="1" t="str">
        <f>VLOOKUP(Tabela1[[#This Row],[Cliente]],'BASE DE CLIENTES'!A:D,4,0)</f>
        <v>EMPRESA COM MAQUINA</v>
      </c>
      <c r="L1539" s="1" t="str">
        <f>VLOOKUP(Tabela1[[#This Row],[Cliente]],'BASE DE CLIENTES'!A:E,5,0)</f>
        <v>Goiânia</v>
      </c>
    </row>
    <row r="1540" spans="2:12" x14ac:dyDescent="0.3">
      <c r="B1540" s="1" t="s">
        <v>195</v>
      </c>
      <c r="C1540" s="4" t="str">
        <f>VLOOKUP(Tabela1[[#This Row],[Cliente]],'BASE DE CLIENTES'!A:E,2,0)</f>
        <v>Goiânia</v>
      </c>
      <c r="D1540" s="1" t="str">
        <f>VLOOKUP(Tabela1[[#This Row],[Cliente]],'BASE DE CLIENTES'!A:C,3,0)</f>
        <v>GO</v>
      </c>
      <c r="E1540" s="4" t="str">
        <f>CONCATENATE(Tabela1[[#This Row],[CIDADE]],",",Tabela1[[#This Row],[UF]])</f>
        <v>Goiânia,GO</v>
      </c>
      <c r="F1540" s="2">
        <v>45831</v>
      </c>
      <c r="G1540" s="17">
        <v>8610</v>
      </c>
      <c r="H1540" s="17">
        <v>12600</v>
      </c>
      <c r="I1540" s="6">
        <f>Tabela1[[#This Row],[Valor total]]-Tabela1[[#This Row],[Valor custo]]</f>
        <v>3990</v>
      </c>
      <c r="J1540" s="7">
        <f>Tabela1[[#This Row],[MARGEM BRUTA]]/Tabela1[[#This Row],[Valor total]]</f>
        <v>0.31666666666666665</v>
      </c>
      <c r="K1540" s="1" t="str">
        <f>VLOOKUP(Tabela1[[#This Row],[Cliente]],'BASE DE CLIENTES'!A:D,4,0)</f>
        <v>EMPRESA COM MAQUINA</v>
      </c>
      <c r="L1540" s="1" t="str">
        <f>VLOOKUP(Tabela1[[#This Row],[Cliente]],'BASE DE CLIENTES'!A:E,5,0)</f>
        <v>Goiânia</v>
      </c>
    </row>
    <row r="1541" spans="2:12" x14ac:dyDescent="0.3">
      <c r="B1541" s="1" t="s">
        <v>165</v>
      </c>
      <c r="C1541" s="4" t="str">
        <f>VLOOKUP(Tabela1[[#This Row],[Cliente]],'BASE DE CLIENTES'!A:E,2,0)</f>
        <v>Brasília</v>
      </c>
      <c r="D1541" s="1" t="str">
        <f>VLOOKUP(Tabela1[[#This Row],[Cliente]],'BASE DE CLIENTES'!A:C,3,0)</f>
        <v>DF</v>
      </c>
      <c r="E1541" s="4" t="str">
        <f>CONCATENATE(Tabela1[[#This Row],[CIDADE]],",",Tabela1[[#This Row],[UF]])</f>
        <v>Brasília,DF</v>
      </c>
      <c r="F1541" s="2">
        <v>45868</v>
      </c>
      <c r="G1541" s="17">
        <v>1652.39</v>
      </c>
      <c r="H1541" s="17">
        <v>2750</v>
      </c>
      <c r="I1541" s="6">
        <f>Tabela1[[#This Row],[Valor total]]-Tabela1[[#This Row],[Valor custo]]</f>
        <v>1097.6099999999999</v>
      </c>
      <c r="J1541" s="7">
        <f>Tabela1[[#This Row],[MARGEM BRUTA]]/Tabela1[[#This Row],[Valor total]]</f>
        <v>0.39913090909090904</v>
      </c>
      <c r="K1541" s="1" t="str">
        <f>VLOOKUP(Tabela1[[#This Row],[Cliente]],'BASE DE CLIENTES'!A:D,4,0)</f>
        <v>EMPRESA SEM MAQUINA</v>
      </c>
      <c r="L1541" s="1" t="str">
        <f>VLOOKUP(Tabela1[[#This Row],[Cliente]],'BASE DE CLIENTES'!A:E,5,0)</f>
        <v>SETOR HABITACIONAL VICENTE PIRES</v>
      </c>
    </row>
    <row r="1542" spans="2:12" x14ac:dyDescent="0.3">
      <c r="B1542" s="1" t="s">
        <v>230</v>
      </c>
      <c r="C1542" s="4" t="str">
        <f>VLOOKUP(Tabela1[[#This Row],[Cliente]],'BASE DE CLIENTES'!A:E,2,0)</f>
        <v>Brasília</v>
      </c>
      <c r="D1542" s="1" t="str">
        <f>VLOOKUP(Tabela1[[#This Row],[Cliente]],'BASE DE CLIENTES'!A:C,3,0)</f>
        <v>DF</v>
      </c>
      <c r="E1542" s="4" t="str">
        <f>CONCATENATE(Tabela1[[#This Row],[CIDADE]],",",Tabela1[[#This Row],[UF]])</f>
        <v>Brasília,DF</v>
      </c>
      <c r="F1542" s="2">
        <v>45868</v>
      </c>
      <c r="G1542" s="17">
        <v>26.61</v>
      </c>
      <c r="H1542" s="17">
        <v>96.5</v>
      </c>
      <c r="I1542" s="6">
        <f>Tabela1[[#This Row],[Valor total]]-Tabela1[[#This Row],[Valor custo]]</f>
        <v>69.89</v>
      </c>
      <c r="J1542" s="7">
        <f>Tabela1[[#This Row],[MARGEM BRUTA]]/Tabela1[[#This Row],[Valor total]]</f>
        <v>0.72424870466321245</v>
      </c>
      <c r="K1542" s="1" t="str">
        <f>VLOOKUP(Tabela1[[#This Row],[Cliente]],'BASE DE CLIENTES'!A:D,4,0)</f>
        <v>SERRALHEIRO</v>
      </c>
      <c r="L1542" s="1" t="str">
        <f>VLOOKUP(Tabela1[[#This Row],[Cliente]],'BASE DE CLIENTES'!A:E,5,0)</f>
        <v>SETOR HABITACIONAL SAMAMBAIA (VICENTE PIRES)</v>
      </c>
    </row>
    <row r="1543" spans="2:12" x14ac:dyDescent="0.3">
      <c r="B1543" s="1" t="s">
        <v>220</v>
      </c>
      <c r="C1543" s="4" t="str">
        <f>VLOOKUP(Tabela1[[#This Row],[Cliente]],'BASE DE CLIENTES'!A:E,2,0)</f>
        <v>Goiânia</v>
      </c>
      <c r="D1543" s="1" t="str">
        <f>VLOOKUP(Tabela1[[#This Row],[Cliente]],'BASE DE CLIENTES'!A:C,3,0)</f>
        <v>GO</v>
      </c>
      <c r="E1543" s="4" t="str">
        <f>CONCATENATE(Tabela1[[#This Row],[CIDADE]],",",Tabela1[[#This Row],[UF]])</f>
        <v>Goiânia,GO</v>
      </c>
      <c r="F1543" s="2">
        <v>45831</v>
      </c>
      <c r="G1543" s="17">
        <v>584</v>
      </c>
      <c r="H1543" s="17">
        <v>869</v>
      </c>
      <c r="I1543" s="6">
        <f>Tabela1[[#This Row],[Valor total]]-Tabela1[[#This Row],[Valor custo]]</f>
        <v>285</v>
      </c>
      <c r="J1543" s="7">
        <f>Tabela1[[#This Row],[MARGEM BRUTA]]/Tabela1[[#This Row],[Valor total]]</f>
        <v>0.32796317606444186</v>
      </c>
      <c r="K1543" s="1" t="str">
        <f>VLOOKUP(Tabela1[[#This Row],[Cliente]],'BASE DE CLIENTES'!A:D,4,0)</f>
        <v>EMPRESA COM MAQUINA</v>
      </c>
      <c r="L1543" s="1" t="str">
        <f>VLOOKUP(Tabela1[[#This Row],[Cliente]],'BASE DE CLIENTES'!A:E,5,0)</f>
        <v>Goiânia</v>
      </c>
    </row>
    <row r="1544" spans="2:12" x14ac:dyDescent="0.3">
      <c r="B1544" s="1" t="s">
        <v>231</v>
      </c>
      <c r="C1544" s="4" t="str">
        <f>VLOOKUP(Tabela1[[#This Row],[Cliente]],'BASE DE CLIENTES'!A:E,2,0)</f>
        <v>Brasília</v>
      </c>
      <c r="D1544" s="1" t="str">
        <f>VLOOKUP(Tabela1[[#This Row],[Cliente]],'BASE DE CLIENTES'!A:C,3,0)</f>
        <v>DF</v>
      </c>
      <c r="E1544" s="4" t="str">
        <f>CONCATENATE(Tabela1[[#This Row],[CIDADE]],",",Tabela1[[#This Row],[UF]])</f>
        <v>Brasília,DF</v>
      </c>
      <c r="F1544" s="2">
        <v>45880</v>
      </c>
      <c r="G1544" s="17">
        <v>293.13</v>
      </c>
      <c r="H1544" s="17">
        <v>430</v>
      </c>
      <c r="I1544" s="6">
        <f>Tabela1[[#This Row],[Valor total]]-Tabela1[[#This Row],[Valor custo]]</f>
        <v>136.87</v>
      </c>
      <c r="J1544" s="7">
        <f>Tabela1[[#This Row],[MARGEM BRUTA]]/Tabela1[[#This Row],[Valor total]]</f>
        <v>0.31830232558139537</v>
      </c>
      <c r="K1544" s="1" t="str">
        <f>VLOOKUP(Tabela1[[#This Row],[Cliente]],'BASE DE CLIENTES'!A:D,4,0)</f>
        <v>SEM CLASSIFICAÇÃO</v>
      </c>
      <c r="L1544" s="1" t="str">
        <f>VLOOKUP(Tabela1[[#This Row],[Cliente]],'BASE DE CLIENTES'!A:E,5,0)</f>
        <v>Setor Habitacional Vicente Pires</v>
      </c>
    </row>
    <row r="1545" spans="2:12" x14ac:dyDescent="0.3">
      <c r="B1545" s="1" t="s">
        <v>68</v>
      </c>
      <c r="C1545" s="4" t="str">
        <f>VLOOKUP(Tabela1[[#This Row],[Cliente]],'BASE DE CLIENTES'!A:E,2,0)</f>
        <v>Brasília</v>
      </c>
      <c r="D1545" s="1" t="str">
        <f>VLOOKUP(Tabela1[[#This Row],[Cliente]],'BASE DE CLIENTES'!A:C,3,0)</f>
        <v>DF</v>
      </c>
      <c r="E1545" s="4" t="str">
        <f>CONCATENATE(Tabela1[[#This Row],[CIDADE]],",",Tabela1[[#This Row],[UF]])</f>
        <v>Brasília,DF</v>
      </c>
      <c r="F1545" s="2">
        <v>45868</v>
      </c>
      <c r="G1545" s="17">
        <v>1064.3</v>
      </c>
      <c r="H1545" s="17">
        <v>1960</v>
      </c>
      <c r="I1545" s="6">
        <f>Tabela1[[#This Row],[Valor total]]-Tabela1[[#This Row],[Valor custo]]</f>
        <v>895.7</v>
      </c>
      <c r="J1545" s="7">
        <f>Tabela1[[#This Row],[MARGEM BRUTA]]/Tabela1[[#This Row],[Valor total]]</f>
        <v>0.45698979591836736</v>
      </c>
      <c r="K1545" s="1" t="str">
        <f>VLOOKUP(Tabela1[[#This Row],[Cliente]],'BASE DE CLIENTES'!A:D,4,0)</f>
        <v>EMPRESA COM MAQUINA</v>
      </c>
      <c r="L1545" s="1" t="str">
        <f>VLOOKUP(Tabela1[[#This Row],[Cliente]],'BASE DE CLIENTES'!A:E,5,0)</f>
        <v>SAMAMBAIA SUL (SAMAMBAIA)</v>
      </c>
    </row>
    <row r="1546" spans="2:12" x14ac:dyDescent="0.3">
      <c r="B1546" s="1" t="s">
        <v>199</v>
      </c>
      <c r="C1546" s="4" t="str">
        <f>VLOOKUP(Tabela1[[#This Row],[Cliente]],'BASE DE CLIENTES'!A:E,2,0)</f>
        <v>Goiânia</v>
      </c>
      <c r="D1546" s="1" t="str">
        <f>VLOOKUP(Tabela1[[#This Row],[Cliente]],'BASE DE CLIENTES'!A:C,3,0)</f>
        <v>GO</v>
      </c>
      <c r="E1546" s="4" t="str">
        <f>CONCATENATE(Tabela1[[#This Row],[CIDADE]],",",Tabela1[[#This Row],[UF]])</f>
        <v>Goiânia,GO</v>
      </c>
      <c r="F1546" s="2">
        <v>45826</v>
      </c>
      <c r="G1546" s="17">
        <v>3518.92</v>
      </c>
      <c r="H1546" s="17">
        <v>5500</v>
      </c>
      <c r="I1546" s="6">
        <f>Tabela1[[#This Row],[Valor total]]-Tabela1[[#This Row],[Valor custo]]</f>
        <v>1981.08</v>
      </c>
      <c r="J1546" s="7">
        <f>Tabela1[[#This Row],[MARGEM BRUTA]]/Tabela1[[#This Row],[Valor total]]</f>
        <v>0.36019636363636365</v>
      </c>
      <c r="K1546" s="1" t="str">
        <f>VLOOKUP(Tabela1[[#This Row],[Cliente]],'BASE DE CLIENTES'!A:D,4,0)</f>
        <v>EMPRESA COM MAQUINA</v>
      </c>
      <c r="L1546" s="1" t="str">
        <f>VLOOKUP(Tabela1[[#This Row],[Cliente]],'BASE DE CLIENTES'!A:E,5,0)</f>
        <v>Goiânia</v>
      </c>
    </row>
    <row r="1547" spans="2:12" x14ac:dyDescent="0.3">
      <c r="B1547" s="1" t="s">
        <v>106</v>
      </c>
      <c r="C1547" s="4" t="str">
        <f>VLOOKUP(Tabela1[[#This Row],[Cliente]],'BASE DE CLIENTES'!A:E,2,0)</f>
        <v>Brasília</v>
      </c>
      <c r="D1547" s="1" t="str">
        <f>VLOOKUP(Tabela1[[#This Row],[Cliente]],'BASE DE CLIENTES'!A:C,3,0)</f>
        <v>DF</v>
      </c>
      <c r="E1547" s="4" t="str">
        <f>CONCATENATE(Tabela1[[#This Row],[CIDADE]],",",Tabela1[[#This Row],[UF]])</f>
        <v>Brasília,DF</v>
      </c>
      <c r="F1547" s="2">
        <v>45867</v>
      </c>
      <c r="G1547" s="17">
        <v>432.79</v>
      </c>
      <c r="H1547" s="17">
        <v>0</v>
      </c>
      <c r="I1547" s="6">
        <f>Tabela1[[#This Row],[Valor total]]-Tabela1[[#This Row],[Valor custo]]</f>
        <v>-432.79</v>
      </c>
      <c r="J1547" s="7" t="e">
        <f>Tabela1[[#This Row],[MARGEM BRUTA]]/Tabela1[[#This Row],[Valor total]]</f>
        <v>#DIV/0!</v>
      </c>
      <c r="K1547" s="1" t="str">
        <f>VLOOKUP(Tabela1[[#This Row],[Cliente]],'BASE DE CLIENTES'!A:D,4,0)</f>
        <v>EMPRESA COM MAQUINA</v>
      </c>
      <c r="L1547" s="1" t="str">
        <f>VLOOKUP(Tabela1[[#This Row],[Cliente]],'BASE DE CLIENTES'!A:E,5,0)</f>
        <v>26 DE SETEMBRO</v>
      </c>
    </row>
    <row r="1548" spans="2:12" x14ac:dyDescent="0.3">
      <c r="B1548" s="1" t="s">
        <v>232</v>
      </c>
      <c r="C1548" s="4" t="str">
        <f>VLOOKUP(Tabela1[[#This Row],[Cliente]],'BASE DE CLIENTES'!A:E,2,0)</f>
        <v>Brasília</v>
      </c>
      <c r="D1548" s="1" t="str">
        <f>VLOOKUP(Tabela1[[#This Row],[Cliente]],'BASE DE CLIENTES'!A:C,3,0)</f>
        <v>DF</v>
      </c>
      <c r="E1548" s="4" t="str">
        <f>CONCATENATE(Tabela1[[#This Row],[CIDADE]],",",Tabela1[[#This Row],[UF]])</f>
        <v>Brasília,DF</v>
      </c>
      <c r="F1548" s="2">
        <v>45867</v>
      </c>
      <c r="G1548" s="17">
        <v>293.13</v>
      </c>
      <c r="H1548" s="17">
        <v>430</v>
      </c>
      <c r="I1548" s="6">
        <f>Tabela1[[#This Row],[Valor total]]-Tabela1[[#This Row],[Valor custo]]</f>
        <v>136.87</v>
      </c>
      <c r="J1548" s="7">
        <f>Tabela1[[#This Row],[MARGEM BRUTA]]/Tabela1[[#This Row],[Valor total]]</f>
        <v>0.31830232558139537</v>
      </c>
      <c r="K1548" s="1" t="str">
        <f>VLOOKUP(Tabela1[[#This Row],[Cliente]],'BASE DE CLIENTES'!A:D,4,0)</f>
        <v>CHAVEIRO</v>
      </c>
      <c r="L1548" s="1" t="str">
        <f>VLOOKUP(Tabela1[[#This Row],[Cliente]],'BASE DE CLIENTES'!A:E,5,0)</f>
        <v>Areal (Águas Claras)</v>
      </c>
    </row>
    <row r="1549" spans="2:12" x14ac:dyDescent="0.3">
      <c r="B1549" s="1" t="s">
        <v>85</v>
      </c>
      <c r="C1549" s="4" t="str">
        <f>VLOOKUP(Tabela1[[#This Row],[Cliente]],'BASE DE CLIENTES'!A:E,2,0)</f>
        <v>Brasília</v>
      </c>
      <c r="D1549" s="1" t="str">
        <f>VLOOKUP(Tabela1[[#This Row],[Cliente]],'BASE DE CLIENTES'!A:C,3,0)</f>
        <v>DF</v>
      </c>
      <c r="E1549" s="4" t="str">
        <f>CONCATENATE(Tabela1[[#This Row],[CIDADE]],",",Tabela1[[#This Row],[UF]])</f>
        <v>Brasília,DF</v>
      </c>
      <c r="F1549" s="2">
        <v>45867</v>
      </c>
      <c r="G1549" s="17">
        <v>519</v>
      </c>
      <c r="H1549" s="17">
        <v>795</v>
      </c>
      <c r="I1549" s="6">
        <f>Tabela1[[#This Row],[Valor total]]-Tabela1[[#This Row],[Valor custo]]</f>
        <v>276</v>
      </c>
      <c r="J1549" s="7">
        <f>Tabela1[[#This Row],[MARGEM BRUTA]]/Tabela1[[#This Row],[Valor total]]</f>
        <v>0.3471698113207547</v>
      </c>
      <c r="K1549" s="1" t="str">
        <f>VLOOKUP(Tabela1[[#This Row],[Cliente]],'BASE DE CLIENTES'!A:D,4,0)</f>
        <v>SERRALHEIRO</v>
      </c>
      <c r="L1549" s="1" t="str">
        <f>VLOOKUP(Tabela1[[#This Row],[Cliente]],'BASE DE CLIENTES'!A:E,5,0)</f>
        <v>SAMAMBAIA NORTE (SAMAMBAIA)</v>
      </c>
    </row>
    <row r="1550" spans="2:12" x14ac:dyDescent="0.3">
      <c r="B1550" s="1" t="s">
        <v>197</v>
      </c>
      <c r="C1550" s="4" t="str">
        <f>VLOOKUP(Tabela1[[#This Row],[Cliente]],'BASE DE CLIENTES'!A:E,2,0)</f>
        <v>Goiânia</v>
      </c>
      <c r="D1550" s="1" t="str">
        <f>VLOOKUP(Tabela1[[#This Row],[Cliente]],'BASE DE CLIENTES'!A:C,3,0)</f>
        <v>GO</v>
      </c>
      <c r="E1550" s="4" t="str">
        <f>CONCATENATE(Tabela1[[#This Row],[CIDADE]],",",Tabela1[[#This Row],[UF]])</f>
        <v>Goiânia,GO</v>
      </c>
      <c r="F1550" s="2">
        <v>45824</v>
      </c>
      <c r="G1550" s="17">
        <v>13515</v>
      </c>
      <c r="H1550" s="17">
        <v>19925</v>
      </c>
      <c r="I1550" s="6">
        <f>Tabela1[[#This Row],[Valor total]]-Tabela1[[#This Row],[Valor custo]]</f>
        <v>6410</v>
      </c>
      <c r="J1550" s="7">
        <f>Tabela1[[#This Row],[MARGEM BRUTA]]/Tabela1[[#This Row],[Valor total]]</f>
        <v>0.32170639899623588</v>
      </c>
      <c r="K1550" s="1" t="str">
        <f>VLOOKUP(Tabela1[[#This Row],[Cliente]],'BASE DE CLIENTES'!A:D,4,0)</f>
        <v>EMPRESA COM MAQUINA</v>
      </c>
      <c r="L1550" s="1" t="str">
        <f>VLOOKUP(Tabela1[[#This Row],[Cliente]],'BASE DE CLIENTES'!A:E,5,0)</f>
        <v>Goiânia</v>
      </c>
    </row>
    <row r="1551" spans="2:12" x14ac:dyDescent="0.3">
      <c r="B1551" s="1" t="s">
        <v>111</v>
      </c>
      <c r="C1551" s="4" t="str">
        <f>VLOOKUP(Tabela1[[#This Row],[Cliente]],'BASE DE CLIENTES'!A:E,2,0)</f>
        <v>Brasília</v>
      </c>
      <c r="D1551" s="1" t="str">
        <f>VLOOKUP(Tabela1[[#This Row],[Cliente]],'BASE DE CLIENTES'!A:C,3,0)</f>
        <v>DF</v>
      </c>
      <c r="E1551" s="4" t="str">
        <f>CONCATENATE(Tabela1[[#This Row],[CIDADE]],",",Tabela1[[#This Row],[UF]])</f>
        <v>Brasília,DF</v>
      </c>
      <c r="F1551" s="2">
        <v>45867</v>
      </c>
      <c r="G1551" s="17">
        <v>292.56</v>
      </c>
      <c r="H1551" s="17">
        <v>360</v>
      </c>
      <c r="I1551" s="6">
        <f>Tabela1[[#This Row],[Valor total]]-Tabela1[[#This Row],[Valor custo]]</f>
        <v>67.44</v>
      </c>
      <c r="J1551" s="7">
        <f>Tabela1[[#This Row],[MARGEM BRUTA]]/Tabela1[[#This Row],[Valor total]]</f>
        <v>0.18733333333333332</v>
      </c>
      <c r="K1551" s="1" t="str">
        <f>VLOOKUP(Tabela1[[#This Row],[Cliente]],'BASE DE CLIENTES'!A:D,4,0)</f>
        <v>EMPRESA SEM MAQUINA</v>
      </c>
      <c r="L1551" s="1" t="str">
        <f>VLOOKUP(Tabela1[[#This Row],[Cliente]],'BASE DE CLIENTES'!A:E,5,0)</f>
        <v>TAGUATINGA SUL (TAGUATINGA)</v>
      </c>
    </row>
    <row r="1552" spans="2:12" x14ac:dyDescent="0.3">
      <c r="B1552" s="1" t="s">
        <v>233</v>
      </c>
      <c r="C1552" s="4" t="str">
        <f>VLOOKUP(Tabela1[[#This Row],[Cliente]],'BASE DE CLIENTES'!A:E,2,0)</f>
        <v>Brasília</v>
      </c>
      <c r="D1552" s="1" t="str">
        <f>VLOOKUP(Tabela1[[#This Row],[Cliente]],'BASE DE CLIENTES'!A:C,3,0)</f>
        <v>DF</v>
      </c>
      <c r="E1552" s="4" t="str">
        <f>CONCATENATE(Tabela1[[#This Row],[CIDADE]],",",Tabela1[[#This Row],[UF]])</f>
        <v>Brasília,DF</v>
      </c>
      <c r="F1552" s="2">
        <v>45887</v>
      </c>
      <c r="G1552" s="17">
        <v>293.13</v>
      </c>
      <c r="H1552" s="17">
        <v>410</v>
      </c>
      <c r="I1552" s="6">
        <f>Tabela1[[#This Row],[Valor total]]-Tabela1[[#This Row],[Valor custo]]</f>
        <v>116.87</v>
      </c>
      <c r="J1552" s="7">
        <f>Tabela1[[#This Row],[MARGEM BRUTA]]/Tabela1[[#This Row],[Valor total]]</f>
        <v>0.28504878048780491</v>
      </c>
      <c r="K1552" s="1" t="str">
        <f>VLOOKUP(Tabela1[[#This Row],[Cliente]],'BASE DE CLIENTES'!A:D,4,0)</f>
        <v>SEM CLASSIFICAÇÃO</v>
      </c>
      <c r="L1552" s="1" t="str">
        <f>VLOOKUP(Tabela1[[#This Row],[Cliente]],'BASE DE CLIENTES'!A:E,5,0)</f>
        <v>Recanto das Emas</v>
      </c>
    </row>
    <row r="1553" spans="2:12" x14ac:dyDescent="0.3">
      <c r="B1553" s="1" t="s">
        <v>88</v>
      </c>
      <c r="C1553" s="4" t="str">
        <f>VLOOKUP(Tabela1[[#This Row],[Cliente]],'BASE DE CLIENTES'!A:E,2,0)</f>
        <v>Brasília</v>
      </c>
      <c r="D1553" s="1" t="str">
        <f>VLOOKUP(Tabela1[[#This Row],[Cliente]],'BASE DE CLIENTES'!A:C,3,0)</f>
        <v>DF</v>
      </c>
      <c r="E1553" s="4" t="str">
        <f>CONCATENATE(Tabela1[[#This Row],[CIDADE]],",",Tabela1[[#This Row],[UF]])</f>
        <v>Brasília,DF</v>
      </c>
      <c r="F1553" s="2">
        <v>45867</v>
      </c>
      <c r="G1553" s="17">
        <v>382.3</v>
      </c>
      <c r="H1553" s="17">
        <v>590</v>
      </c>
      <c r="I1553" s="6">
        <f>Tabela1[[#This Row],[Valor total]]-Tabela1[[#This Row],[Valor custo]]</f>
        <v>207.7</v>
      </c>
      <c r="J1553" s="7">
        <f>Tabela1[[#This Row],[MARGEM BRUTA]]/Tabela1[[#This Row],[Valor total]]</f>
        <v>0.35203389830508475</v>
      </c>
      <c r="K1553" s="1" t="str">
        <f>VLOOKUP(Tabela1[[#This Row],[Cliente]],'BASE DE CLIENTES'!A:D,4,0)</f>
        <v>SERRALHEIRO</v>
      </c>
      <c r="L1553" s="1" t="str">
        <f>VLOOKUP(Tabela1[[#This Row],[Cliente]],'BASE DE CLIENTES'!A:E,5,0)</f>
        <v>RECANTO DAS EMAS</v>
      </c>
    </row>
    <row r="1554" spans="2:12" x14ac:dyDescent="0.3">
      <c r="B1554" s="1" t="s">
        <v>230</v>
      </c>
      <c r="C1554" s="4" t="str">
        <f>VLOOKUP(Tabela1[[#This Row],[Cliente]],'BASE DE CLIENTES'!A:E,2,0)</f>
        <v>Brasília</v>
      </c>
      <c r="D1554" s="1" t="str">
        <f>VLOOKUP(Tabela1[[#This Row],[Cliente]],'BASE DE CLIENTES'!A:C,3,0)</f>
        <v>DF</v>
      </c>
      <c r="E1554" s="4" t="str">
        <f>CONCATENATE(Tabela1[[#This Row],[CIDADE]],",",Tabela1[[#This Row],[UF]])</f>
        <v>Brasília,DF</v>
      </c>
      <c r="F1554" s="2">
        <v>45867</v>
      </c>
      <c r="G1554" s="17">
        <v>382.3</v>
      </c>
      <c r="H1554" s="17">
        <v>640</v>
      </c>
      <c r="I1554" s="6">
        <f>Tabela1[[#This Row],[Valor total]]-Tabela1[[#This Row],[Valor custo]]</f>
        <v>257.7</v>
      </c>
      <c r="J1554" s="7">
        <f>Tabela1[[#This Row],[MARGEM BRUTA]]/Tabela1[[#This Row],[Valor total]]</f>
        <v>0.40265624999999999</v>
      </c>
      <c r="K1554" s="1" t="str">
        <f>VLOOKUP(Tabela1[[#This Row],[Cliente]],'BASE DE CLIENTES'!A:D,4,0)</f>
        <v>SERRALHEIRO</v>
      </c>
      <c r="L1554" s="1" t="str">
        <f>VLOOKUP(Tabela1[[#This Row],[Cliente]],'BASE DE CLIENTES'!A:E,5,0)</f>
        <v>SETOR HABITACIONAL SAMAMBAIA (VICENTE PIRES)</v>
      </c>
    </row>
    <row r="1555" spans="2:12" x14ac:dyDescent="0.3">
      <c r="B1555" s="1" t="s">
        <v>111</v>
      </c>
      <c r="C1555" s="4" t="str">
        <f>VLOOKUP(Tabela1[[#This Row],[Cliente]],'BASE DE CLIENTES'!A:E,2,0)</f>
        <v>Brasília</v>
      </c>
      <c r="D1555" s="1" t="str">
        <f>VLOOKUP(Tabela1[[#This Row],[Cliente]],'BASE DE CLIENTES'!A:C,3,0)</f>
        <v>DF</v>
      </c>
      <c r="E1555" s="4" t="str">
        <f>CONCATENATE(Tabela1[[#This Row],[CIDADE]],",",Tabela1[[#This Row],[UF]])</f>
        <v>Brasília,DF</v>
      </c>
      <c r="F1555" s="2">
        <v>45867</v>
      </c>
      <c r="G1555" s="17">
        <v>9962.89</v>
      </c>
      <c r="H1555" s="17">
        <v>16929</v>
      </c>
      <c r="I1555" s="6">
        <f>Tabela1[[#This Row],[Valor total]]-Tabela1[[#This Row],[Valor custo]]</f>
        <v>6966.1100000000006</v>
      </c>
      <c r="J1555" s="7">
        <f>Tabela1[[#This Row],[MARGEM BRUTA]]/Tabela1[[#This Row],[Valor total]]</f>
        <v>0.41148975131431276</v>
      </c>
      <c r="K1555" s="1" t="str">
        <f>VLOOKUP(Tabela1[[#This Row],[Cliente]],'BASE DE CLIENTES'!A:D,4,0)</f>
        <v>EMPRESA SEM MAQUINA</v>
      </c>
      <c r="L1555" s="1" t="str">
        <f>VLOOKUP(Tabela1[[#This Row],[Cliente]],'BASE DE CLIENTES'!A:E,5,0)</f>
        <v>TAGUATINGA SUL (TAGUATINGA)</v>
      </c>
    </row>
    <row r="1556" spans="2:12" x14ac:dyDescent="0.3">
      <c r="B1556" s="1" t="s">
        <v>206</v>
      </c>
      <c r="C1556" s="4" t="str">
        <f>VLOOKUP(Tabela1[[#This Row],[Cliente]],'BASE DE CLIENTES'!A:E,2,0)</f>
        <v>Goiânia</v>
      </c>
      <c r="D1556" s="1" t="str">
        <f>VLOOKUP(Tabela1[[#This Row],[Cliente]],'BASE DE CLIENTES'!A:C,3,0)</f>
        <v>GO</v>
      </c>
      <c r="E1556" s="4" t="str">
        <f>CONCATENATE(Tabela1[[#This Row],[CIDADE]],",",Tabela1[[#This Row],[UF]])</f>
        <v>Goiânia,GO</v>
      </c>
      <c r="F1556" s="2">
        <v>45824</v>
      </c>
      <c r="G1556" s="17">
        <v>10231.6</v>
      </c>
      <c r="H1556" s="17">
        <v>18470</v>
      </c>
      <c r="I1556" s="6">
        <f>Tabela1[[#This Row],[Valor total]]-Tabela1[[#This Row],[Valor custo]]</f>
        <v>8238.4</v>
      </c>
      <c r="J1556" s="7">
        <f>Tabela1[[#This Row],[MARGEM BRUTA]]/Tabela1[[#This Row],[Valor total]]</f>
        <v>0.446042230644288</v>
      </c>
      <c r="K1556" s="1" t="str">
        <f>VLOOKUP(Tabela1[[#This Row],[Cliente]],'BASE DE CLIENTES'!A:D,4,0)</f>
        <v>EMPRESA COM MAQUINA</v>
      </c>
      <c r="L1556" s="1" t="str">
        <f>VLOOKUP(Tabela1[[#This Row],[Cliente]],'BASE DE CLIENTES'!A:E,5,0)</f>
        <v>Goiânia</v>
      </c>
    </row>
    <row r="1557" spans="2:12" x14ac:dyDescent="0.3">
      <c r="B1557" s="1" t="s">
        <v>199</v>
      </c>
      <c r="C1557" s="4" t="str">
        <f>VLOOKUP(Tabela1[[#This Row],[Cliente]],'BASE DE CLIENTES'!A:E,2,0)</f>
        <v>Goiânia</v>
      </c>
      <c r="D1557" s="1" t="str">
        <f>VLOOKUP(Tabela1[[#This Row],[Cliente]],'BASE DE CLIENTES'!A:C,3,0)</f>
        <v>GO</v>
      </c>
      <c r="E1557" s="4" t="str">
        <f>CONCATENATE(Tabela1[[#This Row],[CIDADE]],",",Tabela1[[#This Row],[UF]])</f>
        <v>Goiânia,GO</v>
      </c>
      <c r="F1557" s="2">
        <v>45824</v>
      </c>
      <c r="G1557" s="17">
        <v>3706</v>
      </c>
      <c r="H1557" s="17">
        <v>5120</v>
      </c>
      <c r="I1557" s="6">
        <f>Tabela1[[#This Row],[Valor total]]-Tabela1[[#This Row],[Valor custo]]</f>
        <v>1414</v>
      </c>
      <c r="J1557" s="7">
        <f>Tabela1[[#This Row],[MARGEM BRUTA]]/Tabela1[[#This Row],[Valor total]]</f>
        <v>0.27617187500000001</v>
      </c>
      <c r="K1557" s="1" t="str">
        <f>VLOOKUP(Tabela1[[#This Row],[Cliente]],'BASE DE CLIENTES'!A:D,4,0)</f>
        <v>EMPRESA COM MAQUINA</v>
      </c>
      <c r="L1557" s="1" t="str">
        <f>VLOOKUP(Tabela1[[#This Row],[Cliente]],'BASE DE CLIENTES'!A:E,5,0)</f>
        <v>Goiânia</v>
      </c>
    </row>
    <row r="1558" spans="2:12" x14ac:dyDescent="0.3">
      <c r="B1558" s="1" t="s">
        <v>206</v>
      </c>
      <c r="C1558" s="4" t="str">
        <f>VLOOKUP(Tabela1[[#This Row],[Cliente]],'BASE DE CLIENTES'!A:E,2,0)</f>
        <v>Goiânia</v>
      </c>
      <c r="D1558" s="1" t="str">
        <f>VLOOKUP(Tabela1[[#This Row],[Cliente]],'BASE DE CLIENTES'!A:C,3,0)</f>
        <v>GO</v>
      </c>
      <c r="E1558" s="4" t="str">
        <f>CONCATENATE(Tabela1[[#This Row],[CIDADE]],",",Tabela1[[#This Row],[UF]])</f>
        <v>Goiânia,GO</v>
      </c>
      <c r="F1558" s="2">
        <v>45817</v>
      </c>
      <c r="G1558" s="17">
        <v>11680</v>
      </c>
      <c r="H1558" s="17">
        <v>15800</v>
      </c>
      <c r="I1558" s="6">
        <f>Tabela1[[#This Row],[Valor total]]-Tabela1[[#This Row],[Valor custo]]</f>
        <v>4120</v>
      </c>
      <c r="J1558" s="7">
        <f>Tabela1[[#This Row],[MARGEM BRUTA]]/Tabela1[[#This Row],[Valor total]]</f>
        <v>0.26075949367088608</v>
      </c>
      <c r="K1558" s="1" t="str">
        <f>VLOOKUP(Tabela1[[#This Row],[Cliente]],'BASE DE CLIENTES'!A:D,4,0)</f>
        <v>EMPRESA COM MAQUINA</v>
      </c>
      <c r="L1558" s="1" t="str">
        <f>VLOOKUP(Tabela1[[#This Row],[Cliente]],'BASE DE CLIENTES'!A:E,5,0)</f>
        <v>Goiânia</v>
      </c>
    </row>
    <row r="1559" spans="2:12" x14ac:dyDescent="0.3">
      <c r="B1559" s="1" t="s">
        <v>78</v>
      </c>
      <c r="C1559" s="4" t="str">
        <f>VLOOKUP(Tabela1[[#This Row],[Cliente]],'BASE DE CLIENTES'!A:E,2,0)</f>
        <v>Brasília</v>
      </c>
      <c r="D1559" s="1" t="str">
        <f>VLOOKUP(Tabela1[[#This Row],[Cliente]],'BASE DE CLIENTES'!A:C,3,0)</f>
        <v>DF</v>
      </c>
      <c r="E1559" s="4" t="str">
        <f>CONCATENATE(Tabela1[[#This Row],[CIDADE]],",",Tabela1[[#This Row],[UF]])</f>
        <v>Brasília,DF</v>
      </c>
      <c r="F1559" s="2">
        <v>45867</v>
      </c>
      <c r="G1559" s="17">
        <v>406.68</v>
      </c>
      <c r="H1559" s="17">
        <v>678</v>
      </c>
      <c r="I1559" s="6">
        <f>Tabela1[[#This Row],[Valor total]]-Tabela1[[#This Row],[Valor custo]]</f>
        <v>271.32</v>
      </c>
      <c r="J1559" s="7">
        <f>Tabela1[[#This Row],[MARGEM BRUTA]]/Tabela1[[#This Row],[Valor total]]</f>
        <v>0.40017699115044247</v>
      </c>
      <c r="K1559" s="1" t="str">
        <f>VLOOKUP(Tabela1[[#This Row],[Cliente]],'BASE DE CLIENTES'!A:D,4,0)</f>
        <v>SERRALHEIRO</v>
      </c>
      <c r="L1559" s="1" t="str">
        <f>VLOOKUP(Tabela1[[#This Row],[Cliente]],'BASE DE CLIENTES'!A:E,5,0)</f>
        <v>Vila do Boa (São Sebastião)</v>
      </c>
    </row>
    <row r="1560" spans="2:12" x14ac:dyDescent="0.3">
      <c r="B1560" s="1" t="s">
        <v>106</v>
      </c>
      <c r="C1560" s="4" t="str">
        <f>VLOOKUP(Tabela1[[#This Row],[Cliente]],'BASE DE CLIENTES'!A:E,2,0)</f>
        <v>Brasília</v>
      </c>
      <c r="D1560" s="1" t="str">
        <f>VLOOKUP(Tabela1[[#This Row],[Cliente]],'BASE DE CLIENTES'!A:C,3,0)</f>
        <v>DF</v>
      </c>
      <c r="E1560" s="4" t="str">
        <f>CONCATENATE(Tabela1[[#This Row],[CIDADE]],",",Tabela1[[#This Row],[UF]])</f>
        <v>Brasília,DF</v>
      </c>
      <c r="F1560" s="2">
        <v>45866</v>
      </c>
      <c r="G1560" s="17">
        <v>455</v>
      </c>
      <c r="H1560" s="17">
        <v>750</v>
      </c>
      <c r="I1560" s="6">
        <f>Tabela1[[#This Row],[Valor total]]-Tabela1[[#This Row],[Valor custo]]</f>
        <v>295</v>
      </c>
      <c r="J1560" s="7">
        <f>Tabela1[[#This Row],[MARGEM BRUTA]]/Tabela1[[#This Row],[Valor total]]</f>
        <v>0.39333333333333331</v>
      </c>
      <c r="K1560" s="1" t="str">
        <f>VLOOKUP(Tabela1[[#This Row],[Cliente]],'BASE DE CLIENTES'!A:D,4,0)</f>
        <v>EMPRESA COM MAQUINA</v>
      </c>
      <c r="L1560" s="1" t="str">
        <f>VLOOKUP(Tabela1[[#This Row],[Cliente]],'BASE DE CLIENTES'!A:E,5,0)</f>
        <v>26 DE SETEMBRO</v>
      </c>
    </row>
    <row r="1561" spans="2:12" x14ac:dyDescent="0.3">
      <c r="B1561" s="1" t="s">
        <v>55</v>
      </c>
      <c r="C1561" s="4" t="str">
        <f>VLOOKUP(Tabela1[[#This Row],[Cliente]],'BASE DE CLIENTES'!A:E,2,0)</f>
        <v>Brasília</v>
      </c>
      <c r="D1561" s="1" t="str">
        <f>VLOOKUP(Tabela1[[#This Row],[Cliente]],'BASE DE CLIENTES'!A:C,3,0)</f>
        <v>DF</v>
      </c>
      <c r="E1561" s="4" t="str">
        <f>CONCATENATE(Tabela1[[#This Row],[CIDADE]],",",Tabela1[[#This Row],[UF]])</f>
        <v>Brasília,DF</v>
      </c>
      <c r="F1561" s="2">
        <v>45866</v>
      </c>
      <c r="G1561" s="17">
        <v>2178.1999999999998</v>
      </c>
      <c r="H1561" s="17">
        <v>3830</v>
      </c>
      <c r="I1561" s="6">
        <f>Tabela1[[#This Row],[Valor total]]-Tabela1[[#This Row],[Valor custo]]</f>
        <v>1651.8000000000002</v>
      </c>
      <c r="J1561" s="7">
        <f>Tabela1[[#This Row],[MARGEM BRUTA]]/Tabela1[[#This Row],[Valor total]]</f>
        <v>0.43127937336814626</v>
      </c>
      <c r="K1561" s="1" t="str">
        <f>VLOOKUP(Tabela1[[#This Row],[Cliente]],'BASE DE CLIENTES'!A:D,4,0)</f>
        <v>EMPRESA SEM MAQUINA</v>
      </c>
      <c r="L1561" s="1" t="str">
        <f>VLOOKUP(Tabela1[[#This Row],[Cliente]],'BASE DE CLIENTES'!A:E,5,0)</f>
        <v>RECANTO DAS EMAS</v>
      </c>
    </row>
    <row r="1562" spans="2:12" x14ac:dyDescent="0.3">
      <c r="B1562" s="1" t="s">
        <v>76</v>
      </c>
      <c r="C1562" s="4" t="str">
        <f>VLOOKUP(Tabela1[[#This Row],[Cliente]],'BASE DE CLIENTES'!A:E,2,0)</f>
        <v>Brasília</v>
      </c>
      <c r="D1562" s="1" t="str">
        <f>VLOOKUP(Tabela1[[#This Row],[Cliente]],'BASE DE CLIENTES'!A:C,3,0)</f>
        <v>DF</v>
      </c>
      <c r="E1562" s="4" t="str">
        <f>CONCATENATE(Tabela1[[#This Row],[CIDADE]],",",Tabela1[[#This Row],[UF]])</f>
        <v>Brasília,DF</v>
      </c>
      <c r="F1562" s="2">
        <v>45866</v>
      </c>
      <c r="G1562" s="17">
        <v>613.70000000000005</v>
      </c>
      <c r="H1562" s="17">
        <v>0</v>
      </c>
      <c r="I1562" s="6">
        <f>Tabela1[[#This Row],[Valor total]]-Tabela1[[#This Row],[Valor custo]]</f>
        <v>-613.70000000000005</v>
      </c>
      <c r="J1562" s="7" t="e">
        <f>Tabela1[[#This Row],[MARGEM BRUTA]]/Tabela1[[#This Row],[Valor total]]</f>
        <v>#DIV/0!</v>
      </c>
      <c r="K1562" s="1" t="str">
        <f>VLOOKUP(Tabela1[[#This Row],[Cliente]],'BASE DE CLIENTES'!A:D,4,0)</f>
        <v>EMPRESA COM MAQUINA</v>
      </c>
      <c r="L1562" s="1" t="str">
        <f>VLOOKUP(Tabela1[[#This Row],[Cliente]],'BASE DE CLIENTES'!A:E,5,0)</f>
        <v>Setor Placa da Mercedes (Núcleo Bandeirante)</v>
      </c>
    </row>
    <row r="1563" spans="2:12" x14ac:dyDescent="0.3">
      <c r="B1563" s="1" t="s">
        <v>96</v>
      </c>
      <c r="C1563" s="4" t="str">
        <f>VLOOKUP(Tabela1[[#This Row],[Cliente]],'BASE DE CLIENTES'!A:E,2,0)</f>
        <v>Brasília</v>
      </c>
      <c r="D1563" s="1" t="str">
        <f>VLOOKUP(Tabela1[[#This Row],[Cliente]],'BASE DE CLIENTES'!A:C,3,0)</f>
        <v>DF</v>
      </c>
      <c r="E1563" s="4" t="str">
        <f>CONCATENATE(Tabela1[[#This Row],[CIDADE]],",",Tabela1[[#This Row],[UF]])</f>
        <v>Brasília,DF</v>
      </c>
      <c r="F1563" s="2">
        <v>45866</v>
      </c>
      <c r="G1563" s="17">
        <v>289</v>
      </c>
      <c r="H1563" s="17">
        <v>565</v>
      </c>
      <c r="I1563" s="6">
        <f>Tabela1[[#This Row],[Valor total]]-Tabela1[[#This Row],[Valor custo]]</f>
        <v>276</v>
      </c>
      <c r="J1563" s="7">
        <f>Tabela1[[#This Row],[MARGEM BRUTA]]/Tabela1[[#This Row],[Valor total]]</f>
        <v>0.48849557522123893</v>
      </c>
      <c r="K1563" s="1" t="str">
        <f>VLOOKUP(Tabela1[[#This Row],[Cliente]],'BASE DE CLIENTES'!A:D,4,0)</f>
        <v>EMPRESA SEM MAQUINA</v>
      </c>
      <c r="L1563" s="1" t="str">
        <f>VLOOKUP(Tabela1[[#This Row],[Cliente]],'BASE DE CLIENTES'!A:E,5,0)</f>
        <v>CEILANDIA NORTE (CEILANDIA)</v>
      </c>
    </row>
    <row r="1564" spans="2:12" x14ac:dyDescent="0.3">
      <c r="B1564" s="1" t="s">
        <v>38</v>
      </c>
      <c r="C1564" s="4" t="str">
        <f>VLOOKUP(Tabela1[[#This Row],[Cliente]],'BASE DE CLIENTES'!A:E,2,0)</f>
        <v>Brasília</v>
      </c>
      <c r="D1564" s="1" t="str">
        <f>VLOOKUP(Tabela1[[#This Row],[Cliente]],'BASE DE CLIENTES'!A:C,3,0)</f>
        <v>DF</v>
      </c>
      <c r="E1564" s="4" t="str">
        <f>CONCATENATE(Tabela1[[#This Row],[CIDADE]],",",Tabela1[[#This Row],[UF]])</f>
        <v>Brasília,DF</v>
      </c>
      <c r="F1564" s="2">
        <v>45866</v>
      </c>
      <c r="G1564" s="17">
        <v>245.48</v>
      </c>
      <c r="H1564" s="17">
        <v>340</v>
      </c>
      <c r="I1564" s="6">
        <f>Tabela1[[#This Row],[Valor total]]-Tabela1[[#This Row],[Valor custo]]</f>
        <v>94.52000000000001</v>
      </c>
      <c r="J1564" s="7">
        <f>Tabela1[[#This Row],[MARGEM BRUTA]]/Tabela1[[#This Row],[Valor total]]</f>
        <v>0.27800000000000002</v>
      </c>
      <c r="K1564" s="1" t="str">
        <f>VLOOKUP(Tabela1[[#This Row],[Cliente]],'BASE DE CLIENTES'!A:D,4,0)</f>
        <v>EMPRESA SEM MAQUINA</v>
      </c>
      <c r="L1564" s="1" t="str">
        <f>VLOOKUP(Tabela1[[#This Row],[Cliente]],'BASE DE CLIENTES'!A:E,5,0)</f>
        <v>PONTE ALTA NORTE (GAMA)</v>
      </c>
    </row>
    <row r="1565" spans="2:12" x14ac:dyDescent="0.3">
      <c r="B1565" s="1" t="s">
        <v>38</v>
      </c>
      <c r="C1565" s="4" t="str">
        <f>VLOOKUP(Tabela1[[#This Row],[Cliente]],'BASE DE CLIENTES'!A:E,2,0)</f>
        <v>Brasília</v>
      </c>
      <c r="D1565" s="1" t="str">
        <f>VLOOKUP(Tabela1[[#This Row],[Cliente]],'BASE DE CLIENTES'!A:C,3,0)</f>
        <v>DF</v>
      </c>
      <c r="E1565" s="4" t="str">
        <f>CONCATENATE(Tabela1[[#This Row],[CIDADE]],",",Tabela1[[#This Row],[UF]])</f>
        <v>Brasília,DF</v>
      </c>
      <c r="F1565" s="2">
        <v>45866</v>
      </c>
      <c r="G1565" s="17">
        <v>368.22</v>
      </c>
      <c r="H1565" s="17">
        <v>0</v>
      </c>
      <c r="I1565" s="6">
        <f>Tabela1[[#This Row],[Valor total]]-Tabela1[[#This Row],[Valor custo]]</f>
        <v>-368.22</v>
      </c>
      <c r="J1565" s="7" t="e">
        <f>Tabela1[[#This Row],[MARGEM BRUTA]]/Tabela1[[#This Row],[Valor total]]</f>
        <v>#DIV/0!</v>
      </c>
      <c r="K1565" s="1" t="str">
        <f>VLOOKUP(Tabela1[[#This Row],[Cliente]],'BASE DE CLIENTES'!A:D,4,0)</f>
        <v>EMPRESA SEM MAQUINA</v>
      </c>
      <c r="L1565" s="1" t="str">
        <f>VLOOKUP(Tabela1[[#This Row],[Cliente]],'BASE DE CLIENTES'!A:E,5,0)</f>
        <v>PONTE ALTA NORTE (GAMA)</v>
      </c>
    </row>
    <row r="1566" spans="2:12" x14ac:dyDescent="0.3">
      <c r="B1566" s="1" t="s">
        <v>133</v>
      </c>
      <c r="C1566" s="4" t="str">
        <f>VLOOKUP(Tabela1[[#This Row],[Cliente]],'BASE DE CLIENTES'!A:E,2,0)</f>
        <v>Brasília</v>
      </c>
      <c r="D1566" s="1" t="str">
        <f>VLOOKUP(Tabela1[[#This Row],[Cliente]],'BASE DE CLIENTES'!A:C,3,0)</f>
        <v>DF</v>
      </c>
      <c r="E1566" s="4" t="str">
        <f>CONCATENATE(Tabela1[[#This Row],[CIDADE]],",",Tabela1[[#This Row],[UF]])</f>
        <v>Brasília,DF</v>
      </c>
      <c r="F1566" s="2">
        <v>45866</v>
      </c>
      <c r="G1566" s="17">
        <v>966.79</v>
      </c>
      <c r="H1566" s="17">
        <v>1560</v>
      </c>
      <c r="I1566" s="6">
        <f>Tabela1[[#This Row],[Valor total]]-Tabela1[[#This Row],[Valor custo]]</f>
        <v>593.21</v>
      </c>
      <c r="J1566" s="7">
        <f>Tabela1[[#This Row],[MARGEM BRUTA]]/Tabela1[[#This Row],[Valor total]]</f>
        <v>0.38026282051282051</v>
      </c>
      <c r="K1566" s="1" t="str">
        <f>VLOOKUP(Tabela1[[#This Row],[Cliente]],'BASE DE CLIENTES'!A:D,4,0)</f>
        <v>SERRALHEIRO</v>
      </c>
      <c r="L1566" s="1" t="str">
        <f>VLOOKUP(Tabela1[[#This Row],[Cliente]],'BASE DE CLIENTES'!A:E,5,0)</f>
        <v>RECANTO DAS EMAS</v>
      </c>
    </row>
    <row r="1567" spans="2:12" x14ac:dyDescent="0.3">
      <c r="B1567" s="1" t="s">
        <v>206</v>
      </c>
      <c r="C1567" s="4" t="str">
        <f>VLOOKUP(Tabela1[[#This Row],[Cliente]],'BASE DE CLIENTES'!A:E,2,0)</f>
        <v>Goiânia</v>
      </c>
      <c r="D1567" s="1" t="str">
        <f>VLOOKUP(Tabela1[[#This Row],[Cliente]],'BASE DE CLIENTES'!A:C,3,0)</f>
        <v>GO</v>
      </c>
      <c r="E1567" s="4" t="str">
        <f>CONCATENATE(Tabela1[[#This Row],[CIDADE]],",",Tabela1[[#This Row],[UF]])</f>
        <v>Goiânia,GO</v>
      </c>
      <c r="F1567" s="2">
        <v>45813</v>
      </c>
      <c r="G1567" s="17">
        <v>7095</v>
      </c>
      <c r="H1567" s="17">
        <v>8700</v>
      </c>
      <c r="I1567" s="6">
        <f>Tabela1[[#This Row],[Valor total]]-Tabela1[[#This Row],[Valor custo]]</f>
        <v>1605</v>
      </c>
      <c r="J1567" s="7">
        <f>Tabela1[[#This Row],[MARGEM BRUTA]]/Tabela1[[#This Row],[Valor total]]</f>
        <v>0.18448275862068966</v>
      </c>
      <c r="K1567" s="1" t="str">
        <f>VLOOKUP(Tabela1[[#This Row],[Cliente]],'BASE DE CLIENTES'!A:D,4,0)</f>
        <v>EMPRESA COM MAQUINA</v>
      </c>
      <c r="L1567" s="1" t="str">
        <f>VLOOKUP(Tabela1[[#This Row],[Cliente]],'BASE DE CLIENTES'!A:E,5,0)</f>
        <v>Goiânia</v>
      </c>
    </row>
    <row r="1568" spans="2:12" x14ac:dyDescent="0.3">
      <c r="B1568" s="1" t="s">
        <v>234</v>
      </c>
      <c r="C1568" s="4" t="str">
        <f>VLOOKUP(Tabela1[[#This Row],[Cliente]],'BASE DE CLIENTES'!A:E,2,0)</f>
        <v>Brasília</v>
      </c>
      <c r="D1568" s="1" t="str">
        <f>VLOOKUP(Tabela1[[#This Row],[Cliente]],'BASE DE CLIENTES'!A:C,3,0)</f>
        <v>DF</v>
      </c>
      <c r="E1568" s="4" t="str">
        <f>CONCATENATE(Tabela1[[#This Row],[CIDADE]],",",Tabela1[[#This Row],[UF]])</f>
        <v>Brasília,DF</v>
      </c>
      <c r="F1568" s="2">
        <v>45831</v>
      </c>
      <c r="G1568" s="17">
        <v>293.13</v>
      </c>
      <c r="H1568" s="17">
        <v>400</v>
      </c>
      <c r="I1568" s="6">
        <f>Tabela1[[#This Row],[Valor total]]-Tabela1[[#This Row],[Valor custo]]</f>
        <v>106.87</v>
      </c>
      <c r="J1568" s="7">
        <f>Tabela1[[#This Row],[MARGEM BRUTA]]/Tabela1[[#This Row],[Valor total]]</f>
        <v>0.267175</v>
      </c>
      <c r="K1568" s="1" t="str">
        <f>VLOOKUP(Tabela1[[#This Row],[Cliente]],'BASE DE CLIENTES'!A:D,4,0)</f>
        <v>SEM CLASSIFICAÇÃO</v>
      </c>
      <c r="L1568" s="1" t="str">
        <f>VLOOKUP(Tabela1[[#This Row],[Cliente]],'BASE DE CLIENTES'!A:E,5,0)</f>
        <v>Zona Industrial (Guará)</v>
      </c>
    </row>
    <row r="1569" spans="2:12" x14ac:dyDescent="0.3">
      <c r="B1569" s="1" t="s">
        <v>76</v>
      </c>
      <c r="C1569" s="4" t="str">
        <f>VLOOKUP(Tabela1[[#This Row],[Cliente]],'BASE DE CLIENTES'!A:E,2,0)</f>
        <v>Brasília</v>
      </c>
      <c r="D1569" s="1" t="str">
        <f>VLOOKUP(Tabela1[[#This Row],[Cliente]],'BASE DE CLIENTES'!A:C,3,0)</f>
        <v>DF</v>
      </c>
      <c r="E1569" s="4" t="str">
        <f>CONCATENATE(Tabela1[[#This Row],[CIDADE]],",",Tabela1[[#This Row],[UF]])</f>
        <v>Brasília,DF</v>
      </c>
      <c r="F1569" s="2">
        <v>45866</v>
      </c>
      <c r="G1569" s="17">
        <v>750</v>
      </c>
      <c r="H1569" s="17">
        <v>900</v>
      </c>
      <c r="I1569" s="6">
        <f>Tabela1[[#This Row],[Valor total]]-Tabela1[[#This Row],[Valor custo]]</f>
        <v>150</v>
      </c>
      <c r="J1569" s="7">
        <f>Tabela1[[#This Row],[MARGEM BRUTA]]/Tabela1[[#This Row],[Valor total]]</f>
        <v>0.16666666666666666</v>
      </c>
      <c r="K1569" s="1" t="str">
        <f>VLOOKUP(Tabela1[[#This Row],[Cliente]],'BASE DE CLIENTES'!A:D,4,0)</f>
        <v>EMPRESA COM MAQUINA</v>
      </c>
      <c r="L1569" s="1" t="str">
        <f>VLOOKUP(Tabela1[[#This Row],[Cliente]],'BASE DE CLIENTES'!A:E,5,0)</f>
        <v>Setor Placa da Mercedes (Núcleo Bandeirante)</v>
      </c>
    </row>
    <row r="1570" spans="2:12" x14ac:dyDescent="0.3">
      <c r="B1570" s="1" t="s">
        <v>161</v>
      </c>
      <c r="C1570" s="4" t="str">
        <f>VLOOKUP(Tabela1[[#This Row],[Cliente]],'BASE DE CLIENTES'!A:E,2,0)</f>
        <v>Brasília</v>
      </c>
      <c r="D1570" s="1" t="str">
        <f>VLOOKUP(Tabela1[[#This Row],[Cliente]],'BASE DE CLIENTES'!A:C,3,0)</f>
        <v>DF</v>
      </c>
      <c r="E1570" s="4" t="str">
        <f>CONCATENATE(Tabela1[[#This Row],[CIDADE]],",",Tabela1[[#This Row],[UF]])</f>
        <v>Brasília,DF</v>
      </c>
      <c r="F1570" s="2">
        <v>45866</v>
      </c>
      <c r="G1570" s="17">
        <v>18793.099999999999</v>
      </c>
      <c r="H1570" s="17">
        <v>28850</v>
      </c>
      <c r="I1570" s="6">
        <f>Tabela1[[#This Row],[Valor total]]-Tabela1[[#This Row],[Valor custo]]</f>
        <v>10056.900000000001</v>
      </c>
      <c r="J1570" s="7">
        <f>Tabela1[[#This Row],[MARGEM BRUTA]]/Tabela1[[#This Row],[Valor total]]</f>
        <v>0.34859272097053734</v>
      </c>
      <c r="K1570" s="1" t="str">
        <f>VLOOKUP(Tabela1[[#This Row],[Cliente]],'BASE DE CLIENTES'!A:D,4,0)</f>
        <v>EMPRESA COM MAQUINA</v>
      </c>
      <c r="L1570" s="1" t="str">
        <f>VLOOKUP(Tabela1[[#This Row],[Cliente]],'BASE DE CLIENTES'!A:E,5,0)</f>
        <v>RIACHO FUNDO II</v>
      </c>
    </row>
    <row r="1571" spans="2:12" x14ac:dyDescent="0.3">
      <c r="B1571" s="1" t="s">
        <v>165</v>
      </c>
      <c r="C1571" s="4" t="str">
        <f>VLOOKUP(Tabela1[[#This Row],[Cliente]],'BASE DE CLIENTES'!A:E,2,0)</f>
        <v>Brasília</v>
      </c>
      <c r="D1571" s="1" t="str">
        <f>VLOOKUP(Tabela1[[#This Row],[Cliente]],'BASE DE CLIENTES'!A:C,3,0)</f>
        <v>DF</v>
      </c>
      <c r="E1571" s="4" t="str">
        <f>CONCATENATE(Tabela1[[#This Row],[CIDADE]],",",Tabela1[[#This Row],[UF]])</f>
        <v>Brasília,DF</v>
      </c>
      <c r="F1571" s="2">
        <v>45866</v>
      </c>
      <c r="G1571" s="17">
        <v>1413.6</v>
      </c>
      <c r="H1571" s="17">
        <v>2450</v>
      </c>
      <c r="I1571" s="6">
        <f>Tabela1[[#This Row],[Valor total]]-Tabela1[[#This Row],[Valor custo]]</f>
        <v>1036.4000000000001</v>
      </c>
      <c r="J1571" s="7">
        <f>Tabela1[[#This Row],[MARGEM BRUTA]]/Tabela1[[#This Row],[Valor total]]</f>
        <v>0.42302040816326536</v>
      </c>
      <c r="K1571" s="1" t="str">
        <f>VLOOKUP(Tabela1[[#This Row],[Cliente]],'BASE DE CLIENTES'!A:D,4,0)</f>
        <v>EMPRESA SEM MAQUINA</v>
      </c>
      <c r="L1571" s="1" t="str">
        <f>VLOOKUP(Tabela1[[#This Row],[Cliente]],'BASE DE CLIENTES'!A:E,5,0)</f>
        <v>SETOR HABITACIONAL VICENTE PIRES</v>
      </c>
    </row>
    <row r="1572" spans="2:12" x14ac:dyDescent="0.3">
      <c r="B1572" s="1" t="s">
        <v>199</v>
      </c>
      <c r="C1572" s="4" t="str">
        <f>VLOOKUP(Tabela1[[#This Row],[Cliente]],'BASE DE CLIENTES'!A:E,2,0)</f>
        <v>Goiânia</v>
      </c>
      <c r="D1572" s="1" t="str">
        <f>VLOOKUP(Tabela1[[#This Row],[Cliente]],'BASE DE CLIENTES'!A:C,3,0)</f>
        <v>GO</v>
      </c>
      <c r="E1572" s="4" t="str">
        <f>CONCATENATE(Tabela1[[#This Row],[CIDADE]],",",Tabela1[[#This Row],[UF]])</f>
        <v>Goiânia,GO</v>
      </c>
      <c r="F1572" s="2">
        <v>45813</v>
      </c>
      <c r="G1572" s="17">
        <v>2620.4</v>
      </c>
      <c r="H1572" s="17">
        <v>4445</v>
      </c>
      <c r="I1572" s="6">
        <f>Tabela1[[#This Row],[Valor total]]-Tabela1[[#This Row],[Valor custo]]</f>
        <v>1824.6</v>
      </c>
      <c r="J1572" s="7">
        <f>Tabela1[[#This Row],[MARGEM BRUTA]]/Tabela1[[#This Row],[Valor total]]</f>
        <v>0.41048368953880765</v>
      </c>
      <c r="K1572" s="1" t="str">
        <f>VLOOKUP(Tabela1[[#This Row],[Cliente]],'BASE DE CLIENTES'!A:D,4,0)</f>
        <v>EMPRESA COM MAQUINA</v>
      </c>
      <c r="L1572" s="1" t="str">
        <f>VLOOKUP(Tabela1[[#This Row],[Cliente]],'BASE DE CLIENTES'!A:E,5,0)</f>
        <v>Goiânia</v>
      </c>
    </row>
    <row r="1573" spans="2:12" x14ac:dyDescent="0.3">
      <c r="B1573" s="1" t="s">
        <v>97</v>
      </c>
      <c r="C1573" s="4" t="str">
        <f>VLOOKUP(Tabela1[[#This Row],[Cliente]],'BASE DE CLIENTES'!A:E,2,0)</f>
        <v>Brasília</v>
      </c>
      <c r="D1573" s="1" t="str">
        <f>VLOOKUP(Tabela1[[#This Row],[Cliente]],'BASE DE CLIENTES'!A:C,3,0)</f>
        <v>DF</v>
      </c>
      <c r="E1573" s="4" t="str">
        <f>CONCATENATE(Tabela1[[#This Row],[CIDADE]],",",Tabela1[[#This Row],[UF]])</f>
        <v>Brasília,DF</v>
      </c>
      <c r="F1573" s="2">
        <v>45866</v>
      </c>
      <c r="G1573" s="17">
        <v>2447</v>
      </c>
      <c r="H1573" s="17">
        <v>4835</v>
      </c>
      <c r="I1573" s="6">
        <f>Tabela1[[#This Row],[Valor total]]-Tabela1[[#This Row],[Valor custo]]</f>
        <v>2388</v>
      </c>
      <c r="J1573" s="7">
        <f>Tabela1[[#This Row],[MARGEM BRUTA]]/Tabela1[[#This Row],[Valor total]]</f>
        <v>0.49389865563598762</v>
      </c>
      <c r="K1573" s="1" t="str">
        <f>VLOOKUP(Tabela1[[#This Row],[Cliente]],'BASE DE CLIENTES'!A:D,4,0)</f>
        <v>SERRALHEIRO</v>
      </c>
      <c r="L1573" s="1" t="str">
        <f>VLOOKUP(Tabela1[[#This Row],[Cliente]],'BASE DE CLIENTES'!A:E,5,0)</f>
        <v>CEILANDIA NORTE</v>
      </c>
    </row>
    <row r="1574" spans="2:12" x14ac:dyDescent="0.3">
      <c r="B1574" s="1" t="s">
        <v>235</v>
      </c>
      <c r="C1574" s="4" t="str">
        <f>VLOOKUP(Tabela1[[#This Row],[Cliente]],'BASE DE CLIENTES'!A:E,2,0)</f>
        <v>Brasília</v>
      </c>
      <c r="D1574" s="1" t="str">
        <f>VLOOKUP(Tabela1[[#This Row],[Cliente]],'BASE DE CLIENTES'!A:C,3,0)</f>
        <v>DF</v>
      </c>
      <c r="E1574" s="4" t="str">
        <f>CONCATENATE(Tabela1[[#This Row],[CIDADE]],",",Tabela1[[#This Row],[UF]])</f>
        <v>Brasília,DF</v>
      </c>
      <c r="F1574" s="2">
        <v>45820</v>
      </c>
      <c r="G1574" s="17">
        <v>293.13</v>
      </c>
      <c r="H1574" s="17">
        <v>400</v>
      </c>
      <c r="I1574" s="6">
        <f>Tabela1[[#This Row],[Valor total]]-Tabela1[[#This Row],[Valor custo]]</f>
        <v>106.87</v>
      </c>
      <c r="J1574" s="7">
        <f>Tabela1[[#This Row],[MARGEM BRUTA]]/Tabela1[[#This Row],[Valor total]]</f>
        <v>0.267175</v>
      </c>
      <c r="K1574" s="1" t="str">
        <f>VLOOKUP(Tabela1[[#This Row],[Cliente]],'BASE DE CLIENTES'!A:D,4,0)</f>
        <v>SEM CLASSIFICAÇÃO</v>
      </c>
      <c r="L1574" s="1" t="str">
        <f>VLOOKUP(Tabela1[[#This Row],[Cliente]],'BASE DE CLIENTES'!A:E,5,0)</f>
        <v>ÁGUAS CLARAS</v>
      </c>
    </row>
    <row r="1575" spans="2:12" x14ac:dyDescent="0.3">
      <c r="B1575" s="1" t="s">
        <v>52</v>
      </c>
      <c r="C1575" s="4" t="str">
        <f>VLOOKUP(Tabela1[[#This Row],[Cliente]],'BASE DE CLIENTES'!A:E,2,0)</f>
        <v>Brasília</v>
      </c>
      <c r="D1575" s="1" t="str">
        <f>VLOOKUP(Tabela1[[#This Row],[Cliente]],'BASE DE CLIENTES'!A:C,3,0)</f>
        <v>DF</v>
      </c>
      <c r="E1575" s="4" t="str">
        <f>CONCATENATE(Tabela1[[#This Row],[CIDADE]],",",Tabela1[[#This Row],[UF]])</f>
        <v>Brasília,DF</v>
      </c>
      <c r="F1575" s="2">
        <v>45863</v>
      </c>
      <c r="G1575" s="17">
        <v>432.79</v>
      </c>
      <c r="H1575" s="17">
        <v>700</v>
      </c>
      <c r="I1575" s="6">
        <f>Tabela1[[#This Row],[Valor total]]-Tabela1[[#This Row],[Valor custo]]</f>
        <v>267.20999999999998</v>
      </c>
      <c r="J1575" s="7">
        <f>Tabela1[[#This Row],[MARGEM BRUTA]]/Tabela1[[#This Row],[Valor total]]</f>
        <v>0.38172857142857142</v>
      </c>
      <c r="K1575" s="1" t="str">
        <f>VLOOKUP(Tabela1[[#This Row],[Cliente]],'BASE DE CLIENTES'!A:D,4,0)</f>
        <v>SERRALHEIRO</v>
      </c>
      <c r="L1575" s="1" t="str">
        <f>VLOOKUP(Tabela1[[#This Row],[Cliente]],'BASE DE CLIENTES'!A:E,5,0)</f>
        <v>Ceilândia Sul (Ceilândia)</v>
      </c>
    </row>
    <row r="1576" spans="2:12" x14ac:dyDescent="0.3">
      <c r="B1576" s="1" t="s">
        <v>221</v>
      </c>
      <c r="C1576" s="4" t="str">
        <f>VLOOKUP(Tabela1[[#This Row],[Cliente]],'BASE DE CLIENTES'!A:E,2,0)</f>
        <v>Goiânia</v>
      </c>
      <c r="D1576" s="1" t="str">
        <f>VLOOKUP(Tabela1[[#This Row],[Cliente]],'BASE DE CLIENTES'!A:C,3,0)</f>
        <v>GO</v>
      </c>
      <c r="E1576" s="4" t="str">
        <f>CONCATENATE(Tabela1[[#This Row],[CIDADE]],",",Tabela1[[#This Row],[UF]])</f>
        <v>Goiânia,GO</v>
      </c>
      <c r="F1576" s="2">
        <v>45813</v>
      </c>
      <c r="G1576" s="17">
        <v>4098.7</v>
      </c>
      <c r="H1576" s="17">
        <v>5500</v>
      </c>
      <c r="I1576" s="6">
        <f>Tabela1[[#This Row],[Valor total]]-Tabela1[[#This Row],[Valor custo]]</f>
        <v>1401.3000000000002</v>
      </c>
      <c r="J1576" s="7">
        <f>Tabela1[[#This Row],[MARGEM BRUTA]]/Tabela1[[#This Row],[Valor total]]</f>
        <v>0.25478181818181822</v>
      </c>
      <c r="K1576" s="1" t="str">
        <f>VLOOKUP(Tabela1[[#This Row],[Cliente]],'BASE DE CLIENTES'!A:D,4,0)</f>
        <v>EMPRESA COM MAQUINA</v>
      </c>
      <c r="L1576" s="1" t="str">
        <f>VLOOKUP(Tabela1[[#This Row],[Cliente]],'BASE DE CLIENTES'!A:E,5,0)</f>
        <v>Goiânia</v>
      </c>
    </row>
    <row r="1577" spans="2:12" x14ac:dyDescent="0.3">
      <c r="B1577" s="1" t="s">
        <v>107</v>
      </c>
      <c r="C1577" s="4" t="str">
        <f>VLOOKUP(Tabela1[[#This Row],[Cliente]],'BASE DE CLIENTES'!A:E,2,0)</f>
        <v>Planaltina</v>
      </c>
      <c r="D1577" s="1" t="str">
        <f>VLOOKUP(Tabela1[[#This Row],[Cliente]],'BASE DE CLIENTES'!A:C,3,0)</f>
        <v>DF</v>
      </c>
      <c r="E1577" s="4" t="str">
        <f>CONCATENATE(Tabela1[[#This Row],[CIDADE]],",",Tabela1[[#This Row],[UF]])</f>
        <v>Planaltina,DF</v>
      </c>
      <c r="F1577" s="2">
        <v>45863</v>
      </c>
      <c r="G1577" s="17">
        <v>432.79</v>
      </c>
      <c r="H1577" s="17">
        <v>520</v>
      </c>
      <c r="I1577" s="6">
        <f>Tabela1[[#This Row],[Valor total]]-Tabela1[[#This Row],[Valor custo]]</f>
        <v>87.20999999999998</v>
      </c>
      <c r="J1577" s="7">
        <f>Tabela1[[#This Row],[MARGEM BRUTA]]/Tabela1[[#This Row],[Valor total]]</f>
        <v>0.16771153846153841</v>
      </c>
      <c r="K1577" s="1" t="str">
        <f>VLOOKUP(Tabela1[[#This Row],[Cliente]],'BASE DE CLIENTES'!A:D,4,0)</f>
        <v>EMPRESA COM MAQUINA</v>
      </c>
      <c r="L1577" s="1" t="str">
        <f>VLOOKUP(Tabela1[[#This Row],[Cliente]],'BASE DE CLIENTES'!A:E,5,0)</f>
        <v>SETOR LESTE</v>
      </c>
    </row>
    <row r="1578" spans="2:12" x14ac:dyDescent="0.3">
      <c r="B1578" s="1" t="s">
        <v>153</v>
      </c>
      <c r="C1578" s="4" t="str">
        <f>VLOOKUP(Tabela1[[#This Row],[Cliente]],'BASE DE CLIENTES'!A:E,2,0)</f>
        <v>Brasília</v>
      </c>
      <c r="D1578" s="1" t="str">
        <f>VLOOKUP(Tabela1[[#This Row],[Cliente]],'BASE DE CLIENTES'!A:C,3,0)</f>
        <v>DF</v>
      </c>
      <c r="E1578" s="4" t="str">
        <f>CONCATENATE(Tabela1[[#This Row],[CIDADE]],",",Tabela1[[#This Row],[UF]])</f>
        <v>Brasília,DF</v>
      </c>
      <c r="F1578" s="2">
        <v>45863</v>
      </c>
      <c r="G1578" s="17">
        <v>2656</v>
      </c>
      <c r="H1578" s="17">
        <v>5200</v>
      </c>
      <c r="I1578" s="6">
        <f>Tabela1[[#This Row],[Valor total]]-Tabela1[[#This Row],[Valor custo]]</f>
        <v>2544</v>
      </c>
      <c r="J1578" s="7">
        <f>Tabela1[[#This Row],[MARGEM BRUTA]]/Tabela1[[#This Row],[Valor total]]</f>
        <v>0.48923076923076925</v>
      </c>
      <c r="K1578" s="1" t="str">
        <f>VLOOKUP(Tabela1[[#This Row],[Cliente]],'BASE DE CLIENTES'!A:D,4,0)</f>
        <v>SERRALHEIRO</v>
      </c>
      <c r="L1578" s="1" t="str">
        <f>VLOOKUP(Tabela1[[#This Row],[Cliente]],'BASE DE CLIENTES'!A:E,5,0)</f>
        <v>PLANALTINA</v>
      </c>
    </row>
    <row r="1579" spans="2:12" x14ac:dyDescent="0.3">
      <c r="B1579" s="1" t="s">
        <v>147</v>
      </c>
      <c r="C1579" s="4" t="str">
        <f>VLOOKUP(Tabela1[[#This Row],[Cliente]],'BASE DE CLIENTES'!A:E,2,0)</f>
        <v>Brasília</v>
      </c>
      <c r="D1579" s="1" t="str">
        <f>VLOOKUP(Tabela1[[#This Row],[Cliente]],'BASE DE CLIENTES'!A:C,3,0)</f>
        <v>DF</v>
      </c>
      <c r="E1579" s="4" t="str">
        <f>CONCATENATE(Tabela1[[#This Row],[CIDADE]],",",Tabela1[[#This Row],[UF]])</f>
        <v>Brasília,DF</v>
      </c>
      <c r="F1579" s="2">
        <v>45884</v>
      </c>
      <c r="G1579" s="17">
        <v>293.13</v>
      </c>
      <c r="H1579" s="17">
        <v>400</v>
      </c>
      <c r="I1579" s="6">
        <f>Tabela1[[#This Row],[Valor total]]-Tabela1[[#This Row],[Valor custo]]</f>
        <v>106.87</v>
      </c>
      <c r="J1579" s="7">
        <f>Tabela1[[#This Row],[MARGEM BRUTA]]/Tabela1[[#This Row],[Valor total]]</f>
        <v>0.267175</v>
      </c>
      <c r="K1579" s="1" t="str">
        <f>VLOOKUP(Tabela1[[#This Row],[Cliente]],'BASE DE CLIENTES'!A:D,4,0)</f>
        <v>SEM CLASSIFICAÇÃO</v>
      </c>
      <c r="L1579" s="1" t="str">
        <f>VLOOKUP(Tabela1[[#This Row],[Cliente]],'BASE DE CLIENTES'!A:E,5,0)</f>
        <v>AREAL (AGUAS CLARAS)</v>
      </c>
    </row>
    <row r="1580" spans="2:12" x14ac:dyDescent="0.3">
      <c r="B1580" s="1" t="s">
        <v>106</v>
      </c>
      <c r="C1580" s="4" t="str">
        <f>VLOOKUP(Tabela1[[#This Row],[Cliente]],'BASE DE CLIENTES'!A:E,2,0)</f>
        <v>Brasília</v>
      </c>
      <c r="D1580" s="1" t="str">
        <f>VLOOKUP(Tabela1[[#This Row],[Cliente]],'BASE DE CLIENTES'!A:C,3,0)</f>
        <v>DF</v>
      </c>
      <c r="E1580" s="4" t="str">
        <f>CONCATENATE(Tabela1[[#This Row],[CIDADE]],",",Tabela1[[#This Row],[UF]])</f>
        <v>Brasília,DF</v>
      </c>
      <c r="F1580" s="2">
        <v>45863</v>
      </c>
      <c r="G1580" s="17">
        <v>1680.9</v>
      </c>
      <c r="H1580" s="17">
        <v>2669</v>
      </c>
      <c r="I1580" s="6">
        <f>Tabela1[[#This Row],[Valor total]]-Tabela1[[#This Row],[Valor custo]]</f>
        <v>988.09999999999991</v>
      </c>
      <c r="J1580" s="7">
        <f>Tabela1[[#This Row],[MARGEM BRUTA]]/Tabela1[[#This Row],[Valor total]]</f>
        <v>0.37021356313225923</v>
      </c>
      <c r="K1580" s="1" t="str">
        <f>VLOOKUP(Tabela1[[#This Row],[Cliente]],'BASE DE CLIENTES'!A:D,4,0)</f>
        <v>EMPRESA COM MAQUINA</v>
      </c>
      <c r="L1580" s="1" t="str">
        <f>VLOOKUP(Tabela1[[#This Row],[Cliente]],'BASE DE CLIENTES'!A:E,5,0)</f>
        <v>26 DE SETEMBRO</v>
      </c>
    </row>
    <row r="1581" spans="2:12" x14ac:dyDescent="0.3">
      <c r="B1581" s="1" t="s">
        <v>120</v>
      </c>
      <c r="C1581" s="4" t="str">
        <f>VLOOKUP(Tabela1[[#This Row],[Cliente]],'BASE DE CLIENTES'!A:E,2,0)</f>
        <v>Brasília</v>
      </c>
      <c r="D1581" s="1" t="str">
        <f>VLOOKUP(Tabela1[[#This Row],[Cliente]],'BASE DE CLIENTES'!A:C,3,0)</f>
        <v>DF</v>
      </c>
      <c r="E1581" s="4" t="str">
        <f>CONCATENATE(Tabela1[[#This Row],[CIDADE]],",",Tabela1[[#This Row],[UF]])</f>
        <v>Brasília,DF</v>
      </c>
      <c r="F1581" s="2">
        <v>45924</v>
      </c>
      <c r="G1581" s="17">
        <v>455</v>
      </c>
      <c r="H1581" s="17">
        <v>0</v>
      </c>
      <c r="I1581" s="6">
        <f>Tabela1[[#This Row],[Valor total]]-Tabela1[[#This Row],[Valor custo]]</f>
        <v>-455</v>
      </c>
      <c r="J1581" s="7" t="e">
        <f>Tabela1[[#This Row],[MARGEM BRUTA]]/Tabela1[[#This Row],[Valor total]]</f>
        <v>#DIV/0!</v>
      </c>
      <c r="K1581" s="1" t="str">
        <f>VLOOKUP(Tabela1[[#This Row],[Cliente]],'BASE DE CLIENTES'!A:D,4,0)</f>
        <v>EMPRESA SEM MAQUINA</v>
      </c>
      <c r="L1581" s="1" t="str">
        <f>VLOOKUP(Tabela1[[#This Row],[Cliente]],'BASE DE CLIENTES'!A:E,5,0)</f>
        <v>SAMAMBAIA</v>
      </c>
    </row>
    <row r="1582" spans="2:12" x14ac:dyDescent="0.3">
      <c r="B1582" s="1" t="s">
        <v>204</v>
      </c>
      <c r="C1582" s="4" t="str">
        <f>VLOOKUP(Tabela1[[#This Row],[Cliente]],'BASE DE CLIENTES'!A:E,2,0)</f>
        <v>Goiânia</v>
      </c>
      <c r="D1582" s="1" t="str">
        <f>VLOOKUP(Tabela1[[#This Row],[Cliente]],'BASE DE CLIENTES'!A:C,3,0)</f>
        <v>GO</v>
      </c>
      <c r="E1582" s="4" t="str">
        <f>CONCATENATE(Tabela1[[#This Row],[CIDADE]],",",Tabela1[[#This Row],[UF]])</f>
        <v>Goiânia,GO</v>
      </c>
      <c r="F1582" s="2">
        <v>45810</v>
      </c>
      <c r="G1582" s="17">
        <v>16423</v>
      </c>
      <c r="H1582" s="17">
        <v>22850</v>
      </c>
      <c r="I1582" s="6">
        <f>Tabela1[[#This Row],[Valor total]]-Tabela1[[#This Row],[Valor custo]]</f>
        <v>6427</v>
      </c>
      <c r="J1582" s="7">
        <f>Tabela1[[#This Row],[MARGEM BRUTA]]/Tabela1[[#This Row],[Valor total]]</f>
        <v>0.28126914660831509</v>
      </c>
      <c r="K1582" s="1" t="str">
        <f>VLOOKUP(Tabela1[[#This Row],[Cliente]],'BASE DE CLIENTES'!A:D,4,0)</f>
        <v>EMPRESA COM MAQUINA</v>
      </c>
      <c r="L1582" s="1" t="str">
        <f>VLOOKUP(Tabela1[[#This Row],[Cliente]],'BASE DE CLIENTES'!A:E,5,0)</f>
        <v>Goiânia</v>
      </c>
    </row>
    <row r="1583" spans="2:12" x14ac:dyDescent="0.3">
      <c r="B1583" s="1" t="s">
        <v>236</v>
      </c>
      <c r="C1583" s="4" t="str">
        <f>VLOOKUP(Tabela1[[#This Row],[Cliente]],'BASE DE CLIENTES'!A:E,2,0)</f>
        <v>Goiânia</v>
      </c>
      <c r="D1583" s="1" t="str">
        <f>VLOOKUP(Tabela1[[#This Row],[Cliente]],'BASE DE CLIENTES'!A:C,3,0)</f>
        <v>GO</v>
      </c>
      <c r="E1583" s="4" t="str">
        <f>CONCATENATE(Tabela1[[#This Row],[CIDADE]],",",Tabela1[[#This Row],[UF]])</f>
        <v>Goiânia,GO</v>
      </c>
      <c r="F1583" s="2">
        <v>45866</v>
      </c>
      <c r="G1583" s="17">
        <v>3823</v>
      </c>
      <c r="H1583" s="17">
        <v>5200</v>
      </c>
      <c r="I1583" s="6">
        <f>Tabela1[[#This Row],[Valor total]]-Tabela1[[#This Row],[Valor custo]]</f>
        <v>1377</v>
      </c>
      <c r="J1583" s="7">
        <f>Tabela1[[#This Row],[MARGEM BRUTA]]/Tabela1[[#This Row],[Valor total]]</f>
        <v>0.2648076923076923</v>
      </c>
      <c r="K1583" s="1" t="str">
        <f>VLOOKUP(Tabela1[[#This Row],[Cliente]],'BASE DE CLIENTES'!A:D,4,0)</f>
        <v>EMPRESA COM MAQUINA</v>
      </c>
      <c r="L1583" s="1" t="str">
        <f>VLOOKUP(Tabela1[[#This Row],[Cliente]],'BASE DE CLIENTES'!A:E,5,0)</f>
        <v>Goiânia</v>
      </c>
    </row>
    <row r="1584" spans="2:12" x14ac:dyDescent="0.3">
      <c r="B1584" s="1" t="s">
        <v>27</v>
      </c>
      <c r="C1584" s="4" t="str">
        <f>VLOOKUP(Tabela1[[#This Row],[Cliente]],'BASE DE CLIENTES'!A:E,2,0)</f>
        <v>Brasília</v>
      </c>
      <c r="D1584" s="1" t="str">
        <f>VLOOKUP(Tabela1[[#This Row],[Cliente]],'BASE DE CLIENTES'!A:C,3,0)</f>
        <v>DF</v>
      </c>
      <c r="E1584" s="4" t="str">
        <f>CONCATENATE(Tabela1[[#This Row],[CIDADE]],",",Tabela1[[#This Row],[UF]])</f>
        <v>Brasília,DF</v>
      </c>
      <c r="F1584" s="2">
        <v>45863</v>
      </c>
      <c r="G1584" s="17">
        <v>5855.99</v>
      </c>
      <c r="H1584" s="17">
        <v>9265</v>
      </c>
      <c r="I1584" s="6">
        <f>Tabela1[[#This Row],[Valor total]]-Tabela1[[#This Row],[Valor custo]]</f>
        <v>3409.01</v>
      </c>
      <c r="J1584" s="7">
        <f>Tabela1[[#This Row],[MARGEM BRUTA]]/Tabela1[[#This Row],[Valor total]]</f>
        <v>0.36794495412844042</v>
      </c>
      <c r="K1584" s="1" t="str">
        <f>VLOOKUP(Tabela1[[#This Row],[Cliente]],'BASE DE CLIENTES'!A:D,4,0)</f>
        <v>EMPRESA SEM MAQUINA</v>
      </c>
      <c r="L1584" s="1" t="str">
        <f>VLOOKUP(Tabela1[[#This Row],[Cliente]],'BASE DE CLIENTES'!A:E,5,0)</f>
        <v>RECANTO DAS EMAS</v>
      </c>
    </row>
    <row r="1585" spans="2:12" x14ac:dyDescent="0.3">
      <c r="B1585" s="1" t="s">
        <v>128</v>
      </c>
      <c r="C1585" s="4" t="str">
        <f>VLOOKUP(Tabela1[[#This Row],[Cliente]],'BASE DE CLIENTES'!A:E,2,0)</f>
        <v>Brasília</v>
      </c>
      <c r="D1585" s="1" t="str">
        <f>VLOOKUP(Tabela1[[#This Row],[Cliente]],'BASE DE CLIENTES'!A:C,3,0)</f>
        <v>DF</v>
      </c>
      <c r="E1585" s="4" t="str">
        <f>CONCATENATE(Tabela1[[#This Row],[CIDADE]],",",Tabela1[[#This Row],[UF]])</f>
        <v>Brasília,DF</v>
      </c>
      <c r="F1585" s="2">
        <v>45863</v>
      </c>
      <c r="G1585" s="17">
        <v>2518.4899999999998</v>
      </c>
      <c r="H1585" s="17">
        <v>4731.5</v>
      </c>
      <c r="I1585" s="6">
        <f>Tabela1[[#This Row],[Valor total]]-Tabela1[[#This Row],[Valor custo]]</f>
        <v>2213.0100000000002</v>
      </c>
      <c r="J1585" s="7">
        <f>Tabela1[[#This Row],[MARGEM BRUTA]]/Tabela1[[#This Row],[Valor total]]</f>
        <v>0.4677184825108317</v>
      </c>
      <c r="K1585" s="1" t="str">
        <f>VLOOKUP(Tabela1[[#This Row],[Cliente]],'BASE DE CLIENTES'!A:D,4,0)</f>
        <v>SERRALHEIRO</v>
      </c>
      <c r="L1585" s="1" t="str">
        <f>VLOOKUP(Tabela1[[#This Row],[Cliente]],'BASE DE CLIENTES'!A:E,5,0)</f>
        <v>TAGUATINGA NORTE</v>
      </c>
    </row>
    <row r="1586" spans="2:12" x14ac:dyDescent="0.3">
      <c r="B1586" s="1" t="s">
        <v>106</v>
      </c>
      <c r="C1586" s="4" t="str">
        <f>VLOOKUP(Tabela1[[#This Row],[Cliente]],'BASE DE CLIENTES'!A:E,2,0)</f>
        <v>Brasília</v>
      </c>
      <c r="D1586" s="1" t="str">
        <f>VLOOKUP(Tabela1[[#This Row],[Cliente]],'BASE DE CLIENTES'!A:C,3,0)</f>
        <v>DF</v>
      </c>
      <c r="E1586" s="4" t="str">
        <f>CONCATENATE(Tabela1[[#This Row],[CIDADE]],",",Tabela1[[#This Row],[UF]])</f>
        <v>Brasília,DF</v>
      </c>
      <c r="F1586" s="2">
        <v>45862</v>
      </c>
      <c r="G1586" s="17">
        <v>50</v>
      </c>
      <c r="H1586" s="17">
        <v>60</v>
      </c>
      <c r="I1586" s="6">
        <f>Tabela1[[#This Row],[Valor total]]-Tabela1[[#This Row],[Valor custo]]</f>
        <v>10</v>
      </c>
      <c r="J1586" s="7">
        <f>Tabela1[[#This Row],[MARGEM BRUTA]]/Tabela1[[#This Row],[Valor total]]</f>
        <v>0.16666666666666666</v>
      </c>
      <c r="K1586" s="1" t="str">
        <f>VLOOKUP(Tabela1[[#This Row],[Cliente]],'BASE DE CLIENTES'!A:D,4,0)</f>
        <v>EMPRESA COM MAQUINA</v>
      </c>
      <c r="L1586" s="1" t="str">
        <f>VLOOKUP(Tabela1[[#This Row],[Cliente]],'BASE DE CLIENTES'!A:E,5,0)</f>
        <v>26 DE SETEMBRO</v>
      </c>
    </row>
    <row r="1587" spans="2:12" x14ac:dyDescent="0.3">
      <c r="B1587" s="1" t="s">
        <v>236</v>
      </c>
      <c r="C1587" s="4" t="str">
        <f>VLOOKUP(Tabela1[[#This Row],[Cliente]],'BASE DE CLIENTES'!A:E,2,0)</f>
        <v>Goiânia</v>
      </c>
      <c r="D1587" s="1" t="str">
        <f>VLOOKUP(Tabela1[[#This Row],[Cliente]],'BASE DE CLIENTES'!A:C,3,0)</f>
        <v>GO</v>
      </c>
      <c r="E1587" s="4" t="str">
        <f>CONCATENATE(Tabela1[[#This Row],[CIDADE]],",",Tabela1[[#This Row],[UF]])</f>
        <v>Goiânia,GO</v>
      </c>
      <c r="F1587" s="2">
        <v>45863</v>
      </c>
      <c r="G1587" s="17">
        <v>2670</v>
      </c>
      <c r="H1587" s="17">
        <v>3950</v>
      </c>
      <c r="I1587" s="6">
        <f>Tabela1[[#This Row],[Valor total]]-Tabela1[[#This Row],[Valor custo]]</f>
        <v>1280</v>
      </c>
      <c r="J1587" s="7">
        <f>Tabela1[[#This Row],[MARGEM BRUTA]]/Tabela1[[#This Row],[Valor total]]</f>
        <v>0.32405063291139241</v>
      </c>
      <c r="K1587" s="1" t="str">
        <f>VLOOKUP(Tabela1[[#This Row],[Cliente]],'BASE DE CLIENTES'!A:D,4,0)</f>
        <v>EMPRESA COM MAQUINA</v>
      </c>
      <c r="L1587" s="1" t="str">
        <f>VLOOKUP(Tabela1[[#This Row],[Cliente]],'BASE DE CLIENTES'!A:E,5,0)</f>
        <v>Goiânia</v>
      </c>
    </row>
    <row r="1588" spans="2:12" x14ac:dyDescent="0.3">
      <c r="B1588" s="1" t="s">
        <v>70</v>
      </c>
      <c r="C1588" s="4" t="str">
        <f>VLOOKUP(Tabela1[[#This Row],[Cliente]],'BASE DE CLIENTES'!A:E,2,0)</f>
        <v>Brasília</v>
      </c>
      <c r="D1588" s="1" t="str">
        <f>VLOOKUP(Tabela1[[#This Row],[Cliente]],'BASE DE CLIENTES'!A:C,3,0)</f>
        <v>DF</v>
      </c>
      <c r="E1588" s="4" t="str">
        <f>CONCATENATE(Tabela1[[#This Row],[CIDADE]],",",Tabela1[[#This Row],[UF]])</f>
        <v>Brasília,DF</v>
      </c>
      <c r="F1588" s="2">
        <v>45862</v>
      </c>
      <c r="G1588" s="17">
        <v>3478.48</v>
      </c>
      <c r="H1588" s="17">
        <v>5559</v>
      </c>
      <c r="I1588" s="6">
        <f>Tabela1[[#This Row],[Valor total]]-Tabela1[[#This Row],[Valor custo]]</f>
        <v>2080.52</v>
      </c>
      <c r="J1588" s="7">
        <f>Tabela1[[#This Row],[MARGEM BRUTA]]/Tabela1[[#This Row],[Valor total]]</f>
        <v>0.37426155783414283</v>
      </c>
      <c r="K1588" s="1" t="str">
        <f>VLOOKUP(Tabela1[[#This Row],[Cliente]],'BASE DE CLIENTES'!A:D,4,0)</f>
        <v>EMPRESA COM MAQUINA</v>
      </c>
      <c r="L1588" s="1" t="str">
        <f>VLOOKUP(Tabela1[[#This Row],[Cliente]],'BASE DE CLIENTES'!A:E,5,0)</f>
        <v>TAGUATINGA NORTE (TAGUATINGA)</v>
      </c>
    </row>
    <row r="1589" spans="2:12" x14ac:dyDescent="0.3">
      <c r="B1589" s="1" t="s">
        <v>120</v>
      </c>
      <c r="C1589" s="4" t="str">
        <f>VLOOKUP(Tabela1[[#This Row],[Cliente]],'BASE DE CLIENTES'!A:E,2,0)</f>
        <v>Brasília</v>
      </c>
      <c r="D1589" s="1" t="str">
        <f>VLOOKUP(Tabela1[[#This Row],[Cliente]],'BASE DE CLIENTES'!A:C,3,0)</f>
        <v>DF</v>
      </c>
      <c r="E1589" s="4" t="str">
        <f>CONCATENATE(Tabela1[[#This Row],[CIDADE]],",",Tabela1[[#This Row],[UF]])</f>
        <v>Brasília,DF</v>
      </c>
      <c r="F1589" s="2">
        <v>45918</v>
      </c>
      <c r="G1589" s="17">
        <v>1169.04</v>
      </c>
      <c r="H1589" s="17">
        <v>2085</v>
      </c>
      <c r="I1589" s="6">
        <f>Tabela1[[#This Row],[Valor total]]-Tabela1[[#This Row],[Valor custo]]</f>
        <v>915.96</v>
      </c>
      <c r="J1589" s="7">
        <f>Tabela1[[#This Row],[MARGEM BRUTA]]/Tabela1[[#This Row],[Valor total]]</f>
        <v>0.43930935251798564</v>
      </c>
      <c r="K1589" s="1" t="str">
        <f>VLOOKUP(Tabela1[[#This Row],[Cliente]],'BASE DE CLIENTES'!A:D,4,0)</f>
        <v>EMPRESA SEM MAQUINA</v>
      </c>
      <c r="L1589" s="1" t="str">
        <f>VLOOKUP(Tabela1[[#This Row],[Cliente]],'BASE DE CLIENTES'!A:E,5,0)</f>
        <v>SAMAMBAIA</v>
      </c>
    </row>
    <row r="1590" spans="2:12" x14ac:dyDescent="0.3">
      <c r="B1590" s="1" t="s">
        <v>206</v>
      </c>
      <c r="C1590" s="4" t="str">
        <f>VLOOKUP(Tabela1[[#This Row],[Cliente]],'BASE DE CLIENTES'!A:E,2,0)</f>
        <v>Goiânia</v>
      </c>
      <c r="D1590" s="1" t="str">
        <f>VLOOKUP(Tabela1[[#This Row],[Cliente]],'BASE DE CLIENTES'!A:C,3,0)</f>
        <v>GO</v>
      </c>
      <c r="E1590" s="4" t="str">
        <f>CONCATENATE(Tabela1[[#This Row],[CIDADE]],",",Tabela1[[#This Row],[UF]])</f>
        <v>Goiânia,GO</v>
      </c>
      <c r="F1590" s="2">
        <v>45862</v>
      </c>
      <c r="G1590" s="17">
        <v>5860</v>
      </c>
      <c r="H1590" s="17">
        <v>9600</v>
      </c>
      <c r="I1590" s="6">
        <f>Tabela1[[#This Row],[Valor total]]-Tabela1[[#This Row],[Valor custo]]</f>
        <v>3740</v>
      </c>
      <c r="J1590" s="7">
        <f>Tabela1[[#This Row],[MARGEM BRUTA]]/Tabela1[[#This Row],[Valor total]]</f>
        <v>0.38958333333333334</v>
      </c>
      <c r="K1590" s="1" t="str">
        <f>VLOOKUP(Tabela1[[#This Row],[Cliente]],'BASE DE CLIENTES'!A:D,4,0)</f>
        <v>EMPRESA COM MAQUINA</v>
      </c>
      <c r="L1590" s="1" t="str">
        <f>VLOOKUP(Tabela1[[#This Row],[Cliente]],'BASE DE CLIENTES'!A:E,5,0)</f>
        <v>Goiânia</v>
      </c>
    </row>
    <row r="1591" spans="2:12" x14ac:dyDescent="0.3">
      <c r="B1591" s="1" t="s">
        <v>197</v>
      </c>
      <c r="C1591" s="4" t="str">
        <f>VLOOKUP(Tabela1[[#This Row],[Cliente]],'BASE DE CLIENTES'!A:E,2,0)</f>
        <v>Goiânia</v>
      </c>
      <c r="D1591" s="1" t="str">
        <f>VLOOKUP(Tabela1[[#This Row],[Cliente]],'BASE DE CLIENTES'!A:C,3,0)</f>
        <v>GO</v>
      </c>
      <c r="E1591" s="4" t="str">
        <f>CONCATENATE(Tabela1[[#This Row],[CIDADE]],",",Tabela1[[#This Row],[UF]])</f>
        <v>Goiânia,GO</v>
      </c>
      <c r="F1591" s="2">
        <v>45860</v>
      </c>
      <c r="G1591" s="17">
        <v>867</v>
      </c>
      <c r="H1591" s="17">
        <v>1650</v>
      </c>
      <c r="I1591" s="6">
        <f>Tabela1[[#This Row],[Valor total]]-Tabela1[[#This Row],[Valor custo]]</f>
        <v>783</v>
      </c>
      <c r="J1591" s="7">
        <f>Tabela1[[#This Row],[MARGEM BRUTA]]/Tabela1[[#This Row],[Valor total]]</f>
        <v>0.47454545454545455</v>
      </c>
      <c r="K1591" s="1" t="str">
        <f>VLOOKUP(Tabela1[[#This Row],[Cliente]],'BASE DE CLIENTES'!A:D,4,0)</f>
        <v>EMPRESA COM MAQUINA</v>
      </c>
      <c r="L1591" s="1" t="str">
        <f>VLOOKUP(Tabela1[[#This Row],[Cliente]],'BASE DE CLIENTES'!A:E,5,0)</f>
        <v>Goiânia</v>
      </c>
    </row>
    <row r="1592" spans="2:12" x14ac:dyDescent="0.3">
      <c r="B1592" s="1" t="s">
        <v>206</v>
      </c>
      <c r="C1592" s="4" t="str">
        <f>VLOOKUP(Tabela1[[#This Row],[Cliente]],'BASE DE CLIENTES'!A:E,2,0)</f>
        <v>Goiânia</v>
      </c>
      <c r="D1592" s="1" t="str">
        <f>VLOOKUP(Tabela1[[#This Row],[Cliente]],'BASE DE CLIENTES'!A:C,3,0)</f>
        <v>GO</v>
      </c>
      <c r="E1592" s="4" t="str">
        <f>CONCATENATE(Tabela1[[#This Row],[CIDADE]],",",Tabela1[[#This Row],[UF]])</f>
        <v>Goiânia,GO</v>
      </c>
      <c r="F1592" s="2">
        <v>45859</v>
      </c>
      <c r="G1592" s="17">
        <v>3204</v>
      </c>
      <c r="H1592" s="17">
        <v>4700</v>
      </c>
      <c r="I1592" s="6">
        <f>Tabela1[[#This Row],[Valor total]]-Tabela1[[#This Row],[Valor custo]]</f>
        <v>1496</v>
      </c>
      <c r="J1592" s="7">
        <f>Tabela1[[#This Row],[MARGEM BRUTA]]/Tabela1[[#This Row],[Valor total]]</f>
        <v>0.31829787234042556</v>
      </c>
      <c r="K1592" s="1" t="str">
        <f>VLOOKUP(Tabela1[[#This Row],[Cliente]],'BASE DE CLIENTES'!A:D,4,0)</f>
        <v>EMPRESA COM MAQUINA</v>
      </c>
      <c r="L1592" s="1" t="str">
        <f>VLOOKUP(Tabela1[[#This Row],[Cliente]],'BASE DE CLIENTES'!A:E,5,0)</f>
        <v>Goiânia</v>
      </c>
    </row>
    <row r="1593" spans="2:12" x14ac:dyDescent="0.3">
      <c r="B1593" s="1" t="s">
        <v>165</v>
      </c>
      <c r="C1593" s="4" t="str">
        <f>VLOOKUP(Tabela1[[#This Row],[Cliente]],'BASE DE CLIENTES'!A:E,2,0)</f>
        <v>Brasília</v>
      </c>
      <c r="D1593" s="1" t="str">
        <f>VLOOKUP(Tabela1[[#This Row],[Cliente]],'BASE DE CLIENTES'!A:C,3,0)</f>
        <v>DF</v>
      </c>
      <c r="E1593" s="4" t="str">
        <f>CONCATENATE(Tabela1[[#This Row],[CIDADE]],",",Tabela1[[#This Row],[UF]])</f>
        <v>Brasília,DF</v>
      </c>
      <c r="F1593" s="2">
        <v>45862</v>
      </c>
      <c r="G1593" s="17">
        <v>1068</v>
      </c>
      <c r="H1593" s="17">
        <v>1780</v>
      </c>
      <c r="I1593" s="6">
        <f>Tabela1[[#This Row],[Valor total]]-Tabela1[[#This Row],[Valor custo]]</f>
        <v>712</v>
      </c>
      <c r="J1593" s="7">
        <f>Tabela1[[#This Row],[MARGEM BRUTA]]/Tabela1[[#This Row],[Valor total]]</f>
        <v>0.4</v>
      </c>
      <c r="K1593" s="1" t="str">
        <f>VLOOKUP(Tabela1[[#This Row],[Cliente]],'BASE DE CLIENTES'!A:D,4,0)</f>
        <v>EMPRESA SEM MAQUINA</v>
      </c>
      <c r="L1593" s="1" t="str">
        <f>VLOOKUP(Tabela1[[#This Row],[Cliente]],'BASE DE CLIENTES'!A:E,5,0)</f>
        <v>SETOR HABITACIONAL VICENTE PIRES</v>
      </c>
    </row>
    <row r="1594" spans="2:12" x14ac:dyDescent="0.3">
      <c r="B1594" s="1" t="s">
        <v>220</v>
      </c>
      <c r="C1594" s="4" t="str">
        <f>VLOOKUP(Tabela1[[#This Row],[Cliente]],'BASE DE CLIENTES'!A:E,2,0)</f>
        <v>Goiânia</v>
      </c>
      <c r="D1594" s="1" t="str">
        <f>VLOOKUP(Tabela1[[#This Row],[Cliente]],'BASE DE CLIENTES'!A:C,3,0)</f>
        <v>GO</v>
      </c>
      <c r="E1594" s="4" t="str">
        <f>CONCATENATE(Tabela1[[#This Row],[CIDADE]],",",Tabela1[[#This Row],[UF]])</f>
        <v>Goiânia,GO</v>
      </c>
      <c r="F1594" s="2">
        <v>45859</v>
      </c>
      <c r="G1594" s="17">
        <v>559</v>
      </c>
      <c r="H1594" s="17">
        <v>869</v>
      </c>
      <c r="I1594" s="6">
        <f>Tabela1[[#This Row],[Valor total]]-Tabela1[[#This Row],[Valor custo]]</f>
        <v>310</v>
      </c>
      <c r="J1594" s="7">
        <f>Tabela1[[#This Row],[MARGEM BRUTA]]/Tabela1[[#This Row],[Valor total]]</f>
        <v>0.35673187571921749</v>
      </c>
      <c r="K1594" s="1" t="str">
        <f>VLOOKUP(Tabela1[[#This Row],[Cliente]],'BASE DE CLIENTES'!A:D,4,0)</f>
        <v>EMPRESA COM MAQUINA</v>
      </c>
      <c r="L1594" s="1" t="str">
        <f>VLOOKUP(Tabela1[[#This Row],[Cliente]],'BASE DE CLIENTES'!A:E,5,0)</f>
        <v>Goiânia</v>
      </c>
    </row>
    <row r="1595" spans="2:12" x14ac:dyDescent="0.3">
      <c r="B1595" s="1" t="s">
        <v>96</v>
      </c>
      <c r="C1595" s="4" t="str">
        <f>VLOOKUP(Tabela1[[#This Row],[Cliente]],'BASE DE CLIENTES'!A:E,2,0)</f>
        <v>Brasília</v>
      </c>
      <c r="D1595" s="1" t="str">
        <f>VLOOKUP(Tabela1[[#This Row],[Cliente]],'BASE DE CLIENTES'!A:C,3,0)</f>
        <v>DF</v>
      </c>
      <c r="E1595" s="4" t="str">
        <f>CONCATENATE(Tabela1[[#This Row],[CIDADE]],",",Tabela1[[#This Row],[UF]])</f>
        <v>Brasília,DF</v>
      </c>
      <c r="F1595" s="2">
        <v>45862</v>
      </c>
      <c r="G1595" s="17">
        <v>766</v>
      </c>
      <c r="H1595" s="17">
        <v>1390</v>
      </c>
      <c r="I1595" s="6">
        <f>Tabela1[[#This Row],[Valor total]]-Tabela1[[#This Row],[Valor custo]]</f>
        <v>624</v>
      </c>
      <c r="J1595" s="7">
        <f>Tabela1[[#This Row],[MARGEM BRUTA]]/Tabela1[[#This Row],[Valor total]]</f>
        <v>0.44892086330935249</v>
      </c>
      <c r="K1595" s="1" t="str">
        <f>VLOOKUP(Tabela1[[#This Row],[Cliente]],'BASE DE CLIENTES'!A:D,4,0)</f>
        <v>EMPRESA SEM MAQUINA</v>
      </c>
      <c r="L1595" s="1" t="str">
        <f>VLOOKUP(Tabela1[[#This Row],[Cliente]],'BASE DE CLIENTES'!A:E,5,0)</f>
        <v>CEILANDIA NORTE (CEILANDIA)</v>
      </c>
    </row>
    <row r="1596" spans="2:12" x14ac:dyDescent="0.3">
      <c r="B1596" s="1" t="s">
        <v>27</v>
      </c>
      <c r="C1596" s="4" t="str">
        <f>VLOOKUP(Tabela1[[#This Row],[Cliente]],'BASE DE CLIENTES'!A:E,2,0)</f>
        <v>Brasília</v>
      </c>
      <c r="D1596" s="1" t="str">
        <f>VLOOKUP(Tabela1[[#This Row],[Cliente]],'BASE DE CLIENTES'!A:C,3,0)</f>
        <v>DF</v>
      </c>
      <c r="E1596" s="4" t="str">
        <f>CONCATENATE(Tabela1[[#This Row],[CIDADE]],",",Tabela1[[#This Row],[UF]])</f>
        <v>Brasília,DF</v>
      </c>
      <c r="F1596" s="2">
        <v>45862</v>
      </c>
      <c r="G1596" s="17">
        <v>505</v>
      </c>
      <c r="H1596" s="17">
        <v>1080</v>
      </c>
      <c r="I1596" s="6">
        <f>Tabela1[[#This Row],[Valor total]]-Tabela1[[#This Row],[Valor custo]]</f>
        <v>575</v>
      </c>
      <c r="J1596" s="7">
        <f>Tabela1[[#This Row],[MARGEM BRUTA]]/Tabela1[[#This Row],[Valor total]]</f>
        <v>0.53240740740740744</v>
      </c>
      <c r="K1596" s="1" t="str">
        <f>VLOOKUP(Tabela1[[#This Row],[Cliente]],'BASE DE CLIENTES'!A:D,4,0)</f>
        <v>EMPRESA SEM MAQUINA</v>
      </c>
      <c r="L1596" s="1" t="str">
        <f>VLOOKUP(Tabela1[[#This Row],[Cliente]],'BASE DE CLIENTES'!A:E,5,0)</f>
        <v>RECANTO DAS EMAS</v>
      </c>
    </row>
    <row r="1597" spans="2:12" x14ac:dyDescent="0.3">
      <c r="B1597" s="1" t="s">
        <v>195</v>
      </c>
      <c r="C1597" s="4" t="str">
        <f>VLOOKUP(Tabela1[[#This Row],[Cliente]],'BASE DE CLIENTES'!A:E,2,0)</f>
        <v>Goiânia</v>
      </c>
      <c r="D1597" s="1" t="str">
        <f>VLOOKUP(Tabela1[[#This Row],[Cliente]],'BASE DE CLIENTES'!A:C,3,0)</f>
        <v>GO</v>
      </c>
      <c r="E1597" s="4" t="str">
        <f>CONCATENATE(Tabela1[[#This Row],[CIDADE]],",",Tabela1[[#This Row],[UF]])</f>
        <v>Goiânia,GO</v>
      </c>
      <c r="F1597" s="2">
        <v>45859</v>
      </c>
      <c r="G1597" s="17">
        <v>20500</v>
      </c>
      <c r="H1597" s="17">
        <v>32375</v>
      </c>
      <c r="I1597" s="6">
        <f>Tabela1[[#This Row],[Valor total]]-Tabela1[[#This Row],[Valor custo]]</f>
        <v>11875</v>
      </c>
      <c r="J1597" s="7">
        <f>Tabela1[[#This Row],[MARGEM BRUTA]]/Tabela1[[#This Row],[Valor total]]</f>
        <v>0.36679536679536678</v>
      </c>
      <c r="K1597" s="1" t="str">
        <f>VLOOKUP(Tabela1[[#This Row],[Cliente]],'BASE DE CLIENTES'!A:D,4,0)</f>
        <v>EMPRESA COM MAQUINA</v>
      </c>
      <c r="L1597" s="1" t="str">
        <f>VLOOKUP(Tabela1[[#This Row],[Cliente]],'BASE DE CLIENTES'!A:E,5,0)</f>
        <v>Goiânia</v>
      </c>
    </row>
    <row r="1598" spans="2:12" x14ac:dyDescent="0.3">
      <c r="B1598" s="1" t="s">
        <v>199</v>
      </c>
      <c r="C1598" s="4" t="str">
        <f>VLOOKUP(Tabela1[[#This Row],[Cliente]],'BASE DE CLIENTES'!A:E,2,0)</f>
        <v>Goiânia</v>
      </c>
      <c r="D1598" s="1" t="str">
        <f>VLOOKUP(Tabela1[[#This Row],[Cliente]],'BASE DE CLIENTES'!A:C,3,0)</f>
        <v>GO</v>
      </c>
      <c r="E1598" s="4" t="str">
        <f>CONCATENATE(Tabela1[[#This Row],[CIDADE]],",",Tabela1[[#This Row],[UF]])</f>
        <v>Goiânia,GO</v>
      </c>
      <c r="F1598" s="2">
        <v>45859</v>
      </c>
      <c r="G1598" s="17">
        <v>4092</v>
      </c>
      <c r="H1598" s="17">
        <v>6180</v>
      </c>
      <c r="I1598" s="6">
        <f>Tabela1[[#This Row],[Valor total]]-Tabela1[[#This Row],[Valor custo]]</f>
        <v>2088</v>
      </c>
      <c r="J1598" s="7">
        <f>Tabela1[[#This Row],[MARGEM BRUTA]]/Tabela1[[#This Row],[Valor total]]</f>
        <v>0.3378640776699029</v>
      </c>
      <c r="K1598" s="1" t="str">
        <f>VLOOKUP(Tabela1[[#This Row],[Cliente]],'BASE DE CLIENTES'!A:D,4,0)</f>
        <v>EMPRESA COM MAQUINA</v>
      </c>
      <c r="L1598" s="1" t="str">
        <f>VLOOKUP(Tabela1[[#This Row],[Cliente]],'BASE DE CLIENTES'!A:E,5,0)</f>
        <v>Goiânia</v>
      </c>
    </row>
    <row r="1599" spans="2:12" x14ac:dyDescent="0.3">
      <c r="B1599" s="1" t="s">
        <v>96</v>
      </c>
      <c r="C1599" s="4" t="str">
        <f>VLOOKUP(Tabela1[[#This Row],[Cliente]],'BASE DE CLIENTES'!A:E,2,0)</f>
        <v>Brasília</v>
      </c>
      <c r="D1599" s="1" t="str">
        <f>VLOOKUP(Tabela1[[#This Row],[Cliente]],'BASE DE CLIENTES'!A:C,3,0)</f>
        <v>DF</v>
      </c>
      <c r="E1599" s="4" t="str">
        <f>CONCATENATE(Tabela1[[#This Row],[CIDADE]],",",Tabela1[[#This Row],[UF]])</f>
        <v>Brasília,DF</v>
      </c>
      <c r="F1599" s="2">
        <v>45862</v>
      </c>
      <c r="G1599" s="17">
        <v>766</v>
      </c>
      <c r="H1599" s="17">
        <v>1390</v>
      </c>
      <c r="I1599" s="6">
        <f>Tabela1[[#This Row],[Valor total]]-Tabela1[[#This Row],[Valor custo]]</f>
        <v>624</v>
      </c>
      <c r="J1599" s="7">
        <f>Tabela1[[#This Row],[MARGEM BRUTA]]/Tabela1[[#This Row],[Valor total]]</f>
        <v>0.44892086330935249</v>
      </c>
      <c r="K1599" s="1" t="str">
        <f>VLOOKUP(Tabela1[[#This Row],[Cliente]],'BASE DE CLIENTES'!A:D,4,0)</f>
        <v>EMPRESA SEM MAQUINA</v>
      </c>
      <c r="L1599" s="1" t="str">
        <f>VLOOKUP(Tabela1[[#This Row],[Cliente]],'BASE DE CLIENTES'!A:E,5,0)</f>
        <v>CEILANDIA NORTE (CEILANDIA)</v>
      </c>
    </row>
    <row r="1600" spans="2:12" x14ac:dyDescent="0.3">
      <c r="B1600" s="1" t="s">
        <v>220</v>
      </c>
      <c r="C1600" s="4" t="str">
        <f>VLOOKUP(Tabela1[[#This Row],[Cliente]],'BASE DE CLIENTES'!A:E,2,0)</f>
        <v>Goiânia</v>
      </c>
      <c r="D1600" s="1" t="str">
        <f>VLOOKUP(Tabela1[[#This Row],[Cliente]],'BASE DE CLIENTES'!A:C,3,0)</f>
        <v>GO</v>
      </c>
      <c r="E1600" s="4" t="str">
        <f>CONCATENATE(Tabela1[[#This Row],[CIDADE]],",",Tabela1[[#This Row],[UF]])</f>
        <v>Goiânia,GO</v>
      </c>
      <c r="F1600" s="2">
        <v>45855</v>
      </c>
      <c r="G1600" s="17">
        <v>1904</v>
      </c>
      <c r="H1600" s="17">
        <v>3000</v>
      </c>
      <c r="I1600" s="6">
        <f>Tabela1[[#This Row],[Valor total]]-Tabela1[[#This Row],[Valor custo]]</f>
        <v>1096</v>
      </c>
      <c r="J1600" s="7">
        <f>Tabela1[[#This Row],[MARGEM BRUTA]]/Tabela1[[#This Row],[Valor total]]</f>
        <v>0.36533333333333334</v>
      </c>
      <c r="K1600" s="1" t="str">
        <f>VLOOKUP(Tabela1[[#This Row],[Cliente]],'BASE DE CLIENTES'!A:D,4,0)</f>
        <v>EMPRESA COM MAQUINA</v>
      </c>
      <c r="L1600" s="1" t="str">
        <f>VLOOKUP(Tabela1[[#This Row],[Cliente]],'BASE DE CLIENTES'!A:E,5,0)</f>
        <v>Goiânia</v>
      </c>
    </row>
    <row r="1601" spans="2:12" x14ac:dyDescent="0.3">
      <c r="B1601" s="1" t="s">
        <v>220</v>
      </c>
      <c r="C1601" s="4" t="str">
        <f>VLOOKUP(Tabela1[[#This Row],[Cliente]],'BASE DE CLIENTES'!A:E,2,0)</f>
        <v>Goiânia</v>
      </c>
      <c r="D1601" s="1" t="str">
        <f>VLOOKUP(Tabela1[[#This Row],[Cliente]],'BASE DE CLIENTES'!A:C,3,0)</f>
        <v>GO</v>
      </c>
      <c r="E1601" s="4" t="str">
        <f>CONCATENATE(Tabela1[[#This Row],[CIDADE]],",",Tabela1[[#This Row],[UF]])</f>
        <v>Goiânia,GO</v>
      </c>
      <c r="F1601" s="2">
        <v>45852</v>
      </c>
      <c r="G1601" s="17">
        <v>1105</v>
      </c>
      <c r="H1601" s="17">
        <v>1705</v>
      </c>
      <c r="I1601" s="6">
        <f>Tabela1[[#This Row],[Valor total]]-Tabela1[[#This Row],[Valor custo]]</f>
        <v>600</v>
      </c>
      <c r="J1601" s="7">
        <f>Tabela1[[#This Row],[MARGEM BRUTA]]/Tabela1[[#This Row],[Valor total]]</f>
        <v>0.35190615835777128</v>
      </c>
      <c r="K1601" s="1" t="str">
        <f>VLOOKUP(Tabela1[[#This Row],[Cliente]],'BASE DE CLIENTES'!A:D,4,0)</f>
        <v>EMPRESA COM MAQUINA</v>
      </c>
      <c r="L1601" s="1" t="str">
        <f>VLOOKUP(Tabela1[[#This Row],[Cliente]],'BASE DE CLIENTES'!A:E,5,0)</f>
        <v>Goiânia</v>
      </c>
    </row>
    <row r="1602" spans="2:12" x14ac:dyDescent="0.3">
      <c r="B1602" s="1" t="s">
        <v>206</v>
      </c>
      <c r="C1602" s="4" t="str">
        <f>VLOOKUP(Tabela1[[#This Row],[Cliente]],'BASE DE CLIENTES'!A:E,2,0)</f>
        <v>Goiânia</v>
      </c>
      <c r="D1602" s="1" t="str">
        <f>VLOOKUP(Tabela1[[#This Row],[Cliente]],'BASE DE CLIENTES'!A:C,3,0)</f>
        <v>GO</v>
      </c>
      <c r="E1602" s="4" t="str">
        <f>CONCATENATE(Tabela1[[#This Row],[CIDADE]],",",Tabela1[[#This Row],[UF]])</f>
        <v>Goiânia,GO</v>
      </c>
      <c r="F1602" s="2">
        <v>45848</v>
      </c>
      <c r="G1602" s="17">
        <v>5157</v>
      </c>
      <c r="H1602" s="17">
        <v>7680</v>
      </c>
      <c r="I1602" s="6">
        <f>Tabela1[[#This Row],[Valor total]]-Tabela1[[#This Row],[Valor custo]]</f>
        <v>2523</v>
      </c>
      <c r="J1602" s="7">
        <f>Tabela1[[#This Row],[MARGEM BRUTA]]/Tabela1[[#This Row],[Valor total]]</f>
        <v>0.32851562499999998</v>
      </c>
      <c r="K1602" s="1" t="str">
        <f>VLOOKUP(Tabela1[[#This Row],[Cliente]],'BASE DE CLIENTES'!A:D,4,0)</f>
        <v>EMPRESA COM MAQUINA</v>
      </c>
      <c r="L1602" s="1" t="str">
        <f>VLOOKUP(Tabela1[[#This Row],[Cliente]],'BASE DE CLIENTES'!A:E,5,0)</f>
        <v>Goiânia</v>
      </c>
    </row>
    <row r="1603" spans="2:12" x14ac:dyDescent="0.3">
      <c r="B1603" s="1" t="s">
        <v>221</v>
      </c>
      <c r="C1603" s="4" t="str">
        <f>VLOOKUP(Tabela1[[#This Row],[Cliente]],'BASE DE CLIENTES'!A:E,2,0)</f>
        <v>Goiânia</v>
      </c>
      <c r="D1603" s="1" t="str">
        <f>VLOOKUP(Tabela1[[#This Row],[Cliente]],'BASE DE CLIENTES'!A:C,3,0)</f>
        <v>GO</v>
      </c>
      <c r="E1603" s="4" t="str">
        <f>CONCATENATE(Tabela1[[#This Row],[CIDADE]],",",Tabela1[[#This Row],[UF]])</f>
        <v>Goiânia,GO</v>
      </c>
      <c r="F1603" s="2">
        <v>45848</v>
      </c>
      <c r="G1603" s="17">
        <v>2859.99</v>
      </c>
      <c r="H1603" s="17">
        <v>5350</v>
      </c>
      <c r="I1603" s="6">
        <f>Tabela1[[#This Row],[Valor total]]-Tabela1[[#This Row],[Valor custo]]</f>
        <v>2490.0100000000002</v>
      </c>
      <c r="J1603" s="7">
        <f>Tabela1[[#This Row],[MARGEM BRUTA]]/Tabela1[[#This Row],[Valor total]]</f>
        <v>0.46542242990654209</v>
      </c>
      <c r="K1603" s="1" t="str">
        <f>VLOOKUP(Tabela1[[#This Row],[Cliente]],'BASE DE CLIENTES'!A:D,4,0)</f>
        <v>EMPRESA COM MAQUINA</v>
      </c>
      <c r="L1603" s="1" t="str">
        <f>VLOOKUP(Tabela1[[#This Row],[Cliente]],'BASE DE CLIENTES'!A:E,5,0)</f>
        <v>Goiânia</v>
      </c>
    </row>
    <row r="1604" spans="2:12" x14ac:dyDescent="0.3">
      <c r="B1604" s="1" t="s">
        <v>55</v>
      </c>
      <c r="C1604" s="4" t="str">
        <f>VLOOKUP(Tabela1[[#This Row],[Cliente]],'BASE DE CLIENTES'!A:E,2,0)</f>
        <v>Brasília</v>
      </c>
      <c r="D1604" s="1" t="str">
        <f>VLOOKUP(Tabela1[[#This Row],[Cliente]],'BASE DE CLIENTES'!A:C,3,0)</f>
        <v>DF</v>
      </c>
      <c r="E1604" s="4" t="str">
        <f>CONCATENATE(Tabela1[[#This Row],[CIDADE]],",",Tabela1[[#This Row],[UF]])</f>
        <v>Brasília,DF</v>
      </c>
      <c r="F1604" s="2">
        <v>45862</v>
      </c>
      <c r="G1604" s="17">
        <v>477</v>
      </c>
      <c r="H1604" s="17">
        <v>840</v>
      </c>
      <c r="I1604" s="6">
        <f>Tabela1[[#This Row],[Valor total]]-Tabela1[[#This Row],[Valor custo]]</f>
        <v>363</v>
      </c>
      <c r="J1604" s="7">
        <f>Tabela1[[#This Row],[MARGEM BRUTA]]/Tabela1[[#This Row],[Valor total]]</f>
        <v>0.43214285714285716</v>
      </c>
      <c r="K1604" s="1" t="str">
        <f>VLOOKUP(Tabela1[[#This Row],[Cliente]],'BASE DE CLIENTES'!A:D,4,0)</f>
        <v>EMPRESA SEM MAQUINA</v>
      </c>
      <c r="L1604" s="1" t="str">
        <f>VLOOKUP(Tabela1[[#This Row],[Cliente]],'BASE DE CLIENTES'!A:E,5,0)</f>
        <v>RECANTO DAS EMAS</v>
      </c>
    </row>
    <row r="1605" spans="2:12" x14ac:dyDescent="0.3">
      <c r="B1605" s="1" t="s">
        <v>106</v>
      </c>
      <c r="C1605" s="4" t="str">
        <f>VLOOKUP(Tabela1[[#This Row],[Cliente]],'BASE DE CLIENTES'!A:E,2,0)</f>
        <v>Brasília</v>
      </c>
      <c r="D1605" s="1" t="str">
        <f>VLOOKUP(Tabela1[[#This Row],[Cliente]],'BASE DE CLIENTES'!A:C,3,0)</f>
        <v>DF</v>
      </c>
      <c r="E1605" s="4" t="str">
        <f>CONCATENATE(Tabela1[[#This Row],[CIDADE]],",",Tabela1[[#This Row],[UF]])</f>
        <v>Brasília,DF</v>
      </c>
      <c r="F1605" s="2">
        <v>45862</v>
      </c>
      <c r="G1605" s="17">
        <v>1529.2</v>
      </c>
      <c r="H1605" s="17">
        <v>2400</v>
      </c>
      <c r="I1605" s="6">
        <f>Tabela1[[#This Row],[Valor total]]-Tabela1[[#This Row],[Valor custo]]</f>
        <v>870.8</v>
      </c>
      <c r="J1605" s="7">
        <f>Tabela1[[#This Row],[MARGEM BRUTA]]/Tabela1[[#This Row],[Valor total]]</f>
        <v>0.36283333333333334</v>
      </c>
      <c r="K1605" s="1" t="str">
        <f>VLOOKUP(Tabela1[[#This Row],[Cliente]],'BASE DE CLIENTES'!A:D,4,0)</f>
        <v>EMPRESA COM MAQUINA</v>
      </c>
      <c r="L1605" s="1" t="str">
        <f>VLOOKUP(Tabela1[[#This Row],[Cliente]],'BASE DE CLIENTES'!A:E,5,0)</f>
        <v>26 DE SETEMBRO</v>
      </c>
    </row>
    <row r="1606" spans="2:12" x14ac:dyDescent="0.3">
      <c r="B1606" s="1" t="s">
        <v>120</v>
      </c>
      <c r="C1606" s="4" t="str">
        <f>VLOOKUP(Tabela1[[#This Row],[Cliente]],'BASE DE CLIENTES'!A:E,2,0)</f>
        <v>Brasília</v>
      </c>
      <c r="D1606" s="1" t="str">
        <f>VLOOKUP(Tabela1[[#This Row],[Cliente]],'BASE DE CLIENTES'!A:C,3,0)</f>
        <v>DF</v>
      </c>
      <c r="E1606" s="4" t="str">
        <f>CONCATENATE(Tabela1[[#This Row],[CIDADE]],",",Tabela1[[#This Row],[UF]])</f>
        <v>Brasília,DF</v>
      </c>
      <c r="F1606" s="2">
        <v>45916</v>
      </c>
      <c r="G1606" s="17">
        <v>482.79</v>
      </c>
      <c r="H1606" s="17">
        <v>715</v>
      </c>
      <c r="I1606" s="6">
        <f>Tabela1[[#This Row],[Valor total]]-Tabela1[[#This Row],[Valor custo]]</f>
        <v>232.20999999999998</v>
      </c>
      <c r="J1606" s="7">
        <f>Tabela1[[#This Row],[MARGEM BRUTA]]/Tabela1[[#This Row],[Valor total]]</f>
        <v>0.32476923076923075</v>
      </c>
      <c r="K1606" s="1" t="str">
        <f>VLOOKUP(Tabela1[[#This Row],[Cliente]],'BASE DE CLIENTES'!A:D,4,0)</f>
        <v>EMPRESA SEM MAQUINA</v>
      </c>
      <c r="L1606" s="1" t="str">
        <f>VLOOKUP(Tabela1[[#This Row],[Cliente]],'BASE DE CLIENTES'!A:E,5,0)</f>
        <v>SAMAMBAIA</v>
      </c>
    </row>
    <row r="1607" spans="2:12" x14ac:dyDescent="0.3">
      <c r="B1607" s="1" t="s">
        <v>199</v>
      </c>
      <c r="C1607" s="4" t="str">
        <f>VLOOKUP(Tabela1[[#This Row],[Cliente]],'BASE DE CLIENTES'!A:E,2,0)</f>
        <v>Goiânia</v>
      </c>
      <c r="D1607" s="1" t="str">
        <f>VLOOKUP(Tabela1[[#This Row],[Cliente]],'BASE DE CLIENTES'!A:C,3,0)</f>
        <v>GO</v>
      </c>
      <c r="E1607" s="4" t="str">
        <f>CONCATENATE(Tabela1[[#This Row],[CIDADE]],",",Tabela1[[#This Row],[UF]])</f>
        <v>Goiânia,GO</v>
      </c>
      <c r="F1607" s="2">
        <v>45847</v>
      </c>
      <c r="G1607" s="17">
        <v>5282</v>
      </c>
      <c r="H1607" s="17">
        <v>8659</v>
      </c>
      <c r="I1607" s="6">
        <f>Tabela1[[#This Row],[Valor total]]-Tabela1[[#This Row],[Valor custo]]</f>
        <v>3377</v>
      </c>
      <c r="J1607" s="7">
        <f>Tabela1[[#This Row],[MARGEM BRUTA]]/Tabela1[[#This Row],[Valor total]]</f>
        <v>0.38999884513223237</v>
      </c>
      <c r="K1607" s="1" t="str">
        <f>VLOOKUP(Tabela1[[#This Row],[Cliente]],'BASE DE CLIENTES'!A:D,4,0)</f>
        <v>EMPRESA COM MAQUINA</v>
      </c>
      <c r="L1607" s="1" t="str">
        <f>VLOOKUP(Tabela1[[#This Row],[Cliente]],'BASE DE CLIENTES'!A:E,5,0)</f>
        <v>Goiânia</v>
      </c>
    </row>
    <row r="1608" spans="2:12" x14ac:dyDescent="0.3">
      <c r="B1608" s="1" t="s">
        <v>68</v>
      </c>
      <c r="C1608" s="4" t="str">
        <f>VLOOKUP(Tabela1[[#This Row],[Cliente]],'BASE DE CLIENTES'!A:E,2,0)</f>
        <v>Brasília</v>
      </c>
      <c r="D1608" s="1" t="str">
        <f>VLOOKUP(Tabela1[[#This Row],[Cliente]],'BASE DE CLIENTES'!A:C,3,0)</f>
        <v>DF</v>
      </c>
      <c r="E1608" s="4" t="str">
        <f>CONCATENATE(Tabela1[[#This Row],[CIDADE]],",",Tabela1[[#This Row],[UF]])</f>
        <v>Brasília,DF</v>
      </c>
      <c r="F1608" s="2">
        <v>45861</v>
      </c>
      <c r="G1608" s="17">
        <v>49.21</v>
      </c>
      <c r="H1608" s="17">
        <v>80</v>
      </c>
      <c r="I1608" s="6">
        <f>Tabela1[[#This Row],[Valor total]]-Tabela1[[#This Row],[Valor custo]]</f>
        <v>30.79</v>
      </c>
      <c r="J1608" s="7">
        <f>Tabela1[[#This Row],[MARGEM BRUTA]]/Tabela1[[#This Row],[Valor total]]</f>
        <v>0.38487499999999997</v>
      </c>
      <c r="K1608" s="1" t="str">
        <f>VLOOKUP(Tabela1[[#This Row],[Cliente]],'BASE DE CLIENTES'!A:D,4,0)</f>
        <v>EMPRESA COM MAQUINA</v>
      </c>
      <c r="L1608" s="1" t="str">
        <f>VLOOKUP(Tabela1[[#This Row],[Cliente]],'BASE DE CLIENTES'!A:E,5,0)</f>
        <v>SAMAMBAIA SUL (SAMAMBAIA)</v>
      </c>
    </row>
    <row r="1609" spans="2:12" x14ac:dyDescent="0.3">
      <c r="B1609" s="1" t="s">
        <v>42</v>
      </c>
      <c r="C1609" s="4" t="str">
        <f>VLOOKUP(Tabela1[[#This Row],[Cliente]],'BASE DE CLIENTES'!A:E,2,0)</f>
        <v>Brasília</v>
      </c>
      <c r="D1609" s="1" t="str">
        <f>VLOOKUP(Tabela1[[#This Row],[Cliente]],'BASE DE CLIENTES'!A:C,3,0)</f>
        <v>DF</v>
      </c>
      <c r="E1609" s="4" t="str">
        <f>CONCATENATE(Tabela1[[#This Row],[CIDADE]],",",Tabela1[[#This Row],[UF]])</f>
        <v>Brasília,DF</v>
      </c>
      <c r="F1609" s="2">
        <v>45861</v>
      </c>
      <c r="G1609" s="17">
        <v>2351.9699999999998</v>
      </c>
      <c r="H1609" s="17">
        <v>3720</v>
      </c>
      <c r="I1609" s="6">
        <f>Tabela1[[#This Row],[Valor total]]-Tabela1[[#This Row],[Valor custo]]</f>
        <v>1368.0300000000002</v>
      </c>
      <c r="J1609" s="7">
        <f>Tabela1[[#This Row],[MARGEM BRUTA]]/Tabela1[[#This Row],[Valor total]]</f>
        <v>0.36775000000000008</v>
      </c>
      <c r="K1609" s="1" t="str">
        <f>VLOOKUP(Tabela1[[#This Row],[Cliente]],'BASE DE CLIENTES'!A:D,4,0)</f>
        <v>EMPRESA SEM MAQUINA</v>
      </c>
      <c r="L1609" s="1" t="str">
        <f>VLOOKUP(Tabela1[[#This Row],[Cliente]],'BASE DE CLIENTES'!A:E,5,0)</f>
        <v>SAMAMBAIA</v>
      </c>
    </row>
    <row r="1610" spans="2:12" x14ac:dyDescent="0.3">
      <c r="B1610" s="1" t="s">
        <v>195</v>
      </c>
      <c r="C1610" s="4" t="str">
        <f>VLOOKUP(Tabela1[[#This Row],[Cliente]],'BASE DE CLIENTES'!A:E,2,0)</f>
        <v>Goiânia</v>
      </c>
      <c r="D1610" s="1" t="str">
        <f>VLOOKUP(Tabela1[[#This Row],[Cliente]],'BASE DE CLIENTES'!A:C,3,0)</f>
        <v>GO</v>
      </c>
      <c r="E1610" s="4" t="str">
        <f>CONCATENATE(Tabela1[[#This Row],[CIDADE]],",",Tabela1[[#This Row],[UF]])</f>
        <v>Goiânia,GO</v>
      </c>
      <c r="F1610" s="2">
        <v>45842</v>
      </c>
      <c r="G1610" s="17">
        <v>757</v>
      </c>
      <c r="H1610" s="17">
        <v>1450</v>
      </c>
      <c r="I1610" s="6">
        <f>Tabela1[[#This Row],[Valor total]]-Tabela1[[#This Row],[Valor custo]]</f>
        <v>693</v>
      </c>
      <c r="J1610" s="7">
        <f>Tabela1[[#This Row],[MARGEM BRUTA]]/Tabela1[[#This Row],[Valor total]]</f>
        <v>0.47793103448275864</v>
      </c>
      <c r="K1610" s="1" t="str">
        <f>VLOOKUP(Tabela1[[#This Row],[Cliente]],'BASE DE CLIENTES'!A:D,4,0)</f>
        <v>EMPRESA COM MAQUINA</v>
      </c>
      <c r="L1610" s="1" t="str">
        <f>VLOOKUP(Tabela1[[#This Row],[Cliente]],'BASE DE CLIENTES'!A:E,5,0)</f>
        <v>Goiânia</v>
      </c>
    </row>
    <row r="1611" spans="2:12" x14ac:dyDescent="0.3">
      <c r="B1611" s="1" t="s">
        <v>223</v>
      </c>
      <c r="C1611" s="4" t="str">
        <f>VLOOKUP(Tabela1[[#This Row],[Cliente]],'BASE DE CLIENTES'!A:E,2,0)</f>
        <v>Goiânia</v>
      </c>
      <c r="D1611" s="1" t="str">
        <f>VLOOKUP(Tabela1[[#This Row],[Cliente]],'BASE DE CLIENTES'!A:C,3,0)</f>
        <v>GO</v>
      </c>
      <c r="E1611" s="4" t="str">
        <f>CONCATENATE(Tabela1[[#This Row],[CIDADE]],",",Tabela1[[#This Row],[UF]])</f>
        <v>Goiânia,GO</v>
      </c>
      <c r="F1611" s="2">
        <v>45840</v>
      </c>
      <c r="G1611" s="17">
        <v>725</v>
      </c>
      <c r="H1611" s="17">
        <v>1150</v>
      </c>
      <c r="I1611" s="6">
        <f>Tabela1[[#This Row],[Valor total]]-Tabela1[[#This Row],[Valor custo]]</f>
        <v>425</v>
      </c>
      <c r="J1611" s="7">
        <f>Tabela1[[#This Row],[MARGEM BRUTA]]/Tabela1[[#This Row],[Valor total]]</f>
        <v>0.36956521739130432</v>
      </c>
      <c r="K1611" s="1" t="str">
        <f>VLOOKUP(Tabela1[[#This Row],[Cliente]],'BASE DE CLIENTES'!A:D,4,0)</f>
        <v>EMPRESA COM MAQUINA</v>
      </c>
      <c r="L1611" s="1" t="str">
        <f>VLOOKUP(Tabela1[[#This Row],[Cliente]],'BASE DE CLIENTES'!A:E,5,0)</f>
        <v>Goiânia</v>
      </c>
    </row>
    <row r="1612" spans="2:12" x14ac:dyDescent="0.3">
      <c r="B1612" s="1" t="s">
        <v>165</v>
      </c>
      <c r="C1612" s="4" t="str">
        <f>VLOOKUP(Tabela1[[#This Row],[Cliente]],'BASE DE CLIENTES'!A:E,2,0)</f>
        <v>Brasília</v>
      </c>
      <c r="D1612" s="1" t="str">
        <f>VLOOKUP(Tabela1[[#This Row],[Cliente]],'BASE DE CLIENTES'!A:C,3,0)</f>
        <v>DF</v>
      </c>
      <c r="E1612" s="4" t="str">
        <f>CONCATENATE(Tabela1[[#This Row],[CIDADE]],",",Tabela1[[#This Row],[UF]])</f>
        <v>Brasília,DF</v>
      </c>
      <c r="F1612" s="2">
        <v>45861</v>
      </c>
      <c r="G1612" s="17">
        <v>289</v>
      </c>
      <c r="H1612" s="17">
        <v>550</v>
      </c>
      <c r="I1612" s="6">
        <f>Tabela1[[#This Row],[Valor total]]-Tabela1[[#This Row],[Valor custo]]</f>
        <v>261</v>
      </c>
      <c r="J1612" s="7">
        <f>Tabela1[[#This Row],[MARGEM BRUTA]]/Tabela1[[#This Row],[Valor total]]</f>
        <v>0.47454545454545455</v>
      </c>
      <c r="K1612" s="1" t="str">
        <f>VLOOKUP(Tabela1[[#This Row],[Cliente]],'BASE DE CLIENTES'!A:D,4,0)</f>
        <v>EMPRESA SEM MAQUINA</v>
      </c>
      <c r="L1612" s="1" t="str">
        <f>VLOOKUP(Tabela1[[#This Row],[Cliente]],'BASE DE CLIENTES'!A:E,5,0)</f>
        <v>SETOR HABITACIONAL VICENTE PIRES</v>
      </c>
    </row>
    <row r="1613" spans="2:12" x14ac:dyDescent="0.3">
      <c r="B1613" s="1" t="s">
        <v>52</v>
      </c>
      <c r="C1613" s="4" t="str">
        <f>VLOOKUP(Tabela1[[#This Row],[Cliente]],'BASE DE CLIENTES'!A:E,2,0)</f>
        <v>Brasília</v>
      </c>
      <c r="D1613" s="1" t="str">
        <f>VLOOKUP(Tabela1[[#This Row],[Cliente]],'BASE DE CLIENTES'!A:C,3,0)</f>
        <v>DF</v>
      </c>
      <c r="E1613" s="4" t="str">
        <f>CONCATENATE(Tabela1[[#This Row],[CIDADE]],",",Tabela1[[#This Row],[UF]])</f>
        <v>Brasília,DF</v>
      </c>
      <c r="F1613" s="2">
        <v>45861</v>
      </c>
      <c r="G1613" s="17">
        <v>2341.87</v>
      </c>
      <c r="H1613" s="17">
        <v>3961</v>
      </c>
      <c r="I1613" s="6">
        <f>Tabela1[[#This Row],[Valor total]]-Tabela1[[#This Row],[Valor custo]]</f>
        <v>1619.13</v>
      </c>
      <c r="J1613" s="7">
        <f>Tabela1[[#This Row],[MARGEM BRUTA]]/Tabela1[[#This Row],[Valor total]]</f>
        <v>0.40876798788184804</v>
      </c>
      <c r="K1613" s="1" t="str">
        <f>VLOOKUP(Tabela1[[#This Row],[Cliente]],'BASE DE CLIENTES'!A:D,4,0)</f>
        <v>SERRALHEIRO</v>
      </c>
      <c r="L1613" s="1" t="str">
        <f>VLOOKUP(Tabela1[[#This Row],[Cliente]],'BASE DE CLIENTES'!A:E,5,0)</f>
        <v>Ceilândia Sul (Ceilândia)</v>
      </c>
    </row>
    <row r="1614" spans="2:12" x14ac:dyDescent="0.3">
      <c r="B1614" s="1" t="s">
        <v>221</v>
      </c>
      <c r="C1614" s="4" t="str">
        <f>VLOOKUP(Tabela1[[#This Row],[Cliente]],'BASE DE CLIENTES'!A:E,2,0)</f>
        <v>Goiânia</v>
      </c>
      <c r="D1614" s="1" t="str">
        <f>VLOOKUP(Tabela1[[#This Row],[Cliente]],'BASE DE CLIENTES'!A:C,3,0)</f>
        <v>GO</v>
      </c>
      <c r="E1614" s="4" t="str">
        <f>CONCATENATE(Tabela1[[#This Row],[CIDADE]],",",Tabela1[[#This Row],[UF]])</f>
        <v>Goiânia,GO</v>
      </c>
      <c r="F1614" s="2">
        <v>45840</v>
      </c>
      <c r="G1614" s="17">
        <v>5785</v>
      </c>
      <c r="H1614" s="17">
        <v>9700</v>
      </c>
      <c r="I1614" s="6">
        <f>Tabela1[[#This Row],[Valor total]]-Tabela1[[#This Row],[Valor custo]]</f>
        <v>3915</v>
      </c>
      <c r="J1614" s="7">
        <f>Tabela1[[#This Row],[MARGEM BRUTA]]/Tabela1[[#This Row],[Valor total]]</f>
        <v>0.40360824742268042</v>
      </c>
      <c r="K1614" s="1" t="str">
        <f>VLOOKUP(Tabela1[[#This Row],[Cliente]],'BASE DE CLIENTES'!A:D,4,0)</f>
        <v>EMPRESA COM MAQUINA</v>
      </c>
      <c r="L1614" s="1" t="str">
        <f>VLOOKUP(Tabela1[[#This Row],[Cliente]],'BASE DE CLIENTES'!A:E,5,0)</f>
        <v>Goiânia</v>
      </c>
    </row>
    <row r="1615" spans="2:12" x14ac:dyDescent="0.3">
      <c r="B1615" s="1" t="s">
        <v>206</v>
      </c>
      <c r="C1615" s="4" t="str">
        <f>VLOOKUP(Tabela1[[#This Row],[Cliente]],'BASE DE CLIENTES'!A:E,2,0)</f>
        <v>Goiânia</v>
      </c>
      <c r="D1615" s="1" t="str">
        <f>VLOOKUP(Tabela1[[#This Row],[Cliente]],'BASE DE CLIENTES'!A:C,3,0)</f>
        <v>GO</v>
      </c>
      <c r="E1615" s="4" t="str">
        <f>CONCATENATE(Tabela1[[#This Row],[CIDADE]],",",Tabela1[[#This Row],[UF]])</f>
        <v>Goiânia,GO</v>
      </c>
      <c r="F1615" s="2">
        <v>45840</v>
      </c>
      <c r="G1615" s="17">
        <v>16919</v>
      </c>
      <c r="H1615" s="17">
        <v>21210</v>
      </c>
      <c r="I1615" s="6">
        <f>Tabela1[[#This Row],[Valor total]]-Tabela1[[#This Row],[Valor custo]]</f>
        <v>4291</v>
      </c>
      <c r="J1615" s="7">
        <f>Tabela1[[#This Row],[MARGEM BRUTA]]/Tabela1[[#This Row],[Valor total]]</f>
        <v>0.2023102310231023</v>
      </c>
      <c r="K1615" s="1" t="str">
        <f>VLOOKUP(Tabela1[[#This Row],[Cliente]],'BASE DE CLIENTES'!A:D,4,0)</f>
        <v>EMPRESA COM MAQUINA</v>
      </c>
      <c r="L1615" s="1" t="str">
        <f>VLOOKUP(Tabela1[[#This Row],[Cliente]],'BASE DE CLIENTES'!A:E,5,0)</f>
        <v>Goiânia</v>
      </c>
    </row>
    <row r="1616" spans="2:12" x14ac:dyDescent="0.3">
      <c r="B1616" s="1" t="s">
        <v>220</v>
      </c>
      <c r="C1616" s="4" t="str">
        <f>VLOOKUP(Tabela1[[#This Row],[Cliente]],'BASE DE CLIENTES'!A:E,2,0)</f>
        <v>Goiânia</v>
      </c>
      <c r="D1616" s="1" t="str">
        <f>VLOOKUP(Tabela1[[#This Row],[Cliente]],'BASE DE CLIENTES'!A:C,3,0)</f>
        <v>GO</v>
      </c>
      <c r="E1616" s="4" t="str">
        <f>CONCATENATE(Tabela1[[#This Row],[CIDADE]],",",Tabela1[[#This Row],[UF]])</f>
        <v>Goiânia,GO</v>
      </c>
      <c r="F1616" s="2">
        <v>45840</v>
      </c>
      <c r="G1616" s="17">
        <v>5655</v>
      </c>
      <c r="H1616" s="17">
        <v>8649</v>
      </c>
      <c r="I1616" s="6">
        <f>Tabela1[[#This Row],[Valor total]]-Tabela1[[#This Row],[Valor custo]]</f>
        <v>2994</v>
      </c>
      <c r="J1616" s="7">
        <f>Tabela1[[#This Row],[MARGEM BRUTA]]/Tabela1[[#This Row],[Valor total]]</f>
        <v>0.34616718695802984</v>
      </c>
      <c r="K1616" s="1" t="str">
        <f>VLOOKUP(Tabela1[[#This Row],[Cliente]],'BASE DE CLIENTES'!A:D,4,0)</f>
        <v>EMPRESA COM MAQUINA</v>
      </c>
      <c r="L1616" s="1" t="str">
        <f>VLOOKUP(Tabela1[[#This Row],[Cliente]],'BASE DE CLIENTES'!A:E,5,0)</f>
        <v>Goiânia</v>
      </c>
    </row>
    <row r="1617" spans="2:12" x14ac:dyDescent="0.3">
      <c r="B1617" s="1" t="s">
        <v>199</v>
      </c>
      <c r="C1617" s="4" t="str">
        <f>VLOOKUP(Tabela1[[#This Row],[Cliente]],'BASE DE CLIENTES'!A:E,2,0)</f>
        <v>Goiânia</v>
      </c>
      <c r="D1617" s="1" t="str">
        <f>VLOOKUP(Tabela1[[#This Row],[Cliente]],'BASE DE CLIENTES'!A:C,3,0)</f>
        <v>GO</v>
      </c>
      <c r="E1617" s="4" t="str">
        <f>CONCATENATE(Tabela1[[#This Row],[CIDADE]],",",Tabela1[[#This Row],[UF]])</f>
        <v>Goiânia,GO</v>
      </c>
      <c r="F1617" s="2">
        <v>45839</v>
      </c>
      <c r="G1617" s="17">
        <v>5129.5</v>
      </c>
      <c r="H1617" s="17">
        <v>7800</v>
      </c>
      <c r="I1617" s="6">
        <f>Tabela1[[#This Row],[Valor total]]-Tabela1[[#This Row],[Valor custo]]</f>
        <v>2670.5</v>
      </c>
      <c r="J1617" s="7">
        <f>Tabela1[[#This Row],[MARGEM BRUTA]]/Tabela1[[#This Row],[Valor total]]</f>
        <v>0.34237179487179487</v>
      </c>
      <c r="K1617" s="1" t="str">
        <f>VLOOKUP(Tabela1[[#This Row],[Cliente]],'BASE DE CLIENTES'!A:D,4,0)</f>
        <v>EMPRESA COM MAQUINA</v>
      </c>
      <c r="L1617" s="1" t="str">
        <f>VLOOKUP(Tabela1[[#This Row],[Cliente]],'BASE DE CLIENTES'!A:E,5,0)</f>
        <v>Goiânia</v>
      </c>
    </row>
    <row r="1618" spans="2:12" x14ac:dyDescent="0.3">
      <c r="B1618" s="1" t="s">
        <v>38</v>
      </c>
      <c r="C1618" s="4" t="str">
        <f>VLOOKUP(Tabela1[[#This Row],[Cliente]],'BASE DE CLIENTES'!A:E,2,0)</f>
        <v>Brasília</v>
      </c>
      <c r="D1618" s="1" t="str">
        <f>VLOOKUP(Tabela1[[#This Row],[Cliente]],'BASE DE CLIENTES'!A:C,3,0)</f>
        <v>DF</v>
      </c>
      <c r="E1618" s="4" t="str">
        <f>CONCATENATE(Tabela1[[#This Row],[CIDADE]],",",Tabela1[[#This Row],[UF]])</f>
        <v>Brasília,DF</v>
      </c>
      <c r="F1618" s="2">
        <v>45861</v>
      </c>
      <c r="G1618" s="17">
        <v>649</v>
      </c>
      <c r="H1618" s="17">
        <v>1250</v>
      </c>
      <c r="I1618" s="6">
        <f>Tabela1[[#This Row],[Valor total]]-Tabela1[[#This Row],[Valor custo]]</f>
        <v>601</v>
      </c>
      <c r="J1618" s="7">
        <f>Tabela1[[#This Row],[MARGEM BRUTA]]/Tabela1[[#This Row],[Valor total]]</f>
        <v>0.48080000000000001</v>
      </c>
      <c r="K1618" s="1" t="str">
        <f>VLOOKUP(Tabela1[[#This Row],[Cliente]],'BASE DE CLIENTES'!A:D,4,0)</f>
        <v>EMPRESA SEM MAQUINA</v>
      </c>
      <c r="L1618" s="1" t="str">
        <f>VLOOKUP(Tabela1[[#This Row],[Cliente]],'BASE DE CLIENTES'!A:E,5,0)</f>
        <v>PONTE ALTA NORTE (GAMA)</v>
      </c>
    </row>
    <row r="1619" spans="2:12" x14ac:dyDescent="0.3">
      <c r="B1619" s="1" t="s">
        <v>42</v>
      </c>
      <c r="C1619" s="4" t="str">
        <f>VLOOKUP(Tabela1[[#This Row],[Cliente]],'BASE DE CLIENTES'!A:E,2,0)</f>
        <v>Brasília</v>
      </c>
      <c r="D1619" s="1" t="str">
        <f>VLOOKUP(Tabela1[[#This Row],[Cliente]],'BASE DE CLIENTES'!A:C,3,0)</f>
        <v>DF</v>
      </c>
      <c r="E1619" s="4" t="str">
        <f>CONCATENATE(Tabela1[[#This Row],[CIDADE]],",",Tabela1[[#This Row],[UF]])</f>
        <v>Brasília,DF</v>
      </c>
      <c r="F1619" s="2">
        <v>45860</v>
      </c>
      <c r="G1619" s="17">
        <v>382.3</v>
      </c>
      <c r="H1619" s="17">
        <v>515</v>
      </c>
      <c r="I1619" s="6">
        <f>Tabela1[[#This Row],[Valor total]]-Tabela1[[#This Row],[Valor custo]]</f>
        <v>132.69999999999999</v>
      </c>
      <c r="J1619" s="7">
        <f>Tabela1[[#This Row],[MARGEM BRUTA]]/Tabela1[[#This Row],[Valor total]]</f>
        <v>0.25766990291262132</v>
      </c>
      <c r="K1619" s="1" t="str">
        <f>VLOOKUP(Tabela1[[#This Row],[Cliente]],'BASE DE CLIENTES'!A:D,4,0)</f>
        <v>EMPRESA SEM MAQUINA</v>
      </c>
      <c r="L1619" s="1" t="str">
        <f>VLOOKUP(Tabela1[[#This Row],[Cliente]],'BASE DE CLIENTES'!A:E,5,0)</f>
        <v>SAMAMBAIA</v>
      </c>
    </row>
    <row r="1620" spans="2:12" x14ac:dyDescent="0.3">
      <c r="B1620" s="1" t="s">
        <v>70</v>
      </c>
      <c r="C1620" s="4" t="str">
        <f>VLOOKUP(Tabela1[[#This Row],[Cliente]],'BASE DE CLIENTES'!A:E,2,0)</f>
        <v>Brasília</v>
      </c>
      <c r="D1620" s="1" t="str">
        <f>VLOOKUP(Tabela1[[#This Row],[Cliente]],'BASE DE CLIENTES'!A:C,3,0)</f>
        <v>DF</v>
      </c>
      <c r="E1620" s="4" t="str">
        <f>CONCATENATE(Tabela1[[#This Row],[CIDADE]],",",Tabela1[[#This Row],[UF]])</f>
        <v>Brasília,DF</v>
      </c>
      <c r="F1620" s="2">
        <v>45860</v>
      </c>
      <c r="G1620" s="17">
        <v>649</v>
      </c>
      <c r="H1620" s="17">
        <v>1150</v>
      </c>
      <c r="I1620" s="6">
        <f>Tabela1[[#This Row],[Valor total]]-Tabela1[[#This Row],[Valor custo]]</f>
        <v>501</v>
      </c>
      <c r="J1620" s="7">
        <f>Tabela1[[#This Row],[MARGEM BRUTA]]/Tabela1[[#This Row],[Valor total]]</f>
        <v>0.43565217391304351</v>
      </c>
      <c r="K1620" s="1" t="str">
        <f>VLOOKUP(Tabela1[[#This Row],[Cliente]],'BASE DE CLIENTES'!A:D,4,0)</f>
        <v>EMPRESA COM MAQUINA</v>
      </c>
      <c r="L1620" s="1" t="str">
        <f>VLOOKUP(Tabela1[[#This Row],[Cliente]],'BASE DE CLIENTES'!A:E,5,0)</f>
        <v>TAGUATINGA NORTE (TAGUATINGA)</v>
      </c>
    </row>
    <row r="1621" spans="2:12" x14ac:dyDescent="0.3">
      <c r="B1621" s="1" t="s">
        <v>230</v>
      </c>
      <c r="C1621" s="4" t="str">
        <f>VLOOKUP(Tabela1[[#This Row],[Cliente]],'BASE DE CLIENTES'!A:E,2,0)</f>
        <v>Brasília</v>
      </c>
      <c r="D1621" s="1" t="str">
        <f>VLOOKUP(Tabela1[[#This Row],[Cliente]],'BASE DE CLIENTES'!A:C,3,0)</f>
        <v>DF</v>
      </c>
      <c r="E1621" s="4" t="str">
        <f>CONCATENATE(Tabela1[[#This Row],[CIDADE]],",",Tabela1[[#This Row],[UF]])</f>
        <v>Brasília,DF</v>
      </c>
      <c r="F1621" s="2">
        <v>45860</v>
      </c>
      <c r="G1621" s="17">
        <v>865.58</v>
      </c>
      <c r="H1621" s="17">
        <v>1440</v>
      </c>
      <c r="I1621" s="6">
        <f>Tabela1[[#This Row],[Valor total]]-Tabela1[[#This Row],[Valor custo]]</f>
        <v>574.41999999999996</v>
      </c>
      <c r="J1621" s="7">
        <f>Tabela1[[#This Row],[MARGEM BRUTA]]/Tabela1[[#This Row],[Valor total]]</f>
        <v>0.39890277777777777</v>
      </c>
      <c r="K1621" s="1" t="str">
        <f>VLOOKUP(Tabela1[[#This Row],[Cliente]],'BASE DE CLIENTES'!A:D,4,0)</f>
        <v>SERRALHEIRO</v>
      </c>
      <c r="L1621" s="1" t="str">
        <f>VLOOKUP(Tabela1[[#This Row],[Cliente]],'BASE DE CLIENTES'!A:E,5,0)</f>
        <v>SETOR HABITACIONAL SAMAMBAIA (VICENTE PIRES)</v>
      </c>
    </row>
    <row r="1622" spans="2:12" x14ac:dyDescent="0.3">
      <c r="B1622" s="1" t="s">
        <v>220</v>
      </c>
      <c r="C1622" s="4" t="str">
        <f>VLOOKUP(Tabela1[[#This Row],[Cliente]],'BASE DE CLIENTES'!A:E,2,0)</f>
        <v>Goiânia</v>
      </c>
      <c r="D1622" s="1" t="str">
        <f>VLOOKUP(Tabela1[[#This Row],[Cliente]],'BASE DE CLIENTES'!A:C,3,0)</f>
        <v>GO</v>
      </c>
      <c r="E1622" s="4" t="str">
        <f>CONCATENATE(Tabela1[[#This Row],[CIDADE]],",",Tabela1[[#This Row],[UF]])</f>
        <v>Goiânia,GO</v>
      </c>
      <c r="F1622" s="2">
        <v>45898</v>
      </c>
      <c r="G1622" s="17">
        <v>2482</v>
      </c>
      <c r="H1622" s="17">
        <v>3920</v>
      </c>
      <c r="I1622" s="6">
        <f>Tabela1[[#This Row],[Valor total]]-Tabela1[[#This Row],[Valor custo]]</f>
        <v>1438</v>
      </c>
      <c r="J1622" s="7">
        <f>Tabela1[[#This Row],[MARGEM BRUTA]]/Tabela1[[#This Row],[Valor total]]</f>
        <v>0.36683673469387756</v>
      </c>
      <c r="K1622" s="1" t="str">
        <f>VLOOKUP(Tabela1[[#This Row],[Cliente]],'BASE DE CLIENTES'!A:D,4,0)</f>
        <v>EMPRESA COM MAQUINA</v>
      </c>
      <c r="L1622" s="1" t="str">
        <f>VLOOKUP(Tabela1[[#This Row],[Cliente]],'BASE DE CLIENTES'!A:E,5,0)</f>
        <v>Goiânia</v>
      </c>
    </row>
    <row r="1623" spans="2:12" x14ac:dyDescent="0.3">
      <c r="B1623" s="1" t="s">
        <v>52</v>
      </c>
      <c r="C1623" s="4" t="str">
        <f>VLOOKUP(Tabela1[[#This Row],[Cliente]],'BASE DE CLIENTES'!A:E,2,0)</f>
        <v>Brasília</v>
      </c>
      <c r="D1623" s="1" t="str">
        <f>VLOOKUP(Tabela1[[#This Row],[Cliente]],'BASE DE CLIENTES'!A:C,3,0)</f>
        <v>DF</v>
      </c>
      <c r="E1623" s="4" t="str">
        <f>CONCATENATE(Tabela1[[#This Row],[CIDADE]],",",Tabela1[[#This Row],[UF]])</f>
        <v>Brasília,DF</v>
      </c>
      <c r="F1623" s="2">
        <v>45860</v>
      </c>
      <c r="G1623" s="17">
        <v>382.3</v>
      </c>
      <c r="H1623" s="17">
        <v>645</v>
      </c>
      <c r="I1623" s="6">
        <f>Tabela1[[#This Row],[Valor total]]-Tabela1[[#This Row],[Valor custo]]</f>
        <v>262.7</v>
      </c>
      <c r="J1623" s="7">
        <f>Tabela1[[#This Row],[MARGEM BRUTA]]/Tabela1[[#This Row],[Valor total]]</f>
        <v>0.40728682170542635</v>
      </c>
      <c r="K1623" s="1" t="str">
        <f>VLOOKUP(Tabela1[[#This Row],[Cliente]],'BASE DE CLIENTES'!A:D,4,0)</f>
        <v>SERRALHEIRO</v>
      </c>
      <c r="L1623" s="1" t="str">
        <f>VLOOKUP(Tabela1[[#This Row],[Cliente]],'BASE DE CLIENTES'!A:E,5,0)</f>
        <v>Ceilândia Sul (Ceilândia)</v>
      </c>
    </row>
    <row r="1624" spans="2:12" x14ac:dyDescent="0.3">
      <c r="B1624" s="1" t="s">
        <v>236</v>
      </c>
      <c r="C1624" s="4" t="str">
        <f>VLOOKUP(Tabela1[[#This Row],[Cliente]],'BASE DE CLIENTES'!A:E,2,0)</f>
        <v>Goiânia</v>
      </c>
      <c r="D1624" s="1" t="str">
        <f>VLOOKUP(Tabela1[[#This Row],[Cliente]],'BASE DE CLIENTES'!A:C,3,0)</f>
        <v>GO</v>
      </c>
      <c r="E1624" s="4" t="str">
        <f>CONCATENATE(Tabela1[[#This Row],[CIDADE]],",",Tabela1[[#This Row],[UF]])</f>
        <v>Goiânia,GO</v>
      </c>
      <c r="F1624" s="2">
        <v>45898</v>
      </c>
      <c r="G1624" s="17">
        <v>4025.19</v>
      </c>
      <c r="H1624" s="17">
        <v>5533</v>
      </c>
      <c r="I1624" s="6">
        <f>Tabela1[[#This Row],[Valor total]]-Tabela1[[#This Row],[Valor custo]]</f>
        <v>1507.81</v>
      </c>
      <c r="J1624" s="7">
        <f>Tabela1[[#This Row],[MARGEM BRUTA]]/Tabela1[[#This Row],[Valor total]]</f>
        <v>0.27251219953009215</v>
      </c>
      <c r="K1624" s="1" t="str">
        <f>VLOOKUP(Tabela1[[#This Row],[Cliente]],'BASE DE CLIENTES'!A:D,4,0)</f>
        <v>EMPRESA COM MAQUINA</v>
      </c>
      <c r="L1624" s="1" t="str">
        <f>VLOOKUP(Tabela1[[#This Row],[Cliente]],'BASE DE CLIENTES'!A:E,5,0)</f>
        <v>Goiânia</v>
      </c>
    </row>
    <row r="1625" spans="2:12" x14ac:dyDescent="0.3">
      <c r="B1625" s="1" t="s">
        <v>197</v>
      </c>
      <c r="C1625" s="4" t="str">
        <f>VLOOKUP(Tabela1[[#This Row],[Cliente]],'BASE DE CLIENTES'!A:E,2,0)</f>
        <v>Goiânia</v>
      </c>
      <c r="D1625" s="1" t="str">
        <f>VLOOKUP(Tabela1[[#This Row],[Cliente]],'BASE DE CLIENTES'!A:C,3,0)</f>
        <v>GO</v>
      </c>
      <c r="E1625" s="4" t="str">
        <f>CONCATENATE(Tabela1[[#This Row],[CIDADE]],",",Tabela1[[#This Row],[UF]])</f>
        <v>Goiânia,GO</v>
      </c>
      <c r="F1625" s="2">
        <v>45897</v>
      </c>
      <c r="G1625" s="17">
        <v>938</v>
      </c>
      <c r="H1625" s="17">
        <v>1600</v>
      </c>
      <c r="I1625" s="6">
        <f>Tabela1[[#This Row],[Valor total]]-Tabela1[[#This Row],[Valor custo]]</f>
        <v>662</v>
      </c>
      <c r="J1625" s="7">
        <f>Tabela1[[#This Row],[MARGEM BRUTA]]/Tabela1[[#This Row],[Valor total]]</f>
        <v>0.41375000000000001</v>
      </c>
      <c r="K1625" s="1" t="str">
        <f>VLOOKUP(Tabela1[[#This Row],[Cliente]],'BASE DE CLIENTES'!A:D,4,0)</f>
        <v>EMPRESA COM MAQUINA</v>
      </c>
      <c r="L1625" s="1" t="str">
        <f>VLOOKUP(Tabela1[[#This Row],[Cliente]],'BASE DE CLIENTES'!A:E,5,0)</f>
        <v>Goiânia</v>
      </c>
    </row>
    <row r="1626" spans="2:12" x14ac:dyDescent="0.3">
      <c r="B1626" s="1" t="s">
        <v>27</v>
      </c>
      <c r="C1626" s="4" t="str">
        <f>VLOOKUP(Tabela1[[#This Row],[Cliente]],'BASE DE CLIENTES'!A:E,2,0)</f>
        <v>Brasília</v>
      </c>
      <c r="D1626" s="1" t="str">
        <f>VLOOKUP(Tabela1[[#This Row],[Cliente]],'BASE DE CLIENTES'!A:C,3,0)</f>
        <v>DF</v>
      </c>
      <c r="E1626" s="4" t="str">
        <f>CONCATENATE(Tabela1[[#This Row],[CIDADE]],",",Tabela1[[#This Row],[UF]])</f>
        <v>Brasília,DF</v>
      </c>
      <c r="F1626" s="2">
        <v>45860</v>
      </c>
      <c r="G1626" s="17">
        <v>491</v>
      </c>
      <c r="H1626" s="17">
        <v>650</v>
      </c>
      <c r="I1626" s="6">
        <f>Tabela1[[#This Row],[Valor total]]-Tabela1[[#This Row],[Valor custo]]</f>
        <v>159</v>
      </c>
      <c r="J1626" s="7">
        <f>Tabela1[[#This Row],[MARGEM BRUTA]]/Tabela1[[#This Row],[Valor total]]</f>
        <v>0.24461538461538462</v>
      </c>
      <c r="K1626" s="1" t="str">
        <f>VLOOKUP(Tabela1[[#This Row],[Cliente]],'BASE DE CLIENTES'!A:D,4,0)</f>
        <v>EMPRESA SEM MAQUINA</v>
      </c>
      <c r="L1626" s="1" t="str">
        <f>VLOOKUP(Tabela1[[#This Row],[Cliente]],'BASE DE CLIENTES'!A:E,5,0)</f>
        <v>RECANTO DAS EMAS</v>
      </c>
    </row>
    <row r="1627" spans="2:12" x14ac:dyDescent="0.3">
      <c r="B1627" s="1" t="s">
        <v>107</v>
      </c>
      <c r="C1627" s="4" t="str">
        <f>VLOOKUP(Tabela1[[#This Row],[Cliente]],'BASE DE CLIENTES'!A:E,2,0)</f>
        <v>Planaltina</v>
      </c>
      <c r="D1627" s="1" t="str">
        <f>VLOOKUP(Tabela1[[#This Row],[Cliente]],'BASE DE CLIENTES'!A:C,3,0)</f>
        <v>DF</v>
      </c>
      <c r="E1627" s="4" t="str">
        <f>CONCATENATE(Tabela1[[#This Row],[CIDADE]],",",Tabela1[[#This Row],[UF]])</f>
        <v>Planaltina,DF</v>
      </c>
      <c r="F1627" s="2">
        <v>45860</v>
      </c>
      <c r="G1627" s="17">
        <v>1219.5999999999999</v>
      </c>
      <c r="H1627" s="17">
        <v>1970</v>
      </c>
      <c r="I1627" s="6">
        <f>Tabela1[[#This Row],[Valor total]]-Tabela1[[#This Row],[Valor custo]]</f>
        <v>750.40000000000009</v>
      </c>
      <c r="J1627" s="7">
        <f>Tabela1[[#This Row],[MARGEM BRUTA]]/Tabela1[[#This Row],[Valor total]]</f>
        <v>0.38091370558375637</v>
      </c>
      <c r="K1627" s="1" t="str">
        <f>VLOOKUP(Tabela1[[#This Row],[Cliente]],'BASE DE CLIENTES'!A:D,4,0)</f>
        <v>EMPRESA COM MAQUINA</v>
      </c>
      <c r="L1627" s="1" t="str">
        <f>VLOOKUP(Tabela1[[#This Row],[Cliente]],'BASE DE CLIENTES'!A:E,5,0)</f>
        <v>SETOR LESTE</v>
      </c>
    </row>
    <row r="1628" spans="2:12" x14ac:dyDescent="0.3">
      <c r="B1628" s="1" t="s">
        <v>199</v>
      </c>
      <c r="C1628" s="4" t="str">
        <f>VLOOKUP(Tabela1[[#This Row],[Cliente]],'BASE DE CLIENTES'!A:E,2,0)</f>
        <v>Goiânia</v>
      </c>
      <c r="D1628" s="1" t="str">
        <f>VLOOKUP(Tabela1[[#This Row],[Cliente]],'BASE DE CLIENTES'!A:C,3,0)</f>
        <v>GO</v>
      </c>
      <c r="E1628" s="4" t="str">
        <f>CONCATENATE(Tabela1[[#This Row],[CIDADE]],",",Tabela1[[#This Row],[UF]])</f>
        <v>Goiânia,GO</v>
      </c>
      <c r="F1628" s="2">
        <v>45896</v>
      </c>
      <c r="G1628" s="17">
        <v>1800</v>
      </c>
      <c r="H1628" s="17">
        <v>3000</v>
      </c>
      <c r="I1628" s="6">
        <f>Tabela1[[#This Row],[Valor total]]-Tabela1[[#This Row],[Valor custo]]</f>
        <v>1200</v>
      </c>
      <c r="J1628" s="7">
        <f>Tabela1[[#This Row],[MARGEM BRUTA]]/Tabela1[[#This Row],[Valor total]]</f>
        <v>0.4</v>
      </c>
      <c r="K1628" s="1" t="str">
        <f>VLOOKUP(Tabela1[[#This Row],[Cliente]],'BASE DE CLIENTES'!A:D,4,0)</f>
        <v>EMPRESA COM MAQUINA</v>
      </c>
      <c r="L1628" s="1" t="str">
        <f>VLOOKUP(Tabela1[[#This Row],[Cliente]],'BASE DE CLIENTES'!A:E,5,0)</f>
        <v>Goiânia</v>
      </c>
    </row>
    <row r="1629" spans="2:12" x14ac:dyDescent="0.3">
      <c r="B1629" s="1" t="s">
        <v>27</v>
      </c>
      <c r="C1629" s="4" t="str">
        <f>VLOOKUP(Tabela1[[#This Row],[Cliente]],'BASE DE CLIENTES'!A:E,2,0)</f>
        <v>Brasília</v>
      </c>
      <c r="D1629" s="1" t="str">
        <f>VLOOKUP(Tabela1[[#This Row],[Cliente]],'BASE DE CLIENTES'!A:C,3,0)</f>
        <v>DF</v>
      </c>
      <c r="E1629" s="4" t="str">
        <f>CONCATENATE(Tabela1[[#This Row],[CIDADE]],",",Tabela1[[#This Row],[UF]])</f>
        <v>Brasília,DF</v>
      </c>
      <c r="F1629" s="2">
        <v>45860</v>
      </c>
      <c r="G1629" s="17">
        <v>534</v>
      </c>
      <c r="H1629" s="17">
        <v>690</v>
      </c>
      <c r="I1629" s="6">
        <f>Tabela1[[#This Row],[Valor total]]-Tabela1[[#This Row],[Valor custo]]</f>
        <v>156</v>
      </c>
      <c r="J1629" s="7">
        <f>Tabela1[[#This Row],[MARGEM BRUTA]]/Tabela1[[#This Row],[Valor total]]</f>
        <v>0.22608695652173913</v>
      </c>
      <c r="K1629" s="1" t="str">
        <f>VLOOKUP(Tabela1[[#This Row],[Cliente]],'BASE DE CLIENTES'!A:D,4,0)</f>
        <v>EMPRESA SEM MAQUINA</v>
      </c>
      <c r="L1629" s="1" t="str">
        <f>VLOOKUP(Tabela1[[#This Row],[Cliente]],'BASE DE CLIENTES'!A:E,5,0)</f>
        <v>RECANTO DAS EMAS</v>
      </c>
    </row>
    <row r="1630" spans="2:12" x14ac:dyDescent="0.3">
      <c r="B1630" s="1" t="s">
        <v>169</v>
      </c>
      <c r="C1630" s="4" t="str">
        <f>VLOOKUP(Tabela1[[#This Row],[Cliente]],'BASE DE CLIENTES'!A:E,2,0)</f>
        <v>Planaltina</v>
      </c>
      <c r="D1630" s="1" t="str">
        <f>VLOOKUP(Tabela1[[#This Row],[Cliente]],'BASE DE CLIENTES'!A:C,3,0)</f>
        <v>GO</v>
      </c>
      <c r="E1630" s="4" t="str">
        <f>CONCATENATE(Tabela1[[#This Row],[CIDADE]],",",Tabela1[[#This Row],[UF]])</f>
        <v>Planaltina,GO</v>
      </c>
      <c r="F1630" s="2">
        <v>45860</v>
      </c>
      <c r="G1630" s="17">
        <v>432.79</v>
      </c>
      <c r="H1630" s="17">
        <v>720</v>
      </c>
      <c r="I1630" s="6">
        <f>Tabela1[[#This Row],[Valor total]]-Tabela1[[#This Row],[Valor custo]]</f>
        <v>287.20999999999998</v>
      </c>
      <c r="J1630" s="7">
        <f>Tabela1[[#This Row],[MARGEM BRUTA]]/Tabela1[[#This Row],[Valor total]]</f>
        <v>0.39890277777777777</v>
      </c>
      <c r="K1630" s="1" t="str">
        <f>VLOOKUP(Tabela1[[#This Row],[Cliente]],'BASE DE CLIENTES'!A:D,4,0)</f>
        <v>SERRALHEIRO</v>
      </c>
      <c r="L1630" s="1" t="str">
        <f>VLOOKUP(Tabela1[[#This Row],[Cliente]],'BASE DE CLIENTES'!A:E,5,0)</f>
        <v>Planaltina</v>
      </c>
    </row>
    <row r="1631" spans="2:12" x14ac:dyDescent="0.3">
      <c r="B1631" s="1" t="s">
        <v>99</v>
      </c>
      <c r="C1631" s="4" t="str">
        <f>VLOOKUP(Tabela1[[#This Row],[Cliente]],'BASE DE CLIENTES'!A:E,2,0)</f>
        <v>Brasília</v>
      </c>
      <c r="D1631" s="1" t="str">
        <f>VLOOKUP(Tabela1[[#This Row],[Cliente]],'BASE DE CLIENTES'!A:C,3,0)</f>
        <v>DF</v>
      </c>
      <c r="E1631" s="4" t="str">
        <f>CONCATENATE(Tabela1[[#This Row],[CIDADE]],",",Tabela1[[#This Row],[UF]])</f>
        <v>Brasília,DF</v>
      </c>
      <c r="F1631" s="2">
        <v>45860</v>
      </c>
      <c r="G1631" s="17">
        <v>2093.6</v>
      </c>
      <c r="H1631" s="17">
        <v>3420</v>
      </c>
      <c r="I1631" s="6">
        <f>Tabela1[[#This Row],[Valor total]]-Tabela1[[#This Row],[Valor custo]]</f>
        <v>1326.4</v>
      </c>
      <c r="J1631" s="7">
        <f>Tabela1[[#This Row],[MARGEM BRUTA]]/Tabela1[[#This Row],[Valor total]]</f>
        <v>0.38783625730994153</v>
      </c>
      <c r="K1631" s="1" t="str">
        <f>VLOOKUP(Tabela1[[#This Row],[Cliente]],'BASE DE CLIENTES'!A:D,4,0)</f>
        <v>EMPRESA COM MAQUINA</v>
      </c>
      <c r="L1631" s="1" t="str">
        <f>VLOOKUP(Tabela1[[#This Row],[Cliente]],'BASE DE CLIENTES'!A:E,5,0)</f>
        <v>ARAPOANGA (PLANALTINA)</v>
      </c>
    </row>
    <row r="1632" spans="2:12" x14ac:dyDescent="0.3">
      <c r="B1632" s="1" t="s">
        <v>161</v>
      </c>
      <c r="C1632" s="4" t="str">
        <f>VLOOKUP(Tabela1[[#This Row],[Cliente]],'BASE DE CLIENTES'!A:E,2,0)</f>
        <v>Brasília</v>
      </c>
      <c r="D1632" s="1" t="str">
        <f>VLOOKUP(Tabela1[[#This Row],[Cliente]],'BASE DE CLIENTES'!A:C,3,0)</f>
        <v>DF</v>
      </c>
      <c r="E1632" s="4" t="str">
        <f>CONCATENATE(Tabela1[[#This Row],[CIDADE]],",",Tabela1[[#This Row],[UF]])</f>
        <v>Brasília,DF</v>
      </c>
      <c r="F1632" s="2">
        <v>45860</v>
      </c>
      <c r="G1632" s="17">
        <v>6469.7</v>
      </c>
      <c r="H1632" s="17">
        <v>10220</v>
      </c>
      <c r="I1632" s="6">
        <f>Tabela1[[#This Row],[Valor total]]-Tabela1[[#This Row],[Valor custo]]</f>
        <v>3750.3</v>
      </c>
      <c r="J1632" s="7">
        <f>Tabela1[[#This Row],[MARGEM BRUTA]]/Tabela1[[#This Row],[Valor total]]</f>
        <v>0.36695694716242661</v>
      </c>
      <c r="K1632" s="1" t="str">
        <f>VLOOKUP(Tabela1[[#This Row],[Cliente]],'BASE DE CLIENTES'!A:D,4,0)</f>
        <v>EMPRESA COM MAQUINA</v>
      </c>
      <c r="L1632" s="1" t="str">
        <f>VLOOKUP(Tabela1[[#This Row],[Cliente]],'BASE DE CLIENTES'!A:E,5,0)</f>
        <v>RIACHO FUNDO II</v>
      </c>
    </row>
    <row r="1633" spans="2:12" x14ac:dyDescent="0.3">
      <c r="B1633" s="1" t="s">
        <v>15</v>
      </c>
      <c r="C1633" s="4" t="str">
        <f>VLOOKUP(Tabela1[[#This Row],[Cliente]],'BASE DE CLIENTES'!A:E,2,0)</f>
        <v>Brasília</v>
      </c>
      <c r="D1633" s="1" t="str">
        <f>VLOOKUP(Tabela1[[#This Row],[Cliente]],'BASE DE CLIENTES'!A:C,3,0)</f>
        <v>DF</v>
      </c>
      <c r="E1633" s="4" t="str">
        <f>CONCATENATE(Tabela1[[#This Row],[CIDADE]],",",Tabela1[[#This Row],[UF]])</f>
        <v>Brasília,DF</v>
      </c>
      <c r="F1633" s="2">
        <v>45860</v>
      </c>
      <c r="G1633" s="17">
        <v>1842.79</v>
      </c>
      <c r="H1633" s="17">
        <v>4000</v>
      </c>
      <c r="I1633" s="6">
        <f>Tabela1[[#This Row],[Valor total]]-Tabela1[[#This Row],[Valor custo]]</f>
        <v>2157.21</v>
      </c>
      <c r="J1633" s="7">
        <f>Tabela1[[#This Row],[MARGEM BRUTA]]/Tabela1[[#This Row],[Valor total]]</f>
        <v>0.53930250000000002</v>
      </c>
      <c r="K1633" s="1" t="str">
        <f>VLOOKUP(Tabela1[[#This Row],[Cliente]],'BASE DE CLIENTES'!A:D,4,0)</f>
        <v>SERRALHEIRO</v>
      </c>
      <c r="L1633" s="1" t="str">
        <f>VLOOKUP(Tabela1[[#This Row],[Cliente]],'BASE DE CLIENTES'!A:E,5,0)</f>
        <v>SETOR HABITACIONAL VICENTE PIRES</v>
      </c>
    </row>
    <row r="1634" spans="2:12" x14ac:dyDescent="0.3">
      <c r="B1634" s="1" t="s">
        <v>236</v>
      </c>
      <c r="C1634" s="4" t="str">
        <f>VLOOKUP(Tabela1[[#This Row],[Cliente]],'BASE DE CLIENTES'!A:E,2,0)</f>
        <v>Goiânia</v>
      </c>
      <c r="D1634" s="1" t="str">
        <f>VLOOKUP(Tabela1[[#This Row],[Cliente]],'BASE DE CLIENTES'!A:C,3,0)</f>
        <v>GO</v>
      </c>
      <c r="E1634" s="4" t="str">
        <f>CONCATENATE(Tabela1[[#This Row],[CIDADE]],",",Tabela1[[#This Row],[UF]])</f>
        <v>Goiânia,GO</v>
      </c>
      <c r="F1634" s="2">
        <v>45896</v>
      </c>
      <c r="G1634" s="17">
        <v>2618.9499999999998</v>
      </c>
      <c r="H1634" s="17">
        <v>3500</v>
      </c>
      <c r="I1634" s="6">
        <f>Tabela1[[#This Row],[Valor total]]-Tabela1[[#This Row],[Valor custo]]</f>
        <v>881.05000000000018</v>
      </c>
      <c r="J1634" s="7">
        <f>Tabela1[[#This Row],[MARGEM BRUTA]]/Tabela1[[#This Row],[Valor total]]</f>
        <v>0.25172857142857147</v>
      </c>
      <c r="K1634" s="1" t="str">
        <f>VLOOKUP(Tabela1[[#This Row],[Cliente]],'BASE DE CLIENTES'!A:D,4,0)</f>
        <v>EMPRESA COM MAQUINA</v>
      </c>
      <c r="L1634" s="1" t="str">
        <f>VLOOKUP(Tabela1[[#This Row],[Cliente]],'BASE DE CLIENTES'!A:E,5,0)</f>
        <v>Goiânia</v>
      </c>
    </row>
    <row r="1635" spans="2:12" x14ac:dyDescent="0.3">
      <c r="B1635" s="1" t="s">
        <v>52</v>
      </c>
      <c r="C1635" s="4" t="str">
        <f>VLOOKUP(Tabela1[[#This Row],[Cliente]],'BASE DE CLIENTES'!A:E,2,0)</f>
        <v>Brasília</v>
      </c>
      <c r="D1635" s="1" t="str">
        <f>VLOOKUP(Tabela1[[#This Row],[Cliente]],'BASE DE CLIENTES'!A:C,3,0)</f>
        <v>DF</v>
      </c>
      <c r="E1635" s="4" t="str">
        <f>CONCATENATE(Tabela1[[#This Row],[CIDADE]],",",Tabela1[[#This Row],[UF]])</f>
        <v>Brasília,DF</v>
      </c>
      <c r="F1635" s="2">
        <v>45859</v>
      </c>
      <c r="G1635" s="17">
        <v>1019.5</v>
      </c>
      <c r="H1635" s="17">
        <v>1725</v>
      </c>
      <c r="I1635" s="6">
        <f>Tabela1[[#This Row],[Valor total]]-Tabela1[[#This Row],[Valor custo]]</f>
        <v>705.5</v>
      </c>
      <c r="J1635" s="7">
        <f>Tabela1[[#This Row],[MARGEM BRUTA]]/Tabela1[[#This Row],[Valor total]]</f>
        <v>0.40898550724637683</v>
      </c>
      <c r="K1635" s="1" t="str">
        <f>VLOOKUP(Tabela1[[#This Row],[Cliente]],'BASE DE CLIENTES'!A:D,4,0)</f>
        <v>SERRALHEIRO</v>
      </c>
      <c r="L1635" s="1" t="str">
        <f>VLOOKUP(Tabela1[[#This Row],[Cliente]],'BASE DE CLIENTES'!A:E,5,0)</f>
        <v>Ceilândia Sul (Ceilândia)</v>
      </c>
    </row>
    <row r="1636" spans="2:12" x14ac:dyDescent="0.3">
      <c r="B1636" s="1" t="s">
        <v>220</v>
      </c>
      <c r="C1636" s="4" t="str">
        <f>VLOOKUP(Tabela1[[#This Row],[Cliente]],'BASE DE CLIENTES'!A:E,2,0)</f>
        <v>Goiânia</v>
      </c>
      <c r="D1636" s="1" t="str">
        <f>VLOOKUP(Tabela1[[#This Row],[Cliente]],'BASE DE CLIENTES'!A:C,3,0)</f>
        <v>GO</v>
      </c>
      <c r="E1636" s="4" t="str">
        <f>CONCATENATE(Tabela1[[#This Row],[CIDADE]],",",Tabela1[[#This Row],[UF]])</f>
        <v>Goiânia,GO</v>
      </c>
      <c r="F1636" s="2">
        <v>45895</v>
      </c>
      <c r="G1636" s="17">
        <v>289</v>
      </c>
      <c r="H1636" s="17">
        <v>600</v>
      </c>
      <c r="I1636" s="6">
        <f>Tabela1[[#This Row],[Valor total]]-Tabela1[[#This Row],[Valor custo]]</f>
        <v>311</v>
      </c>
      <c r="J1636" s="7">
        <f>Tabela1[[#This Row],[MARGEM BRUTA]]/Tabela1[[#This Row],[Valor total]]</f>
        <v>0.51833333333333331</v>
      </c>
      <c r="K1636" s="1" t="str">
        <f>VLOOKUP(Tabela1[[#This Row],[Cliente]],'BASE DE CLIENTES'!A:D,4,0)</f>
        <v>EMPRESA COM MAQUINA</v>
      </c>
      <c r="L1636" s="1" t="str">
        <f>VLOOKUP(Tabela1[[#This Row],[Cliente]],'BASE DE CLIENTES'!A:E,5,0)</f>
        <v>Goiânia</v>
      </c>
    </row>
    <row r="1637" spans="2:12" x14ac:dyDescent="0.3">
      <c r="B1637" s="1" t="s">
        <v>70</v>
      </c>
      <c r="C1637" s="4" t="str">
        <f>VLOOKUP(Tabela1[[#This Row],[Cliente]],'BASE DE CLIENTES'!A:E,2,0)</f>
        <v>Brasília</v>
      </c>
      <c r="D1637" s="1" t="str">
        <f>VLOOKUP(Tabela1[[#This Row],[Cliente]],'BASE DE CLIENTES'!A:C,3,0)</f>
        <v>DF</v>
      </c>
      <c r="E1637" s="4" t="str">
        <f>CONCATENATE(Tabela1[[#This Row],[CIDADE]],",",Tabela1[[#This Row],[UF]])</f>
        <v>Brasília,DF</v>
      </c>
      <c r="F1637" s="2">
        <v>45859</v>
      </c>
      <c r="G1637" s="17">
        <v>477</v>
      </c>
      <c r="H1637" s="17">
        <v>810</v>
      </c>
      <c r="I1637" s="6">
        <f>Tabela1[[#This Row],[Valor total]]-Tabela1[[#This Row],[Valor custo]]</f>
        <v>333</v>
      </c>
      <c r="J1637" s="7">
        <f>Tabela1[[#This Row],[MARGEM BRUTA]]/Tabela1[[#This Row],[Valor total]]</f>
        <v>0.41111111111111109</v>
      </c>
      <c r="K1637" s="1" t="str">
        <f>VLOOKUP(Tabela1[[#This Row],[Cliente]],'BASE DE CLIENTES'!A:D,4,0)</f>
        <v>EMPRESA COM MAQUINA</v>
      </c>
      <c r="L1637" s="1" t="str">
        <f>VLOOKUP(Tabela1[[#This Row],[Cliente]],'BASE DE CLIENTES'!A:E,5,0)</f>
        <v>TAGUATINGA NORTE (TAGUATINGA)</v>
      </c>
    </row>
    <row r="1638" spans="2:12" x14ac:dyDescent="0.3">
      <c r="B1638" s="1" t="s">
        <v>199</v>
      </c>
      <c r="C1638" s="4" t="str">
        <f>VLOOKUP(Tabela1[[#This Row],[Cliente]],'BASE DE CLIENTES'!A:E,2,0)</f>
        <v>Goiânia</v>
      </c>
      <c r="D1638" s="1" t="str">
        <f>VLOOKUP(Tabela1[[#This Row],[Cliente]],'BASE DE CLIENTES'!A:C,3,0)</f>
        <v>GO</v>
      </c>
      <c r="E1638" s="4" t="str">
        <f>CONCATENATE(Tabela1[[#This Row],[CIDADE]],",",Tabela1[[#This Row],[UF]])</f>
        <v>Goiânia,GO</v>
      </c>
      <c r="F1638" s="2">
        <v>45889</v>
      </c>
      <c r="G1638" s="17">
        <v>144.19999999999999</v>
      </c>
      <c r="H1638" s="17">
        <v>500</v>
      </c>
      <c r="I1638" s="6">
        <f>Tabela1[[#This Row],[Valor total]]-Tabela1[[#This Row],[Valor custo]]</f>
        <v>355.8</v>
      </c>
      <c r="J1638" s="7">
        <f>Tabela1[[#This Row],[MARGEM BRUTA]]/Tabela1[[#This Row],[Valor total]]</f>
        <v>0.71160000000000001</v>
      </c>
      <c r="K1638" s="1" t="str">
        <f>VLOOKUP(Tabela1[[#This Row],[Cliente]],'BASE DE CLIENTES'!A:D,4,0)</f>
        <v>EMPRESA COM MAQUINA</v>
      </c>
      <c r="L1638" s="1" t="str">
        <f>VLOOKUP(Tabela1[[#This Row],[Cliente]],'BASE DE CLIENTES'!A:E,5,0)</f>
        <v>Goiânia</v>
      </c>
    </row>
    <row r="1639" spans="2:12" x14ac:dyDescent="0.3">
      <c r="B1639" s="1" t="s">
        <v>98</v>
      </c>
      <c r="C1639" s="4" t="str">
        <f>VLOOKUP(Tabela1[[#This Row],[Cliente]],'BASE DE CLIENTES'!A:E,2,0)</f>
        <v>Brasília</v>
      </c>
      <c r="D1639" s="1" t="str">
        <f>VLOOKUP(Tabela1[[#This Row],[Cliente]],'BASE DE CLIENTES'!A:C,3,0)</f>
        <v>DF</v>
      </c>
      <c r="E1639" s="4" t="str">
        <f>CONCATENATE(Tabela1[[#This Row],[CIDADE]],",",Tabela1[[#This Row],[UF]])</f>
        <v>Brasília,DF</v>
      </c>
      <c r="F1639" s="2">
        <v>45859</v>
      </c>
      <c r="G1639" s="17">
        <v>268.45999999999998</v>
      </c>
      <c r="H1639" s="17">
        <v>600</v>
      </c>
      <c r="I1639" s="6">
        <f>Tabela1[[#This Row],[Valor total]]-Tabela1[[#This Row],[Valor custo]]</f>
        <v>331.54</v>
      </c>
      <c r="J1639" s="7">
        <f>Tabela1[[#This Row],[MARGEM BRUTA]]/Tabela1[[#This Row],[Valor total]]</f>
        <v>0.55256666666666665</v>
      </c>
      <c r="K1639" s="1" t="str">
        <f>VLOOKUP(Tabela1[[#This Row],[Cliente]],'BASE DE CLIENTES'!A:D,4,0)</f>
        <v>SERRALHEIRO</v>
      </c>
      <c r="L1639" s="1" t="str">
        <f>VLOOKUP(Tabela1[[#This Row],[Cliente]],'BASE DE CLIENTES'!A:E,5,0)</f>
        <v>SANTA MARIA</v>
      </c>
    </row>
    <row r="1640" spans="2:12" x14ac:dyDescent="0.3">
      <c r="B1640" s="1" t="s">
        <v>236</v>
      </c>
      <c r="C1640" s="4" t="str">
        <f>VLOOKUP(Tabela1[[#This Row],[Cliente]],'BASE DE CLIENTES'!A:E,2,0)</f>
        <v>Goiânia</v>
      </c>
      <c r="D1640" s="1" t="str">
        <f>VLOOKUP(Tabela1[[#This Row],[Cliente]],'BASE DE CLIENTES'!A:C,3,0)</f>
        <v>GO</v>
      </c>
      <c r="E1640" s="4" t="str">
        <f>CONCATENATE(Tabela1[[#This Row],[CIDADE]],",",Tabela1[[#This Row],[UF]])</f>
        <v>Goiânia,GO</v>
      </c>
      <c r="F1640" s="2">
        <v>45888</v>
      </c>
      <c r="G1640" s="17">
        <v>2568.79</v>
      </c>
      <c r="H1640" s="17">
        <v>3770</v>
      </c>
      <c r="I1640" s="6">
        <f>Tabela1[[#This Row],[Valor total]]-Tabela1[[#This Row],[Valor custo]]</f>
        <v>1201.21</v>
      </c>
      <c r="J1640" s="7">
        <f>Tabela1[[#This Row],[MARGEM BRUTA]]/Tabela1[[#This Row],[Valor total]]</f>
        <v>0.31862334217506633</v>
      </c>
      <c r="K1640" s="1" t="str">
        <f>VLOOKUP(Tabela1[[#This Row],[Cliente]],'BASE DE CLIENTES'!A:D,4,0)</f>
        <v>EMPRESA COM MAQUINA</v>
      </c>
      <c r="L1640" s="1" t="str">
        <f>VLOOKUP(Tabela1[[#This Row],[Cliente]],'BASE DE CLIENTES'!A:E,5,0)</f>
        <v>Goiânia</v>
      </c>
    </row>
    <row r="1641" spans="2:12" x14ac:dyDescent="0.3">
      <c r="B1641" s="1" t="s">
        <v>204</v>
      </c>
      <c r="C1641" s="4" t="str">
        <f>VLOOKUP(Tabela1[[#This Row],[Cliente]],'BASE DE CLIENTES'!A:E,2,0)</f>
        <v>Goiânia</v>
      </c>
      <c r="D1641" s="1" t="str">
        <f>VLOOKUP(Tabela1[[#This Row],[Cliente]],'BASE DE CLIENTES'!A:C,3,0)</f>
        <v>GO</v>
      </c>
      <c r="E1641" s="4" t="str">
        <f>CONCATENATE(Tabela1[[#This Row],[CIDADE]],",",Tabela1[[#This Row],[UF]])</f>
        <v>Goiânia,GO</v>
      </c>
      <c r="F1641" s="2">
        <v>45888</v>
      </c>
      <c r="G1641" s="17">
        <v>293.13</v>
      </c>
      <c r="H1641" s="17">
        <v>390</v>
      </c>
      <c r="I1641" s="6">
        <f>Tabela1[[#This Row],[Valor total]]-Tabela1[[#This Row],[Valor custo]]</f>
        <v>96.87</v>
      </c>
      <c r="J1641" s="7">
        <f>Tabela1[[#This Row],[MARGEM BRUTA]]/Tabela1[[#This Row],[Valor total]]</f>
        <v>0.2483846153846154</v>
      </c>
      <c r="K1641" s="1" t="str">
        <f>VLOOKUP(Tabela1[[#This Row],[Cliente]],'BASE DE CLIENTES'!A:D,4,0)</f>
        <v>EMPRESA COM MAQUINA</v>
      </c>
      <c r="L1641" s="1" t="str">
        <f>VLOOKUP(Tabela1[[#This Row],[Cliente]],'BASE DE CLIENTES'!A:E,5,0)</f>
        <v>Goiânia</v>
      </c>
    </row>
    <row r="1642" spans="2:12" x14ac:dyDescent="0.3">
      <c r="B1642" s="1" t="s">
        <v>52</v>
      </c>
      <c r="C1642" s="4" t="str">
        <f>VLOOKUP(Tabela1[[#This Row],[Cliente]],'BASE DE CLIENTES'!A:E,2,0)</f>
        <v>Brasília</v>
      </c>
      <c r="D1642" s="1" t="str">
        <f>VLOOKUP(Tabela1[[#This Row],[Cliente]],'BASE DE CLIENTES'!A:C,3,0)</f>
        <v>DF</v>
      </c>
      <c r="E1642" s="4" t="str">
        <f>CONCATENATE(Tabela1[[#This Row],[CIDADE]],",",Tabela1[[#This Row],[UF]])</f>
        <v>Brasília,DF</v>
      </c>
      <c r="F1642" s="2">
        <v>45859</v>
      </c>
      <c r="G1642" s="17">
        <v>0</v>
      </c>
      <c r="H1642" s="17">
        <v>360</v>
      </c>
      <c r="I1642" s="6">
        <f>Tabela1[[#This Row],[Valor total]]-Tabela1[[#This Row],[Valor custo]]</f>
        <v>360</v>
      </c>
      <c r="J1642" s="7">
        <f>Tabela1[[#This Row],[MARGEM BRUTA]]/Tabela1[[#This Row],[Valor total]]</f>
        <v>1</v>
      </c>
      <c r="K1642" s="1" t="str">
        <f>VLOOKUP(Tabela1[[#This Row],[Cliente]],'BASE DE CLIENTES'!A:D,4,0)</f>
        <v>SERRALHEIRO</v>
      </c>
      <c r="L1642" s="1" t="str">
        <f>VLOOKUP(Tabela1[[#This Row],[Cliente]],'BASE DE CLIENTES'!A:E,5,0)</f>
        <v>Ceilândia Sul (Ceilândia)</v>
      </c>
    </row>
    <row r="1643" spans="2:12" x14ac:dyDescent="0.3">
      <c r="B1643" s="1" t="s">
        <v>199</v>
      </c>
      <c r="C1643" s="4" t="str">
        <f>VLOOKUP(Tabela1[[#This Row],[Cliente]],'BASE DE CLIENTES'!A:E,2,0)</f>
        <v>Goiânia</v>
      </c>
      <c r="D1643" s="1" t="str">
        <f>VLOOKUP(Tabela1[[#This Row],[Cliente]],'BASE DE CLIENTES'!A:C,3,0)</f>
        <v>GO</v>
      </c>
      <c r="E1643" s="4" t="str">
        <f>CONCATENATE(Tabela1[[#This Row],[CIDADE]],",",Tabela1[[#This Row],[UF]])</f>
        <v>Goiânia,GO</v>
      </c>
      <c r="F1643" s="2">
        <v>45884</v>
      </c>
      <c r="G1643" s="17">
        <v>954</v>
      </c>
      <c r="H1643" s="17">
        <v>1620</v>
      </c>
      <c r="I1643" s="6">
        <f>Tabela1[[#This Row],[Valor total]]-Tabela1[[#This Row],[Valor custo]]</f>
        <v>666</v>
      </c>
      <c r="J1643" s="7">
        <f>Tabela1[[#This Row],[MARGEM BRUTA]]/Tabela1[[#This Row],[Valor total]]</f>
        <v>0.41111111111111109</v>
      </c>
      <c r="K1643" s="1" t="str">
        <f>VLOOKUP(Tabela1[[#This Row],[Cliente]],'BASE DE CLIENTES'!A:D,4,0)</f>
        <v>EMPRESA COM MAQUINA</v>
      </c>
      <c r="L1643" s="1" t="str">
        <f>VLOOKUP(Tabela1[[#This Row],[Cliente]],'BASE DE CLIENTES'!A:E,5,0)</f>
        <v>Goiânia</v>
      </c>
    </row>
    <row r="1644" spans="2:12" x14ac:dyDescent="0.3">
      <c r="B1644" s="1" t="s">
        <v>237</v>
      </c>
      <c r="C1644" s="4" t="str">
        <f>VLOOKUP(Tabela1[[#This Row],[Cliente]],'BASE DE CLIENTES'!A:E,2,0)</f>
        <v>Brasília</v>
      </c>
      <c r="D1644" s="1" t="str">
        <f>VLOOKUP(Tabela1[[#This Row],[Cliente]],'BASE DE CLIENTES'!A:C,3,0)</f>
        <v>DF</v>
      </c>
      <c r="E1644" s="4" t="str">
        <f>CONCATENATE(Tabela1[[#This Row],[CIDADE]],",",Tabela1[[#This Row],[UF]])</f>
        <v>Brasília,DF</v>
      </c>
      <c r="F1644" s="2">
        <v>45873</v>
      </c>
      <c r="G1644" s="17">
        <v>293.13</v>
      </c>
      <c r="H1644" s="17">
        <v>400</v>
      </c>
      <c r="I1644" s="6">
        <f>Tabela1[[#This Row],[Valor total]]-Tabela1[[#This Row],[Valor custo]]</f>
        <v>106.87</v>
      </c>
      <c r="J1644" s="7">
        <f>Tabela1[[#This Row],[MARGEM BRUTA]]/Tabela1[[#This Row],[Valor total]]</f>
        <v>0.267175</v>
      </c>
      <c r="K1644" s="1" t="str">
        <f>VLOOKUP(Tabela1[[#This Row],[Cliente]],'BASE DE CLIENTES'!A:D,4,0)</f>
        <v>SEM CLASSIFICAÇÃO</v>
      </c>
      <c r="L1644" s="1" t="str">
        <f>VLOOKUP(Tabela1[[#This Row],[Cliente]],'BASE DE CLIENTES'!A:E,5,0)</f>
        <v>ÁGUAS CLARAS</v>
      </c>
    </row>
    <row r="1645" spans="2:12" x14ac:dyDescent="0.3">
      <c r="B1645" s="1" t="s">
        <v>238</v>
      </c>
      <c r="C1645" s="4" t="str">
        <f>VLOOKUP(Tabela1[[#This Row],[Cliente]],'BASE DE CLIENTES'!A:E,2,0)</f>
        <v>Brasília</v>
      </c>
      <c r="D1645" s="1" t="str">
        <f>VLOOKUP(Tabela1[[#This Row],[Cliente]],'BASE DE CLIENTES'!A:C,3,0)</f>
        <v>DF</v>
      </c>
      <c r="E1645" s="4" t="str">
        <f>CONCATENATE(Tabela1[[#This Row],[CIDADE]],",",Tabela1[[#This Row],[UF]])</f>
        <v>Brasília,DF</v>
      </c>
      <c r="F1645" s="2">
        <v>45859</v>
      </c>
      <c r="G1645" s="17">
        <v>293.13</v>
      </c>
      <c r="H1645" s="17">
        <v>634</v>
      </c>
      <c r="I1645" s="6">
        <f>Tabela1[[#This Row],[Valor total]]-Tabela1[[#This Row],[Valor custo]]</f>
        <v>340.87</v>
      </c>
      <c r="J1645" s="7">
        <f>Tabela1[[#This Row],[MARGEM BRUTA]]/Tabela1[[#This Row],[Valor total]]</f>
        <v>0.53764984227129342</v>
      </c>
      <c r="K1645" s="1" t="str">
        <f>VLOOKUP(Tabela1[[#This Row],[Cliente]],'BASE DE CLIENTES'!A:D,4,0)</f>
        <v>CLIENTE FECHADURA</v>
      </c>
      <c r="L1645" s="1" t="str">
        <f>VLOOKUP(Tabela1[[#This Row],[Cliente]],'BASE DE CLIENTES'!A:E,5,0)</f>
        <v>Taguatinga Norte (Taguatinga)</v>
      </c>
    </row>
    <row r="1646" spans="2:12" x14ac:dyDescent="0.3">
      <c r="B1646" s="1" t="s">
        <v>204</v>
      </c>
      <c r="C1646" s="4" t="str">
        <f>VLOOKUP(Tabela1[[#This Row],[Cliente]],'BASE DE CLIENTES'!A:E,2,0)</f>
        <v>Goiânia</v>
      </c>
      <c r="D1646" s="1" t="str">
        <f>VLOOKUP(Tabela1[[#This Row],[Cliente]],'BASE DE CLIENTES'!A:C,3,0)</f>
        <v>GO</v>
      </c>
      <c r="E1646" s="4" t="str">
        <f>CONCATENATE(Tabela1[[#This Row],[CIDADE]],",",Tabela1[[#This Row],[UF]])</f>
        <v>Goiânia,GO</v>
      </c>
      <c r="F1646" s="2">
        <v>45883</v>
      </c>
      <c r="G1646" s="17">
        <v>35392.5</v>
      </c>
      <c r="H1646" s="17">
        <v>51798</v>
      </c>
      <c r="I1646" s="6">
        <f>Tabela1[[#This Row],[Valor total]]-Tabela1[[#This Row],[Valor custo]]</f>
        <v>16405.5</v>
      </c>
      <c r="J1646" s="7">
        <f>Tabela1[[#This Row],[MARGEM BRUTA]]/Tabela1[[#This Row],[Valor total]]</f>
        <v>0.31672072280783042</v>
      </c>
      <c r="K1646" s="1" t="str">
        <f>VLOOKUP(Tabela1[[#This Row],[Cliente]],'BASE DE CLIENTES'!A:D,4,0)</f>
        <v>EMPRESA COM MAQUINA</v>
      </c>
      <c r="L1646" s="1" t="str">
        <f>VLOOKUP(Tabela1[[#This Row],[Cliente]],'BASE DE CLIENTES'!A:E,5,0)</f>
        <v>Goiânia</v>
      </c>
    </row>
    <row r="1647" spans="2:12" x14ac:dyDescent="0.3">
      <c r="B1647" s="1" t="s">
        <v>199</v>
      </c>
      <c r="C1647" s="4" t="str">
        <f>VLOOKUP(Tabela1[[#This Row],[Cliente]],'BASE DE CLIENTES'!A:E,2,0)</f>
        <v>Goiânia</v>
      </c>
      <c r="D1647" s="1" t="str">
        <f>VLOOKUP(Tabela1[[#This Row],[Cliente]],'BASE DE CLIENTES'!A:C,3,0)</f>
        <v>GO</v>
      </c>
      <c r="E1647" s="4" t="str">
        <f>CONCATENATE(Tabela1[[#This Row],[CIDADE]],",",Tabela1[[#This Row],[UF]])</f>
        <v>Goiânia,GO</v>
      </c>
      <c r="F1647" s="2">
        <v>45882</v>
      </c>
      <c r="G1647" s="17">
        <v>1044.2</v>
      </c>
      <c r="H1647" s="17">
        <v>2000</v>
      </c>
      <c r="I1647" s="6">
        <f>Tabela1[[#This Row],[Valor total]]-Tabela1[[#This Row],[Valor custo]]</f>
        <v>955.8</v>
      </c>
      <c r="J1647" s="7">
        <f>Tabela1[[#This Row],[MARGEM BRUTA]]/Tabela1[[#This Row],[Valor total]]</f>
        <v>0.47789999999999999</v>
      </c>
      <c r="K1647" s="1" t="str">
        <f>VLOOKUP(Tabela1[[#This Row],[Cliente]],'BASE DE CLIENTES'!A:D,4,0)</f>
        <v>EMPRESA COM MAQUINA</v>
      </c>
      <c r="L1647" s="1" t="str">
        <f>VLOOKUP(Tabela1[[#This Row],[Cliente]],'BASE DE CLIENTES'!A:E,5,0)</f>
        <v>Goiânia</v>
      </c>
    </row>
    <row r="1648" spans="2:12" x14ac:dyDescent="0.3">
      <c r="B1648" s="1" t="s">
        <v>239</v>
      </c>
      <c r="C1648" s="4" t="str">
        <f>VLOOKUP(Tabela1[[#This Row],[Cliente]],'BASE DE CLIENTES'!A:E,2,0)</f>
        <v>Brasília</v>
      </c>
      <c r="D1648" s="1" t="str">
        <f>VLOOKUP(Tabela1[[#This Row],[Cliente]],'BASE DE CLIENTES'!A:C,3,0)</f>
        <v>DF</v>
      </c>
      <c r="E1648" s="4" t="str">
        <f>CONCATENATE(Tabela1[[#This Row],[CIDADE]],",",Tabela1[[#This Row],[UF]])</f>
        <v>Brasília,DF</v>
      </c>
      <c r="F1648" s="2">
        <v>45859</v>
      </c>
      <c r="G1648" s="17">
        <v>4087</v>
      </c>
      <c r="H1648" s="17">
        <v>6710</v>
      </c>
      <c r="I1648" s="6">
        <f>Tabela1[[#This Row],[Valor total]]-Tabela1[[#This Row],[Valor custo]]</f>
        <v>2623</v>
      </c>
      <c r="J1648" s="7">
        <f>Tabela1[[#This Row],[MARGEM BRUTA]]/Tabela1[[#This Row],[Valor total]]</f>
        <v>0.39090909090909093</v>
      </c>
      <c r="K1648" s="1" t="str">
        <f>VLOOKUP(Tabela1[[#This Row],[Cliente]],'BASE DE CLIENTES'!A:D,4,0)</f>
        <v>EMPRESA COM MAQUINA</v>
      </c>
      <c r="L1648" s="1" t="str">
        <f>VLOOKUP(Tabela1[[#This Row],[Cliente]],'BASE DE CLIENTES'!A:E,5,0)</f>
        <v>RIACHO FUNDO II</v>
      </c>
    </row>
    <row r="1649" spans="2:12" x14ac:dyDescent="0.3">
      <c r="B1649" s="1" t="s">
        <v>68</v>
      </c>
      <c r="C1649" s="4" t="str">
        <f>VLOOKUP(Tabela1[[#This Row],[Cliente]],'BASE DE CLIENTES'!A:E,2,0)</f>
        <v>Brasília</v>
      </c>
      <c r="D1649" s="1" t="str">
        <f>VLOOKUP(Tabela1[[#This Row],[Cliente]],'BASE DE CLIENTES'!A:C,3,0)</f>
        <v>DF</v>
      </c>
      <c r="E1649" s="4" t="str">
        <f>CONCATENATE(Tabela1[[#This Row],[CIDADE]],",",Tabela1[[#This Row],[UF]])</f>
        <v>Brasília,DF</v>
      </c>
      <c r="F1649" s="2">
        <v>45859</v>
      </c>
      <c r="G1649" s="17">
        <v>6715.26</v>
      </c>
      <c r="H1649" s="17">
        <v>10755</v>
      </c>
      <c r="I1649" s="6">
        <f>Tabela1[[#This Row],[Valor total]]-Tabela1[[#This Row],[Valor custo]]</f>
        <v>4039.74</v>
      </c>
      <c r="J1649" s="7">
        <f>Tabela1[[#This Row],[MARGEM BRUTA]]/Tabela1[[#This Row],[Valor total]]</f>
        <v>0.37561506276150625</v>
      </c>
      <c r="K1649" s="1" t="str">
        <f>VLOOKUP(Tabela1[[#This Row],[Cliente]],'BASE DE CLIENTES'!A:D,4,0)</f>
        <v>EMPRESA COM MAQUINA</v>
      </c>
      <c r="L1649" s="1" t="str">
        <f>VLOOKUP(Tabela1[[#This Row],[Cliente]],'BASE DE CLIENTES'!A:E,5,0)</f>
        <v>SAMAMBAIA SUL (SAMAMBAIA)</v>
      </c>
    </row>
    <row r="1650" spans="2:12" x14ac:dyDescent="0.3">
      <c r="B1650" s="1" t="s">
        <v>165</v>
      </c>
      <c r="C1650" s="4" t="str">
        <f>VLOOKUP(Tabela1[[#This Row],[Cliente]],'BASE DE CLIENTES'!A:E,2,0)</f>
        <v>Brasília</v>
      </c>
      <c r="D1650" s="1" t="str">
        <f>VLOOKUP(Tabela1[[#This Row],[Cliente]],'BASE DE CLIENTES'!A:C,3,0)</f>
        <v>DF</v>
      </c>
      <c r="E1650" s="4" t="str">
        <f>CONCATENATE(Tabela1[[#This Row],[CIDADE]],",",Tabela1[[#This Row],[UF]])</f>
        <v>Brasília,DF</v>
      </c>
      <c r="F1650" s="2">
        <v>45859</v>
      </c>
      <c r="G1650" s="17">
        <v>31.6</v>
      </c>
      <c r="H1650" s="17">
        <v>110</v>
      </c>
      <c r="I1650" s="6">
        <f>Tabela1[[#This Row],[Valor total]]-Tabela1[[#This Row],[Valor custo]]</f>
        <v>78.400000000000006</v>
      </c>
      <c r="J1650" s="7">
        <f>Tabela1[[#This Row],[MARGEM BRUTA]]/Tabela1[[#This Row],[Valor total]]</f>
        <v>0.71272727272727276</v>
      </c>
      <c r="K1650" s="1" t="str">
        <f>VLOOKUP(Tabela1[[#This Row],[Cliente]],'BASE DE CLIENTES'!A:D,4,0)</f>
        <v>EMPRESA SEM MAQUINA</v>
      </c>
      <c r="L1650" s="1" t="str">
        <f>VLOOKUP(Tabela1[[#This Row],[Cliente]],'BASE DE CLIENTES'!A:E,5,0)</f>
        <v>SETOR HABITACIONAL VICENTE PIRES</v>
      </c>
    </row>
    <row r="1651" spans="2:12" x14ac:dyDescent="0.3">
      <c r="B1651" s="1" t="s">
        <v>108</v>
      </c>
      <c r="C1651" s="4" t="str">
        <f>VLOOKUP(Tabela1[[#This Row],[Cliente]],'BASE DE CLIENTES'!A:E,2,0)</f>
        <v>Brasília</v>
      </c>
      <c r="D1651" s="1" t="str">
        <f>VLOOKUP(Tabela1[[#This Row],[Cliente]],'BASE DE CLIENTES'!A:C,3,0)</f>
        <v>DF</v>
      </c>
      <c r="E1651" s="4" t="str">
        <f>CONCATENATE(Tabela1[[#This Row],[CIDADE]],",",Tabela1[[#This Row],[UF]])</f>
        <v>Brasília,DF</v>
      </c>
      <c r="F1651" s="2">
        <v>45859</v>
      </c>
      <c r="G1651" s="17">
        <v>6.52</v>
      </c>
      <c r="H1651" s="17">
        <v>90</v>
      </c>
      <c r="I1651" s="6">
        <f>Tabela1[[#This Row],[Valor total]]-Tabela1[[#This Row],[Valor custo]]</f>
        <v>83.48</v>
      </c>
      <c r="J1651" s="7">
        <f>Tabela1[[#This Row],[MARGEM BRUTA]]/Tabela1[[#This Row],[Valor total]]</f>
        <v>0.92755555555555558</v>
      </c>
      <c r="K1651" s="1" t="str">
        <f>VLOOKUP(Tabela1[[#This Row],[Cliente]],'BASE DE CLIENTES'!A:D,4,0)</f>
        <v>SERRALHEIRO</v>
      </c>
      <c r="L1651" s="1" t="str">
        <f>VLOOKUP(Tabela1[[#This Row],[Cliente]],'BASE DE CLIENTES'!A:E,5,0)</f>
        <v>Vila Planalto</v>
      </c>
    </row>
    <row r="1652" spans="2:12" x14ac:dyDescent="0.3">
      <c r="B1652" s="1" t="s">
        <v>42</v>
      </c>
      <c r="C1652" s="4" t="str">
        <f>VLOOKUP(Tabela1[[#This Row],[Cliente]],'BASE DE CLIENTES'!A:E,2,0)</f>
        <v>Brasília</v>
      </c>
      <c r="D1652" s="1" t="str">
        <f>VLOOKUP(Tabela1[[#This Row],[Cliente]],'BASE DE CLIENTES'!A:C,3,0)</f>
        <v>DF</v>
      </c>
      <c r="E1652" s="4" t="str">
        <f>CONCATENATE(Tabela1[[#This Row],[CIDADE]],",",Tabela1[[#This Row],[UF]])</f>
        <v>Brasília,DF</v>
      </c>
      <c r="F1652" s="2">
        <v>45859</v>
      </c>
      <c r="G1652" s="17">
        <v>385</v>
      </c>
      <c r="H1652" s="17">
        <v>645</v>
      </c>
      <c r="I1652" s="6">
        <f>Tabela1[[#This Row],[Valor total]]-Tabela1[[#This Row],[Valor custo]]</f>
        <v>260</v>
      </c>
      <c r="J1652" s="7">
        <f>Tabela1[[#This Row],[MARGEM BRUTA]]/Tabela1[[#This Row],[Valor total]]</f>
        <v>0.40310077519379844</v>
      </c>
      <c r="K1652" s="1" t="str">
        <f>VLOOKUP(Tabela1[[#This Row],[Cliente]],'BASE DE CLIENTES'!A:D,4,0)</f>
        <v>EMPRESA SEM MAQUINA</v>
      </c>
      <c r="L1652" s="1" t="str">
        <f>VLOOKUP(Tabela1[[#This Row],[Cliente]],'BASE DE CLIENTES'!A:E,5,0)</f>
        <v>SAMAMBAIA</v>
      </c>
    </row>
    <row r="1653" spans="2:12" x14ac:dyDescent="0.3">
      <c r="B1653" s="1" t="s">
        <v>195</v>
      </c>
      <c r="C1653" s="4" t="str">
        <f>VLOOKUP(Tabela1[[#This Row],[Cliente]],'BASE DE CLIENTES'!A:E,2,0)</f>
        <v>Goiânia</v>
      </c>
      <c r="D1653" s="1" t="str">
        <f>VLOOKUP(Tabela1[[#This Row],[Cliente]],'BASE DE CLIENTES'!A:C,3,0)</f>
        <v>GO</v>
      </c>
      <c r="E1653" s="4" t="str">
        <f>CONCATENATE(Tabela1[[#This Row],[CIDADE]],",",Tabela1[[#This Row],[UF]])</f>
        <v>Goiânia,GO</v>
      </c>
      <c r="F1653" s="2">
        <v>45881</v>
      </c>
      <c r="G1653" s="17">
        <v>4545</v>
      </c>
      <c r="H1653" s="17">
        <v>6500</v>
      </c>
      <c r="I1653" s="6">
        <f>Tabela1[[#This Row],[Valor total]]-Tabela1[[#This Row],[Valor custo]]</f>
        <v>1955</v>
      </c>
      <c r="J1653" s="7">
        <f>Tabela1[[#This Row],[MARGEM BRUTA]]/Tabela1[[#This Row],[Valor total]]</f>
        <v>0.30076923076923079</v>
      </c>
      <c r="K1653" s="1" t="str">
        <f>VLOOKUP(Tabela1[[#This Row],[Cliente]],'BASE DE CLIENTES'!A:D,4,0)</f>
        <v>EMPRESA COM MAQUINA</v>
      </c>
      <c r="L1653" s="1" t="str">
        <f>VLOOKUP(Tabela1[[#This Row],[Cliente]],'BASE DE CLIENTES'!A:E,5,0)</f>
        <v>Goiânia</v>
      </c>
    </row>
    <row r="1654" spans="2:12" x14ac:dyDescent="0.3">
      <c r="B1654" s="1" t="s">
        <v>27</v>
      </c>
      <c r="C1654" s="4" t="str">
        <f>VLOOKUP(Tabela1[[#This Row],[Cliente]],'BASE DE CLIENTES'!A:E,2,0)</f>
        <v>Brasília</v>
      </c>
      <c r="D1654" s="1" t="str">
        <f>VLOOKUP(Tabela1[[#This Row],[Cliente]],'BASE DE CLIENTES'!A:C,3,0)</f>
        <v>DF</v>
      </c>
      <c r="E1654" s="4" t="str">
        <f>CONCATENATE(Tabela1[[#This Row],[CIDADE]],",",Tabela1[[#This Row],[UF]])</f>
        <v>Brasília,DF</v>
      </c>
      <c r="F1654" s="2">
        <v>45856</v>
      </c>
      <c r="G1654" s="17">
        <v>559</v>
      </c>
      <c r="H1654" s="17">
        <v>720</v>
      </c>
      <c r="I1654" s="6">
        <f>Tabela1[[#This Row],[Valor total]]-Tabela1[[#This Row],[Valor custo]]</f>
        <v>161</v>
      </c>
      <c r="J1654" s="7">
        <f>Tabela1[[#This Row],[MARGEM BRUTA]]/Tabela1[[#This Row],[Valor total]]</f>
        <v>0.22361111111111112</v>
      </c>
      <c r="K1654" s="1" t="str">
        <f>VLOOKUP(Tabela1[[#This Row],[Cliente]],'BASE DE CLIENTES'!A:D,4,0)</f>
        <v>EMPRESA SEM MAQUINA</v>
      </c>
      <c r="L1654" s="1" t="str">
        <f>VLOOKUP(Tabela1[[#This Row],[Cliente]],'BASE DE CLIENTES'!A:E,5,0)</f>
        <v>RECANTO DAS EMAS</v>
      </c>
    </row>
    <row r="1655" spans="2:12" x14ac:dyDescent="0.3">
      <c r="B1655" s="1" t="s">
        <v>106</v>
      </c>
      <c r="C1655" s="4" t="str">
        <f>VLOOKUP(Tabela1[[#This Row],[Cliente]],'BASE DE CLIENTES'!A:E,2,0)</f>
        <v>Brasília</v>
      </c>
      <c r="D1655" s="1" t="str">
        <f>VLOOKUP(Tabela1[[#This Row],[Cliente]],'BASE DE CLIENTES'!A:C,3,0)</f>
        <v>DF</v>
      </c>
      <c r="E1655" s="4" t="str">
        <f>CONCATENATE(Tabela1[[#This Row],[CIDADE]],",",Tabela1[[#This Row],[UF]])</f>
        <v>Brasília,DF</v>
      </c>
      <c r="F1655" s="2">
        <v>45856</v>
      </c>
      <c r="G1655" s="17">
        <v>888</v>
      </c>
      <c r="H1655" s="17">
        <v>1310</v>
      </c>
      <c r="I1655" s="6">
        <f>Tabela1[[#This Row],[Valor total]]-Tabela1[[#This Row],[Valor custo]]</f>
        <v>422</v>
      </c>
      <c r="J1655" s="7">
        <f>Tabela1[[#This Row],[MARGEM BRUTA]]/Tabela1[[#This Row],[Valor total]]</f>
        <v>0.32213740458015266</v>
      </c>
      <c r="K1655" s="1" t="str">
        <f>VLOOKUP(Tabela1[[#This Row],[Cliente]],'BASE DE CLIENTES'!A:D,4,0)</f>
        <v>EMPRESA COM MAQUINA</v>
      </c>
      <c r="L1655" s="1" t="str">
        <f>VLOOKUP(Tabela1[[#This Row],[Cliente]],'BASE DE CLIENTES'!A:E,5,0)</f>
        <v>26 DE SETEMBRO</v>
      </c>
    </row>
    <row r="1656" spans="2:12" x14ac:dyDescent="0.3">
      <c r="B1656" s="1" t="s">
        <v>98</v>
      </c>
      <c r="C1656" s="4" t="str">
        <f>VLOOKUP(Tabela1[[#This Row],[Cliente]],'BASE DE CLIENTES'!A:E,2,0)</f>
        <v>Brasília</v>
      </c>
      <c r="D1656" s="1" t="str">
        <f>VLOOKUP(Tabela1[[#This Row],[Cliente]],'BASE DE CLIENTES'!A:C,3,0)</f>
        <v>DF</v>
      </c>
      <c r="E1656" s="4" t="str">
        <f>CONCATENATE(Tabela1[[#This Row],[CIDADE]],",",Tabela1[[#This Row],[UF]])</f>
        <v>Brasília,DF</v>
      </c>
      <c r="F1656" s="2">
        <v>45856</v>
      </c>
      <c r="G1656" s="17">
        <v>347.46</v>
      </c>
      <c r="H1656" s="17">
        <v>850</v>
      </c>
      <c r="I1656" s="6">
        <f>Tabela1[[#This Row],[Valor total]]-Tabela1[[#This Row],[Valor custo]]</f>
        <v>502.54</v>
      </c>
      <c r="J1656" s="7">
        <f>Tabela1[[#This Row],[MARGEM BRUTA]]/Tabela1[[#This Row],[Valor total]]</f>
        <v>0.5912235294117647</v>
      </c>
      <c r="K1656" s="1" t="str">
        <f>VLOOKUP(Tabela1[[#This Row],[Cliente]],'BASE DE CLIENTES'!A:D,4,0)</f>
        <v>SERRALHEIRO</v>
      </c>
      <c r="L1656" s="1" t="str">
        <f>VLOOKUP(Tabela1[[#This Row],[Cliente]],'BASE DE CLIENTES'!A:E,5,0)</f>
        <v>SANTA MARIA</v>
      </c>
    </row>
    <row r="1657" spans="2:12" x14ac:dyDescent="0.3">
      <c r="B1657" s="1" t="s">
        <v>180</v>
      </c>
      <c r="C1657" s="4" t="str">
        <f>VLOOKUP(Tabela1[[#This Row],[Cliente]],'BASE DE CLIENTES'!A:E,2,0)</f>
        <v>Brasília</v>
      </c>
      <c r="D1657" s="1" t="str">
        <f>VLOOKUP(Tabela1[[#This Row],[Cliente]],'BASE DE CLIENTES'!A:C,3,0)</f>
        <v>DF</v>
      </c>
      <c r="E1657" s="4" t="str">
        <f>CONCATENATE(Tabela1[[#This Row],[CIDADE]],",",Tabela1[[#This Row],[UF]])</f>
        <v>Brasília,DF</v>
      </c>
      <c r="F1657" s="2">
        <v>45856</v>
      </c>
      <c r="G1657" s="17">
        <v>1011</v>
      </c>
      <c r="H1657" s="17">
        <v>1600</v>
      </c>
      <c r="I1657" s="6">
        <f>Tabela1[[#This Row],[Valor total]]-Tabela1[[#This Row],[Valor custo]]</f>
        <v>589</v>
      </c>
      <c r="J1657" s="7">
        <f>Tabela1[[#This Row],[MARGEM BRUTA]]/Tabela1[[#This Row],[Valor total]]</f>
        <v>0.36812499999999998</v>
      </c>
      <c r="K1657" s="1" t="str">
        <f>VLOOKUP(Tabela1[[#This Row],[Cliente]],'BASE DE CLIENTES'!A:D,4,0)</f>
        <v>EMPRESA COM MAQUINA</v>
      </c>
      <c r="L1657" s="1" t="str">
        <f>VLOOKUP(Tabela1[[#This Row],[Cliente]],'BASE DE CLIENTES'!A:E,5,0)</f>
        <v>SETOR INDUSTRIAL (TAGUATINGA)</v>
      </c>
    </row>
    <row r="1658" spans="2:12" x14ac:dyDescent="0.3">
      <c r="B1658" s="1" t="s">
        <v>223</v>
      </c>
      <c r="C1658" s="4" t="str">
        <f>VLOOKUP(Tabela1[[#This Row],[Cliente]],'BASE DE CLIENTES'!A:E,2,0)</f>
        <v>Goiânia</v>
      </c>
      <c r="D1658" s="1" t="str">
        <f>VLOOKUP(Tabela1[[#This Row],[Cliente]],'BASE DE CLIENTES'!A:C,3,0)</f>
        <v>GO</v>
      </c>
      <c r="E1658" s="4" t="str">
        <f>CONCATENATE(Tabela1[[#This Row],[CIDADE]],",",Tabela1[[#This Row],[UF]])</f>
        <v>Goiânia,GO</v>
      </c>
      <c r="F1658" s="2">
        <v>45881</v>
      </c>
      <c r="G1658" s="17">
        <v>664</v>
      </c>
      <c r="H1658" s="17">
        <v>1200</v>
      </c>
      <c r="I1658" s="6">
        <f>Tabela1[[#This Row],[Valor total]]-Tabela1[[#This Row],[Valor custo]]</f>
        <v>536</v>
      </c>
      <c r="J1658" s="7">
        <f>Tabela1[[#This Row],[MARGEM BRUTA]]/Tabela1[[#This Row],[Valor total]]</f>
        <v>0.44666666666666666</v>
      </c>
      <c r="K1658" s="1" t="str">
        <f>VLOOKUP(Tabela1[[#This Row],[Cliente]],'BASE DE CLIENTES'!A:D,4,0)</f>
        <v>EMPRESA COM MAQUINA</v>
      </c>
      <c r="L1658" s="1" t="str">
        <f>VLOOKUP(Tabela1[[#This Row],[Cliente]],'BASE DE CLIENTES'!A:E,5,0)</f>
        <v>Goiânia</v>
      </c>
    </row>
    <row r="1659" spans="2:12" x14ac:dyDescent="0.3">
      <c r="B1659" s="1" t="s">
        <v>52</v>
      </c>
      <c r="C1659" s="4" t="str">
        <f>VLOOKUP(Tabela1[[#This Row],[Cliente]],'BASE DE CLIENTES'!A:E,2,0)</f>
        <v>Brasília</v>
      </c>
      <c r="D1659" s="1" t="str">
        <f>VLOOKUP(Tabela1[[#This Row],[Cliente]],'BASE DE CLIENTES'!A:C,3,0)</f>
        <v>DF</v>
      </c>
      <c r="E1659" s="4" t="str">
        <f>CONCATENATE(Tabela1[[#This Row],[CIDADE]],",",Tabela1[[#This Row],[UF]])</f>
        <v>Brasília,DF</v>
      </c>
      <c r="F1659" s="2">
        <v>45856</v>
      </c>
      <c r="G1659" s="17">
        <v>776.1</v>
      </c>
      <c r="H1659" s="17">
        <v>1098</v>
      </c>
      <c r="I1659" s="6">
        <f>Tabela1[[#This Row],[Valor total]]-Tabela1[[#This Row],[Valor custo]]</f>
        <v>321.89999999999998</v>
      </c>
      <c r="J1659" s="7">
        <f>Tabela1[[#This Row],[MARGEM BRUTA]]/Tabela1[[#This Row],[Valor total]]</f>
        <v>0.29316939890710381</v>
      </c>
      <c r="K1659" s="1" t="str">
        <f>VLOOKUP(Tabela1[[#This Row],[Cliente]],'BASE DE CLIENTES'!A:D,4,0)</f>
        <v>SERRALHEIRO</v>
      </c>
      <c r="L1659" s="1" t="str">
        <f>VLOOKUP(Tabela1[[#This Row],[Cliente]],'BASE DE CLIENTES'!A:E,5,0)</f>
        <v>Ceilândia Sul (Ceilândia)</v>
      </c>
    </row>
    <row r="1660" spans="2:12" x14ac:dyDescent="0.3">
      <c r="B1660" s="1" t="s">
        <v>27</v>
      </c>
      <c r="C1660" s="4" t="str">
        <f>VLOOKUP(Tabela1[[#This Row],[Cliente]],'BASE DE CLIENTES'!A:E,2,0)</f>
        <v>Brasília</v>
      </c>
      <c r="D1660" s="1" t="str">
        <f>VLOOKUP(Tabela1[[#This Row],[Cliente]],'BASE DE CLIENTES'!A:C,3,0)</f>
        <v>DF</v>
      </c>
      <c r="E1660" s="4" t="str">
        <f>CONCATENATE(Tabela1[[#This Row],[CIDADE]],",",Tabela1[[#This Row],[UF]])</f>
        <v>Brasília,DF</v>
      </c>
      <c r="F1660" s="2">
        <v>45856</v>
      </c>
      <c r="G1660" s="17">
        <v>90</v>
      </c>
      <c r="H1660" s="17">
        <v>180</v>
      </c>
      <c r="I1660" s="6">
        <f>Tabela1[[#This Row],[Valor total]]-Tabela1[[#This Row],[Valor custo]]</f>
        <v>90</v>
      </c>
      <c r="J1660" s="7">
        <f>Tabela1[[#This Row],[MARGEM BRUTA]]/Tabela1[[#This Row],[Valor total]]</f>
        <v>0.5</v>
      </c>
      <c r="K1660" s="1" t="str">
        <f>VLOOKUP(Tabela1[[#This Row],[Cliente]],'BASE DE CLIENTES'!A:D,4,0)</f>
        <v>EMPRESA SEM MAQUINA</v>
      </c>
      <c r="L1660" s="1" t="str">
        <f>VLOOKUP(Tabela1[[#This Row],[Cliente]],'BASE DE CLIENTES'!A:E,5,0)</f>
        <v>RECANTO DAS EMAS</v>
      </c>
    </row>
    <row r="1661" spans="2:12" x14ac:dyDescent="0.3">
      <c r="B1661" s="1" t="s">
        <v>68</v>
      </c>
      <c r="C1661" s="4" t="str">
        <f>VLOOKUP(Tabela1[[#This Row],[Cliente]],'BASE DE CLIENTES'!A:E,2,0)</f>
        <v>Brasília</v>
      </c>
      <c r="D1661" s="1" t="str">
        <f>VLOOKUP(Tabela1[[#This Row],[Cliente]],'BASE DE CLIENTES'!A:C,3,0)</f>
        <v>DF</v>
      </c>
      <c r="E1661" s="4" t="str">
        <f>CONCATENATE(Tabela1[[#This Row],[CIDADE]],",",Tabela1[[#This Row],[UF]])</f>
        <v>Brasília,DF</v>
      </c>
      <c r="F1661" s="2">
        <v>45856</v>
      </c>
      <c r="G1661" s="17">
        <v>375</v>
      </c>
      <c r="H1661" s="17">
        <v>450</v>
      </c>
      <c r="I1661" s="6">
        <f>Tabela1[[#This Row],[Valor total]]-Tabela1[[#This Row],[Valor custo]]</f>
        <v>75</v>
      </c>
      <c r="J1661" s="7">
        <f>Tabela1[[#This Row],[MARGEM BRUTA]]/Tabela1[[#This Row],[Valor total]]</f>
        <v>0.16666666666666666</v>
      </c>
      <c r="K1661" s="1" t="str">
        <f>VLOOKUP(Tabela1[[#This Row],[Cliente]],'BASE DE CLIENTES'!A:D,4,0)</f>
        <v>EMPRESA COM MAQUINA</v>
      </c>
      <c r="L1661" s="1" t="str">
        <f>VLOOKUP(Tabela1[[#This Row],[Cliente]],'BASE DE CLIENTES'!A:E,5,0)</f>
        <v>SAMAMBAIA SUL (SAMAMBAIA)</v>
      </c>
    </row>
    <row r="1662" spans="2:12" x14ac:dyDescent="0.3">
      <c r="B1662" s="1" t="s">
        <v>214</v>
      </c>
      <c r="C1662" s="4" t="str">
        <f>VLOOKUP(Tabela1[[#This Row],[Cliente]],'BASE DE CLIENTES'!A:E,2,0)</f>
        <v>Goiânia</v>
      </c>
      <c r="D1662" s="1" t="str">
        <f>VLOOKUP(Tabela1[[#This Row],[Cliente]],'BASE DE CLIENTES'!A:C,3,0)</f>
        <v>GO</v>
      </c>
      <c r="E1662" s="4" t="str">
        <f>CONCATENATE(Tabela1[[#This Row],[CIDADE]],",",Tabela1[[#This Row],[UF]])</f>
        <v>Goiânia,GO</v>
      </c>
      <c r="F1662" s="2">
        <v>45875</v>
      </c>
      <c r="G1662" s="17">
        <v>6745.45</v>
      </c>
      <c r="H1662" s="17">
        <v>10075</v>
      </c>
      <c r="I1662" s="6">
        <f>Tabela1[[#This Row],[Valor total]]-Tabela1[[#This Row],[Valor custo]]</f>
        <v>3329.55</v>
      </c>
      <c r="J1662" s="7">
        <f>Tabela1[[#This Row],[MARGEM BRUTA]]/Tabela1[[#This Row],[Valor total]]</f>
        <v>0.33047642679900746</v>
      </c>
      <c r="K1662" s="1" t="str">
        <f>VLOOKUP(Tabela1[[#This Row],[Cliente]],'BASE DE CLIENTES'!A:D,4,0)</f>
        <v>EMPRESA COM MAQUINA</v>
      </c>
      <c r="L1662" s="1" t="str">
        <f>VLOOKUP(Tabela1[[#This Row],[Cliente]],'BASE DE CLIENTES'!A:E,5,0)</f>
        <v>Goiânia</v>
      </c>
    </row>
    <row r="1663" spans="2:12" x14ac:dyDescent="0.3">
      <c r="B1663" s="1" t="s">
        <v>199</v>
      </c>
      <c r="C1663" s="4" t="str">
        <f>VLOOKUP(Tabela1[[#This Row],[Cliente]],'BASE DE CLIENTES'!A:E,2,0)</f>
        <v>Goiânia</v>
      </c>
      <c r="D1663" s="1" t="str">
        <f>VLOOKUP(Tabela1[[#This Row],[Cliente]],'BASE DE CLIENTES'!A:C,3,0)</f>
        <v>GO</v>
      </c>
      <c r="E1663" s="4" t="str">
        <f>CONCATENATE(Tabela1[[#This Row],[CIDADE]],",",Tabela1[[#This Row],[UF]])</f>
        <v>Goiânia,GO</v>
      </c>
      <c r="F1663" s="2">
        <v>45875</v>
      </c>
      <c r="G1663" s="17">
        <v>4438.95</v>
      </c>
      <c r="H1663" s="17">
        <v>7025</v>
      </c>
      <c r="I1663" s="6">
        <f>Tabela1[[#This Row],[Valor total]]-Tabela1[[#This Row],[Valor custo]]</f>
        <v>2586.0500000000002</v>
      </c>
      <c r="J1663" s="7">
        <f>Tabela1[[#This Row],[MARGEM BRUTA]]/Tabela1[[#This Row],[Valor total]]</f>
        <v>0.36812099644128116</v>
      </c>
      <c r="K1663" s="1" t="str">
        <f>VLOOKUP(Tabela1[[#This Row],[Cliente]],'BASE DE CLIENTES'!A:D,4,0)</f>
        <v>EMPRESA COM MAQUINA</v>
      </c>
      <c r="L1663" s="1" t="str">
        <f>VLOOKUP(Tabela1[[#This Row],[Cliente]],'BASE DE CLIENTES'!A:E,5,0)</f>
        <v>Goiânia</v>
      </c>
    </row>
    <row r="1664" spans="2:12" x14ac:dyDescent="0.3">
      <c r="B1664" s="1" t="s">
        <v>88</v>
      </c>
      <c r="C1664" s="4" t="str">
        <f>VLOOKUP(Tabela1[[#This Row],[Cliente]],'BASE DE CLIENTES'!A:E,2,0)</f>
        <v>Brasília</v>
      </c>
      <c r="D1664" s="1" t="str">
        <f>VLOOKUP(Tabela1[[#This Row],[Cliente]],'BASE DE CLIENTES'!A:C,3,0)</f>
        <v>DF</v>
      </c>
      <c r="E1664" s="4" t="str">
        <f>CONCATENATE(Tabela1[[#This Row],[CIDADE]],",",Tabela1[[#This Row],[UF]])</f>
        <v>Brasília,DF</v>
      </c>
      <c r="F1664" s="2">
        <v>45856</v>
      </c>
      <c r="G1664" s="17">
        <v>57.13</v>
      </c>
      <c r="H1664" s="17">
        <v>200</v>
      </c>
      <c r="I1664" s="6">
        <f>Tabela1[[#This Row],[Valor total]]-Tabela1[[#This Row],[Valor custo]]</f>
        <v>142.87</v>
      </c>
      <c r="J1664" s="7">
        <f>Tabela1[[#This Row],[MARGEM BRUTA]]/Tabela1[[#This Row],[Valor total]]</f>
        <v>0.71435000000000004</v>
      </c>
      <c r="K1664" s="1" t="str">
        <f>VLOOKUP(Tabela1[[#This Row],[Cliente]],'BASE DE CLIENTES'!A:D,4,0)</f>
        <v>SERRALHEIRO</v>
      </c>
      <c r="L1664" s="1" t="str">
        <f>VLOOKUP(Tabela1[[#This Row],[Cliente]],'BASE DE CLIENTES'!A:E,5,0)</f>
        <v>RECANTO DAS EMAS</v>
      </c>
    </row>
    <row r="1665" spans="2:12" x14ac:dyDescent="0.3">
      <c r="B1665" s="1" t="s">
        <v>195</v>
      </c>
      <c r="C1665" s="4" t="str">
        <f>VLOOKUP(Tabela1[[#This Row],[Cliente]],'BASE DE CLIENTES'!A:E,2,0)</f>
        <v>Goiânia</v>
      </c>
      <c r="D1665" s="1" t="str">
        <f>VLOOKUP(Tabela1[[#This Row],[Cliente]],'BASE DE CLIENTES'!A:C,3,0)</f>
        <v>GO</v>
      </c>
      <c r="E1665" s="4" t="str">
        <f>CONCATENATE(Tabela1[[#This Row],[CIDADE]],",",Tabela1[[#This Row],[UF]])</f>
        <v>Goiânia,GO</v>
      </c>
      <c r="F1665" s="2">
        <v>45870</v>
      </c>
      <c r="G1665" s="17">
        <v>2946</v>
      </c>
      <c r="H1665" s="17">
        <v>3900</v>
      </c>
      <c r="I1665" s="6">
        <f>Tabela1[[#This Row],[Valor total]]-Tabela1[[#This Row],[Valor custo]]</f>
        <v>954</v>
      </c>
      <c r="J1665" s="7">
        <f>Tabela1[[#This Row],[MARGEM BRUTA]]/Tabela1[[#This Row],[Valor total]]</f>
        <v>0.24461538461538462</v>
      </c>
      <c r="K1665" s="1" t="str">
        <f>VLOOKUP(Tabela1[[#This Row],[Cliente]],'BASE DE CLIENTES'!A:D,4,0)</f>
        <v>EMPRESA COM MAQUINA</v>
      </c>
      <c r="L1665" s="1" t="str">
        <f>VLOOKUP(Tabela1[[#This Row],[Cliente]],'BASE DE CLIENTES'!A:E,5,0)</f>
        <v>Goiânia</v>
      </c>
    </row>
    <row r="1666" spans="2:12" x14ac:dyDescent="0.3">
      <c r="B1666" s="1" t="s">
        <v>206</v>
      </c>
      <c r="C1666" s="4" t="str">
        <f>VLOOKUP(Tabela1[[#This Row],[Cliente]],'BASE DE CLIENTES'!A:E,2,0)</f>
        <v>Goiânia</v>
      </c>
      <c r="D1666" s="1" t="str">
        <f>VLOOKUP(Tabela1[[#This Row],[Cliente]],'BASE DE CLIENTES'!A:C,3,0)</f>
        <v>GO</v>
      </c>
      <c r="E1666" s="4" t="str">
        <f>CONCATENATE(Tabela1[[#This Row],[CIDADE]],",",Tabela1[[#This Row],[UF]])</f>
        <v>Goiânia,GO</v>
      </c>
      <c r="F1666" s="2">
        <v>45870</v>
      </c>
      <c r="G1666" s="17">
        <v>13719</v>
      </c>
      <c r="H1666" s="17">
        <v>20180</v>
      </c>
      <c r="I1666" s="6">
        <f>Tabela1[[#This Row],[Valor total]]-Tabela1[[#This Row],[Valor custo]]</f>
        <v>6461</v>
      </c>
      <c r="J1666" s="7">
        <f>Tabela1[[#This Row],[MARGEM BRUTA]]/Tabela1[[#This Row],[Valor total]]</f>
        <v>0.32016848364717543</v>
      </c>
      <c r="K1666" s="1" t="str">
        <f>VLOOKUP(Tabela1[[#This Row],[Cliente]],'BASE DE CLIENTES'!A:D,4,0)</f>
        <v>EMPRESA COM MAQUINA</v>
      </c>
      <c r="L1666" s="1" t="str">
        <f>VLOOKUP(Tabela1[[#This Row],[Cliente]],'BASE DE CLIENTES'!A:E,5,0)</f>
        <v>Goiânia</v>
      </c>
    </row>
    <row r="1667" spans="2:12" x14ac:dyDescent="0.3">
      <c r="B1667" s="1" t="s">
        <v>197</v>
      </c>
      <c r="C1667" s="4" t="str">
        <f>VLOOKUP(Tabela1[[#This Row],[Cliente]],'BASE DE CLIENTES'!A:E,2,0)</f>
        <v>Goiânia</v>
      </c>
      <c r="D1667" s="1" t="str">
        <f>VLOOKUP(Tabela1[[#This Row],[Cliente]],'BASE DE CLIENTES'!A:C,3,0)</f>
        <v>GO</v>
      </c>
      <c r="E1667" s="4" t="str">
        <f>CONCATENATE(Tabela1[[#This Row],[CIDADE]],",",Tabela1[[#This Row],[UF]])</f>
        <v>Goiânia,GO</v>
      </c>
      <c r="F1667" s="2">
        <v>45870</v>
      </c>
      <c r="G1667" s="17">
        <v>9580.85</v>
      </c>
      <c r="H1667" s="17">
        <v>15325</v>
      </c>
      <c r="I1667" s="6">
        <f>Tabela1[[#This Row],[Valor total]]-Tabela1[[#This Row],[Valor custo]]</f>
        <v>5744.15</v>
      </c>
      <c r="J1667" s="7">
        <f>Tabela1[[#This Row],[MARGEM BRUTA]]/Tabela1[[#This Row],[Valor total]]</f>
        <v>0.37482218597063621</v>
      </c>
      <c r="K1667" s="1" t="str">
        <f>VLOOKUP(Tabela1[[#This Row],[Cliente]],'BASE DE CLIENTES'!A:D,4,0)</f>
        <v>EMPRESA COM MAQUINA</v>
      </c>
      <c r="L1667" s="1" t="str">
        <f>VLOOKUP(Tabela1[[#This Row],[Cliente]],'BASE DE CLIENTES'!A:E,5,0)</f>
        <v>Goiânia</v>
      </c>
    </row>
    <row r="1668" spans="2:12" x14ac:dyDescent="0.3">
      <c r="B1668" s="1" t="s">
        <v>106</v>
      </c>
      <c r="C1668" s="4" t="str">
        <f>VLOOKUP(Tabela1[[#This Row],[Cliente]],'BASE DE CLIENTES'!A:E,2,0)</f>
        <v>Brasília</v>
      </c>
      <c r="D1668" s="1" t="str">
        <f>VLOOKUP(Tabela1[[#This Row],[Cliente]],'BASE DE CLIENTES'!A:C,3,0)</f>
        <v>DF</v>
      </c>
      <c r="E1668" s="4" t="str">
        <f>CONCATENATE(Tabela1[[#This Row],[CIDADE]],",",Tabela1[[#This Row],[UF]])</f>
        <v>Brasília,DF</v>
      </c>
      <c r="F1668" s="2">
        <v>45856</v>
      </c>
      <c r="G1668" s="17">
        <v>444</v>
      </c>
      <c r="H1668" s="17">
        <v>655</v>
      </c>
      <c r="I1668" s="6">
        <f>Tabela1[[#This Row],[Valor total]]-Tabela1[[#This Row],[Valor custo]]</f>
        <v>211</v>
      </c>
      <c r="J1668" s="7">
        <f>Tabela1[[#This Row],[MARGEM BRUTA]]/Tabela1[[#This Row],[Valor total]]</f>
        <v>0.32213740458015266</v>
      </c>
      <c r="K1668" s="1" t="str">
        <f>VLOOKUP(Tabela1[[#This Row],[Cliente]],'BASE DE CLIENTES'!A:D,4,0)</f>
        <v>EMPRESA COM MAQUINA</v>
      </c>
      <c r="L1668" s="1" t="str">
        <f>VLOOKUP(Tabela1[[#This Row],[Cliente]],'BASE DE CLIENTES'!A:E,5,0)</f>
        <v>26 DE SETEMBRO</v>
      </c>
    </row>
    <row r="1669" spans="2:12" x14ac:dyDescent="0.3">
      <c r="B1669" s="1" t="s">
        <v>55</v>
      </c>
      <c r="C1669" s="4" t="str">
        <f>VLOOKUP(Tabela1[[#This Row],[Cliente]],'BASE DE CLIENTES'!A:E,2,0)</f>
        <v>Brasília</v>
      </c>
      <c r="D1669" s="1" t="str">
        <f>VLOOKUP(Tabela1[[#This Row],[Cliente]],'BASE DE CLIENTES'!A:C,3,0)</f>
        <v>DF</v>
      </c>
      <c r="E1669" s="4" t="str">
        <f>CONCATENATE(Tabela1[[#This Row],[CIDADE]],",",Tabela1[[#This Row],[UF]])</f>
        <v>Brasília,DF</v>
      </c>
      <c r="F1669" s="2">
        <v>45856</v>
      </c>
      <c r="G1669" s="17">
        <v>1138</v>
      </c>
      <c r="H1669" s="17">
        <v>1950</v>
      </c>
      <c r="I1669" s="6">
        <f>Tabela1[[#This Row],[Valor total]]-Tabela1[[#This Row],[Valor custo]]</f>
        <v>812</v>
      </c>
      <c r="J1669" s="7">
        <f>Tabela1[[#This Row],[MARGEM BRUTA]]/Tabela1[[#This Row],[Valor total]]</f>
        <v>0.41641025641025642</v>
      </c>
      <c r="K1669" s="1" t="str">
        <f>VLOOKUP(Tabela1[[#This Row],[Cliente]],'BASE DE CLIENTES'!A:D,4,0)</f>
        <v>EMPRESA SEM MAQUINA</v>
      </c>
      <c r="L1669" s="1" t="str">
        <f>VLOOKUP(Tabela1[[#This Row],[Cliente]],'BASE DE CLIENTES'!A:E,5,0)</f>
        <v>RECANTO DAS EMAS</v>
      </c>
    </row>
    <row r="1670" spans="2:12" x14ac:dyDescent="0.3">
      <c r="B1670" s="1" t="s">
        <v>236</v>
      </c>
      <c r="C1670" s="4" t="str">
        <f>VLOOKUP(Tabela1[[#This Row],[Cliente]],'BASE DE CLIENTES'!A:E,2,0)</f>
        <v>Goiânia</v>
      </c>
      <c r="D1670" s="1" t="str">
        <f>VLOOKUP(Tabela1[[#This Row],[Cliente]],'BASE DE CLIENTES'!A:C,3,0)</f>
        <v>GO</v>
      </c>
      <c r="E1670" s="4" t="str">
        <f>CONCATENATE(Tabela1[[#This Row],[CIDADE]],",",Tabela1[[#This Row],[UF]])</f>
        <v>Goiânia,GO</v>
      </c>
      <c r="F1670" s="2">
        <v>45926</v>
      </c>
      <c r="G1670" s="17">
        <v>1431</v>
      </c>
      <c r="H1670" s="17">
        <v>2205</v>
      </c>
      <c r="I1670" s="6">
        <f>Tabela1[[#This Row],[Valor total]]-Tabela1[[#This Row],[Valor custo]]</f>
        <v>774</v>
      </c>
      <c r="J1670" s="7">
        <f>Tabela1[[#This Row],[MARGEM BRUTA]]/Tabela1[[#This Row],[Valor total]]</f>
        <v>0.3510204081632653</v>
      </c>
      <c r="K1670" s="1" t="str">
        <f>VLOOKUP(Tabela1[[#This Row],[Cliente]],'BASE DE CLIENTES'!A:D,4,0)</f>
        <v>EMPRESA COM MAQUINA</v>
      </c>
      <c r="L1670" s="1" t="str">
        <f>VLOOKUP(Tabela1[[#This Row],[Cliente]],'BASE DE CLIENTES'!A:E,5,0)</f>
        <v>Goiânia</v>
      </c>
    </row>
    <row r="1671" spans="2:12" x14ac:dyDescent="0.3">
      <c r="B1671" s="1" t="s">
        <v>236</v>
      </c>
      <c r="C1671" s="4" t="str">
        <f>VLOOKUP(Tabela1[[#This Row],[Cliente]],'BASE DE CLIENTES'!A:E,2,0)</f>
        <v>Goiânia</v>
      </c>
      <c r="D1671" s="1" t="str">
        <f>VLOOKUP(Tabela1[[#This Row],[Cliente]],'BASE DE CLIENTES'!A:C,3,0)</f>
        <v>GO</v>
      </c>
      <c r="E1671" s="4" t="str">
        <f>CONCATENATE(Tabela1[[#This Row],[CIDADE]],",",Tabela1[[#This Row],[UF]])</f>
        <v>Goiânia,GO</v>
      </c>
      <c r="F1671" s="2">
        <v>45925</v>
      </c>
      <c r="G1671" s="17">
        <v>360.5</v>
      </c>
      <c r="H1671" s="17">
        <v>1150</v>
      </c>
      <c r="I1671" s="6">
        <f>Tabela1[[#This Row],[Valor total]]-Tabela1[[#This Row],[Valor custo]]</f>
        <v>789.5</v>
      </c>
      <c r="J1671" s="7">
        <f>Tabela1[[#This Row],[MARGEM BRUTA]]/Tabela1[[#This Row],[Valor total]]</f>
        <v>0.68652173913043479</v>
      </c>
      <c r="K1671" s="1" t="str">
        <f>VLOOKUP(Tabela1[[#This Row],[Cliente]],'BASE DE CLIENTES'!A:D,4,0)</f>
        <v>EMPRESA COM MAQUINA</v>
      </c>
      <c r="L1671" s="1" t="str">
        <f>VLOOKUP(Tabela1[[#This Row],[Cliente]],'BASE DE CLIENTES'!A:E,5,0)</f>
        <v>Goiânia</v>
      </c>
    </row>
    <row r="1672" spans="2:12" x14ac:dyDescent="0.3">
      <c r="B1672" s="1" t="s">
        <v>206</v>
      </c>
      <c r="C1672" s="4" t="str">
        <f>VLOOKUP(Tabela1[[#This Row],[Cliente]],'BASE DE CLIENTES'!A:E,2,0)</f>
        <v>Goiânia</v>
      </c>
      <c r="D1672" s="1" t="str">
        <f>VLOOKUP(Tabela1[[#This Row],[Cliente]],'BASE DE CLIENTES'!A:C,3,0)</f>
        <v>GO</v>
      </c>
      <c r="E1672" s="4" t="str">
        <f>CONCATENATE(Tabela1[[#This Row],[CIDADE]],",",Tabela1[[#This Row],[UF]])</f>
        <v>Goiânia,GO</v>
      </c>
      <c r="F1672" s="2">
        <v>45924</v>
      </c>
      <c r="G1672" s="17">
        <v>14525.75</v>
      </c>
      <c r="H1672" s="17">
        <v>22620</v>
      </c>
      <c r="I1672" s="6">
        <f>Tabela1[[#This Row],[Valor total]]-Tabela1[[#This Row],[Valor custo]]</f>
        <v>8094.25</v>
      </c>
      <c r="J1672" s="7">
        <f>Tabela1[[#This Row],[MARGEM BRUTA]]/Tabela1[[#This Row],[Valor total]]</f>
        <v>0.35783598585322723</v>
      </c>
      <c r="K1672" s="1" t="str">
        <f>VLOOKUP(Tabela1[[#This Row],[Cliente]],'BASE DE CLIENTES'!A:D,4,0)</f>
        <v>EMPRESA COM MAQUINA</v>
      </c>
      <c r="L1672" s="1" t="str">
        <f>VLOOKUP(Tabela1[[#This Row],[Cliente]],'BASE DE CLIENTES'!A:E,5,0)</f>
        <v>Goiânia</v>
      </c>
    </row>
    <row r="1673" spans="2:12" x14ac:dyDescent="0.3">
      <c r="B1673" s="1" t="s">
        <v>42</v>
      </c>
      <c r="C1673" s="4" t="str">
        <f>VLOOKUP(Tabela1[[#This Row],[Cliente]],'BASE DE CLIENTES'!A:E,2,0)</f>
        <v>Brasília</v>
      </c>
      <c r="D1673" s="1" t="str">
        <f>VLOOKUP(Tabela1[[#This Row],[Cliente]],'BASE DE CLIENTES'!A:C,3,0)</f>
        <v>DF</v>
      </c>
      <c r="E1673" s="4" t="str">
        <f>CONCATENATE(Tabela1[[#This Row],[CIDADE]],",",Tabela1[[#This Row],[UF]])</f>
        <v>Brasília,DF</v>
      </c>
      <c r="F1673" s="2">
        <v>45855</v>
      </c>
      <c r="G1673" s="17">
        <v>1216</v>
      </c>
      <c r="H1673" s="17">
        <v>2150</v>
      </c>
      <c r="I1673" s="6">
        <f>Tabela1[[#This Row],[Valor total]]-Tabela1[[#This Row],[Valor custo]]</f>
        <v>934</v>
      </c>
      <c r="J1673" s="7">
        <f>Tabela1[[#This Row],[MARGEM BRUTA]]/Tabela1[[#This Row],[Valor total]]</f>
        <v>0.43441860465116278</v>
      </c>
      <c r="K1673" s="1" t="str">
        <f>VLOOKUP(Tabela1[[#This Row],[Cliente]],'BASE DE CLIENTES'!A:D,4,0)</f>
        <v>EMPRESA SEM MAQUINA</v>
      </c>
      <c r="L1673" s="1" t="str">
        <f>VLOOKUP(Tabela1[[#This Row],[Cliente]],'BASE DE CLIENTES'!A:E,5,0)</f>
        <v>SAMAMBAIA</v>
      </c>
    </row>
    <row r="1674" spans="2:12" x14ac:dyDescent="0.3">
      <c r="B1674" s="1" t="s">
        <v>101</v>
      </c>
      <c r="C1674" s="4" t="str">
        <f>VLOOKUP(Tabela1[[#This Row],[Cliente]],'BASE DE CLIENTES'!A:E,2,0)</f>
        <v>Brasília</v>
      </c>
      <c r="D1674" s="1" t="str">
        <f>VLOOKUP(Tabela1[[#This Row],[Cliente]],'BASE DE CLIENTES'!A:C,3,0)</f>
        <v>DF</v>
      </c>
      <c r="E1674" s="4" t="str">
        <f>CONCATENATE(Tabela1[[#This Row],[CIDADE]],",",Tabela1[[#This Row],[UF]])</f>
        <v>Brasília,DF</v>
      </c>
      <c r="F1674" s="2">
        <v>45855</v>
      </c>
      <c r="G1674" s="17">
        <v>998</v>
      </c>
      <c r="H1674" s="17">
        <v>1680</v>
      </c>
      <c r="I1674" s="6">
        <f>Tabela1[[#This Row],[Valor total]]-Tabela1[[#This Row],[Valor custo]]</f>
        <v>682</v>
      </c>
      <c r="J1674" s="7">
        <f>Tabela1[[#This Row],[MARGEM BRUTA]]/Tabela1[[#This Row],[Valor total]]</f>
        <v>0.40595238095238095</v>
      </c>
      <c r="K1674" s="1" t="str">
        <f>VLOOKUP(Tabela1[[#This Row],[Cliente]],'BASE DE CLIENTES'!A:D,4,0)</f>
        <v>SERRALHEIRO</v>
      </c>
      <c r="L1674" s="1" t="str">
        <f>VLOOKUP(Tabela1[[#This Row],[Cliente]],'BASE DE CLIENTES'!A:E,5,0)</f>
        <v>TAGUATINGA SUL (TAGUATINGA)</v>
      </c>
    </row>
    <row r="1675" spans="2:12" x14ac:dyDescent="0.3">
      <c r="B1675" s="1" t="s">
        <v>236</v>
      </c>
      <c r="C1675" s="4" t="str">
        <f>VLOOKUP(Tabela1[[#This Row],[Cliente]],'BASE DE CLIENTES'!A:E,2,0)</f>
        <v>Goiânia</v>
      </c>
      <c r="D1675" s="1" t="str">
        <f>VLOOKUP(Tabela1[[#This Row],[Cliente]],'BASE DE CLIENTES'!A:C,3,0)</f>
        <v>GO</v>
      </c>
      <c r="E1675" s="4" t="str">
        <f>CONCATENATE(Tabela1[[#This Row],[CIDADE]],",",Tabela1[[#This Row],[UF]])</f>
        <v>Goiânia,GO</v>
      </c>
      <c r="F1675" s="2">
        <v>45924</v>
      </c>
      <c r="G1675" s="17">
        <v>954</v>
      </c>
      <c r="H1675" s="17">
        <v>1470</v>
      </c>
      <c r="I1675" s="6">
        <f>Tabela1[[#This Row],[Valor total]]-Tabela1[[#This Row],[Valor custo]]</f>
        <v>516</v>
      </c>
      <c r="J1675" s="7">
        <f>Tabela1[[#This Row],[MARGEM BRUTA]]/Tabela1[[#This Row],[Valor total]]</f>
        <v>0.3510204081632653</v>
      </c>
      <c r="K1675" s="1" t="str">
        <f>VLOOKUP(Tabela1[[#This Row],[Cliente]],'BASE DE CLIENTES'!A:D,4,0)</f>
        <v>EMPRESA COM MAQUINA</v>
      </c>
      <c r="L1675" s="1" t="str">
        <f>VLOOKUP(Tabela1[[#This Row],[Cliente]],'BASE DE CLIENTES'!A:E,5,0)</f>
        <v>Goiânia</v>
      </c>
    </row>
    <row r="1676" spans="2:12" x14ac:dyDescent="0.3">
      <c r="B1676" s="1" t="s">
        <v>223</v>
      </c>
      <c r="C1676" s="4" t="str">
        <f>VLOOKUP(Tabela1[[#This Row],[Cliente]],'BASE DE CLIENTES'!A:E,2,0)</f>
        <v>Goiânia</v>
      </c>
      <c r="D1676" s="1" t="str">
        <f>VLOOKUP(Tabela1[[#This Row],[Cliente]],'BASE DE CLIENTES'!A:C,3,0)</f>
        <v>GO</v>
      </c>
      <c r="E1676" s="4" t="str">
        <f>CONCATENATE(Tabela1[[#This Row],[CIDADE]],",",Tabela1[[#This Row],[UF]])</f>
        <v>Goiânia,GO</v>
      </c>
      <c r="F1676" s="2">
        <v>45923</v>
      </c>
      <c r="G1676" s="17">
        <v>2243.69</v>
      </c>
      <c r="H1676" s="17">
        <v>3650</v>
      </c>
      <c r="I1676" s="6">
        <f>Tabela1[[#This Row],[Valor total]]-Tabela1[[#This Row],[Valor custo]]</f>
        <v>1406.31</v>
      </c>
      <c r="J1676" s="7">
        <f>Tabela1[[#This Row],[MARGEM BRUTA]]/Tabela1[[#This Row],[Valor total]]</f>
        <v>0.38529041095890409</v>
      </c>
      <c r="K1676" s="1" t="str">
        <f>VLOOKUP(Tabela1[[#This Row],[Cliente]],'BASE DE CLIENTES'!A:D,4,0)</f>
        <v>EMPRESA COM MAQUINA</v>
      </c>
      <c r="L1676" s="1" t="str">
        <f>VLOOKUP(Tabela1[[#This Row],[Cliente]],'BASE DE CLIENTES'!A:E,5,0)</f>
        <v>Goiânia</v>
      </c>
    </row>
    <row r="1677" spans="2:12" x14ac:dyDescent="0.3">
      <c r="B1677" s="1" t="s">
        <v>197</v>
      </c>
      <c r="C1677" s="4" t="str">
        <f>VLOOKUP(Tabela1[[#This Row],[Cliente]],'BASE DE CLIENTES'!A:E,2,0)</f>
        <v>Goiânia</v>
      </c>
      <c r="D1677" s="1" t="str">
        <f>VLOOKUP(Tabela1[[#This Row],[Cliente]],'BASE DE CLIENTES'!A:C,3,0)</f>
        <v>GO</v>
      </c>
      <c r="E1677" s="4" t="str">
        <f>CONCATENATE(Tabela1[[#This Row],[CIDADE]],",",Tabela1[[#This Row],[UF]])</f>
        <v>Goiânia,GO</v>
      </c>
      <c r="F1677" s="2">
        <v>45922</v>
      </c>
      <c r="G1677" s="17">
        <v>3752</v>
      </c>
      <c r="H1677" s="17">
        <v>6208</v>
      </c>
      <c r="I1677" s="6">
        <f>Tabela1[[#This Row],[Valor total]]-Tabela1[[#This Row],[Valor custo]]</f>
        <v>2456</v>
      </c>
      <c r="J1677" s="7">
        <f>Tabela1[[#This Row],[MARGEM BRUTA]]/Tabela1[[#This Row],[Valor total]]</f>
        <v>0.39561855670103091</v>
      </c>
      <c r="K1677" s="1" t="str">
        <f>VLOOKUP(Tabela1[[#This Row],[Cliente]],'BASE DE CLIENTES'!A:D,4,0)</f>
        <v>EMPRESA COM MAQUINA</v>
      </c>
      <c r="L1677" s="1" t="str">
        <f>VLOOKUP(Tabela1[[#This Row],[Cliente]],'BASE DE CLIENTES'!A:E,5,0)</f>
        <v>Goiânia</v>
      </c>
    </row>
    <row r="1678" spans="2:12" x14ac:dyDescent="0.3">
      <c r="B1678" s="1" t="s">
        <v>23</v>
      </c>
      <c r="C1678" s="4" t="str">
        <f>VLOOKUP(Tabela1[[#This Row],[Cliente]],'BASE DE CLIENTES'!A:E,2,0)</f>
        <v>Brasília</v>
      </c>
      <c r="D1678" s="1" t="str">
        <f>VLOOKUP(Tabela1[[#This Row],[Cliente]],'BASE DE CLIENTES'!A:C,3,0)</f>
        <v>DF</v>
      </c>
      <c r="E1678" s="4" t="str">
        <f>CONCATENATE(Tabela1[[#This Row],[CIDADE]],",",Tabela1[[#This Row],[UF]])</f>
        <v>Brasília,DF</v>
      </c>
      <c r="F1678" s="2">
        <v>45855</v>
      </c>
      <c r="G1678" s="17">
        <v>277.5</v>
      </c>
      <c r="H1678" s="17">
        <v>350</v>
      </c>
      <c r="I1678" s="6">
        <f>Tabela1[[#This Row],[Valor total]]-Tabela1[[#This Row],[Valor custo]]</f>
        <v>72.5</v>
      </c>
      <c r="J1678" s="7">
        <f>Tabela1[[#This Row],[MARGEM BRUTA]]/Tabela1[[#This Row],[Valor total]]</f>
        <v>0.20714285714285716</v>
      </c>
      <c r="K1678" s="1" t="str">
        <f>VLOOKUP(Tabela1[[#This Row],[Cliente]],'BASE DE CLIENTES'!A:D,4,0)</f>
        <v>EMPRESA SEM MAQUINA</v>
      </c>
      <c r="L1678" s="1" t="str">
        <f>VLOOKUP(Tabela1[[#This Row],[Cliente]],'BASE DE CLIENTES'!A:E,5,0)</f>
        <v>SETOR INDUSTRIAL (TAGUATINGA)</v>
      </c>
    </row>
    <row r="1679" spans="2:12" x14ac:dyDescent="0.3">
      <c r="B1679" s="1" t="s">
        <v>236</v>
      </c>
      <c r="C1679" s="4" t="str">
        <f>VLOOKUP(Tabela1[[#This Row],[Cliente]],'BASE DE CLIENTES'!A:E,2,0)</f>
        <v>Goiânia</v>
      </c>
      <c r="D1679" s="1" t="str">
        <f>VLOOKUP(Tabela1[[#This Row],[Cliente]],'BASE DE CLIENTES'!A:C,3,0)</f>
        <v>GO</v>
      </c>
      <c r="E1679" s="4" t="str">
        <f>CONCATENATE(Tabela1[[#This Row],[CIDADE]],",",Tabela1[[#This Row],[UF]])</f>
        <v>Goiânia,GO</v>
      </c>
      <c r="F1679" s="2">
        <v>45918</v>
      </c>
      <c r="G1679" s="17">
        <v>1602</v>
      </c>
      <c r="H1679" s="17">
        <v>2370</v>
      </c>
      <c r="I1679" s="6">
        <f>Tabela1[[#This Row],[Valor total]]-Tabela1[[#This Row],[Valor custo]]</f>
        <v>768</v>
      </c>
      <c r="J1679" s="7">
        <f>Tabela1[[#This Row],[MARGEM BRUTA]]/Tabela1[[#This Row],[Valor total]]</f>
        <v>0.32405063291139241</v>
      </c>
      <c r="K1679" s="1" t="str">
        <f>VLOOKUP(Tabela1[[#This Row],[Cliente]],'BASE DE CLIENTES'!A:D,4,0)</f>
        <v>EMPRESA COM MAQUINA</v>
      </c>
      <c r="L1679" s="1" t="str">
        <f>VLOOKUP(Tabela1[[#This Row],[Cliente]],'BASE DE CLIENTES'!A:E,5,0)</f>
        <v>Goiânia</v>
      </c>
    </row>
    <row r="1680" spans="2:12" x14ac:dyDescent="0.3">
      <c r="B1680" s="1" t="s">
        <v>153</v>
      </c>
      <c r="C1680" s="4" t="str">
        <f>VLOOKUP(Tabela1[[#This Row],[Cliente]],'BASE DE CLIENTES'!A:E,2,0)</f>
        <v>Brasília</v>
      </c>
      <c r="D1680" s="1" t="str">
        <f>VLOOKUP(Tabela1[[#This Row],[Cliente]],'BASE DE CLIENTES'!A:C,3,0)</f>
        <v>DF</v>
      </c>
      <c r="E1680" s="4" t="str">
        <f>CONCATENATE(Tabela1[[#This Row],[CIDADE]],",",Tabela1[[#This Row],[UF]])</f>
        <v>Brasília,DF</v>
      </c>
      <c r="F1680" s="2">
        <v>45855</v>
      </c>
      <c r="G1680" s="17">
        <v>385</v>
      </c>
      <c r="H1680" s="17">
        <v>635</v>
      </c>
      <c r="I1680" s="6">
        <f>Tabela1[[#This Row],[Valor total]]-Tabela1[[#This Row],[Valor custo]]</f>
        <v>250</v>
      </c>
      <c r="J1680" s="7">
        <f>Tabela1[[#This Row],[MARGEM BRUTA]]/Tabela1[[#This Row],[Valor total]]</f>
        <v>0.39370078740157483</v>
      </c>
      <c r="K1680" s="1" t="str">
        <f>VLOOKUP(Tabela1[[#This Row],[Cliente]],'BASE DE CLIENTES'!A:D,4,0)</f>
        <v>SERRALHEIRO</v>
      </c>
      <c r="L1680" s="1" t="str">
        <f>VLOOKUP(Tabela1[[#This Row],[Cliente]],'BASE DE CLIENTES'!A:E,5,0)</f>
        <v>PLANALTINA</v>
      </c>
    </row>
    <row r="1681" spans="2:12" x14ac:dyDescent="0.3">
      <c r="B1681" s="1" t="s">
        <v>99</v>
      </c>
      <c r="C1681" s="4" t="str">
        <f>VLOOKUP(Tabela1[[#This Row],[Cliente]],'BASE DE CLIENTES'!A:E,2,0)</f>
        <v>Brasília</v>
      </c>
      <c r="D1681" s="1" t="str">
        <f>VLOOKUP(Tabela1[[#This Row],[Cliente]],'BASE DE CLIENTES'!A:C,3,0)</f>
        <v>DF</v>
      </c>
      <c r="E1681" s="4" t="str">
        <f>CONCATENATE(Tabela1[[#This Row],[CIDADE]],",",Tabela1[[#This Row],[UF]])</f>
        <v>Brasília,DF</v>
      </c>
      <c r="F1681" s="2">
        <v>45855</v>
      </c>
      <c r="G1681" s="17">
        <v>2198</v>
      </c>
      <c r="H1681" s="17">
        <v>3480</v>
      </c>
      <c r="I1681" s="6">
        <f>Tabela1[[#This Row],[Valor total]]-Tabela1[[#This Row],[Valor custo]]</f>
        <v>1282</v>
      </c>
      <c r="J1681" s="7">
        <f>Tabela1[[#This Row],[MARGEM BRUTA]]/Tabela1[[#This Row],[Valor total]]</f>
        <v>0.36839080459770113</v>
      </c>
      <c r="K1681" s="1" t="str">
        <f>VLOOKUP(Tabela1[[#This Row],[Cliente]],'BASE DE CLIENTES'!A:D,4,0)</f>
        <v>EMPRESA COM MAQUINA</v>
      </c>
      <c r="L1681" s="1" t="str">
        <f>VLOOKUP(Tabela1[[#This Row],[Cliente]],'BASE DE CLIENTES'!A:E,5,0)</f>
        <v>ARAPOANGA (PLANALTINA)</v>
      </c>
    </row>
    <row r="1682" spans="2:12" x14ac:dyDescent="0.3">
      <c r="B1682" s="1" t="s">
        <v>120</v>
      </c>
      <c r="C1682" s="4" t="str">
        <f>VLOOKUP(Tabela1[[#This Row],[Cliente]],'BASE DE CLIENTES'!A:E,2,0)</f>
        <v>Brasília</v>
      </c>
      <c r="D1682" s="1" t="str">
        <f>VLOOKUP(Tabela1[[#This Row],[Cliente]],'BASE DE CLIENTES'!A:C,3,0)</f>
        <v>DF</v>
      </c>
      <c r="E1682" s="4" t="str">
        <f>CONCATENATE(Tabela1[[#This Row],[CIDADE]],",",Tabela1[[#This Row],[UF]])</f>
        <v>Brasília,DF</v>
      </c>
      <c r="F1682" s="2">
        <v>45904</v>
      </c>
      <c r="G1682" s="17">
        <v>165</v>
      </c>
      <c r="H1682" s="17">
        <v>520</v>
      </c>
      <c r="I1682" s="6">
        <f>Tabela1[[#This Row],[Valor total]]-Tabela1[[#This Row],[Valor custo]]</f>
        <v>355</v>
      </c>
      <c r="J1682" s="7">
        <f>Tabela1[[#This Row],[MARGEM BRUTA]]/Tabela1[[#This Row],[Valor total]]</f>
        <v>0.68269230769230771</v>
      </c>
      <c r="K1682" s="1" t="str">
        <f>VLOOKUP(Tabela1[[#This Row],[Cliente]],'BASE DE CLIENTES'!A:D,4,0)</f>
        <v>EMPRESA SEM MAQUINA</v>
      </c>
      <c r="L1682" s="1" t="str">
        <f>VLOOKUP(Tabela1[[#This Row],[Cliente]],'BASE DE CLIENTES'!A:E,5,0)</f>
        <v>SAMAMBAIA</v>
      </c>
    </row>
    <row r="1683" spans="2:12" x14ac:dyDescent="0.3">
      <c r="B1683" s="1" t="s">
        <v>236</v>
      </c>
      <c r="C1683" s="4" t="str">
        <f>VLOOKUP(Tabela1[[#This Row],[Cliente]],'BASE DE CLIENTES'!A:E,2,0)</f>
        <v>Goiânia</v>
      </c>
      <c r="D1683" s="1" t="str">
        <f>VLOOKUP(Tabela1[[#This Row],[Cliente]],'BASE DE CLIENTES'!A:C,3,0)</f>
        <v>GO</v>
      </c>
      <c r="E1683" s="4" t="str">
        <f>CONCATENATE(Tabela1[[#This Row],[CIDADE]],",",Tabela1[[#This Row],[UF]])</f>
        <v>Goiânia,GO</v>
      </c>
      <c r="F1683" s="2">
        <v>45917</v>
      </c>
      <c r="G1683" s="17">
        <v>865.58</v>
      </c>
      <c r="H1683" s="17">
        <v>1166</v>
      </c>
      <c r="I1683" s="6">
        <f>Tabela1[[#This Row],[Valor total]]-Tabela1[[#This Row],[Valor custo]]</f>
        <v>300.41999999999996</v>
      </c>
      <c r="J1683" s="7">
        <f>Tabela1[[#This Row],[MARGEM BRUTA]]/Tabela1[[#This Row],[Valor total]]</f>
        <v>0.25765008576329329</v>
      </c>
      <c r="K1683" s="1" t="str">
        <f>VLOOKUP(Tabela1[[#This Row],[Cliente]],'BASE DE CLIENTES'!A:D,4,0)</f>
        <v>EMPRESA COM MAQUINA</v>
      </c>
      <c r="L1683" s="1" t="str">
        <f>VLOOKUP(Tabela1[[#This Row],[Cliente]],'BASE DE CLIENTES'!A:E,5,0)</f>
        <v>Goiânia</v>
      </c>
    </row>
    <row r="1684" spans="2:12" x14ac:dyDescent="0.3">
      <c r="B1684" s="1" t="s">
        <v>199</v>
      </c>
      <c r="C1684" s="4" t="str">
        <f>VLOOKUP(Tabela1[[#This Row],[Cliente]],'BASE DE CLIENTES'!A:E,2,0)</f>
        <v>Goiânia</v>
      </c>
      <c r="D1684" s="1" t="str">
        <f>VLOOKUP(Tabela1[[#This Row],[Cliente]],'BASE DE CLIENTES'!A:C,3,0)</f>
        <v>GO</v>
      </c>
      <c r="E1684" s="4" t="str">
        <f>CONCATENATE(Tabela1[[#This Row],[CIDADE]],",",Tabela1[[#This Row],[UF]])</f>
        <v>Goiânia,GO</v>
      </c>
      <c r="F1684" s="2">
        <v>45917</v>
      </c>
      <c r="G1684" s="17">
        <v>2311.1</v>
      </c>
      <c r="H1684" s="17">
        <v>4800</v>
      </c>
      <c r="I1684" s="6">
        <f>Tabela1[[#This Row],[Valor total]]-Tabela1[[#This Row],[Valor custo]]</f>
        <v>2488.9</v>
      </c>
      <c r="J1684" s="7">
        <f>Tabela1[[#This Row],[MARGEM BRUTA]]/Tabela1[[#This Row],[Valor total]]</f>
        <v>0.51852083333333332</v>
      </c>
      <c r="K1684" s="1" t="str">
        <f>VLOOKUP(Tabela1[[#This Row],[Cliente]],'BASE DE CLIENTES'!A:D,4,0)</f>
        <v>EMPRESA COM MAQUINA</v>
      </c>
      <c r="L1684" s="1" t="str">
        <f>VLOOKUP(Tabela1[[#This Row],[Cliente]],'BASE DE CLIENTES'!A:E,5,0)</f>
        <v>Goiânia</v>
      </c>
    </row>
    <row r="1685" spans="2:12" x14ac:dyDescent="0.3">
      <c r="B1685" s="1" t="s">
        <v>140</v>
      </c>
      <c r="C1685" s="4" t="str">
        <f>VLOOKUP(Tabela1[[#This Row],[Cliente]],'BASE DE CLIENTES'!A:E,2,0)</f>
        <v>Brasília</v>
      </c>
      <c r="D1685" s="1" t="str">
        <f>VLOOKUP(Tabela1[[#This Row],[Cliente]],'BASE DE CLIENTES'!A:C,3,0)</f>
        <v>DF</v>
      </c>
      <c r="E1685" s="4" t="str">
        <f>CONCATENATE(Tabela1[[#This Row],[CIDADE]],",",Tabela1[[#This Row],[UF]])</f>
        <v>Brasília,DF</v>
      </c>
      <c r="F1685" s="2">
        <v>45854</v>
      </c>
      <c r="G1685" s="17">
        <v>20120</v>
      </c>
      <c r="H1685" s="17">
        <v>30500</v>
      </c>
      <c r="I1685" s="6">
        <f>Tabela1[[#This Row],[Valor total]]-Tabela1[[#This Row],[Valor custo]]</f>
        <v>10380</v>
      </c>
      <c r="J1685" s="7">
        <f>Tabela1[[#This Row],[MARGEM BRUTA]]/Tabela1[[#This Row],[Valor total]]</f>
        <v>0.34032786885245903</v>
      </c>
      <c r="K1685" s="1" t="str">
        <f>VLOOKUP(Tabela1[[#This Row],[Cliente]],'BASE DE CLIENTES'!A:D,4,0)</f>
        <v>EMPRESA COM MAQUINA</v>
      </c>
      <c r="L1685" s="1" t="str">
        <f>VLOOKUP(Tabela1[[#This Row],[Cliente]],'BASE DE CLIENTES'!A:E,5,0)</f>
        <v>RECANTO DAS EMAS</v>
      </c>
    </row>
    <row r="1686" spans="2:12" x14ac:dyDescent="0.3">
      <c r="B1686" s="1" t="s">
        <v>52</v>
      </c>
      <c r="C1686" s="4" t="str">
        <f>VLOOKUP(Tabela1[[#This Row],[Cliente]],'BASE DE CLIENTES'!A:E,2,0)</f>
        <v>Brasília</v>
      </c>
      <c r="D1686" s="1" t="str">
        <f>VLOOKUP(Tabela1[[#This Row],[Cliente]],'BASE DE CLIENTES'!A:C,3,0)</f>
        <v>DF</v>
      </c>
      <c r="E1686" s="4" t="str">
        <f>CONCATENATE(Tabela1[[#This Row],[CIDADE]],",",Tabela1[[#This Row],[UF]])</f>
        <v>Brasília,DF</v>
      </c>
      <c r="F1686" s="2">
        <v>45854</v>
      </c>
      <c r="G1686" s="17">
        <v>444</v>
      </c>
      <c r="H1686" s="17">
        <v>700</v>
      </c>
      <c r="I1686" s="6">
        <f>Tabela1[[#This Row],[Valor total]]-Tabela1[[#This Row],[Valor custo]]</f>
        <v>256</v>
      </c>
      <c r="J1686" s="7">
        <f>Tabela1[[#This Row],[MARGEM BRUTA]]/Tabela1[[#This Row],[Valor total]]</f>
        <v>0.36571428571428571</v>
      </c>
      <c r="K1686" s="1" t="str">
        <f>VLOOKUP(Tabela1[[#This Row],[Cliente]],'BASE DE CLIENTES'!A:D,4,0)</f>
        <v>SERRALHEIRO</v>
      </c>
      <c r="L1686" s="1" t="str">
        <f>VLOOKUP(Tabela1[[#This Row],[Cliente]],'BASE DE CLIENTES'!A:E,5,0)</f>
        <v>Ceilândia Sul (Ceilândia)</v>
      </c>
    </row>
    <row r="1687" spans="2:12" x14ac:dyDescent="0.3">
      <c r="B1687" s="1" t="s">
        <v>236</v>
      </c>
      <c r="C1687" s="4" t="str">
        <f>VLOOKUP(Tabela1[[#This Row],[Cliente]],'BASE DE CLIENTES'!A:E,2,0)</f>
        <v>Goiânia</v>
      </c>
      <c r="D1687" s="1" t="str">
        <f>VLOOKUP(Tabela1[[#This Row],[Cliente]],'BASE DE CLIENTES'!A:C,3,0)</f>
        <v>GO</v>
      </c>
      <c r="E1687" s="4" t="str">
        <f>CONCATENATE(Tabela1[[#This Row],[CIDADE]],",",Tabela1[[#This Row],[UF]])</f>
        <v>Goiânia,GO</v>
      </c>
      <c r="F1687" s="2">
        <v>45915</v>
      </c>
      <c r="G1687" s="17">
        <v>865.58</v>
      </c>
      <c r="H1687" s="17">
        <v>1166</v>
      </c>
      <c r="I1687" s="6">
        <f>Tabela1[[#This Row],[Valor total]]-Tabela1[[#This Row],[Valor custo]]</f>
        <v>300.41999999999996</v>
      </c>
      <c r="J1687" s="7">
        <f>Tabela1[[#This Row],[MARGEM BRUTA]]/Tabela1[[#This Row],[Valor total]]</f>
        <v>0.25765008576329329</v>
      </c>
      <c r="K1687" s="1" t="str">
        <f>VLOOKUP(Tabela1[[#This Row],[Cliente]],'BASE DE CLIENTES'!A:D,4,0)</f>
        <v>EMPRESA COM MAQUINA</v>
      </c>
      <c r="L1687" s="1" t="str">
        <f>VLOOKUP(Tabela1[[#This Row],[Cliente]],'BASE DE CLIENTES'!A:E,5,0)</f>
        <v>Goiânia</v>
      </c>
    </row>
    <row r="1688" spans="2:12" x14ac:dyDescent="0.3">
      <c r="B1688" s="1" t="s">
        <v>111</v>
      </c>
      <c r="C1688" s="4" t="str">
        <f>VLOOKUP(Tabela1[[#This Row],[Cliente]],'BASE DE CLIENTES'!A:E,2,0)</f>
        <v>Brasília</v>
      </c>
      <c r="D1688" s="1" t="str">
        <f>VLOOKUP(Tabela1[[#This Row],[Cliente]],'BASE DE CLIENTES'!A:C,3,0)</f>
        <v>DF</v>
      </c>
      <c r="E1688" s="4" t="str">
        <f>CONCATENATE(Tabela1[[#This Row],[CIDADE]],",",Tabela1[[#This Row],[UF]])</f>
        <v>Brasília,DF</v>
      </c>
      <c r="F1688" s="2">
        <v>45854</v>
      </c>
      <c r="G1688" s="17">
        <v>1406</v>
      </c>
      <c r="H1688" s="17">
        <v>2490</v>
      </c>
      <c r="I1688" s="6">
        <f>Tabela1[[#This Row],[Valor total]]-Tabela1[[#This Row],[Valor custo]]</f>
        <v>1084</v>
      </c>
      <c r="J1688" s="7">
        <f>Tabela1[[#This Row],[MARGEM BRUTA]]/Tabela1[[#This Row],[Valor total]]</f>
        <v>0.43534136546184737</v>
      </c>
      <c r="K1688" s="1" t="str">
        <f>VLOOKUP(Tabela1[[#This Row],[Cliente]],'BASE DE CLIENTES'!A:D,4,0)</f>
        <v>EMPRESA SEM MAQUINA</v>
      </c>
      <c r="L1688" s="1" t="str">
        <f>VLOOKUP(Tabela1[[#This Row],[Cliente]],'BASE DE CLIENTES'!A:E,5,0)</f>
        <v>TAGUATINGA SUL (TAGUATINGA)</v>
      </c>
    </row>
    <row r="1689" spans="2:12" x14ac:dyDescent="0.3">
      <c r="B1689" s="1" t="s">
        <v>230</v>
      </c>
      <c r="C1689" s="4" t="str">
        <f>VLOOKUP(Tabela1[[#This Row],[Cliente]],'BASE DE CLIENTES'!A:E,2,0)</f>
        <v>Brasília</v>
      </c>
      <c r="D1689" s="1" t="str">
        <f>VLOOKUP(Tabela1[[#This Row],[Cliente]],'BASE DE CLIENTES'!A:C,3,0)</f>
        <v>DF</v>
      </c>
      <c r="E1689" s="4" t="str">
        <f>CONCATENATE(Tabela1[[#This Row],[CIDADE]],",",Tabela1[[#This Row],[UF]])</f>
        <v>Brasília,DF</v>
      </c>
      <c r="F1689" s="2">
        <v>45854</v>
      </c>
      <c r="G1689" s="17">
        <v>444</v>
      </c>
      <c r="H1689" s="17">
        <v>750</v>
      </c>
      <c r="I1689" s="6">
        <f>Tabela1[[#This Row],[Valor total]]-Tabela1[[#This Row],[Valor custo]]</f>
        <v>306</v>
      </c>
      <c r="J1689" s="7">
        <f>Tabela1[[#This Row],[MARGEM BRUTA]]/Tabela1[[#This Row],[Valor total]]</f>
        <v>0.40799999999999997</v>
      </c>
      <c r="K1689" s="1" t="str">
        <f>VLOOKUP(Tabela1[[#This Row],[Cliente]],'BASE DE CLIENTES'!A:D,4,0)</f>
        <v>SERRALHEIRO</v>
      </c>
      <c r="L1689" s="1" t="str">
        <f>VLOOKUP(Tabela1[[#This Row],[Cliente]],'BASE DE CLIENTES'!A:E,5,0)</f>
        <v>SETOR HABITACIONAL SAMAMBAIA (VICENTE PIRES)</v>
      </c>
    </row>
    <row r="1690" spans="2:12" x14ac:dyDescent="0.3">
      <c r="B1690" s="1" t="s">
        <v>27</v>
      </c>
      <c r="C1690" s="4" t="str">
        <f>VLOOKUP(Tabela1[[#This Row],[Cliente]],'BASE DE CLIENTES'!A:E,2,0)</f>
        <v>Brasília</v>
      </c>
      <c r="D1690" s="1" t="str">
        <f>VLOOKUP(Tabela1[[#This Row],[Cliente]],'BASE DE CLIENTES'!A:C,3,0)</f>
        <v>DF</v>
      </c>
      <c r="E1690" s="4" t="str">
        <f>CONCATENATE(Tabela1[[#This Row],[CIDADE]],",",Tabela1[[#This Row],[UF]])</f>
        <v>Brasília,DF</v>
      </c>
      <c r="F1690" s="2">
        <v>45854</v>
      </c>
      <c r="G1690" s="17">
        <v>770</v>
      </c>
      <c r="H1690" s="17">
        <v>1200</v>
      </c>
      <c r="I1690" s="6">
        <f>Tabela1[[#This Row],[Valor total]]-Tabela1[[#This Row],[Valor custo]]</f>
        <v>430</v>
      </c>
      <c r="J1690" s="7">
        <f>Tabela1[[#This Row],[MARGEM BRUTA]]/Tabela1[[#This Row],[Valor total]]</f>
        <v>0.35833333333333334</v>
      </c>
      <c r="K1690" s="1" t="str">
        <f>VLOOKUP(Tabela1[[#This Row],[Cliente]],'BASE DE CLIENTES'!A:D,4,0)</f>
        <v>EMPRESA SEM MAQUINA</v>
      </c>
      <c r="L1690" s="1" t="str">
        <f>VLOOKUP(Tabela1[[#This Row],[Cliente]],'BASE DE CLIENTES'!A:E,5,0)</f>
        <v>RECANTO DAS EMAS</v>
      </c>
    </row>
    <row r="1691" spans="2:12" x14ac:dyDescent="0.3">
      <c r="B1691" s="1" t="s">
        <v>195</v>
      </c>
      <c r="C1691" s="4" t="str">
        <f>VLOOKUP(Tabela1[[#This Row],[Cliente]],'BASE DE CLIENTES'!A:E,2,0)</f>
        <v>Goiânia</v>
      </c>
      <c r="D1691" s="1" t="str">
        <f>VLOOKUP(Tabela1[[#This Row],[Cliente]],'BASE DE CLIENTES'!A:C,3,0)</f>
        <v>GO</v>
      </c>
      <c r="E1691" s="4" t="str">
        <f>CONCATENATE(Tabela1[[#This Row],[CIDADE]],",",Tabela1[[#This Row],[UF]])</f>
        <v>Goiânia,GO</v>
      </c>
      <c r="F1691" s="2">
        <v>45915</v>
      </c>
      <c r="G1691" s="17">
        <v>2455</v>
      </c>
      <c r="H1691" s="17">
        <v>3250</v>
      </c>
      <c r="I1691" s="6">
        <f>Tabela1[[#This Row],[Valor total]]-Tabela1[[#This Row],[Valor custo]]</f>
        <v>795</v>
      </c>
      <c r="J1691" s="7">
        <f>Tabela1[[#This Row],[MARGEM BRUTA]]/Tabela1[[#This Row],[Valor total]]</f>
        <v>0.24461538461538462</v>
      </c>
      <c r="K1691" s="1" t="str">
        <f>VLOOKUP(Tabela1[[#This Row],[Cliente]],'BASE DE CLIENTES'!A:D,4,0)</f>
        <v>EMPRESA COM MAQUINA</v>
      </c>
      <c r="L1691" s="1" t="str">
        <f>VLOOKUP(Tabela1[[#This Row],[Cliente]],'BASE DE CLIENTES'!A:E,5,0)</f>
        <v>Goiânia</v>
      </c>
    </row>
    <row r="1692" spans="2:12" x14ac:dyDescent="0.3">
      <c r="B1692" s="1" t="s">
        <v>70</v>
      </c>
      <c r="C1692" s="4" t="str">
        <f>VLOOKUP(Tabela1[[#This Row],[Cliente]],'BASE DE CLIENTES'!A:E,2,0)</f>
        <v>Brasília</v>
      </c>
      <c r="D1692" s="1" t="str">
        <f>VLOOKUP(Tabela1[[#This Row],[Cliente]],'BASE DE CLIENTES'!A:C,3,0)</f>
        <v>DF</v>
      </c>
      <c r="E1692" s="4" t="str">
        <f>CONCATENATE(Tabela1[[#This Row],[CIDADE]],",",Tabela1[[#This Row],[UF]])</f>
        <v>Brasília,DF</v>
      </c>
      <c r="F1692" s="2">
        <v>45854</v>
      </c>
      <c r="G1692" s="17">
        <v>2859</v>
      </c>
      <c r="H1692" s="17">
        <v>4570</v>
      </c>
      <c r="I1692" s="6">
        <f>Tabela1[[#This Row],[Valor total]]-Tabela1[[#This Row],[Valor custo]]</f>
        <v>1711</v>
      </c>
      <c r="J1692" s="7">
        <f>Tabela1[[#This Row],[MARGEM BRUTA]]/Tabela1[[#This Row],[Valor total]]</f>
        <v>0.37439824945295402</v>
      </c>
      <c r="K1692" s="1" t="str">
        <f>VLOOKUP(Tabela1[[#This Row],[Cliente]],'BASE DE CLIENTES'!A:D,4,0)</f>
        <v>EMPRESA COM MAQUINA</v>
      </c>
      <c r="L1692" s="1" t="str">
        <f>VLOOKUP(Tabela1[[#This Row],[Cliente]],'BASE DE CLIENTES'!A:E,5,0)</f>
        <v>TAGUATINGA NORTE (TAGUATINGA)</v>
      </c>
    </row>
    <row r="1693" spans="2:12" x14ac:dyDescent="0.3">
      <c r="B1693" s="1" t="s">
        <v>25</v>
      </c>
      <c r="C1693" s="4" t="str">
        <f>VLOOKUP(Tabela1[[#This Row],[Cliente]],'BASE DE CLIENTES'!A:E,2,0)</f>
        <v>Brasília</v>
      </c>
      <c r="D1693" s="1" t="str">
        <f>VLOOKUP(Tabela1[[#This Row],[Cliente]],'BASE DE CLIENTES'!A:C,3,0)</f>
        <v>DF</v>
      </c>
      <c r="E1693" s="4" t="str">
        <f>CONCATENATE(Tabela1[[#This Row],[CIDADE]],",",Tabela1[[#This Row],[UF]])</f>
        <v>Brasília,DF</v>
      </c>
      <c r="F1693" s="2">
        <v>45854</v>
      </c>
      <c r="G1693" s="17">
        <v>6548</v>
      </c>
      <c r="H1693" s="17">
        <v>10825</v>
      </c>
      <c r="I1693" s="6">
        <f>Tabela1[[#This Row],[Valor total]]-Tabela1[[#This Row],[Valor custo]]</f>
        <v>4277</v>
      </c>
      <c r="J1693" s="7">
        <f>Tabela1[[#This Row],[MARGEM BRUTA]]/Tabela1[[#This Row],[Valor total]]</f>
        <v>0.39510392609699768</v>
      </c>
      <c r="K1693" s="1" t="str">
        <f>VLOOKUP(Tabela1[[#This Row],[Cliente]],'BASE DE CLIENTES'!A:D,4,0)</f>
        <v>EMPRESA COM MAQUINA</v>
      </c>
      <c r="L1693" s="1" t="str">
        <f>VLOOKUP(Tabela1[[#This Row],[Cliente]],'BASE DE CLIENTES'!A:E,5,0)</f>
        <v>CEILANDIA NORTE (CEILANDIA)</v>
      </c>
    </row>
    <row r="1694" spans="2:12" x14ac:dyDescent="0.3">
      <c r="B1694" s="1" t="s">
        <v>236</v>
      </c>
      <c r="C1694" s="4" t="str">
        <f>VLOOKUP(Tabela1[[#This Row],[Cliente]],'BASE DE CLIENTES'!A:E,2,0)</f>
        <v>Goiânia</v>
      </c>
      <c r="D1694" s="1" t="str">
        <f>VLOOKUP(Tabela1[[#This Row],[Cliente]],'BASE DE CLIENTES'!A:C,3,0)</f>
        <v>GO</v>
      </c>
      <c r="E1694" s="4" t="str">
        <f>CONCATENATE(Tabela1[[#This Row],[CIDADE]],",",Tabela1[[#This Row],[UF]])</f>
        <v>Goiânia,GO</v>
      </c>
      <c r="F1694" s="2">
        <v>45912</v>
      </c>
      <c r="G1694" s="17">
        <v>477</v>
      </c>
      <c r="H1694" s="17">
        <v>750</v>
      </c>
      <c r="I1694" s="6">
        <f>Tabela1[[#This Row],[Valor total]]-Tabela1[[#This Row],[Valor custo]]</f>
        <v>273</v>
      </c>
      <c r="J1694" s="7">
        <f>Tabela1[[#This Row],[MARGEM BRUTA]]/Tabela1[[#This Row],[Valor total]]</f>
        <v>0.36399999999999999</v>
      </c>
      <c r="K1694" s="1" t="str">
        <f>VLOOKUP(Tabela1[[#This Row],[Cliente]],'BASE DE CLIENTES'!A:D,4,0)</f>
        <v>EMPRESA COM MAQUINA</v>
      </c>
      <c r="L1694" s="1" t="str">
        <f>VLOOKUP(Tabela1[[#This Row],[Cliente]],'BASE DE CLIENTES'!A:E,5,0)</f>
        <v>Goiânia</v>
      </c>
    </row>
    <row r="1695" spans="2:12" x14ac:dyDescent="0.3">
      <c r="B1695" s="1" t="s">
        <v>161</v>
      </c>
      <c r="C1695" s="4" t="str">
        <f>VLOOKUP(Tabela1[[#This Row],[Cliente]],'BASE DE CLIENTES'!A:E,2,0)</f>
        <v>Brasília</v>
      </c>
      <c r="D1695" s="1" t="str">
        <f>VLOOKUP(Tabela1[[#This Row],[Cliente]],'BASE DE CLIENTES'!A:C,3,0)</f>
        <v>DF</v>
      </c>
      <c r="E1695" s="4" t="str">
        <f>CONCATENATE(Tabela1[[#This Row],[CIDADE]],",",Tabela1[[#This Row],[UF]])</f>
        <v>Brasília,DF</v>
      </c>
      <c r="F1695" s="2">
        <v>45854</v>
      </c>
      <c r="G1695" s="17">
        <v>400.72</v>
      </c>
      <c r="H1695" s="17">
        <v>540</v>
      </c>
      <c r="I1695" s="6">
        <f>Tabela1[[#This Row],[Valor total]]-Tabela1[[#This Row],[Valor custo]]</f>
        <v>139.27999999999997</v>
      </c>
      <c r="J1695" s="7">
        <f>Tabela1[[#This Row],[MARGEM BRUTA]]/Tabela1[[#This Row],[Valor total]]</f>
        <v>0.25792592592592589</v>
      </c>
      <c r="K1695" s="1" t="str">
        <f>VLOOKUP(Tabela1[[#This Row],[Cliente]],'BASE DE CLIENTES'!A:D,4,0)</f>
        <v>EMPRESA COM MAQUINA</v>
      </c>
      <c r="L1695" s="1" t="str">
        <f>VLOOKUP(Tabela1[[#This Row],[Cliente]],'BASE DE CLIENTES'!A:E,5,0)</f>
        <v>RIACHO FUNDO II</v>
      </c>
    </row>
    <row r="1696" spans="2:12" x14ac:dyDescent="0.3">
      <c r="B1696" s="1" t="s">
        <v>236</v>
      </c>
      <c r="C1696" s="4" t="str">
        <f>VLOOKUP(Tabela1[[#This Row],[Cliente]],'BASE DE CLIENTES'!A:E,2,0)</f>
        <v>Goiânia</v>
      </c>
      <c r="D1696" s="1" t="str">
        <f>VLOOKUP(Tabela1[[#This Row],[Cliente]],'BASE DE CLIENTES'!A:C,3,0)</f>
        <v>GO</v>
      </c>
      <c r="E1696" s="4" t="str">
        <f>CONCATENATE(Tabela1[[#This Row],[CIDADE]],",",Tabela1[[#This Row],[UF]])</f>
        <v>Goiânia,GO</v>
      </c>
      <c r="F1696" s="2">
        <v>45911</v>
      </c>
      <c r="G1696" s="17">
        <v>7646</v>
      </c>
      <c r="H1696" s="17">
        <v>10400</v>
      </c>
      <c r="I1696" s="6">
        <f>Tabela1[[#This Row],[Valor total]]-Tabela1[[#This Row],[Valor custo]]</f>
        <v>2754</v>
      </c>
      <c r="J1696" s="7">
        <f>Tabela1[[#This Row],[MARGEM BRUTA]]/Tabela1[[#This Row],[Valor total]]</f>
        <v>0.2648076923076923</v>
      </c>
      <c r="K1696" s="1" t="str">
        <f>VLOOKUP(Tabela1[[#This Row],[Cliente]],'BASE DE CLIENTES'!A:D,4,0)</f>
        <v>EMPRESA COM MAQUINA</v>
      </c>
      <c r="L1696" s="1" t="str">
        <f>VLOOKUP(Tabela1[[#This Row],[Cliente]],'BASE DE CLIENTES'!A:E,5,0)</f>
        <v>Goiânia</v>
      </c>
    </row>
    <row r="1697" spans="2:12" x14ac:dyDescent="0.3">
      <c r="B1697" s="1" t="s">
        <v>236</v>
      </c>
      <c r="C1697" s="4" t="str">
        <f>VLOOKUP(Tabela1[[#This Row],[Cliente]],'BASE DE CLIENTES'!A:E,2,0)</f>
        <v>Goiânia</v>
      </c>
      <c r="D1697" s="1" t="str">
        <f>VLOOKUP(Tabela1[[#This Row],[Cliente]],'BASE DE CLIENTES'!A:C,3,0)</f>
        <v>GO</v>
      </c>
      <c r="E1697" s="4" t="str">
        <f>CONCATENATE(Tabela1[[#This Row],[CIDADE]],",",Tabela1[[#This Row],[UF]])</f>
        <v>Goiânia,GO</v>
      </c>
      <c r="F1697" s="2">
        <v>45908</v>
      </c>
      <c r="G1697" s="17">
        <v>675.43</v>
      </c>
      <c r="H1697" s="17">
        <v>970</v>
      </c>
      <c r="I1697" s="6">
        <f>Tabela1[[#This Row],[Valor total]]-Tabela1[[#This Row],[Valor custo]]</f>
        <v>294.57000000000005</v>
      </c>
      <c r="J1697" s="7">
        <f>Tabela1[[#This Row],[MARGEM BRUTA]]/Tabela1[[#This Row],[Valor total]]</f>
        <v>0.30368041237113408</v>
      </c>
      <c r="K1697" s="1" t="str">
        <f>VLOOKUP(Tabela1[[#This Row],[Cliente]],'BASE DE CLIENTES'!A:D,4,0)</f>
        <v>EMPRESA COM MAQUINA</v>
      </c>
      <c r="L1697" s="1" t="str">
        <f>VLOOKUP(Tabela1[[#This Row],[Cliente]],'BASE DE CLIENTES'!A:E,5,0)</f>
        <v>Goiânia</v>
      </c>
    </row>
    <row r="1698" spans="2:12" x14ac:dyDescent="0.3">
      <c r="B1698" s="1" t="s">
        <v>106</v>
      </c>
      <c r="C1698" s="4" t="str">
        <f>VLOOKUP(Tabela1[[#This Row],[Cliente]],'BASE DE CLIENTES'!A:E,2,0)</f>
        <v>Brasília</v>
      </c>
      <c r="D1698" s="1" t="str">
        <f>VLOOKUP(Tabela1[[#This Row],[Cliente]],'BASE DE CLIENTES'!A:C,3,0)</f>
        <v>DF</v>
      </c>
      <c r="E1698" s="4" t="str">
        <f>CONCATENATE(Tabela1[[#This Row],[CIDADE]],",",Tabela1[[#This Row],[UF]])</f>
        <v>Brasília,DF</v>
      </c>
      <c r="F1698" s="2">
        <v>45854</v>
      </c>
      <c r="G1698" s="17">
        <v>385</v>
      </c>
      <c r="H1698" s="17">
        <v>600</v>
      </c>
      <c r="I1698" s="6">
        <f>Tabela1[[#This Row],[Valor total]]-Tabela1[[#This Row],[Valor custo]]</f>
        <v>215</v>
      </c>
      <c r="J1698" s="7">
        <f>Tabela1[[#This Row],[MARGEM BRUTA]]/Tabela1[[#This Row],[Valor total]]</f>
        <v>0.35833333333333334</v>
      </c>
      <c r="K1698" s="1" t="str">
        <f>VLOOKUP(Tabela1[[#This Row],[Cliente]],'BASE DE CLIENTES'!A:D,4,0)</f>
        <v>EMPRESA COM MAQUINA</v>
      </c>
      <c r="L1698" s="1" t="str">
        <f>VLOOKUP(Tabela1[[#This Row],[Cliente]],'BASE DE CLIENTES'!A:E,5,0)</f>
        <v>26 DE SETEMBRO</v>
      </c>
    </row>
    <row r="1699" spans="2:12" x14ac:dyDescent="0.3">
      <c r="B1699" s="1" t="s">
        <v>120</v>
      </c>
      <c r="C1699" s="4" t="str">
        <f>VLOOKUP(Tabela1[[#This Row],[Cliente]],'BASE DE CLIENTES'!A:E,2,0)</f>
        <v>Brasília</v>
      </c>
      <c r="D1699" s="1" t="str">
        <f>VLOOKUP(Tabela1[[#This Row],[Cliente]],'BASE DE CLIENTES'!A:C,3,0)</f>
        <v>DF</v>
      </c>
      <c r="E1699" s="4" t="str">
        <f>CONCATENATE(Tabela1[[#This Row],[CIDADE]],",",Tabela1[[#This Row],[UF]])</f>
        <v>Brasília,DF</v>
      </c>
      <c r="F1699" s="2">
        <v>45902</v>
      </c>
      <c r="G1699" s="17">
        <v>122.74</v>
      </c>
      <c r="H1699" s="17">
        <v>170</v>
      </c>
      <c r="I1699" s="6">
        <f>Tabela1[[#This Row],[Valor total]]-Tabela1[[#This Row],[Valor custo]]</f>
        <v>47.260000000000005</v>
      </c>
      <c r="J1699" s="7">
        <f>Tabela1[[#This Row],[MARGEM BRUTA]]/Tabela1[[#This Row],[Valor total]]</f>
        <v>0.27800000000000002</v>
      </c>
      <c r="K1699" s="1" t="str">
        <f>VLOOKUP(Tabela1[[#This Row],[Cliente]],'BASE DE CLIENTES'!A:D,4,0)</f>
        <v>EMPRESA SEM MAQUINA</v>
      </c>
      <c r="L1699" s="1" t="str">
        <f>VLOOKUP(Tabela1[[#This Row],[Cliente]],'BASE DE CLIENTES'!A:E,5,0)</f>
        <v>SAMAMBAIA</v>
      </c>
    </row>
    <row r="1700" spans="2:12" x14ac:dyDescent="0.3">
      <c r="B1700" s="1" t="s">
        <v>240</v>
      </c>
      <c r="C1700" s="4" t="str">
        <f>VLOOKUP(Tabela1[[#This Row],[Cliente]],'BASE DE CLIENTES'!A:E,2,0)</f>
        <v>Brasília</v>
      </c>
      <c r="D1700" s="1" t="str">
        <f>VLOOKUP(Tabela1[[#This Row],[Cliente]],'BASE DE CLIENTES'!A:C,3,0)</f>
        <v>DF</v>
      </c>
      <c r="E1700" s="4" t="str">
        <f>CONCATENATE(Tabela1[[#This Row],[CIDADE]],",",Tabela1[[#This Row],[UF]])</f>
        <v>Brasília,DF</v>
      </c>
      <c r="F1700" s="2">
        <v>45877</v>
      </c>
      <c r="G1700" s="17">
        <v>293.13</v>
      </c>
      <c r="H1700" s="17">
        <v>370.2</v>
      </c>
      <c r="I1700" s="6">
        <f>Tabela1[[#This Row],[Valor total]]-Tabela1[[#This Row],[Valor custo]]</f>
        <v>77.069999999999993</v>
      </c>
      <c r="J1700" s="7">
        <f>Tabela1[[#This Row],[MARGEM BRUTA]]/Tabela1[[#This Row],[Valor total]]</f>
        <v>0.20818476499189625</v>
      </c>
      <c r="K1700" s="1" t="str">
        <f>VLOOKUP(Tabela1[[#This Row],[Cliente]],'BASE DE CLIENTES'!A:D,4,0)</f>
        <v>SEM CLASSIFICAÇÃO</v>
      </c>
      <c r="L1700" s="1" t="str">
        <f>VLOOKUP(Tabela1[[#This Row],[Cliente]],'BASE DE CLIENTES'!A:E,5,0)</f>
        <v>Asa Norte</v>
      </c>
    </row>
    <row r="1701" spans="2:12" x14ac:dyDescent="0.3">
      <c r="B1701" s="1" t="s">
        <v>106</v>
      </c>
      <c r="C1701" s="4" t="str">
        <f>VLOOKUP(Tabela1[[#This Row],[Cliente]],'BASE DE CLIENTES'!A:E,2,0)</f>
        <v>Brasília</v>
      </c>
      <c r="D1701" s="1" t="str">
        <f>VLOOKUP(Tabela1[[#This Row],[Cliente]],'BASE DE CLIENTES'!A:C,3,0)</f>
        <v>DF</v>
      </c>
      <c r="E1701" s="4" t="str">
        <f>CONCATENATE(Tabela1[[#This Row],[CIDADE]],",",Tabela1[[#This Row],[UF]])</f>
        <v>Brasília,DF</v>
      </c>
      <c r="F1701" s="2">
        <v>45853</v>
      </c>
      <c r="G1701" s="17">
        <v>2022</v>
      </c>
      <c r="H1701" s="17">
        <v>3200</v>
      </c>
      <c r="I1701" s="6">
        <f>Tabela1[[#This Row],[Valor total]]-Tabela1[[#This Row],[Valor custo]]</f>
        <v>1178</v>
      </c>
      <c r="J1701" s="7">
        <f>Tabela1[[#This Row],[MARGEM BRUTA]]/Tabela1[[#This Row],[Valor total]]</f>
        <v>0.36812499999999998</v>
      </c>
      <c r="K1701" s="1" t="str">
        <f>VLOOKUP(Tabela1[[#This Row],[Cliente]],'BASE DE CLIENTES'!A:D,4,0)</f>
        <v>EMPRESA COM MAQUINA</v>
      </c>
      <c r="L1701" s="1" t="str">
        <f>VLOOKUP(Tabela1[[#This Row],[Cliente]],'BASE DE CLIENTES'!A:E,5,0)</f>
        <v>26 DE SETEMBRO</v>
      </c>
    </row>
    <row r="1702" spans="2:12" x14ac:dyDescent="0.3">
      <c r="B1702" s="1" t="s">
        <v>68</v>
      </c>
      <c r="C1702" s="4" t="str">
        <f>VLOOKUP(Tabela1[[#This Row],[Cliente]],'BASE DE CLIENTES'!A:E,2,0)</f>
        <v>Brasília</v>
      </c>
      <c r="D1702" s="1" t="str">
        <f>VLOOKUP(Tabela1[[#This Row],[Cliente]],'BASE DE CLIENTES'!A:C,3,0)</f>
        <v>DF</v>
      </c>
      <c r="E1702" s="4" t="str">
        <f>CONCATENATE(Tabela1[[#This Row],[CIDADE]],",",Tabela1[[#This Row],[UF]])</f>
        <v>Brasília,DF</v>
      </c>
      <c r="F1702" s="2">
        <v>45853</v>
      </c>
      <c r="G1702" s="17">
        <v>4092</v>
      </c>
      <c r="H1702" s="17">
        <v>6180</v>
      </c>
      <c r="I1702" s="6">
        <f>Tabela1[[#This Row],[Valor total]]-Tabela1[[#This Row],[Valor custo]]</f>
        <v>2088</v>
      </c>
      <c r="J1702" s="7">
        <f>Tabela1[[#This Row],[MARGEM BRUTA]]/Tabela1[[#This Row],[Valor total]]</f>
        <v>0.3378640776699029</v>
      </c>
      <c r="K1702" s="1" t="str">
        <f>VLOOKUP(Tabela1[[#This Row],[Cliente]],'BASE DE CLIENTES'!A:D,4,0)</f>
        <v>EMPRESA COM MAQUINA</v>
      </c>
      <c r="L1702" s="1" t="str">
        <f>VLOOKUP(Tabela1[[#This Row],[Cliente]],'BASE DE CLIENTES'!A:E,5,0)</f>
        <v>SAMAMBAIA SUL (SAMAMBAIA)</v>
      </c>
    </row>
    <row r="1703" spans="2:12" x14ac:dyDescent="0.3">
      <c r="B1703" s="1" t="s">
        <v>123</v>
      </c>
      <c r="C1703" s="4" t="str">
        <f>VLOOKUP(Tabela1[[#This Row],[Cliente]],'BASE DE CLIENTES'!A:E,2,0)</f>
        <v>Brasília</v>
      </c>
      <c r="D1703" s="1" t="str">
        <f>VLOOKUP(Tabela1[[#This Row],[Cliente]],'BASE DE CLIENTES'!A:C,3,0)</f>
        <v>DF</v>
      </c>
      <c r="E1703" s="4" t="str">
        <f>CONCATENATE(Tabela1[[#This Row],[CIDADE]],",",Tabela1[[#This Row],[UF]])</f>
        <v>Brasília,DF</v>
      </c>
      <c r="F1703" s="2">
        <v>45853</v>
      </c>
      <c r="G1703" s="17">
        <v>499</v>
      </c>
      <c r="H1703" s="17">
        <v>800</v>
      </c>
      <c r="I1703" s="6">
        <f>Tabela1[[#This Row],[Valor total]]-Tabela1[[#This Row],[Valor custo]]</f>
        <v>301</v>
      </c>
      <c r="J1703" s="7">
        <f>Tabela1[[#This Row],[MARGEM BRUTA]]/Tabela1[[#This Row],[Valor total]]</f>
        <v>0.37624999999999997</v>
      </c>
      <c r="K1703" s="1" t="str">
        <f>VLOOKUP(Tabela1[[#This Row],[Cliente]],'BASE DE CLIENTES'!A:D,4,0)</f>
        <v>EMPRESA COM MAQUINA</v>
      </c>
      <c r="L1703" s="1" t="str">
        <f>VLOOKUP(Tabela1[[#This Row],[Cliente]],'BASE DE CLIENTES'!A:E,5,0)</f>
        <v>ADE CEILÂNDIA</v>
      </c>
    </row>
    <row r="1704" spans="2:12" x14ac:dyDescent="0.3">
      <c r="B1704" s="1" t="s">
        <v>230</v>
      </c>
      <c r="C1704" s="4" t="str">
        <f>VLOOKUP(Tabela1[[#This Row],[Cliente]],'BASE DE CLIENTES'!A:E,2,0)</f>
        <v>Brasília</v>
      </c>
      <c r="D1704" s="1" t="str">
        <f>VLOOKUP(Tabela1[[#This Row],[Cliente]],'BASE DE CLIENTES'!A:C,3,0)</f>
        <v>DF</v>
      </c>
      <c r="E1704" s="4" t="str">
        <f>CONCATENATE(Tabela1[[#This Row],[CIDADE]],",",Tabela1[[#This Row],[UF]])</f>
        <v>Brasília,DF</v>
      </c>
      <c r="F1704" s="2">
        <v>45853</v>
      </c>
      <c r="G1704" s="17">
        <v>770</v>
      </c>
      <c r="H1704" s="17">
        <v>1300</v>
      </c>
      <c r="I1704" s="6">
        <f>Tabela1[[#This Row],[Valor total]]-Tabela1[[#This Row],[Valor custo]]</f>
        <v>530</v>
      </c>
      <c r="J1704" s="7">
        <f>Tabela1[[#This Row],[MARGEM BRUTA]]/Tabela1[[#This Row],[Valor total]]</f>
        <v>0.40769230769230769</v>
      </c>
      <c r="K1704" s="1" t="str">
        <f>VLOOKUP(Tabela1[[#This Row],[Cliente]],'BASE DE CLIENTES'!A:D,4,0)</f>
        <v>SERRALHEIRO</v>
      </c>
      <c r="L1704" s="1" t="str">
        <f>VLOOKUP(Tabela1[[#This Row],[Cliente]],'BASE DE CLIENTES'!A:E,5,0)</f>
        <v>SETOR HABITACIONAL SAMAMBAIA (VICENTE PIRES)</v>
      </c>
    </row>
    <row r="1705" spans="2:12" x14ac:dyDescent="0.3">
      <c r="B1705" s="1" t="s">
        <v>236</v>
      </c>
      <c r="C1705" s="4" t="str">
        <f>VLOOKUP(Tabela1[[#This Row],[Cliente]],'BASE DE CLIENTES'!A:E,2,0)</f>
        <v>Goiânia</v>
      </c>
      <c r="D1705" s="1" t="str">
        <f>VLOOKUP(Tabela1[[#This Row],[Cliente]],'BASE DE CLIENTES'!A:C,3,0)</f>
        <v>GO</v>
      </c>
      <c r="E1705" s="4" t="str">
        <f>CONCATENATE(Tabela1[[#This Row],[CIDADE]],",",Tabela1[[#This Row],[UF]])</f>
        <v>Goiânia,GO</v>
      </c>
      <c r="F1705" s="2">
        <v>45905</v>
      </c>
      <c r="G1705" s="17">
        <v>1146.9000000000001</v>
      </c>
      <c r="H1705" s="17">
        <v>1560</v>
      </c>
      <c r="I1705" s="6">
        <f>Tabela1[[#This Row],[Valor total]]-Tabela1[[#This Row],[Valor custo]]</f>
        <v>413.09999999999991</v>
      </c>
      <c r="J1705" s="7">
        <f>Tabela1[[#This Row],[MARGEM BRUTA]]/Tabela1[[#This Row],[Valor total]]</f>
        <v>0.26480769230769224</v>
      </c>
      <c r="K1705" s="1" t="str">
        <f>VLOOKUP(Tabela1[[#This Row],[Cliente]],'BASE DE CLIENTES'!A:D,4,0)</f>
        <v>EMPRESA COM MAQUINA</v>
      </c>
      <c r="L1705" s="1" t="str">
        <f>VLOOKUP(Tabela1[[#This Row],[Cliente]],'BASE DE CLIENTES'!A:E,5,0)</f>
        <v>Goiânia</v>
      </c>
    </row>
    <row r="1706" spans="2:12" x14ac:dyDescent="0.3">
      <c r="B1706" s="1" t="s">
        <v>141</v>
      </c>
      <c r="C1706" s="4" t="str">
        <f>VLOOKUP(Tabela1[[#This Row],[Cliente]],'BASE DE CLIENTES'!A:E,2,0)</f>
        <v>Brasília</v>
      </c>
      <c r="D1706" s="1" t="str">
        <f>VLOOKUP(Tabela1[[#This Row],[Cliente]],'BASE DE CLIENTES'!A:C,3,0)</f>
        <v>DF</v>
      </c>
      <c r="E1706" s="4" t="str">
        <f>CONCATENATE(Tabela1[[#This Row],[CIDADE]],",",Tabela1[[#This Row],[UF]])</f>
        <v>Brasília,DF</v>
      </c>
      <c r="F1706" s="2">
        <v>45853</v>
      </c>
      <c r="G1706" s="17">
        <v>3260</v>
      </c>
      <c r="H1706" s="17">
        <v>4010</v>
      </c>
      <c r="I1706" s="6">
        <f>Tabela1[[#This Row],[Valor total]]-Tabela1[[#This Row],[Valor custo]]</f>
        <v>750</v>
      </c>
      <c r="J1706" s="7">
        <f>Tabela1[[#This Row],[MARGEM BRUTA]]/Tabela1[[#This Row],[Valor total]]</f>
        <v>0.18703241895261846</v>
      </c>
      <c r="K1706" s="1" t="str">
        <f>VLOOKUP(Tabela1[[#This Row],[Cliente]],'BASE DE CLIENTES'!A:D,4,0)</f>
        <v>EMPRESA COM MAQUINA</v>
      </c>
      <c r="L1706" s="1" t="str">
        <f>VLOOKUP(Tabela1[[#This Row],[Cliente]],'BASE DE CLIENTES'!A:E,5,0)</f>
        <v>TAGUATINGA</v>
      </c>
    </row>
    <row r="1707" spans="2:12" x14ac:dyDescent="0.3">
      <c r="B1707" s="1" t="s">
        <v>236</v>
      </c>
      <c r="C1707" s="4" t="str">
        <f>VLOOKUP(Tabela1[[#This Row],[Cliente]],'BASE DE CLIENTES'!A:E,2,0)</f>
        <v>Goiânia</v>
      </c>
      <c r="D1707" s="1" t="str">
        <f>VLOOKUP(Tabela1[[#This Row],[Cliente]],'BASE DE CLIENTES'!A:C,3,0)</f>
        <v>GO</v>
      </c>
      <c r="E1707" s="4" t="str">
        <f>CONCATENATE(Tabela1[[#This Row],[CIDADE]],",",Tabela1[[#This Row],[UF]])</f>
        <v>Goiânia,GO</v>
      </c>
      <c r="F1707" s="2">
        <v>45903</v>
      </c>
      <c r="G1707" s="17">
        <v>2163.9499999999998</v>
      </c>
      <c r="H1707" s="17">
        <v>2915</v>
      </c>
      <c r="I1707" s="6">
        <f>Tabela1[[#This Row],[Valor total]]-Tabela1[[#This Row],[Valor custo]]</f>
        <v>751.05000000000018</v>
      </c>
      <c r="J1707" s="7">
        <f>Tabela1[[#This Row],[MARGEM BRUTA]]/Tabela1[[#This Row],[Valor total]]</f>
        <v>0.25765008576329335</v>
      </c>
      <c r="K1707" s="1" t="str">
        <f>VLOOKUP(Tabela1[[#This Row],[Cliente]],'BASE DE CLIENTES'!A:D,4,0)</f>
        <v>EMPRESA COM MAQUINA</v>
      </c>
      <c r="L1707" s="1" t="str">
        <f>VLOOKUP(Tabela1[[#This Row],[Cliente]],'BASE DE CLIENTES'!A:E,5,0)</f>
        <v>Goiânia</v>
      </c>
    </row>
    <row r="1708" spans="2:12" x14ac:dyDescent="0.3">
      <c r="B1708" s="1" t="s">
        <v>236</v>
      </c>
      <c r="C1708" s="4" t="str">
        <f>VLOOKUP(Tabela1[[#This Row],[Cliente]],'BASE DE CLIENTES'!A:E,2,0)</f>
        <v>Goiânia</v>
      </c>
      <c r="D1708" s="1" t="str">
        <f>VLOOKUP(Tabela1[[#This Row],[Cliente]],'BASE DE CLIENTES'!A:C,3,0)</f>
        <v>GO</v>
      </c>
      <c r="E1708" s="4" t="str">
        <f>CONCATENATE(Tabela1[[#This Row],[CIDADE]],",",Tabela1[[#This Row],[UF]])</f>
        <v>Goiânia,GO</v>
      </c>
      <c r="F1708" s="2">
        <v>45903</v>
      </c>
      <c r="G1708" s="17">
        <v>534</v>
      </c>
      <c r="H1708" s="17">
        <v>790</v>
      </c>
      <c r="I1708" s="6">
        <f>Tabela1[[#This Row],[Valor total]]-Tabela1[[#This Row],[Valor custo]]</f>
        <v>256</v>
      </c>
      <c r="J1708" s="7">
        <f>Tabela1[[#This Row],[MARGEM BRUTA]]/Tabela1[[#This Row],[Valor total]]</f>
        <v>0.32405063291139241</v>
      </c>
      <c r="K1708" s="1" t="str">
        <f>VLOOKUP(Tabela1[[#This Row],[Cliente]],'BASE DE CLIENTES'!A:D,4,0)</f>
        <v>EMPRESA COM MAQUINA</v>
      </c>
      <c r="L1708" s="1" t="str">
        <f>VLOOKUP(Tabela1[[#This Row],[Cliente]],'BASE DE CLIENTES'!A:E,5,0)</f>
        <v>Goiânia</v>
      </c>
    </row>
    <row r="1709" spans="2:12" x14ac:dyDescent="0.3">
      <c r="B1709" s="1" t="s">
        <v>117</v>
      </c>
      <c r="C1709" s="4" t="str">
        <f>VLOOKUP(Tabela1[[#This Row],[Cliente]],'BASE DE CLIENTES'!A:E,2,0)</f>
        <v>Brasília</v>
      </c>
      <c r="D1709" s="1" t="str">
        <f>VLOOKUP(Tabela1[[#This Row],[Cliente]],'BASE DE CLIENTES'!A:C,3,0)</f>
        <v>DF</v>
      </c>
      <c r="E1709" s="4" t="str">
        <f>CONCATENATE(Tabela1[[#This Row],[CIDADE]],",",Tabela1[[#This Row],[UF]])</f>
        <v>Brasília,DF</v>
      </c>
      <c r="F1709" s="2">
        <v>45853</v>
      </c>
      <c r="G1709" s="17">
        <v>710</v>
      </c>
      <c r="H1709" s="17">
        <v>1180</v>
      </c>
      <c r="I1709" s="6">
        <f>Tabela1[[#This Row],[Valor total]]-Tabela1[[#This Row],[Valor custo]]</f>
        <v>470</v>
      </c>
      <c r="J1709" s="7">
        <f>Tabela1[[#This Row],[MARGEM BRUTA]]/Tabela1[[#This Row],[Valor total]]</f>
        <v>0.39830508474576271</v>
      </c>
      <c r="K1709" s="1" t="str">
        <f>VLOOKUP(Tabela1[[#This Row],[Cliente]],'BASE DE CLIENTES'!A:D,4,0)</f>
        <v>EMPRESA COM MAQUINA</v>
      </c>
      <c r="L1709" s="1" t="str">
        <f>VLOOKUP(Tabela1[[#This Row],[Cliente]],'BASE DE CLIENTES'!A:E,5,0)</f>
        <v>SETOR HABITACIONAL ARNIQUEIRA (AGUAS CLARAS)</v>
      </c>
    </row>
    <row r="1710" spans="2:12" x14ac:dyDescent="0.3">
      <c r="B1710" s="1" t="s">
        <v>106</v>
      </c>
      <c r="C1710" s="4" t="str">
        <f>VLOOKUP(Tabela1[[#This Row],[Cliente]],'BASE DE CLIENTES'!A:E,2,0)</f>
        <v>Brasília</v>
      </c>
      <c r="D1710" s="1" t="str">
        <f>VLOOKUP(Tabela1[[#This Row],[Cliente]],'BASE DE CLIENTES'!A:C,3,0)</f>
        <v>DF</v>
      </c>
      <c r="E1710" s="4" t="str">
        <f>CONCATENATE(Tabela1[[#This Row],[CIDADE]],",",Tabela1[[#This Row],[UF]])</f>
        <v>Brasília,DF</v>
      </c>
      <c r="F1710" s="2">
        <v>45853</v>
      </c>
      <c r="G1710" s="17">
        <v>970</v>
      </c>
      <c r="H1710" s="17">
        <v>1405</v>
      </c>
      <c r="I1710" s="6">
        <f>Tabela1[[#This Row],[Valor total]]-Tabela1[[#This Row],[Valor custo]]</f>
        <v>435</v>
      </c>
      <c r="J1710" s="7">
        <f>Tabela1[[#This Row],[MARGEM BRUTA]]/Tabela1[[#This Row],[Valor total]]</f>
        <v>0.30960854092526691</v>
      </c>
      <c r="K1710" s="1" t="str">
        <f>VLOOKUP(Tabela1[[#This Row],[Cliente]],'BASE DE CLIENTES'!A:D,4,0)</f>
        <v>EMPRESA COM MAQUINA</v>
      </c>
      <c r="L1710" s="1" t="str">
        <f>VLOOKUP(Tabela1[[#This Row],[Cliente]],'BASE DE CLIENTES'!A:E,5,0)</f>
        <v>26 DE SETEMBRO</v>
      </c>
    </row>
    <row r="1711" spans="2:12" x14ac:dyDescent="0.3">
      <c r="B1711" s="1" t="s">
        <v>199</v>
      </c>
      <c r="C1711" s="4" t="str">
        <f>VLOOKUP(Tabela1[[#This Row],[Cliente]],'BASE DE CLIENTES'!A:E,2,0)</f>
        <v>Goiânia</v>
      </c>
      <c r="D1711" s="1" t="str">
        <f>VLOOKUP(Tabela1[[#This Row],[Cliente]],'BASE DE CLIENTES'!A:C,3,0)</f>
        <v>GO</v>
      </c>
      <c r="E1711" s="4" t="str">
        <f>CONCATENATE(Tabela1[[#This Row],[CIDADE]],",",Tabela1[[#This Row],[UF]])</f>
        <v>Goiânia,GO</v>
      </c>
      <c r="F1711" s="2">
        <v>45902</v>
      </c>
      <c r="G1711" s="17">
        <v>2158.9</v>
      </c>
      <c r="H1711" s="17">
        <v>5000</v>
      </c>
      <c r="I1711" s="6">
        <f>Tabela1[[#This Row],[Valor total]]-Tabela1[[#This Row],[Valor custo]]</f>
        <v>2841.1</v>
      </c>
      <c r="J1711" s="7">
        <f>Tabela1[[#This Row],[MARGEM BRUTA]]/Tabela1[[#This Row],[Valor total]]</f>
        <v>0.56821999999999995</v>
      </c>
      <c r="K1711" s="1" t="str">
        <f>VLOOKUP(Tabela1[[#This Row],[Cliente]],'BASE DE CLIENTES'!A:D,4,0)</f>
        <v>EMPRESA COM MAQUINA</v>
      </c>
      <c r="L1711" s="1" t="str">
        <f>VLOOKUP(Tabela1[[#This Row],[Cliente]],'BASE DE CLIENTES'!A:E,5,0)</f>
        <v>Goiânia</v>
      </c>
    </row>
    <row r="1712" spans="2:12" x14ac:dyDescent="0.3">
      <c r="B1712" s="1" t="s">
        <v>70</v>
      </c>
      <c r="C1712" s="4" t="str">
        <f>VLOOKUP(Tabela1[[#This Row],[Cliente]],'BASE DE CLIENTES'!A:E,2,0)</f>
        <v>Brasília</v>
      </c>
      <c r="D1712" s="1" t="str">
        <f>VLOOKUP(Tabela1[[#This Row],[Cliente]],'BASE DE CLIENTES'!A:C,3,0)</f>
        <v>DF</v>
      </c>
      <c r="E1712" s="4" t="str">
        <f>CONCATENATE(Tabela1[[#This Row],[CIDADE]],",",Tabela1[[#This Row],[UF]])</f>
        <v>Brasília,DF</v>
      </c>
      <c r="F1712" s="2">
        <v>45853</v>
      </c>
      <c r="G1712" s="17">
        <v>894</v>
      </c>
      <c r="H1712" s="17">
        <v>1080</v>
      </c>
      <c r="I1712" s="6">
        <f>Tabela1[[#This Row],[Valor total]]-Tabela1[[#This Row],[Valor custo]]</f>
        <v>186</v>
      </c>
      <c r="J1712" s="7">
        <f>Tabela1[[#This Row],[MARGEM BRUTA]]/Tabela1[[#This Row],[Valor total]]</f>
        <v>0.17222222222222222</v>
      </c>
      <c r="K1712" s="1" t="str">
        <f>VLOOKUP(Tabela1[[#This Row],[Cliente]],'BASE DE CLIENTES'!A:D,4,0)</f>
        <v>EMPRESA COM MAQUINA</v>
      </c>
      <c r="L1712" s="1" t="str">
        <f>VLOOKUP(Tabela1[[#This Row],[Cliente]],'BASE DE CLIENTES'!A:E,5,0)</f>
        <v>TAGUATINGA NORTE (TAGUATINGA)</v>
      </c>
    </row>
    <row r="1713" spans="2:12" x14ac:dyDescent="0.3">
      <c r="B1713" s="1" t="s">
        <v>161</v>
      </c>
      <c r="C1713" s="4" t="str">
        <f>VLOOKUP(Tabela1[[#This Row],[Cliente]],'BASE DE CLIENTES'!A:E,2,0)</f>
        <v>Brasília</v>
      </c>
      <c r="D1713" s="1" t="str">
        <f>VLOOKUP(Tabela1[[#This Row],[Cliente]],'BASE DE CLIENTES'!A:C,3,0)</f>
        <v>DF</v>
      </c>
      <c r="E1713" s="4" t="str">
        <f>CONCATENATE(Tabela1[[#This Row],[CIDADE]],",",Tabela1[[#This Row],[UF]])</f>
        <v>Brasília,DF</v>
      </c>
      <c r="F1713" s="2">
        <v>45853</v>
      </c>
      <c r="G1713" s="17">
        <v>9982</v>
      </c>
      <c r="H1713" s="17">
        <v>13620</v>
      </c>
      <c r="I1713" s="6">
        <f>Tabela1[[#This Row],[Valor total]]-Tabela1[[#This Row],[Valor custo]]</f>
        <v>3638</v>
      </c>
      <c r="J1713" s="7">
        <f>Tabela1[[#This Row],[MARGEM BRUTA]]/Tabela1[[#This Row],[Valor total]]</f>
        <v>0.26710719530102789</v>
      </c>
      <c r="K1713" s="1" t="str">
        <f>VLOOKUP(Tabela1[[#This Row],[Cliente]],'BASE DE CLIENTES'!A:D,4,0)</f>
        <v>EMPRESA COM MAQUINA</v>
      </c>
      <c r="L1713" s="1" t="str">
        <f>VLOOKUP(Tabela1[[#This Row],[Cliente]],'BASE DE CLIENTES'!A:E,5,0)</f>
        <v>RIACHO FUNDO II</v>
      </c>
    </row>
    <row r="1714" spans="2:12" x14ac:dyDescent="0.3">
      <c r="B1714" s="1" t="s">
        <v>241</v>
      </c>
      <c r="C1714" s="4" t="str">
        <f>VLOOKUP(Tabela1[[#This Row],[Cliente]],'BASE DE CLIENTES'!A:E,2,0)</f>
        <v>Goianira</v>
      </c>
      <c r="D1714" s="1" t="str">
        <f>VLOOKUP(Tabela1[[#This Row],[Cliente]],'BASE DE CLIENTES'!A:C,3,0)</f>
        <v>GO</v>
      </c>
      <c r="E1714" s="4" t="str">
        <f>CONCATENATE(Tabela1[[#This Row],[CIDADE]],",",Tabela1[[#This Row],[UF]])</f>
        <v>Goianira,GO</v>
      </c>
      <c r="F1714" s="2">
        <v>45665</v>
      </c>
      <c r="G1714" s="17">
        <v>28450.2</v>
      </c>
      <c r="H1714" s="17">
        <v>45250</v>
      </c>
      <c r="I1714" s="6">
        <f>Tabela1[[#This Row],[Valor total]]-Tabela1[[#This Row],[Valor custo]]</f>
        <v>16799.8</v>
      </c>
      <c r="J1714" s="7">
        <f>Tabela1[[#This Row],[MARGEM BRUTA]]/Tabela1[[#This Row],[Valor total]]</f>
        <v>0.37126629834254143</v>
      </c>
      <c r="K1714" s="1" t="str">
        <f>VLOOKUP(Tabela1[[#This Row],[Cliente]],'BASE DE CLIENTES'!A:D,4,0)</f>
        <v>EMPRESA COM MAQUINA</v>
      </c>
      <c r="L1714" s="1" t="str">
        <f>VLOOKUP(Tabela1[[#This Row],[Cliente]],'BASE DE CLIENTES'!A:E,5,0)</f>
        <v>Goianira</v>
      </c>
    </row>
    <row r="1715" spans="2:12" x14ac:dyDescent="0.3">
      <c r="B1715" s="1" t="s">
        <v>242</v>
      </c>
      <c r="C1715" s="4" t="str">
        <f>VLOOKUP(Tabela1[[#This Row],[Cliente]],'BASE DE CLIENTES'!A:E,2,0)</f>
        <v>Goianira</v>
      </c>
      <c r="D1715" s="1" t="str">
        <f>VLOOKUP(Tabela1[[#This Row],[Cliente]],'BASE DE CLIENTES'!A:C,3,0)</f>
        <v>GO</v>
      </c>
      <c r="E1715" s="4" t="str">
        <f>CONCATENATE(Tabela1[[#This Row],[CIDADE]],",",Tabela1[[#This Row],[UF]])</f>
        <v>Goianira,GO</v>
      </c>
      <c r="F1715" s="2">
        <v>45714</v>
      </c>
      <c r="G1715" s="17">
        <v>707.23</v>
      </c>
      <c r="H1715" s="17">
        <v>700</v>
      </c>
      <c r="I1715" s="6">
        <f>Tabela1[[#This Row],[Valor total]]-Tabela1[[#This Row],[Valor custo]]</f>
        <v>-7.2300000000000182</v>
      </c>
      <c r="J1715" s="7">
        <f>Tabela1[[#This Row],[MARGEM BRUTA]]/Tabela1[[#This Row],[Valor total]]</f>
        <v>-1.0328571428571454E-2</v>
      </c>
      <c r="K1715" s="1" t="str">
        <f>VLOOKUP(Tabela1[[#This Row],[Cliente]],'BASE DE CLIENTES'!A:D,4,0)</f>
        <v>SEM CLASSIFICAÇÃO</v>
      </c>
      <c r="L1715" s="1" t="str">
        <f>VLOOKUP(Tabela1[[#This Row],[Cliente]],'BASE DE CLIENTES'!A:E,5,0)</f>
        <v>Goianira</v>
      </c>
    </row>
    <row r="1716" spans="2:12" x14ac:dyDescent="0.3">
      <c r="B1716" s="1" t="s">
        <v>242</v>
      </c>
      <c r="C1716" s="4" t="str">
        <f>VLOOKUP(Tabela1[[#This Row],[Cliente]],'BASE DE CLIENTES'!A:E,2,0)</f>
        <v>Goianira</v>
      </c>
      <c r="D1716" s="1" t="str">
        <f>VLOOKUP(Tabela1[[#This Row],[Cliente]],'BASE DE CLIENTES'!A:C,3,0)</f>
        <v>GO</v>
      </c>
      <c r="E1716" s="4" t="str">
        <f>CONCATENATE(Tabela1[[#This Row],[CIDADE]],",",Tabela1[[#This Row],[UF]])</f>
        <v>Goianira,GO</v>
      </c>
      <c r="F1716" s="2">
        <v>45708</v>
      </c>
      <c r="G1716" s="17">
        <v>531.45000000000005</v>
      </c>
      <c r="H1716" s="17">
        <v>750</v>
      </c>
      <c r="I1716" s="6">
        <f>Tabela1[[#This Row],[Valor total]]-Tabela1[[#This Row],[Valor custo]]</f>
        <v>218.54999999999995</v>
      </c>
      <c r="J1716" s="7">
        <f>Tabela1[[#This Row],[MARGEM BRUTA]]/Tabela1[[#This Row],[Valor total]]</f>
        <v>0.29139999999999994</v>
      </c>
      <c r="K1716" s="1" t="str">
        <f>VLOOKUP(Tabela1[[#This Row],[Cliente]],'BASE DE CLIENTES'!A:D,4,0)</f>
        <v>SEM CLASSIFICAÇÃO</v>
      </c>
      <c r="L1716" s="1" t="str">
        <f>VLOOKUP(Tabela1[[#This Row],[Cliente]],'BASE DE CLIENTES'!A:E,5,0)</f>
        <v>Goianira</v>
      </c>
    </row>
    <row r="1717" spans="2:12" x14ac:dyDescent="0.3">
      <c r="B1717" s="1" t="s">
        <v>242</v>
      </c>
      <c r="C1717" s="4" t="str">
        <f>VLOOKUP(Tabela1[[#This Row],[Cliente]],'BASE DE CLIENTES'!A:E,2,0)</f>
        <v>Goianira</v>
      </c>
      <c r="D1717" s="1" t="str">
        <f>VLOOKUP(Tabela1[[#This Row],[Cliente]],'BASE DE CLIENTES'!A:C,3,0)</f>
        <v>GO</v>
      </c>
      <c r="E1717" s="4" t="str">
        <f>CONCATENATE(Tabela1[[#This Row],[CIDADE]],",",Tabela1[[#This Row],[UF]])</f>
        <v>Goianira,GO</v>
      </c>
      <c r="F1717" s="2">
        <v>45705</v>
      </c>
      <c r="G1717" s="17">
        <v>707.23</v>
      </c>
      <c r="H1717" s="17">
        <v>1300</v>
      </c>
      <c r="I1717" s="6">
        <f>Tabela1[[#This Row],[Valor total]]-Tabela1[[#This Row],[Valor custo]]</f>
        <v>592.77</v>
      </c>
      <c r="J1717" s="7">
        <f>Tabela1[[#This Row],[MARGEM BRUTA]]/Tabela1[[#This Row],[Valor total]]</f>
        <v>0.45597692307692306</v>
      </c>
      <c r="K1717" s="1" t="str">
        <f>VLOOKUP(Tabela1[[#This Row],[Cliente]],'BASE DE CLIENTES'!A:D,4,0)</f>
        <v>SEM CLASSIFICAÇÃO</v>
      </c>
      <c r="L1717" s="1" t="str">
        <f>VLOOKUP(Tabela1[[#This Row],[Cliente]],'BASE DE CLIENTES'!A:E,5,0)</f>
        <v>Goianira</v>
      </c>
    </row>
    <row r="1718" spans="2:12" x14ac:dyDescent="0.3">
      <c r="B1718" s="1" t="s">
        <v>241</v>
      </c>
      <c r="C1718" s="4" t="str">
        <f>VLOOKUP(Tabela1[[#This Row],[Cliente]],'BASE DE CLIENTES'!A:E,2,0)</f>
        <v>Goianira</v>
      </c>
      <c r="D1718" s="1" t="str">
        <f>VLOOKUP(Tabela1[[#This Row],[Cliente]],'BASE DE CLIENTES'!A:C,3,0)</f>
        <v>GO</v>
      </c>
      <c r="E1718" s="4" t="str">
        <f>CONCATENATE(Tabela1[[#This Row],[CIDADE]],",",Tabela1[[#This Row],[UF]])</f>
        <v>Goianira,GO</v>
      </c>
      <c r="F1718" s="2">
        <v>45700</v>
      </c>
      <c r="G1718" s="17">
        <v>313.2</v>
      </c>
      <c r="H1718" s="17">
        <v>900</v>
      </c>
      <c r="I1718" s="6">
        <f>Tabela1[[#This Row],[Valor total]]-Tabela1[[#This Row],[Valor custo]]</f>
        <v>586.79999999999995</v>
      </c>
      <c r="J1718" s="7">
        <f>Tabela1[[#This Row],[MARGEM BRUTA]]/Tabela1[[#This Row],[Valor total]]</f>
        <v>0.65199999999999991</v>
      </c>
      <c r="K1718" s="1" t="str">
        <f>VLOOKUP(Tabela1[[#This Row],[Cliente]],'BASE DE CLIENTES'!A:D,4,0)</f>
        <v>EMPRESA COM MAQUINA</v>
      </c>
      <c r="L1718" s="1" t="str">
        <f>VLOOKUP(Tabela1[[#This Row],[Cliente]],'BASE DE CLIENTES'!A:E,5,0)</f>
        <v>Goianira</v>
      </c>
    </row>
    <row r="1719" spans="2:12" x14ac:dyDescent="0.3">
      <c r="B1719" s="1" t="s">
        <v>242</v>
      </c>
      <c r="C1719" s="4" t="str">
        <f>VLOOKUP(Tabela1[[#This Row],[Cliente]],'BASE DE CLIENTES'!A:E,2,0)</f>
        <v>Goianira</v>
      </c>
      <c r="D1719" s="1" t="str">
        <f>VLOOKUP(Tabela1[[#This Row],[Cliente]],'BASE DE CLIENTES'!A:C,3,0)</f>
        <v>GO</v>
      </c>
      <c r="E1719" s="4" t="str">
        <f>CONCATENATE(Tabela1[[#This Row],[CIDADE]],",",Tabela1[[#This Row],[UF]])</f>
        <v>Goianira,GO</v>
      </c>
      <c r="F1719" s="2">
        <v>45693</v>
      </c>
      <c r="G1719" s="17">
        <v>3607.35</v>
      </c>
      <c r="H1719" s="17">
        <v>5800</v>
      </c>
      <c r="I1719" s="6">
        <f>Tabela1[[#This Row],[Valor total]]-Tabela1[[#This Row],[Valor custo]]</f>
        <v>2192.65</v>
      </c>
      <c r="J1719" s="7">
        <f>Tabela1[[#This Row],[MARGEM BRUTA]]/Tabela1[[#This Row],[Valor total]]</f>
        <v>0.37804310344827585</v>
      </c>
      <c r="K1719" s="1" t="str">
        <f>VLOOKUP(Tabela1[[#This Row],[Cliente]],'BASE DE CLIENTES'!A:D,4,0)</f>
        <v>SEM CLASSIFICAÇÃO</v>
      </c>
      <c r="L1719" s="1" t="str">
        <f>VLOOKUP(Tabela1[[#This Row],[Cliente]],'BASE DE CLIENTES'!A:E,5,0)</f>
        <v>Goianira</v>
      </c>
    </row>
    <row r="1720" spans="2:12" x14ac:dyDescent="0.3">
      <c r="B1720" s="1" t="s">
        <v>242</v>
      </c>
      <c r="C1720" s="4" t="str">
        <f>VLOOKUP(Tabela1[[#This Row],[Cliente]],'BASE DE CLIENTES'!A:E,2,0)</f>
        <v>Goianira</v>
      </c>
      <c r="D1720" s="1" t="str">
        <f>VLOOKUP(Tabela1[[#This Row],[Cliente]],'BASE DE CLIENTES'!A:C,3,0)</f>
        <v>GO</v>
      </c>
      <c r="E1720" s="4" t="str">
        <f>CONCATENATE(Tabela1[[#This Row],[CIDADE]],",",Tabela1[[#This Row],[UF]])</f>
        <v>Goianira,GO</v>
      </c>
      <c r="F1720" s="2">
        <v>45744</v>
      </c>
      <c r="G1720" s="17">
        <v>1515</v>
      </c>
      <c r="H1720" s="17">
        <v>2310</v>
      </c>
      <c r="I1720" s="6">
        <f>Tabela1[[#This Row],[Valor total]]-Tabela1[[#This Row],[Valor custo]]</f>
        <v>795</v>
      </c>
      <c r="J1720" s="7">
        <f>Tabela1[[#This Row],[MARGEM BRUTA]]/Tabela1[[#This Row],[Valor total]]</f>
        <v>0.34415584415584416</v>
      </c>
      <c r="K1720" s="1" t="str">
        <f>VLOOKUP(Tabela1[[#This Row],[Cliente]],'BASE DE CLIENTES'!A:D,4,0)</f>
        <v>SEM CLASSIFICAÇÃO</v>
      </c>
      <c r="L1720" s="1" t="str">
        <f>VLOOKUP(Tabela1[[#This Row],[Cliente]],'BASE DE CLIENTES'!A:E,5,0)</f>
        <v>Goianira</v>
      </c>
    </row>
    <row r="1721" spans="2:12" x14ac:dyDescent="0.3">
      <c r="B1721" s="1" t="s">
        <v>242</v>
      </c>
      <c r="C1721" s="4" t="str">
        <f>VLOOKUP(Tabela1[[#This Row],[Cliente]],'BASE DE CLIENTES'!A:E,2,0)</f>
        <v>Goianira</v>
      </c>
      <c r="D1721" s="1" t="str">
        <f>VLOOKUP(Tabela1[[#This Row],[Cliente]],'BASE DE CLIENTES'!A:C,3,0)</f>
        <v>GO</v>
      </c>
      <c r="E1721" s="4" t="str">
        <f>CONCATENATE(Tabela1[[#This Row],[CIDADE]],",",Tabela1[[#This Row],[UF]])</f>
        <v>Goianira,GO</v>
      </c>
      <c r="F1721" s="2">
        <v>45741</v>
      </c>
      <c r="G1721" s="17">
        <v>2335.62</v>
      </c>
      <c r="H1721" s="17">
        <v>3820</v>
      </c>
      <c r="I1721" s="6">
        <f>Tabela1[[#This Row],[Valor total]]-Tabela1[[#This Row],[Valor custo]]</f>
        <v>1484.38</v>
      </c>
      <c r="J1721" s="7">
        <f>Tabela1[[#This Row],[MARGEM BRUTA]]/Tabela1[[#This Row],[Valor total]]</f>
        <v>0.38858115183246078</v>
      </c>
      <c r="K1721" s="1" t="str">
        <f>VLOOKUP(Tabela1[[#This Row],[Cliente]],'BASE DE CLIENTES'!A:D,4,0)</f>
        <v>SEM CLASSIFICAÇÃO</v>
      </c>
      <c r="L1721" s="1" t="str">
        <f>VLOOKUP(Tabela1[[#This Row],[Cliente]],'BASE DE CLIENTES'!A:E,5,0)</f>
        <v>Goianira</v>
      </c>
    </row>
    <row r="1722" spans="2:12" x14ac:dyDescent="0.3">
      <c r="B1722" s="1" t="s">
        <v>52</v>
      </c>
      <c r="C1722" s="4" t="str">
        <f>VLOOKUP(Tabela1[[#This Row],[Cliente]],'BASE DE CLIENTES'!A:E,2,0)</f>
        <v>Brasília</v>
      </c>
      <c r="D1722" s="1" t="str">
        <f>VLOOKUP(Tabela1[[#This Row],[Cliente]],'BASE DE CLIENTES'!A:C,3,0)</f>
        <v>DF</v>
      </c>
      <c r="E1722" s="4" t="str">
        <f>CONCATENATE(Tabela1[[#This Row],[CIDADE]],",",Tabela1[[#This Row],[UF]])</f>
        <v>Brasília,DF</v>
      </c>
      <c r="F1722" s="2">
        <v>45852</v>
      </c>
      <c r="G1722" s="17">
        <v>946</v>
      </c>
      <c r="H1722" s="17">
        <v>1400</v>
      </c>
      <c r="I1722" s="6">
        <f>Tabela1[[#This Row],[Valor total]]-Tabela1[[#This Row],[Valor custo]]</f>
        <v>454</v>
      </c>
      <c r="J1722" s="7">
        <f>Tabela1[[#This Row],[MARGEM BRUTA]]/Tabela1[[#This Row],[Valor total]]</f>
        <v>0.32428571428571429</v>
      </c>
      <c r="K1722" s="1" t="str">
        <f>VLOOKUP(Tabela1[[#This Row],[Cliente]],'BASE DE CLIENTES'!A:D,4,0)</f>
        <v>SERRALHEIRO</v>
      </c>
      <c r="L1722" s="1" t="str">
        <f>VLOOKUP(Tabela1[[#This Row],[Cliente]],'BASE DE CLIENTES'!A:E,5,0)</f>
        <v>Ceilândia Sul (Ceilândia)</v>
      </c>
    </row>
    <row r="1723" spans="2:12" x14ac:dyDescent="0.3">
      <c r="B1723" s="1" t="s">
        <v>242</v>
      </c>
      <c r="C1723" s="4" t="str">
        <f>VLOOKUP(Tabela1[[#This Row],[Cliente]],'BASE DE CLIENTES'!A:E,2,0)</f>
        <v>Goianira</v>
      </c>
      <c r="D1723" s="1" t="str">
        <f>VLOOKUP(Tabela1[[#This Row],[Cliente]],'BASE DE CLIENTES'!A:C,3,0)</f>
        <v>GO</v>
      </c>
      <c r="E1723" s="4" t="str">
        <f>CONCATENATE(Tabela1[[#This Row],[CIDADE]],",",Tabela1[[#This Row],[UF]])</f>
        <v>Goianira,GO</v>
      </c>
      <c r="F1723" s="2">
        <v>45740</v>
      </c>
      <c r="G1723" s="17">
        <v>514.45000000000005</v>
      </c>
      <c r="H1723" s="17">
        <v>615</v>
      </c>
      <c r="I1723" s="6">
        <f>Tabela1[[#This Row],[Valor total]]-Tabela1[[#This Row],[Valor custo]]</f>
        <v>100.54999999999995</v>
      </c>
      <c r="J1723" s="7">
        <f>Tabela1[[#This Row],[MARGEM BRUTA]]/Tabela1[[#This Row],[Valor total]]</f>
        <v>0.16349593495934953</v>
      </c>
      <c r="K1723" s="1" t="str">
        <f>VLOOKUP(Tabela1[[#This Row],[Cliente]],'BASE DE CLIENTES'!A:D,4,0)</f>
        <v>SEM CLASSIFICAÇÃO</v>
      </c>
      <c r="L1723" s="1" t="str">
        <f>VLOOKUP(Tabela1[[#This Row],[Cliente]],'BASE DE CLIENTES'!A:E,5,0)</f>
        <v>Goianira</v>
      </c>
    </row>
    <row r="1724" spans="2:12" x14ac:dyDescent="0.3">
      <c r="B1724" s="1" t="s">
        <v>128</v>
      </c>
      <c r="C1724" s="4" t="str">
        <f>VLOOKUP(Tabela1[[#This Row],[Cliente]],'BASE DE CLIENTES'!A:E,2,0)</f>
        <v>Brasília</v>
      </c>
      <c r="D1724" s="1" t="str">
        <f>VLOOKUP(Tabela1[[#This Row],[Cliente]],'BASE DE CLIENTES'!A:C,3,0)</f>
        <v>DF</v>
      </c>
      <c r="E1724" s="4" t="str">
        <f>CONCATENATE(Tabela1[[#This Row],[CIDADE]],",",Tabela1[[#This Row],[UF]])</f>
        <v>Brasília,DF</v>
      </c>
      <c r="F1724" s="2">
        <v>45852</v>
      </c>
      <c r="G1724" s="17">
        <v>43.79</v>
      </c>
      <c r="H1724" s="17">
        <v>155</v>
      </c>
      <c r="I1724" s="6">
        <f>Tabela1[[#This Row],[Valor total]]-Tabela1[[#This Row],[Valor custo]]</f>
        <v>111.21000000000001</v>
      </c>
      <c r="J1724" s="7">
        <f>Tabela1[[#This Row],[MARGEM BRUTA]]/Tabela1[[#This Row],[Valor total]]</f>
        <v>0.71748387096774202</v>
      </c>
      <c r="K1724" s="1" t="str">
        <f>VLOOKUP(Tabela1[[#This Row],[Cliente]],'BASE DE CLIENTES'!A:D,4,0)</f>
        <v>SERRALHEIRO</v>
      </c>
      <c r="L1724" s="1" t="str">
        <f>VLOOKUP(Tabela1[[#This Row],[Cliente]],'BASE DE CLIENTES'!A:E,5,0)</f>
        <v>TAGUATINGA NORTE</v>
      </c>
    </row>
    <row r="1725" spans="2:12" x14ac:dyDescent="0.3">
      <c r="B1725" s="1" t="s">
        <v>27</v>
      </c>
      <c r="C1725" s="4" t="str">
        <f>VLOOKUP(Tabela1[[#This Row],[Cliente]],'BASE DE CLIENTES'!A:E,2,0)</f>
        <v>Brasília</v>
      </c>
      <c r="D1725" s="1" t="str">
        <f>VLOOKUP(Tabela1[[#This Row],[Cliente]],'BASE DE CLIENTES'!A:C,3,0)</f>
        <v>DF</v>
      </c>
      <c r="E1725" s="4" t="str">
        <f>CONCATENATE(Tabela1[[#This Row],[CIDADE]],",",Tabela1[[#This Row],[UF]])</f>
        <v>Brasília,DF</v>
      </c>
      <c r="F1725" s="2">
        <v>45852</v>
      </c>
      <c r="G1725" s="17">
        <v>473</v>
      </c>
      <c r="H1725" s="17">
        <v>655</v>
      </c>
      <c r="I1725" s="6">
        <f>Tabela1[[#This Row],[Valor total]]-Tabela1[[#This Row],[Valor custo]]</f>
        <v>182</v>
      </c>
      <c r="J1725" s="7">
        <f>Tabela1[[#This Row],[MARGEM BRUTA]]/Tabela1[[#This Row],[Valor total]]</f>
        <v>0.27786259541984731</v>
      </c>
      <c r="K1725" s="1" t="str">
        <f>VLOOKUP(Tabela1[[#This Row],[Cliente]],'BASE DE CLIENTES'!A:D,4,0)</f>
        <v>EMPRESA SEM MAQUINA</v>
      </c>
      <c r="L1725" s="1" t="str">
        <f>VLOOKUP(Tabela1[[#This Row],[Cliente]],'BASE DE CLIENTES'!A:E,5,0)</f>
        <v>RECANTO DAS EMAS</v>
      </c>
    </row>
    <row r="1726" spans="2:12" x14ac:dyDescent="0.3">
      <c r="B1726" s="1" t="s">
        <v>242</v>
      </c>
      <c r="C1726" s="4" t="str">
        <f>VLOOKUP(Tabela1[[#This Row],[Cliente]],'BASE DE CLIENTES'!A:E,2,0)</f>
        <v>Goianira</v>
      </c>
      <c r="D1726" s="1" t="str">
        <f>VLOOKUP(Tabela1[[#This Row],[Cliente]],'BASE DE CLIENTES'!A:C,3,0)</f>
        <v>GO</v>
      </c>
      <c r="E1726" s="4" t="str">
        <f>CONCATENATE(Tabela1[[#This Row],[CIDADE]],",",Tabela1[[#This Row],[UF]])</f>
        <v>Goianira,GO</v>
      </c>
      <c r="F1726" s="2">
        <v>45736</v>
      </c>
      <c r="G1726" s="17">
        <v>2347.15</v>
      </c>
      <c r="H1726" s="17">
        <v>4650</v>
      </c>
      <c r="I1726" s="6">
        <f>Tabela1[[#This Row],[Valor total]]-Tabela1[[#This Row],[Valor custo]]</f>
        <v>2302.85</v>
      </c>
      <c r="J1726" s="7">
        <f>Tabela1[[#This Row],[MARGEM BRUTA]]/Tabela1[[#This Row],[Valor total]]</f>
        <v>0.49523655913978493</v>
      </c>
      <c r="K1726" s="1" t="str">
        <f>VLOOKUP(Tabela1[[#This Row],[Cliente]],'BASE DE CLIENTES'!A:D,4,0)</f>
        <v>SEM CLASSIFICAÇÃO</v>
      </c>
      <c r="L1726" s="1" t="str">
        <f>VLOOKUP(Tabela1[[#This Row],[Cliente]],'BASE DE CLIENTES'!A:E,5,0)</f>
        <v>Goianira</v>
      </c>
    </row>
    <row r="1727" spans="2:12" x14ac:dyDescent="0.3">
      <c r="B1727" s="1" t="s">
        <v>242</v>
      </c>
      <c r="C1727" s="4" t="str">
        <f>VLOOKUP(Tabela1[[#This Row],[Cliente]],'BASE DE CLIENTES'!A:E,2,0)</f>
        <v>Goianira</v>
      </c>
      <c r="D1727" s="1" t="str">
        <f>VLOOKUP(Tabela1[[#This Row],[Cliente]],'BASE DE CLIENTES'!A:C,3,0)</f>
        <v>GO</v>
      </c>
      <c r="E1727" s="4" t="str">
        <f>CONCATENATE(Tabela1[[#This Row],[CIDADE]],",",Tabela1[[#This Row],[UF]])</f>
        <v>Goianira,GO</v>
      </c>
      <c r="F1727" s="2">
        <v>45726</v>
      </c>
      <c r="G1727" s="17">
        <v>1079.92</v>
      </c>
      <c r="H1727" s="17">
        <v>1560</v>
      </c>
      <c r="I1727" s="6">
        <f>Tabela1[[#This Row],[Valor total]]-Tabela1[[#This Row],[Valor custo]]</f>
        <v>480.07999999999993</v>
      </c>
      <c r="J1727" s="7">
        <f>Tabela1[[#This Row],[MARGEM BRUTA]]/Tabela1[[#This Row],[Valor total]]</f>
        <v>0.30774358974358967</v>
      </c>
      <c r="K1727" s="1" t="str">
        <f>VLOOKUP(Tabela1[[#This Row],[Cliente]],'BASE DE CLIENTES'!A:D,4,0)</f>
        <v>SEM CLASSIFICAÇÃO</v>
      </c>
      <c r="L1727" s="1" t="str">
        <f>VLOOKUP(Tabela1[[#This Row],[Cliente]],'BASE DE CLIENTES'!A:E,5,0)</f>
        <v>Goianira</v>
      </c>
    </row>
    <row r="1728" spans="2:12" x14ac:dyDescent="0.3">
      <c r="B1728" s="1" t="s">
        <v>97</v>
      </c>
      <c r="C1728" s="4" t="str">
        <f>VLOOKUP(Tabela1[[#This Row],[Cliente]],'BASE DE CLIENTES'!A:E,2,0)</f>
        <v>Brasília</v>
      </c>
      <c r="D1728" s="1" t="str">
        <f>VLOOKUP(Tabela1[[#This Row],[Cliente]],'BASE DE CLIENTES'!A:C,3,0)</f>
        <v>DF</v>
      </c>
      <c r="E1728" s="4" t="str">
        <f>CONCATENATE(Tabela1[[#This Row],[CIDADE]],",",Tabela1[[#This Row],[UF]])</f>
        <v>Brasília,DF</v>
      </c>
      <c r="F1728" s="2">
        <v>45852</v>
      </c>
      <c r="G1728" s="17">
        <v>447</v>
      </c>
      <c r="H1728" s="17">
        <v>645</v>
      </c>
      <c r="I1728" s="6">
        <f>Tabela1[[#This Row],[Valor total]]-Tabela1[[#This Row],[Valor custo]]</f>
        <v>198</v>
      </c>
      <c r="J1728" s="7">
        <f>Tabela1[[#This Row],[MARGEM BRUTA]]/Tabela1[[#This Row],[Valor total]]</f>
        <v>0.30697674418604654</v>
      </c>
      <c r="K1728" s="1" t="str">
        <f>VLOOKUP(Tabela1[[#This Row],[Cliente]],'BASE DE CLIENTES'!A:D,4,0)</f>
        <v>SERRALHEIRO</v>
      </c>
      <c r="L1728" s="1" t="str">
        <f>VLOOKUP(Tabela1[[#This Row],[Cliente]],'BASE DE CLIENTES'!A:E,5,0)</f>
        <v>CEILANDIA NORTE</v>
      </c>
    </row>
    <row r="1729" spans="2:12" x14ac:dyDescent="0.3">
      <c r="B1729" s="1" t="s">
        <v>243</v>
      </c>
      <c r="C1729" s="4" t="str">
        <f>VLOOKUP(Tabela1[[#This Row],[Cliente]],'BASE DE CLIENTES'!A:E,2,0)</f>
        <v>Brasília</v>
      </c>
      <c r="D1729" s="1" t="str">
        <f>VLOOKUP(Tabela1[[#This Row],[Cliente]],'BASE DE CLIENTES'!A:C,3,0)</f>
        <v>DF</v>
      </c>
      <c r="E1729" s="4" t="str">
        <f>CONCATENATE(Tabela1[[#This Row],[CIDADE]],",",Tabela1[[#This Row],[UF]])</f>
        <v>Brasília,DF</v>
      </c>
      <c r="F1729" s="2">
        <v>45850</v>
      </c>
      <c r="G1729" s="17">
        <v>293.13</v>
      </c>
      <c r="H1729" s="17">
        <v>687</v>
      </c>
      <c r="I1729" s="6">
        <f>Tabela1[[#This Row],[Valor total]]-Tabela1[[#This Row],[Valor custo]]</f>
        <v>393.87</v>
      </c>
      <c r="J1729" s="7">
        <f>Tabela1[[#This Row],[MARGEM BRUTA]]/Tabela1[[#This Row],[Valor total]]</f>
        <v>0.57331877729257641</v>
      </c>
      <c r="K1729" s="1" t="str">
        <f>VLOOKUP(Tabela1[[#This Row],[Cliente]],'BASE DE CLIENTES'!A:D,4,0)</f>
        <v>SERRALHEIRO</v>
      </c>
      <c r="L1729" s="1" t="str">
        <f>VLOOKUP(Tabela1[[#This Row],[Cliente]],'BASE DE CLIENTES'!A:E,5,0)</f>
        <v>Taguatinga Sul (Taguatinga)</v>
      </c>
    </row>
    <row r="1730" spans="2:12" x14ac:dyDescent="0.3">
      <c r="B1730" s="1" t="s">
        <v>242</v>
      </c>
      <c r="C1730" s="4" t="str">
        <f>VLOOKUP(Tabela1[[#This Row],[Cliente]],'BASE DE CLIENTES'!A:E,2,0)</f>
        <v>Goianira</v>
      </c>
      <c r="D1730" s="1" t="str">
        <f>VLOOKUP(Tabela1[[#This Row],[Cliente]],'BASE DE CLIENTES'!A:C,3,0)</f>
        <v>GO</v>
      </c>
      <c r="E1730" s="4" t="str">
        <f>CONCATENATE(Tabela1[[#This Row],[CIDADE]],",",Tabela1[[#This Row],[UF]])</f>
        <v>Goianira,GO</v>
      </c>
      <c r="F1730" s="2">
        <v>45721</v>
      </c>
      <c r="G1730" s="17">
        <v>548.47</v>
      </c>
      <c r="H1730" s="17">
        <v>810</v>
      </c>
      <c r="I1730" s="6">
        <f>Tabela1[[#This Row],[Valor total]]-Tabela1[[#This Row],[Valor custo]]</f>
        <v>261.52999999999997</v>
      </c>
      <c r="J1730" s="7">
        <f>Tabela1[[#This Row],[MARGEM BRUTA]]/Tabela1[[#This Row],[Valor total]]</f>
        <v>0.32287654320987652</v>
      </c>
      <c r="K1730" s="1" t="str">
        <f>VLOOKUP(Tabela1[[#This Row],[Cliente]],'BASE DE CLIENTES'!A:D,4,0)</f>
        <v>SEM CLASSIFICAÇÃO</v>
      </c>
      <c r="L1730" s="1" t="str">
        <f>VLOOKUP(Tabela1[[#This Row],[Cliente]],'BASE DE CLIENTES'!A:E,5,0)</f>
        <v>Goianira</v>
      </c>
    </row>
    <row r="1731" spans="2:12" x14ac:dyDescent="0.3">
      <c r="B1731" s="1" t="s">
        <v>27</v>
      </c>
      <c r="C1731" s="4" t="str">
        <f>VLOOKUP(Tabela1[[#This Row],[Cliente]],'BASE DE CLIENTES'!A:E,2,0)</f>
        <v>Brasília</v>
      </c>
      <c r="D1731" s="1" t="str">
        <f>VLOOKUP(Tabela1[[#This Row],[Cliente]],'BASE DE CLIENTES'!A:C,3,0)</f>
        <v>DF</v>
      </c>
      <c r="E1731" s="4" t="str">
        <f>CONCATENATE(Tabela1[[#This Row],[CIDADE]],",",Tabela1[[#This Row],[UF]])</f>
        <v>Brasília,DF</v>
      </c>
      <c r="F1731" s="2">
        <v>45849</v>
      </c>
      <c r="G1731" s="17">
        <v>710</v>
      </c>
      <c r="H1731" s="17">
        <v>1200</v>
      </c>
      <c r="I1731" s="6">
        <f>Tabela1[[#This Row],[Valor total]]-Tabela1[[#This Row],[Valor custo]]</f>
        <v>490</v>
      </c>
      <c r="J1731" s="7">
        <f>Tabela1[[#This Row],[MARGEM BRUTA]]/Tabela1[[#This Row],[Valor total]]</f>
        <v>0.40833333333333333</v>
      </c>
      <c r="K1731" s="1" t="str">
        <f>VLOOKUP(Tabela1[[#This Row],[Cliente]],'BASE DE CLIENTES'!A:D,4,0)</f>
        <v>EMPRESA SEM MAQUINA</v>
      </c>
      <c r="L1731" s="1" t="str">
        <f>VLOOKUP(Tabela1[[#This Row],[Cliente]],'BASE DE CLIENTES'!A:E,5,0)</f>
        <v>RECANTO DAS EMAS</v>
      </c>
    </row>
    <row r="1732" spans="2:12" x14ac:dyDescent="0.3">
      <c r="B1732" s="1" t="s">
        <v>242</v>
      </c>
      <c r="C1732" s="4" t="str">
        <f>VLOOKUP(Tabela1[[#This Row],[Cliente]],'BASE DE CLIENTES'!A:E,2,0)</f>
        <v>Goianira</v>
      </c>
      <c r="D1732" s="1" t="str">
        <f>VLOOKUP(Tabela1[[#This Row],[Cliente]],'BASE DE CLIENTES'!A:C,3,0)</f>
        <v>GO</v>
      </c>
      <c r="E1732" s="4" t="str">
        <f>CONCATENATE(Tabela1[[#This Row],[CIDADE]],",",Tabela1[[#This Row],[UF]])</f>
        <v>Goianira,GO</v>
      </c>
      <c r="F1732" s="2">
        <v>45775</v>
      </c>
      <c r="G1732" s="17">
        <v>473</v>
      </c>
      <c r="H1732" s="17">
        <v>70</v>
      </c>
      <c r="I1732" s="6">
        <f>Tabela1[[#This Row],[Valor total]]-Tabela1[[#This Row],[Valor custo]]</f>
        <v>-403</v>
      </c>
      <c r="J1732" s="7">
        <f>Tabela1[[#This Row],[MARGEM BRUTA]]/Tabela1[[#This Row],[Valor total]]</f>
        <v>-5.7571428571428571</v>
      </c>
      <c r="K1732" s="1" t="str">
        <f>VLOOKUP(Tabela1[[#This Row],[Cliente]],'BASE DE CLIENTES'!A:D,4,0)</f>
        <v>SEM CLASSIFICAÇÃO</v>
      </c>
      <c r="L1732" s="1" t="str">
        <f>VLOOKUP(Tabela1[[#This Row],[Cliente]],'BASE DE CLIENTES'!A:E,5,0)</f>
        <v>Goianira</v>
      </c>
    </row>
    <row r="1733" spans="2:12" x14ac:dyDescent="0.3">
      <c r="B1733" s="1" t="s">
        <v>242</v>
      </c>
      <c r="C1733" s="4" t="str">
        <f>VLOOKUP(Tabela1[[#This Row],[Cliente]],'BASE DE CLIENTES'!A:E,2,0)</f>
        <v>Goianira</v>
      </c>
      <c r="D1733" s="1" t="str">
        <f>VLOOKUP(Tabela1[[#This Row],[Cliente]],'BASE DE CLIENTES'!A:C,3,0)</f>
        <v>GO</v>
      </c>
      <c r="E1733" s="4" t="str">
        <f>CONCATENATE(Tabela1[[#This Row],[CIDADE]],",",Tabela1[[#This Row],[UF]])</f>
        <v>Goianira,GO</v>
      </c>
      <c r="F1733" s="2">
        <v>45772</v>
      </c>
      <c r="G1733" s="17">
        <v>447</v>
      </c>
      <c r="H1733" s="17">
        <v>620</v>
      </c>
      <c r="I1733" s="6">
        <f>Tabela1[[#This Row],[Valor total]]-Tabela1[[#This Row],[Valor custo]]</f>
        <v>173</v>
      </c>
      <c r="J1733" s="7">
        <f>Tabela1[[#This Row],[MARGEM BRUTA]]/Tabela1[[#This Row],[Valor total]]</f>
        <v>0.27903225806451615</v>
      </c>
      <c r="K1733" s="1" t="str">
        <f>VLOOKUP(Tabela1[[#This Row],[Cliente]],'BASE DE CLIENTES'!A:D,4,0)</f>
        <v>SEM CLASSIFICAÇÃO</v>
      </c>
      <c r="L1733" s="1" t="str">
        <f>VLOOKUP(Tabela1[[#This Row],[Cliente]],'BASE DE CLIENTES'!A:E,5,0)</f>
        <v>Goianira</v>
      </c>
    </row>
    <row r="1734" spans="2:12" x14ac:dyDescent="0.3">
      <c r="B1734" s="1" t="s">
        <v>242</v>
      </c>
      <c r="C1734" s="4" t="str">
        <f>VLOOKUP(Tabela1[[#This Row],[Cliente]],'BASE DE CLIENTES'!A:E,2,0)</f>
        <v>Goianira</v>
      </c>
      <c r="D1734" s="1" t="str">
        <f>VLOOKUP(Tabela1[[#This Row],[Cliente]],'BASE DE CLIENTES'!A:C,3,0)</f>
        <v>GO</v>
      </c>
      <c r="E1734" s="4" t="str">
        <f>CONCATENATE(Tabela1[[#This Row],[CIDADE]],",",Tabela1[[#This Row],[UF]])</f>
        <v>Goianira,GO</v>
      </c>
      <c r="F1734" s="2">
        <v>45762</v>
      </c>
      <c r="G1734" s="17">
        <v>1018</v>
      </c>
      <c r="H1734" s="17">
        <v>1560</v>
      </c>
      <c r="I1734" s="6">
        <f>Tabela1[[#This Row],[Valor total]]-Tabela1[[#This Row],[Valor custo]]</f>
        <v>542</v>
      </c>
      <c r="J1734" s="7">
        <f>Tabela1[[#This Row],[MARGEM BRUTA]]/Tabela1[[#This Row],[Valor total]]</f>
        <v>0.34743589743589742</v>
      </c>
      <c r="K1734" s="1" t="str">
        <f>VLOOKUP(Tabela1[[#This Row],[Cliente]],'BASE DE CLIENTES'!A:D,4,0)</f>
        <v>SEM CLASSIFICAÇÃO</v>
      </c>
      <c r="L1734" s="1" t="str">
        <f>VLOOKUP(Tabela1[[#This Row],[Cliente]],'BASE DE CLIENTES'!A:E,5,0)</f>
        <v>Goianira</v>
      </c>
    </row>
    <row r="1735" spans="2:12" x14ac:dyDescent="0.3">
      <c r="B1735" s="1" t="s">
        <v>242</v>
      </c>
      <c r="C1735" s="4" t="str">
        <f>VLOOKUP(Tabela1[[#This Row],[Cliente]],'BASE DE CLIENTES'!A:E,2,0)</f>
        <v>Goianira</v>
      </c>
      <c r="D1735" s="1" t="str">
        <f>VLOOKUP(Tabela1[[#This Row],[Cliente]],'BASE DE CLIENTES'!A:C,3,0)</f>
        <v>GO</v>
      </c>
      <c r="E1735" s="4" t="str">
        <f>CONCATENATE(Tabela1[[#This Row],[CIDADE]],",",Tabela1[[#This Row],[UF]])</f>
        <v>Goianira,GO</v>
      </c>
      <c r="F1735" s="2">
        <v>45754</v>
      </c>
      <c r="G1735" s="17">
        <v>1660</v>
      </c>
      <c r="H1735" s="17">
        <v>2760</v>
      </c>
      <c r="I1735" s="6">
        <f>Tabela1[[#This Row],[Valor total]]-Tabela1[[#This Row],[Valor custo]]</f>
        <v>1100</v>
      </c>
      <c r="J1735" s="7">
        <f>Tabela1[[#This Row],[MARGEM BRUTA]]/Tabela1[[#This Row],[Valor total]]</f>
        <v>0.39855072463768115</v>
      </c>
      <c r="K1735" s="1" t="str">
        <f>VLOOKUP(Tabela1[[#This Row],[Cliente]],'BASE DE CLIENTES'!A:D,4,0)</f>
        <v>SEM CLASSIFICAÇÃO</v>
      </c>
      <c r="L1735" s="1" t="str">
        <f>VLOOKUP(Tabela1[[#This Row],[Cliente]],'BASE DE CLIENTES'!A:E,5,0)</f>
        <v>Goianira</v>
      </c>
    </row>
    <row r="1736" spans="2:12" x14ac:dyDescent="0.3">
      <c r="B1736" s="1" t="s">
        <v>242</v>
      </c>
      <c r="C1736" s="4" t="str">
        <f>VLOOKUP(Tabela1[[#This Row],[Cliente]],'BASE DE CLIENTES'!A:E,2,0)</f>
        <v>Goianira</v>
      </c>
      <c r="D1736" s="1" t="str">
        <f>VLOOKUP(Tabela1[[#This Row],[Cliente]],'BASE DE CLIENTES'!A:C,3,0)</f>
        <v>GO</v>
      </c>
      <c r="E1736" s="4" t="str">
        <f>CONCATENATE(Tabela1[[#This Row],[CIDADE]],",",Tabela1[[#This Row],[UF]])</f>
        <v>Goianira,GO</v>
      </c>
      <c r="F1736" s="2">
        <v>45749</v>
      </c>
      <c r="G1736" s="17">
        <v>521</v>
      </c>
      <c r="H1736" s="17">
        <v>810</v>
      </c>
      <c r="I1736" s="6">
        <f>Tabela1[[#This Row],[Valor total]]-Tabela1[[#This Row],[Valor custo]]</f>
        <v>289</v>
      </c>
      <c r="J1736" s="7">
        <f>Tabela1[[#This Row],[MARGEM BRUTA]]/Tabela1[[#This Row],[Valor total]]</f>
        <v>0.35679012345679012</v>
      </c>
      <c r="K1736" s="1" t="str">
        <f>VLOOKUP(Tabela1[[#This Row],[Cliente]],'BASE DE CLIENTES'!A:D,4,0)</f>
        <v>SEM CLASSIFICAÇÃO</v>
      </c>
      <c r="L1736" s="1" t="str">
        <f>VLOOKUP(Tabela1[[#This Row],[Cliente]],'BASE DE CLIENTES'!A:E,5,0)</f>
        <v>Goianira</v>
      </c>
    </row>
    <row r="1737" spans="2:12" x14ac:dyDescent="0.3">
      <c r="B1737" s="1" t="s">
        <v>244</v>
      </c>
      <c r="C1737" s="4" t="str">
        <f>VLOOKUP(Tabela1[[#This Row],[Cliente]],'BASE DE CLIENTES'!A:E,2,0)</f>
        <v>Brasília</v>
      </c>
      <c r="D1737" s="1" t="str">
        <f>VLOOKUP(Tabela1[[#This Row],[Cliente]],'BASE DE CLIENTES'!A:C,3,0)</f>
        <v>DF</v>
      </c>
      <c r="E1737" s="4" t="str">
        <f>CONCATENATE(Tabela1[[#This Row],[CIDADE]],",",Tabela1[[#This Row],[UF]])</f>
        <v>Brasília,DF</v>
      </c>
      <c r="F1737" s="2">
        <v>45849</v>
      </c>
      <c r="G1737" s="17">
        <v>293.13</v>
      </c>
      <c r="H1737" s="17">
        <v>687</v>
      </c>
      <c r="I1737" s="6">
        <f>Tabela1[[#This Row],[Valor total]]-Tabela1[[#This Row],[Valor custo]]</f>
        <v>393.87</v>
      </c>
      <c r="J1737" s="7">
        <f>Tabela1[[#This Row],[MARGEM BRUTA]]/Tabela1[[#This Row],[Valor total]]</f>
        <v>0.57331877729257641</v>
      </c>
      <c r="K1737" s="1" t="str">
        <f>VLOOKUP(Tabela1[[#This Row],[Cliente]],'BASE DE CLIENTES'!A:D,4,0)</f>
        <v>CLIENTE FECHADURA</v>
      </c>
      <c r="L1737" s="1" t="str">
        <f>VLOOKUP(Tabela1[[#This Row],[Cliente]],'BASE DE CLIENTES'!A:E,5,0)</f>
        <v>Setor Industrial (Taguatinga)</v>
      </c>
    </row>
    <row r="1738" spans="2:12" x14ac:dyDescent="0.3">
      <c r="B1738" s="1" t="s">
        <v>52</v>
      </c>
      <c r="C1738" s="4" t="str">
        <f>VLOOKUP(Tabela1[[#This Row],[Cliente]],'BASE DE CLIENTES'!A:E,2,0)</f>
        <v>Brasília</v>
      </c>
      <c r="D1738" s="1" t="str">
        <f>VLOOKUP(Tabela1[[#This Row],[Cliente]],'BASE DE CLIENTES'!A:C,3,0)</f>
        <v>DF</v>
      </c>
      <c r="E1738" s="4" t="str">
        <f>CONCATENATE(Tabela1[[#This Row],[CIDADE]],",",Tabela1[[#This Row],[UF]])</f>
        <v>Brasília,DF</v>
      </c>
      <c r="F1738" s="2">
        <v>45849</v>
      </c>
      <c r="G1738" s="17">
        <v>473</v>
      </c>
      <c r="H1738" s="17">
        <v>700</v>
      </c>
      <c r="I1738" s="6">
        <f>Tabela1[[#This Row],[Valor total]]-Tabela1[[#This Row],[Valor custo]]</f>
        <v>227</v>
      </c>
      <c r="J1738" s="7">
        <f>Tabela1[[#This Row],[MARGEM BRUTA]]/Tabela1[[#This Row],[Valor total]]</f>
        <v>0.32428571428571429</v>
      </c>
      <c r="K1738" s="1" t="str">
        <f>VLOOKUP(Tabela1[[#This Row],[Cliente]],'BASE DE CLIENTES'!A:D,4,0)</f>
        <v>SERRALHEIRO</v>
      </c>
      <c r="L1738" s="1" t="str">
        <f>VLOOKUP(Tabela1[[#This Row],[Cliente]],'BASE DE CLIENTES'!A:E,5,0)</f>
        <v>Ceilândia Sul (Ceilândia)</v>
      </c>
    </row>
    <row r="1739" spans="2:12" x14ac:dyDescent="0.3">
      <c r="B1739" s="1" t="s">
        <v>241</v>
      </c>
      <c r="C1739" s="4" t="str">
        <f>VLOOKUP(Tabela1[[#This Row],[Cliente]],'BASE DE CLIENTES'!A:E,2,0)</f>
        <v>Goianira</v>
      </c>
      <c r="D1739" s="1" t="str">
        <f>VLOOKUP(Tabela1[[#This Row],[Cliente]],'BASE DE CLIENTES'!A:C,3,0)</f>
        <v>GO</v>
      </c>
      <c r="E1739" s="4" t="str">
        <f>CONCATENATE(Tabela1[[#This Row],[CIDADE]],",",Tabela1[[#This Row],[UF]])</f>
        <v>Goianira,GO</v>
      </c>
      <c r="F1739" s="2">
        <v>45805</v>
      </c>
      <c r="G1739" s="17">
        <v>250</v>
      </c>
      <c r="H1739" s="17">
        <v>300</v>
      </c>
      <c r="I1739" s="6">
        <f>Tabela1[[#This Row],[Valor total]]-Tabela1[[#This Row],[Valor custo]]</f>
        <v>50</v>
      </c>
      <c r="J1739" s="7">
        <f>Tabela1[[#This Row],[MARGEM BRUTA]]/Tabela1[[#This Row],[Valor total]]</f>
        <v>0.16666666666666666</v>
      </c>
      <c r="K1739" s="1" t="str">
        <f>VLOOKUP(Tabela1[[#This Row],[Cliente]],'BASE DE CLIENTES'!A:D,4,0)</f>
        <v>EMPRESA COM MAQUINA</v>
      </c>
      <c r="L1739" s="1" t="str">
        <f>VLOOKUP(Tabela1[[#This Row],[Cliente]],'BASE DE CLIENTES'!A:E,5,0)</f>
        <v>Goianira</v>
      </c>
    </row>
    <row r="1740" spans="2:12" x14ac:dyDescent="0.3">
      <c r="B1740" s="1" t="s">
        <v>245</v>
      </c>
      <c r="C1740" s="4" t="str">
        <f>VLOOKUP(Tabela1[[#This Row],[Cliente]],'BASE DE CLIENTES'!A:E,2,0)</f>
        <v>Brasília</v>
      </c>
      <c r="D1740" s="1" t="str">
        <f>VLOOKUP(Tabela1[[#This Row],[Cliente]],'BASE DE CLIENTES'!A:C,3,0)</f>
        <v>DF</v>
      </c>
      <c r="E1740" s="4" t="str">
        <f>CONCATENATE(Tabela1[[#This Row],[CIDADE]],",",Tabela1[[#This Row],[UF]])</f>
        <v>Brasília,DF</v>
      </c>
      <c r="F1740" s="2">
        <v>45713</v>
      </c>
      <c r="G1740" s="17">
        <v>892.09</v>
      </c>
      <c r="H1740" s="17">
        <v>1420</v>
      </c>
      <c r="I1740" s="6">
        <f>Tabela1[[#This Row],[Valor total]]-Tabela1[[#This Row],[Valor custo]]</f>
        <v>527.91</v>
      </c>
      <c r="J1740" s="7">
        <f>Tabela1[[#This Row],[MARGEM BRUTA]]/Tabela1[[#This Row],[Valor total]]</f>
        <v>0.37176760563380279</v>
      </c>
      <c r="K1740" s="1" t="str">
        <f>VLOOKUP(Tabela1[[#This Row],[Cliente]],'BASE DE CLIENTES'!A:D,4,0)</f>
        <v>SEM CLASSIFICAÇÃO</v>
      </c>
      <c r="L1740" s="1" t="str">
        <f>VLOOKUP(Tabela1[[#This Row],[Cliente]],'BASE DE CLIENTES'!A:E,5,0)</f>
        <v>NA</v>
      </c>
    </row>
    <row r="1741" spans="2:12" x14ac:dyDescent="0.3">
      <c r="B1741" s="1" t="s">
        <v>147</v>
      </c>
      <c r="C1741" s="4" t="str">
        <f>VLOOKUP(Tabela1[[#This Row],[Cliente]],'BASE DE CLIENTES'!A:E,2,0)</f>
        <v>Brasília</v>
      </c>
      <c r="D1741" s="1" t="str">
        <f>VLOOKUP(Tabela1[[#This Row],[Cliente]],'BASE DE CLIENTES'!A:C,3,0)</f>
        <v>DF</v>
      </c>
      <c r="E1741" s="4" t="str">
        <f>CONCATENATE(Tabela1[[#This Row],[CIDADE]],",",Tabela1[[#This Row],[UF]])</f>
        <v>Brasília,DF</v>
      </c>
      <c r="F1741" s="2">
        <v>45733</v>
      </c>
      <c r="G1741" s="17">
        <v>104.4</v>
      </c>
      <c r="H1741" s="17">
        <v>350</v>
      </c>
      <c r="I1741" s="6">
        <f>Tabela1[[#This Row],[Valor total]]-Tabela1[[#This Row],[Valor custo]]</f>
        <v>245.6</v>
      </c>
      <c r="J1741" s="7">
        <f>Tabela1[[#This Row],[MARGEM BRUTA]]/Tabela1[[#This Row],[Valor total]]</f>
        <v>0.70171428571428573</v>
      </c>
      <c r="K1741" s="1" t="str">
        <f>VLOOKUP(Tabela1[[#This Row],[Cliente]],'BASE DE CLIENTES'!A:D,4,0)</f>
        <v>SEM CLASSIFICAÇÃO</v>
      </c>
      <c r="L1741" s="1" t="str">
        <f>VLOOKUP(Tabela1[[#This Row],[Cliente]],'BASE DE CLIENTES'!A:E,5,0)</f>
        <v>AREAL (AGUAS CLARAS)</v>
      </c>
    </row>
    <row r="1742" spans="2:12" x14ac:dyDescent="0.3">
      <c r="B1742" s="1" t="s">
        <v>88</v>
      </c>
      <c r="C1742" s="4" t="str">
        <f>VLOOKUP(Tabela1[[#This Row],[Cliente]],'BASE DE CLIENTES'!A:E,2,0)</f>
        <v>Brasília</v>
      </c>
      <c r="D1742" s="1" t="str">
        <f>VLOOKUP(Tabela1[[#This Row],[Cliente]],'BASE DE CLIENTES'!A:C,3,0)</f>
        <v>DF</v>
      </c>
      <c r="E1742" s="4" t="str">
        <f>CONCATENATE(Tabela1[[#This Row],[CIDADE]],",",Tabela1[[#This Row],[UF]])</f>
        <v>Brasília,DF</v>
      </c>
      <c r="F1742" s="2">
        <v>45849</v>
      </c>
      <c r="G1742" s="17">
        <v>33</v>
      </c>
      <c r="H1742" s="17">
        <v>150</v>
      </c>
      <c r="I1742" s="6">
        <f>Tabela1[[#This Row],[Valor total]]-Tabela1[[#This Row],[Valor custo]]</f>
        <v>117</v>
      </c>
      <c r="J1742" s="7">
        <f>Tabela1[[#This Row],[MARGEM BRUTA]]/Tabela1[[#This Row],[Valor total]]</f>
        <v>0.78</v>
      </c>
      <c r="K1742" s="1" t="str">
        <f>VLOOKUP(Tabela1[[#This Row],[Cliente]],'BASE DE CLIENTES'!A:D,4,0)</f>
        <v>SERRALHEIRO</v>
      </c>
      <c r="L1742" s="1" t="str">
        <f>VLOOKUP(Tabela1[[#This Row],[Cliente]],'BASE DE CLIENTES'!A:E,5,0)</f>
        <v>RECANTO DAS EMAS</v>
      </c>
    </row>
    <row r="1743" spans="2:12" x14ac:dyDescent="0.3">
      <c r="B1743" s="1" t="s">
        <v>88</v>
      </c>
      <c r="C1743" s="4" t="str">
        <f>VLOOKUP(Tabela1[[#This Row],[Cliente]],'BASE DE CLIENTES'!A:E,2,0)</f>
        <v>Brasília</v>
      </c>
      <c r="D1743" s="1" t="str">
        <f>VLOOKUP(Tabela1[[#This Row],[Cliente]],'BASE DE CLIENTES'!A:C,3,0)</f>
        <v>DF</v>
      </c>
      <c r="E1743" s="4" t="str">
        <f>CONCATENATE(Tabela1[[#This Row],[CIDADE]],",",Tabela1[[#This Row],[UF]])</f>
        <v>Brasília,DF</v>
      </c>
      <c r="F1743" s="2">
        <v>45849</v>
      </c>
      <c r="G1743" s="17">
        <v>521</v>
      </c>
      <c r="H1743" s="17">
        <v>810</v>
      </c>
      <c r="I1743" s="6">
        <f>Tabela1[[#This Row],[Valor total]]-Tabela1[[#This Row],[Valor custo]]</f>
        <v>289</v>
      </c>
      <c r="J1743" s="7">
        <f>Tabela1[[#This Row],[MARGEM BRUTA]]/Tabela1[[#This Row],[Valor total]]</f>
        <v>0.35679012345679012</v>
      </c>
      <c r="K1743" s="1" t="str">
        <f>VLOOKUP(Tabela1[[#This Row],[Cliente]],'BASE DE CLIENTES'!A:D,4,0)</f>
        <v>SERRALHEIRO</v>
      </c>
      <c r="L1743" s="1" t="str">
        <f>VLOOKUP(Tabela1[[#This Row],[Cliente]],'BASE DE CLIENTES'!A:E,5,0)</f>
        <v>RECANTO DAS EMAS</v>
      </c>
    </row>
    <row r="1744" spans="2:12" x14ac:dyDescent="0.3">
      <c r="B1744" s="1" t="s">
        <v>113</v>
      </c>
      <c r="C1744" s="4" t="str">
        <f>VLOOKUP(Tabela1[[#This Row],[Cliente]],'BASE DE CLIENTES'!A:E,2,0)</f>
        <v>Brasília</v>
      </c>
      <c r="D1744" s="1" t="str">
        <f>VLOOKUP(Tabela1[[#This Row],[Cliente]],'BASE DE CLIENTES'!A:C,3,0)</f>
        <v>DF</v>
      </c>
      <c r="E1744" s="4" t="str">
        <f>CONCATENATE(Tabela1[[#This Row],[CIDADE]],",",Tabela1[[#This Row],[UF]])</f>
        <v>Brasília,DF</v>
      </c>
      <c r="F1744" s="2">
        <v>45849</v>
      </c>
      <c r="G1744" s="17">
        <v>99</v>
      </c>
      <c r="H1744" s="17">
        <v>450</v>
      </c>
      <c r="I1744" s="6">
        <f>Tabela1[[#This Row],[Valor total]]-Tabela1[[#This Row],[Valor custo]]</f>
        <v>351</v>
      </c>
      <c r="J1744" s="7">
        <f>Tabela1[[#This Row],[MARGEM BRUTA]]/Tabela1[[#This Row],[Valor total]]</f>
        <v>0.78</v>
      </c>
      <c r="K1744" s="1" t="str">
        <f>VLOOKUP(Tabela1[[#This Row],[Cliente]],'BASE DE CLIENTES'!A:D,4,0)</f>
        <v>EMPRESA COM MAQUINA</v>
      </c>
      <c r="L1744" s="1" t="str">
        <f>VLOOKUP(Tabela1[[#This Row],[Cliente]],'BASE DE CLIENTES'!A:E,5,0)</f>
        <v>FAZENDA MESTRE D'ARMAS (ETAPA I - PLANALTINA)</v>
      </c>
    </row>
    <row r="1745" spans="1:12" x14ac:dyDescent="0.3">
      <c r="A1745" s="1" t="s">
        <v>246</v>
      </c>
      <c r="B1745" s="1" t="s">
        <v>245</v>
      </c>
      <c r="C1745" s="4" t="str">
        <f>VLOOKUP(Tabela1[[#This Row],[Cliente]],'BASE DE CLIENTES'!A:E,2,0)</f>
        <v>Brasília</v>
      </c>
      <c r="D1745" s="1" t="str">
        <f>VLOOKUP(Tabela1[[#This Row],[Cliente]],'BASE DE CLIENTES'!A:C,3,0)</f>
        <v>DF</v>
      </c>
      <c r="E1745" s="4" t="str">
        <f>CONCATENATE(Tabela1[[#This Row],[CIDADE]],",",Tabela1[[#This Row],[UF]])</f>
        <v>Brasília,DF</v>
      </c>
      <c r="F1745" s="2">
        <v>45680</v>
      </c>
      <c r="G1745" s="17">
        <v>718.57</v>
      </c>
      <c r="H1745" s="17">
        <v>1400</v>
      </c>
      <c r="I1745" s="6">
        <f>Tabela1[[#This Row],[Valor total]]-Tabela1[[#This Row],[Valor custo]]</f>
        <v>681.43</v>
      </c>
      <c r="J1745" s="7">
        <f>Tabela1[[#This Row],[MARGEM BRUTA]]/Tabela1[[#This Row],[Valor total]]</f>
        <v>0.48673571428571427</v>
      </c>
      <c r="K1745" s="1" t="str">
        <f>VLOOKUP(Tabela1[[#This Row],[Cliente]],'BASE DE CLIENTES'!A:D,4,0)</f>
        <v>SEM CLASSIFICAÇÃO</v>
      </c>
      <c r="L1745" s="1" t="str">
        <f>VLOOKUP(Tabela1[[#This Row],[Cliente]],'BASE DE CLIENTES'!A:E,5,0)</f>
        <v>NA</v>
      </c>
    </row>
    <row r="1746" spans="1:12" x14ac:dyDescent="0.3">
      <c r="B1746" s="1" t="s">
        <v>247</v>
      </c>
      <c r="C1746" s="4" t="str">
        <f>VLOOKUP(Tabela1[[#This Row],[Cliente]],'BASE DE CLIENTES'!A:E,2,0)</f>
        <v>Goianira</v>
      </c>
      <c r="D1746" s="1" t="str">
        <f>VLOOKUP(Tabela1[[#This Row],[Cliente]],'BASE DE CLIENTES'!A:C,3,0)</f>
        <v>GO</v>
      </c>
      <c r="E1746" s="4" t="str">
        <f>CONCATENATE(Tabela1[[#This Row],[CIDADE]],",",Tabela1[[#This Row],[UF]])</f>
        <v>Goianira,GO</v>
      </c>
      <c r="F1746" s="2">
        <v>45791</v>
      </c>
      <c r="G1746" s="17">
        <v>8257.4</v>
      </c>
      <c r="H1746" s="17">
        <v>12764</v>
      </c>
      <c r="I1746" s="6">
        <f>Tabela1[[#This Row],[Valor total]]-Tabela1[[#This Row],[Valor custo]]</f>
        <v>4506.6000000000004</v>
      </c>
      <c r="J1746" s="7">
        <f>Tabela1[[#This Row],[MARGEM BRUTA]]/Tabela1[[#This Row],[Valor total]]</f>
        <v>0.3530711375744281</v>
      </c>
      <c r="K1746" s="1" t="str">
        <f>VLOOKUP(Tabela1[[#This Row],[Cliente]],'BASE DE CLIENTES'!A:D,4,0)</f>
        <v>EMPRESA SEM MAQUINA</v>
      </c>
      <c r="L1746" s="1" t="str">
        <f>VLOOKUP(Tabela1[[#This Row],[Cliente]],'BASE DE CLIENTES'!A:E,5,0)</f>
        <v>Goianira</v>
      </c>
    </row>
    <row r="1747" spans="1:12" x14ac:dyDescent="0.3">
      <c r="B1747" s="1" t="s">
        <v>38</v>
      </c>
      <c r="C1747" s="4" t="str">
        <f>VLOOKUP(Tabela1[[#This Row],[Cliente]],'BASE DE CLIENTES'!A:E,2,0)</f>
        <v>Brasília</v>
      </c>
      <c r="D1747" s="1" t="str">
        <f>VLOOKUP(Tabela1[[#This Row],[Cliente]],'BASE DE CLIENTES'!A:C,3,0)</f>
        <v>DF</v>
      </c>
      <c r="E1747" s="4" t="str">
        <f>CONCATENATE(Tabela1[[#This Row],[CIDADE]],",",Tabela1[[#This Row],[UF]])</f>
        <v>Brasília,DF</v>
      </c>
      <c r="F1747" s="2">
        <v>45849</v>
      </c>
      <c r="G1747" s="17">
        <v>521</v>
      </c>
      <c r="H1747" s="17">
        <v>810</v>
      </c>
      <c r="I1747" s="6">
        <f>Tabela1[[#This Row],[Valor total]]-Tabela1[[#This Row],[Valor custo]]</f>
        <v>289</v>
      </c>
      <c r="J1747" s="7">
        <f>Tabela1[[#This Row],[MARGEM BRUTA]]/Tabela1[[#This Row],[Valor total]]</f>
        <v>0.35679012345679012</v>
      </c>
      <c r="K1747" s="1" t="str">
        <f>VLOOKUP(Tabela1[[#This Row],[Cliente]],'BASE DE CLIENTES'!A:D,4,0)</f>
        <v>EMPRESA SEM MAQUINA</v>
      </c>
      <c r="L1747" s="1" t="str">
        <f>VLOOKUP(Tabela1[[#This Row],[Cliente]],'BASE DE CLIENTES'!A:E,5,0)</f>
        <v>PONTE ALTA NORTE (GAMA)</v>
      </c>
    </row>
    <row r="1748" spans="1:12" x14ac:dyDescent="0.3">
      <c r="B1748" s="1" t="s">
        <v>38</v>
      </c>
      <c r="C1748" s="4" t="str">
        <f>VLOOKUP(Tabela1[[#This Row],[Cliente]],'BASE DE CLIENTES'!A:E,2,0)</f>
        <v>Brasília</v>
      </c>
      <c r="D1748" s="1" t="str">
        <f>VLOOKUP(Tabela1[[#This Row],[Cliente]],'BASE DE CLIENTES'!A:C,3,0)</f>
        <v>DF</v>
      </c>
      <c r="E1748" s="4" t="str">
        <f>CONCATENATE(Tabela1[[#This Row],[CIDADE]],",",Tabela1[[#This Row],[UF]])</f>
        <v>Brasília,DF</v>
      </c>
      <c r="F1748" s="2">
        <v>45849</v>
      </c>
      <c r="G1748" s="17">
        <v>1704</v>
      </c>
      <c r="H1748" s="17">
        <v>2750</v>
      </c>
      <c r="I1748" s="6">
        <f>Tabela1[[#This Row],[Valor total]]-Tabela1[[#This Row],[Valor custo]]</f>
        <v>1046</v>
      </c>
      <c r="J1748" s="7">
        <f>Tabela1[[#This Row],[MARGEM BRUTA]]/Tabela1[[#This Row],[Valor total]]</f>
        <v>0.38036363636363635</v>
      </c>
      <c r="K1748" s="1" t="str">
        <f>VLOOKUP(Tabela1[[#This Row],[Cliente]],'BASE DE CLIENTES'!A:D,4,0)</f>
        <v>EMPRESA SEM MAQUINA</v>
      </c>
      <c r="L1748" s="1" t="str">
        <f>VLOOKUP(Tabela1[[#This Row],[Cliente]],'BASE DE CLIENTES'!A:E,5,0)</f>
        <v>PONTE ALTA NORTE (GAMA)</v>
      </c>
    </row>
    <row r="1749" spans="1:12" x14ac:dyDescent="0.3">
      <c r="B1749" s="1" t="s">
        <v>52</v>
      </c>
      <c r="C1749" s="4" t="str">
        <f>VLOOKUP(Tabela1[[#This Row],[Cliente]],'BASE DE CLIENTES'!A:E,2,0)</f>
        <v>Brasília</v>
      </c>
      <c r="D1749" s="1" t="str">
        <f>VLOOKUP(Tabela1[[#This Row],[Cliente]],'BASE DE CLIENTES'!A:C,3,0)</f>
        <v>DF</v>
      </c>
      <c r="E1749" s="4" t="str">
        <f>CONCATENATE(Tabela1[[#This Row],[CIDADE]],",",Tabela1[[#This Row],[UF]])</f>
        <v>Brasília,DF</v>
      </c>
      <c r="F1749" s="2">
        <v>45849</v>
      </c>
      <c r="G1749" s="17">
        <v>994</v>
      </c>
      <c r="H1749" s="17">
        <v>1230</v>
      </c>
      <c r="I1749" s="6">
        <f>Tabela1[[#This Row],[Valor total]]-Tabela1[[#This Row],[Valor custo]]</f>
        <v>236</v>
      </c>
      <c r="J1749" s="7">
        <f>Tabela1[[#This Row],[MARGEM BRUTA]]/Tabela1[[#This Row],[Valor total]]</f>
        <v>0.19186991869918699</v>
      </c>
      <c r="K1749" s="1" t="str">
        <f>VLOOKUP(Tabela1[[#This Row],[Cliente]],'BASE DE CLIENTES'!A:D,4,0)</f>
        <v>SERRALHEIRO</v>
      </c>
      <c r="L1749" s="1" t="str">
        <f>VLOOKUP(Tabela1[[#This Row],[Cliente]],'BASE DE CLIENTES'!A:E,5,0)</f>
        <v>Ceilândia Sul (Ceilândia)</v>
      </c>
    </row>
    <row r="1750" spans="1:12" x14ac:dyDescent="0.3">
      <c r="B1750" s="1" t="s">
        <v>70</v>
      </c>
      <c r="C1750" s="4" t="str">
        <f>VLOOKUP(Tabela1[[#This Row],[Cliente]],'BASE DE CLIENTES'!A:E,2,0)</f>
        <v>Brasília</v>
      </c>
      <c r="D1750" s="1" t="str">
        <f>VLOOKUP(Tabela1[[#This Row],[Cliente]],'BASE DE CLIENTES'!A:C,3,0)</f>
        <v>DF</v>
      </c>
      <c r="E1750" s="4" t="str">
        <f>CONCATENATE(Tabela1[[#This Row],[CIDADE]],",",Tabela1[[#This Row],[UF]])</f>
        <v>Brasília,DF</v>
      </c>
      <c r="F1750" s="2">
        <v>45849</v>
      </c>
      <c r="G1750" s="17">
        <v>740</v>
      </c>
      <c r="H1750" s="17">
        <v>1400</v>
      </c>
      <c r="I1750" s="6">
        <f>Tabela1[[#This Row],[Valor total]]-Tabela1[[#This Row],[Valor custo]]</f>
        <v>660</v>
      </c>
      <c r="J1750" s="7">
        <f>Tabela1[[#This Row],[MARGEM BRUTA]]/Tabela1[[#This Row],[Valor total]]</f>
        <v>0.47142857142857142</v>
      </c>
      <c r="K1750" s="1" t="str">
        <f>VLOOKUP(Tabela1[[#This Row],[Cliente]],'BASE DE CLIENTES'!A:D,4,0)</f>
        <v>EMPRESA COM MAQUINA</v>
      </c>
      <c r="L1750" s="1" t="str">
        <f>VLOOKUP(Tabela1[[#This Row],[Cliente]],'BASE DE CLIENTES'!A:E,5,0)</f>
        <v>TAGUATINGA NORTE (TAGUATINGA)</v>
      </c>
    </row>
    <row r="1751" spans="1:12" x14ac:dyDescent="0.3">
      <c r="B1751" s="1" t="s">
        <v>242</v>
      </c>
      <c r="C1751" s="4" t="str">
        <f>VLOOKUP(Tabela1[[#This Row],[Cliente]],'BASE DE CLIENTES'!A:E,2,0)</f>
        <v>Goianira</v>
      </c>
      <c r="D1751" s="1" t="str">
        <f>VLOOKUP(Tabela1[[#This Row],[Cliente]],'BASE DE CLIENTES'!A:C,3,0)</f>
        <v>GO</v>
      </c>
      <c r="E1751" s="4" t="str">
        <f>CONCATENATE(Tabela1[[#This Row],[CIDADE]],",",Tabela1[[#This Row],[UF]])</f>
        <v>Goianira,GO</v>
      </c>
      <c r="F1751" s="2">
        <v>45785</v>
      </c>
      <c r="G1751" s="17">
        <v>250</v>
      </c>
      <c r="H1751" s="17">
        <v>300</v>
      </c>
      <c r="I1751" s="6">
        <f>Tabela1[[#This Row],[Valor total]]-Tabela1[[#This Row],[Valor custo]]</f>
        <v>50</v>
      </c>
      <c r="J1751" s="7">
        <f>Tabela1[[#This Row],[MARGEM BRUTA]]/Tabela1[[#This Row],[Valor total]]</f>
        <v>0.16666666666666666</v>
      </c>
      <c r="K1751" s="1" t="str">
        <f>VLOOKUP(Tabela1[[#This Row],[Cliente]],'BASE DE CLIENTES'!A:D,4,0)</f>
        <v>SEM CLASSIFICAÇÃO</v>
      </c>
      <c r="L1751" s="1" t="str">
        <f>VLOOKUP(Tabela1[[#This Row],[Cliente]],'BASE DE CLIENTES'!A:E,5,0)</f>
        <v>Goianira</v>
      </c>
    </row>
    <row r="1752" spans="1:12" x14ac:dyDescent="0.3">
      <c r="B1752" s="1" t="s">
        <v>248</v>
      </c>
      <c r="C1752" s="4" t="str">
        <f>VLOOKUP(Tabela1[[#This Row],[Cliente]],'BASE DE CLIENTES'!A:E,2,0)</f>
        <v>Brasília</v>
      </c>
      <c r="D1752" s="1" t="str">
        <f>VLOOKUP(Tabela1[[#This Row],[Cliente]],'BASE DE CLIENTES'!A:C,3,0)</f>
        <v>DF</v>
      </c>
      <c r="E1752" s="4" t="str">
        <f>CONCATENATE(Tabela1[[#This Row],[CIDADE]],",",Tabela1[[#This Row],[UF]])</f>
        <v>Brasília,DF</v>
      </c>
      <c r="F1752" s="2">
        <v>45660</v>
      </c>
      <c r="G1752" s="17">
        <v>953.65</v>
      </c>
      <c r="H1752" s="17">
        <v>1365</v>
      </c>
      <c r="I1752" s="6">
        <f>Tabela1[[#This Row],[Valor total]]-Tabela1[[#This Row],[Valor custo]]</f>
        <v>411.35</v>
      </c>
      <c r="J1752" s="7">
        <f>Tabela1[[#This Row],[MARGEM BRUTA]]/Tabela1[[#This Row],[Valor total]]</f>
        <v>0.30135531135531135</v>
      </c>
      <c r="K1752" s="1" t="str">
        <f>VLOOKUP(Tabela1[[#This Row],[Cliente]],'BASE DE CLIENTES'!A:D,4,0)</f>
        <v>SEM CLASSIFICAÇÃO</v>
      </c>
      <c r="L1752" s="1" t="str">
        <f>VLOOKUP(Tabela1[[#This Row],[Cliente]],'BASE DE CLIENTES'!A:E,5,0)</f>
        <v>NA</v>
      </c>
    </row>
    <row r="1753" spans="1:12" x14ac:dyDescent="0.3">
      <c r="B1753" s="1" t="s">
        <v>247</v>
      </c>
      <c r="C1753" s="4" t="str">
        <f>VLOOKUP(Tabela1[[#This Row],[Cliente]],'BASE DE CLIENTES'!A:E,2,0)</f>
        <v>Goianira</v>
      </c>
      <c r="D1753" s="1" t="str">
        <f>VLOOKUP(Tabela1[[#This Row],[Cliente]],'BASE DE CLIENTES'!A:C,3,0)</f>
        <v>GO</v>
      </c>
      <c r="E1753" s="4" t="str">
        <f>CONCATENATE(Tabela1[[#This Row],[CIDADE]],",",Tabela1[[#This Row],[UF]])</f>
        <v>Goianira,GO</v>
      </c>
      <c r="F1753" s="2">
        <v>45783</v>
      </c>
      <c r="G1753" s="17">
        <v>3080</v>
      </c>
      <c r="H1753" s="17">
        <v>4580</v>
      </c>
      <c r="I1753" s="6">
        <f>Tabela1[[#This Row],[Valor total]]-Tabela1[[#This Row],[Valor custo]]</f>
        <v>1500</v>
      </c>
      <c r="J1753" s="7">
        <f>Tabela1[[#This Row],[MARGEM BRUTA]]/Tabela1[[#This Row],[Valor total]]</f>
        <v>0.32751091703056767</v>
      </c>
      <c r="K1753" s="1" t="str">
        <f>VLOOKUP(Tabela1[[#This Row],[Cliente]],'BASE DE CLIENTES'!A:D,4,0)</f>
        <v>EMPRESA SEM MAQUINA</v>
      </c>
      <c r="L1753" s="1" t="str">
        <f>VLOOKUP(Tabela1[[#This Row],[Cliente]],'BASE DE CLIENTES'!A:E,5,0)</f>
        <v>Goianira</v>
      </c>
    </row>
    <row r="1754" spans="1:12" x14ac:dyDescent="0.3">
      <c r="B1754" s="1" t="s">
        <v>242</v>
      </c>
      <c r="C1754" s="4" t="str">
        <f>VLOOKUP(Tabela1[[#This Row],[Cliente]],'BASE DE CLIENTES'!A:E,2,0)</f>
        <v>Goianira</v>
      </c>
      <c r="D1754" s="1" t="str">
        <f>VLOOKUP(Tabela1[[#This Row],[Cliente]],'BASE DE CLIENTES'!A:C,3,0)</f>
        <v>GO</v>
      </c>
      <c r="E1754" s="4" t="str">
        <f>CONCATENATE(Tabela1[[#This Row],[CIDADE]],",",Tabela1[[#This Row],[UF]])</f>
        <v>Goianira,GO</v>
      </c>
      <c r="F1754" s="2">
        <v>45783</v>
      </c>
      <c r="G1754" s="17">
        <v>3080</v>
      </c>
      <c r="H1754" s="17">
        <v>4580</v>
      </c>
      <c r="I1754" s="6">
        <f>Tabela1[[#This Row],[Valor total]]-Tabela1[[#This Row],[Valor custo]]</f>
        <v>1500</v>
      </c>
      <c r="J1754" s="7">
        <f>Tabela1[[#This Row],[MARGEM BRUTA]]/Tabela1[[#This Row],[Valor total]]</f>
        <v>0.32751091703056767</v>
      </c>
      <c r="K1754" s="1" t="str">
        <f>VLOOKUP(Tabela1[[#This Row],[Cliente]],'BASE DE CLIENTES'!A:D,4,0)</f>
        <v>SEM CLASSIFICAÇÃO</v>
      </c>
      <c r="L1754" s="1" t="str">
        <f>VLOOKUP(Tabela1[[#This Row],[Cliente]],'BASE DE CLIENTES'!A:E,5,0)</f>
        <v>Goianira</v>
      </c>
    </row>
    <row r="1755" spans="1:12" x14ac:dyDescent="0.3">
      <c r="B1755" s="1" t="s">
        <v>241</v>
      </c>
      <c r="C1755" s="4" t="str">
        <f>VLOOKUP(Tabela1[[#This Row],[Cliente]],'BASE DE CLIENTES'!A:E,2,0)</f>
        <v>Goianira</v>
      </c>
      <c r="D1755" s="1" t="str">
        <f>VLOOKUP(Tabela1[[#This Row],[Cliente]],'BASE DE CLIENTES'!A:C,3,0)</f>
        <v>GO</v>
      </c>
      <c r="E1755" s="4" t="str">
        <f>CONCATENATE(Tabela1[[#This Row],[CIDADE]],",",Tabela1[[#This Row],[UF]])</f>
        <v>Goianira,GO</v>
      </c>
      <c r="F1755" s="2">
        <v>45782</v>
      </c>
      <c r="G1755" s="17">
        <v>894</v>
      </c>
      <c r="H1755" s="17">
        <v>1230</v>
      </c>
      <c r="I1755" s="6">
        <f>Tabela1[[#This Row],[Valor total]]-Tabela1[[#This Row],[Valor custo]]</f>
        <v>336</v>
      </c>
      <c r="J1755" s="7">
        <f>Tabela1[[#This Row],[MARGEM BRUTA]]/Tabela1[[#This Row],[Valor total]]</f>
        <v>0.27317073170731709</v>
      </c>
      <c r="K1755" s="1" t="str">
        <f>VLOOKUP(Tabela1[[#This Row],[Cliente]],'BASE DE CLIENTES'!A:D,4,0)</f>
        <v>EMPRESA COM MAQUINA</v>
      </c>
      <c r="L1755" s="1" t="str">
        <f>VLOOKUP(Tabela1[[#This Row],[Cliente]],'BASE DE CLIENTES'!A:E,5,0)</f>
        <v>Goianira</v>
      </c>
    </row>
    <row r="1756" spans="1:12" x14ac:dyDescent="0.3">
      <c r="B1756" s="1" t="s">
        <v>242</v>
      </c>
      <c r="C1756" s="4" t="str">
        <f>VLOOKUP(Tabela1[[#This Row],[Cliente]],'BASE DE CLIENTES'!A:E,2,0)</f>
        <v>Goianira</v>
      </c>
      <c r="D1756" s="1" t="str">
        <f>VLOOKUP(Tabela1[[#This Row],[Cliente]],'BASE DE CLIENTES'!A:C,3,0)</f>
        <v>GO</v>
      </c>
      <c r="E1756" s="4" t="str">
        <f>CONCATENATE(Tabela1[[#This Row],[CIDADE]],",",Tabela1[[#This Row],[UF]])</f>
        <v>Goianira,GO</v>
      </c>
      <c r="F1756" s="2">
        <v>45779</v>
      </c>
      <c r="G1756" s="17">
        <v>521</v>
      </c>
      <c r="H1756" s="17">
        <v>810</v>
      </c>
      <c r="I1756" s="6">
        <f>Tabela1[[#This Row],[Valor total]]-Tabela1[[#This Row],[Valor custo]]</f>
        <v>289</v>
      </c>
      <c r="J1756" s="7">
        <f>Tabela1[[#This Row],[MARGEM BRUTA]]/Tabela1[[#This Row],[Valor total]]</f>
        <v>0.35679012345679012</v>
      </c>
      <c r="K1756" s="1" t="str">
        <f>VLOOKUP(Tabela1[[#This Row],[Cliente]],'BASE DE CLIENTES'!A:D,4,0)</f>
        <v>SEM CLASSIFICAÇÃO</v>
      </c>
      <c r="L1756" s="1" t="str">
        <f>VLOOKUP(Tabela1[[#This Row],[Cliente]],'BASE DE CLIENTES'!A:E,5,0)</f>
        <v>Goianira</v>
      </c>
    </row>
    <row r="1757" spans="1:12" x14ac:dyDescent="0.3">
      <c r="B1757" s="1" t="s">
        <v>55</v>
      </c>
      <c r="C1757" s="4" t="str">
        <f>VLOOKUP(Tabela1[[#This Row],[Cliente]],'BASE DE CLIENTES'!A:E,2,0)</f>
        <v>Brasília</v>
      </c>
      <c r="D1757" s="1" t="str">
        <f>VLOOKUP(Tabela1[[#This Row],[Cliente]],'BASE DE CLIENTES'!A:C,3,0)</f>
        <v>DF</v>
      </c>
      <c r="E1757" s="4" t="str">
        <f>CONCATENATE(Tabela1[[#This Row],[CIDADE]],",",Tabela1[[#This Row],[UF]])</f>
        <v>Brasília,DF</v>
      </c>
      <c r="F1757" s="2">
        <v>45848</v>
      </c>
      <c r="G1757" s="17">
        <v>2524</v>
      </c>
      <c r="H1757" s="17">
        <v>3900</v>
      </c>
      <c r="I1757" s="6">
        <f>Tabela1[[#This Row],[Valor total]]-Tabela1[[#This Row],[Valor custo]]</f>
        <v>1376</v>
      </c>
      <c r="J1757" s="7">
        <f>Tabela1[[#This Row],[MARGEM BRUTA]]/Tabela1[[#This Row],[Valor total]]</f>
        <v>0.3528205128205128</v>
      </c>
      <c r="K1757" s="1" t="str">
        <f>VLOOKUP(Tabela1[[#This Row],[Cliente]],'BASE DE CLIENTES'!A:D,4,0)</f>
        <v>EMPRESA SEM MAQUINA</v>
      </c>
      <c r="L1757" s="1" t="str">
        <f>VLOOKUP(Tabela1[[#This Row],[Cliente]],'BASE DE CLIENTES'!A:E,5,0)</f>
        <v>RECANTO DAS EMAS</v>
      </c>
    </row>
    <row r="1758" spans="1:12" x14ac:dyDescent="0.3">
      <c r="B1758" s="1" t="s">
        <v>247</v>
      </c>
      <c r="C1758" s="4" t="str">
        <f>VLOOKUP(Tabela1[[#This Row],[Cliente]],'BASE DE CLIENTES'!A:E,2,0)</f>
        <v>Goianira</v>
      </c>
      <c r="D1758" s="1" t="str">
        <f>VLOOKUP(Tabela1[[#This Row],[Cliente]],'BASE DE CLIENTES'!A:C,3,0)</f>
        <v>GO</v>
      </c>
      <c r="E1758" s="4" t="str">
        <f>CONCATENATE(Tabela1[[#This Row],[CIDADE]],",",Tabela1[[#This Row],[UF]])</f>
        <v>Goianira,GO</v>
      </c>
      <c r="F1758" s="2">
        <v>45834</v>
      </c>
      <c r="G1758" s="17">
        <v>3575</v>
      </c>
      <c r="H1758" s="17">
        <v>5490</v>
      </c>
      <c r="I1758" s="6">
        <f>Tabela1[[#This Row],[Valor total]]-Tabela1[[#This Row],[Valor custo]]</f>
        <v>1915</v>
      </c>
      <c r="J1758" s="7">
        <f>Tabela1[[#This Row],[MARGEM BRUTA]]/Tabela1[[#This Row],[Valor total]]</f>
        <v>0.34881602914389798</v>
      </c>
      <c r="K1758" s="1" t="str">
        <f>VLOOKUP(Tabela1[[#This Row],[Cliente]],'BASE DE CLIENTES'!A:D,4,0)</f>
        <v>EMPRESA SEM MAQUINA</v>
      </c>
      <c r="L1758" s="1" t="str">
        <f>VLOOKUP(Tabela1[[#This Row],[Cliente]],'BASE DE CLIENTES'!A:E,5,0)</f>
        <v>Goianira</v>
      </c>
    </row>
    <row r="1759" spans="1:12" x14ac:dyDescent="0.3">
      <c r="B1759" s="1" t="s">
        <v>27</v>
      </c>
      <c r="C1759" s="4" t="str">
        <f>VLOOKUP(Tabela1[[#This Row],[Cliente]],'BASE DE CLIENTES'!A:E,2,0)</f>
        <v>Brasília</v>
      </c>
      <c r="D1759" s="1" t="str">
        <f>VLOOKUP(Tabela1[[#This Row],[Cliente]],'BASE DE CLIENTES'!A:C,3,0)</f>
        <v>DF</v>
      </c>
      <c r="E1759" s="4" t="str">
        <f>CONCATENATE(Tabela1[[#This Row],[CIDADE]],",",Tabela1[[#This Row],[UF]])</f>
        <v>Brasília,DF</v>
      </c>
      <c r="F1759" s="2">
        <v>45848</v>
      </c>
      <c r="G1759" s="17">
        <v>1341</v>
      </c>
      <c r="H1759" s="17">
        <v>1630</v>
      </c>
      <c r="I1759" s="6">
        <f>Tabela1[[#This Row],[Valor total]]-Tabela1[[#This Row],[Valor custo]]</f>
        <v>289</v>
      </c>
      <c r="J1759" s="7">
        <f>Tabela1[[#This Row],[MARGEM BRUTA]]/Tabela1[[#This Row],[Valor total]]</f>
        <v>0.17730061349693252</v>
      </c>
      <c r="K1759" s="1" t="str">
        <f>VLOOKUP(Tabela1[[#This Row],[Cliente]],'BASE DE CLIENTES'!A:D,4,0)</f>
        <v>EMPRESA SEM MAQUINA</v>
      </c>
      <c r="L1759" s="1" t="str">
        <f>VLOOKUP(Tabela1[[#This Row],[Cliente]],'BASE DE CLIENTES'!A:E,5,0)</f>
        <v>RECANTO DAS EMAS</v>
      </c>
    </row>
    <row r="1760" spans="1:12" x14ac:dyDescent="0.3">
      <c r="B1760" s="1" t="s">
        <v>98</v>
      </c>
      <c r="C1760" s="4" t="str">
        <f>VLOOKUP(Tabela1[[#This Row],[Cliente]],'BASE DE CLIENTES'!A:E,2,0)</f>
        <v>Brasília</v>
      </c>
      <c r="D1760" s="1" t="str">
        <f>VLOOKUP(Tabela1[[#This Row],[Cliente]],'BASE DE CLIENTES'!A:C,3,0)</f>
        <v>DF</v>
      </c>
      <c r="E1760" s="4" t="str">
        <f>CONCATENATE(Tabela1[[#This Row],[CIDADE]],",",Tabela1[[#This Row],[UF]])</f>
        <v>Brasília,DF</v>
      </c>
      <c r="F1760" s="2">
        <v>45848</v>
      </c>
      <c r="G1760" s="17">
        <v>536.79999999999995</v>
      </c>
      <c r="H1760" s="17">
        <v>800</v>
      </c>
      <c r="I1760" s="6">
        <f>Tabela1[[#This Row],[Valor total]]-Tabela1[[#This Row],[Valor custo]]</f>
        <v>263.20000000000005</v>
      </c>
      <c r="J1760" s="7">
        <f>Tabela1[[#This Row],[MARGEM BRUTA]]/Tabela1[[#This Row],[Valor total]]</f>
        <v>0.32900000000000007</v>
      </c>
      <c r="K1760" s="1" t="str">
        <f>VLOOKUP(Tabela1[[#This Row],[Cliente]],'BASE DE CLIENTES'!A:D,4,0)</f>
        <v>SERRALHEIRO</v>
      </c>
      <c r="L1760" s="1" t="str">
        <f>VLOOKUP(Tabela1[[#This Row],[Cliente]],'BASE DE CLIENTES'!A:E,5,0)</f>
        <v>SANTA MARIA</v>
      </c>
    </row>
    <row r="1761" spans="2:12" x14ac:dyDescent="0.3">
      <c r="B1761" s="1" t="s">
        <v>108</v>
      </c>
      <c r="C1761" s="4" t="str">
        <f>VLOOKUP(Tabela1[[#This Row],[Cliente]],'BASE DE CLIENTES'!A:E,2,0)</f>
        <v>Brasília</v>
      </c>
      <c r="D1761" s="1" t="str">
        <f>VLOOKUP(Tabela1[[#This Row],[Cliente]],'BASE DE CLIENTES'!A:C,3,0)</f>
        <v>DF</v>
      </c>
      <c r="E1761" s="4" t="str">
        <f>CONCATENATE(Tabela1[[#This Row],[CIDADE]],",",Tabela1[[#This Row],[UF]])</f>
        <v>Brasília,DF</v>
      </c>
      <c r="F1761" s="2">
        <v>45848</v>
      </c>
      <c r="G1761" s="17">
        <v>79</v>
      </c>
      <c r="H1761" s="17">
        <v>300</v>
      </c>
      <c r="I1761" s="6">
        <f>Tabela1[[#This Row],[Valor total]]-Tabela1[[#This Row],[Valor custo]]</f>
        <v>221</v>
      </c>
      <c r="J1761" s="7">
        <f>Tabela1[[#This Row],[MARGEM BRUTA]]/Tabela1[[#This Row],[Valor total]]</f>
        <v>0.73666666666666669</v>
      </c>
      <c r="K1761" s="1" t="str">
        <f>VLOOKUP(Tabela1[[#This Row],[Cliente]],'BASE DE CLIENTES'!A:D,4,0)</f>
        <v>SERRALHEIRO</v>
      </c>
      <c r="L1761" s="1" t="str">
        <f>VLOOKUP(Tabela1[[#This Row],[Cliente]],'BASE DE CLIENTES'!A:E,5,0)</f>
        <v>Vila Planalto</v>
      </c>
    </row>
    <row r="1762" spans="2:12" x14ac:dyDescent="0.3">
      <c r="B1762" s="1" t="s">
        <v>15</v>
      </c>
      <c r="C1762" s="4" t="str">
        <f>VLOOKUP(Tabela1[[#This Row],[Cliente]],'BASE DE CLIENTES'!A:E,2,0)</f>
        <v>Brasília</v>
      </c>
      <c r="D1762" s="1" t="str">
        <f>VLOOKUP(Tabela1[[#This Row],[Cliente]],'BASE DE CLIENTES'!A:C,3,0)</f>
        <v>DF</v>
      </c>
      <c r="E1762" s="4" t="str">
        <f>CONCATENATE(Tabela1[[#This Row],[CIDADE]],",",Tabela1[[#This Row],[UF]])</f>
        <v>Brasília,DF</v>
      </c>
      <c r="F1762" s="2">
        <v>45848</v>
      </c>
      <c r="G1762" s="17">
        <v>527.11</v>
      </c>
      <c r="H1762" s="17">
        <v>771.04</v>
      </c>
      <c r="I1762" s="6">
        <f>Tabela1[[#This Row],[Valor total]]-Tabela1[[#This Row],[Valor custo]]</f>
        <v>243.92999999999995</v>
      </c>
      <c r="J1762" s="7">
        <f>Tabela1[[#This Row],[MARGEM BRUTA]]/Tabela1[[#This Row],[Valor total]]</f>
        <v>0.31636490973230957</v>
      </c>
      <c r="K1762" s="1" t="str">
        <f>VLOOKUP(Tabela1[[#This Row],[Cliente]],'BASE DE CLIENTES'!A:D,4,0)</f>
        <v>SERRALHEIRO</v>
      </c>
      <c r="L1762" s="1" t="str">
        <f>VLOOKUP(Tabela1[[#This Row],[Cliente]],'BASE DE CLIENTES'!A:E,5,0)</f>
        <v>SETOR HABITACIONAL VICENTE PIRES</v>
      </c>
    </row>
    <row r="1763" spans="2:12" x14ac:dyDescent="0.3">
      <c r="B1763" s="1" t="s">
        <v>161</v>
      </c>
      <c r="C1763" s="4" t="str">
        <f>VLOOKUP(Tabela1[[#This Row],[Cliente]],'BASE DE CLIENTES'!A:E,2,0)</f>
        <v>Brasília</v>
      </c>
      <c r="D1763" s="1" t="str">
        <f>VLOOKUP(Tabela1[[#This Row],[Cliente]],'BASE DE CLIENTES'!A:C,3,0)</f>
        <v>DF</v>
      </c>
      <c r="E1763" s="4" t="str">
        <f>CONCATENATE(Tabela1[[#This Row],[CIDADE]],",",Tabela1[[#This Row],[UF]])</f>
        <v>Brasília,DF</v>
      </c>
      <c r="F1763" s="2">
        <v>45847</v>
      </c>
      <c r="G1763" s="17">
        <v>622.74</v>
      </c>
      <c r="H1763" s="17">
        <v>760</v>
      </c>
      <c r="I1763" s="6">
        <f>Tabela1[[#This Row],[Valor total]]-Tabela1[[#This Row],[Valor custo]]</f>
        <v>137.26</v>
      </c>
      <c r="J1763" s="7">
        <f>Tabela1[[#This Row],[MARGEM BRUTA]]/Tabela1[[#This Row],[Valor total]]</f>
        <v>0.18060526315789471</v>
      </c>
      <c r="K1763" s="1" t="str">
        <f>VLOOKUP(Tabela1[[#This Row],[Cliente]],'BASE DE CLIENTES'!A:D,4,0)</f>
        <v>EMPRESA COM MAQUINA</v>
      </c>
      <c r="L1763" s="1" t="str">
        <f>VLOOKUP(Tabela1[[#This Row],[Cliente]],'BASE DE CLIENTES'!A:E,5,0)</f>
        <v>RIACHO FUNDO II</v>
      </c>
    </row>
    <row r="1764" spans="2:12" x14ac:dyDescent="0.3">
      <c r="B1764" s="1" t="s">
        <v>247</v>
      </c>
      <c r="C1764" s="4" t="str">
        <f>VLOOKUP(Tabela1[[#This Row],[Cliente]],'BASE DE CLIENTES'!A:E,2,0)</f>
        <v>Goianira</v>
      </c>
      <c r="D1764" s="1" t="str">
        <f>VLOOKUP(Tabela1[[#This Row],[Cliente]],'BASE DE CLIENTES'!A:C,3,0)</f>
        <v>GO</v>
      </c>
      <c r="E1764" s="4" t="str">
        <f>CONCATENATE(Tabela1[[#This Row],[CIDADE]],",",Tabela1[[#This Row],[UF]])</f>
        <v>Goianira,GO</v>
      </c>
      <c r="F1764" s="2">
        <v>45832</v>
      </c>
      <c r="G1764" s="17">
        <v>5138</v>
      </c>
      <c r="H1764" s="17">
        <v>7920</v>
      </c>
      <c r="I1764" s="6">
        <f>Tabela1[[#This Row],[Valor total]]-Tabela1[[#This Row],[Valor custo]]</f>
        <v>2782</v>
      </c>
      <c r="J1764" s="7">
        <f>Tabela1[[#This Row],[MARGEM BRUTA]]/Tabela1[[#This Row],[Valor total]]</f>
        <v>0.35126262626262628</v>
      </c>
      <c r="K1764" s="1" t="str">
        <f>VLOOKUP(Tabela1[[#This Row],[Cliente]],'BASE DE CLIENTES'!A:D,4,0)</f>
        <v>EMPRESA SEM MAQUINA</v>
      </c>
      <c r="L1764" s="1" t="str">
        <f>VLOOKUP(Tabela1[[#This Row],[Cliente]],'BASE DE CLIENTES'!A:E,5,0)</f>
        <v>Goianira</v>
      </c>
    </row>
    <row r="1765" spans="2:12" x14ac:dyDescent="0.3">
      <c r="B1765" s="1" t="s">
        <v>68</v>
      </c>
      <c r="C1765" s="4" t="str">
        <f>VLOOKUP(Tabela1[[#This Row],[Cliente]],'BASE DE CLIENTES'!A:E,2,0)</f>
        <v>Brasília</v>
      </c>
      <c r="D1765" s="1" t="str">
        <f>VLOOKUP(Tabela1[[#This Row],[Cliente]],'BASE DE CLIENTES'!A:C,3,0)</f>
        <v>DF</v>
      </c>
      <c r="E1765" s="4" t="str">
        <f>CONCATENATE(Tabela1[[#This Row],[CIDADE]],",",Tabela1[[#This Row],[UF]])</f>
        <v>Brasília,DF</v>
      </c>
      <c r="F1765" s="2">
        <v>45847</v>
      </c>
      <c r="G1765" s="17">
        <v>199.14</v>
      </c>
      <c r="H1765" s="17">
        <v>255</v>
      </c>
      <c r="I1765" s="6">
        <f>Tabela1[[#This Row],[Valor total]]-Tabela1[[#This Row],[Valor custo]]</f>
        <v>55.860000000000014</v>
      </c>
      <c r="J1765" s="7">
        <f>Tabela1[[#This Row],[MARGEM BRUTA]]/Tabela1[[#This Row],[Valor total]]</f>
        <v>0.21905882352941181</v>
      </c>
      <c r="K1765" s="1" t="str">
        <f>VLOOKUP(Tabela1[[#This Row],[Cliente]],'BASE DE CLIENTES'!A:D,4,0)</f>
        <v>EMPRESA COM MAQUINA</v>
      </c>
      <c r="L1765" s="1" t="str">
        <f>VLOOKUP(Tabela1[[#This Row],[Cliente]],'BASE DE CLIENTES'!A:E,5,0)</f>
        <v>SAMAMBAIA SUL (SAMAMBAIA)</v>
      </c>
    </row>
    <row r="1766" spans="2:12" x14ac:dyDescent="0.3">
      <c r="B1766" s="1" t="s">
        <v>99</v>
      </c>
      <c r="C1766" s="4" t="str">
        <f>VLOOKUP(Tabela1[[#This Row],[Cliente]],'BASE DE CLIENTES'!A:E,2,0)</f>
        <v>Brasília</v>
      </c>
      <c r="D1766" s="1" t="str">
        <f>VLOOKUP(Tabela1[[#This Row],[Cliente]],'BASE DE CLIENTES'!A:C,3,0)</f>
        <v>DF</v>
      </c>
      <c r="E1766" s="4" t="str">
        <f>CONCATENATE(Tabela1[[#This Row],[CIDADE]],",",Tabela1[[#This Row],[UF]])</f>
        <v>Brasília,DF</v>
      </c>
      <c r="F1766" s="2">
        <v>45847</v>
      </c>
      <c r="G1766" s="17">
        <v>2062</v>
      </c>
      <c r="H1766" s="17">
        <v>3180</v>
      </c>
      <c r="I1766" s="6">
        <f>Tabela1[[#This Row],[Valor total]]-Tabela1[[#This Row],[Valor custo]]</f>
        <v>1118</v>
      </c>
      <c r="J1766" s="7">
        <f>Tabela1[[#This Row],[MARGEM BRUTA]]/Tabela1[[#This Row],[Valor total]]</f>
        <v>0.35157232704402513</v>
      </c>
      <c r="K1766" s="1" t="str">
        <f>VLOOKUP(Tabela1[[#This Row],[Cliente]],'BASE DE CLIENTES'!A:D,4,0)</f>
        <v>EMPRESA COM MAQUINA</v>
      </c>
      <c r="L1766" s="1" t="str">
        <f>VLOOKUP(Tabela1[[#This Row],[Cliente]],'BASE DE CLIENTES'!A:E,5,0)</f>
        <v>ARAPOANGA (PLANALTINA)</v>
      </c>
    </row>
    <row r="1767" spans="2:12" x14ac:dyDescent="0.3">
      <c r="B1767" s="1" t="s">
        <v>247</v>
      </c>
      <c r="C1767" s="4" t="str">
        <f>VLOOKUP(Tabela1[[#This Row],[Cliente]],'BASE DE CLIENTES'!A:E,2,0)</f>
        <v>Goianira</v>
      </c>
      <c r="D1767" s="1" t="str">
        <f>VLOOKUP(Tabela1[[#This Row],[Cliente]],'BASE DE CLIENTES'!A:C,3,0)</f>
        <v>GO</v>
      </c>
      <c r="E1767" s="4" t="str">
        <f>CONCATENATE(Tabela1[[#This Row],[CIDADE]],",",Tabela1[[#This Row],[UF]])</f>
        <v>Goianira,GO</v>
      </c>
      <c r="F1767" s="2">
        <v>45827</v>
      </c>
      <c r="G1767" s="17">
        <v>1231</v>
      </c>
      <c r="H1767" s="17">
        <v>1960</v>
      </c>
      <c r="I1767" s="6">
        <f>Tabela1[[#This Row],[Valor total]]-Tabela1[[#This Row],[Valor custo]]</f>
        <v>729</v>
      </c>
      <c r="J1767" s="7">
        <f>Tabela1[[#This Row],[MARGEM BRUTA]]/Tabela1[[#This Row],[Valor total]]</f>
        <v>0.3719387755102041</v>
      </c>
      <c r="K1767" s="1" t="str">
        <f>VLOOKUP(Tabela1[[#This Row],[Cliente]],'BASE DE CLIENTES'!A:D,4,0)</f>
        <v>EMPRESA SEM MAQUINA</v>
      </c>
      <c r="L1767" s="1" t="str">
        <f>VLOOKUP(Tabela1[[#This Row],[Cliente]],'BASE DE CLIENTES'!A:E,5,0)</f>
        <v>Goianira</v>
      </c>
    </row>
    <row r="1768" spans="2:12" x14ac:dyDescent="0.3">
      <c r="B1768" s="1" t="s">
        <v>88</v>
      </c>
      <c r="C1768" s="4" t="str">
        <f>VLOOKUP(Tabela1[[#This Row],[Cliente]],'BASE DE CLIENTES'!A:E,2,0)</f>
        <v>Brasília</v>
      </c>
      <c r="D1768" s="1" t="str">
        <f>VLOOKUP(Tabela1[[#This Row],[Cliente]],'BASE DE CLIENTES'!A:C,3,0)</f>
        <v>DF</v>
      </c>
      <c r="E1768" s="4" t="str">
        <f>CONCATENATE(Tabela1[[#This Row],[CIDADE]],",",Tabela1[[#This Row],[UF]])</f>
        <v>Brasília,DF</v>
      </c>
      <c r="F1768" s="2">
        <v>45847</v>
      </c>
      <c r="G1768" s="17">
        <v>3129</v>
      </c>
      <c r="H1768" s="17">
        <v>4350</v>
      </c>
      <c r="I1768" s="6">
        <f>Tabela1[[#This Row],[Valor total]]-Tabela1[[#This Row],[Valor custo]]</f>
        <v>1221</v>
      </c>
      <c r="J1768" s="7">
        <f>Tabela1[[#This Row],[MARGEM BRUTA]]/Tabela1[[#This Row],[Valor total]]</f>
        <v>0.28068965517241379</v>
      </c>
      <c r="K1768" s="1" t="str">
        <f>VLOOKUP(Tabela1[[#This Row],[Cliente]],'BASE DE CLIENTES'!A:D,4,0)</f>
        <v>SERRALHEIRO</v>
      </c>
      <c r="L1768" s="1" t="str">
        <f>VLOOKUP(Tabela1[[#This Row],[Cliente]],'BASE DE CLIENTES'!A:E,5,0)</f>
        <v>RECANTO DAS EMAS</v>
      </c>
    </row>
    <row r="1769" spans="2:12" x14ac:dyDescent="0.3">
      <c r="B1769" s="1" t="s">
        <v>165</v>
      </c>
      <c r="C1769" s="4" t="str">
        <f>VLOOKUP(Tabela1[[#This Row],[Cliente]],'BASE DE CLIENTES'!A:E,2,0)</f>
        <v>Brasília</v>
      </c>
      <c r="D1769" s="1" t="str">
        <f>VLOOKUP(Tabela1[[#This Row],[Cliente]],'BASE DE CLIENTES'!A:C,3,0)</f>
        <v>DF</v>
      </c>
      <c r="E1769" s="4" t="str">
        <f>CONCATENATE(Tabela1[[#This Row],[CIDADE]],",",Tabela1[[#This Row],[UF]])</f>
        <v>Brasília,DF</v>
      </c>
      <c r="F1769" s="2">
        <v>45847</v>
      </c>
      <c r="G1769" s="17">
        <v>732.9</v>
      </c>
      <c r="H1769" s="17">
        <v>1320</v>
      </c>
      <c r="I1769" s="6">
        <f>Tabela1[[#This Row],[Valor total]]-Tabela1[[#This Row],[Valor custo]]</f>
        <v>587.1</v>
      </c>
      <c r="J1769" s="7">
        <f>Tabela1[[#This Row],[MARGEM BRUTA]]/Tabela1[[#This Row],[Valor total]]</f>
        <v>0.44477272727272726</v>
      </c>
      <c r="K1769" s="1" t="str">
        <f>VLOOKUP(Tabela1[[#This Row],[Cliente]],'BASE DE CLIENTES'!A:D,4,0)</f>
        <v>EMPRESA SEM MAQUINA</v>
      </c>
      <c r="L1769" s="1" t="str">
        <f>VLOOKUP(Tabela1[[#This Row],[Cliente]],'BASE DE CLIENTES'!A:E,5,0)</f>
        <v>SETOR HABITACIONAL VICENTE PIRES</v>
      </c>
    </row>
    <row r="1770" spans="2:12" x14ac:dyDescent="0.3">
      <c r="B1770" s="1" t="s">
        <v>241</v>
      </c>
      <c r="C1770" s="4" t="str">
        <f>VLOOKUP(Tabela1[[#This Row],[Cliente]],'BASE DE CLIENTES'!A:E,2,0)</f>
        <v>Goianira</v>
      </c>
      <c r="D1770" s="1" t="str">
        <f>VLOOKUP(Tabela1[[#This Row],[Cliente]],'BASE DE CLIENTES'!A:C,3,0)</f>
        <v>GO</v>
      </c>
      <c r="E1770" s="4" t="str">
        <f>CONCATENATE(Tabela1[[#This Row],[CIDADE]],",",Tabela1[[#This Row],[UF]])</f>
        <v>Goianira,GO</v>
      </c>
      <c r="F1770" s="2">
        <v>45825</v>
      </c>
      <c r="G1770" s="17">
        <v>1474.5</v>
      </c>
      <c r="H1770" s="17">
        <v>7000</v>
      </c>
      <c r="I1770" s="6">
        <f>Tabela1[[#This Row],[Valor total]]-Tabela1[[#This Row],[Valor custo]]</f>
        <v>5525.5</v>
      </c>
      <c r="J1770" s="7">
        <f>Tabela1[[#This Row],[MARGEM BRUTA]]/Tabela1[[#This Row],[Valor total]]</f>
        <v>0.78935714285714287</v>
      </c>
      <c r="K1770" s="1" t="str">
        <f>VLOOKUP(Tabela1[[#This Row],[Cliente]],'BASE DE CLIENTES'!A:D,4,0)</f>
        <v>EMPRESA COM MAQUINA</v>
      </c>
      <c r="L1770" s="1" t="str">
        <f>VLOOKUP(Tabela1[[#This Row],[Cliente]],'BASE DE CLIENTES'!A:E,5,0)</f>
        <v>Goianira</v>
      </c>
    </row>
    <row r="1771" spans="2:12" x14ac:dyDescent="0.3">
      <c r="B1771" s="1" t="s">
        <v>242</v>
      </c>
      <c r="C1771" s="4" t="str">
        <f>VLOOKUP(Tabela1[[#This Row],[Cliente]],'BASE DE CLIENTES'!A:E,2,0)</f>
        <v>Goianira</v>
      </c>
      <c r="D1771" s="1" t="str">
        <f>VLOOKUP(Tabela1[[#This Row],[Cliente]],'BASE DE CLIENTES'!A:C,3,0)</f>
        <v>GO</v>
      </c>
      <c r="E1771" s="4" t="str">
        <f>CONCATENATE(Tabela1[[#This Row],[CIDADE]],",",Tabela1[[#This Row],[UF]])</f>
        <v>Goianira,GO</v>
      </c>
      <c r="F1771" s="2">
        <v>45818</v>
      </c>
      <c r="G1771" s="17">
        <v>1042</v>
      </c>
      <c r="H1771" s="17">
        <v>1620</v>
      </c>
      <c r="I1771" s="6">
        <f>Tabela1[[#This Row],[Valor total]]-Tabela1[[#This Row],[Valor custo]]</f>
        <v>578</v>
      </c>
      <c r="J1771" s="7">
        <f>Tabela1[[#This Row],[MARGEM BRUTA]]/Tabela1[[#This Row],[Valor total]]</f>
        <v>0.35679012345679012</v>
      </c>
      <c r="K1771" s="1" t="str">
        <f>VLOOKUP(Tabela1[[#This Row],[Cliente]],'BASE DE CLIENTES'!A:D,4,0)</f>
        <v>SEM CLASSIFICAÇÃO</v>
      </c>
      <c r="L1771" s="1" t="str">
        <f>VLOOKUP(Tabela1[[#This Row],[Cliente]],'BASE DE CLIENTES'!A:E,5,0)</f>
        <v>Goianira</v>
      </c>
    </row>
    <row r="1772" spans="2:12" x14ac:dyDescent="0.3">
      <c r="B1772" s="1" t="s">
        <v>96</v>
      </c>
      <c r="C1772" s="4" t="str">
        <f>VLOOKUP(Tabela1[[#This Row],[Cliente]],'BASE DE CLIENTES'!A:E,2,0)</f>
        <v>Brasília</v>
      </c>
      <c r="D1772" s="1" t="str">
        <f>VLOOKUP(Tabela1[[#This Row],[Cliente]],'BASE DE CLIENTES'!A:C,3,0)</f>
        <v>DF</v>
      </c>
      <c r="E1772" s="4" t="str">
        <f>CONCATENATE(Tabela1[[#This Row],[CIDADE]],",",Tabela1[[#This Row],[UF]])</f>
        <v>Brasília,DF</v>
      </c>
      <c r="F1772" s="2">
        <v>45847</v>
      </c>
      <c r="G1772" s="17">
        <v>42</v>
      </c>
      <c r="H1772" s="17">
        <v>55</v>
      </c>
      <c r="I1772" s="6">
        <f>Tabela1[[#This Row],[Valor total]]-Tabela1[[#This Row],[Valor custo]]</f>
        <v>13</v>
      </c>
      <c r="J1772" s="7">
        <f>Tabela1[[#This Row],[MARGEM BRUTA]]/Tabela1[[#This Row],[Valor total]]</f>
        <v>0.23636363636363636</v>
      </c>
      <c r="K1772" s="1" t="str">
        <f>VLOOKUP(Tabela1[[#This Row],[Cliente]],'BASE DE CLIENTES'!A:D,4,0)</f>
        <v>EMPRESA SEM MAQUINA</v>
      </c>
      <c r="L1772" s="1" t="str">
        <f>VLOOKUP(Tabela1[[#This Row],[Cliente]],'BASE DE CLIENTES'!A:E,5,0)</f>
        <v>CEILANDIA NORTE (CEILANDIA)</v>
      </c>
    </row>
    <row r="1773" spans="2:12" x14ac:dyDescent="0.3">
      <c r="B1773" s="1" t="s">
        <v>247</v>
      </c>
      <c r="C1773" s="4" t="str">
        <f>VLOOKUP(Tabela1[[#This Row],[Cliente]],'BASE DE CLIENTES'!A:E,2,0)</f>
        <v>Goianira</v>
      </c>
      <c r="D1773" s="1" t="str">
        <f>VLOOKUP(Tabela1[[#This Row],[Cliente]],'BASE DE CLIENTES'!A:C,3,0)</f>
        <v>GO</v>
      </c>
      <c r="E1773" s="4" t="str">
        <f>CONCATENATE(Tabela1[[#This Row],[CIDADE]],",",Tabela1[[#This Row],[UF]])</f>
        <v>Goianira,GO</v>
      </c>
      <c r="F1773" s="2">
        <v>45810</v>
      </c>
      <c r="G1773" s="17">
        <v>1119.21</v>
      </c>
      <c r="H1773" s="17">
        <v>1605</v>
      </c>
      <c r="I1773" s="6">
        <f>Tabela1[[#This Row],[Valor total]]-Tabela1[[#This Row],[Valor custo]]</f>
        <v>485.78999999999996</v>
      </c>
      <c r="J1773" s="7">
        <f>Tabela1[[#This Row],[MARGEM BRUTA]]/Tabela1[[#This Row],[Valor total]]</f>
        <v>0.30267289719626167</v>
      </c>
      <c r="K1773" s="1" t="str">
        <f>VLOOKUP(Tabela1[[#This Row],[Cliente]],'BASE DE CLIENTES'!A:D,4,0)</f>
        <v>EMPRESA SEM MAQUINA</v>
      </c>
      <c r="L1773" s="1" t="str">
        <f>VLOOKUP(Tabela1[[#This Row],[Cliente]],'BASE DE CLIENTES'!A:E,5,0)</f>
        <v>Goianira</v>
      </c>
    </row>
    <row r="1774" spans="2:12" x14ac:dyDescent="0.3">
      <c r="B1774" s="1" t="s">
        <v>247</v>
      </c>
      <c r="C1774" s="4" t="str">
        <f>VLOOKUP(Tabela1[[#This Row],[Cliente]],'BASE DE CLIENTES'!A:E,2,0)</f>
        <v>Goianira</v>
      </c>
      <c r="D1774" s="1" t="str">
        <f>VLOOKUP(Tabela1[[#This Row],[Cliente]],'BASE DE CLIENTES'!A:C,3,0)</f>
        <v>GO</v>
      </c>
      <c r="E1774" s="4" t="str">
        <f>CONCATENATE(Tabela1[[#This Row],[CIDADE]],",",Tabela1[[#This Row],[UF]])</f>
        <v>Goianira,GO</v>
      </c>
      <c r="F1774" s="2">
        <v>45853</v>
      </c>
      <c r="G1774" s="17">
        <v>6163.3</v>
      </c>
      <c r="H1774" s="17">
        <v>11003</v>
      </c>
      <c r="I1774" s="6">
        <f>Tabela1[[#This Row],[Valor total]]-Tabela1[[#This Row],[Valor custo]]</f>
        <v>4839.7</v>
      </c>
      <c r="J1774" s="7">
        <f>Tabela1[[#This Row],[MARGEM BRUTA]]/Tabela1[[#This Row],[Valor total]]</f>
        <v>0.43985276742706531</v>
      </c>
      <c r="K1774" s="1" t="str">
        <f>VLOOKUP(Tabela1[[#This Row],[Cliente]],'BASE DE CLIENTES'!A:D,4,0)</f>
        <v>EMPRESA SEM MAQUINA</v>
      </c>
      <c r="L1774" s="1" t="str">
        <f>VLOOKUP(Tabela1[[#This Row],[Cliente]],'BASE DE CLIENTES'!A:E,5,0)</f>
        <v>Goianira</v>
      </c>
    </row>
    <row r="1775" spans="2:12" x14ac:dyDescent="0.3">
      <c r="B1775" s="1" t="s">
        <v>241</v>
      </c>
      <c r="C1775" s="4" t="str">
        <f>VLOOKUP(Tabela1[[#This Row],[Cliente]],'BASE DE CLIENTES'!A:E,2,0)</f>
        <v>Goianira</v>
      </c>
      <c r="D1775" s="1" t="str">
        <f>VLOOKUP(Tabela1[[#This Row],[Cliente]],'BASE DE CLIENTES'!A:C,3,0)</f>
        <v>GO</v>
      </c>
      <c r="E1775" s="4" t="str">
        <f>CONCATENATE(Tabela1[[#This Row],[CIDADE]],",",Tabela1[[#This Row],[UF]])</f>
        <v>Goianira,GO</v>
      </c>
      <c r="F1775" s="2">
        <v>45842</v>
      </c>
      <c r="G1775" s="17">
        <v>5840</v>
      </c>
      <c r="H1775" s="17">
        <v>8690</v>
      </c>
      <c r="I1775" s="6">
        <f>Tabela1[[#This Row],[Valor total]]-Tabela1[[#This Row],[Valor custo]]</f>
        <v>2850</v>
      </c>
      <c r="J1775" s="7">
        <f>Tabela1[[#This Row],[MARGEM BRUTA]]/Tabela1[[#This Row],[Valor total]]</f>
        <v>0.32796317606444186</v>
      </c>
      <c r="K1775" s="1" t="str">
        <f>VLOOKUP(Tabela1[[#This Row],[Cliente]],'BASE DE CLIENTES'!A:D,4,0)</f>
        <v>EMPRESA COM MAQUINA</v>
      </c>
      <c r="L1775" s="1" t="str">
        <f>VLOOKUP(Tabela1[[#This Row],[Cliente]],'BASE DE CLIENTES'!A:E,5,0)</f>
        <v>Goianira</v>
      </c>
    </row>
    <row r="1776" spans="2:12" x14ac:dyDescent="0.3">
      <c r="B1776" s="1" t="s">
        <v>112</v>
      </c>
      <c r="C1776" s="4" t="str">
        <f>VLOOKUP(Tabela1[[#This Row],[Cliente]],'BASE DE CLIENTES'!A:E,2,0)</f>
        <v>Brasília</v>
      </c>
      <c r="D1776" s="1" t="str">
        <f>VLOOKUP(Tabela1[[#This Row],[Cliente]],'BASE DE CLIENTES'!A:C,3,0)</f>
        <v>DF</v>
      </c>
      <c r="E1776" s="4" t="str">
        <f>CONCATENATE(Tabela1[[#This Row],[CIDADE]],",",Tabela1[[#This Row],[UF]])</f>
        <v>Brasília,DF</v>
      </c>
      <c r="F1776" s="2">
        <v>45846</v>
      </c>
      <c r="G1776" s="17">
        <v>1420</v>
      </c>
      <c r="H1776" s="17">
        <v>2600</v>
      </c>
      <c r="I1776" s="6">
        <f>Tabela1[[#This Row],[Valor total]]-Tabela1[[#This Row],[Valor custo]]</f>
        <v>1180</v>
      </c>
      <c r="J1776" s="7">
        <f>Tabela1[[#This Row],[MARGEM BRUTA]]/Tabela1[[#This Row],[Valor total]]</f>
        <v>0.45384615384615384</v>
      </c>
      <c r="K1776" s="1" t="str">
        <f>VLOOKUP(Tabela1[[#This Row],[Cliente]],'BASE DE CLIENTES'!A:D,4,0)</f>
        <v>SERRALHEIRO</v>
      </c>
      <c r="L1776" s="1" t="str">
        <f>VLOOKUP(Tabela1[[#This Row],[Cliente]],'BASE DE CLIENTES'!A:E,5,0)</f>
        <v>RIACHO FUNDO I</v>
      </c>
    </row>
    <row r="1777" spans="2:12" x14ac:dyDescent="0.3">
      <c r="B1777" s="1" t="s">
        <v>111</v>
      </c>
      <c r="C1777" s="4" t="str">
        <f>VLOOKUP(Tabela1[[#This Row],[Cliente]],'BASE DE CLIENTES'!A:E,2,0)</f>
        <v>Brasília</v>
      </c>
      <c r="D1777" s="1" t="str">
        <f>VLOOKUP(Tabela1[[#This Row],[Cliente]],'BASE DE CLIENTES'!A:C,3,0)</f>
        <v>DF</v>
      </c>
      <c r="E1777" s="4" t="str">
        <f>CONCATENATE(Tabela1[[#This Row],[CIDADE]],",",Tabela1[[#This Row],[UF]])</f>
        <v>Brasília,DF</v>
      </c>
      <c r="F1777" s="2">
        <v>45846</v>
      </c>
      <c r="G1777" s="17">
        <v>2570.06</v>
      </c>
      <c r="H1777" s="17">
        <v>4150</v>
      </c>
      <c r="I1777" s="6">
        <f>Tabela1[[#This Row],[Valor total]]-Tabela1[[#This Row],[Valor custo]]</f>
        <v>1579.94</v>
      </c>
      <c r="J1777" s="7">
        <f>Tabela1[[#This Row],[MARGEM BRUTA]]/Tabela1[[#This Row],[Valor total]]</f>
        <v>0.38070843373493979</v>
      </c>
      <c r="K1777" s="1" t="str">
        <f>VLOOKUP(Tabela1[[#This Row],[Cliente]],'BASE DE CLIENTES'!A:D,4,0)</f>
        <v>EMPRESA SEM MAQUINA</v>
      </c>
      <c r="L1777" s="1" t="str">
        <f>VLOOKUP(Tabela1[[#This Row],[Cliente]],'BASE DE CLIENTES'!A:E,5,0)</f>
        <v>TAGUATINGA SUL (TAGUATINGA)</v>
      </c>
    </row>
    <row r="1778" spans="2:12" x14ac:dyDescent="0.3">
      <c r="B1778" s="1" t="s">
        <v>249</v>
      </c>
      <c r="C1778" s="4" t="str">
        <f>VLOOKUP(Tabela1[[#This Row],[Cliente]],'BASE DE CLIENTES'!A:E,2,0)</f>
        <v>Brasília</v>
      </c>
      <c r="D1778" s="1" t="str">
        <f>VLOOKUP(Tabela1[[#This Row],[Cliente]],'BASE DE CLIENTES'!A:C,3,0)</f>
        <v>DF</v>
      </c>
      <c r="E1778" s="4" t="str">
        <f>CONCATENATE(Tabela1[[#This Row],[CIDADE]],",",Tabela1[[#This Row],[UF]])</f>
        <v>Brasília,DF</v>
      </c>
      <c r="F1778" s="2">
        <v>45915</v>
      </c>
      <c r="G1778" s="17">
        <v>764.6</v>
      </c>
      <c r="H1778" s="17">
        <v>1350</v>
      </c>
      <c r="I1778" s="6">
        <f>Tabela1[[#This Row],[Valor total]]-Tabela1[[#This Row],[Valor custo]]</f>
        <v>585.4</v>
      </c>
      <c r="J1778" s="7">
        <f>Tabela1[[#This Row],[MARGEM BRUTA]]/Tabela1[[#This Row],[Valor total]]</f>
        <v>0.43362962962962959</v>
      </c>
      <c r="K1778" s="1" t="str">
        <f>VLOOKUP(Tabela1[[#This Row],[Cliente]],'BASE DE CLIENTES'!A:D,4,0)</f>
        <v>SEM CLASSIFICAÇÃO</v>
      </c>
      <c r="L1778" s="1" t="str">
        <f>VLOOKUP(Tabela1[[#This Row],[Cliente]],'BASE DE CLIENTES'!A:E,5,0)</f>
        <v>NA</v>
      </c>
    </row>
    <row r="1779" spans="2:12" x14ac:dyDescent="0.3">
      <c r="B1779" s="1" t="s">
        <v>138</v>
      </c>
      <c r="C1779" s="4" t="str">
        <f>VLOOKUP(Tabela1[[#This Row],[Cliente]],'BASE DE CLIENTES'!A:E,2,0)</f>
        <v>Brasília</v>
      </c>
      <c r="D1779" s="1" t="str">
        <f>VLOOKUP(Tabela1[[#This Row],[Cliente]],'BASE DE CLIENTES'!A:C,3,0)</f>
        <v>DF</v>
      </c>
      <c r="E1779" s="4" t="str">
        <f>CONCATENATE(Tabela1[[#This Row],[CIDADE]],",",Tabela1[[#This Row],[UF]])</f>
        <v>Brasília,DF</v>
      </c>
      <c r="F1779" s="2">
        <v>45846</v>
      </c>
      <c r="G1779" s="17">
        <v>293.13</v>
      </c>
      <c r="H1779" s="17">
        <v>390</v>
      </c>
      <c r="I1779" s="6">
        <f>Tabela1[[#This Row],[Valor total]]-Tabela1[[#This Row],[Valor custo]]</f>
        <v>96.87</v>
      </c>
      <c r="J1779" s="7">
        <f>Tabela1[[#This Row],[MARGEM BRUTA]]/Tabela1[[#This Row],[Valor total]]</f>
        <v>0.2483846153846154</v>
      </c>
      <c r="K1779" s="1" t="str">
        <f>VLOOKUP(Tabela1[[#This Row],[Cliente]],'BASE DE CLIENTES'!A:D,4,0)</f>
        <v>OUTROS RAMOS</v>
      </c>
      <c r="L1779" s="1" t="str">
        <f>VLOOKUP(Tabela1[[#This Row],[Cliente]],'BASE DE CLIENTES'!A:E,5,0)</f>
        <v>CEILANDIA NORTE (CEILANDIA)</v>
      </c>
    </row>
    <row r="1780" spans="2:12" x14ac:dyDescent="0.3">
      <c r="B1780" s="1" t="s">
        <v>241</v>
      </c>
      <c r="C1780" s="4" t="str">
        <f>VLOOKUP(Tabela1[[#This Row],[Cliente]],'BASE DE CLIENTES'!A:E,2,0)</f>
        <v>Goianira</v>
      </c>
      <c r="D1780" s="1" t="str">
        <f>VLOOKUP(Tabela1[[#This Row],[Cliente]],'BASE DE CLIENTES'!A:C,3,0)</f>
        <v>GO</v>
      </c>
      <c r="E1780" s="4" t="str">
        <f>CONCATENATE(Tabela1[[#This Row],[CIDADE]],",",Tabela1[[#This Row],[UF]])</f>
        <v>Goianira,GO</v>
      </c>
      <c r="F1780" s="2">
        <v>45896</v>
      </c>
      <c r="G1780" s="17">
        <v>26603.35</v>
      </c>
      <c r="H1780" s="17">
        <v>43000</v>
      </c>
      <c r="I1780" s="6">
        <f>Tabela1[[#This Row],[Valor total]]-Tabela1[[#This Row],[Valor custo]]</f>
        <v>16396.650000000001</v>
      </c>
      <c r="J1780" s="7">
        <f>Tabela1[[#This Row],[MARGEM BRUTA]]/Tabela1[[#This Row],[Valor total]]</f>
        <v>0.38131744186046512</v>
      </c>
      <c r="K1780" s="1" t="str">
        <f>VLOOKUP(Tabela1[[#This Row],[Cliente]],'BASE DE CLIENTES'!A:D,4,0)</f>
        <v>EMPRESA COM MAQUINA</v>
      </c>
      <c r="L1780" s="1" t="str">
        <f>VLOOKUP(Tabela1[[#This Row],[Cliente]],'BASE DE CLIENTES'!A:E,5,0)</f>
        <v>Goianira</v>
      </c>
    </row>
    <row r="1781" spans="2:12" x14ac:dyDescent="0.3">
      <c r="B1781" s="1" t="s">
        <v>247</v>
      </c>
      <c r="C1781" s="4" t="str">
        <f>VLOOKUP(Tabela1[[#This Row],[Cliente]],'BASE DE CLIENTES'!A:E,2,0)</f>
        <v>Goianira</v>
      </c>
      <c r="D1781" s="1" t="str">
        <f>VLOOKUP(Tabela1[[#This Row],[Cliente]],'BASE DE CLIENTES'!A:C,3,0)</f>
        <v>GO</v>
      </c>
      <c r="E1781" s="4" t="str">
        <f>CONCATENATE(Tabela1[[#This Row],[CIDADE]],",",Tabela1[[#This Row],[UF]])</f>
        <v>Goianira,GO</v>
      </c>
      <c r="F1781" s="2">
        <v>45882</v>
      </c>
      <c r="G1781" s="17">
        <v>679</v>
      </c>
      <c r="H1781" s="17">
        <v>1400</v>
      </c>
      <c r="I1781" s="6">
        <f>Tabela1[[#This Row],[Valor total]]-Tabela1[[#This Row],[Valor custo]]</f>
        <v>721</v>
      </c>
      <c r="J1781" s="7">
        <f>Tabela1[[#This Row],[MARGEM BRUTA]]/Tabela1[[#This Row],[Valor total]]</f>
        <v>0.51500000000000001</v>
      </c>
      <c r="K1781" s="1" t="str">
        <f>VLOOKUP(Tabela1[[#This Row],[Cliente]],'BASE DE CLIENTES'!A:D,4,0)</f>
        <v>EMPRESA SEM MAQUINA</v>
      </c>
      <c r="L1781" s="1" t="str">
        <f>VLOOKUP(Tabela1[[#This Row],[Cliente]],'BASE DE CLIENTES'!A:E,5,0)</f>
        <v>Goianira</v>
      </c>
    </row>
    <row r="1782" spans="2:12" x14ac:dyDescent="0.3">
      <c r="B1782" s="1" t="s">
        <v>207</v>
      </c>
      <c r="C1782" s="4" t="str">
        <f>VLOOKUP(Tabela1[[#This Row],[Cliente]],'BASE DE CLIENTES'!A:E,2,0)</f>
        <v>Brasília</v>
      </c>
      <c r="D1782" s="1" t="str">
        <f>VLOOKUP(Tabela1[[#This Row],[Cliente]],'BASE DE CLIENTES'!A:C,3,0)</f>
        <v>DF</v>
      </c>
      <c r="E1782" s="4" t="str">
        <f>CONCATENATE(Tabela1[[#This Row],[CIDADE]],",",Tabela1[[#This Row],[UF]])</f>
        <v>Brasília,DF</v>
      </c>
      <c r="F1782" s="2">
        <v>45785</v>
      </c>
      <c r="G1782" s="17">
        <v>168</v>
      </c>
      <c r="H1782" s="17">
        <v>240</v>
      </c>
      <c r="I1782" s="6">
        <f>Tabela1[[#This Row],[Valor total]]-Tabela1[[#This Row],[Valor custo]]</f>
        <v>72</v>
      </c>
      <c r="J1782" s="7">
        <f>Tabela1[[#This Row],[MARGEM BRUTA]]/Tabela1[[#This Row],[Valor total]]</f>
        <v>0.3</v>
      </c>
      <c r="K1782" s="1" t="str">
        <f>VLOOKUP(Tabela1[[#This Row],[Cliente]],'BASE DE CLIENTES'!A:D,4,0)</f>
        <v>SEM CLASSIFICAÇÃO</v>
      </c>
      <c r="L1782" s="1" t="str">
        <f>VLOOKUP(Tabela1[[#This Row],[Cliente]],'BASE DE CLIENTES'!A:E,5,0)</f>
        <v>SETOR NORTE (BRAZLANDIA)</v>
      </c>
    </row>
    <row r="1783" spans="2:12" x14ac:dyDescent="0.3">
      <c r="B1783" s="1" t="s">
        <v>15</v>
      </c>
      <c r="C1783" s="4" t="str">
        <f>VLOOKUP(Tabela1[[#This Row],[Cliente]],'BASE DE CLIENTES'!A:E,2,0)</f>
        <v>Brasília</v>
      </c>
      <c r="D1783" s="1" t="str">
        <f>VLOOKUP(Tabela1[[#This Row],[Cliente]],'BASE DE CLIENTES'!A:C,3,0)</f>
        <v>DF</v>
      </c>
      <c r="E1783" s="4" t="str">
        <f>CONCATENATE(Tabela1[[#This Row],[CIDADE]],",",Tabela1[[#This Row],[UF]])</f>
        <v>Brasília,DF</v>
      </c>
      <c r="F1783" s="2">
        <v>45846</v>
      </c>
      <c r="G1783" s="17">
        <v>1840</v>
      </c>
      <c r="H1783" s="17">
        <v>2700</v>
      </c>
      <c r="I1783" s="6">
        <f>Tabela1[[#This Row],[Valor total]]-Tabela1[[#This Row],[Valor custo]]</f>
        <v>860</v>
      </c>
      <c r="J1783" s="7">
        <f>Tabela1[[#This Row],[MARGEM BRUTA]]/Tabela1[[#This Row],[Valor total]]</f>
        <v>0.31851851851851853</v>
      </c>
      <c r="K1783" s="1" t="str">
        <f>VLOOKUP(Tabela1[[#This Row],[Cliente]],'BASE DE CLIENTES'!A:D,4,0)</f>
        <v>SERRALHEIRO</v>
      </c>
      <c r="L1783" s="1" t="str">
        <f>VLOOKUP(Tabela1[[#This Row],[Cliente]],'BASE DE CLIENTES'!A:E,5,0)</f>
        <v>SETOR HABITACIONAL VICENTE PIRES</v>
      </c>
    </row>
    <row r="1784" spans="2:12" x14ac:dyDescent="0.3">
      <c r="B1784" s="1" t="s">
        <v>85</v>
      </c>
      <c r="C1784" s="4" t="str">
        <f>VLOOKUP(Tabela1[[#This Row],[Cliente]],'BASE DE CLIENTES'!A:E,2,0)</f>
        <v>Brasília</v>
      </c>
      <c r="D1784" s="1" t="str">
        <f>VLOOKUP(Tabela1[[#This Row],[Cliente]],'BASE DE CLIENTES'!A:C,3,0)</f>
        <v>DF</v>
      </c>
      <c r="E1784" s="4" t="str">
        <f>CONCATENATE(Tabela1[[#This Row],[CIDADE]],",",Tabela1[[#This Row],[UF]])</f>
        <v>Brasília,DF</v>
      </c>
      <c r="F1784" s="2">
        <v>45846</v>
      </c>
      <c r="G1784" s="17">
        <v>473</v>
      </c>
      <c r="H1784" s="17">
        <v>620</v>
      </c>
      <c r="I1784" s="6">
        <f>Tabela1[[#This Row],[Valor total]]-Tabela1[[#This Row],[Valor custo]]</f>
        <v>147</v>
      </c>
      <c r="J1784" s="7">
        <f>Tabela1[[#This Row],[MARGEM BRUTA]]/Tabela1[[#This Row],[Valor total]]</f>
        <v>0.23709677419354838</v>
      </c>
      <c r="K1784" s="1" t="str">
        <f>VLOOKUP(Tabela1[[#This Row],[Cliente]],'BASE DE CLIENTES'!A:D,4,0)</f>
        <v>SERRALHEIRO</v>
      </c>
      <c r="L1784" s="1" t="str">
        <f>VLOOKUP(Tabela1[[#This Row],[Cliente]],'BASE DE CLIENTES'!A:E,5,0)</f>
        <v>SAMAMBAIA NORTE (SAMAMBAIA)</v>
      </c>
    </row>
    <row r="1785" spans="2:12" x14ac:dyDescent="0.3">
      <c r="B1785" s="1" t="s">
        <v>117</v>
      </c>
      <c r="C1785" s="4" t="str">
        <f>VLOOKUP(Tabela1[[#This Row],[Cliente]],'BASE DE CLIENTES'!A:E,2,0)</f>
        <v>Brasília</v>
      </c>
      <c r="D1785" s="1" t="str">
        <f>VLOOKUP(Tabela1[[#This Row],[Cliente]],'BASE DE CLIENTES'!A:C,3,0)</f>
        <v>DF</v>
      </c>
      <c r="E1785" s="4" t="str">
        <f>CONCATENATE(Tabela1[[#This Row],[CIDADE]],",",Tabela1[[#This Row],[UF]])</f>
        <v>Brasília,DF</v>
      </c>
      <c r="F1785" s="2">
        <v>45846</v>
      </c>
      <c r="G1785" s="17">
        <v>725</v>
      </c>
      <c r="H1785" s="17">
        <v>1300</v>
      </c>
      <c r="I1785" s="6">
        <f>Tabela1[[#This Row],[Valor total]]-Tabela1[[#This Row],[Valor custo]]</f>
        <v>575</v>
      </c>
      <c r="J1785" s="7">
        <f>Tabela1[[#This Row],[MARGEM BRUTA]]/Tabela1[[#This Row],[Valor total]]</f>
        <v>0.44230769230769229</v>
      </c>
      <c r="K1785" s="1" t="str">
        <f>VLOOKUP(Tabela1[[#This Row],[Cliente]],'BASE DE CLIENTES'!A:D,4,0)</f>
        <v>EMPRESA COM MAQUINA</v>
      </c>
      <c r="L1785" s="1" t="str">
        <f>VLOOKUP(Tabela1[[#This Row],[Cliente]],'BASE DE CLIENTES'!A:E,5,0)</f>
        <v>SETOR HABITACIONAL ARNIQUEIRA (AGUAS CLARAS)</v>
      </c>
    </row>
    <row r="1786" spans="2:12" x14ac:dyDescent="0.3">
      <c r="B1786" s="1" t="s">
        <v>228</v>
      </c>
      <c r="C1786" s="4" t="str">
        <f>VLOOKUP(Tabela1[[#This Row],[Cliente]],'BASE DE CLIENTES'!A:E,2,0)</f>
        <v>Brasília</v>
      </c>
      <c r="D1786" s="1" t="str">
        <f>VLOOKUP(Tabela1[[#This Row],[Cliente]],'BASE DE CLIENTES'!A:C,3,0)</f>
        <v>DF</v>
      </c>
      <c r="E1786" s="4" t="str">
        <f>CONCATENATE(Tabela1[[#This Row],[CIDADE]],",",Tabela1[[#This Row],[UF]])</f>
        <v>Brasília,DF</v>
      </c>
      <c r="F1786" s="2">
        <v>45845</v>
      </c>
      <c r="G1786" s="17">
        <v>293.13</v>
      </c>
      <c r="H1786" s="17">
        <v>390</v>
      </c>
      <c r="I1786" s="6">
        <f>Tabela1[[#This Row],[Valor total]]-Tabela1[[#This Row],[Valor custo]]</f>
        <v>96.87</v>
      </c>
      <c r="J1786" s="7">
        <f>Tabela1[[#This Row],[MARGEM BRUTA]]/Tabela1[[#This Row],[Valor total]]</f>
        <v>0.2483846153846154</v>
      </c>
      <c r="K1786" s="1" t="str">
        <f>VLOOKUP(Tabela1[[#This Row],[Cliente]],'BASE DE CLIENTES'!A:D,4,0)</f>
        <v>FUNCIONÁRIO</v>
      </c>
      <c r="L1786" s="1" t="str">
        <f>VLOOKUP(Tabela1[[#This Row],[Cliente]],'BASE DE CLIENTES'!A:E,5,0)</f>
        <v>Taguatinga Sul (Taguatinga)</v>
      </c>
    </row>
    <row r="1787" spans="2:12" x14ac:dyDescent="0.3">
      <c r="B1787" s="1" t="s">
        <v>247</v>
      </c>
      <c r="C1787" s="4" t="str">
        <f>VLOOKUP(Tabela1[[#This Row],[Cliente]],'BASE DE CLIENTES'!A:E,2,0)</f>
        <v>Goianira</v>
      </c>
      <c r="D1787" s="1" t="str">
        <f>VLOOKUP(Tabela1[[#This Row],[Cliente]],'BASE DE CLIENTES'!A:C,3,0)</f>
        <v>GO</v>
      </c>
      <c r="E1787" s="4" t="str">
        <f>CONCATENATE(Tabela1[[#This Row],[CIDADE]],",",Tabela1[[#This Row],[UF]])</f>
        <v>Goianira,GO</v>
      </c>
      <c r="F1787" s="2">
        <v>45881</v>
      </c>
      <c r="G1787" s="17">
        <v>865.58</v>
      </c>
      <c r="H1787" s="17">
        <v>1310</v>
      </c>
      <c r="I1787" s="6">
        <f>Tabela1[[#This Row],[Valor total]]-Tabela1[[#This Row],[Valor custo]]</f>
        <v>444.41999999999996</v>
      </c>
      <c r="J1787" s="7">
        <f>Tabela1[[#This Row],[MARGEM BRUTA]]/Tabela1[[#This Row],[Valor total]]</f>
        <v>0.33925190839694652</v>
      </c>
      <c r="K1787" s="1" t="str">
        <f>VLOOKUP(Tabela1[[#This Row],[Cliente]],'BASE DE CLIENTES'!A:D,4,0)</f>
        <v>EMPRESA SEM MAQUINA</v>
      </c>
      <c r="L1787" s="1" t="str">
        <f>VLOOKUP(Tabela1[[#This Row],[Cliente]],'BASE DE CLIENTES'!A:E,5,0)</f>
        <v>Goianira</v>
      </c>
    </row>
    <row r="1788" spans="2:12" x14ac:dyDescent="0.3">
      <c r="B1788" s="1" t="s">
        <v>88</v>
      </c>
      <c r="C1788" s="4" t="str">
        <f>VLOOKUP(Tabela1[[#This Row],[Cliente]],'BASE DE CLIENTES'!A:E,2,0)</f>
        <v>Brasília</v>
      </c>
      <c r="D1788" s="1" t="str">
        <f>VLOOKUP(Tabela1[[#This Row],[Cliente]],'BASE DE CLIENTES'!A:C,3,0)</f>
        <v>DF</v>
      </c>
      <c r="E1788" s="4" t="str">
        <f>CONCATENATE(Tabela1[[#This Row],[CIDADE]],",",Tabela1[[#This Row],[UF]])</f>
        <v>Brasília,DF</v>
      </c>
      <c r="F1788" s="2">
        <v>45845</v>
      </c>
      <c r="G1788" s="17">
        <v>20</v>
      </c>
      <c r="H1788" s="17">
        <v>70</v>
      </c>
      <c r="I1788" s="6">
        <f>Tabela1[[#This Row],[Valor total]]-Tabela1[[#This Row],[Valor custo]]</f>
        <v>50</v>
      </c>
      <c r="J1788" s="7">
        <f>Tabela1[[#This Row],[MARGEM BRUTA]]/Tabela1[[#This Row],[Valor total]]</f>
        <v>0.7142857142857143</v>
      </c>
      <c r="K1788" s="1" t="str">
        <f>VLOOKUP(Tabela1[[#This Row],[Cliente]],'BASE DE CLIENTES'!A:D,4,0)</f>
        <v>SERRALHEIRO</v>
      </c>
      <c r="L1788" s="1" t="str">
        <f>VLOOKUP(Tabela1[[#This Row],[Cliente]],'BASE DE CLIENTES'!A:E,5,0)</f>
        <v>RECANTO DAS EMAS</v>
      </c>
    </row>
    <row r="1789" spans="2:12" x14ac:dyDescent="0.3">
      <c r="B1789" s="1" t="s">
        <v>190</v>
      </c>
      <c r="C1789" s="4" t="str">
        <f>VLOOKUP(Tabela1[[#This Row],[Cliente]],'BASE DE CLIENTES'!A:E,2,0)</f>
        <v>Brasília</v>
      </c>
      <c r="D1789" s="1" t="str">
        <f>VLOOKUP(Tabela1[[#This Row],[Cliente]],'BASE DE CLIENTES'!A:C,3,0)</f>
        <v>DF</v>
      </c>
      <c r="E1789" s="4" t="str">
        <f>CONCATENATE(Tabela1[[#This Row],[CIDADE]],",",Tabela1[[#This Row],[UF]])</f>
        <v>Brasília,DF</v>
      </c>
      <c r="F1789" s="2">
        <v>45845</v>
      </c>
      <c r="G1789" s="17">
        <v>740</v>
      </c>
      <c r="H1789" s="17">
        <v>1350</v>
      </c>
      <c r="I1789" s="6">
        <f>Tabela1[[#This Row],[Valor total]]-Tabela1[[#This Row],[Valor custo]]</f>
        <v>610</v>
      </c>
      <c r="J1789" s="7">
        <f>Tabela1[[#This Row],[MARGEM BRUTA]]/Tabela1[[#This Row],[Valor total]]</f>
        <v>0.45185185185185184</v>
      </c>
      <c r="K1789" s="1" t="str">
        <f>VLOOKUP(Tabela1[[#This Row],[Cliente]],'BASE DE CLIENTES'!A:D,4,0)</f>
        <v>EMPRESA COM MAQUINA</v>
      </c>
      <c r="L1789" s="1" t="str">
        <f>VLOOKUP(Tabela1[[#This Row],[Cliente]],'BASE DE CLIENTES'!A:E,5,0)</f>
        <v>RIACHO FUNDO I</v>
      </c>
    </row>
    <row r="1790" spans="2:12" x14ac:dyDescent="0.3">
      <c r="B1790" s="1" t="s">
        <v>161</v>
      </c>
      <c r="C1790" s="4" t="str">
        <f>VLOOKUP(Tabela1[[#This Row],[Cliente]],'BASE DE CLIENTES'!A:E,2,0)</f>
        <v>Brasília</v>
      </c>
      <c r="D1790" s="1" t="str">
        <f>VLOOKUP(Tabela1[[#This Row],[Cliente]],'BASE DE CLIENTES'!A:C,3,0)</f>
        <v>DF</v>
      </c>
      <c r="E1790" s="4" t="str">
        <f>CONCATENATE(Tabela1[[#This Row],[CIDADE]],",",Tabela1[[#This Row],[UF]])</f>
        <v>Brasília,DF</v>
      </c>
      <c r="F1790" s="2">
        <v>45845</v>
      </c>
      <c r="G1790" s="17">
        <v>285.64999999999998</v>
      </c>
      <c r="H1790" s="17">
        <v>930</v>
      </c>
      <c r="I1790" s="6">
        <f>Tabela1[[#This Row],[Valor total]]-Tabela1[[#This Row],[Valor custo]]</f>
        <v>644.35</v>
      </c>
      <c r="J1790" s="7">
        <f>Tabela1[[#This Row],[MARGEM BRUTA]]/Tabela1[[#This Row],[Valor total]]</f>
        <v>0.69284946236559142</v>
      </c>
      <c r="K1790" s="1" t="str">
        <f>VLOOKUP(Tabela1[[#This Row],[Cliente]],'BASE DE CLIENTES'!A:D,4,0)</f>
        <v>EMPRESA COM MAQUINA</v>
      </c>
      <c r="L1790" s="1" t="str">
        <f>VLOOKUP(Tabela1[[#This Row],[Cliente]],'BASE DE CLIENTES'!A:E,5,0)</f>
        <v>RIACHO FUNDO II</v>
      </c>
    </row>
    <row r="1791" spans="2:12" x14ac:dyDescent="0.3">
      <c r="B1791" s="1" t="s">
        <v>25</v>
      </c>
      <c r="C1791" s="4" t="str">
        <f>VLOOKUP(Tabela1[[#This Row],[Cliente]],'BASE DE CLIENTES'!A:E,2,0)</f>
        <v>Brasília</v>
      </c>
      <c r="D1791" s="1" t="str">
        <f>VLOOKUP(Tabela1[[#This Row],[Cliente]],'BASE DE CLIENTES'!A:C,3,0)</f>
        <v>DF</v>
      </c>
      <c r="E1791" s="4" t="str">
        <f>CONCATENATE(Tabela1[[#This Row],[CIDADE]],",",Tabela1[[#This Row],[UF]])</f>
        <v>Brasília,DF</v>
      </c>
      <c r="F1791" s="2">
        <v>45845</v>
      </c>
      <c r="G1791" s="17">
        <v>1341</v>
      </c>
      <c r="H1791" s="17">
        <v>1845</v>
      </c>
      <c r="I1791" s="6">
        <f>Tabela1[[#This Row],[Valor total]]-Tabela1[[#This Row],[Valor custo]]</f>
        <v>504</v>
      </c>
      <c r="J1791" s="7">
        <f>Tabela1[[#This Row],[MARGEM BRUTA]]/Tabela1[[#This Row],[Valor total]]</f>
        <v>0.27317073170731709</v>
      </c>
      <c r="K1791" s="1" t="str">
        <f>VLOOKUP(Tabela1[[#This Row],[Cliente]],'BASE DE CLIENTES'!A:D,4,0)</f>
        <v>EMPRESA COM MAQUINA</v>
      </c>
      <c r="L1791" s="1" t="str">
        <f>VLOOKUP(Tabela1[[#This Row],[Cliente]],'BASE DE CLIENTES'!A:E,5,0)</f>
        <v>CEILANDIA NORTE (CEILANDIA)</v>
      </c>
    </row>
    <row r="1792" spans="2:12" x14ac:dyDescent="0.3">
      <c r="B1792" s="1" t="s">
        <v>241</v>
      </c>
      <c r="C1792" s="4" t="str">
        <f>VLOOKUP(Tabela1[[#This Row],[Cliente]],'BASE DE CLIENTES'!A:E,2,0)</f>
        <v>Goianira</v>
      </c>
      <c r="D1792" s="1" t="str">
        <f>VLOOKUP(Tabela1[[#This Row],[Cliente]],'BASE DE CLIENTES'!A:C,3,0)</f>
        <v>GO</v>
      </c>
      <c r="E1792" s="4" t="str">
        <f>CONCATENATE(Tabela1[[#This Row],[CIDADE]],",",Tabela1[[#This Row],[UF]])</f>
        <v>Goianira,GO</v>
      </c>
      <c r="F1792" s="2">
        <v>45873</v>
      </c>
      <c r="G1792" s="17">
        <v>982</v>
      </c>
      <c r="H1792" s="17">
        <v>1300</v>
      </c>
      <c r="I1792" s="6">
        <f>Tabela1[[#This Row],[Valor total]]-Tabela1[[#This Row],[Valor custo]]</f>
        <v>318</v>
      </c>
      <c r="J1792" s="7">
        <f>Tabela1[[#This Row],[MARGEM BRUTA]]/Tabela1[[#This Row],[Valor total]]</f>
        <v>0.24461538461538462</v>
      </c>
      <c r="K1792" s="1" t="str">
        <f>VLOOKUP(Tabela1[[#This Row],[Cliente]],'BASE DE CLIENTES'!A:D,4,0)</f>
        <v>EMPRESA COM MAQUINA</v>
      </c>
      <c r="L1792" s="1" t="str">
        <f>VLOOKUP(Tabela1[[#This Row],[Cliente]],'BASE DE CLIENTES'!A:E,5,0)</f>
        <v>Goianira</v>
      </c>
    </row>
    <row r="1793" spans="1:12" x14ac:dyDescent="0.3">
      <c r="B1793" s="1" t="s">
        <v>247</v>
      </c>
      <c r="C1793" s="4" t="str">
        <f>VLOOKUP(Tabela1[[#This Row],[Cliente]],'BASE DE CLIENTES'!A:E,2,0)</f>
        <v>Goianira</v>
      </c>
      <c r="D1793" s="1" t="str">
        <f>VLOOKUP(Tabela1[[#This Row],[Cliente]],'BASE DE CLIENTES'!A:C,3,0)</f>
        <v>GO</v>
      </c>
      <c r="E1793" s="4" t="str">
        <f>CONCATENATE(Tabela1[[#This Row],[CIDADE]],",",Tabela1[[#This Row],[UF]])</f>
        <v>Goianira,GO</v>
      </c>
      <c r="F1793" s="2">
        <v>45902</v>
      </c>
      <c r="G1793" s="17">
        <v>6024.08</v>
      </c>
      <c r="H1793" s="17">
        <v>9585</v>
      </c>
      <c r="I1793" s="6">
        <f>Tabela1[[#This Row],[Valor total]]-Tabela1[[#This Row],[Valor custo]]</f>
        <v>3560.92</v>
      </c>
      <c r="J1793" s="7">
        <f>Tabela1[[#This Row],[MARGEM BRUTA]]/Tabela1[[#This Row],[Valor total]]</f>
        <v>0.371509650495566</v>
      </c>
      <c r="K1793" s="1" t="str">
        <f>VLOOKUP(Tabela1[[#This Row],[Cliente]],'BASE DE CLIENTES'!A:D,4,0)</f>
        <v>EMPRESA SEM MAQUINA</v>
      </c>
      <c r="L1793" s="1" t="str">
        <f>VLOOKUP(Tabela1[[#This Row],[Cliente]],'BASE DE CLIENTES'!A:E,5,0)</f>
        <v>Goianira</v>
      </c>
    </row>
    <row r="1794" spans="1:12" x14ac:dyDescent="0.3">
      <c r="B1794" s="1" t="s">
        <v>52</v>
      </c>
      <c r="C1794" s="4" t="str">
        <f>VLOOKUP(Tabela1[[#This Row],[Cliente]],'BASE DE CLIENTES'!A:E,2,0)</f>
        <v>Brasília</v>
      </c>
      <c r="D1794" s="1" t="str">
        <f>VLOOKUP(Tabela1[[#This Row],[Cliente]],'BASE DE CLIENTES'!A:C,3,0)</f>
        <v>DF</v>
      </c>
      <c r="E1794" s="4" t="str">
        <f>CONCATENATE(Tabela1[[#This Row],[CIDADE]],",",Tabela1[[#This Row],[UF]])</f>
        <v>Brasília,DF</v>
      </c>
      <c r="F1794" s="2">
        <v>45845</v>
      </c>
      <c r="G1794" s="17">
        <v>1447.5</v>
      </c>
      <c r="H1794" s="17">
        <v>2160</v>
      </c>
      <c r="I1794" s="6">
        <f>Tabela1[[#This Row],[Valor total]]-Tabela1[[#This Row],[Valor custo]]</f>
        <v>712.5</v>
      </c>
      <c r="J1794" s="7">
        <f>Tabela1[[#This Row],[MARGEM BRUTA]]/Tabela1[[#This Row],[Valor total]]</f>
        <v>0.3298611111111111</v>
      </c>
      <c r="K1794" s="1" t="str">
        <f>VLOOKUP(Tabela1[[#This Row],[Cliente]],'BASE DE CLIENTES'!A:D,4,0)</f>
        <v>SERRALHEIRO</v>
      </c>
      <c r="L1794" s="1" t="str">
        <f>VLOOKUP(Tabela1[[#This Row],[Cliente]],'BASE DE CLIENTES'!A:E,5,0)</f>
        <v>Ceilândia Sul (Ceilândia)</v>
      </c>
    </row>
    <row r="1795" spans="1:12" x14ac:dyDescent="0.3">
      <c r="B1795" s="1" t="s">
        <v>36</v>
      </c>
      <c r="C1795" s="4" t="str">
        <f>VLOOKUP(Tabela1[[#This Row],[Cliente]],'BASE DE CLIENTES'!A:E,2,0)</f>
        <v>Brasília</v>
      </c>
      <c r="D1795" s="1" t="str">
        <f>VLOOKUP(Tabela1[[#This Row],[Cliente]],'BASE DE CLIENTES'!A:C,3,0)</f>
        <v>DF</v>
      </c>
      <c r="E1795" s="4" t="str">
        <f>CONCATENATE(Tabela1[[#This Row],[CIDADE]],",",Tabela1[[#This Row],[UF]])</f>
        <v>Brasília,DF</v>
      </c>
      <c r="F1795" s="2">
        <v>45845</v>
      </c>
      <c r="G1795" s="17">
        <v>725</v>
      </c>
      <c r="H1795" s="17">
        <v>1350</v>
      </c>
      <c r="I1795" s="6">
        <f>Tabela1[[#This Row],[Valor total]]-Tabela1[[#This Row],[Valor custo]]</f>
        <v>625</v>
      </c>
      <c r="J1795" s="7">
        <f>Tabela1[[#This Row],[MARGEM BRUTA]]/Tabela1[[#This Row],[Valor total]]</f>
        <v>0.46296296296296297</v>
      </c>
      <c r="K1795" s="1" t="str">
        <f>VLOOKUP(Tabela1[[#This Row],[Cliente]],'BASE DE CLIENTES'!A:D,4,0)</f>
        <v>SERRALHEIRO</v>
      </c>
      <c r="L1795" s="1" t="str">
        <f>VLOOKUP(Tabela1[[#This Row],[Cliente]],'BASE DE CLIENTES'!A:E,5,0)</f>
        <v>CEILANDIA SUL (CEILANDIA)</v>
      </c>
    </row>
    <row r="1796" spans="1:12" x14ac:dyDescent="0.3">
      <c r="B1796" s="1" t="s">
        <v>70</v>
      </c>
      <c r="C1796" s="4" t="str">
        <f>VLOOKUP(Tabela1[[#This Row],[Cliente]],'BASE DE CLIENTES'!A:E,2,0)</f>
        <v>Brasília</v>
      </c>
      <c r="D1796" s="1" t="str">
        <f>VLOOKUP(Tabela1[[#This Row],[Cliente]],'BASE DE CLIENTES'!A:C,3,0)</f>
        <v>DF</v>
      </c>
      <c r="E1796" s="4" t="str">
        <f>CONCATENATE(Tabela1[[#This Row],[CIDADE]],",",Tabela1[[#This Row],[UF]])</f>
        <v>Brasília,DF</v>
      </c>
      <c r="F1796" s="2">
        <v>45845</v>
      </c>
      <c r="G1796" s="17">
        <v>4820</v>
      </c>
      <c r="H1796" s="17">
        <v>6660</v>
      </c>
      <c r="I1796" s="6">
        <f>Tabela1[[#This Row],[Valor total]]-Tabela1[[#This Row],[Valor custo]]</f>
        <v>1840</v>
      </c>
      <c r="J1796" s="7">
        <f>Tabela1[[#This Row],[MARGEM BRUTA]]/Tabela1[[#This Row],[Valor total]]</f>
        <v>0.27627627627627627</v>
      </c>
      <c r="K1796" s="1" t="str">
        <f>VLOOKUP(Tabela1[[#This Row],[Cliente]],'BASE DE CLIENTES'!A:D,4,0)</f>
        <v>EMPRESA COM MAQUINA</v>
      </c>
      <c r="L1796" s="1" t="str">
        <f>VLOOKUP(Tabela1[[#This Row],[Cliente]],'BASE DE CLIENTES'!A:E,5,0)</f>
        <v>TAGUATINGA NORTE (TAGUATINGA)</v>
      </c>
    </row>
    <row r="1797" spans="1:12" x14ac:dyDescent="0.3">
      <c r="B1797" s="1" t="s">
        <v>68</v>
      </c>
      <c r="C1797" s="4" t="str">
        <f>VLOOKUP(Tabela1[[#This Row],[Cliente]],'BASE DE CLIENTES'!A:E,2,0)</f>
        <v>Brasília</v>
      </c>
      <c r="D1797" s="1" t="str">
        <f>VLOOKUP(Tabela1[[#This Row],[Cliente]],'BASE DE CLIENTES'!A:C,3,0)</f>
        <v>DF</v>
      </c>
      <c r="E1797" s="4" t="str">
        <f>CONCATENATE(Tabela1[[#This Row],[CIDADE]],",",Tabela1[[#This Row],[UF]])</f>
        <v>Brasília,DF</v>
      </c>
      <c r="F1797" s="2">
        <v>45846</v>
      </c>
      <c r="G1797" s="17">
        <v>3834</v>
      </c>
      <c r="H1797" s="17">
        <v>6720</v>
      </c>
      <c r="I1797" s="6">
        <f>Tabela1[[#This Row],[Valor total]]-Tabela1[[#This Row],[Valor custo]]</f>
        <v>2886</v>
      </c>
      <c r="J1797" s="7">
        <f>Tabela1[[#This Row],[MARGEM BRUTA]]/Tabela1[[#This Row],[Valor total]]</f>
        <v>0.42946428571428569</v>
      </c>
      <c r="K1797" s="1" t="str">
        <f>VLOOKUP(Tabela1[[#This Row],[Cliente]],'BASE DE CLIENTES'!A:D,4,0)</f>
        <v>EMPRESA COM MAQUINA</v>
      </c>
      <c r="L1797" s="1" t="str">
        <f>VLOOKUP(Tabela1[[#This Row],[Cliente]],'BASE DE CLIENTES'!A:E,5,0)</f>
        <v>SAMAMBAIA SUL (SAMAMBAIA)</v>
      </c>
    </row>
    <row r="1798" spans="1:12" x14ac:dyDescent="0.3">
      <c r="B1798" s="1" t="s">
        <v>250</v>
      </c>
      <c r="C1798" s="4" t="str">
        <f>VLOOKUP(Tabela1[[#This Row],[Cliente]],'BASE DE CLIENTES'!A:E,2,0)</f>
        <v>Livramento de Nossa Senhora</v>
      </c>
      <c r="D1798" s="1" t="str">
        <f>VLOOKUP(Tabela1[[#This Row],[Cliente]],'BASE DE CLIENTES'!A:C,3,0)</f>
        <v>BA</v>
      </c>
      <c r="E1798" s="4" t="str">
        <f>CONCATENATE(Tabela1[[#This Row],[CIDADE]],",",Tabela1[[#This Row],[UF]])</f>
        <v>Livramento de Nossa Senhora,BA</v>
      </c>
      <c r="F1798" s="2">
        <v>45742</v>
      </c>
      <c r="G1798" s="17">
        <v>2535.13</v>
      </c>
      <c r="H1798" s="17">
        <v>3609</v>
      </c>
      <c r="I1798" s="6">
        <f>Tabela1[[#This Row],[Valor total]]-Tabela1[[#This Row],[Valor custo]]</f>
        <v>1073.8699999999999</v>
      </c>
      <c r="J1798" s="7">
        <f>Tabela1[[#This Row],[MARGEM BRUTA]]/Tabela1[[#This Row],[Valor total]]</f>
        <v>0.2975533388750346</v>
      </c>
      <c r="K1798" s="1" t="str">
        <f>VLOOKUP(Tabela1[[#This Row],[Cliente]],'BASE DE CLIENTES'!A:D,4,0)</f>
        <v>SEM CLASSIFICAÇÃO</v>
      </c>
      <c r="L1798" s="1" t="str">
        <f>VLOOKUP(Tabela1[[#This Row],[Cliente]],'BASE DE CLIENTES'!A:E,5,0)</f>
        <v>Livramento de Nossa Senhora</v>
      </c>
    </row>
    <row r="1799" spans="1:12" x14ac:dyDescent="0.3">
      <c r="B1799" s="1" t="s">
        <v>250</v>
      </c>
      <c r="C1799" s="4" t="str">
        <f>VLOOKUP(Tabela1[[#This Row],[Cliente]],'BASE DE CLIENTES'!A:E,2,0)</f>
        <v>Livramento de Nossa Senhora</v>
      </c>
      <c r="D1799" s="1" t="str">
        <f>VLOOKUP(Tabela1[[#This Row],[Cliente]],'BASE DE CLIENTES'!A:C,3,0)</f>
        <v>BA</v>
      </c>
      <c r="E1799" s="4" t="str">
        <f>CONCATENATE(Tabela1[[#This Row],[CIDADE]],",",Tabela1[[#This Row],[UF]])</f>
        <v>Livramento de Nossa Senhora,BA</v>
      </c>
      <c r="F1799" s="2">
        <v>45748</v>
      </c>
      <c r="G1799" s="17">
        <v>894</v>
      </c>
      <c r="H1799" s="17">
        <v>1240</v>
      </c>
      <c r="I1799" s="6">
        <f>Tabela1[[#This Row],[Valor total]]-Tabela1[[#This Row],[Valor custo]]</f>
        <v>346</v>
      </c>
      <c r="J1799" s="7">
        <f>Tabela1[[#This Row],[MARGEM BRUTA]]/Tabela1[[#This Row],[Valor total]]</f>
        <v>0.27903225806451615</v>
      </c>
      <c r="K1799" s="1" t="str">
        <f>VLOOKUP(Tabela1[[#This Row],[Cliente]],'BASE DE CLIENTES'!A:D,4,0)</f>
        <v>SEM CLASSIFICAÇÃO</v>
      </c>
      <c r="L1799" s="1" t="str">
        <f>VLOOKUP(Tabela1[[#This Row],[Cliente]],'BASE DE CLIENTES'!A:E,5,0)</f>
        <v>Livramento de Nossa Senhora</v>
      </c>
    </row>
    <row r="1800" spans="1:12" x14ac:dyDescent="0.3">
      <c r="B1800" s="1" t="s">
        <v>140</v>
      </c>
      <c r="C1800" s="4" t="str">
        <f>VLOOKUP(Tabela1[[#This Row],[Cliente]],'BASE DE CLIENTES'!A:E,2,0)</f>
        <v>Brasília</v>
      </c>
      <c r="D1800" s="1" t="str">
        <f>VLOOKUP(Tabela1[[#This Row],[Cliente]],'BASE DE CLIENTES'!A:C,3,0)</f>
        <v>DF</v>
      </c>
      <c r="E1800" s="4" t="str">
        <f>CONCATENATE(Tabela1[[#This Row],[CIDADE]],",",Tabela1[[#This Row],[UF]])</f>
        <v>Brasília,DF</v>
      </c>
      <c r="F1800" s="2">
        <v>45843</v>
      </c>
      <c r="G1800" s="17">
        <v>725</v>
      </c>
      <c r="H1800" s="17">
        <v>1300</v>
      </c>
      <c r="I1800" s="6">
        <f>Tabela1[[#This Row],[Valor total]]-Tabela1[[#This Row],[Valor custo]]</f>
        <v>575</v>
      </c>
      <c r="J1800" s="7">
        <f>Tabela1[[#This Row],[MARGEM BRUTA]]/Tabela1[[#This Row],[Valor total]]</f>
        <v>0.44230769230769229</v>
      </c>
      <c r="K1800" s="1" t="str">
        <f>VLOOKUP(Tabela1[[#This Row],[Cliente]],'BASE DE CLIENTES'!A:D,4,0)</f>
        <v>EMPRESA COM MAQUINA</v>
      </c>
      <c r="L1800" s="1" t="str">
        <f>VLOOKUP(Tabela1[[#This Row],[Cliente]],'BASE DE CLIENTES'!A:E,5,0)</f>
        <v>RECANTO DAS EMAS</v>
      </c>
    </row>
    <row r="1801" spans="1:12" x14ac:dyDescent="0.3">
      <c r="B1801" s="1" t="s">
        <v>169</v>
      </c>
      <c r="C1801" s="4" t="str">
        <f>VLOOKUP(Tabela1[[#This Row],[Cliente]],'BASE DE CLIENTES'!A:E,2,0)</f>
        <v>Planaltina</v>
      </c>
      <c r="D1801" s="1" t="str">
        <f>VLOOKUP(Tabela1[[#This Row],[Cliente]],'BASE DE CLIENTES'!A:C,3,0)</f>
        <v>GO</v>
      </c>
      <c r="E1801" s="4" t="str">
        <f>CONCATENATE(Tabela1[[#This Row],[CIDADE]],",",Tabela1[[#This Row],[UF]])</f>
        <v>Planaltina,GO</v>
      </c>
      <c r="F1801" s="2">
        <v>45843</v>
      </c>
      <c r="G1801" s="17">
        <v>473</v>
      </c>
      <c r="H1801" s="17">
        <v>760</v>
      </c>
      <c r="I1801" s="6">
        <f>Tabela1[[#This Row],[Valor total]]-Tabela1[[#This Row],[Valor custo]]</f>
        <v>287</v>
      </c>
      <c r="J1801" s="7">
        <f>Tabela1[[#This Row],[MARGEM BRUTA]]/Tabela1[[#This Row],[Valor total]]</f>
        <v>0.37763157894736843</v>
      </c>
      <c r="K1801" s="1" t="str">
        <f>VLOOKUP(Tabela1[[#This Row],[Cliente]],'BASE DE CLIENTES'!A:D,4,0)</f>
        <v>SERRALHEIRO</v>
      </c>
      <c r="L1801" s="1" t="str">
        <f>VLOOKUP(Tabela1[[#This Row],[Cliente]],'BASE DE CLIENTES'!A:E,5,0)</f>
        <v>Planaltina</v>
      </c>
    </row>
    <row r="1802" spans="1:12" x14ac:dyDescent="0.3">
      <c r="A1802" s="1" t="s">
        <v>251</v>
      </c>
      <c r="B1802" s="1" t="s">
        <v>252</v>
      </c>
      <c r="C1802" s="4" t="str">
        <f>VLOOKUP(Tabela1[[#This Row],[Cliente]],'BASE DE CLIENTES'!A:E,2,0)</f>
        <v>Luziânia</v>
      </c>
      <c r="D1802" s="1" t="str">
        <f>VLOOKUP(Tabela1[[#This Row],[Cliente]],'BASE DE CLIENTES'!A:C,3,0)</f>
        <v>GO</v>
      </c>
      <c r="E1802" s="4" t="str">
        <f>CONCATENATE(Tabela1[[#This Row],[CIDADE]],",",Tabela1[[#This Row],[UF]])</f>
        <v>Luziânia,GO</v>
      </c>
      <c r="F1802" s="2">
        <v>45684</v>
      </c>
      <c r="G1802" s="17">
        <v>1712.69</v>
      </c>
      <c r="H1802" s="17">
        <v>2630</v>
      </c>
      <c r="I1802" s="6">
        <f>Tabela1[[#This Row],[Valor total]]-Tabela1[[#This Row],[Valor custo]]</f>
        <v>917.31</v>
      </c>
      <c r="J1802" s="7">
        <f>Tabela1[[#This Row],[MARGEM BRUTA]]/Tabela1[[#This Row],[Valor total]]</f>
        <v>0.34878707224334599</v>
      </c>
      <c r="K1802" s="1" t="str">
        <f>VLOOKUP(Tabela1[[#This Row],[Cliente]],'BASE DE CLIENTES'!A:D,4,0)</f>
        <v>SERRALHEIRO</v>
      </c>
      <c r="L1802" s="1" t="str">
        <f>VLOOKUP(Tabela1[[#This Row],[Cliente]],'BASE DE CLIENTES'!A:E,5,0)</f>
        <v>Luziânia</v>
      </c>
    </row>
    <row r="1803" spans="1:12" x14ac:dyDescent="0.3">
      <c r="B1803" s="1" t="s">
        <v>123</v>
      </c>
      <c r="C1803" s="4" t="str">
        <f>VLOOKUP(Tabela1[[#This Row],[Cliente]],'BASE DE CLIENTES'!A:E,2,0)</f>
        <v>Brasília</v>
      </c>
      <c r="D1803" s="1" t="str">
        <f>VLOOKUP(Tabela1[[#This Row],[Cliente]],'BASE DE CLIENTES'!A:C,3,0)</f>
        <v>DF</v>
      </c>
      <c r="E1803" s="4" t="str">
        <f>CONCATENATE(Tabela1[[#This Row],[CIDADE]],",",Tabela1[[#This Row],[UF]])</f>
        <v>Brasília,DF</v>
      </c>
      <c r="F1803" s="2">
        <v>45842</v>
      </c>
      <c r="G1803" s="17">
        <v>3331.6</v>
      </c>
      <c r="H1803" s="17">
        <v>5088</v>
      </c>
      <c r="I1803" s="6">
        <f>Tabela1[[#This Row],[Valor total]]-Tabela1[[#This Row],[Valor custo]]</f>
        <v>1756.4</v>
      </c>
      <c r="J1803" s="7">
        <f>Tabela1[[#This Row],[MARGEM BRUTA]]/Tabela1[[#This Row],[Valor total]]</f>
        <v>0.34520440251572326</v>
      </c>
      <c r="K1803" s="1" t="str">
        <f>VLOOKUP(Tabela1[[#This Row],[Cliente]],'BASE DE CLIENTES'!A:D,4,0)</f>
        <v>EMPRESA COM MAQUINA</v>
      </c>
      <c r="L1803" s="1" t="str">
        <f>VLOOKUP(Tabela1[[#This Row],[Cliente]],'BASE DE CLIENTES'!A:E,5,0)</f>
        <v>ADE CEILÂNDIA</v>
      </c>
    </row>
    <row r="1804" spans="1:12" x14ac:dyDescent="0.3">
      <c r="B1804" s="1" t="s">
        <v>253</v>
      </c>
      <c r="C1804" s="4" t="str">
        <f>VLOOKUP(Tabela1[[#This Row],[Cliente]],'BASE DE CLIENTES'!A:E,2,0)</f>
        <v>Luziânia</v>
      </c>
      <c r="D1804" s="1" t="str">
        <f>VLOOKUP(Tabela1[[#This Row],[Cliente]],'BASE DE CLIENTES'!A:C,3,0)</f>
        <v>GO</v>
      </c>
      <c r="E1804" s="4" t="str">
        <f>CONCATENATE(Tabela1[[#This Row],[CIDADE]],",",Tabela1[[#This Row],[UF]])</f>
        <v>Luziânia,GO</v>
      </c>
      <c r="F1804" s="2">
        <v>45678</v>
      </c>
      <c r="G1804" s="17">
        <v>13.69</v>
      </c>
      <c r="H1804" s="17">
        <v>470</v>
      </c>
      <c r="I1804" s="6">
        <f>Tabela1[[#This Row],[Valor total]]-Tabela1[[#This Row],[Valor custo]]</f>
        <v>456.31</v>
      </c>
      <c r="J1804" s="7">
        <f>Tabela1[[#This Row],[MARGEM BRUTA]]/Tabela1[[#This Row],[Valor total]]</f>
        <v>0.97087234042553194</v>
      </c>
      <c r="K1804" s="1" t="str">
        <f>VLOOKUP(Tabela1[[#This Row],[Cliente]],'BASE DE CLIENTES'!A:D,4,0)</f>
        <v>EMPRESA COM MAQUINA</v>
      </c>
      <c r="L1804" s="1" t="str">
        <f>VLOOKUP(Tabela1[[#This Row],[Cliente]],'BASE DE CLIENTES'!A:E,5,0)</f>
        <v>Luziânia</v>
      </c>
    </row>
    <row r="1805" spans="1:12" x14ac:dyDescent="0.3">
      <c r="B1805" s="1" t="s">
        <v>55</v>
      </c>
      <c r="C1805" s="4" t="str">
        <f>VLOOKUP(Tabela1[[#This Row],[Cliente]],'BASE DE CLIENTES'!A:E,2,0)</f>
        <v>Brasília</v>
      </c>
      <c r="D1805" s="1" t="str">
        <f>VLOOKUP(Tabela1[[#This Row],[Cliente]],'BASE DE CLIENTES'!A:C,3,0)</f>
        <v>DF</v>
      </c>
      <c r="E1805" s="4" t="str">
        <f>CONCATENATE(Tabela1[[#This Row],[CIDADE]],",",Tabela1[[#This Row],[UF]])</f>
        <v>Brasília,DF</v>
      </c>
      <c r="F1805" s="2">
        <v>45842</v>
      </c>
      <c r="G1805" s="17">
        <v>725</v>
      </c>
      <c r="H1805" s="17">
        <v>1350</v>
      </c>
      <c r="I1805" s="6">
        <f>Tabela1[[#This Row],[Valor total]]-Tabela1[[#This Row],[Valor custo]]</f>
        <v>625</v>
      </c>
      <c r="J1805" s="7">
        <f>Tabela1[[#This Row],[MARGEM BRUTA]]/Tabela1[[#This Row],[Valor total]]</f>
        <v>0.46296296296296297</v>
      </c>
      <c r="K1805" s="1" t="str">
        <f>VLOOKUP(Tabela1[[#This Row],[Cliente]],'BASE DE CLIENTES'!A:D,4,0)</f>
        <v>EMPRESA SEM MAQUINA</v>
      </c>
      <c r="L1805" s="1" t="str">
        <f>VLOOKUP(Tabela1[[#This Row],[Cliente]],'BASE DE CLIENTES'!A:E,5,0)</f>
        <v>RECANTO DAS EMAS</v>
      </c>
    </row>
    <row r="1806" spans="1:12" x14ac:dyDescent="0.3">
      <c r="B1806" s="1" t="s">
        <v>249</v>
      </c>
      <c r="C1806" s="4" t="str">
        <f>VLOOKUP(Tabela1[[#This Row],[Cliente]],'BASE DE CLIENTES'!A:E,2,0)</f>
        <v>Brasília</v>
      </c>
      <c r="D1806" s="1" t="str">
        <f>VLOOKUP(Tabela1[[#This Row],[Cliente]],'BASE DE CLIENTES'!A:C,3,0)</f>
        <v>DF</v>
      </c>
      <c r="E1806" s="4" t="str">
        <f>CONCATENATE(Tabela1[[#This Row],[CIDADE]],",",Tabela1[[#This Row],[UF]])</f>
        <v>Brasília,DF</v>
      </c>
      <c r="F1806" s="2">
        <v>45831</v>
      </c>
      <c r="G1806" s="17">
        <v>920</v>
      </c>
      <c r="H1806" s="17">
        <v>1300</v>
      </c>
      <c r="I1806" s="6">
        <f>Tabela1[[#This Row],[Valor total]]-Tabela1[[#This Row],[Valor custo]]</f>
        <v>380</v>
      </c>
      <c r="J1806" s="7">
        <f>Tabela1[[#This Row],[MARGEM BRUTA]]/Tabela1[[#This Row],[Valor total]]</f>
        <v>0.29230769230769232</v>
      </c>
      <c r="K1806" s="1" t="str">
        <f>VLOOKUP(Tabela1[[#This Row],[Cliente]],'BASE DE CLIENTES'!A:D,4,0)</f>
        <v>SEM CLASSIFICAÇÃO</v>
      </c>
      <c r="L1806" s="1" t="str">
        <f>VLOOKUP(Tabela1[[#This Row],[Cliente]],'BASE DE CLIENTES'!A:E,5,0)</f>
        <v>NA</v>
      </c>
    </row>
    <row r="1807" spans="1:12" x14ac:dyDescent="0.3">
      <c r="B1807" s="1" t="s">
        <v>128</v>
      </c>
      <c r="C1807" s="4" t="str">
        <f>VLOOKUP(Tabela1[[#This Row],[Cliente]],'BASE DE CLIENTES'!A:E,2,0)</f>
        <v>Brasília</v>
      </c>
      <c r="D1807" s="1" t="str">
        <f>VLOOKUP(Tabela1[[#This Row],[Cliente]],'BASE DE CLIENTES'!A:C,3,0)</f>
        <v>DF</v>
      </c>
      <c r="E1807" s="4" t="str">
        <f>CONCATENATE(Tabela1[[#This Row],[CIDADE]],",",Tabela1[[#This Row],[UF]])</f>
        <v>Brasília,DF</v>
      </c>
      <c r="F1807" s="2">
        <v>45842</v>
      </c>
      <c r="G1807" s="17">
        <v>909.8</v>
      </c>
      <c r="H1807" s="17">
        <v>1360</v>
      </c>
      <c r="I1807" s="6">
        <f>Tabela1[[#This Row],[Valor total]]-Tabela1[[#This Row],[Valor custo]]</f>
        <v>450.20000000000005</v>
      </c>
      <c r="J1807" s="7">
        <f>Tabela1[[#This Row],[MARGEM BRUTA]]/Tabela1[[#This Row],[Valor total]]</f>
        <v>0.33102941176470591</v>
      </c>
      <c r="K1807" s="1" t="str">
        <f>VLOOKUP(Tabela1[[#This Row],[Cliente]],'BASE DE CLIENTES'!A:D,4,0)</f>
        <v>SERRALHEIRO</v>
      </c>
      <c r="L1807" s="1" t="str">
        <f>VLOOKUP(Tabela1[[#This Row],[Cliente]],'BASE DE CLIENTES'!A:E,5,0)</f>
        <v>TAGUATINGA NORTE</v>
      </c>
    </row>
    <row r="1808" spans="1:12" x14ac:dyDescent="0.3">
      <c r="B1808" s="1" t="s">
        <v>187</v>
      </c>
      <c r="C1808" s="4" t="str">
        <f>VLOOKUP(Tabela1[[#This Row],[Cliente]],'BASE DE CLIENTES'!A:E,2,0)</f>
        <v>Brasília</v>
      </c>
      <c r="D1808" s="1" t="str">
        <f>VLOOKUP(Tabela1[[#This Row],[Cliente]],'BASE DE CLIENTES'!A:C,3,0)</f>
        <v>DF</v>
      </c>
      <c r="E1808" s="4" t="str">
        <f>CONCATENATE(Tabela1[[#This Row],[CIDADE]],",",Tabela1[[#This Row],[UF]])</f>
        <v>Brasília,DF</v>
      </c>
      <c r="F1808" s="2">
        <v>45842</v>
      </c>
      <c r="G1808" s="17">
        <v>0</v>
      </c>
      <c r="H1808" s="17">
        <v>100</v>
      </c>
      <c r="I1808" s="6">
        <f>Tabela1[[#This Row],[Valor total]]-Tabela1[[#This Row],[Valor custo]]</f>
        <v>100</v>
      </c>
      <c r="J1808" s="7">
        <f>Tabela1[[#This Row],[MARGEM BRUTA]]/Tabela1[[#This Row],[Valor total]]</f>
        <v>1</v>
      </c>
      <c r="K1808" s="1" t="str">
        <f>VLOOKUP(Tabela1[[#This Row],[Cliente]],'BASE DE CLIENTES'!A:D,4,0)</f>
        <v>SERRALHEIRO</v>
      </c>
      <c r="L1808" s="1" t="str">
        <f>VLOOKUP(Tabela1[[#This Row],[Cliente]],'BASE DE CLIENTES'!A:E,5,0)</f>
        <v>CEILANDIA SUL (CEILANDIA)</v>
      </c>
    </row>
    <row r="1809" spans="2:12" x14ac:dyDescent="0.3">
      <c r="B1809" s="1" t="s">
        <v>253</v>
      </c>
      <c r="C1809" s="4" t="str">
        <f>VLOOKUP(Tabela1[[#This Row],[Cliente]],'BASE DE CLIENTES'!A:E,2,0)</f>
        <v>Luziânia</v>
      </c>
      <c r="D1809" s="1" t="str">
        <f>VLOOKUP(Tabela1[[#This Row],[Cliente]],'BASE DE CLIENTES'!A:C,3,0)</f>
        <v>GO</v>
      </c>
      <c r="E1809" s="4" t="str">
        <f>CONCATENATE(Tabela1[[#This Row],[CIDADE]],",",Tabela1[[#This Row],[UF]])</f>
        <v>Luziânia,GO</v>
      </c>
      <c r="F1809" s="2">
        <v>45673</v>
      </c>
      <c r="G1809" s="17">
        <v>899.28</v>
      </c>
      <c r="H1809" s="17">
        <v>1360</v>
      </c>
      <c r="I1809" s="6">
        <f>Tabela1[[#This Row],[Valor total]]-Tabela1[[#This Row],[Valor custo]]</f>
        <v>460.72</v>
      </c>
      <c r="J1809" s="7">
        <f>Tabela1[[#This Row],[MARGEM BRUTA]]/Tabela1[[#This Row],[Valor total]]</f>
        <v>0.33876470588235297</v>
      </c>
      <c r="K1809" s="1" t="str">
        <f>VLOOKUP(Tabela1[[#This Row],[Cliente]],'BASE DE CLIENTES'!A:D,4,0)</f>
        <v>EMPRESA COM MAQUINA</v>
      </c>
      <c r="L1809" s="1" t="str">
        <f>VLOOKUP(Tabela1[[#This Row],[Cliente]],'BASE DE CLIENTES'!A:E,5,0)</f>
        <v>Luziânia</v>
      </c>
    </row>
    <row r="1810" spans="2:12" x14ac:dyDescent="0.3">
      <c r="B1810" s="1" t="s">
        <v>107</v>
      </c>
      <c r="C1810" s="4" t="str">
        <f>VLOOKUP(Tabela1[[#This Row],[Cliente]],'BASE DE CLIENTES'!A:E,2,0)</f>
        <v>Planaltina</v>
      </c>
      <c r="D1810" s="1" t="str">
        <f>VLOOKUP(Tabela1[[#This Row],[Cliente]],'BASE DE CLIENTES'!A:C,3,0)</f>
        <v>DF</v>
      </c>
      <c r="E1810" s="4" t="str">
        <f>CONCATENATE(Tabela1[[#This Row],[CIDADE]],",",Tabela1[[#This Row],[UF]])</f>
        <v>Planaltina,DF</v>
      </c>
      <c r="F1810" s="2">
        <v>45842</v>
      </c>
      <c r="G1810" s="17">
        <v>946</v>
      </c>
      <c r="H1810" s="17">
        <v>1290</v>
      </c>
      <c r="I1810" s="6">
        <f>Tabela1[[#This Row],[Valor total]]-Tabela1[[#This Row],[Valor custo]]</f>
        <v>344</v>
      </c>
      <c r="J1810" s="7">
        <f>Tabela1[[#This Row],[MARGEM BRUTA]]/Tabela1[[#This Row],[Valor total]]</f>
        <v>0.26666666666666666</v>
      </c>
      <c r="K1810" s="1" t="str">
        <f>VLOOKUP(Tabela1[[#This Row],[Cliente]],'BASE DE CLIENTES'!A:D,4,0)</f>
        <v>EMPRESA COM MAQUINA</v>
      </c>
      <c r="L1810" s="1" t="str">
        <f>VLOOKUP(Tabela1[[#This Row],[Cliente]],'BASE DE CLIENTES'!A:E,5,0)</f>
        <v>SETOR LESTE</v>
      </c>
    </row>
    <row r="1811" spans="2:12" x14ac:dyDescent="0.3">
      <c r="B1811" s="1" t="s">
        <v>52</v>
      </c>
      <c r="C1811" s="4" t="str">
        <f>VLOOKUP(Tabela1[[#This Row],[Cliente]],'BASE DE CLIENTES'!A:E,2,0)</f>
        <v>Brasília</v>
      </c>
      <c r="D1811" s="1" t="str">
        <f>VLOOKUP(Tabela1[[#This Row],[Cliente]],'BASE DE CLIENTES'!A:C,3,0)</f>
        <v>DF</v>
      </c>
      <c r="E1811" s="4" t="str">
        <f>CONCATENATE(Tabela1[[#This Row],[CIDADE]],",",Tabela1[[#This Row],[UF]])</f>
        <v>Brasília,DF</v>
      </c>
      <c r="F1811" s="2">
        <v>45842</v>
      </c>
      <c r="G1811" s="17">
        <v>1165.3</v>
      </c>
      <c r="H1811" s="17">
        <v>1814</v>
      </c>
      <c r="I1811" s="6">
        <f>Tabela1[[#This Row],[Valor total]]-Tabela1[[#This Row],[Valor custo]]</f>
        <v>648.70000000000005</v>
      </c>
      <c r="J1811" s="7">
        <f>Tabela1[[#This Row],[MARGEM BRUTA]]/Tabela1[[#This Row],[Valor total]]</f>
        <v>0.35760749724366042</v>
      </c>
      <c r="K1811" s="1" t="str">
        <f>VLOOKUP(Tabela1[[#This Row],[Cliente]],'BASE DE CLIENTES'!A:D,4,0)</f>
        <v>SERRALHEIRO</v>
      </c>
      <c r="L1811" s="1" t="str">
        <f>VLOOKUP(Tabela1[[#This Row],[Cliente]],'BASE DE CLIENTES'!A:E,5,0)</f>
        <v>Ceilândia Sul (Ceilândia)</v>
      </c>
    </row>
    <row r="1812" spans="2:12" x14ac:dyDescent="0.3">
      <c r="B1812" s="1" t="s">
        <v>97</v>
      </c>
      <c r="C1812" s="4" t="str">
        <f>VLOOKUP(Tabela1[[#This Row],[Cliente]],'BASE DE CLIENTES'!A:E,2,0)</f>
        <v>Brasília</v>
      </c>
      <c r="D1812" s="1" t="str">
        <f>VLOOKUP(Tabela1[[#This Row],[Cliente]],'BASE DE CLIENTES'!A:C,3,0)</f>
        <v>DF</v>
      </c>
      <c r="E1812" s="4" t="str">
        <f>CONCATENATE(Tabela1[[#This Row],[CIDADE]],",",Tabela1[[#This Row],[UF]])</f>
        <v>Brasília,DF</v>
      </c>
      <c r="F1812" s="2">
        <v>45842</v>
      </c>
      <c r="G1812" s="17">
        <v>0</v>
      </c>
      <c r="H1812" s="17">
        <v>530</v>
      </c>
      <c r="I1812" s="6">
        <f>Tabela1[[#This Row],[Valor total]]-Tabela1[[#This Row],[Valor custo]]</f>
        <v>530</v>
      </c>
      <c r="J1812" s="7">
        <f>Tabela1[[#This Row],[MARGEM BRUTA]]/Tabela1[[#This Row],[Valor total]]</f>
        <v>1</v>
      </c>
      <c r="K1812" s="1" t="str">
        <f>VLOOKUP(Tabela1[[#This Row],[Cliente]],'BASE DE CLIENTES'!A:D,4,0)</f>
        <v>SERRALHEIRO</v>
      </c>
      <c r="L1812" s="1" t="str">
        <f>VLOOKUP(Tabela1[[#This Row],[Cliente]],'BASE DE CLIENTES'!A:E,5,0)</f>
        <v>CEILANDIA NORTE</v>
      </c>
    </row>
    <row r="1813" spans="2:12" x14ac:dyDescent="0.3">
      <c r="B1813" s="1" t="s">
        <v>253</v>
      </c>
      <c r="C1813" s="4" t="str">
        <f>VLOOKUP(Tabela1[[#This Row],[Cliente]],'BASE DE CLIENTES'!A:E,2,0)</f>
        <v>Luziânia</v>
      </c>
      <c r="D1813" s="1" t="str">
        <f>VLOOKUP(Tabela1[[#This Row],[Cliente]],'BASE DE CLIENTES'!A:C,3,0)</f>
        <v>GO</v>
      </c>
      <c r="E1813" s="4" t="str">
        <f>CONCATENATE(Tabela1[[#This Row],[CIDADE]],",",Tabela1[[#This Row],[UF]])</f>
        <v>Luziânia,GO</v>
      </c>
      <c r="F1813" s="2">
        <v>45672</v>
      </c>
      <c r="G1813" s="17">
        <v>878.4</v>
      </c>
      <c r="H1813" s="17">
        <v>1290</v>
      </c>
      <c r="I1813" s="6">
        <f>Tabela1[[#This Row],[Valor total]]-Tabela1[[#This Row],[Valor custo]]</f>
        <v>411.6</v>
      </c>
      <c r="J1813" s="7">
        <f>Tabela1[[#This Row],[MARGEM BRUTA]]/Tabela1[[#This Row],[Valor total]]</f>
        <v>0.3190697674418605</v>
      </c>
      <c r="K1813" s="1" t="str">
        <f>VLOOKUP(Tabela1[[#This Row],[Cliente]],'BASE DE CLIENTES'!A:D,4,0)</f>
        <v>EMPRESA COM MAQUINA</v>
      </c>
      <c r="L1813" s="1" t="str">
        <f>VLOOKUP(Tabela1[[#This Row],[Cliente]],'BASE DE CLIENTES'!A:E,5,0)</f>
        <v>Luziânia</v>
      </c>
    </row>
    <row r="1814" spans="2:12" x14ac:dyDescent="0.3">
      <c r="B1814" s="1" t="s">
        <v>253</v>
      </c>
      <c r="C1814" s="4" t="str">
        <f>VLOOKUP(Tabela1[[#This Row],[Cliente]],'BASE DE CLIENTES'!A:E,2,0)</f>
        <v>Luziânia</v>
      </c>
      <c r="D1814" s="1" t="str">
        <f>VLOOKUP(Tabela1[[#This Row],[Cliente]],'BASE DE CLIENTES'!A:C,3,0)</f>
        <v>GO</v>
      </c>
      <c r="E1814" s="4" t="str">
        <f>CONCATENATE(Tabela1[[#This Row],[CIDADE]],",",Tabela1[[#This Row],[UF]])</f>
        <v>Luziânia,GO</v>
      </c>
      <c r="F1814" s="2">
        <v>45670</v>
      </c>
      <c r="G1814" s="17">
        <v>439.2</v>
      </c>
      <c r="H1814" s="17">
        <v>645</v>
      </c>
      <c r="I1814" s="6">
        <f>Tabela1[[#This Row],[Valor total]]-Tabela1[[#This Row],[Valor custo]]</f>
        <v>205.8</v>
      </c>
      <c r="J1814" s="7">
        <f>Tabela1[[#This Row],[MARGEM BRUTA]]/Tabela1[[#This Row],[Valor total]]</f>
        <v>0.3190697674418605</v>
      </c>
      <c r="K1814" s="1" t="str">
        <f>VLOOKUP(Tabela1[[#This Row],[Cliente]],'BASE DE CLIENTES'!A:D,4,0)</f>
        <v>EMPRESA COM MAQUINA</v>
      </c>
      <c r="L1814" s="1" t="str">
        <f>VLOOKUP(Tabela1[[#This Row],[Cliente]],'BASE DE CLIENTES'!A:E,5,0)</f>
        <v>Luziânia</v>
      </c>
    </row>
    <row r="1815" spans="2:12" x14ac:dyDescent="0.3">
      <c r="B1815" s="1" t="s">
        <v>121</v>
      </c>
      <c r="C1815" s="4" t="str">
        <f>VLOOKUP(Tabela1[[#This Row],[Cliente]],'BASE DE CLIENTES'!A:E,2,0)</f>
        <v>Brasília</v>
      </c>
      <c r="D1815" s="1" t="str">
        <f>VLOOKUP(Tabela1[[#This Row],[Cliente]],'BASE DE CLIENTES'!A:C,3,0)</f>
        <v>DF</v>
      </c>
      <c r="E1815" s="4" t="str">
        <f>CONCATENATE(Tabela1[[#This Row],[CIDADE]],",",Tabela1[[#This Row],[UF]])</f>
        <v>Brasília,DF</v>
      </c>
      <c r="F1815" s="2">
        <v>45863</v>
      </c>
      <c r="G1815" s="17">
        <v>27.38</v>
      </c>
      <c r="H1815" s="17">
        <v>240</v>
      </c>
      <c r="I1815" s="6">
        <f>Tabela1[[#This Row],[Valor total]]-Tabela1[[#This Row],[Valor custo]]</f>
        <v>212.62</v>
      </c>
      <c r="J1815" s="7">
        <f>Tabela1[[#This Row],[MARGEM BRUTA]]/Tabela1[[#This Row],[Valor total]]</f>
        <v>0.88591666666666669</v>
      </c>
      <c r="K1815" s="1" t="str">
        <f>VLOOKUP(Tabela1[[#This Row],[Cliente]],'BASE DE CLIENTES'!A:D,4,0)</f>
        <v>SEM CLASSIFICAÇÃO</v>
      </c>
      <c r="L1815" s="1" t="str">
        <f>VLOOKUP(Tabela1[[#This Row],[Cliente]],'BASE DE CLIENTES'!A:E,5,0)</f>
        <v>Asa Sul</v>
      </c>
    </row>
    <row r="1816" spans="2:12" x14ac:dyDescent="0.3">
      <c r="B1816" s="1" t="s">
        <v>161</v>
      </c>
      <c r="C1816" s="4" t="str">
        <f>VLOOKUP(Tabela1[[#This Row],[Cliente]],'BASE DE CLIENTES'!A:E,2,0)</f>
        <v>Brasília</v>
      </c>
      <c r="D1816" s="1" t="str">
        <f>VLOOKUP(Tabela1[[#This Row],[Cliente]],'BASE DE CLIENTES'!A:C,3,0)</f>
        <v>DF</v>
      </c>
      <c r="E1816" s="4" t="str">
        <f>CONCATENATE(Tabela1[[#This Row],[CIDADE]],",",Tabela1[[#This Row],[UF]])</f>
        <v>Brasília,DF</v>
      </c>
      <c r="F1816" s="2">
        <v>45842</v>
      </c>
      <c r="G1816" s="17">
        <v>3834</v>
      </c>
      <c r="H1816" s="17">
        <v>6930</v>
      </c>
      <c r="I1816" s="6">
        <f>Tabela1[[#This Row],[Valor total]]-Tabela1[[#This Row],[Valor custo]]</f>
        <v>3096</v>
      </c>
      <c r="J1816" s="7">
        <f>Tabela1[[#This Row],[MARGEM BRUTA]]/Tabela1[[#This Row],[Valor total]]</f>
        <v>0.44675324675324674</v>
      </c>
      <c r="K1816" s="1" t="str">
        <f>VLOOKUP(Tabela1[[#This Row],[Cliente]],'BASE DE CLIENTES'!A:D,4,0)</f>
        <v>EMPRESA COM MAQUINA</v>
      </c>
      <c r="L1816" s="1" t="str">
        <f>VLOOKUP(Tabela1[[#This Row],[Cliente]],'BASE DE CLIENTES'!A:E,5,0)</f>
        <v>RIACHO FUNDO II</v>
      </c>
    </row>
    <row r="1817" spans="2:12" x14ac:dyDescent="0.3">
      <c r="B1817" s="1" t="s">
        <v>253</v>
      </c>
      <c r="C1817" s="4" t="str">
        <f>VLOOKUP(Tabela1[[#This Row],[Cliente]],'BASE DE CLIENTES'!A:E,2,0)</f>
        <v>Luziânia</v>
      </c>
      <c r="D1817" s="1" t="str">
        <f>VLOOKUP(Tabela1[[#This Row],[Cliente]],'BASE DE CLIENTES'!A:C,3,0)</f>
        <v>GO</v>
      </c>
      <c r="E1817" s="4" t="str">
        <f>CONCATENATE(Tabela1[[#This Row],[CIDADE]],",",Tabela1[[#This Row],[UF]])</f>
        <v>Luziânia,GO</v>
      </c>
      <c r="F1817" s="2">
        <v>45667</v>
      </c>
      <c r="G1817" s="17">
        <v>439.2</v>
      </c>
      <c r="H1817" s="17">
        <v>645</v>
      </c>
      <c r="I1817" s="6">
        <f>Tabela1[[#This Row],[Valor total]]-Tabela1[[#This Row],[Valor custo]]</f>
        <v>205.8</v>
      </c>
      <c r="J1817" s="7">
        <f>Tabela1[[#This Row],[MARGEM BRUTA]]/Tabela1[[#This Row],[Valor total]]</f>
        <v>0.3190697674418605</v>
      </c>
      <c r="K1817" s="1" t="str">
        <f>VLOOKUP(Tabela1[[#This Row],[Cliente]],'BASE DE CLIENTES'!A:D,4,0)</f>
        <v>EMPRESA COM MAQUINA</v>
      </c>
      <c r="L1817" s="1" t="str">
        <f>VLOOKUP(Tabela1[[#This Row],[Cliente]],'BASE DE CLIENTES'!A:E,5,0)</f>
        <v>Luziânia</v>
      </c>
    </row>
    <row r="1818" spans="2:12" x14ac:dyDescent="0.3">
      <c r="B1818" s="1" t="s">
        <v>138</v>
      </c>
      <c r="C1818" s="4" t="str">
        <f>VLOOKUP(Tabela1[[#This Row],[Cliente]],'BASE DE CLIENTES'!A:E,2,0)</f>
        <v>Brasília</v>
      </c>
      <c r="D1818" s="1" t="str">
        <f>VLOOKUP(Tabela1[[#This Row],[Cliente]],'BASE DE CLIENTES'!A:C,3,0)</f>
        <v>DF</v>
      </c>
      <c r="E1818" s="4" t="str">
        <f>CONCATENATE(Tabela1[[#This Row],[CIDADE]],",",Tabela1[[#This Row],[UF]])</f>
        <v>Brasília,DF</v>
      </c>
      <c r="F1818" s="2">
        <v>45841</v>
      </c>
      <c r="G1818" s="17">
        <v>2000</v>
      </c>
      <c r="H1818" s="17">
        <v>3000</v>
      </c>
      <c r="I1818" s="6">
        <f>Tabela1[[#This Row],[Valor total]]-Tabela1[[#This Row],[Valor custo]]</f>
        <v>1000</v>
      </c>
      <c r="J1818" s="7">
        <f>Tabela1[[#This Row],[MARGEM BRUTA]]/Tabela1[[#This Row],[Valor total]]</f>
        <v>0.33333333333333331</v>
      </c>
      <c r="K1818" s="1" t="str">
        <f>VLOOKUP(Tabela1[[#This Row],[Cliente]],'BASE DE CLIENTES'!A:D,4,0)</f>
        <v>OUTROS RAMOS</v>
      </c>
      <c r="L1818" s="1" t="str">
        <f>VLOOKUP(Tabela1[[#This Row],[Cliente]],'BASE DE CLIENTES'!A:E,5,0)</f>
        <v>CEILANDIA NORTE (CEILANDIA)</v>
      </c>
    </row>
    <row r="1819" spans="2:12" x14ac:dyDescent="0.3">
      <c r="B1819" s="1" t="s">
        <v>252</v>
      </c>
      <c r="C1819" s="4" t="str">
        <f>VLOOKUP(Tabela1[[#This Row],[Cliente]],'BASE DE CLIENTES'!A:E,2,0)</f>
        <v>Luziânia</v>
      </c>
      <c r="D1819" s="1" t="str">
        <f>VLOOKUP(Tabela1[[#This Row],[Cliente]],'BASE DE CLIENTES'!A:C,3,0)</f>
        <v>GO</v>
      </c>
      <c r="E1819" s="4" t="str">
        <f>CONCATENATE(Tabela1[[#This Row],[CIDADE]],",",Tabela1[[#This Row],[UF]])</f>
        <v>Luziânia,GO</v>
      </c>
      <c r="F1819" s="2">
        <v>45665</v>
      </c>
      <c r="G1819" s="17">
        <v>1594.35</v>
      </c>
      <c r="H1819" s="17">
        <v>2355</v>
      </c>
      <c r="I1819" s="6">
        <f>Tabela1[[#This Row],[Valor total]]-Tabela1[[#This Row],[Valor custo]]</f>
        <v>760.65000000000009</v>
      </c>
      <c r="J1819" s="7">
        <f>Tabela1[[#This Row],[MARGEM BRUTA]]/Tabela1[[#This Row],[Valor total]]</f>
        <v>0.32299363057324842</v>
      </c>
      <c r="K1819" s="1" t="str">
        <f>VLOOKUP(Tabela1[[#This Row],[Cliente]],'BASE DE CLIENTES'!A:D,4,0)</f>
        <v>SERRALHEIRO</v>
      </c>
      <c r="L1819" s="1" t="str">
        <f>VLOOKUP(Tabela1[[#This Row],[Cliente]],'BASE DE CLIENTES'!A:E,5,0)</f>
        <v>Luziânia</v>
      </c>
    </row>
    <row r="1820" spans="2:12" x14ac:dyDescent="0.3">
      <c r="B1820" s="1" t="s">
        <v>85</v>
      </c>
      <c r="C1820" s="4" t="str">
        <f>VLOOKUP(Tabela1[[#This Row],[Cliente]],'BASE DE CLIENTES'!A:E,2,0)</f>
        <v>Brasília</v>
      </c>
      <c r="D1820" s="1" t="str">
        <f>VLOOKUP(Tabela1[[#This Row],[Cliente]],'BASE DE CLIENTES'!A:C,3,0)</f>
        <v>DF</v>
      </c>
      <c r="E1820" s="4" t="str">
        <f>CONCATENATE(Tabela1[[#This Row],[CIDADE]],",",Tabela1[[#This Row],[UF]])</f>
        <v>Brasília,DF</v>
      </c>
      <c r="F1820" s="2">
        <v>45841</v>
      </c>
      <c r="G1820" s="17">
        <v>555</v>
      </c>
      <c r="H1820" s="17">
        <v>730</v>
      </c>
      <c r="I1820" s="6">
        <f>Tabela1[[#This Row],[Valor total]]-Tabela1[[#This Row],[Valor custo]]</f>
        <v>175</v>
      </c>
      <c r="J1820" s="7">
        <f>Tabela1[[#This Row],[MARGEM BRUTA]]/Tabela1[[#This Row],[Valor total]]</f>
        <v>0.23972602739726026</v>
      </c>
      <c r="K1820" s="1" t="str">
        <f>VLOOKUP(Tabela1[[#This Row],[Cliente]],'BASE DE CLIENTES'!A:D,4,0)</f>
        <v>SERRALHEIRO</v>
      </c>
      <c r="L1820" s="1" t="str">
        <f>VLOOKUP(Tabela1[[#This Row],[Cliente]],'BASE DE CLIENTES'!A:E,5,0)</f>
        <v>SAMAMBAIA NORTE (SAMAMBAIA)</v>
      </c>
    </row>
    <row r="1821" spans="2:12" x14ac:dyDescent="0.3">
      <c r="B1821" s="1" t="s">
        <v>96</v>
      </c>
      <c r="C1821" s="4" t="str">
        <f>VLOOKUP(Tabela1[[#This Row],[Cliente]],'BASE DE CLIENTES'!A:E,2,0)</f>
        <v>Brasília</v>
      </c>
      <c r="D1821" s="1" t="str">
        <f>VLOOKUP(Tabela1[[#This Row],[Cliente]],'BASE DE CLIENTES'!A:C,3,0)</f>
        <v>DF</v>
      </c>
      <c r="E1821" s="4" t="str">
        <f>CONCATENATE(Tabela1[[#This Row],[CIDADE]],",",Tabela1[[#This Row],[UF]])</f>
        <v>Brasília,DF</v>
      </c>
      <c r="F1821" s="2">
        <v>45841</v>
      </c>
      <c r="G1821" s="17">
        <v>192</v>
      </c>
      <c r="H1821" s="17">
        <v>250</v>
      </c>
      <c r="I1821" s="6">
        <f>Tabela1[[#This Row],[Valor total]]-Tabela1[[#This Row],[Valor custo]]</f>
        <v>58</v>
      </c>
      <c r="J1821" s="7">
        <f>Tabela1[[#This Row],[MARGEM BRUTA]]/Tabela1[[#This Row],[Valor total]]</f>
        <v>0.23200000000000001</v>
      </c>
      <c r="K1821" s="1" t="str">
        <f>VLOOKUP(Tabela1[[#This Row],[Cliente]],'BASE DE CLIENTES'!A:D,4,0)</f>
        <v>EMPRESA SEM MAQUINA</v>
      </c>
      <c r="L1821" s="1" t="str">
        <f>VLOOKUP(Tabela1[[#This Row],[Cliente]],'BASE DE CLIENTES'!A:E,5,0)</f>
        <v>CEILANDIA NORTE (CEILANDIA)</v>
      </c>
    </row>
    <row r="1822" spans="2:12" x14ac:dyDescent="0.3">
      <c r="B1822" s="1" t="s">
        <v>253</v>
      </c>
      <c r="C1822" s="4" t="str">
        <f>VLOOKUP(Tabela1[[#This Row],[Cliente]],'BASE DE CLIENTES'!A:E,2,0)</f>
        <v>Luziânia</v>
      </c>
      <c r="D1822" s="1" t="str">
        <f>VLOOKUP(Tabela1[[#This Row],[Cliente]],'BASE DE CLIENTES'!A:C,3,0)</f>
        <v>GO</v>
      </c>
      <c r="E1822" s="4" t="str">
        <f>CONCATENATE(Tabela1[[#This Row],[CIDADE]],",",Tabela1[[#This Row],[UF]])</f>
        <v>Luziânia,GO</v>
      </c>
      <c r="F1822" s="2">
        <v>45708</v>
      </c>
      <c r="G1822" s="17">
        <v>878.4</v>
      </c>
      <c r="H1822" s="17">
        <v>1290</v>
      </c>
      <c r="I1822" s="6">
        <f>Tabela1[[#This Row],[Valor total]]-Tabela1[[#This Row],[Valor custo]]</f>
        <v>411.6</v>
      </c>
      <c r="J1822" s="7">
        <f>Tabela1[[#This Row],[MARGEM BRUTA]]/Tabela1[[#This Row],[Valor total]]</f>
        <v>0.3190697674418605</v>
      </c>
      <c r="K1822" s="1" t="str">
        <f>VLOOKUP(Tabela1[[#This Row],[Cliente]],'BASE DE CLIENTES'!A:D,4,0)</f>
        <v>EMPRESA COM MAQUINA</v>
      </c>
      <c r="L1822" s="1" t="str">
        <f>VLOOKUP(Tabela1[[#This Row],[Cliente]],'BASE DE CLIENTES'!A:E,5,0)</f>
        <v>Luziânia</v>
      </c>
    </row>
    <row r="1823" spans="2:12" x14ac:dyDescent="0.3">
      <c r="B1823" s="1" t="s">
        <v>52</v>
      </c>
      <c r="C1823" s="4" t="str">
        <f>VLOOKUP(Tabela1[[#This Row],[Cliente]],'BASE DE CLIENTES'!A:E,2,0)</f>
        <v>Brasília</v>
      </c>
      <c r="D1823" s="1" t="str">
        <f>VLOOKUP(Tabela1[[#This Row],[Cliente]],'BASE DE CLIENTES'!A:C,3,0)</f>
        <v>DF</v>
      </c>
      <c r="E1823" s="4" t="str">
        <f>CONCATENATE(Tabela1[[#This Row],[CIDADE]],",",Tabela1[[#This Row],[UF]])</f>
        <v>Brasília,DF</v>
      </c>
      <c r="F1823" s="2">
        <v>45841</v>
      </c>
      <c r="G1823" s="17">
        <v>521</v>
      </c>
      <c r="H1823" s="17">
        <v>120</v>
      </c>
      <c r="I1823" s="6">
        <f>Tabela1[[#This Row],[Valor total]]-Tabela1[[#This Row],[Valor custo]]</f>
        <v>-401</v>
      </c>
      <c r="J1823" s="7">
        <f>Tabela1[[#This Row],[MARGEM BRUTA]]/Tabela1[[#This Row],[Valor total]]</f>
        <v>-3.3416666666666668</v>
      </c>
      <c r="K1823" s="1" t="str">
        <f>VLOOKUP(Tabela1[[#This Row],[Cliente]],'BASE DE CLIENTES'!A:D,4,0)</f>
        <v>SERRALHEIRO</v>
      </c>
      <c r="L1823" s="1" t="str">
        <f>VLOOKUP(Tabela1[[#This Row],[Cliente]],'BASE DE CLIENTES'!A:E,5,0)</f>
        <v>Ceilândia Sul (Ceilândia)</v>
      </c>
    </row>
    <row r="1824" spans="2:12" x14ac:dyDescent="0.3">
      <c r="B1824" s="1" t="s">
        <v>245</v>
      </c>
      <c r="C1824" s="4" t="str">
        <f>VLOOKUP(Tabela1[[#This Row],[Cliente]],'BASE DE CLIENTES'!A:E,2,0)</f>
        <v>Brasília</v>
      </c>
      <c r="D1824" s="1" t="str">
        <f>VLOOKUP(Tabela1[[#This Row],[Cliente]],'BASE DE CLIENTES'!A:C,3,0)</f>
        <v>DF</v>
      </c>
      <c r="E1824" s="4" t="str">
        <f>CONCATENATE(Tabela1[[#This Row],[CIDADE]],",",Tabela1[[#This Row],[UF]])</f>
        <v>Brasília,DF</v>
      </c>
      <c r="F1824" s="2">
        <v>45672</v>
      </c>
      <c r="G1824" s="17">
        <v>531.45000000000005</v>
      </c>
      <c r="H1824" s="17">
        <v>824</v>
      </c>
      <c r="I1824" s="6">
        <f>Tabela1[[#This Row],[Valor total]]-Tabela1[[#This Row],[Valor custo]]</f>
        <v>292.54999999999995</v>
      </c>
      <c r="J1824" s="7">
        <f>Tabela1[[#This Row],[MARGEM BRUTA]]/Tabela1[[#This Row],[Valor total]]</f>
        <v>0.35503640776699025</v>
      </c>
      <c r="K1824" s="1" t="str">
        <f>VLOOKUP(Tabela1[[#This Row],[Cliente]],'BASE DE CLIENTES'!A:D,4,0)</f>
        <v>SEM CLASSIFICAÇÃO</v>
      </c>
      <c r="L1824" s="1" t="str">
        <f>VLOOKUP(Tabela1[[#This Row],[Cliente]],'BASE DE CLIENTES'!A:E,5,0)</f>
        <v>NA</v>
      </c>
    </row>
    <row r="1825" spans="2:12" x14ac:dyDescent="0.3">
      <c r="B1825" s="1" t="s">
        <v>55</v>
      </c>
      <c r="C1825" s="4" t="str">
        <f>VLOOKUP(Tabela1[[#This Row],[Cliente]],'BASE DE CLIENTES'!A:E,2,0)</f>
        <v>Brasília</v>
      </c>
      <c r="D1825" s="1" t="str">
        <f>VLOOKUP(Tabela1[[#This Row],[Cliente]],'BASE DE CLIENTES'!A:C,3,0)</f>
        <v>DF</v>
      </c>
      <c r="E1825" s="4" t="str">
        <f>CONCATENATE(Tabela1[[#This Row],[CIDADE]],",",Tabela1[[#This Row],[UF]])</f>
        <v>Brasília,DF</v>
      </c>
      <c r="F1825" s="2">
        <v>45841</v>
      </c>
      <c r="G1825" s="17">
        <v>725</v>
      </c>
      <c r="H1825" s="17">
        <v>1350</v>
      </c>
      <c r="I1825" s="6">
        <f>Tabela1[[#This Row],[Valor total]]-Tabela1[[#This Row],[Valor custo]]</f>
        <v>625</v>
      </c>
      <c r="J1825" s="7">
        <f>Tabela1[[#This Row],[MARGEM BRUTA]]/Tabela1[[#This Row],[Valor total]]</f>
        <v>0.46296296296296297</v>
      </c>
      <c r="K1825" s="1" t="str">
        <f>VLOOKUP(Tabela1[[#This Row],[Cliente]],'BASE DE CLIENTES'!A:D,4,0)</f>
        <v>EMPRESA SEM MAQUINA</v>
      </c>
      <c r="L1825" s="1" t="str">
        <f>VLOOKUP(Tabela1[[#This Row],[Cliente]],'BASE DE CLIENTES'!A:E,5,0)</f>
        <v>RECANTO DAS EMAS</v>
      </c>
    </row>
    <row r="1826" spans="2:12" x14ac:dyDescent="0.3">
      <c r="B1826" s="1" t="s">
        <v>106</v>
      </c>
      <c r="C1826" s="4" t="str">
        <f>VLOOKUP(Tabela1[[#This Row],[Cliente]],'BASE DE CLIENTES'!A:E,2,0)</f>
        <v>Brasília</v>
      </c>
      <c r="D1826" s="1" t="str">
        <f>VLOOKUP(Tabela1[[#This Row],[Cliente]],'BASE DE CLIENTES'!A:C,3,0)</f>
        <v>DF</v>
      </c>
      <c r="E1826" s="4" t="str">
        <f>CONCATENATE(Tabela1[[#This Row],[CIDADE]],",",Tabela1[[#This Row],[UF]])</f>
        <v>Brasília,DF</v>
      </c>
      <c r="F1826" s="2">
        <v>45841</v>
      </c>
      <c r="G1826" s="17">
        <v>503.1</v>
      </c>
      <c r="H1826" s="17">
        <v>758</v>
      </c>
      <c r="I1826" s="6">
        <f>Tabela1[[#This Row],[Valor total]]-Tabela1[[#This Row],[Valor custo]]</f>
        <v>254.89999999999998</v>
      </c>
      <c r="J1826" s="7">
        <f>Tabela1[[#This Row],[MARGEM BRUTA]]/Tabela1[[#This Row],[Valor total]]</f>
        <v>0.33627968337730868</v>
      </c>
      <c r="K1826" s="1" t="str">
        <f>VLOOKUP(Tabela1[[#This Row],[Cliente]],'BASE DE CLIENTES'!A:D,4,0)</f>
        <v>EMPRESA COM MAQUINA</v>
      </c>
      <c r="L1826" s="1" t="str">
        <f>VLOOKUP(Tabela1[[#This Row],[Cliente]],'BASE DE CLIENTES'!A:E,5,0)</f>
        <v>26 DE SETEMBRO</v>
      </c>
    </row>
    <row r="1827" spans="2:12" x14ac:dyDescent="0.3">
      <c r="B1827" s="1" t="s">
        <v>253</v>
      </c>
      <c r="C1827" s="4" t="str">
        <f>VLOOKUP(Tabela1[[#This Row],[Cliente]],'BASE DE CLIENTES'!A:E,2,0)</f>
        <v>Luziânia</v>
      </c>
      <c r="D1827" s="1" t="str">
        <f>VLOOKUP(Tabela1[[#This Row],[Cliente]],'BASE DE CLIENTES'!A:C,3,0)</f>
        <v>GO</v>
      </c>
      <c r="E1827" s="4" t="str">
        <f>CONCATENATE(Tabela1[[#This Row],[CIDADE]],",",Tabela1[[#This Row],[UF]])</f>
        <v>Luziânia,GO</v>
      </c>
      <c r="F1827" s="2">
        <v>45699</v>
      </c>
      <c r="G1827" s="17">
        <v>878.4</v>
      </c>
      <c r="H1827" s="17">
        <v>1290</v>
      </c>
      <c r="I1827" s="6">
        <f>Tabela1[[#This Row],[Valor total]]-Tabela1[[#This Row],[Valor custo]]</f>
        <v>411.6</v>
      </c>
      <c r="J1827" s="7">
        <f>Tabela1[[#This Row],[MARGEM BRUTA]]/Tabela1[[#This Row],[Valor total]]</f>
        <v>0.3190697674418605</v>
      </c>
      <c r="K1827" s="1" t="str">
        <f>VLOOKUP(Tabela1[[#This Row],[Cliente]],'BASE DE CLIENTES'!A:D,4,0)</f>
        <v>EMPRESA COM MAQUINA</v>
      </c>
      <c r="L1827" s="1" t="str">
        <f>VLOOKUP(Tabela1[[#This Row],[Cliente]],'BASE DE CLIENTES'!A:E,5,0)</f>
        <v>Luziânia</v>
      </c>
    </row>
    <row r="1828" spans="2:12" x14ac:dyDescent="0.3">
      <c r="B1828" s="1" t="s">
        <v>253</v>
      </c>
      <c r="C1828" s="4" t="str">
        <f>VLOOKUP(Tabela1[[#This Row],[Cliente]],'BASE DE CLIENTES'!A:E,2,0)</f>
        <v>Luziânia</v>
      </c>
      <c r="D1828" s="1" t="str">
        <f>VLOOKUP(Tabela1[[#This Row],[Cliente]],'BASE DE CLIENTES'!A:C,3,0)</f>
        <v>GO</v>
      </c>
      <c r="E1828" s="4" t="str">
        <f>CONCATENATE(Tabela1[[#This Row],[CIDADE]],",",Tabela1[[#This Row],[UF]])</f>
        <v>Luziânia,GO</v>
      </c>
      <c r="F1828" s="2">
        <v>45694</v>
      </c>
      <c r="G1828" s="17">
        <v>439.2</v>
      </c>
      <c r="H1828" s="17">
        <v>645</v>
      </c>
      <c r="I1828" s="6">
        <f>Tabela1[[#This Row],[Valor total]]-Tabela1[[#This Row],[Valor custo]]</f>
        <v>205.8</v>
      </c>
      <c r="J1828" s="7">
        <f>Tabela1[[#This Row],[MARGEM BRUTA]]/Tabela1[[#This Row],[Valor total]]</f>
        <v>0.3190697674418605</v>
      </c>
      <c r="K1828" s="1" t="str">
        <f>VLOOKUP(Tabela1[[#This Row],[Cliente]],'BASE DE CLIENTES'!A:D,4,0)</f>
        <v>EMPRESA COM MAQUINA</v>
      </c>
      <c r="L1828" s="1" t="str">
        <f>VLOOKUP(Tabela1[[#This Row],[Cliente]],'BASE DE CLIENTES'!A:E,5,0)</f>
        <v>Luziânia</v>
      </c>
    </row>
    <row r="1829" spans="2:12" x14ac:dyDescent="0.3">
      <c r="B1829" s="1" t="s">
        <v>253</v>
      </c>
      <c r="C1829" s="4" t="str">
        <f>VLOOKUP(Tabela1[[#This Row],[Cliente]],'BASE DE CLIENTES'!A:E,2,0)</f>
        <v>Luziânia</v>
      </c>
      <c r="D1829" s="1" t="str">
        <f>VLOOKUP(Tabela1[[#This Row],[Cliente]],'BASE DE CLIENTES'!A:C,3,0)</f>
        <v>GO</v>
      </c>
      <c r="E1829" s="4" t="str">
        <f>CONCATENATE(Tabela1[[#This Row],[CIDADE]],",",Tabela1[[#This Row],[UF]])</f>
        <v>Luziânia,GO</v>
      </c>
      <c r="F1829" s="2">
        <v>45747</v>
      </c>
      <c r="G1829" s="17">
        <v>389.5</v>
      </c>
      <c r="H1829" s="17">
        <v>595</v>
      </c>
      <c r="I1829" s="6">
        <f>Tabela1[[#This Row],[Valor total]]-Tabela1[[#This Row],[Valor custo]]</f>
        <v>205.5</v>
      </c>
      <c r="J1829" s="7">
        <f>Tabela1[[#This Row],[MARGEM BRUTA]]/Tabela1[[#This Row],[Valor total]]</f>
        <v>0.3453781512605042</v>
      </c>
      <c r="K1829" s="1" t="str">
        <f>VLOOKUP(Tabela1[[#This Row],[Cliente]],'BASE DE CLIENTES'!A:D,4,0)</f>
        <v>EMPRESA COM MAQUINA</v>
      </c>
      <c r="L1829" s="1" t="str">
        <f>VLOOKUP(Tabela1[[#This Row],[Cliente]],'BASE DE CLIENTES'!A:E,5,0)</f>
        <v>Luziânia</v>
      </c>
    </row>
    <row r="1830" spans="2:12" x14ac:dyDescent="0.3">
      <c r="B1830" s="1" t="s">
        <v>254</v>
      </c>
      <c r="C1830" s="4" t="str">
        <f>VLOOKUP(Tabela1[[#This Row],[Cliente]],'BASE DE CLIENTES'!A:E,2,0)</f>
        <v>Luziânia</v>
      </c>
      <c r="D1830" s="1" t="str">
        <f>VLOOKUP(Tabela1[[#This Row],[Cliente]],'BASE DE CLIENTES'!A:C,3,0)</f>
        <v>GO</v>
      </c>
      <c r="E1830" s="4" t="str">
        <f>CONCATENATE(Tabela1[[#This Row],[CIDADE]],",",Tabela1[[#This Row],[UF]])</f>
        <v>Luziânia,GO</v>
      </c>
      <c r="F1830" s="2">
        <v>45743</v>
      </c>
      <c r="G1830" s="17">
        <v>97.5</v>
      </c>
      <c r="H1830" s="17">
        <v>150</v>
      </c>
      <c r="I1830" s="6">
        <f>Tabela1[[#This Row],[Valor total]]-Tabela1[[#This Row],[Valor custo]]</f>
        <v>52.5</v>
      </c>
      <c r="J1830" s="7">
        <f>Tabela1[[#This Row],[MARGEM BRUTA]]/Tabela1[[#This Row],[Valor total]]</f>
        <v>0.35</v>
      </c>
      <c r="K1830" s="1" t="str">
        <f>VLOOKUP(Tabela1[[#This Row],[Cliente]],'BASE DE CLIENTES'!A:D,4,0)</f>
        <v>SERRALHEIRO</v>
      </c>
      <c r="L1830" s="1" t="str">
        <f>VLOOKUP(Tabela1[[#This Row],[Cliente]],'BASE DE CLIENTES'!A:E,5,0)</f>
        <v>Luziânia</v>
      </c>
    </row>
    <row r="1831" spans="2:12" x14ac:dyDescent="0.3">
      <c r="B1831" s="1" t="s">
        <v>25</v>
      </c>
      <c r="C1831" s="4" t="str">
        <f>VLOOKUP(Tabela1[[#This Row],[Cliente]],'BASE DE CLIENTES'!A:E,2,0)</f>
        <v>Brasília</v>
      </c>
      <c r="D1831" s="1" t="str">
        <f>VLOOKUP(Tabela1[[#This Row],[Cliente]],'BASE DE CLIENTES'!A:C,3,0)</f>
        <v>DF</v>
      </c>
      <c r="E1831" s="4" t="str">
        <f>CONCATENATE(Tabela1[[#This Row],[CIDADE]],",",Tabela1[[#This Row],[UF]])</f>
        <v>Brasília,DF</v>
      </c>
      <c r="F1831" s="2">
        <v>45840</v>
      </c>
      <c r="G1831" s="17">
        <v>1604</v>
      </c>
      <c r="H1831" s="17">
        <v>2430</v>
      </c>
      <c r="I1831" s="6">
        <f>Tabela1[[#This Row],[Valor total]]-Tabela1[[#This Row],[Valor custo]]</f>
        <v>826</v>
      </c>
      <c r="J1831" s="7">
        <f>Tabela1[[#This Row],[MARGEM BRUTA]]/Tabela1[[#This Row],[Valor total]]</f>
        <v>0.33991769547325101</v>
      </c>
      <c r="K1831" s="1" t="str">
        <f>VLOOKUP(Tabela1[[#This Row],[Cliente]],'BASE DE CLIENTES'!A:D,4,0)</f>
        <v>EMPRESA COM MAQUINA</v>
      </c>
      <c r="L1831" s="1" t="str">
        <f>VLOOKUP(Tabela1[[#This Row],[Cliente]],'BASE DE CLIENTES'!A:E,5,0)</f>
        <v>CEILANDIA NORTE (CEILANDIA)</v>
      </c>
    </row>
    <row r="1832" spans="2:12" x14ac:dyDescent="0.3">
      <c r="B1832" s="1" t="s">
        <v>254</v>
      </c>
      <c r="C1832" s="4" t="str">
        <f>VLOOKUP(Tabela1[[#This Row],[Cliente]],'BASE DE CLIENTES'!A:E,2,0)</f>
        <v>Luziânia</v>
      </c>
      <c r="D1832" s="1" t="str">
        <f>VLOOKUP(Tabela1[[#This Row],[Cliente]],'BASE DE CLIENTES'!A:C,3,0)</f>
        <v>GO</v>
      </c>
      <c r="E1832" s="4" t="str">
        <f>CONCATENATE(Tabela1[[#This Row],[CIDADE]],",",Tabela1[[#This Row],[UF]])</f>
        <v>Luziânia,GO</v>
      </c>
      <c r="F1832" s="2">
        <v>45743</v>
      </c>
      <c r="G1832" s="17">
        <v>439.2</v>
      </c>
      <c r="H1832" s="17">
        <v>635</v>
      </c>
      <c r="I1832" s="6">
        <f>Tabela1[[#This Row],[Valor total]]-Tabela1[[#This Row],[Valor custo]]</f>
        <v>195.8</v>
      </c>
      <c r="J1832" s="7">
        <f>Tabela1[[#This Row],[MARGEM BRUTA]]/Tabela1[[#This Row],[Valor total]]</f>
        <v>0.30834645669291338</v>
      </c>
      <c r="K1832" s="1" t="str">
        <f>VLOOKUP(Tabela1[[#This Row],[Cliente]],'BASE DE CLIENTES'!A:D,4,0)</f>
        <v>SERRALHEIRO</v>
      </c>
      <c r="L1832" s="1" t="str">
        <f>VLOOKUP(Tabela1[[#This Row],[Cliente]],'BASE DE CLIENTES'!A:E,5,0)</f>
        <v>Luziânia</v>
      </c>
    </row>
    <row r="1833" spans="2:12" x14ac:dyDescent="0.3">
      <c r="B1833" s="1" t="s">
        <v>106</v>
      </c>
      <c r="C1833" s="4" t="str">
        <f>VLOOKUP(Tabela1[[#This Row],[Cliente]],'BASE DE CLIENTES'!A:E,2,0)</f>
        <v>Brasília</v>
      </c>
      <c r="D1833" s="1" t="str">
        <f>VLOOKUP(Tabela1[[#This Row],[Cliente]],'BASE DE CLIENTES'!A:C,3,0)</f>
        <v>DF</v>
      </c>
      <c r="E1833" s="4" t="str">
        <f>CONCATENATE(Tabela1[[#This Row],[CIDADE]],",",Tabela1[[#This Row],[UF]])</f>
        <v>Brasília,DF</v>
      </c>
      <c r="F1833" s="2">
        <v>45840</v>
      </c>
      <c r="G1833" s="17">
        <v>1942.34</v>
      </c>
      <c r="H1833" s="17">
        <v>2570</v>
      </c>
      <c r="I1833" s="6">
        <f>Tabela1[[#This Row],[Valor total]]-Tabela1[[#This Row],[Valor custo]]</f>
        <v>627.66000000000008</v>
      </c>
      <c r="J1833" s="7">
        <f>Tabela1[[#This Row],[MARGEM BRUTA]]/Tabela1[[#This Row],[Valor total]]</f>
        <v>0.24422568093385216</v>
      </c>
      <c r="K1833" s="1" t="str">
        <f>VLOOKUP(Tabela1[[#This Row],[Cliente]],'BASE DE CLIENTES'!A:D,4,0)</f>
        <v>EMPRESA COM MAQUINA</v>
      </c>
      <c r="L1833" s="1" t="str">
        <f>VLOOKUP(Tabela1[[#This Row],[Cliente]],'BASE DE CLIENTES'!A:E,5,0)</f>
        <v>26 DE SETEMBRO</v>
      </c>
    </row>
    <row r="1834" spans="2:12" x14ac:dyDescent="0.3">
      <c r="B1834" s="1" t="s">
        <v>161</v>
      </c>
      <c r="C1834" s="4" t="str">
        <f>VLOOKUP(Tabela1[[#This Row],[Cliente]],'BASE DE CLIENTES'!A:E,2,0)</f>
        <v>Brasília</v>
      </c>
      <c r="D1834" s="1" t="str">
        <f>VLOOKUP(Tabela1[[#This Row],[Cliente]],'BASE DE CLIENTES'!A:C,3,0)</f>
        <v>DF</v>
      </c>
      <c r="E1834" s="4" t="str">
        <f>CONCATENATE(Tabela1[[#This Row],[CIDADE]],",",Tabela1[[#This Row],[UF]])</f>
        <v>Brasília,DF</v>
      </c>
      <c r="F1834" s="2">
        <v>45840</v>
      </c>
      <c r="G1834" s="17">
        <v>4730</v>
      </c>
      <c r="H1834" s="17">
        <v>6550</v>
      </c>
      <c r="I1834" s="6">
        <f>Tabela1[[#This Row],[Valor total]]-Tabela1[[#This Row],[Valor custo]]</f>
        <v>1820</v>
      </c>
      <c r="J1834" s="7">
        <f>Tabela1[[#This Row],[MARGEM BRUTA]]/Tabela1[[#This Row],[Valor total]]</f>
        <v>0.27786259541984731</v>
      </c>
      <c r="K1834" s="1" t="str">
        <f>VLOOKUP(Tabela1[[#This Row],[Cliente]],'BASE DE CLIENTES'!A:D,4,0)</f>
        <v>EMPRESA COM MAQUINA</v>
      </c>
      <c r="L1834" s="1" t="str">
        <f>VLOOKUP(Tabela1[[#This Row],[Cliente]],'BASE DE CLIENTES'!A:E,5,0)</f>
        <v>RIACHO FUNDO II</v>
      </c>
    </row>
    <row r="1835" spans="2:12" x14ac:dyDescent="0.3">
      <c r="B1835" s="1" t="s">
        <v>136</v>
      </c>
      <c r="C1835" s="4" t="str">
        <f>VLOOKUP(Tabela1[[#This Row],[Cliente]],'BASE DE CLIENTES'!A:E,2,0)</f>
        <v>Brasília</v>
      </c>
      <c r="D1835" s="1" t="str">
        <f>VLOOKUP(Tabela1[[#This Row],[Cliente]],'BASE DE CLIENTES'!A:C,3,0)</f>
        <v>DF</v>
      </c>
      <c r="E1835" s="4" t="str">
        <f>CONCATENATE(Tabela1[[#This Row],[CIDADE]],",",Tabela1[[#This Row],[UF]])</f>
        <v>Brasília,DF</v>
      </c>
      <c r="F1835" s="2">
        <v>45859</v>
      </c>
      <c r="G1835" s="17">
        <v>404.51</v>
      </c>
      <c r="H1835" s="17">
        <v>240</v>
      </c>
      <c r="I1835" s="6">
        <f>Tabela1[[#This Row],[Valor total]]-Tabela1[[#This Row],[Valor custo]]</f>
        <v>-164.51</v>
      </c>
      <c r="J1835" s="7">
        <f>Tabela1[[#This Row],[MARGEM BRUTA]]/Tabela1[[#This Row],[Valor total]]</f>
        <v>-0.68545833333333328</v>
      </c>
      <c r="K1835" s="1" t="str">
        <f>VLOOKUP(Tabela1[[#This Row],[Cliente]],'BASE DE CLIENTES'!A:D,4,0)</f>
        <v>SEM CLASSIFICAÇÃO</v>
      </c>
      <c r="L1835" s="1" t="str">
        <f>VLOOKUP(Tabela1[[#This Row],[Cliente]],'BASE DE CLIENTES'!A:E,5,0)</f>
        <v>SAMAMBAIA NORTE (SAMAMBAIA)</v>
      </c>
    </row>
    <row r="1836" spans="2:12" x14ac:dyDescent="0.3">
      <c r="B1836" s="1" t="s">
        <v>68</v>
      </c>
      <c r="C1836" s="4" t="str">
        <f>VLOOKUP(Tabela1[[#This Row],[Cliente]],'BASE DE CLIENTES'!A:E,2,0)</f>
        <v>Brasília</v>
      </c>
      <c r="D1836" s="1" t="str">
        <f>VLOOKUP(Tabela1[[#This Row],[Cliente]],'BASE DE CLIENTES'!A:C,3,0)</f>
        <v>DF</v>
      </c>
      <c r="E1836" s="4" t="str">
        <f>CONCATENATE(Tabela1[[#This Row],[CIDADE]],",",Tabela1[[#This Row],[UF]])</f>
        <v>Brasília,DF</v>
      </c>
      <c r="F1836" s="2">
        <v>45840</v>
      </c>
      <c r="G1836" s="17">
        <v>30.49</v>
      </c>
      <c r="H1836" s="17">
        <v>40</v>
      </c>
      <c r="I1836" s="6">
        <f>Tabela1[[#This Row],[Valor total]]-Tabela1[[#This Row],[Valor custo]]</f>
        <v>9.5100000000000016</v>
      </c>
      <c r="J1836" s="7">
        <f>Tabela1[[#This Row],[MARGEM BRUTA]]/Tabela1[[#This Row],[Valor total]]</f>
        <v>0.23775000000000004</v>
      </c>
      <c r="K1836" s="1" t="str">
        <f>VLOOKUP(Tabela1[[#This Row],[Cliente]],'BASE DE CLIENTES'!A:D,4,0)</f>
        <v>EMPRESA COM MAQUINA</v>
      </c>
      <c r="L1836" s="1" t="str">
        <f>VLOOKUP(Tabela1[[#This Row],[Cliente]],'BASE DE CLIENTES'!A:E,5,0)</f>
        <v>SAMAMBAIA SUL (SAMAMBAIA)</v>
      </c>
    </row>
    <row r="1837" spans="2:12" x14ac:dyDescent="0.3">
      <c r="B1837" s="1" t="s">
        <v>254</v>
      </c>
      <c r="C1837" s="4" t="str">
        <f>VLOOKUP(Tabela1[[#This Row],[Cliente]],'BASE DE CLIENTES'!A:E,2,0)</f>
        <v>Luziânia</v>
      </c>
      <c r="D1837" s="1" t="str">
        <f>VLOOKUP(Tabela1[[#This Row],[Cliente]],'BASE DE CLIENTES'!A:C,3,0)</f>
        <v>GO</v>
      </c>
      <c r="E1837" s="4" t="str">
        <f>CONCATENATE(Tabela1[[#This Row],[CIDADE]],",",Tabela1[[#This Row],[UF]])</f>
        <v>Luziânia,GO</v>
      </c>
      <c r="F1837" s="2">
        <v>45737</v>
      </c>
      <c r="G1837" s="17">
        <v>65</v>
      </c>
      <c r="H1837" s="17">
        <v>100</v>
      </c>
      <c r="I1837" s="6">
        <f>Tabela1[[#This Row],[Valor total]]-Tabela1[[#This Row],[Valor custo]]</f>
        <v>35</v>
      </c>
      <c r="J1837" s="7">
        <f>Tabela1[[#This Row],[MARGEM BRUTA]]/Tabela1[[#This Row],[Valor total]]</f>
        <v>0.35</v>
      </c>
      <c r="K1837" s="1" t="str">
        <f>VLOOKUP(Tabela1[[#This Row],[Cliente]],'BASE DE CLIENTES'!A:D,4,0)</f>
        <v>SERRALHEIRO</v>
      </c>
      <c r="L1837" s="1" t="str">
        <f>VLOOKUP(Tabela1[[#This Row],[Cliente]],'BASE DE CLIENTES'!A:E,5,0)</f>
        <v>Luziânia</v>
      </c>
    </row>
    <row r="1838" spans="2:12" x14ac:dyDescent="0.3">
      <c r="B1838" s="1" t="s">
        <v>52</v>
      </c>
      <c r="C1838" s="4" t="str">
        <f>VLOOKUP(Tabela1[[#This Row],[Cliente]],'BASE DE CLIENTES'!A:E,2,0)</f>
        <v>Brasília</v>
      </c>
      <c r="D1838" s="1" t="str">
        <f>VLOOKUP(Tabela1[[#This Row],[Cliente]],'BASE DE CLIENTES'!A:C,3,0)</f>
        <v>DF</v>
      </c>
      <c r="E1838" s="4" t="str">
        <f>CONCATENATE(Tabela1[[#This Row],[CIDADE]],",",Tabela1[[#This Row],[UF]])</f>
        <v>Brasília,DF</v>
      </c>
      <c r="F1838" s="2">
        <v>45840</v>
      </c>
      <c r="G1838" s="17">
        <v>473</v>
      </c>
      <c r="H1838" s="17">
        <v>700</v>
      </c>
      <c r="I1838" s="6">
        <f>Tabela1[[#This Row],[Valor total]]-Tabela1[[#This Row],[Valor custo]]</f>
        <v>227</v>
      </c>
      <c r="J1838" s="7">
        <f>Tabela1[[#This Row],[MARGEM BRUTA]]/Tabela1[[#This Row],[Valor total]]</f>
        <v>0.32428571428571429</v>
      </c>
      <c r="K1838" s="1" t="str">
        <f>VLOOKUP(Tabela1[[#This Row],[Cliente]],'BASE DE CLIENTES'!A:D,4,0)</f>
        <v>SERRALHEIRO</v>
      </c>
      <c r="L1838" s="1" t="str">
        <f>VLOOKUP(Tabela1[[#This Row],[Cliente]],'BASE DE CLIENTES'!A:E,5,0)</f>
        <v>Ceilândia Sul (Ceilândia)</v>
      </c>
    </row>
    <row r="1839" spans="2:12" x14ac:dyDescent="0.3">
      <c r="B1839" s="1" t="s">
        <v>68</v>
      </c>
      <c r="C1839" s="4" t="str">
        <f>VLOOKUP(Tabela1[[#This Row],[Cliente]],'BASE DE CLIENTES'!A:E,2,0)</f>
        <v>Brasília</v>
      </c>
      <c r="D1839" s="1" t="str">
        <f>VLOOKUP(Tabela1[[#This Row],[Cliente]],'BASE DE CLIENTES'!A:C,3,0)</f>
        <v>DF</v>
      </c>
      <c r="E1839" s="4" t="str">
        <f>CONCATENATE(Tabela1[[#This Row],[CIDADE]],",",Tabela1[[#This Row],[UF]])</f>
        <v>Brasília,DF</v>
      </c>
      <c r="F1839" s="2">
        <v>45840</v>
      </c>
      <c r="G1839" s="17">
        <v>1038</v>
      </c>
      <c r="H1839" s="17">
        <v>1640</v>
      </c>
      <c r="I1839" s="6">
        <f>Tabela1[[#This Row],[Valor total]]-Tabela1[[#This Row],[Valor custo]]</f>
        <v>602</v>
      </c>
      <c r="J1839" s="7">
        <f>Tabela1[[#This Row],[MARGEM BRUTA]]/Tabela1[[#This Row],[Valor total]]</f>
        <v>0.36707317073170731</v>
      </c>
      <c r="K1839" s="1" t="str">
        <f>VLOOKUP(Tabela1[[#This Row],[Cliente]],'BASE DE CLIENTES'!A:D,4,0)</f>
        <v>EMPRESA COM MAQUINA</v>
      </c>
      <c r="L1839" s="1" t="str">
        <f>VLOOKUP(Tabela1[[#This Row],[Cliente]],'BASE DE CLIENTES'!A:E,5,0)</f>
        <v>SAMAMBAIA SUL (SAMAMBAIA)</v>
      </c>
    </row>
    <row r="1840" spans="2:12" x14ac:dyDescent="0.3">
      <c r="B1840" s="1" t="s">
        <v>254</v>
      </c>
      <c r="C1840" s="4" t="str">
        <f>VLOOKUP(Tabela1[[#This Row],[Cliente]],'BASE DE CLIENTES'!A:E,2,0)</f>
        <v>Luziânia</v>
      </c>
      <c r="D1840" s="1" t="str">
        <f>VLOOKUP(Tabela1[[#This Row],[Cliente]],'BASE DE CLIENTES'!A:C,3,0)</f>
        <v>GO</v>
      </c>
      <c r="E1840" s="4" t="str">
        <f>CONCATENATE(Tabela1[[#This Row],[CIDADE]],",",Tabela1[[#This Row],[UF]])</f>
        <v>Luziânia,GO</v>
      </c>
      <c r="F1840" s="2">
        <v>45737</v>
      </c>
      <c r="G1840" s="17">
        <v>74.400000000000006</v>
      </c>
      <c r="H1840" s="17">
        <v>96</v>
      </c>
      <c r="I1840" s="6">
        <f>Tabela1[[#This Row],[Valor total]]-Tabela1[[#This Row],[Valor custo]]</f>
        <v>21.599999999999994</v>
      </c>
      <c r="J1840" s="7">
        <f>Tabela1[[#This Row],[MARGEM BRUTA]]/Tabela1[[#This Row],[Valor total]]</f>
        <v>0.22499999999999995</v>
      </c>
      <c r="K1840" s="1" t="str">
        <f>VLOOKUP(Tabela1[[#This Row],[Cliente]],'BASE DE CLIENTES'!A:D,4,0)</f>
        <v>SERRALHEIRO</v>
      </c>
      <c r="L1840" s="1" t="str">
        <f>VLOOKUP(Tabela1[[#This Row],[Cliente]],'BASE DE CLIENTES'!A:E,5,0)</f>
        <v>Luziânia</v>
      </c>
    </row>
    <row r="1841" spans="2:12" x14ac:dyDescent="0.3">
      <c r="B1841" s="1" t="s">
        <v>111</v>
      </c>
      <c r="C1841" s="4" t="str">
        <f>VLOOKUP(Tabela1[[#This Row],[Cliente]],'BASE DE CLIENTES'!A:E,2,0)</f>
        <v>Brasília</v>
      </c>
      <c r="D1841" s="1" t="str">
        <f>VLOOKUP(Tabela1[[#This Row],[Cliente]],'BASE DE CLIENTES'!A:C,3,0)</f>
        <v>DF</v>
      </c>
      <c r="E1841" s="4" t="str">
        <f>CONCATENATE(Tabela1[[#This Row],[CIDADE]],",",Tabela1[[#This Row],[UF]])</f>
        <v>Brasília,DF</v>
      </c>
      <c r="F1841" s="2">
        <v>45840</v>
      </c>
      <c r="G1841" s="17">
        <v>2612</v>
      </c>
      <c r="H1841" s="17">
        <v>4375</v>
      </c>
      <c r="I1841" s="6">
        <f>Tabela1[[#This Row],[Valor total]]-Tabela1[[#This Row],[Valor custo]]</f>
        <v>1763</v>
      </c>
      <c r="J1841" s="7">
        <f>Tabela1[[#This Row],[MARGEM BRUTA]]/Tabela1[[#This Row],[Valor total]]</f>
        <v>0.40297142857142859</v>
      </c>
      <c r="K1841" s="1" t="str">
        <f>VLOOKUP(Tabela1[[#This Row],[Cliente]],'BASE DE CLIENTES'!A:D,4,0)</f>
        <v>EMPRESA SEM MAQUINA</v>
      </c>
      <c r="L1841" s="1" t="str">
        <f>VLOOKUP(Tabela1[[#This Row],[Cliente]],'BASE DE CLIENTES'!A:E,5,0)</f>
        <v>TAGUATINGA SUL (TAGUATINGA)</v>
      </c>
    </row>
    <row r="1842" spans="2:12" x14ac:dyDescent="0.3">
      <c r="B1842" s="1" t="s">
        <v>165</v>
      </c>
      <c r="C1842" s="4" t="str">
        <f>VLOOKUP(Tabela1[[#This Row],[Cliente]],'BASE DE CLIENTES'!A:E,2,0)</f>
        <v>Brasília</v>
      </c>
      <c r="D1842" s="1" t="str">
        <f>VLOOKUP(Tabela1[[#This Row],[Cliente]],'BASE DE CLIENTES'!A:C,3,0)</f>
        <v>DF</v>
      </c>
      <c r="E1842" s="4" t="str">
        <f>CONCATENATE(Tabela1[[#This Row],[CIDADE]],",",Tabela1[[#This Row],[UF]])</f>
        <v>Brasília,DF</v>
      </c>
      <c r="F1842" s="2">
        <v>45840</v>
      </c>
      <c r="G1842" s="17">
        <v>946</v>
      </c>
      <c r="H1842" s="17">
        <v>1400</v>
      </c>
      <c r="I1842" s="6">
        <f>Tabela1[[#This Row],[Valor total]]-Tabela1[[#This Row],[Valor custo]]</f>
        <v>454</v>
      </c>
      <c r="J1842" s="7">
        <f>Tabela1[[#This Row],[MARGEM BRUTA]]/Tabela1[[#This Row],[Valor total]]</f>
        <v>0.32428571428571429</v>
      </c>
      <c r="K1842" s="1" t="str">
        <f>VLOOKUP(Tabela1[[#This Row],[Cliente]],'BASE DE CLIENTES'!A:D,4,0)</f>
        <v>EMPRESA SEM MAQUINA</v>
      </c>
      <c r="L1842" s="1" t="str">
        <f>VLOOKUP(Tabela1[[#This Row],[Cliente]],'BASE DE CLIENTES'!A:E,5,0)</f>
        <v>SETOR HABITACIONAL VICENTE PIRES</v>
      </c>
    </row>
    <row r="1843" spans="2:12" x14ac:dyDescent="0.3">
      <c r="B1843" s="1" t="s">
        <v>108</v>
      </c>
      <c r="C1843" s="4" t="str">
        <f>VLOOKUP(Tabela1[[#This Row],[Cliente]],'BASE DE CLIENTES'!A:E,2,0)</f>
        <v>Brasília</v>
      </c>
      <c r="D1843" s="1" t="str">
        <f>VLOOKUP(Tabela1[[#This Row],[Cliente]],'BASE DE CLIENTES'!A:C,3,0)</f>
        <v>DF</v>
      </c>
      <c r="E1843" s="4" t="str">
        <f>CONCATENATE(Tabela1[[#This Row],[CIDADE]],",",Tabela1[[#This Row],[UF]])</f>
        <v>Brasília,DF</v>
      </c>
      <c r="F1843" s="2">
        <v>45840</v>
      </c>
      <c r="G1843" s="17">
        <v>125</v>
      </c>
      <c r="H1843" s="17">
        <v>150</v>
      </c>
      <c r="I1843" s="6">
        <f>Tabela1[[#This Row],[Valor total]]-Tabela1[[#This Row],[Valor custo]]</f>
        <v>25</v>
      </c>
      <c r="J1843" s="7">
        <f>Tabela1[[#This Row],[MARGEM BRUTA]]/Tabela1[[#This Row],[Valor total]]</f>
        <v>0.16666666666666666</v>
      </c>
      <c r="K1843" s="1" t="str">
        <f>VLOOKUP(Tabela1[[#This Row],[Cliente]],'BASE DE CLIENTES'!A:D,4,0)</f>
        <v>SERRALHEIRO</v>
      </c>
      <c r="L1843" s="1" t="str">
        <f>VLOOKUP(Tabela1[[#This Row],[Cliente]],'BASE DE CLIENTES'!A:E,5,0)</f>
        <v>Vila Planalto</v>
      </c>
    </row>
    <row r="1844" spans="2:12" x14ac:dyDescent="0.3">
      <c r="B1844" s="1" t="s">
        <v>98</v>
      </c>
      <c r="C1844" s="4" t="str">
        <f>VLOOKUP(Tabela1[[#This Row],[Cliente]],'BASE DE CLIENTES'!A:E,2,0)</f>
        <v>Brasília</v>
      </c>
      <c r="D1844" s="1" t="str">
        <f>VLOOKUP(Tabela1[[#This Row],[Cliente]],'BASE DE CLIENTES'!A:C,3,0)</f>
        <v>DF</v>
      </c>
      <c r="E1844" s="4" t="str">
        <f>CONCATENATE(Tabela1[[#This Row],[CIDADE]],",",Tabela1[[#This Row],[UF]])</f>
        <v>Brasília,DF</v>
      </c>
      <c r="F1844" s="2">
        <v>45840</v>
      </c>
      <c r="G1844" s="17">
        <v>284.26</v>
      </c>
      <c r="H1844" s="17">
        <v>620</v>
      </c>
      <c r="I1844" s="6">
        <f>Tabela1[[#This Row],[Valor total]]-Tabela1[[#This Row],[Valor custo]]</f>
        <v>335.74</v>
      </c>
      <c r="J1844" s="7">
        <f>Tabela1[[#This Row],[MARGEM BRUTA]]/Tabela1[[#This Row],[Valor total]]</f>
        <v>0.5415161290322581</v>
      </c>
      <c r="K1844" s="1" t="str">
        <f>VLOOKUP(Tabela1[[#This Row],[Cliente]],'BASE DE CLIENTES'!A:D,4,0)</f>
        <v>SERRALHEIRO</v>
      </c>
      <c r="L1844" s="1" t="str">
        <f>VLOOKUP(Tabela1[[#This Row],[Cliente]],'BASE DE CLIENTES'!A:E,5,0)</f>
        <v>SANTA MARIA</v>
      </c>
    </row>
    <row r="1845" spans="2:12" x14ac:dyDescent="0.3">
      <c r="B1845" s="1" t="s">
        <v>25</v>
      </c>
      <c r="C1845" s="4" t="str">
        <f>VLOOKUP(Tabela1[[#This Row],[Cliente]],'BASE DE CLIENTES'!A:E,2,0)</f>
        <v>Brasília</v>
      </c>
      <c r="D1845" s="1" t="str">
        <f>VLOOKUP(Tabela1[[#This Row],[Cliente]],'BASE DE CLIENTES'!A:C,3,0)</f>
        <v>DF</v>
      </c>
      <c r="E1845" s="4" t="str">
        <f>CONCATENATE(Tabela1[[#This Row],[CIDADE]],",",Tabela1[[#This Row],[UF]])</f>
        <v>Brasília,DF</v>
      </c>
      <c r="F1845" s="2">
        <v>45839</v>
      </c>
      <c r="G1845" s="17">
        <v>733.7</v>
      </c>
      <c r="H1845" s="17">
        <v>1355</v>
      </c>
      <c r="I1845" s="6">
        <f>Tabela1[[#This Row],[Valor total]]-Tabela1[[#This Row],[Valor custo]]</f>
        <v>621.29999999999995</v>
      </c>
      <c r="J1845" s="7">
        <f>Tabela1[[#This Row],[MARGEM BRUTA]]/Tabela1[[#This Row],[Valor total]]</f>
        <v>0.45852398523985238</v>
      </c>
      <c r="K1845" s="1" t="str">
        <f>VLOOKUP(Tabela1[[#This Row],[Cliente]],'BASE DE CLIENTES'!A:D,4,0)</f>
        <v>EMPRESA COM MAQUINA</v>
      </c>
      <c r="L1845" s="1" t="str">
        <f>VLOOKUP(Tabela1[[#This Row],[Cliente]],'BASE DE CLIENTES'!A:E,5,0)</f>
        <v>CEILANDIA NORTE (CEILANDIA)</v>
      </c>
    </row>
    <row r="1846" spans="2:12" x14ac:dyDescent="0.3">
      <c r="B1846" s="1" t="s">
        <v>205</v>
      </c>
      <c r="C1846" s="4" t="str">
        <f>VLOOKUP(Tabela1[[#This Row],[Cliente]],'BASE DE CLIENTES'!A:E,2,0)</f>
        <v>Brasília</v>
      </c>
      <c r="D1846" s="1" t="str">
        <f>VLOOKUP(Tabela1[[#This Row],[Cliente]],'BASE DE CLIENTES'!A:C,3,0)</f>
        <v>DF</v>
      </c>
      <c r="E1846" s="4" t="str">
        <f>CONCATENATE(Tabela1[[#This Row],[CIDADE]],",",Tabela1[[#This Row],[UF]])</f>
        <v>Brasília,DF</v>
      </c>
      <c r="F1846" s="2">
        <v>45839</v>
      </c>
      <c r="G1846" s="17">
        <v>333.13</v>
      </c>
      <c r="H1846" s="17">
        <v>375</v>
      </c>
      <c r="I1846" s="6">
        <f>Tabela1[[#This Row],[Valor total]]-Tabela1[[#This Row],[Valor custo]]</f>
        <v>41.870000000000005</v>
      </c>
      <c r="J1846" s="7">
        <f>Tabela1[[#This Row],[MARGEM BRUTA]]/Tabela1[[#This Row],[Valor total]]</f>
        <v>0.11165333333333334</v>
      </c>
      <c r="K1846" s="1" t="str">
        <f>VLOOKUP(Tabela1[[#This Row],[Cliente]],'BASE DE CLIENTES'!A:D,4,0)</f>
        <v>PRODUTOS ELETRONICOS</v>
      </c>
      <c r="L1846" s="1" t="str">
        <f>VLOOKUP(Tabela1[[#This Row],[Cliente]],'BASE DE CLIENTES'!A:E,5,0)</f>
        <v>AREAL (AGUAS CLARAS)</v>
      </c>
    </row>
    <row r="1847" spans="2:12" x14ac:dyDescent="0.3">
      <c r="B1847" s="1" t="s">
        <v>96</v>
      </c>
      <c r="C1847" s="4" t="str">
        <f>VLOOKUP(Tabela1[[#This Row],[Cliente]],'BASE DE CLIENTES'!A:E,2,0)</f>
        <v>Brasília</v>
      </c>
      <c r="D1847" s="1" t="str">
        <f>VLOOKUP(Tabela1[[#This Row],[Cliente]],'BASE DE CLIENTES'!A:C,3,0)</f>
        <v>DF</v>
      </c>
      <c r="E1847" s="4" t="str">
        <f>CONCATENATE(Tabela1[[#This Row],[CIDADE]],",",Tabela1[[#This Row],[UF]])</f>
        <v>Brasília,DF</v>
      </c>
      <c r="F1847" s="2">
        <v>45839</v>
      </c>
      <c r="G1847" s="17">
        <v>894</v>
      </c>
      <c r="H1847" s="17">
        <v>1300</v>
      </c>
      <c r="I1847" s="6">
        <f>Tabela1[[#This Row],[Valor total]]-Tabela1[[#This Row],[Valor custo]]</f>
        <v>406</v>
      </c>
      <c r="J1847" s="7">
        <f>Tabela1[[#This Row],[MARGEM BRUTA]]/Tabela1[[#This Row],[Valor total]]</f>
        <v>0.31230769230769229</v>
      </c>
      <c r="K1847" s="1" t="str">
        <f>VLOOKUP(Tabela1[[#This Row],[Cliente]],'BASE DE CLIENTES'!A:D,4,0)</f>
        <v>EMPRESA SEM MAQUINA</v>
      </c>
      <c r="L1847" s="1" t="str">
        <f>VLOOKUP(Tabela1[[#This Row],[Cliente]],'BASE DE CLIENTES'!A:E,5,0)</f>
        <v>CEILANDIA NORTE (CEILANDIA)</v>
      </c>
    </row>
    <row r="1848" spans="2:12" x14ac:dyDescent="0.3">
      <c r="B1848" s="1" t="s">
        <v>254</v>
      </c>
      <c r="C1848" s="4" t="str">
        <f>VLOOKUP(Tabela1[[#This Row],[Cliente]],'BASE DE CLIENTES'!A:E,2,0)</f>
        <v>Luziânia</v>
      </c>
      <c r="D1848" s="1" t="str">
        <f>VLOOKUP(Tabela1[[#This Row],[Cliente]],'BASE DE CLIENTES'!A:C,3,0)</f>
        <v>GO</v>
      </c>
      <c r="E1848" s="4" t="str">
        <f>CONCATENATE(Tabela1[[#This Row],[CIDADE]],",",Tabela1[[#This Row],[UF]])</f>
        <v>Luziânia,GO</v>
      </c>
      <c r="F1848" s="2">
        <v>45737</v>
      </c>
      <c r="G1848" s="17">
        <v>1317.6</v>
      </c>
      <c r="H1848" s="17">
        <v>1900</v>
      </c>
      <c r="I1848" s="6">
        <f>Tabela1[[#This Row],[Valor total]]-Tabela1[[#This Row],[Valor custo]]</f>
        <v>582.40000000000009</v>
      </c>
      <c r="J1848" s="7">
        <f>Tabela1[[#This Row],[MARGEM BRUTA]]/Tabela1[[#This Row],[Valor total]]</f>
        <v>0.30652631578947376</v>
      </c>
      <c r="K1848" s="1" t="str">
        <f>VLOOKUP(Tabela1[[#This Row],[Cliente]],'BASE DE CLIENTES'!A:D,4,0)</f>
        <v>SERRALHEIRO</v>
      </c>
      <c r="L1848" s="1" t="str">
        <f>VLOOKUP(Tabela1[[#This Row],[Cliente]],'BASE DE CLIENTES'!A:E,5,0)</f>
        <v>Luziânia</v>
      </c>
    </row>
    <row r="1849" spans="2:12" x14ac:dyDescent="0.3">
      <c r="B1849" s="1" t="s">
        <v>55</v>
      </c>
      <c r="C1849" s="4" t="str">
        <f>VLOOKUP(Tabela1[[#This Row],[Cliente]],'BASE DE CLIENTES'!A:E,2,0)</f>
        <v>Brasília</v>
      </c>
      <c r="D1849" s="1" t="str">
        <f>VLOOKUP(Tabela1[[#This Row],[Cliente]],'BASE DE CLIENTES'!A:C,3,0)</f>
        <v>DF</v>
      </c>
      <c r="E1849" s="4" t="str">
        <f>CONCATENATE(Tabela1[[#This Row],[CIDADE]],",",Tabela1[[#This Row],[UF]])</f>
        <v>Brasília,DF</v>
      </c>
      <c r="F1849" s="2">
        <v>45839</v>
      </c>
      <c r="G1849" s="17">
        <v>447</v>
      </c>
      <c r="H1849" s="17">
        <v>645</v>
      </c>
      <c r="I1849" s="6">
        <f>Tabela1[[#This Row],[Valor total]]-Tabela1[[#This Row],[Valor custo]]</f>
        <v>198</v>
      </c>
      <c r="J1849" s="7">
        <f>Tabela1[[#This Row],[MARGEM BRUTA]]/Tabela1[[#This Row],[Valor total]]</f>
        <v>0.30697674418604654</v>
      </c>
      <c r="K1849" s="1" t="str">
        <f>VLOOKUP(Tabela1[[#This Row],[Cliente]],'BASE DE CLIENTES'!A:D,4,0)</f>
        <v>EMPRESA SEM MAQUINA</v>
      </c>
      <c r="L1849" s="1" t="str">
        <f>VLOOKUP(Tabela1[[#This Row],[Cliente]],'BASE DE CLIENTES'!A:E,5,0)</f>
        <v>RECANTO DAS EMAS</v>
      </c>
    </row>
    <row r="1850" spans="2:12" x14ac:dyDescent="0.3">
      <c r="B1850" s="1" t="s">
        <v>252</v>
      </c>
      <c r="C1850" s="4" t="str">
        <f>VLOOKUP(Tabela1[[#This Row],[Cliente]],'BASE DE CLIENTES'!A:E,2,0)</f>
        <v>Luziânia</v>
      </c>
      <c r="D1850" s="1" t="str">
        <f>VLOOKUP(Tabela1[[#This Row],[Cliente]],'BASE DE CLIENTES'!A:C,3,0)</f>
        <v>GO</v>
      </c>
      <c r="E1850" s="4" t="str">
        <f>CONCATENATE(Tabela1[[#This Row],[CIDADE]],",",Tabela1[[#This Row],[UF]])</f>
        <v>Luziânia,GO</v>
      </c>
      <c r="F1850" s="2">
        <v>45735</v>
      </c>
      <c r="G1850" s="17">
        <v>2224.7800000000002</v>
      </c>
      <c r="H1850" s="17">
        <v>3354</v>
      </c>
      <c r="I1850" s="6">
        <f>Tabela1[[#This Row],[Valor total]]-Tabela1[[#This Row],[Valor custo]]</f>
        <v>1129.2199999999998</v>
      </c>
      <c r="J1850" s="7">
        <f>Tabela1[[#This Row],[MARGEM BRUTA]]/Tabela1[[#This Row],[Valor total]]</f>
        <v>0.33667859272510431</v>
      </c>
      <c r="K1850" s="1" t="str">
        <f>VLOOKUP(Tabela1[[#This Row],[Cliente]],'BASE DE CLIENTES'!A:D,4,0)</f>
        <v>SERRALHEIRO</v>
      </c>
      <c r="L1850" s="1" t="str">
        <f>VLOOKUP(Tabela1[[#This Row],[Cliente]],'BASE DE CLIENTES'!A:E,5,0)</f>
        <v>Luziânia</v>
      </c>
    </row>
    <row r="1851" spans="2:12" x14ac:dyDescent="0.3">
      <c r="B1851" s="1" t="s">
        <v>255</v>
      </c>
      <c r="C1851" s="4" t="str">
        <f>VLOOKUP(Tabela1[[#This Row],[Cliente]],'BASE DE CLIENTES'!A:E,2,0)</f>
        <v>Brasília</v>
      </c>
      <c r="D1851" s="1" t="str">
        <f>VLOOKUP(Tabela1[[#This Row],[Cliente]],'BASE DE CLIENTES'!A:C,3,0)</f>
        <v>DF</v>
      </c>
      <c r="E1851" s="4" t="str">
        <f>CONCATENATE(Tabela1[[#This Row],[CIDADE]],",",Tabela1[[#This Row],[UF]])</f>
        <v>Brasília,DF</v>
      </c>
      <c r="F1851" s="2">
        <v>45839</v>
      </c>
      <c r="G1851" s="17">
        <v>994</v>
      </c>
      <c r="H1851" s="17">
        <v>1500</v>
      </c>
      <c r="I1851" s="6">
        <f>Tabela1[[#This Row],[Valor total]]-Tabela1[[#This Row],[Valor custo]]</f>
        <v>506</v>
      </c>
      <c r="J1851" s="7">
        <f>Tabela1[[#This Row],[MARGEM BRUTA]]/Tabela1[[#This Row],[Valor total]]</f>
        <v>0.33733333333333332</v>
      </c>
      <c r="K1851" s="1" t="str">
        <f>VLOOKUP(Tabela1[[#This Row],[Cliente]],'BASE DE CLIENTES'!A:D,4,0)</f>
        <v>EMPRESA COM MAQUINA</v>
      </c>
      <c r="L1851" s="1" t="str">
        <f>VLOOKUP(Tabela1[[#This Row],[Cliente]],'BASE DE CLIENTES'!A:E,5,0)</f>
        <v>ADE ÁGUAS CLARAS</v>
      </c>
    </row>
    <row r="1852" spans="2:12" x14ac:dyDescent="0.3">
      <c r="B1852" s="1" t="s">
        <v>68</v>
      </c>
      <c r="C1852" s="4" t="str">
        <f>VLOOKUP(Tabela1[[#This Row],[Cliente]],'BASE DE CLIENTES'!A:E,2,0)</f>
        <v>Brasília</v>
      </c>
      <c r="D1852" s="1" t="str">
        <f>VLOOKUP(Tabela1[[#This Row],[Cliente]],'BASE DE CLIENTES'!A:C,3,0)</f>
        <v>DF</v>
      </c>
      <c r="E1852" s="4" t="str">
        <f>CONCATENATE(Tabela1[[#This Row],[CIDADE]],",",Tabela1[[#This Row],[UF]])</f>
        <v>Brasília,DF</v>
      </c>
      <c r="F1852" s="2">
        <v>45839</v>
      </c>
      <c r="G1852" s="17">
        <v>3987</v>
      </c>
      <c r="H1852" s="17">
        <v>5990</v>
      </c>
      <c r="I1852" s="6">
        <f>Tabela1[[#This Row],[Valor total]]-Tabela1[[#This Row],[Valor custo]]</f>
        <v>2003</v>
      </c>
      <c r="J1852" s="7">
        <f>Tabela1[[#This Row],[MARGEM BRUTA]]/Tabela1[[#This Row],[Valor total]]</f>
        <v>0.33439065108514188</v>
      </c>
      <c r="K1852" s="1" t="str">
        <f>VLOOKUP(Tabela1[[#This Row],[Cliente]],'BASE DE CLIENTES'!A:D,4,0)</f>
        <v>EMPRESA COM MAQUINA</v>
      </c>
      <c r="L1852" s="1" t="str">
        <f>VLOOKUP(Tabela1[[#This Row],[Cliente]],'BASE DE CLIENTES'!A:E,5,0)</f>
        <v>SAMAMBAIA SUL (SAMAMBAIA)</v>
      </c>
    </row>
    <row r="1853" spans="2:12" x14ac:dyDescent="0.3">
      <c r="B1853" s="1" t="s">
        <v>256</v>
      </c>
      <c r="C1853" s="4" t="str">
        <f>VLOOKUP(Tabela1[[#This Row],[Cliente]],'BASE DE CLIENTES'!A:E,2,0)</f>
        <v>Luziânia</v>
      </c>
      <c r="D1853" s="1" t="str">
        <f>VLOOKUP(Tabela1[[#This Row],[Cliente]],'BASE DE CLIENTES'!A:C,3,0)</f>
        <v>GO</v>
      </c>
      <c r="E1853" s="4" t="str">
        <f>CONCATENATE(Tabela1[[#This Row],[CIDADE]],",",Tabela1[[#This Row],[UF]])</f>
        <v>Luziânia,GO</v>
      </c>
      <c r="F1853" s="2">
        <v>45733</v>
      </c>
      <c r="G1853" s="17">
        <v>943.4</v>
      </c>
      <c r="H1853" s="17">
        <v>1390</v>
      </c>
      <c r="I1853" s="6">
        <f>Tabela1[[#This Row],[Valor total]]-Tabela1[[#This Row],[Valor custo]]</f>
        <v>446.6</v>
      </c>
      <c r="J1853" s="7">
        <f>Tabela1[[#This Row],[MARGEM BRUTA]]/Tabela1[[#This Row],[Valor total]]</f>
        <v>0.321294964028777</v>
      </c>
      <c r="K1853" s="1" t="str">
        <f>VLOOKUP(Tabela1[[#This Row],[Cliente]],'BASE DE CLIENTES'!A:D,4,0)</f>
        <v>SERRALHEIRO</v>
      </c>
      <c r="L1853" s="1" t="str">
        <f>VLOOKUP(Tabela1[[#This Row],[Cliente]],'BASE DE CLIENTES'!A:E,5,0)</f>
        <v>Luziânia</v>
      </c>
    </row>
    <row r="1854" spans="2:12" x14ac:dyDescent="0.3">
      <c r="B1854" s="1" t="s">
        <v>253</v>
      </c>
      <c r="C1854" s="4" t="str">
        <f>VLOOKUP(Tabela1[[#This Row],[Cliente]],'BASE DE CLIENTES'!A:E,2,0)</f>
        <v>Luziânia</v>
      </c>
      <c r="D1854" s="1" t="str">
        <f>VLOOKUP(Tabela1[[#This Row],[Cliente]],'BASE DE CLIENTES'!A:C,3,0)</f>
        <v>GO</v>
      </c>
      <c r="E1854" s="4" t="str">
        <f>CONCATENATE(Tabela1[[#This Row],[CIDADE]],",",Tabela1[[#This Row],[UF]])</f>
        <v>Luziânia,GO</v>
      </c>
      <c r="F1854" s="2">
        <v>45730</v>
      </c>
      <c r="G1854" s="17">
        <v>3919.72</v>
      </c>
      <c r="H1854" s="17">
        <v>6265</v>
      </c>
      <c r="I1854" s="6">
        <f>Tabela1[[#This Row],[Valor total]]-Tabela1[[#This Row],[Valor custo]]</f>
        <v>2345.2800000000002</v>
      </c>
      <c r="J1854" s="7">
        <f>Tabela1[[#This Row],[MARGEM BRUTA]]/Tabela1[[#This Row],[Valor total]]</f>
        <v>0.37434636871508381</v>
      </c>
      <c r="K1854" s="1" t="str">
        <f>VLOOKUP(Tabela1[[#This Row],[Cliente]],'BASE DE CLIENTES'!A:D,4,0)</f>
        <v>EMPRESA COM MAQUINA</v>
      </c>
      <c r="L1854" s="1" t="str">
        <f>VLOOKUP(Tabela1[[#This Row],[Cliente]],'BASE DE CLIENTES'!A:E,5,0)</f>
        <v>Luziânia</v>
      </c>
    </row>
    <row r="1855" spans="2:12" x14ac:dyDescent="0.3">
      <c r="B1855" s="1" t="s">
        <v>252</v>
      </c>
      <c r="C1855" s="4" t="str">
        <f>VLOOKUP(Tabela1[[#This Row],[Cliente]],'BASE DE CLIENTES'!A:E,2,0)</f>
        <v>Luziânia</v>
      </c>
      <c r="D1855" s="1" t="str">
        <f>VLOOKUP(Tabela1[[#This Row],[Cliente]],'BASE DE CLIENTES'!A:C,3,0)</f>
        <v>GO</v>
      </c>
      <c r="E1855" s="4" t="str">
        <f>CONCATENATE(Tabela1[[#This Row],[CIDADE]],",",Tabela1[[#This Row],[UF]])</f>
        <v>Luziânia,GO</v>
      </c>
      <c r="F1855" s="2">
        <v>45729</v>
      </c>
      <c r="G1855" s="17">
        <v>601.04</v>
      </c>
      <c r="H1855" s="17">
        <v>850</v>
      </c>
      <c r="I1855" s="6">
        <f>Tabela1[[#This Row],[Valor total]]-Tabela1[[#This Row],[Valor custo]]</f>
        <v>248.96000000000004</v>
      </c>
      <c r="J1855" s="7">
        <f>Tabela1[[#This Row],[MARGEM BRUTA]]/Tabela1[[#This Row],[Valor total]]</f>
        <v>0.29289411764705886</v>
      </c>
      <c r="K1855" s="1" t="str">
        <f>VLOOKUP(Tabela1[[#This Row],[Cliente]],'BASE DE CLIENTES'!A:D,4,0)</f>
        <v>SERRALHEIRO</v>
      </c>
      <c r="L1855" s="1" t="str">
        <f>VLOOKUP(Tabela1[[#This Row],[Cliente]],'BASE DE CLIENTES'!A:E,5,0)</f>
        <v>Luziânia</v>
      </c>
    </row>
    <row r="1856" spans="2:12" x14ac:dyDescent="0.3">
      <c r="B1856" s="1" t="s">
        <v>256</v>
      </c>
      <c r="C1856" s="4" t="str">
        <f>VLOOKUP(Tabela1[[#This Row],[Cliente]],'BASE DE CLIENTES'!A:E,2,0)</f>
        <v>Luziânia</v>
      </c>
      <c r="D1856" s="1" t="str">
        <f>VLOOKUP(Tabela1[[#This Row],[Cliente]],'BASE DE CLIENTES'!A:C,3,0)</f>
        <v>GO</v>
      </c>
      <c r="E1856" s="4" t="str">
        <f>CONCATENATE(Tabela1[[#This Row],[CIDADE]],",",Tabela1[[#This Row],[UF]])</f>
        <v>Luziânia,GO</v>
      </c>
      <c r="F1856" s="2">
        <v>45728</v>
      </c>
      <c r="G1856" s="17">
        <v>729.45</v>
      </c>
      <c r="H1856" s="17">
        <v>1000</v>
      </c>
      <c r="I1856" s="6">
        <f>Tabela1[[#This Row],[Valor total]]-Tabela1[[#This Row],[Valor custo]]</f>
        <v>270.54999999999995</v>
      </c>
      <c r="J1856" s="7">
        <f>Tabela1[[#This Row],[MARGEM BRUTA]]/Tabela1[[#This Row],[Valor total]]</f>
        <v>0.27054999999999996</v>
      </c>
      <c r="K1856" s="1" t="str">
        <f>VLOOKUP(Tabela1[[#This Row],[Cliente]],'BASE DE CLIENTES'!A:D,4,0)</f>
        <v>SERRALHEIRO</v>
      </c>
      <c r="L1856" s="1" t="str">
        <f>VLOOKUP(Tabela1[[#This Row],[Cliente]],'BASE DE CLIENTES'!A:E,5,0)</f>
        <v>Luziânia</v>
      </c>
    </row>
    <row r="1857" spans="2:12" x14ac:dyDescent="0.3">
      <c r="B1857" s="1" t="s">
        <v>253</v>
      </c>
      <c r="C1857" s="4" t="str">
        <f>VLOOKUP(Tabela1[[#This Row],[Cliente]],'BASE DE CLIENTES'!A:E,2,0)</f>
        <v>Luziânia</v>
      </c>
      <c r="D1857" s="1" t="str">
        <f>VLOOKUP(Tabela1[[#This Row],[Cliente]],'BASE DE CLIENTES'!A:C,3,0)</f>
        <v>GO</v>
      </c>
      <c r="E1857" s="4" t="str">
        <f>CONCATENATE(Tabela1[[#This Row],[CIDADE]],",",Tabela1[[#This Row],[UF]])</f>
        <v>Luziânia,GO</v>
      </c>
      <c r="F1857" s="2">
        <v>45721</v>
      </c>
      <c r="G1857" s="17">
        <v>175</v>
      </c>
      <c r="H1857" s="17">
        <v>210</v>
      </c>
      <c r="I1857" s="6">
        <f>Tabela1[[#This Row],[Valor total]]-Tabela1[[#This Row],[Valor custo]]</f>
        <v>35</v>
      </c>
      <c r="J1857" s="7">
        <f>Tabela1[[#This Row],[MARGEM BRUTA]]/Tabela1[[#This Row],[Valor total]]</f>
        <v>0.16666666666666666</v>
      </c>
      <c r="K1857" s="1" t="str">
        <f>VLOOKUP(Tabela1[[#This Row],[Cliente]],'BASE DE CLIENTES'!A:D,4,0)</f>
        <v>EMPRESA COM MAQUINA</v>
      </c>
      <c r="L1857" s="1" t="str">
        <f>VLOOKUP(Tabela1[[#This Row],[Cliente]],'BASE DE CLIENTES'!A:E,5,0)</f>
        <v>Luziânia</v>
      </c>
    </row>
    <row r="1858" spans="2:12" x14ac:dyDescent="0.3">
      <c r="B1858" s="1" t="s">
        <v>97</v>
      </c>
      <c r="C1858" s="4" t="str">
        <f>VLOOKUP(Tabela1[[#This Row],[Cliente]],'BASE DE CLIENTES'!A:E,2,0)</f>
        <v>Brasília</v>
      </c>
      <c r="D1858" s="1" t="str">
        <f>VLOOKUP(Tabela1[[#This Row],[Cliente]],'BASE DE CLIENTES'!A:C,3,0)</f>
        <v>DF</v>
      </c>
      <c r="E1858" s="4" t="str">
        <f>CONCATENATE(Tabela1[[#This Row],[CIDADE]],",",Tabela1[[#This Row],[UF]])</f>
        <v>Brasília,DF</v>
      </c>
      <c r="F1858" s="2">
        <v>45839</v>
      </c>
      <c r="G1858" s="17">
        <v>223.42</v>
      </c>
      <c r="H1858" s="17">
        <v>310</v>
      </c>
      <c r="I1858" s="6">
        <f>Tabela1[[#This Row],[Valor total]]-Tabela1[[#This Row],[Valor custo]]</f>
        <v>86.580000000000013</v>
      </c>
      <c r="J1858" s="7">
        <f>Tabela1[[#This Row],[MARGEM BRUTA]]/Tabela1[[#This Row],[Valor total]]</f>
        <v>0.27929032258064518</v>
      </c>
      <c r="K1858" s="1" t="str">
        <f>VLOOKUP(Tabela1[[#This Row],[Cliente]],'BASE DE CLIENTES'!A:D,4,0)</f>
        <v>SERRALHEIRO</v>
      </c>
      <c r="L1858" s="1" t="str">
        <f>VLOOKUP(Tabela1[[#This Row],[Cliente]],'BASE DE CLIENTES'!A:E,5,0)</f>
        <v>CEILANDIA NORTE</v>
      </c>
    </row>
    <row r="1859" spans="2:12" x14ac:dyDescent="0.3">
      <c r="B1859" s="1" t="s">
        <v>253</v>
      </c>
      <c r="C1859" s="4" t="str">
        <f>VLOOKUP(Tabela1[[#This Row],[Cliente]],'BASE DE CLIENTES'!A:E,2,0)</f>
        <v>Luziânia</v>
      </c>
      <c r="D1859" s="1" t="str">
        <f>VLOOKUP(Tabela1[[#This Row],[Cliente]],'BASE DE CLIENTES'!A:C,3,0)</f>
        <v>GO</v>
      </c>
      <c r="E1859" s="4" t="str">
        <f>CONCATENATE(Tabela1[[#This Row],[CIDADE]],",",Tabela1[[#This Row],[UF]])</f>
        <v>Luziânia,GO</v>
      </c>
      <c r="F1859" s="2">
        <v>45721</v>
      </c>
      <c r="G1859" s="17">
        <v>878.4</v>
      </c>
      <c r="H1859" s="17">
        <v>1290</v>
      </c>
      <c r="I1859" s="6">
        <f>Tabela1[[#This Row],[Valor total]]-Tabela1[[#This Row],[Valor custo]]</f>
        <v>411.6</v>
      </c>
      <c r="J1859" s="7">
        <f>Tabela1[[#This Row],[MARGEM BRUTA]]/Tabela1[[#This Row],[Valor total]]</f>
        <v>0.3190697674418605</v>
      </c>
      <c r="K1859" s="1" t="str">
        <f>VLOOKUP(Tabela1[[#This Row],[Cliente]],'BASE DE CLIENTES'!A:D,4,0)</f>
        <v>EMPRESA COM MAQUINA</v>
      </c>
      <c r="L1859" s="1" t="str">
        <f>VLOOKUP(Tabela1[[#This Row],[Cliente]],'BASE DE CLIENTES'!A:E,5,0)</f>
        <v>Luziânia</v>
      </c>
    </row>
    <row r="1860" spans="2:12" x14ac:dyDescent="0.3">
      <c r="B1860" s="1" t="s">
        <v>101</v>
      </c>
      <c r="C1860" s="4" t="str">
        <f>VLOOKUP(Tabela1[[#This Row],[Cliente]],'BASE DE CLIENTES'!A:E,2,0)</f>
        <v>Brasília</v>
      </c>
      <c r="D1860" s="1" t="str">
        <f>VLOOKUP(Tabela1[[#This Row],[Cliente]],'BASE DE CLIENTES'!A:C,3,0)</f>
        <v>DF</v>
      </c>
      <c r="E1860" s="4" t="str">
        <f>CONCATENATE(Tabela1[[#This Row],[CIDADE]],",",Tabela1[[#This Row],[UF]])</f>
        <v>Brasília,DF</v>
      </c>
      <c r="F1860" s="2">
        <v>45839</v>
      </c>
      <c r="G1860" s="17">
        <v>773</v>
      </c>
      <c r="H1860" s="17">
        <v>1500</v>
      </c>
      <c r="I1860" s="6">
        <f>Tabela1[[#This Row],[Valor total]]-Tabela1[[#This Row],[Valor custo]]</f>
        <v>727</v>
      </c>
      <c r="J1860" s="7">
        <f>Tabela1[[#This Row],[MARGEM BRUTA]]/Tabela1[[#This Row],[Valor total]]</f>
        <v>0.48466666666666669</v>
      </c>
      <c r="K1860" s="1" t="str">
        <f>VLOOKUP(Tabela1[[#This Row],[Cliente]],'BASE DE CLIENTES'!A:D,4,0)</f>
        <v>SERRALHEIRO</v>
      </c>
      <c r="L1860" s="1" t="str">
        <f>VLOOKUP(Tabela1[[#This Row],[Cliente]],'BASE DE CLIENTES'!A:E,5,0)</f>
        <v>TAGUATINGA SUL (TAGUATINGA)</v>
      </c>
    </row>
    <row r="1861" spans="2:12" x14ac:dyDescent="0.3">
      <c r="B1861" s="1" t="s">
        <v>254</v>
      </c>
      <c r="C1861" s="4" t="str">
        <f>VLOOKUP(Tabela1[[#This Row],[Cliente]],'BASE DE CLIENTES'!A:E,2,0)</f>
        <v>Luziânia</v>
      </c>
      <c r="D1861" s="1" t="str">
        <f>VLOOKUP(Tabela1[[#This Row],[Cliente]],'BASE DE CLIENTES'!A:C,3,0)</f>
        <v>GO</v>
      </c>
      <c r="E1861" s="4" t="str">
        <f>CONCATENATE(Tabela1[[#This Row],[CIDADE]],",",Tabela1[[#This Row],[UF]])</f>
        <v>Luziânia,GO</v>
      </c>
      <c r="F1861" s="2">
        <v>45721</v>
      </c>
      <c r="G1861" s="17">
        <v>27.38</v>
      </c>
      <c r="H1861" s="17">
        <v>220</v>
      </c>
      <c r="I1861" s="6">
        <f>Tabela1[[#This Row],[Valor total]]-Tabela1[[#This Row],[Valor custo]]</f>
        <v>192.62</v>
      </c>
      <c r="J1861" s="7">
        <f>Tabela1[[#This Row],[MARGEM BRUTA]]/Tabela1[[#This Row],[Valor total]]</f>
        <v>0.87554545454545452</v>
      </c>
      <c r="K1861" s="1" t="str">
        <f>VLOOKUP(Tabela1[[#This Row],[Cliente]],'BASE DE CLIENTES'!A:D,4,0)</f>
        <v>SERRALHEIRO</v>
      </c>
      <c r="L1861" s="1" t="str">
        <f>VLOOKUP(Tabela1[[#This Row],[Cliente]],'BASE DE CLIENTES'!A:E,5,0)</f>
        <v>Luziânia</v>
      </c>
    </row>
    <row r="1862" spans="2:12" x14ac:dyDescent="0.3">
      <c r="B1862" s="1" t="s">
        <v>252</v>
      </c>
      <c r="C1862" s="4" t="str">
        <f>VLOOKUP(Tabela1[[#This Row],[Cliente]],'BASE DE CLIENTES'!A:E,2,0)</f>
        <v>Luziânia</v>
      </c>
      <c r="D1862" s="1" t="str">
        <f>VLOOKUP(Tabela1[[#This Row],[Cliente]],'BASE DE CLIENTES'!A:C,3,0)</f>
        <v>GO</v>
      </c>
      <c r="E1862" s="4" t="str">
        <f>CONCATENATE(Tabela1[[#This Row],[CIDADE]],",",Tabela1[[#This Row],[UF]])</f>
        <v>Luziânia,GO</v>
      </c>
      <c r="F1862" s="2">
        <v>45777</v>
      </c>
      <c r="G1862" s="17">
        <v>0</v>
      </c>
      <c r="H1862" s="17">
        <v>590</v>
      </c>
      <c r="I1862" s="6">
        <f>Tabela1[[#This Row],[Valor total]]-Tabela1[[#This Row],[Valor custo]]</f>
        <v>590</v>
      </c>
      <c r="J1862" s="7">
        <f>Tabela1[[#This Row],[MARGEM BRUTA]]/Tabela1[[#This Row],[Valor total]]</f>
        <v>1</v>
      </c>
      <c r="K1862" s="1" t="str">
        <f>VLOOKUP(Tabela1[[#This Row],[Cliente]],'BASE DE CLIENTES'!A:D,4,0)</f>
        <v>SERRALHEIRO</v>
      </c>
      <c r="L1862" s="1" t="str">
        <f>VLOOKUP(Tabela1[[#This Row],[Cliente]],'BASE DE CLIENTES'!A:E,5,0)</f>
        <v>Luziânia</v>
      </c>
    </row>
    <row r="1863" spans="2:12" x14ac:dyDescent="0.3">
      <c r="B1863" s="1" t="s">
        <v>161</v>
      </c>
      <c r="C1863" s="4" t="str">
        <f>VLOOKUP(Tabela1[[#This Row],[Cliente]],'BASE DE CLIENTES'!A:E,2,0)</f>
        <v>Brasília</v>
      </c>
      <c r="D1863" s="1" t="str">
        <f>VLOOKUP(Tabela1[[#This Row],[Cliente]],'BASE DE CLIENTES'!A:C,3,0)</f>
        <v>DF</v>
      </c>
      <c r="E1863" s="4" t="str">
        <f>CONCATENATE(Tabela1[[#This Row],[CIDADE]],",",Tabela1[[#This Row],[UF]])</f>
        <v>Brasília,DF</v>
      </c>
      <c r="F1863" s="2">
        <v>45898</v>
      </c>
      <c r="G1863" s="17">
        <v>1328</v>
      </c>
      <c r="H1863" s="17">
        <v>2400</v>
      </c>
      <c r="I1863" s="6">
        <f>Tabela1[[#This Row],[Valor total]]-Tabela1[[#This Row],[Valor custo]]</f>
        <v>1072</v>
      </c>
      <c r="J1863" s="7">
        <f>Tabela1[[#This Row],[MARGEM BRUTA]]/Tabela1[[#This Row],[Valor total]]</f>
        <v>0.44666666666666666</v>
      </c>
      <c r="K1863" s="1" t="str">
        <f>VLOOKUP(Tabela1[[#This Row],[Cliente]],'BASE DE CLIENTES'!A:D,4,0)</f>
        <v>EMPRESA COM MAQUINA</v>
      </c>
      <c r="L1863" s="1" t="str">
        <f>VLOOKUP(Tabela1[[#This Row],[Cliente]],'BASE DE CLIENTES'!A:E,5,0)</f>
        <v>RIACHO FUNDO II</v>
      </c>
    </row>
    <row r="1864" spans="2:12" x14ac:dyDescent="0.3">
      <c r="B1864" s="1" t="s">
        <v>253</v>
      </c>
      <c r="C1864" s="4" t="str">
        <f>VLOOKUP(Tabela1[[#This Row],[Cliente]],'BASE DE CLIENTES'!A:E,2,0)</f>
        <v>Luziânia</v>
      </c>
      <c r="D1864" s="1" t="str">
        <f>VLOOKUP(Tabela1[[#This Row],[Cliente]],'BASE DE CLIENTES'!A:C,3,0)</f>
        <v>GO</v>
      </c>
      <c r="E1864" s="4" t="str">
        <f>CONCATENATE(Tabela1[[#This Row],[CIDADE]],",",Tabela1[[#This Row],[UF]])</f>
        <v>Luziânia,GO</v>
      </c>
      <c r="F1864" s="2">
        <v>45772</v>
      </c>
      <c r="G1864" s="17">
        <v>358</v>
      </c>
      <c r="H1864" s="17">
        <v>540</v>
      </c>
      <c r="I1864" s="6">
        <f>Tabela1[[#This Row],[Valor total]]-Tabela1[[#This Row],[Valor custo]]</f>
        <v>182</v>
      </c>
      <c r="J1864" s="7">
        <f>Tabela1[[#This Row],[MARGEM BRUTA]]/Tabela1[[#This Row],[Valor total]]</f>
        <v>0.33703703703703702</v>
      </c>
      <c r="K1864" s="1" t="str">
        <f>VLOOKUP(Tabela1[[#This Row],[Cliente]],'BASE DE CLIENTES'!A:D,4,0)</f>
        <v>EMPRESA COM MAQUINA</v>
      </c>
      <c r="L1864" s="1" t="str">
        <f>VLOOKUP(Tabela1[[#This Row],[Cliente]],'BASE DE CLIENTES'!A:E,5,0)</f>
        <v>Luziânia</v>
      </c>
    </row>
    <row r="1865" spans="2:12" x14ac:dyDescent="0.3">
      <c r="B1865" s="1" t="s">
        <v>253</v>
      </c>
      <c r="C1865" s="4" t="str">
        <f>VLOOKUP(Tabela1[[#This Row],[Cliente]],'BASE DE CLIENTES'!A:E,2,0)</f>
        <v>Luziânia</v>
      </c>
      <c r="D1865" s="1" t="str">
        <f>VLOOKUP(Tabela1[[#This Row],[Cliente]],'BASE DE CLIENTES'!A:C,3,0)</f>
        <v>GO</v>
      </c>
      <c r="E1865" s="4" t="str">
        <f>CONCATENATE(Tabela1[[#This Row],[CIDADE]],",",Tabela1[[#This Row],[UF]])</f>
        <v>Luziânia,GO</v>
      </c>
      <c r="F1865" s="2">
        <v>45761</v>
      </c>
      <c r="G1865" s="17">
        <v>0</v>
      </c>
      <c r="H1865" s="17">
        <v>200</v>
      </c>
      <c r="I1865" s="6">
        <f>Tabela1[[#This Row],[Valor total]]-Tabela1[[#This Row],[Valor custo]]</f>
        <v>200</v>
      </c>
      <c r="J1865" s="7">
        <f>Tabela1[[#This Row],[MARGEM BRUTA]]/Tabela1[[#This Row],[Valor total]]</f>
        <v>1</v>
      </c>
      <c r="K1865" s="1" t="str">
        <f>VLOOKUP(Tabela1[[#This Row],[Cliente]],'BASE DE CLIENTES'!A:D,4,0)</f>
        <v>EMPRESA COM MAQUINA</v>
      </c>
      <c r="L1865" s="1" t="str">
        <f>VLOOKUP(Tabela1[[#This Row],[Cliente]],'BASE DE CLIENTES'!A:E,5,0)</f>
        <v>Luziânia</v>
      </c>
    </row>
    <row r="1866" spans="2:12" x14ac:dyDescent="0.3">
      <c r="B1866" s="1" t="s">
        <v>253</v>
      </c>
      <c r="C1866" s="4" t="str">
        <f>VLOOKUP(Tabela1[[#This Row],[Cliente]],'BASE DE CLIENTES'!A:E,2,0)</f>
        <v>Luziânia</v>
      </c>
      <c r="D1866" s="1" t="str">
        <f>VLOOKUP(Tabela1[[#This Row],[Cliente]],'BASE DE CLIENTES'!A:C,3,0)</f>
        <v>GO</v>
      </c>
      <c r="E1866" s="4" t="str">
        <f>CONCATENATE(Tabela1[[#This Row],[CIDADE]],",",Tabela1[[#This Row],[UF]])</f>
        <v>Luziânia,GO</v>
      </c>
      <c r="F1866" s="2">
        <v>45756</v>
      </c>
      <c r="G1866" s="17">
        <v>1247.21</v>
      </c>
      <c r="H1866" s="17">
        <v>855</v>
      </c>
      <c r="I1866" s="6">
        <f>Tabela1[[#This Row],[Valor total]]-Tabela1[[#This Row],[Valor custo]]</f>
        <v>-392.21000000000004</v>
      </c>
      <c r="J1866" s="7">
        <f>Tabela1[[#This Row],[MARGEM BRUTA]]/Tabela1[[#This Row],[Valor total]]</f>
        <v>-0.45872514619883042</v>
      </c>
      <c r="K1866" s="1" t="str">
        <f>VLOOKUP(Tabela1[[#This Row],[Cliente]],'BASE DE CLIENTES'!A:D,4,0)</f>
        <v>EMPRESA COM MAQUINA</v>
      </c>
      <c r="L1866" s="1" t="str">
        <f>VLOOKUP(Tabela1[[#This Row],[Cliente]],'BASE DE CLIENTES'!A:E,5,0)</f>
        <v>Luziânia</v>
      </c>
    </row>
    <row r="1867" spans="2:12" x14ac:dyDescent="0.3">
      <c r="B1867" s="1" t="s">
        <v>96</v>
      </c>
      <c r="C1867" s="4" t="str">
        <f>VLOOKUP(Tabela1[[#This Row],[Cliente]],'BASE DE CLIENTES'!A:E,2,0)</f>
        <v>Brasília</v>
      </c>
      <c r="D1867" s="1" t="str">
        <f>VLOOKUP(Tabela1[[#This Row],[Cliente]],'BASE DE CLIENTES'!A:C,3,0)</f>
        <v>DF</v>
      </c>
      <c r="E1867" s="4" t="str">
        <f>CONCATENATE(Tabela1[[#This Row],[CIDADE]],",",Tabela1[[#This Row],[UF]])</f>
        <v>Brasília,DF</v>
      </c>
      <c r="F1867" s="2">
        <v>45898</v>
      </c>
      <c r="G1867" s="17">
        <v>382.3</v>
      </c>
      <c r="H1867" s="17">
        <v>515</v>
      </c>
      <c r="I1867" s="6">
        <f>Tabela1[[#This Row],[Valor total]]-Tabela1[[#This Row],[Valor custo]]</f>
        <v>132.69999999999999</v>
      </c>
      <c r="J1867" s="7">
        <f>Tabela1[[#This Row],[MARGEM BRUTA]]/Tabela1[[#This Row],[Valor total]]</f>
        <v>0.25766990291262132</v>
      </c>
      <c r="K1867" s="1" t="str">
        <f>VLOOKUP(Tabela1[[#This Row],[Cliente]],'BASE DE CLIENTES'!A:D,4,0)</f>
        <v>EMPRESA SEM MAQUINA</v>
      </c>
      <c r="L1867" s="1" t="str">
        <f>VLOOKUP(Tabela1[[#This Row],[Cliente]],'BASE DE CLIENTES'!A:E,5,0)</f>
        <v>CEILANDIA NORTE (CEILANDIA)</v>
      </c>
    </row>
    <row r="1868" spans="2:12" x14ac:dyDescent="0.3">
      <c r="B1868" s="1" t="s">
        <v>42</v>
      </c>
      <c r="C1868" s="4" t="str">
        <f>VLOOKUP(Tabela1[[#This Row],[Cliente]],'BASE DE CLIENTES'!A:E,2,0)</f>
        <v>Brasília</v>
      </c>
      <c r="D1868" s="1" t="str">
        <f>VLOOKUP(Tabela1[[#This Row],[Cliente]],'BASE DE CLIENTES'!A:C,3,0)</f>
        <v>DF</v>
      </c>
      <c r="E1868" s="4" t="str">
        <f>CONCATENATE(Tabela1[[#This Row],[CIDADE]],",",Tabela1[[#This Row],[UF]])</f>
        <v>Brasília,DF</v>
      </c>
      <c r="F1868" s="2">
        <v>45898</v>
      </c>
      <c r="G1868" s="17">
        <v>504.89</v>
      </c>
      <c r="H1868" s="17">
        <v>950</v>
      </c>
      <c r="I1868" s="6">
        <f>Tabela1[[#This Row],[Valor total]]-Tabela1[[#This Row],[Valor custo]]</f>
        <v>445.11</v>
      </c>
      <c r="J1868" s="7">
        <f>Tabela1[[#This Row],[MARGEM BRUTA]]/Tabela1[[#This Row],[Valor total]]</f>
        <v>0.4685368421052632</v>
      </c>
      <c r="K1868" s="1" t="str">
        <f>VLOOKUP(Tabela1[[#This Row],[Cliente]],'BASE DE CLIENTES'!A:D,4,0)</f>
        <v>EMPRESA SEM MAQUINA</v>
      </c>
      <c r="L1868" s="1" t="str">
        <f>VLOOKUP(Tabela1[[#This Row],[Cliente]],'BASE DE CLIENTES'!A:E,5,0)</f>
        <v>SAMAMBAIA</v>
      </c>
    </row>
    <row r="1869" spans="2:12" x14ac:dyDescent="0.3">
      <c r="B1869" s="1" t="s">
        <v>257</v>
      </c>
      <c r="C1869" s="4" t="str">
        <f>VLOOKUP(Tabela1[[#This Row],[Cliente]],'BASE DE CLIENTES'!A:E,2,0)</f>
        <v>Brasília</v>
      </c>
      <c r="D1869" s="1" t="str">
        <f>VLOOKUP(Tabela1[[#This Row],[Cliente]],'BASE DE CLIENTES'!A:C,3,0)</f>
        <v>DF</v>
      </c>
      <c r="E1869" s="4" t="str">
        <f>CONCATENATE(Tabela1[[#This Row],[CIDADE]],",",Tabela1[[#This Row],[UF]])</f>
        <v>Brasília,DF</v>
      </c>
      <c r="F1869" s="2">
        <v>45898</v>
      </c>
      <c r="G1869" s="17">
        <v>455</v>
      </c>
      <c r="H1869" s="17">
        <v>785</v>
      </c>
      <c r="I1869" s="6">
        <f>Tabela1[[#This Row],[Valor total]]-Tabela1[[#This Row],[Valor custo]]</f>
        <v>330</v>
      </c>
      <c r="J1869" s="7">
        <f>Tabela1[[#This Row],[MARGEM BRUTA]]/Tabela1[[#This Row],[Valor total]]</f>
        <v>0.42038216560509556</v>
      </c>
      <c r="K1869" s="1" t="str">
        <f>VLOOKUP(Tabela1[[#This Row],[Cliente]],'BASE DE CLIENTES'!A:D,4,0)</f>
        <v>SERRALHEIRO</v>
      </c>
      <c r="L1869" s="1" t="str">
        <f>VLOOKUP(Tabela1[[#This Row],[Cliente]],'BASE DE CLIENTES'!A:E,5,0)</f>
        <v>Ceilândia Norte (Ceilândia)</v>
      </c>
    </row>
    <row r="1870" spans="2:12" x14ac:dyDescent="0.3">
      <c r="B1870" s="1" t="s">
        <v>70</v>
      </c>
      <c r="C1870" s="4" t="str">
        <f>VLOOKUP(Tabela1[[#This Row],[Cliente]],'BASE DE CLIENTES'!A:E,2,0)</f>
        <v>Brasília</v>
      </c>
      <c r="D1870" s="1" t="str">
        <f>VLOOKUP(Tabela1[[#This Row],[Cliente]],'BASE DE CLIENTES'!A:C,3,0)</f>
        <v>DF</v>
      </c>
      <c r="E1870" s="4" t="str">
        <f>CONCATENATE(Tabela1[[#This Row],[CIDADE]],",",Tabela1[[#This Row],[UF]])</f>
        <v>Brasília,DF</v>
      </c>
      <c r="F1870" s="2">
        <v>45898</v>
      </c>
      <c r="G1870" s="17">
        <v>1602</v>
      </c>
      <c r="H1870" s="17">
        <v>2450</v>
      </c>
      <c r="I1870" s="6">
        <f>Tabela1[[#This Row],[Valor total]]-Tabela1[[#This Row],[Valor custo]]</f>
        <v>848</v>
      </c>
      <c r="J1870" s="7">
        <f>Tabela1[[#This Row],[MARGEM BRUTA]]/Tabela1[[#This Row],[Valor total]]</f>
        <v>0.34612244897959182</v>
      </c>
      <c r="K1870" s="1" t="str">
        <f>VLOOKUP(Tabela1[[#This Row],[Cliente]],'BASE DE CLIENTES'!A:D,4,0)</f>
        <v>EMPRESA COM MAQUINA</v>
      </c>
      <c r="L1870" s="1" t="str">
        <f>VLOOKUP(Tabela1[[#This Row],[Cliente]],'BASE DE CLIENTES'!A:E,5,0)</f>
        <v>TAGUATINGA NORTE (TAGUATINGA)</v>
      </c>
    </row>
    <row r="1871" spans="2:12" x14ac:dyDescent="0.3">
      <c r="B1871" s="1" t="s">
        <v>252</v>
      </c>
      <c r="C1871" s="4" t="str">
        <f>VLOOKUP(Tabela1[[#This Row],[Cliente]],'BASE DE CLIENTES'!A:E,2,0)</f>
        <v>Luziânia</v>
      </c>
      <c r="D1871" s="1" t="str">
        <f>VLOOKUP(Tabela1[[#This Row],[Cliente]],'BASE DE CLIENTES'!A:C,3,0)</f>
        <v>GO</v>
      </c>
      <c r="E1871" s="4" t="str">
        <f>CONCATENATE(Tabela1[[#This Row],[CIDADE]],",",Tabela1[[#This Row],[UF]])</f>
        <v>Luziânia,GO</v>
      </c>
      <c r="F1871" s="2">
        <v>45754</v>
      </c>
      <c r="G1871" s="17">
        <v>674</v>
      </c>
      <c r="H1871" s="17">
        <v>1195</v>
      </c>
      <c r="I1871" s="6">
        <f>Tabela1[[#This Row],[Valor total]]-Tabela1[[#This Row],[Valor custo]]</f>
        <v>521</v>
      </c>
      <c r="J1871" s="7">
        <f>Tabela1[[#This Row],[MARGEM BRUTA]]/Tabela1[[#This Row],[Valor total]]</f>
        <v>0.43598326359832634</v>
      </c>
      <c r="K1871" s="1" t="str">
        <f>VLOOKUP(Tabela1[[#This Row],[Cliente]],'BASE DE CLIENTES'!A:D,4,0)</f>
        <v>SERRALHEIRO</v>
      </c>
      <c r="L1871" s="1" t="str">
        <f>VLOOKUP(Tabela1[[#This Row],[Cliente]],'BASE DE CLIENTES'!A:E,5,0)</f>
        <v>Luziânia</v>
      </c>
    </row>
    <row r="1872" spans="2:12" x14ac:dyDescent="0.3">
      <c r="B1872" s="1" t="s">
        <v>111</v>
      </c>
      <c r="C1872" s="4" t="str">
        <f>VLOOKUP(Tabela1[[#This Row],[Cliente]],'BASE DE CLIENTES'!A:E,2,0)</f>
        <v>Brasília</v>
      </c>
      <c r="D1872" s="1" t="str">
        <f>VLOOKUP(Tabela1[[#This Row],[Cliente]],'BASE DE CLIENTES'!A:C,3,0)</f>
        <v>DF</v>
      </c>
      <c r="E1872" s="4" t="str">
        <f>CONCATENATE(Tabela1[[#This Row],[CIDADE]],",",Tabela1[[#This Row],[UF]])</f>
        <v>Brasília,DF</v>
      </c>
      <c r="F1872" s="2">
        <v>45898</v>
      </c>
      <c r="G1872" s="17">
        <v>2774</v>
      </c>
      <c r="H1872" s="17">
        <v>4620</v>
      </c>
      <c r="I1872" s="6">
        <f>Tabela1[[#This Row],[Valor total]]-Tabela1[[#This Row],[Valor custo]]</f>
        <v>1846</v>
      </c>
      <c r="J1872" s="7">
        <f>Tabela1[[#This Row],[MARGEM BRUTA]]/Tabela1[[#This Row],[Valor total]]</f>
        <v>0.39956709956709957</v>
      </c>
      <c r="K1872" s="1" t="str">
        <f>VLOOKUP(Tabela1[[#This Row],[Cliente]],'BASE DE CLIENTES'!A:D,4,0)</f>
        <v>EMPRESA SEM MAQUINA</v>
      </c>
      <c r="L1872" s="1" t="str">
        <f>VLOOKUP(Tabela1[[#This Row],[Cliente]],'BASE DE CLIENTES'!A:E,5,0)</f>
        <v>TAGUATINGA SUL (TAGUATINGA)</v>
      </c>
    </row>
    <row r="1873" spans="1:12" x14ac:dyDescent="0.3">
      <c r="B1873" s="1" t="s">
        <v>254</v>
      </c>
      <c r="C1873" s="4" t="str">
        <f>VLOOKUP(Tabela1[[#This Row],[Cliente]],'BASE DE CLIENTES'!A:E,2,0)</f>
        <v>Luziânia</v>
      </c>
      <c r="D1873" s="1" t="str">
        <f>VLOOKUP(Tabela1[[#This Row],[Cliente]],'BASE DE CLIENTES'!A:C,3,0)</f>
        <v>GO</v>
      </c>
      <c r="E1873" s="4" t="str">
        <f>CONCATENATE(Tabela1[[#This Row],[CIDADE]],",",Tabela1[[#This Row],[UF]])</f>
        <v>Luziânia,GO</v>
      </c>
      <c r="F1873" s="2">
        <v>45750</v>
      </c>
      <c r="G1873" s="17">
        <v>453.1</v>
      </c>
      <c r="H1873" s="17">
        <v>650</v>
      </c>
      <c r="I1873" s="6">
        <f>Tabela1[[#This Row],[Valor total]]-Tabela1[[#This Row],[Valor custo]]</f>
        <v>196.89999999999998</v>
      </c>
      <c r="J1873" s="7">
        <f>Tabela1[[#This Row],[MARGEM BRUTA]]/Tabela1[[#This Row],[Valor total]]</f>
        <v>0.30292307692307691</v>
      </c>
      <c r="K1873" s="1" t="str">
        <f>VLOOKUP(Tabela1[[#This Row],[Cliente]],'BASE DE CLIENTES'!A:D,4,0)</f>
        <v>SERRALHEIRO</v>
      </c>
      <c r="L1873" s="1" t="str">
        <f>VLOOKUP(Tabela1[[#This Row],[Cliente]],'BASE DE CLIENTES'!A:E,5,0)</f>
        <v>Luziânia</v>
      </c>
    </row>
    <row r="1874" spans="1:12" x14ac:dyDescent="0.3">
      <c r="B1874" s="1" t="s">
        <v>27</v>
      </c>
      <c r="C1874" s="4" t="str">
        <f>VLOOKUP(Tabela1[[#This Row],[Cliente]],'BASE DE CLIENTES'!A:E,2,0)</f>
        <v>Brasília</v>
      </c>
      <c r="D1874" s="1" t="str">
        <f>VLOOKUP(Tabela1[[#This Row],[Cliente]],'BASE DE CLIENTES'!A:C,3,0)</f>
        <v>DF</v>
      </c>
      <c r="E1874" s="4" t="str">
        <f>CONCATENATE(Tabela1[[#This Row],[CIDADE]],",",Tabela1[[#This Row],[UF]])</f>
        <v>Brasília,DF</v>
      </c>
      <c r="F1874" s="2">
        <v>45898</v>
      </c>
      <c r="G1874" s="17">
        <v>755</v>
      </c>
      <c r="H1874" s="17">
        <v>960</v>
      </c>
      <c r="I1874" s="6">
        <f>Tabela1[[#This Row],[Valor total]]-Tabela1[[#This Row],[Valor custo]]</f>
        <v>205</v>
      </c>
      <c r="J1874" s="7">
        <f>Tabela1[[#This Row],[MARGEM BRUTA]]/Tabela1[[#This Row],[Valor total]]</f>
        <v>0.21354166666666666</v>
      </c>
      <c r="K1874" s="1" t="str">
        <f>VLOOKUP(Tabela1[[#This Row],[Cliente]],'BASE DE CLIENTES'!A:D,4,0)</f>
        <v>EMPRESA SEM MAQUINA</v>
      </c>
      <c r="L1874" s="1" t="str">
        <f>VLOOKUP(Tabela1[[#This Row],[Cliente]],'BASE DE CLIENTES'!A:E,5,0)</f>
        <v>RECANTO DAS EMAS</v>
      </c>
    </row>
    <row r="1875" spans="1:12" x14ac:dyDescent="0.3">
      <c r="B1875" s="1" t="s">
        <v>245</v>
      </c>
      <c r="C1875" s="4" t="str">
        <f>VLOOKUP(Tabela1[[#This Row],[Cliente]],'BASE DE CLIENTES'!A:E,2,0)</f>
        <v>Brasília</v>
      </c>
      <c r="D1875" s="1" t="str">
        <f>VLOOKUP(Tabela1[[#This Row],[Cliente]],'BASE DE CLIENTES'!A:C,3,0)</f>
        <v>DF</v>
      </c>
      <c r="E1875" s="4" t="str">
        <f>CONCATENATE(Tabela1[[#This Row],[CIDADE]],",",Tabela1[[#This Row],[UF]])</f>
        <v>Brasília,DF</v>
      </c>
      <c r="F1875" s="2">
        <v>45716</v>
      </c>
      <c r="G1875" s="17">
        <v>439.2</v>
      </c>
      <c r="H1875" s="17">
        <v>660</v>
      </c>
      <c r="I1875" s="6">
        <f>Tabela1[[#This Row],[Valor total]]-Tabela1[[#This Row],[Valor custo]]</f>
        <v>220.8</v>
      </c>
      <c r="J1875" s="7">
        <f>Tabela1[[#This Row],[MARGEM BRUTA]]/Tabela1[[#This Row],[Valor total]]</f>
        <v>0.33454545454545459</v>
      </c>
      <c r="K1875" s="1" t="str">
        <f>VLOOKUP(Tabela1[[#This Row],[Cliente]],'BASE DE CLIENTES'!A:D,4,0)</f>
        <v>SEM CLASSIFICAÇÃO</v>
      </c>
      <c r="L1875" s="1" t="str">
        <f>VLOOKUP(Tabela1[[#This Row],[Cliente]],'BASE DE CLIENTES'!A:E,5,0)</f>
        <v>NA</v>
      </c>
    </row>
    <row r="1876" spans="1:12" x14ac:dyDescent="0.3">
      <c r="B1876" s="1" t="s">
        <v>97</v>
      </c>
      <c r="C1876" s="4" t="str">
        <f>VLOOKUP(Tabela1[[#This Row],[Cliente]],'BASE DE CLIENTES'!A:E,2,0)</f>
        <v>Brasília</v>
      </c>
      <c r="D1876" s="1" t="str">
        <f>VLOOKUP(Tabela1[[#This Row],[Cliente]],'BASE DE CLIENTES'!A:C,3,0)</f>
        <v>DF</v>
      </c>
      <c r="E1876" s="4" t="str">
        <f>CONCATENATE(Tabela1[[#This Row],[CIDADE]],",",Tabela1[[#This Row],[UF]])</f>
        <v>Brasília,DF</v>
      </c>
      <c r="F1876" s="2">
        <v>45898</v>
      </c>
      <c r="G1876" s="17">
        <v>382.3</v>
      </c>
      <c r="H1876" s="17">
        <v>645</v>
      </c>
      <c r="I1876" s="6">
        <f>Tabela1[[#This Row],[Valor total]]-Tabela1[[#This Row],[Valor custo]]</f>
        <v>262.7</v>
      </c>
      <c r="J1876" s="7">
        <f>Tabela1[[#This Row],[MARGEM BRUTA]]/Tabela1[[#This Row],[Valor total]]</f>
        <v>0.40728682170542635</v>
      </c>
      <c r="K1876" s="1" t="str">
        <f>VLOOKUP(Tabela1[[#This Row],[Cliente]],'BASE DE CLIENTES'!A:D,4,0)</f>
        <v>SERRALHEIRO</v>
      </c>
      <c r="L1876" s="1" t="str">
        <f>VLOOKUP(Tabela1[[#This Row],[Cliente]],'BASE DE CLIENTES'!A:E,5,0)</f>
        <v>CEILANDIA NORTE</v>
      </c>
    </row>
    <row r="1877" spans="1:12" x14ac:dyDescent="0.3">
      <c r="B1877" s="1" t="s">
        <v>23</v>
      </c>
      <c r="C1877" s="4" t="str">
        <f>VLOOKUP(Tabela1[[#This Row],[Cliente]],'BASE DE CLIENTES'!A:E,2,0)</f>
        <v>Brasília</v>
      </c>
      <c r="D1877" s="1" t="str">
        <f>VLOOKUP(Tabela1[[#This Row],[Cliente]],'BASE DE CLIENTES'!A:C,3,0)</f>
        <v>DF</v>
      </c>
      <c r="E1877" s="4" t="str">
        <f>CONCATENATE(Tabela1[[#This Row],[CIDADE]],",",Tabela1[[#This Row],[UF]])</f>
        <v>Brasília,DF</v>
      </c>
      <c r="F1877" s="2">
        <v>45898</v>
      </c>
      <c r="G1877" s="17">
        <v>1146.9000000000001</v>
      </c>
      <c r="H1877" s="17">
        <v>1900</v>
      </c>
      <c r="I1877" s="6">
        <f>Tabela1[[#This Row],[Valor total]]-Tabela1[[#This Row],[Valor custo]]</f>
        <v>753.09999999999991</v>
      </c>
      <c r="J1877" s="7">
        <f>Tabela1[[#This Row],[MARGEM BRUTA]]/Tabela1[[#This Row],[Valor total]]</f>
        <v>0.39636842105263154</v>
      </c>
      <c r="K1877" s="1" t="str">
        <f>VLOOKUP(Tabela1[[#This Row],[Cliente]],'BASE DE CLIENTES'!A:D,4,0)</f>
        <v>EMPRESA SEM MAQUINA</v>
      </c>
      <c r="L1877" s="1" t="str">
        <f>VLOOKUP(Tabela1[[#This Row],[Cliente]],'BASE DE CLIENTES'!A:E,5,0)</f>
        <v>SETOR INDUSTRIAL (TAGUATINGA)</v>
      </c>
    </row>
    <row r="1878" spans="1:12" x14ac:dyDescent="0.3">
      <c r="A1878" s="1" t="s">
        <v>258</v>
      </c>
      <c r="B1878" s="1" t="s">
        <v>259</v>
      </c>
      <c r="C1878" s="4" t="str">
        <f>VLOOKUP(Tabela1[[#This Row],[Cliente]],'BASE DE CLIENTES'!A:E,2,0)</f>
        <v>Brasília</v>
      </c>
      <c r="D1878" s="1" t="str">
        <f>VLOOKUP(Tabela1[[#This Row],[Cliente]],'BASE DE CLIENTES'!A:C,3,0)</f>
        <v>DF</v>
      </c>
      <c r="E1878" s="4" t="str">
        <f>CONCATENATE(Tabela1[[#This Row],[CIDADE]],",",Tabela1[[#This Row],[UF]])</f>
        <v>Brasília,DF</v>
      </c>
      <c r="F1878" s="2">
        <v>45685</v>
      </c>
      <c r="G1878" s="17">
        <v>57.13</v>
      </c>
      <c r="H1878" s="17">
        <v>230</v>
      </c>
      <c r="I1878" s="6">
        <f>Tabela1[[#This Row],[Valor total]]-Tabela1[[#This Row],[Valor custo]]</f>
        <v>172.87</v>
      </c>
      <c r="J1878" s="7">
        <f>Tabela1[[#This Row],[MARGEM BRUTA]]/Tabela1[[#This Row],[Valor total]]</f>
        <v>0.75160869565217392</v>
      </c>
      <c r="K1878" s="1" t="str">
        <f>VLOOKUP(Tabela1[[#This Row],[Cliente]],'BASE DE CLIENTES'!A:D,4,0)</f>
        <v>SEM CLASSIFICAÇÃO</v>
      </c>
      <c r="L1878" s="1" t="str">
        <f>VLOOKUP(Tabela1[[#This Row],[Cliente]],'BASE DE CLIENTES'!A:E,5,0)</f>
        <v>SANTA MARIA</v>
      </c>
    </row>
    <row r="1879" spans="1:12" x14ac:dyDescent="0.3">
      <c r="B1879" s="1" t="s">
        <v>239</v>
      </c>
      <c r="C1879" s="4" t="str">
        <f>VLOOKUP(Tabela1[[#This Row],[Cliente]],'BASE DE CLIENTES'!A:E,2,0)</f>
        <v>Brasília</v>
      </c>
      <c r="D1879" s="1" t="str">
        <f>VLOOKUP(Tabela1[[#This Row],[Cliente]],'BASE DE CLIENTES'!A:C,3,0)</f>
        <v>DF</v>
      </c>
      <c r="E1879" s="4" t="str">
        <f>CONCATENATE(Tabela1[[#This Row],[CIDADE]],",",Tabela1[[#This Row],[UF]])</f>
        <v>Brasília,DF</v>
      </c>
      <c r="F1879" s="2">
        <v>45898</v>
      </c>
      <c r="G1879" s="17">
        <v>7646</v>
      </c>
      <c r="H1879" s="17">
        <v>12200</v>
      </c>
      <c r="I1879" s="6">
        <f>Tabela1[[#This Row],[Valor total]]-Tabela1[[#This Row],[Valor custo]]</f>
        <v>4554</v>
      </c>
      <c r="J1879" s="7">
        <f>Tabela1[[#This Row],[MARGEM BRUTA]]/Tabela1[[#This Row],[Valor total]]</f>
        <v>0.37327868852459017</v>
      </c>
      <c r="K1879" s="1" t="str">
        <f>VLOOKUP(Tabela1[[#This Row],[Cliente]],'BASE DE CLIENTES'!A:D,4,0)</f>
        <v>EMPRESA COM MAQUINA</v>
      </c>
      <c r="L1879" s="1" t="str">
        <f>VLOOKUP(Tabela1[[#This Row],[Cliente]],'BASE DE CLIENTES'!A:E,5,0)</f>
        <v>RIACHO FUNDO II</v>
      </c>
    </row>
    <row r="1880" spans="1:12" x14ac:dyDescent="0.3">
      <c r="B1880" s="1" t="s">
        <v>253</v>
      </c>
      <c r="C1880" s="4" t="str">
        <f>VLOOKUP(Tabela1[[#This Row],[Cliente]],'BASE DE CLIENTES'!A:E,2,0)</f>
        <v>Luziânia</v>
      </c>
      <c r="D1880" s="1" t="str">
        <f>VLOOKUP(Tabela1[[#This Row],[Cliente]],'BASE DE CLIENTES'!A:C,3,0)</f>
        <v>GO</v>
      </c>
      <c r="E1880" s="4" t="str">
        <f>CONCATENATE(Tabela1[[#This Row],[CIDADE]],",",Tabela1[[#This Row],[UF]])</f>
        <v>Luziânia,GO</v>
      </c>
      <c r="F1880" s="2">
        <v>45749</v>
      </c>
      <c r="G1880" s="17">
        <v>4470</v>
      </c>
      <c r="H1880" s="17">
        <v>6150</v>
      </c>
      <c r="I1880" s="6">
        <f>Tabela1[[#This Row],[Valor total]]-Tabela1[[#This Row],[Valor custo]]</f>
        <v>1680</v>
      </c>
      <c r="J1880" s="7">
        <f>Tabela1[[#This Row],[MARGEM BRUTA]]/Tabela1[[#This Row],[Valor total]]</f>
        <v>0.27317073170731709</v>
      </c>
      <c r="K1880" s="1" t="str">
        <f>VLOOKUP(Tabela1[[#This Row],[Cliente]],'BASE DE CLIENTES'!A:D,4,0)</f>
        <v>EMPRESA COM MAQUINA</v>
      </c>
      <c r="L1880" s="1" t="str">
        <f>VLOOKUP(Tabela1[[#This Row],[Cliente]],'BASE DE CLIENTES'!A:E,5,0)</f>
        <v>Luziânia</v>
      </c>
    </row>
    <row r="1881" spans="1:12" x14ac:dyDescent="0.3">
      <c r="B1881" s="1" t="s">
        <v>161</v>
      </c>
      <c r="C1881" s="4" t="str">
        <f>VLOOKUP(Tabela1[[#This Row],[Cliente]],'BASE DE CLIENTES'!A:E,2,0)</f>
        <v>Brasília</v>
      </c>
      <c r="D1881" s="1" t="str">
        <f>VLOOKUP(Tabela1[[#This Row],[Cliente]],'BASE DE CLIENTES'!A:C,3,0)</f>
        <v>DF</v>
      </c>
      <c r="E1881" s="4" t="str">
        <f>CONCATENATE(Tabela1[[#This Row],[CIDADE]],",",Tabela1[[#This Row],[UF]])</f>
        <v>Brasília,DF</v>
      </c>
      <c r="F1881" s="2">
        <v>45897</v>
      </c>
      <c r="G1881" s="17">
        <v>2275</v>
      </c>
      <c r="H1881" s="17">
        <v>3750</v>
      </c>
      <c r="I1881" s="6">
        <f>Tabela1[[#This Row],[Valor total]]-Tabela1[[#This Row],[Valor custo]]</f>
        <v>1475</v>
      </c>
      <c r="J1881" s="7">
        <f>Tabela1[[#This Row],[MARGEM BRUTA]]/Tabela1[[#This Row],[Valor total]]</f>
        <v>0.39333333333333331</v>
      </c>
      <c r="K1881" s="1" t="str">
        <f>VLOOKUP(Tabela1[[#This Row],[Cliente]],'BASE DE CLIENTES'!A:D,4,0)</f>
        <v>EMPRESA COM MAQUINA</v>
      </c>
      <c r="L1881" s="1" t="str">
        <f>VLOOKUP(Tabela1[[#This Row],[Cliente]],'BASE DE CLIENTES'!A:E,5,0)</f>
        <v>RIACHO FUNDO II</v>
      </c>
    </row>
    <row r="1882" spans="1:12" x14ac:dyDescent="0.3">
      <c r="B1882" s="1" t="s">
        <v>42</v>
      </c>
      <c r="C1882" s="4" t="str">
        <f>VLOOKUP(Tabela1[[#This Row],[Cliente]],'BASE DE CLIENTES'!A:E,2,0)</f>
        <v>Brasília</v>
      </c>
      <c r="D1882" s="1" t="str">
        <f>VLOOKUP(Tabela1[[#This Row],[Cliente]],'BASE DE CLIENTES'!A:C,3,0)</f>
        <v>DF</v>
      </c>
      <c r="E1882" s="4" t="str">
        <f>CONCATENATE(Tabela1[[#This Row],[CIDADE]],",",Tabela1[[#This Row],[UF]])</f>
        <v>Brasília,DF</v>
      </c>
      <c r="F1882" s="2">
        <v>45897</v>
      </c>
      <c r="G1882" s="17">
        <v>779.02</v>
      </c>
      <c r="H1882" s="17">
        <v>1230</v>
      </c>
      <c r="I1882" s="6">
        <f>Tabela1[[#This Row],[Valor total]]-Tabela1[[#This Row],[Valor custo]]</f>
        <v>450.98</v>
      </c>
      <c r="J1882" s="7">
        <f>Tabela1[[#This Row],[MARGEM BRUTA]]/Tabela1[[#This Row],[Valor total]]</f>
        <v>0.36665040650406505</v>
      </c>
      <c r="K1882" s="1" t="str">
        <f>VLOOKUP(Tabela1[[#This Row],[Cliente]],'BASE DE CLIENTES'!A:D,4,0)</f>
        <v>EMPRESA SEM MAQUINA</v>
      </c>
      <c r="L1882" s="1" t="str">
        <f>VLOOKUP(Tabela1[[#This Row],[Cliente]],'BASE DE CLIENTES'!A:E,5,0)</f>
        <v>SAMAMBAIA</v>
      </c>
    </row>
    <row r="1883" spans="1:12" x14ac:dyDescent="0.3">
      <c r="B1883" s="1" t="s">
        <v>55</v>
      </c>
      <c r="C1883" s="4" t="str">
        <f>VLOOKUP(Tabela1[[#This Row],[Cliente]],'BASE DE CLIENTES'!A:E,2,0)</f>
        <v>Brasília</v>
      </c>
      <c r="D1883" s="1" t="str">
        <f>VLOOKUP(Tabela1[[#This Row],[Cliente]],'BASE DE CLIENTES'!A:C,3,0)</f>
        <v>DF</v>
      </c>
      <c r="E1883" s="4" t="str">
        <f>CONCATENATE(Tabela1[[#This Row],[CIDADE]],",",Tabela1[[#This Row],[UF]])</f>
        <v>Brasília,DF</v>
      </c>
      <c r="F1883" s="2">
        <v>45897</v>
      </c>
      <c r="G1883" s="17">
        <v>757.56</v>
      </c>
      <c r="H1883" s="17">
        <v>1425</v>
      </c>
      <c r="I1883" s="6">
        <f>Tabela1[[#This Row],[Valor total]]-Tabela1[[#This Row],[Valor custo]]</f>
        <v>667.44</v>
      </c>
      <c r="J1883" s="7">
        <f>Tabela1[[#This Row],[MARGEM BRUTA]]/Tabela1[[#This Row],[Valor total]]</f>
        <v>0.46837894736842112</v>
      </c>
      <c r="K1883" s="1" t="str">
        <f>VLOOKUP(Tabela1[[#This Row],[Cliente]],'BASE DE CLIENTES'!A:D,4,0)</f>
        <v>EMPRESA SEM MAQUINA</v>
      </c>
      <c r="L1883" s="1" t="str">
        <f>VLOOKUP(Tabela1[[#This Row],[Cliente]],'BASE DE CLIENTES'!A:E,5,0)</f>
        <v>RECANTO DAS EMAS</v>
      </c>
    </row>
    <row r="1884" spans="1:12" x14ac:dyDescent="0.3">
      <c r="B1884" s="1" t="s">
        <v>254</v>
      </c>
      <c r="C1884" s="4" t="str">
        <f>VLOOKUP(Tabela1[[#This Row],[Cliente]],'BASE DE CLIENTES'!A:E,2,0)</f>
        <v>Luziânia</v>
      </c>
      <c r="D1884" s="1" t="str">
        <f>VLOOKUP(Tabela1[[#This Row],[Cliente]],'BASE DE CLIENTES'!A:C,3,0)</f>
        <v>GO</v>
      </c>
      <c r="E1884" s="4" t="str">
        <f>CONCATENATE(Tabela1[[#This Row],[CIDADE]],",",Tabela1[[#This Row],[UF]])</f>
        <v>Luziânia,GO</v>
      </c>
      <c r="F1884" s="2">
        <v>45800</v>
      </c>
      <c r="G1884" s="17">
        <v>453.1</v>
      </c>
      <c r="H1884" s="17">
        <v>620</v>
      </c>
      <c r="I1884" s="6">
        <f>Tabela1[[#This Row],[Valor total]]-Tabela1[[#This Row],[Valor custo]]</f>
        <v>166.89999999999998</v>
      </c>
      <c r="J1884" s="7">
        <f>Tabela1[[#This Row],[MARGEM BRUTA]]/Tabela1[[#This Row],[Valor total]]</f>
        <v>0.26919354838709675</v>
      </c>
      <c r="K1884" s="1" t="str">
        <f>VLOOKUP(Tabela1[[#This Row],[Cliente]],'BASE DE CLIENTES'!A:D,4,0)</f>
        <v>SERRALHEIRO</v>
      </c>
      <c r="L1884" s="1" t="str">
        <f>VLOOKUP(Tabela1[[#This Row],[Cliente]],'BASE DE CLIENTES'!A:E,5,0)</f>
        <v>Luziânia</v>
      </c>
    </row>
    <row r="1885" spans="1:12" x14ac:dyDescent="0.3">
      <c r="B1885" s="1" t="s">
        <v>252</v>
      </c>
      <c r="C1885" s="4" t="str">
        <f>VLOOKUP(Tabela1[[#This Row],[Cliente]],'BASE DE CLIENTES'!A:E,2,0)</f>
        <v>Luziânia</v>
      </c>
      <c r="D1885" s="1" t="str">
        <f>VLOOKUP(Tabela1[[#This Row],[Cliente]],'BASE DE CLIENTES'!A:C,3,0)</f>
        <v>GO</v>
      </c>
      <c r="E1885" s="4" t="str">
        <f>CONCATENATE(Tabela1[[#This Row],[CIDADE]],",",Tabela1[[#This Row],[UF]])</f>
        <v>Luziânia,GO</v>
      </c>
      <c r="F1885" s="2">
        <v>45800</v>
      </c>
      <c r="G1885" s="17">
        <v>459.19</v>
      </c>
      <c r="H1885" s="17">
        <v>611.5</v>
      </c>
      <c r="I1885" s="6">
        <f>Tabela1[[#This Row],[Valor total]]-Tabela1[[#This Row],[Valor custo]]</f>
        <v>152.31</v>
      </c>
      <c r="J1885" s="7">
        <f>Tabela1[[#This Row],[MARGEM BRUTA]]/Tabela1[[#This Row],[Valor total]]</f>
        <v>0.24907604251839738</v>
      </c>
      <c r="K1885" s="1" t="str">
        <f>VLOOKUP(Tabela1[[#This Row],[Cliente]],'BASE DE CLIENTES'!A:D,4,0)</f>
        <v>SERRALHEIRO</v>
      </c>
      <c r="L1885" s="1" t="str">
        <f>VLOOKUP(Tabela1[[#This Row],[Cliente]],'BASE DE CLIENTES'!A:E,5,0)</f>
        <v>Luziânia</v>
      </c>
    </row>
    <row r="1886" spans="1:12" x14ac:dyDescent="0.3">
      <c r="B1886" s="1" t="s">
        <v>141</v>
      </c>
      <c r="C1886" s="4" t="str">
        <f>VLOOKUP(Tabela1[[#This Row],[Cliente]],'BASE DE CLIENTES'!A:E,2,0)</f>
        <v>Brasília</v>
      </c>
      <c r="D1886" s="1" t="str">
        <f>VLOOKUP(Tabela1[[#This Row],[Cliente]],'BASE DE CLIENTES'!A:C,3,0)</f>
        <v>DF</v>
      </c>
      <c r="E1886" s="4" t="str">
        <f>CONCATENATE(Tabela1[[#This Row],[CIDADE]],",",Tabela1[[#This Row],[UF]])</f>
        <v>Brasília,DF</v>
      </c>
      <c r="F1886" s="2">
        <v>45897</v>
      </c>
      <c r="G1886" s="17">
        <v>47.25</v>
      </c>
      <c r="H1886" s="17">
        <v>160</v>
      </c>
      <c r="I1886" s="6">
        <f>Tabela1[[#This Row],[Valor total]]-Tabela1[[#This Row],[Valor custo]]</f>
        <v>112.75</v>
      </c>
      <c r="J1886" s="7">
        <f>Tabela1[[#This Row],[MARGEM BRUTA]]/Tabela1[[#This Row],[Valor total]]</f>
        <v>0.70468750000000002</v>
      </c>
      <c r="K1886" s="1" t="str">
        <f>VLOOKUP(Tabela1[[#This Row],[Cliente]],'BASE DE CLIENTES'!A:D,4,0)</f>
        <v>EMPRESA COM MAQUINA</v>
      </c>
      <c r="L1886" s="1" t="str">
        <f>VLOOKUP(Tabela1[[#This Row],[Cliente]],'BASE DE CLIENTES'!A:E,5,0)</f>
        <v>TAGUATINGA</v>
      </c>
    </row>
    <row r="1887" spans="1:12" x14ac:dyDescent="0.3">
      <c r="B1887" s="1" t="s">
        <v>253</v>
      </c>
      <c r="C1887" s="4" t="str">
        <f>VLOOKUP(Tabela1[[#This Row],[Cliente]],'BASE DE CLIENTES'!A:E,2,0)</f>
        <v>Luziânia</v>
      </c>
      <c r="D1887" s="1" t="str">
        <f>VLOOKUP(Tabela1[[#This Row],[Cliente]],'BASE DE CLIENTES'!A:C,3,0)</f>
        <v>GO</v>
      </c>
      <c r="E1887" s="4" t="str">
        <f>CONCATENATE(Tabela1[[#This Row],[CIDADE]],",",Tabela1[[#This Row],[UF]])</f>
        <v>Luziânia,GO</v>
      </c>
      <c r="F1887" s="2">
        <v>45799</v>
      </c>
      <c r="G1887" s="17">
        <v>13.69</v>
      </c>
      <c r="H1887" s="17">
        <v>110</v>
      </c>
      <c r="I1887" s="6">
        <f>Tabela1[[#This Row],[Valor total]]-Tabela1[[#This Row],[Valor custo]]</f>
        <v>96.31</v>
      </c>
      <c r="J1887" s="7">
        <f>Tabela1[[#This Row],[MARGEM BRUTA]]/Tabela1[[#This Row],[Valor total]]</f>
        <v>0.87554545454545452</v>
      </c>
      <c r="K1887" s="1" t="str">
        <f>VLOOKUP(Tabela1[[#This Row],[Cliente]],'BASE DE CLIENTES'!A:D,4,0)</f>
        <v>EMPRESA COM MAQUINA</v>
      </c>
      <c r="L1887" s="1" t="str">
        <f>VLOOKUP(Tabela1[[#This Row],[Cliente]],'BASE DE CLIENTES'!A:E,5,0)</f>
        <v>Luziânia</v>
      </c>
    </row>
    <row r="1888" spans="1:12" x14ac:dyDescent="0.3">
      <c r="B1888" s="1" t="s">
        <v>254</v>
      </c>
      <c r="C1888" s="4" t="str">
        <f>VLOOKUP(Tabela1[[#This Row],[Cliente]],'BASE DE CLIENTES'!A:E,2,0)</f>
        <v>Luziânia</v>
      </c>
      <c r="D1888" s="1" t="str">
        <f>VLOOKUP(Tabela1[[#This Row],[Cliente]],'BASE DE CLIENTES'!A:C,3,0)</f>
        <v>GO</v>
      </c>
      <c r="E1888" s="4" t="str">
        <f>CONCATENATE(Tabela1[[#This Row],[CIDADE]],",",Tabela1[[#This Row],[UF]])</f>
        <v>Luziânia,GO</v>
      </c>
      <c r="F1888" s="2">
        <v>45796</v>
      </c>
      <c r="G1888" s="17">
        <v>465.29</v>
      </c>
      <c r="H1888" s="17">
        <v>666.5</v>
      </c>
      <c r="I1888" s="6">
        <f>Tabela1[[#This Row],[Valor total]]-Tabela1[[#This Row],[Valor custo]]</f>
        <v>201.20999999999998</v>
      </c>
      <c r="J1888" s="7">
        <f>Tabela1[[#This Row],[MARGEM BRUTA]]/Tabela1[[#This Row],[Valor total]]</f>
        <v>0.30189047261815449</v>
      </c>
      <c r="K1888" s="1" t="str">
        <f>VLOOKUP(Tabela1[[#This Row],[Cliente]],'BASE DE CLIENTES'!A:D,4,0)</f>
        <v>SERRALHEIRO</v>
      </c>
      <c r="L1888" s="1" t="str">
        <f>VLOOKUP(Tabela1[[#This Row],[Cliente]],'BASE DE CLIENTES'!A:E,5,0)</f>
        <v>Luziânia</v>
      </c>
    </row>
    <row r="1889" spans="2:12" x14ac:dyDescent="0.3">
      <c r="B1889" s="1" t="s">
        <v>254</v>
      </c>
      <c r="C1889" s="4" t="str">
        <f>VLOOKUP(Tabela1[[#This Row],[Cliente]],'BASE DE CLIENTES'!A:E,2,0)</f>
        <v>Luziânia</v>
      </c>
      <c r="D1889" s="1" t="str">
        <f>VLOOKUP(Tabela1[[#This Row],[Cliente]],'BASE DE CLIENTES'!A:C,3,0)</f>
        <v>GO</v>
      </c>
      <c r="E1889" s="4" t="str">
        <f>CONCATENATE(Tabela1[[#This Row],[CIDADE]],",",Tabela1[[#This Row],[UF]])</f>
        <v>Luziânia,GO</v>
      </c>
      <c r="F1889" s="2">
        <v>45782</v>
      </c>
      <c r="G1889" s="17">
        <v>27.38</v>
      </c>
      <c r="H1889" s="17">
        <v>400</v>
      </c>
      <c r="I1889" s="6">
        <f>Tabela1[[#This Row],[Valor total]]-Tabela1[[#This Row],[Valor custo]]</f>
        <v>372.62</v>
      </c>
      <c r="J1889" s="7">
        <f>Tabela1[[#This Row],[MARGEM BRUTA]]/Tabela1[[#This Row],[Valor total]]</f>
        <v>0.93154999999999999</v>
      </c>
      <c r="K1889" s="1" t="str">
        <f>VLOOKUP(Tabela1[[#This Row],[Cliente]],'BASE DE CLIENTES'!A:D,4,0)</f>
        <v>SERRALHEIRO</v>
      </c>
      <c r="L1889" s="1" t="str">
        <f>VLOOKUP(Tabela1[[#This Row],[Cliente]],'BASE DE CLIENTES'!A:E,5,0)</f>
        <v>Luziânia</v>
      </c>
    </row>
    <row r="1890" spans="2:12" x14ac:dyDescent="0.3">
      <c r="B1890" s="1" t="s">
        <v>78</v>
      </c>
      <c r="C1890" s="4" t="str">
        <f>VLOOKUP(Tabela1[[#This Row],[Cliente]],'BASE DE CLIENTES'!A:E,2,0)</f>
        <v>Brasília</v>
      </c>
      <c r="D1890" s="1" t="str">
        <f>VLOOKUP(Tabela1[[#This Row],[Cliente]],'BASE DE CLIENTES'!A:C,3,0)</f>
        <v>DF</v>
      </c>
      <c r="E1890" s="4" t="str">
        <f>CONCATENATE(Tabela1[[#This Row],[CIDADE]],",",Tabela1[[#This Row],[UF]])</f>
        <v>Brasília,DF</v>
      </c>
      <c r="F1890" s="2">
        <v>45897</v>
      </c>
      <c r="G1890" s="17">
        <v>764.6</v>
      </c>
      <c r="H1890" s="17">
        <v>1290</v>
      </c>
      <c r="I1890" s="6">
        <f>Tabela1[[#This Row],[Valor total]]-Tabela1[[#This Row],[Valor custo]]</f>
        <v>525.4</v>
      </c>
      <c r="J1890" s="7">
        <f>Tabela1[[#This Row],[MARGEM BRUTA]]/Tabela1[[#This Row],[Valor total]]</f>
        <v>0.40728682170542635</v>
      </c>
      <c r="K1890" s="1" t="str">
        <f>VLOOKUP(Tabela1[[#This Row],[Cliente]],'BASE DE CLIENTES'!A:D,4,0)</f>
        <v>SERRALHEIRO</v>
      </c>
      <c r="L1890" s="1" t="str">
        <f>VLOOKUP(Tabela1[[#This Row],[Cliente]],'BASE DE CLIENTES'!A:E,5,0)</f>
        <v>Vila do Boa (São Sebastião)</v>
      </c>
    </row>
    <row r="1891" spans="2:12" x14ac:dyDescent="0.3">
      <c r="B1891" s="1" t="s">
        <v>253</v>
      </c>
      <c r="C1891" s="4" t="str">
        <f>VLOOKUP(Tabela1[[#This Row],[Cliente]],'BASE DE CLIENTES'!A:E,2,0)</f>
        <v>Luziânia</v>
      </c>
      <c r="D1891" s="1" t="str">
        <f>VLOOKUP(Tabela1[[#This Row],[Cliente]],'BASE DE CLIENTES'!A:C,3,0)</f>
        <v>GO</v>
      </c>
      <c r="E1891" s="4" t="str">
        <f>CONCATENATE(Tabela1[[#This Row],[CIDADE]],",",Tabela1[[#This Row],[UF]])</f>
        <v>Luziânia,GO</v>
      </c>
      <c r="F1891" s="2">
        <v>45831</v>
      </c>
      <c r="G1891" s="17">
        <v>497</v>
      </c>
      <c r="H1891" s="17">
        <v>235</v>
      </c>
      <c r="I1891" s="6">
        <f>Tabela1[[#This Row],[Valor total]]-Tabela1[[#This Row],[Valor custo]]</f>
        <v>-262</v>
      </c>
      <c r="J1891" s="7">
        <f>Tabela1[[#This Row],[MARGEM BRUTA]]/Tabela1[[#This Row],[Valor total]]</f>
        <v>-1.1148936170212767</v>
      </c>
      <c r="K1891" s="1" t="str">
        <f>VLOOKUP(Tabela1[[#This Row],[Cliente]],'BASE DE CLIENTES'!A:D,4,0)</f>
        <v>EMPRESA COM MAQUINA</v>
      </c>
      <c r="L1891" s="1" t="str">
        <f>VLOOKUP(Tabela1[[#This Row],[Cliente]],'BASE DE CLIENTES'!A:E,5,0)</f>
        <v>Luziânia</v>
      </c>
    </row>
    <row r="1892" spans="2:12" x14ac:dyDescent="0.3">
      <c r="B1892" s="1" t="s">
        <v>52</v>
      </c>
      <c r="C1892" s="4" t="str">
        <f>VLOOKUP(Tabela1[[#This Row],[Cliente]],'BASE DE CLIENTES'!A:E,2,0)</f>
        <v>Brasília</v>
      </c>
      <c r="D1892" s="1" t="str">
        <f>VLOOKUP(Tabela1[[#This Row],[Cliente]],'BASE DE CLIENTES'!A:C,3,0)</f>
        <v>DF</v>
      </c>
      <c r="E1892" s="4" t="str">
        <f>CONCATENATE(Tabela1[[#This Row],[CIDADE]],",",Tabela1[[#This Row],[UF]])</f>
        <v>Brasília,DF</v>
      </c>
      <c r="F1892" s="2">
        <v>45897</v>
      </c>
      <c r="G1892" s="17">
        <v>382.3</v>
      </c>
      <c r="H1892" s="17">
        <v>640</v>
      </c>
      <c r="I1892" s="6">
        <f>Tabela1[[#This Row],[Valor total]]-Tabela1[[#This Row],[Valor custo]]</f>
        <v>257.7</v>
      </c>
      <c r="J1892" s="7">
        <f>Tabela1[[#This Row],[MARGEM BRUTA]]/Tabela1[[#This Row],[Valor total]]</f>
        <v>0.40265624999999999</v>
      </c>
      <c r="K1892" s="1" t="str">
        <f>VLOOKUP(Tabela1[[#This Row],[Cliente]],'BASE DE CLIENTES'!A:D,4,0)</f>
        <v>SERRALHEIRO</v>
      </c>
      <c r="L1892" s="1" t="str">
        <f>VLOOKUP(Tabela1[[#This Row],[Cliente]],'BASE DE CLIENTES'!A:E,5,0)</f>
        <v>Ceilândia Sul (Ceilândia)</v>
      </c>
    </row>
    <row r="1893" spans="2:12" x14ac:dyDescent="0.3">
      <c r="B1893" s="1" t="s">
        <v>260</v>
      </c>
      <c r="C1893" s="4" t="str">
        <f>VLOOKUP(Tabela1[[#This Row],[Cliente]],'BASE DE CLIENTES'!A:E,2,0)</f>
        <v>Luziânia</v>
      </c>
      <c r="D1893" s="1" t="str">
        <f>VLOOKUP(Tabela1[[#This Row],[Cliente]],'BASE DE CLIENTES'!A:C,3,0)</f>
        <v>GO</v>
      </c>
      <c r="E1893" s="4" t="str">
        <f>CONCATENATE(Tabela1[[#This Row],[CIDADE]],",",Tabela1[[#This Row],[UF]])</f>
        <v>Luziânia,GO</v>
      </c>
      <c r="F1893" s="2">
        <v>45825</v>
      </c>
      <c r="G1893" s="17">
        <v>710</v>
      </c>
      <c r="H1893" s="17">
        <v>1100</v>
      </c>
      <c r="I1893" s="6">
        <f>Tabela1[[#This Row],[Valor total]]-Tabela1[[#This Row],[Valor custo]]</f>
        <v>390</v>
      </c>
      <c r="J1893" s="7">
        <f>Tabela1[[#This Row],[MARGEM BRUTA]]/Tabela1[[#This Row],[Valor total]]</f>
        <v>0.35454545454545455</v>
      </c>
      <c r="K1893" s="1" t="str">
        <f>VLOOKUP(Tabela1[[#This Row],[Cliente]],'BASE DE CLIENTES'!A:D,4,0)</f>
        <v>SERRALHEIRO</v>
      </c>
      <c r="L1893" s="1" t="str">
        <f>VLOOKUP(Tabela1[[#This Row],[Cliente]],'BASE DE CLIENTES'!A:E,5,0)</f>
        <v>Luziânia</v>
      </c>
    </row>
    <row r="1894" spans="2:12" x14ac:dyDescent="0.3">
      <c r="B1894" s="1" t="s">
        <v>260</v>
      </c>
      <c r="C1894" s="4" t="str">
        <f>VLOOKUP(Tabela1[[#This Row],[Cliente]],'BASE DE CLIENTES'!A:E,2,0)</f>
        <v>Luziânia</v>
      </c>
      <c r="D1894" s="1" t="str">
        <f>VLOOKUP(Tabela1[[#This Row],[Cliente]],'BASE DE CLIENTES'!A:C,3,0)</f>
        <v>GO</v>
      </c>
      <c r="E1894" s="4" t="str">
        <f>CONCATENATE(Tabela1[[#This Row],[CIDADE]],",",Tabela1[[#This Row],[UF]])</f>
        <v>Luziânia,GO</v>
      </c>
      <c r="F1894" s="2">
        <v>45821</v>
      </c>
      <c r="G1894" s="17">
        <v>1107.77</v>
      </c>
      <c r="H1894" s="17">
        <v>1815</v>
      </c>
      <c r="I1894" s="6">
        <f>Tabela1[[#This Row],[Valor total]]-Tabela1[[#This Row],[Valor custo]]</f>
        <v>707.23</v>
      </c>
      <c r="J1894" s="7">
        <f>Tabela1[[#This Row],[MARGEM BRUTA]]/Tabela1[[#This Row],[Valor total]]</f>
        <v>0.38965840220385678</v>
      </c>
      <c r="K1894" s="1" t="str">
        <f>VLOOKUP(Tabela1[[#This Row],[Cliente]],'BASE DE CLIENTES'!A:D,4,0)</f>
        <v>SERRALHEIRO</v>
      </c>
      <c r="L1894" s="1" t="str">
        <f>VLOOKUP(Tabela1[[#This Row],[Cliente]],'BASE DE CLIENTES'!A:E,5,0)</f>
        <v>Luziânia</v>
      </c>
    </row>
    <row r="1895" spans="2:12" x14ac:dyDescent="0.3">
      <c r="B1895" s="1" t="s">
        <v>38</v>
      </c>
      <c r="C1895" s="4" t="str">
        <f>VLOOKUP(Tabela1[[#This Row],[Cliente]],'BASE DE CLIENTES'!A:E,2,0)</f>
        <v>Brasília</v>
      </c>
      <c r="D1895" s="1" t="str">
        <f>VLOOKUP(Tabela1[[#This Row],[Cliente]],'BASE DE CLIENTES'!A:C,3,0)</f>
        <v>DF</v>
      </c>
      <c r="E1895" s="4" t="str">
        <f>CONCATENATE(Tabela1[[#This Row],[CIDADE]],",",Tabela1[[#This Row],[UF]])</f>
        <v>Brasília,DF</v>
      </c>
      <c r="F1895" s="2">
        <v>45897</v>
      </c>
      <c r="G1895" s="17">
        <v>108.15</v>
      </c>
      <c r="H1895" s="17">
        <v>450</v>
      </c>
      <c r="I1895" s="6">
        <f>Tabela1[[#This Row],[Valor total]]-Tabela1[[#This Row],[Valor custo]]</f>
        <v>341.85</v>
      </c>
      <c r="J1895" s="7">
        <f>Tabela1[[#This Row],[MARGEM BRUTA]]/Tabela1[[#This Row],[Valor total]]</f>
        <v>0.75966666666666671</v>
      </c>
      <c r="K1895" s="1" t="str">
        <f>VLOOKUP(Tabela1[[#This Row],[Cliente]],'BASE DE CLIENTES'!A:D,4,0)</f>
        <v>EMPRESA SEM MAQUINA</v>
      </c>
      <c r="L1895" s="1" t="str">
        <f>VLOOKUP(Tabela1[[#This Row],[Cliente]],'BASE DE CLIENTES'!A:E,5,0)</f>
        <v>PONTE ALTA NORTE (GAMA)</v>
      </c>
    </row>
    <row r="1896" spans="2:12" x14ac:dyDescent="0.3">
      <c r="B1896" s="1" t="s">
        <v>254</v>
      </c>
      <c r="C1896" s="4" t="str">
        <f>VLOOKUP(Tabela1[[#This Row],[Cliente]],'BASE DE CLIENTES'!A:E,2,0)</f>
        <v>Luziânia</v>
      </c>
      <c r="D1896" s="1" t="str">
        <f>VLOOKUP(Tabela1[[#This Row],[Cliente]],'BASE DE CLIENTES'!A:C,3,0)</f>
        <v>GO</v>
      </c>
      <c r="E1896" s="4" t="str">
        <f>CONCATENATE(Tabela1[[#This Row],[CIDADE]],",",Tabela1[[#This Row],[UF]])</f>
        <v>Luziânia,GO</v>
      </c>
      <c r="F1896" s="2">
        <v>45820</v>
      </c>
      <c r="G1896" s="17">
        <v>7.9</v>
      </c>
      <c r="H1896" s="17">
        <v>40</v>
      </c>
      <c r="I1896" s="6">
        <f>Tabela1[[#This Row],[Valor total]]-Tabela1[[#This Row],[Valor custo]]</f>
        <v>32.1</v>
      </c>
      <c r="J1896" s="7">
        <f>Tabela1[[#This Row],[MARGEM BRUTA]]/Tabela1[[#This Row],[Valor total]]</f>
        <v>0.80249999999999999</v>
      </c>
      <c r="K1896" s="1" t="str">
        <f>VLOOKUP(Tabela1[[#This Row],[Cliente]],'BASE DE CLIENTES'!A:D,4,0)</f>
        <v>SERRALHEIRO</v>
      </c>
      <c r="L1896" s="1" t="str">
        <f>VLOOKUP(Tabela1[[#This Row],[Cliente]],'BASE DE CLIENTES'!A:E,5,0)</f>
        <v>Luziânia</v>
      </c>
    </row>
    <row r="1897" spans="2:12" x14ac:dyDescent="0.3">
      <c r="B1897" s="1" t="s">
        <v>254</v>
      </c>
      <c r="C1897" s="4" t="str">
        <f>VLOOKUP(Tabela1[[#This Row],[Cliente]],'BASE DE CLIENTES'!A:E,2,0)</f>
        <v>Luziânia</v>
      </c>
      <c r="D1897" s="1" t="str">
        <f>VLOOKUP(Tabela1[[#This Row],[Cliente]],'BASE DE CLIENTES'!A:C,3,0)</f>
        <v>GO</v>
      </c>
      <c r="E1897" s="4" t="str">
        <f>CONCATENATE(Tabela1[[#This Row],[CIDADE]],",",Tabela1[[#This Row],[UF]])</f>
        <v>Luziânia,GO</v>
      </c>
      <c r="F1897" s="2">
        <v>45819</v>
      </c>
      <c r="G1897" s="17">
        <v>1078.58</v>
      </c>
      <c r="H1897" s="17">
        <v>1620</v>
      </c>
      <c r="I1897" s="6">
        <f>Tabela1[[#This Row],[Valor total]]-Tabela1[[#This Row],[Valor custo]]</f>
        <v>541.42000000000007</v>
      </c>
      <c r="J1897" s="7">
        <f>Tabela1[[#This Row],[MARGEM BRUTA]]/Tabela1[[#This Row],[Valor total]]</f>
        <v>0.33420987654320994</v>
      </c>
      <c r="K1897" s="1" t="str">
        <f>VLOOKUP(Tabela1[[#This Row],[Cliente]],'BASE DE CLIENTES'!A:D,4,0)</f>
        <v>SERRALHEIRO</v>
      </c>
      <c r="L1897" s="1" t="str">
        <f>VLOOKUP(Tabela1[[#This Row],[Cliente]],'BASE DE CLIENTES'!A:E,5,0)</f>
        <v>Luziânia</v>
      </c>
    </row>
    <row r="1898" spans="2:12" x14ac:dyDescent="0.3">
      <c r="B1898" s="1" t="s">
        <v>55</v>
      </c>
      <c r="C1898" s="4" t="str">
        <f>VLOOKUP(Tabela1[[#This Row],[Cliente]],'BASE DE CLIENTES'!A:E,2,0)</f>
        <v>Brasília</v>
      </c>
      <c r="D1898" s="1" t="str">
        <f>VLOOKUP(Tabela1[[#This Row],[Cliente]],'BASE DE CLIENTES'!A:C,3,0)</f>
        <v>DF</v>
      </c>
      <c r="E1898" s="4" t="str">
        <f>CONCATENATE(Tabela1[[#This Row],[CIDADE]],",",Tabela1[[#This Row],[UF]])</f>
        <v>Brasília,DF</v>
      </c>
      <c r="F1898" s="2">
        <v>45897</v>
      </c>
      <c r="G1898" s="17">
        <v>432.79</v>
      </c>
      <c r="H1898" s="17">
        <v>600</v>
      </c>
      <c r="I1898" s="6">
        <f>Tabela1[[#This Row],[Valor total]]-Tabela1[[#This Row],[Valor custo]]</f>
        <v>167.20999999999998</v>
      </c>
      <c r="J1898" s="7">
        <f>Tabela1[[#This Row],[MARGEM BRUTA]]/Tabela1[[#This Row],[Valor total]]</f>
        <v>0.27868333333333328</v>
      </c>
      <c r="K1898" s="1" t="str">
        <f>VLOOKUP(Tabela1[[#This Row],[Cliente]],'BASE DE CLIENTES'!A:D,4,0)</f>
        <v>EMPRESA SEM MAQUINA</v>
      </c>
      <c r="L1898" s="1" t="str">
        <f>VLOOKUP(Tabela1[[#This Row],[Cliente]],'BASE DE CLIENTES'!A:E,5,0)</f>
        <v>RECANTO DAS EMAS</v>
      </c>
    </row>
    <row r="1899" spans="2:12" x14ac:dyDescent="0.3">
      <c r="B1899" s="1" t="s">
        <v>97</v>
      </c>
      <c r="C1899" s="4" t="str">
        <f>VLOOKUP(Tabela1[[#This Row],[Cliente]],'BASE DE CLIENTES'!A:E,2,0)</f>
        <v>Brasília</v>
      </c>
      <c r="D1899" s="1" t="str">
        <f>VLOOKUP(Tabela1[[#This Row],[Cliente]],'BASE DE CLIENTES'!A:C,3,0)</f>
        <v>DF</v>
      </c>
      <c r="E1899" s="4" t="str">
        <f>CONCATENATE(Tabela1[[#This Row],[CIDADE]],",",Tabela1[[#This Row],[UF]])</f>
        <v>Brasília,DF</v>
      </c>
      <c r="F1899" s="2">
        <v>45897</v>
      </c>
      <c r="G1899" s="17">
        <v>73.14</v>
      </c>
      <c r="H1899" s="17">
        <v>90</v>
      </c>
      <c r="I1899" s="6">
        <f>Tabela1[[#This Row],[Valor total]]-Tabela1[[#This Row],[Valor custo]]</f>
        <v>16.86</v>
      </c>
      <c r="J1899" s="7">
        <f>Tabela1[[#This Row],[MARGEM BRUTA]]/Tabela1[[#This Row],[Valor total]]</f>
        <v>0.18733333333333332</v>
      </c>
      <c r="K1899" s="1" t="str">
        <f>VLOOKUP(Tabela1[[#This Row],[Cliente]],'BASE DE CLIENTES'!A:D,4,0)</f>
        <v>SERRALHEIRO</v>
      </c>
      <c r="L1899" s="1" t="str">
        <f>VLOOKUP(Tabela1[[#This Row],[Cliente]],'BASE DE CLIENTES'!A:E,5,0)</f>
        <v>CEILANDIA NORTE</v>
      </c>
    </row>
    <row r="1900" spans="2:12" x14ac:dyDescent="0.3">
      <c r="B1900" s="1" t="s">
        <v>97</v>
      </c>
      <c r="C1900" s="4" t="str">
        <f>VLOOKUP(Tabela1[[#This Row],[Cliente]],'BASE DE CLIENTES'!A:E,2,0)</f>
        <v>Brasília</v>
      </c>
      <c r="D1900" s="1" t="str">
        <f>VLOOKUP(Tabela1[[#This Row],[Cliente]],'BASE DE CLIENTES'!A:C,3,0)</f>
        <v>DF</v>
      </c>
      <c r="E1900" s="4" t="str">
        <f>CONCATENATE(Tabela1[[#This Row],[CIDADE]],",",Tabela1[[#This Row],[UF]])</f>
        <v>Brasília,DF</v>
      </c>
      <c r="F1900" s="2">
        <v>45897</v>
      </c>
      <c r="G1900" s="17">
        <v>432.79</v>
      </c>
      <c r="H1900" s="17">
        <v>720</v>
      </c>
      <c r="I1900" s="6">
        <f>Tabela1[[#This Row],[Valor total]]-Tabela1[[#This Row],[Valor custo]]</f>
        <v>287.20999999999998</v>
      </c>
      <c r="J1900" s="7">
        <f>Tabela1[[#This Row],[MARGEM BRUTA]]/Tabela1[[#This Row],[Valor total]]</f>
        <v>0.39890277777777777</v>
      </c>
      <c r="K1900" s="1" t="str">
        <f>VLOOKUP(Tabela1[[#This Row],[Cliente]],'BASE DE CLIENTES'!A:D,4,0)</f>
        <v>SERRALHEIRO</v>
      </c>
      <c r="L1900" s="1" t="str">
        <f>VLOOKUP(Tabela1[[#This Row],[Cliente]],'BASE DE CLIENTES'!A:E,5,0)</f>
        <v>CEILANDIA NORTE</v>
      </c>
    </row>
    <row r="1901" spans="2:12" x14ac:dyDescent="0.3">
      <c r="B1901" s="1" t="s">
        <v>254</v>
      </c>
      <c r="C1901" s="4" t="str">
        <f>VLOOKUP(Tabela1[[#This Row],[Cliente]],'BASE DE CLIENTES'!A:E,2,0)</f>
        <v>Luziânia</v>
      </c>
      <c r="D1901" s="1" t="str">
        <f>VLOOKUP(Tabela1[[#This Row],[Cliente]],'BASE DE CLIENTES'!A:C,3,0)</f>
        <v>GO</v>
      </c>
      <c r="E1901" s="4" t="str">
        <f>CONCATENATE(Tabela1[[#This Row],[CIDADE]],",",Tabela1[[#This Row],[UF]])</f>
        <v>Luziânia,GO</v>
      </c>
      <c r="F1901" s="2">
        <v>45812</v>
      </c>
      <c r="G1901" s="17">
        <v>13.69</v>
      </c>
      <c r="H1901" s="17">
        <v>110</v>
      </c>
      <c r="I1901" s="6">
        <f>Tabela1[[#This Row],[Valor total]]-Tabela1[[#This Row],[Valor custo]]</f>
        <v>96.31</v>
      </c>
      <c r="J1901" s="7">
        <f>Tabela1[[#This Row],[MARGEM BRUTA]]/Tabela1[[#This Row],[Valor total]]</f>
        <v>0.87554545454545452</v>
      </c>
      <c r="K1901" s="1" t="str">
        <f>VLOOKUP(Tabela1[[#This Row],[Cliente]],'BASE DE CLIENTES'!A:D,4,0)</f>
        <v>SERRALHEIRO</v>
      </c>
      <c r="L1901" s="1" t="str">
        <f>VLOOKUP(Tabela1[[#This Row],[Cliente]],'BASE DE CLIENTES'!A:E,5,0)</f>
        <v>Luziânia</v>
      </c>
    </row>
    <row r="1902" spans="2:12" x14ac:dyDescent="0.3">
      <c r="B1902" s="1" t="s">
        <v>165</v>
      </c>
      <c r="C1902" s="4" t="str">
        <f>VLOOKUP(Tabela1[[#This Row],[Cliente]],'BASE DE CLIENTES'!A:E,2,0)</f>
        <v>Brasília</v>
      </c>
      <c r="D1902" s="1" t="str">
        <f>VLOOKUP(Tabela1[[#This Row],[Cliente]],'BASE DE CLIENTES'!A:C,3,0)</f>
        <v>DF</v>
      </c>
      <c r="E1902" s="4" t="str">
        <f>CONCATENATE(Tabela1[[#This Row],[CIDADE]],",",Tabela1[[#This Row],[UF]])</f>
        <v>Brasília,DF</v>
      </c>
      <c r="F1902" s="2">
        <v>45897</v>
      </c>
      <c r="G1902" s="17">
        <v>462.21</v>
      </c>
      <c r="H1902" s="17">
        <v>700</v>
      </c>
      <c r="I1902" s="6">
        <f>Tabela1[[#This Row],[Valor total]]-Tabela1[[#This Row],[Valor custo]]</f>
        <v>237.79000000000002</v>
      </c>
      <c r="J1902" s="7">
        <f>Tabela1[[#This Row],[MARGEM BRUTA]]/Tabela1[[#This Row],[Valor total]]</f>
        <v>0.3397</v>
      </c>
      <c r="K1902" s="1" t="str">
        <f>VLOOKUP(Tabela1[[#This Row],[Cliente]],'BASE DE CLIENTES'!A:D,4,0)</f>
        <v>EMPRESA SEM MAQUINA</v>
      </c>
      <c r="L1902" s="1" t="str">
        <f>VLOOKUP(Tabela1[[#This Row],[Cliente]],'BASE DE CLIENTES'!A:E,5,0)</f>
        <v>SETOR HABITACIONAL VICENTE PIRES</v>
      </c>
    </row>
    <row r="1903" spans="2:12" x14ac:dyDescent="0.3">
      <c r="B1903" s="1" t="s">
        <v>254</v>
      </c>
      <c r="C1903" s="4" t="str">
        <f>VLOOKUP(Tabela1[[#This Row],[Cliente]],'BASE DE CLIENTES'!A:E,2,0)</f>
        <v>Luziânia</v>
      </c>
      <c r="D1903" s="1" t="str">
        <f>VLOOKUP(Tabela1[[#This Row],[Cliente]],'BASE DE CLIENTES'!A:C,3,0)</f>
        <v>GO</v>
      </c>
      <c r="E1903" s="4" t="str">
        <f>CONCATENATE(Tabela1[[#This Row],[CIDADE]],",",Tabela1[[#This Row],[UF]])</f>
        <v>Luziânia,GO</v>
      </c>
      <c r="F1903" s="2">
        <v>45810</v>
      </c>
      <c r="G1903" s="17">
        <v>18.3</v>
      </c>
      <c r="H1903" s="17">
        <v>24</v>
      </c>
      <c r="I1903" s="6">
        <f>Tabela1[[#This Row],[Valor total]]-Tabela1[[#This Row],[Valor custo]]</f>
        <v>5.6999999999999993</v>
      </c>
      <c r="J1903" s="7">
        <f>Tabela1[[#This Row],[MARGEM BRUTA]]/Tabela1[[#This Row],[Valor total]]</f>
        <v>0.23749999999999996</v>
      </c>
      <c r="K1903" s="1" t="str">
        <f>VLOOKUP(Tabela1[[#This Row],[Cliente]],'BASE DE CLIENTES'!A:D,4,0)</f>
        <v>SERRALHEIRO</v>
      </c>
      <c r="L1903" s="1" t="str">
        <f>VLOOKUP(Tabela1[[#This Row],[Cliente]],'BASE DE CLIENTES'!A:E,5,0)</f>
        <v>Luziânia</v>
      </c>
    </row>
    <row r="1904" spans="2:12" x14ac:dyDescent="0.3">
      <c r="B1904" s="1" t="s">
        <v>261</v>
      </c>
      <c r="C1904" s="4" t="str">
        <f>VLOOKUP(Tabela1[[#This Row],[Cliente]],'BASE DE CLIENTES'!A:E,2,0)</f>
        <v>Brasília</v>
      </c>
      <c r="D1904" s="1" t="str">
        <f>VLOOKUP(Tabela1[[#This Row],[Cliente]],'BASE DE CLIENTES'!A:C,3,0)</f>
        <v>DF</v>
      </c>
      <c r="E1904" s="4" t="str">
        <f>CONCATENATE(Tabela1[[#This Row],[CIDADE]],",",Tabela1[[#This Row],[UF]])</f>
        <v>Brasília,DF</v>
      </c>
      <c r="F1904" s="2">
        <v>45870</v>
      </c>
      <c r="G1904" s="17">
        <v>432.79</v>
      </c>
      <c r="H1904" s="17">
        <v>570</v>
      </c>
      <c r="I1904" s="6">
        <f>Tabela1[[#This Row],[Valor total]]-Tabela1[[#This Row],[Valor custo]]</f>
        <v>137.20999999999998</v>
      </c>
      <c r="J1904" s="7">
        <f>Tabela1[[#This Row],[MARGEM BRUTA]]/Tabela1[[#This Row],[Valor total]]</f>
        <v>0.240719298245614</v>
      </c>
      <c r="K1904" s="1" t="str">
        <f>VLOOKUP(Tabela1[[#This Row],[Cliente]],'BASE DE CLIENTES'!A:D,4,0)</f>
        <v>SEM CLASSIFICAÇÃO</v>
      </c>
      <c r="L1904" s="1" t="str">
        <f>VLOOKUP(Tabela1[[#This Row],[Cliente]],'BASE DE CLIENTES'!A:E,5,0)</f>
        <v>NA</v>
      </c>
    </row>
    <row r="1905" spans="2:12" x14ac:dyDescent="0.3">
      <c r="B1905" s="1" t="s">
        <v>254</v>
      </c>
      <c r="C1905" s="4" t="str">
        <f>VLOOKUP(Tabela1[[#This Row],[Cliente]],'BASE DE CLIENTES'!A:E,2,0)</f>
        <v>Luziânia</v>
      </c>
      <c r="D1905" s="1" t="str">
        <f>VLOOKUP(Tabela1[[#This Row],[Cliente]],'BASE DE CLIENTES'!A:C,3,0)</f>
        <v>GO</v>
      </c>
      <c r="E1905" s="4" t="str">
        <f>CONCATENATE(Tabela1[[#This Row],[CIDADE]],",",Tabela1[[#This Row],[UF]])</f>
        <v>Luziânia,GO</v>
      </c>
      <c r="F1905" s="2">
        <v>45810</v>
      </c>
      <c r="G1905" s="17">
        <v>1356.54</v>
      </c>
      <c r="H1905" s="17">
        <v>2025</v>
      </c>
      <c r="I1905" s="6">
        <f>Tabela1[[#This Row],[Valor total]]-Tabela1[[#This Row],[Valor custo]]</f>
        <v>668.46</v>
      </c>
      <c r="J1905" s="7">
        <f>Tabela1[[#This Row],[MARGEM BRUTA]]/Tabela1[[#This Row],[Valor total]]</f>
        <v>0.33010370370370373</v>
      </c>
      <c r="K1905" s="1" t="str">
        <f>VLOOKUP(Tabela1[[#This Row],[Cliente]],'BASE DE CLIENTES'!A:D,4,0)</f>
        <v>SERRALHEIRO</v>
      </c>
      <c r="L1905" s="1" t="str">
        <f>VLOOKUP(Tabela1[[#This Row],[Cliente]],'BASE DE CLIENTES'!A:E,5,0)</f>
        <v>Luziânia</v>
      </c>
    </row>
    <row r="1906" spans="2:12" x14ac:dyDescent="0.3">
      <c r="B1906" s="1" t="s">
        <v>253</v>
      </c>
      <c r="C1906" s="4" t="str">
        <f>VLOOKUP(Tabela1[[#This Row],[Cliente]],'BASE DE CLIENTES'!A:E,2,0)</f>
        <v>Luziânia</v>
      </c>
      <c r="D1906" s="1" t="str">
        <f>VLOOKUP(Tabela1[[#This Row],[Cliente]],'BASE DE CLIENTES'!A:C,3,0)</f>
        <v>GO</v>
      </c>
      <c r="E1906" s="4" t="str">
        <f>CONCATENATE(Tabela1[[#This Row],[CIDADE]],",",Tabela1[[#This Row],[UF]])</f>
        <v>Luziânia,GO</v>
      </c>
      <c r="F1906" s="2">
        <v>45869</v>
      </c>
      <c r="G1906" s="17">
        <v>431.14</v>
      </c>
      <c r="H1906" s="17">
        <v>630</v>
      </c>
      <c r="I1906" s="6">
        <f>Tabela1[[#This Row],[Valor total]]-Tabela1[[#This Row],[Valor custo]]</f>
        <v>198.86</v>
      </c>
      <c r="J1906" s="7">
        <f>Tabela1[[#This Row],[MARGEM BRUTA]]/Tabela1[[#This Row],[Valor total]]</f>
        <v>0.31565079365079368</v>
      </c>
      <c r="K1906" s="1" t="str">
        <f>VLOOKUP(Tabela1[[#This Row],[Cliente]],'BASE DE CLIENTES'!A:D,4,0)</f>
        <v>EMPRESA COM MAQUINA</v>
      </c>
      <c r="L1906" s="1" t="str">
        <f>VLOOKUP(Tabela1[[#This Row],[Cliente]],'BASE DE CLIENTES'!A:E,5,0)</f>
        <v>Luziânia</v>
      </c>
    </row>
    <row r="1907" spans="2:12" x14ac:dyDescent="0.3">
      <c r="B1907" s="1" t="s">
        <v>38</v>
      </c>
      <c r="C1907" s="4" t="str">
        <f>VLOOKUP(Tabela1[[#This Row],[Cliente]],'BASE DE CLIENTES'!A:E,2,0)</f>
        <v>Brasília</v>
      </c>
      <c r="D1907" s="1" t="str">
        <f>VLOOKUP(Tabela1[[#This Row],[Cliente]],'BASE DE CLIENTES'!A:C,3,0)</f>
        <v>DF</v>
      </c>
      <c r="E1907" s="4" t="str">
        <f>CONCATENATE(Tabela1[[#This Row],[CIDADE]],",",Tabela1[[#This Row],[UF]])</f>
        <v>Brasília,DF</v>
      </c>
      <c r="F1907" s="2">
        <v>45896</v>
      </c>
      <c r="G1907" s="17">
        <v>3270.6</v>
      </c>
      <c r="H1907" s="17">
        <v>6360</v>
      </c>
      <c r="I1907" s="6">
        <f>Tabela1[[#This Row],[Valor total]]-Tabela1[[#This Row],[Valor custo]]</f>
        <v>3089.4</v>
      </c>
      <c r="J1907" s="7">
        <f>Tabela1[[#This Row],[MARGEM BRUTA]]/Tabela1[[#This Row],[Valor total]]</f>
        <v>0.4857547169811321</v>
      </c>
      <c r="K1907" s="1" t="str">
        <f>VLOOKUP(Tabela1[[#This Row],[Cliente]],'BASE DE CLIENTES'!A:D,4,0)</f>
        <v>EMPRESA SEM MAQUINA</v>
      </c>
      <c r="L1907" s="1" t="str">
        <f>VLOOKUP(Tabela1[[#This Row],[Cliente]],'BASE DE CLIENTES'!A:E,5,0)</f>
        <v>PONTE ALTA NORTE (GAMA)</v>
      </c>
    </row>
    <row r="1908" spans="2:12" x14ac:dyDescent="0.3">
      <c r="B1908" s="1" t="s">
        <v>253</v>
      </c>
      <c r="C1908" s="4" t="str">
        <f>VLOOKUP(Tabela1[[#This Row],[Cliente]],'BASE DE CLIENTES'!A:E,2,0)</f>
        <v>Luziânia</v>
      </c>
      <c r="D1908" s="1" t="str">
        <f>VLOOKUP(Tabela1[[#This Row],[Cliente]],'BASE DE CLIENTES'!A:C,3,0)</f>
        <v>GO</v>
      </c>
      <c r="E1908" s="4" t="str">
        <f>CONCATENATE(Tabela1[[#This Row],[CIDADE]],",",Tabela1[[#This Row],[UF]])</f>
        <v>Luziânia,GO</v>
      </c>
      <c r="F1908" s="2">
        <v>45862</v>
      </c>
      <c r="G1908" s="17">
        <v>4061.01</v>
      </c>
      <c r="H1908" s="17">
        <v>6260</v>
      </c>
      <c r="I1908" s="6">
        <f>Tabela1[[#This Row],[Valor total]]-Tabela1[[#This Row],[Valor custo]]</f>
        <v>2198.9899999999998</v>
      </c>
      <c r="J1908" s="7">
        <f>Tabela1[[#This Row],[MARGEM BRUTA]]/Tabela1[[#This Row],[Valor total]]</f>
        <v>0.35127635782747602</v>
      </c>
      <c r="K1908" s="1" t="str">
        <f>VLOOKUP(Tabela1[[#This Row],[Cliente]],'BASE DE CLIENTES'!A:D,4,0)</f>
        <v>EMPRESA COM MAQUINA</v>
      </c>
      <c r="L1908" s="1" t="str">
        <f>VLOOKUP(Tabela1[[#This Row],[Cliente]],'BASE DE CLIENTES'!A:E,5,0)</f>
        <v>Luziânia</v>
      </c>
    </row>
    <row r="1909" spans="2:12" x14ac:dyDescent="0.3">
      <c r="B1909" s="1" t="s">
        <v>25</v>
      </c>
      <c r="C1909" s="4" t="str">
        <f>VLOOKUP(Tabela1[[#This Row],[Cliente]],'BASE DE CLIENTES'!A:E,2,0)</f>
        <v>Brasília</v>
      </c>
      <c r="D1909" s="1" t="str">
        <f>VLOOKUP(Tabela1[[#This Row],[Cliente]],'BASE DE CLIENTES'!A:C,3,0)</f>
        <v>DF</v>
      </c>
      <c r="E1909" s="4" t="str">
        <f>CONCATENATE(Tabela1[[#This Row],[CIDADE]],",",Tabela1[[#This Row],[UF]])</f>
        <v>Brasília,DF</v>
      </c>
      <c r="F1909" s="2">
        <v>45896</v>
      </c>
      <c r="G1909" s="17">
        <v>5734.5</v>
      </c>
      <c r="H1909" s="17">
        <v>9225</v>
      </c>
      <c r="I1909" s="6">
        <f>Tabela1[[#This Row],[Valor total]]-Tabela1[[#This Row],[Valor custo]]</f>
        <v>3490.5</v>
      </c>
      <c r="J1909" s="7">
        <f>Tabela1[[#This Row],[MARGEM BRUTA]]/Tabela1[[#This Row],[Valor total]]</f>
        <v>0.37837398373983738</v>
      </c>
      <c r="K1909" s="1" t="str">
        <f>VLOOKUP(Tabela1[[#This Row],[Cliente]],'BASE DE CLIENTES'!A:D,4,0)</f>
        <v>EMPRESA COM MAQUINA</v>
      </c>
      <c r="L1909" s="1" t="str">
        <f>VLOOKUP(Tabela1[[#This Row],[Cliente]],'BASE DE CLIENTES'!A:E,5,0)</f>
        <v>CEILANDIA NORTE (CEILANDIA)</v>
      </c>
    </row>
    <row r="1910" spans="2:12" x14ac:dyDescent="0.3">
      <c r="B1910" s="1" t="s">
        <v>133</v>
      </c>
      <c r="C1910" s="4" t="str">
        <f>VLOOKUP(Tabela1[[#This Row],[Cliente]],'BASE DE CLIENTES'!A:E,2,0)</f>
        <v>Brasília</v>
      </c>
      <c r="D1910" s="1" t="str">
        <f>VLOOKUP(Tabela1[[#This Row],[Cliente]],'BASE DE CLIENTES'!A:C,3,0)</f>
        <v>DF</v>
      </c>
      <c r="E1910" s="4" t="str">
        <f>CONCATENATE(Tabela1[[#This Row],[CIDADE]],",",Tabela1[[#This Row],[UF]])</f>
        <v>Brasília,DF</v>
      </c>
      <c r="F1910" s="2">
        <v>45896</v>
      </c>
      <c r="G1910" s="17">
        <v>13.69</v>
      </c>
      <c r="H1910" s="17">
        <v>120</v>
      </c>
      <c r="I1910" s="6">
        <f>Tabela1[[#This Row],[Valor total]]-Tabela1[[#This Row],[Valor custo]]</f>
        <v>106.31</v>
      </c>
      <c r="J1910" s="7">
        <f>Tabela1[[#This Row],[MARGEM BRUTA]]/Tabela1[[#This Row],[Valor total]]</f>
        <v>0.88591666666666669</v>
      </c>
      <c r="K1910" s="1" t="str">
        <f>VLOOKUP(Tabela1[[#This Row],[Cliente]],'BASE DE CLIENTES'!A:D,4,0)</f>
        <v>SERRALHEIRO</v>
      </c>
      <c r="L1910" s="1" t="str">
        <f>VLOOKUP(Tabela1[[#This Row],[Cliente]],'BASE DE CLIENTES'!A:E,5,0)</f>
        <v>RECANTO DAS EMAS</v>
      </c>
    </row>
    <row r="1911" spans="2:12" x14ac:dyDescent="0.3">
      <c r="B1911" s="1" t="s">
        <v>262</v>
      </c>
      <c r="C1911" s="4" t="str">
        <f>VLOOKUP(Tabela1[[#This Row],[Cliente]],'BASE DE CLIENTES'!A:E,2,0)</f>
        <v>Brasília</v>
      </c>
      <c r="D1911" s="1" t="str">
        <f>VLOOKUP(Tabela1[[#This Row],[Cliente]],'BASE DE CLIENTES'!A:C,3,0)</f>
        <v>DF</v>
      </c>
      <c r="E1911" s="4" t="str">
        <f>CONCATENATE(Tabela1[[#This Row],[CIDADE]],",",Tabela1[[#This Row],[UF]])</f>
        <v>Brasília,DF</v>
      </c>
      <c r="F1911" s="2">
        <v>45896</v>
      </c>
      <c r="G1911" s="17">
        <v>764.6</v>
      </c>
      <c r="H1911" s="17">
        <v>1290</v>
      </c>
      <c r="I1911" s="6">
        <f>Tabela1[[#This Row],[Valor total]]-Tabela1[[#This Row],[Valor custo]]</f>
        <v>525.4</v>
      </c>
      <c r="J1911" s="7">
        <f>Tabela1[[#This Row],[MARGEM BRUTA]]/Tabela1[[#This Row],[Valor total]]</f>
        <v>0.40728682170542635</v>
      </c>
      <c r="K1911" s="1" t="str">
        <f>VLOOKUP(Tabela1[[#This Row],[Cliente]],'BASE DE CLIENTES'!A:D,4,0)</f>
        <v>SERRALHEIRO</v>
      </c>
      <c r="L1911" s="1" t="str">
        <f>VLOOKUP(Tabela1[[#This Row],[Cliente]],'BASE DE CLIENTES'!A:E,5,0)</f>
        <v>SETOR INDUSTRIAL (TAGUATINGA)</v>
      </c>
    </row>
    <row r="1912" spans="2:12" x14ac:dyDescent="0.3">
      <c r="B1912" s="1" t="s">
        <v>252</v>
      </c>
      <c r="C1912" s="4" t="str">
        <f>VLOOKUP(Tabela1[[#This Row],[Cliente]],'BASE DE CLIENTES'!A:E,2,0)</f>
        <v>Luziânia</v>
      </c>
      <c r="D1912" s="1" t="str">
        <f>VLOOKUP(Tabela1[[#This Row],[Cliente]],'BASE DE CLIENTES'!A:C,3,0)</f>
        <v>GO</v>
      </c>
      <c r="E1912" s="4" t="str">
        <f>CONCATENATE(Tabela1[[#This Row],[CIDADE]],",",Tabela1[[#This Row],[UF]])</f>
        <v>Luziânia,GO</v>
      </c>
      <c r="F1912" s="2">
        <v>45856</v>
      </c>
      <c r="G1912" s="17">
        <v>895.74</v>
      </c>
      <c r="H1912" s="17">
        <v>1330</v>
      </c>
      <c r="I1912" s="6">
        <f>Tabela1[[#This Row],[Valor total]]-Tabela1[[#This Row],[Valor custo]]</f>
        <v>434.26</v>
      </c>
      <c r="J1912" s="7">
        <f>Tabela1[[#This Row],[MARGEM BRUTA]]/Tabela1[[#This Row],[Valor total]]</f>
        <v>0.3265112781954887</v>
      </c>
      <c r="K1912" s="1" t="str">
        <f>VLOOKUP(Tabela1[[#This Row],[Cliente]],'BASE DE CLIENTES'!A:D,4,0)</f>
        <v>SERRALHEIRO</v>
      </c>
      <c r="L1912" s="1" t="str">
        <f>VLOOKUP(Tabela1[[#This Row],[Cliente]],'BASE DE CLIENTES'!A:E,5,0)</f>
        <v>Luziânia</v>
      </c>
    </row>
    <row r="1913" spans="2:12" x14ac:dyDescent="0.3">
      <c r="B1913" s="1" t="s">
        <v>256</v>
      </c>
      <c r="C1913" s="4" t="str">
        <f>VLOOKUP(Tabela1[[#This Row],[Cliente]],'BASE DE CLIENTES'!A:E,2,0)</f>
        <v>Luziânia</v>
      </c>
      <c r="D1913" s="1" t="str">
        <f>VLOOKUP(Tabela1[[#This Row],[Cliente]],'BASE DE CLIENTES'!A:C,3,0)</f>
        <v>GO</v>
      </c>
      <c r="E1913" s="4" t="str">
        <f>CONCATENATE(Tabela1[[#This Row],[CIDADE]],",",Tabela1[[#This Row],[UF]])</f>
        <v>Luziânia,GO</v>
      </c>
      <c r="F1913" s="2">
        <v>45855</v>
      </c>
      <c r="G1913" s="17">
        <v>444</v>
      </c>
      <c r="H1913" s="17">
        <v>75</v>
      </c>
      <c r="I1913" s="6">
        <f>Tabela1[[#This Row],[Valor total]]-Tabela1[[#This Row],[Valor custo]]</f>
        <v>-369</v>
      </c>
      <c r="J1913" s="7">
        <f>Tabela1[[#This Row],[MARGEM BRUTA]]/Tabela1[[#This Row],[Valor total]]</f>
        <v>-4.92</v>
      </c>
      <c r="K1913" s="1" t="str">
        <f>VLOOKUP(Tabela1[[#This Row],[Cliente]],'BASE DE CLIENTES'!A:D,4,0)</f>
        <v>SERRALHEIRO</v>
      </c>
      <c r="L1913" s="1" t="str">
        <f>VLOOKUP(Tabela1[[#This Row],[Cliente]],'BASE DE CLIENTES'!A:E,5,0)</f>
        <v>Luziânia</v>
      </c>
    </row>
    <row r="1914" spans="2:12" x14ac:dyDescent="0.3">
      <c r="B1914" s="1" t="s">
        <v>256</v>
      </c>
      <c r="C1914" s="4" t="str">
        <f>VLOOKUP(Tabela1[[#This Row],[Cliente]],'BASE DE CLIENTES'!A:E,2,0)</f>
        <v>Luziânia</v>
      </c>
      <c r="D1914" s="1" t="str">
        <f>VLOOKUP(Tabela1[[#This Row],[Cliente]],'BASE DE CLIENTES'!A:C,3,0)</f>
        <v>GO</v>
      </c>
      <c r="E1914" s="4" t="str">
        <f>CONCATENATE(Tabela1[[#This Row],[CIDADE]],",",Tabela1[[#This Row],[UF]])</f>
        <v>Luziânia,GO</v>
      </c>
      <c r="F1914" s="2">
        <v>45854</v>
      </c>
      <c r="G1914" s="17">
        <v>2982</v>
      </c>
      <c r="H1914" s="17">
        <v>5590</v>
      </c>
      <c r="I1914" s="6">
        <f>Tabela1[[#This Row],[Valor total]]-Tabela1[[#This Row],[Valor custo]]</f>
        <v>2608</v>
      </c>
      <c r="J1914" s="7">
        <f>Tabela1[[#This Row],[MARGEM BRUTA]]/Tabela1[[#This Row],[Valor total]]</f>
        <v>0.46654740608228978</v>
      </c>
      <c r="K1914" s="1" t="str">
        <f>VLOOKUP(Tabela1[[#This Row],[Cliente]],'BASE DE CLIENTES'!A:D,4,0)</f>
        <v>SERRALHEIRO</v>
      </c>
      <c r="L1914" s="1" t="str">
        <f>VLOOKUP(Tabela1[[#This Row],[Cliente]],'BASE DE CLIENTES'!A:E,5,0)</f>
        <v>Luziânia</v>
      </c>
    </row>
    <row r="1915" spans="2:12" x14ac:dyDescent="0.3">
      <c r="B1915" s="1" t="s">
        <v>253</v>
      </c>
      <c r="C1915" s="4" t="str">
        <f>VLOOKUP(Tabela1[[#This Row],[Cliente]],'BASE DE CLIENTES'!A:E,2,0)</f>
        <v>Luziânia</v>
      </c>
      <c r="D1915" s="1" t="str">
        <f>VLOOKUP(Tabela1[[#This Row],[Cliente]],'BASE DE CLIENTES'!A:C,3,0)</f>
        <v>GO</v>
      </c>
      <c r="E1915" s="4" t="str">
        <f>CONCATENATE(Tabela1[[#This Row],[CIDADE]],",",Tabela1[[#This Row],[UF]])</f>
        <v>Luziânia,GO</v>
      </c>
      <c r="F1915" s="2">
        <v>45852</v>
      </c>
      <c r="G1915" s="17">
        <v>79</v>
      </c>
      <c r="H1915" s="17">
        <v>300</v>
      </c>
      <c r="I1915" s="6">
        <f>Tabela1[[#This Row],[Valor total]]-Tabela1[[#This Row],[Valor custo]]</f>
        <v>221</v>
      </c>
      <c r="J1915" s="7">
        <f>Tabela1[[#This Row],[MARGEM BRUTA]]/Tabela1[[#This Row],[Valor total]]</f>
        <v>0.73666666666666669</v>
      </c>
      <c r="K1915" s="1" t="str">
        <f>VLOOKUP(Tabela1[[#This Row],[Cliente]],'BASE DE CLIENTES'!A:D,4,0)</f>
        <v>EMPRESA COM MAQUINA</v>
      </c>
      <c r="L1915" s="1" t="str">
        <f>VLOOKUP(Tabela1[[#This Row],[Cliente]],'BASE DE CLIENTES'!A:E,5,0)</f>
        <v>Luziânia</v>
      </c>
    </row>
    <row r="1916" spans="2:12" x14ac:dyDescent="0.3">
      <c r="B1916" s="1" t="s">
        <v>253</v>
      </c>
      <c r="C1916" s="4" t="str">
        <f>VLOOKUP(Tabela1[[#This Row],[Cliente]],'BASE DE CLIENTES'!A:E,2,0)</f>
        <v>Luziânia</v>
      </c>
      <c r="D1916" s="1" t="str">
        <f>VLOOKUP(Tabela1[[#This Row],[Cliente]],'BASE DE CLIENTES'!A:C,3,0)</f>
        <v>GO</v>
      </c>
      <c r="E1916" s="4" t="str">
        <f>CONCATENATE(Tabela1[[#This Row],[CIDADE]],",",Tabela1[[#This Row],[UF]])</f>
        <v>Luziânia,GO</v>
      </c>
      <c r="F1916" s="2">
        <v>45852</v>
      </c>
      <c r="G1916" s="17">
        <v>268.45999999999998</v>
      </c>
      <c r="H1916" s="17">
        <v>500</v>
      </c>
      <c r="I1916" s="6">
        <f>Tabela1[[#This Row],[Valor total]]-Tabela1[[#This Row],[Valor custo]]</f>
        <v>231.54000000000002</v>
      </c>
      <c r="J1916" s="7">
        <f>Tabela1[[#This Row],[MARGEM BRUTA]]/Tabela1[[#This Row],[Valor total]]</f>
        <v>0.46308000000000005</v>
      </c>
      <c r="K1916" s="1" t="str">
        <f>VLOOKUP(Tabela1[[#This Row],[Cliente]],'BASE DE CLIENTES'!A:D,4,0)</f>
        <v>EMPRESA COM MAQUINA</v>
      </c>
      <c r="L1916" s="1" t="str">
        <f>VLOOKUP(Tabela1[[#This Row],[Cliente]],'BASE DE CLIENTES'!A:E,5,0)</f>
        <v>Luziânia</v>
      </c>
    </row>
    <row r="1917" spans="2:12" x14ac:dyDescent="0.3">
      <c r="B1917" s="1" t="s">
        <v>254</v>
      </c>
      <c r="C1917" s="4" t="str">
        <f>VLOOKUP(Tabela1[[#This Row],[Cliente]],'BASE DE CLIENTES'!A:E,2,0)</f>
        <v>Luziânia</v>
      </c>
      <c r="D1917" s="1" t="str">
        <f>VLOOKUP(Tabela1[[#This Row],[Cliente]],'BASE DE CLIENTES'!A:C,3,0)</f>
        <v>GO</v>
      </c>
      <c r="E1917" s="4" t="str">
        <f>CONCATENATE(Tabela1[[#This Row],[CIDADE]],",",Tabela1[[#This Row],[UF]])</f>
        <v>Luziânia,GO</v>
      </c>
      <c r="F1917" s="2">
        <v>45839</v>
      </c>
      <c r="G1917" s="17">
        <v>453.1</v>
      </c>
      <c r="H1917" s="17">
        <v>654</v>
      </c>
      <c r="I1917" s="6">
        <f>Tabela1[[#This Row],[Valor total]]-Tabela1[[#This Row],[Valor custo]]</f>
        <v>200.89999999999998</v>
      </c>
      <c r="J1917" s="7">
        <f>Tabela1[[#This Row],[MARGEM BRUTA]]/Tabela1[[#This Row],[Valor total]]</f>
        <v>0.30718654434250758</v>
      </c>
      <c r="K1917" s="1" t="str">
        <f>VLOOKUP(Tabela1[[#This Row],[Cliente]],'BASE DE CLIENTES'!A:D,4,0)</f>
        <v>SERRALHEIRO</v>
      </c>
      <c r="L1917" s="1" t="str">
        <f>VLOOKUP(Tabela1[[#This Row],[Cliente]],'BASE DE CLIENTES'!A:E,5,0)</f>
        <v>Luziânia</v>
      </c>
    </row>
    <row r="1918" spans="2:12" x14ac:dyDescent="0.3">
      <c r="B1918" s="1" t="s">
        <v>68</v>
      </c>
      <c r="C1918" s="4" t="str">
        <f>VLOOKUP(Tabela1[[#This Row],[Cliente]],'BASE DE CLIENTES'!A:E,2,0)</f>
        <v>Brasília</v>
      </c>
      <c r="D1918" s="1" t="str">
        <f>VLOOKUP(Tabela1[[#This Row],[Cliente]],'BASE DE CLIENTES'!A:C,3,0)</f>
        <v>DF</v>
      </c>
      <c r="E1918" s="4" t="str">
        <f>CONCATENATE(Tabela1[[#This Row],[CIDADE]],",",Tabela1[[#This Row],[UF]])</f>
        <v>Brasília,DF</v>
      </c>
      <c r="F1918" s="2">
        <v>45895</v>
      </c>
      <c r="G1918" s="17">
        <v>764.6</v>
      </c>
      <c r="H1918" s="17">
        <v>1230</v>
      </c>
      <c r="I1918" s="6">
        <f>Tabela1[[#This Row],[Valor total]]-Tabela1[[#This Row],[Valor custo]]</f>
        <v>465.4</v>
      </c>
      <c r="J1918" s="7">
        <f>Tabela1[[#This Row],[MARGEM BRUTA]]/Tabela1[[#This Row],[Valor total]]</f>
        <v>0.37837398373983738</v>
      </c>
      <c r="K1918" s="1" t="str">
        <f>VLOOKUP(Tabela1[[#This Row],[Cliente]],'BASE DE CLIENTES'!A:D,4,0)</f>
        <v>EMPRESA COM MAQUINA</v>
      </c>
      <c r="L1918" s="1" t="str">
        <f>VLOOKUP(Tabela1[[#This Row],[Cliente]],'BASE DE CLIENTES'!A:E,5,0)</f>
        <v>SAMAMBAIA SUL (SAMAMBAIA)</v>
      </c>
    </row>
    <row r="1919" spans="2:12" x14ac:dyDescent="0.3">
      <c r="B1919" s="1" t="s">
        <v>106</v>
      </c>
      <c r="C1919" s="4" t="str">
        <f>VLOOKUP(Tabela1[[#This Row],[Cliente]],'BASE DE CLIENTES'!A:E,2,0)</f>
        <v>Brasília</v>
      </c>
      <c r="D1919" s="1" t="str">
        <f>VLOOKUP(Tabela1[[#This Row],[Cliente]],'BASE DE CLIENTES'!A:C,3,0)</f>
        <v>DF</v>
      </c>
      <c r="E1919" s="4" t="str">
        <f>CONCATENATE(Tabela1[[#This Row],[CIDADE]],",",Tabela1[[#This Row],[UF]])</f>
        <v>Brasília,DF</v>
      </c>
      <c r="F1919" s="2">
        <v>45895</v>
      </c>
      <c r="G1919" s="17">
        <v>2594.7800000000002</v>
      </c>
      <c r="H1919" s="17">
        <v>3950</v>
      </c>
      <c r="I1919" s="6">
        <f>Tabela1[[#This Row],[Valor total]]-Tabela1[[#This Row],[Valor custo]]</f>
        <v>1355.2199999999998</v>
      </c>
      <c r="J1919" s="7">
        <f>Tabela1[[#This Row],[MARGEM BRUTA]]/Tabela1[[#This Row],[Valor total]]</f>
        <v>0.3430936708860759</v>
      </c>
      <c r="K1919" s="1" t="str">
        <f>VLOOKUP(Tabela1[[#This Row],[Cliente]],'BASE DE CLIENTES'!A:D,4,0)</f>
        <v>EMPRESA COM MAQUINA</v>
      </c>
      <c r="L1919" s="1" t="str">
        <f>VLOOKUP(Tabela1[[#This Row],[Cliente]],'BASE DE CLIENTES'!A:E,5,0)</f>
        <v>26 DE SETEMBRO</v>
      </c>
    </row>
    <row r="1920" spans="2:12" x14ac:dyDescent="0.3">
      <c r="B1920" s="1" t="s">
        <v>161</v>
      </c>
      <c r="C1920" s="4" t="str">
        <f>VLOOKUP(Tabela1[[#This Row],[Cliente]],'BASE DE CLIENTES'!A:E,2,0)</f>
        <v>Brasília</v>
      </c>
      <c r="D1920" s="1" t="str">
        <f>VLOOKUP(Tabela1[[#This Row],[Cliente]],'BASE DE CLIENTES'!A:C,3,0)</f>
        <v>DF</v>
      </c>
      <c r="E1920" s="4" t="str">
        <f>CONCATENATE(Tabela1[[#This Row],[CIDADE]],",",Tabela1[[#This Row],[UF]])</f>
        <v>Brasília,DF</v>
      </c>
      <c r="F1920" s="2">
        <v>45895</v>
      </c>
      <c r="G1920" s="17">
        <v>1134</v>
      </c>
      <c r="H1920" s="17">
        <v>2150</v>
      </c>
      <c r="I1920" s="6">
        <f>Tabela1[[#This Row],[Valor total]]-Tabela1[[#This Row],[Valor custo]]</f>
        <v>1016</v>
      </c>
      <c r="J1920" s="7">
        <f>Tabela1[[#This Row],[MARGEM BRUTA]]/Tabela1[[#This Row],[Valor total]]</f>
        <v>0.47255813953488374</v>
      </c>
      <c r="K1920" s="1" t="str">
        <f>VLOOKUP(Tabela1[[#This Row],[Cliente]],'BASE DE CLIENTES'!A:D,4,0)</f>
        <v>EMPRESA COM MAQUINA</v>
      </c>
      <c r="L1920" s="1" t="str">
        <f>VLOOKUP(Tabela1[[#This Row],[Cliente]],'BASE DE CLIENTES'!A:E,5,0)</f>
        <v>RIACHO FUNDO II</v>
      </c>
    </row>
    <row r="1921" spans="2:12" x14ac:dyDescent="0.3">
      <c r="B1921" s="1" t="s">
        <v>42</v>
      </c>
      <c r="C1921" s="4" t="str">
        <f>VLOOKUP(Tabela1[[#This Row],[Cliente]],'BASE DE CLIENTES'!A:E,2,0)</f>
        <v>Brasília</v>
      </c>
      <c r="D1921" s="1" t="str">
        <f>VLOOKUP(Tabela1[[#This Row],[Cliente]],'BASE DE CLIENTES'!A:C,3,0)</f>
        <v>DF</v>
      </c>
      <c r="E1921" s="4" t="str">
        <f>CONCATENATE(Tabela1[[#This Row],[CIDADE]],",",Tabela1[[#This Row],[UF]])</f>
        <v>Brasília,DF</v>
      </c>
      <c r="F1921" s="2">
        <v>45895</v>
      </c>
      <c r="G1921" s="17">
        <v>477</v>
      </c>
      <c r="H1921" s="17">
        <v>710</v>
      </c>
      <c r="I1921" s="6">
        <f>Tabela1[[#This Row],[Valor total]]-Tabela1[[#This Row],[Valor custo]]</f>
        <v>233</v>
      </c>
      <c r="J1921" s="7">
        <f>Tabela1[[#This Row],[MARGEM BRUTA]]/Tabela1[[#This Row],[Valor total]]</f>
        <v>0.32816901408450705</v>
      </c>
      <c r="K1921" s="1" t="str">
        <f>VLOOKUP(Tabela1[[#This Row],[Cliente]],'BASE DE CLIENTES'!A:D,4,0)</f>
        <v>EMPRESA SEM MAQUINA</v>
      </c>
      <c r="L1921" s="1" t="str">
        <f>VLOOKUP(Tabela1[[#This Row],[Cliente]],'BASE DE CLIENTES'!A:E,5,0)</f>
        <v>SAMAMBAIA</v>
      </c>
    </row>
    <row r="1922" spans="2:12" x14ac:dyDescent="0.3">
      <c r="B1922" s="1" t="s">
        <v>52</v>
      </c>
      <c r="C1922" s="4" t="str">
        <f>VLOOKUP(Tabela1[[#This Row],[Cliente]],'BASE DE CLIENTES'!A:E,2,0)</f>
        <v>Brasília</v>
      </c>
      <c r="D1922" s="1" t="str">
        <f>VLOOKUP(Tabela1[[#This Row],[Cliente]],'BASE DE CLIENTES'!A:C,3,0)</f>
        <v>DF</v>
      </c>
      <c r="E1922" s="4" t="str">
        <f>CONCATENATE(Tabela1[[#This Row],[CIDADE]],",",Tabela1[[#This Row],[UF]])</f>
        <v>Brasília,DF</v>
      </c>
      <c r="F1922" s="2">
        <v>45895</v>
      </c>
      <c r="G1922" s="17">
        <v>0</v>
      </c>
      <c r="H1922" s="17">
        <v>60</v>
      </c>
      <c r="I1922" s="6">
        <f>Tabela1[[#This Row],[Valor total]]-Tabela1[[#This Row],[Valor custo]]</f>
        <v>60</v>
      </c>
      <c r="J1922" s="7">
        <f>Tabela1[[#This Row],[MARGEM BRUTA]]/Tabela1[[#This Row],[Valor total]]</f>
        <v>1</v>
      </c>
      <c r="K1922" s="1" t="str">
        <f>VLOOKUP(Tabela1[[#This Row],[Cliente]],'BASE DE CLIENTES'!A:D,4,0)</f>
        <v>SERRALHEIRO</v>
      </c>
      <c r="L1922" s="1" t="str">
        <f>VLOOKUP(Tabela1[[#This Row],[Cliente]],'BASE DE CLIENTES'!A:E,5,0)</f>
        <v>Ceilândia Sul (Ceilândia)</v>
      </c>
    </row>
    <row r="1923" spans="2:12" x14ac:dyDescent="0.3">
      <c r="B1923" s="1" t="s">
        <v>52</v>
      </c>
      <c r="C1923" s="4" t="str">
        <f>VLOOKUP(Tabela1[[#This Row],[Cliente]],'BASE DE CLIENTES'!A:E,2,0)</f>
        <v>Brasília</v>
      </c>
      <c r="D1923" s="1" t="str">
        <f>VLOOKUP(Tabela1[[#This Row],[Cliente]],'BASE DE CLIENTES'!A:C,3,0)</f>
        <v>DF</v>
      </c>
      <c r="E1923" s="4" t="str">
        <f>CONCATENATE(Tabela1[[#This Row],[CIDADE]],",",Tabela1[[#This Row],[UF]])</f>
        <v>Brasília,DF</v>
      </c>
      <c r="F1923" s="2">
        <v>45895</v>
      </c>
      <c r="G1923" s="17">
        <v>1731.16</v>
      </c>
      <c r="H1923" s="17">
        <v>2800</v>
      </c>
      <c r="I1923" s="6">
        <f>Tabela1[[#This Row],[Valor total]]-Tabela1[[#This Row],[Valor custo]]</f>
        <v>1068.8399999999999</v>
      </c>
      <c r="J1923" s="7">
        <f>Tabela1[[#This Row],[MARGEM BRUTA]]/Tabela1[[#This Row],[Valor total]]</f>
        <v>0.38172857142857142</v>
      </c>
      <c r="K1923" s="1" t="str">
        <f>VLOOKUP(Tabela1[[#This Row],[Cliente]],'BASE DE CLIENTES'!A:D,4,0)</f>
        <v>SERRALHEIRO</v>
      </c>
      <c r="L1923" s="1" t="str">
        <f>VLOOKUP(Tabela1[[#This Row],[Cliente]],'BASE DE CLIENTES'!A:E,5,0)</f>
        <v>Ceilândia Sul (Ceilândia)</v>
      </c>
    </row>
    <row r="1924" spans="2:12" x14ac:dyDescent="0.3">
      <c r="B1924" s="1" t="s">
        <v>254</v>
      </c>
      <c r="C1924" s="4" t="str">
        <f>VLOOKUP(Tabela1[[#This Row],[Cliente]],'BASE DE CLIENTES'!A:E,2,0)</f>
        <v>Luziânia</v>
      </c>
      <c r="D1924" s="1" t="str">
        <f>VLOOKUP(Tabela1[[#This Row],[Cliente]],'BASE DE CLIENTES'!A:C,3,0)</f>
        <v>GO</v>
      </c>
      <c r="E1924" s="4" t="str">
        <f>CONCATENATE(Tabela1[[#This Row],[CIDADE]],",",Tabela1[[#This Row],[UF]])</f>
        <v>Luziânia,GO</v>
      </c>
      <c r="F1924" s="2">
        <v>45897</v>
      </c>
      <c r="G1924" s="17">
        <v>764.6</v>
      </c>
      <c r="H1924" s="17">
        <v>1290</v>
      </c>
      <c r="I1924" s="6">
        <f>Tabela1[[#This Row],[Valor total]]-Tabela1[[#This Row],[Valor custo]]</f>
        <v>525.4</v>
      </c>
      <c r="J1924" s="7">
        <f>Tabela1[[#This Row],[MARGEM BRUTA]]/Tabela1[[#This Row],[Valor total]]</f>
        <v>0.40728682170542635</v>
      </c>
      <c r="K1924" s="1" t="str">
        <f>VLOOKUP(Tabela1[[#This Row],[Cliente]],'BASE DE CLIENTES'!A:D,4,0)</f>
        <v>SERRALHEIRO</v>
      </c>
      <c r="L1924" s="1" t="str">
        <f>VLOOKUP(Tabela1[[#This Row],[Cliente]],'BASE DE CLIENTES'!A:E,5,0)</f>
        <v>Luziânia</v>
      </c>
    </row>
    <row r="1925" spans="2:12" x14ac:dyDescent="0.3">
      <c r="B1925" s="1" t="s">
        <v>107</v>
      </c>
      <c r="C1925" s="4" t="str">
        <f>VLOOKUP(Tabela1[[#This Row],[Cliente]],'BASE DE CLIENTES'!A:E,2,0)</f>
        <v>Planaltina</v>
      </c>
      <c r="D1925" s="1" t="str">
        <f>VLOOKUP(Tabela1[[#This Row],[Cliente]],'BASE DE CLIENTES'!A:C,3,0)</f>
        <v>DF</v>
      </c>
      <c r="E1925" s="4" t="str">
        <f>CONCATENATE(Tabela1[[#This Row],[CIDADE]],",",Tabela1[[#This Row],[UF]])</f>
        <v>Planaltina,DF</v>
      </c>
      <c r="F1925" s="2">
        <v>45895</v>
      </c>
      <c r="G1925" s="17">
        <v>764.6</v>
      </c>
      <c r="H1925" s="17">
        <v>1200</v>
      </c>
      <c r="I1925" s="6">
        <f>Tabela1[[#This Row],[Valor total]]-Tabela1[[#This Row],[Valor custo]]</f>
        <v>435.4</v>
      </c>
      <c r="J1925" s="7">
        <f>Tabela1[[#This Row],[MARGEM BRUTA]]/Tabela1[[#This Row],[Valor total]]</f>
        <v>0.36283333333333334</v>
      </c>
      <c r="K1925" s="1" t="str">
        <f>VLOOKUP(Tabela1[[#This Row],[Cliente]],'BASE DE CLIENTES'!A:D,4,0)</f>
        <v>EMPRESA COM MAQUINA</v>
      </c>
      <c r="L1925" s="1" t="str">
        <f>VLOOKUP(Tabela1[[#This Row],[Cliente]],'BASE DE CLIENTES'!A:E,5,0)</f>
        <v>SETOR LESTE</v>
      </c>
    </row>
    <row r="1926" spans="2:12" x14ac:dyDescent="0.3">
      <c r="B1926" s="1" t="s">
        <v>253</v>
      </c>
      <c r="C1926" s="4" t="str">
        <f>VLOOKUP(Tabela1[[#This Row],[Cliente]],'BASE DE CLIENTES'!A:E,2,0)</f>
        <v>Luziânia</v>
      </c>
      <c r="D1926" s="1" t="str">
        <f>VLOOKUP(Tabela1[[#This Row],[Cliente]],'BASE DE CLIENTES'!A:C,3,0)</f>
        <v>GO</v>
      </c>
      <c r="E1926" s="4" t="str">
        <f>CONCATENATE(Tabela1[[#This Row],[CIDADE]],",",Tabela1[[#This Row],[UF]])</f>
        <v>Luziânia,GO</v>
      </c>
      <c r="F1926" s="2">
        <v>45895</v>
      </c>
      <c r="G1926" s="17">
        <v>200</v>
      </c>
      <c r="H1926" s="17">
        <v>240</v>
      </c>
      <c r="I1926" s="6">
        <f>Tabela1[[#This Row],[Valor total]]-Tabela1[[#This Row],[Valor custo]]</f>
        <v>40</v>
      </c>
      <c r="J1926" s="7">
        <f>Tabela1[[#This Row],[MARGEM BRUTA]]/Tabela1[[#This Row],[Valor total]]</f>
        <v>0.16666666666666666</v>
      </c>
      <c r="K1926" s="1" t="str">
        <f>VLOOKUP(Tabela1[[#This Row],[Cliente]],'BASE DE CLIENTES'!A:D,4,0)</f>
        <v>EMPRESA COM MAQUINA</v>
      </c>
      <c r="L1926" s="1" t="str">
        <f>VLOOKUP(Tabela1[[#This Row],[Cliente]],'BASE DE CLIENTES'!A:E,5,0)</f>
        <v>Luziânia</v>
      </c>
    </row>
    <row r="1927" spans="2:12" x14ac:dyDescent="0.3">
      <c r="B1927" s="1" t="s">
        <v>161</v>
      </c>
      <c r="C1927" s="4" t="str">
        <f>VLOOKUP(Tabela1[[#This Row],[Cliente]],'BASE DE CLIENTES'!A:E,2,0)</f>
        <v>Brasília</v>
      </c>
      <c r="D1927" s="1" t="str">
        <f>VLOOKUP(Tabela1[[#This Row],[Cliente]],'BASE DE CLIENTES'!A:C,3,0)</f>
        <v>DF</v>
      </c>
      <c r="E1927" s="4" t="str">
        <f>CONCATENATE(Tabela1[[#This Row],[CIDADE]],",",Tabela1[[#This Row],[UF]])</f>
        <v>Brasília,DF</v>
      </c>
      <c r="F1927" s="2">
        <v>45895</v>
      </c>
      <c r="G1927" s="17">
        <v>3204</v>
      </c>
      <c r="H1927" s="17">
        <v>5214</v>
      </c>
      <c r="I1927" s="6">
        <f>Tabela1[[#This Row],[Valor total]]-Tabela1[[#This Row],[Valor custo]]</f>
        <v>2010</v>
      </c>
      <c r="J1927" s="7">
        <f>Tabela1[[#This Row],[MARGEM BRUTA]]/Tabela1[[#This Row],[Valor total]]</f>
        <v>0.38550057537399307</v>
      </c>
      <c r="K1927" s="1" t="str">
        <f>VLOOKUP(Tabela1[[#This Row],[Cliente]],'BASE DE CLIENTES'!A:D,4,0)</f>
        <v>EMPRESA COM MAQUINA</v>
      </c>
      <c r="L1927" s="1" t="str">
        <f>VLOOKUP(Tabela1[[#This Row],[Cliente]],'BASE DE CLIENTES'!A:E,5,0)</f>
        <v>RIACHO FUNDO II</v>
      </c>
    </row>
    <row r="1928" spans="2:12" x14ac:dyDescent="0.3">
      <c r="B1928" s="1" t="s">
        <v>263</v>
      </c>
      <c r="C1928" s="4" t="str">
        <f>VLOOKUP(Tabela1[[#This Row],[Cliente]],'BASE DE CLIENTES'!A:E,2,0)</f>
        <v>Brasília</v>
      </c>
      <c r="D1928" s="1" t="str">
        <f>VLOOKUP(Tabela1[[#This Row],[Cliente]],'BASE DE CLIENTES'!A:C,3,0)</f>
        <v>DF</v>
      </c>
      <c r="E1928" s="4" t="str">
        <f>CONCATENATE(Tabela1[[#This Row],[CIDADE]],",",Tabela1[[#This Row],[UF]])</f>
        <v>Brasília,DF</v>
      </c>
      <c r="F1928" s="2">
        <v>45670</v>
      </c>
      <c r="G1928" s="17">
        <v>0</v>
      </c>
      <c r="H1928" s="17">
        <v>500</v>
      </c>
      <c r="I1928" s="6">
        <f>Tabela1[[#This Row],[Valor total]]-Tabela1[[#This Row],[Valor custo]]</f>
        <v>500</v>
      </c>
      <c r="J1928" s="7">
        <f>Tabela1[[#This Row],[MARGEM BRUTA]]/Tabela1[[#This Row],[Valor total]]</f>
        <v>1</v>
      </c>
      <c r="K1928" s="1" t="str">
        <f>VLOOKUP(Tabela1[[#This Row],[Cliente]],'BASE DE CLIENTES'!A:D,4,0)</f>
        <v>SEM CLASSIFICAÇÃO</v>
      </c>
      <c r="L1928" s="1" t="str">
        <f>VLOOKUP(Tabela1[[#This Row],[Cliente]],'BASE DE CLIENTES'!A:E,5,0)</f>
        <v>NA</v>
      </c>
    </row>
    <row r="1929" spans="2:12" x14ac:dyDescent="0.3">
      <c r="B1929" s="1" t="s">
        <v>254</v>
      </c>
      <c r="C1929" s="4" t="str">
        <f>VLOOKUP(Tabela1[[#This Row],[Cliente]],'BASE DE CLIENTES'!A:E,2,0)</f>
        <v>Luziânia</v>
      </c>
      <c r="D1929" s="1" t="str">
        <f>VLOOKUP(Tabela1[[#This Row],[Cliente]],'BASE DE CLIENTES'!A:C,3,0)</f>
        <v>GO</v>
      </c>
      <c r="E1929" s="4" t="str">
        <f>CONCATENATE(Tabela1[[#This Row],[CIDADE]],",",Tabela1[[#This Row],[UF]])</f>
        <v>Luziânia,GO</v>
      </c>
      <c r="F1929" s="2">
        <v>45890</v>
      </c>
      <c r="G1929" s="17">
        <v>662.69</v>
      </c>
      <c r="H1929" s="17">
        <v>1300</v>
      </c>
      <c r="I1929" s="6">
        <f>Tabela1[[#This Row],[Valor total]]-Tabela1[[#This Row],[Valor custo]]</f>
        <v>637.30999999999995</v>
      </c>
      <c r="J1929" s="7">
        <f>Tabela1[[#This Row],[MARGEM BRUTA]]/Tabela1[[#This Row],[Valor total]]</f>
        <v>0.49023846153846151</v>
      </c>
      <c r="K1929" s="1" t="str">
        <f>VLOOKUP(Tabela1[[#This Row],[Cliente]],'BASE DE CLIENTES'!A:D,4,0)</f>
        <v>SERRALHEIRO</v>
      </c>
      <c r="L1929" s="1" t="str">
        <f>VLOOKUP(Tabela1[[#This Row],[Cliente]],'BASE DE CLIENTES'!A:E,5,0)</f>
        <v>Luziânia</v>
      </c>
    </row>
    <row r="1930" spans="2:12" x14ac:dyDescent="0.3">
      <c r="B1930" s="1" t="s">
        <v>253</v>
      </c>
      <c r="C1930" s="4" t="str">
        <f>VLOOKUP(Tabela1[[#This Row],[Cliente]],'BASE DE CLIENTES'!A:E,2,0)</f>
        <v>Luziânia</v>
      </c>
      <c r="D1930" s="1" t="str">
        <f>VLOOKUP(Tabela1[[#This Row],[Cliente]],'BASE DE CLIENTES'!A:C,3,0)</f>
        <v>GO</v>
      </c>
      <c r="E1930" s="4" t="str">
        <f>CONCATENATE(Tabela1[[#This Row],[CIDADE]],",",Tabela1[[#This Row],[UF]])</f>
        <v>Luziânia,GO</v>
      </c>
      <c r="F1930" s="2">
        <v>45889</v>
      </c>
      <c r="G1930" s="17">
        <v>1251.5999999999999</v>
      </c>
      <c r="H1930" s="17">
        <v>2300</v>
      </c>
      <c r="I1930" s="6">
        <f>Tabela1[[#This Row],[Valor total]]-Tabela1[[#This Row],[Valor custo]]</f>
        <v>1048.4000000000001</v>
      </c>
      <c r="J1930" s="7">
        <f>Tabela1[[#This Row],[MARGEM BRUTA]]/Tabela1[[#This Row],[Valor total]]</f>
        <v>0.45582608695652177</v>
      </c>
      <c r="K1930" s="1" t="str">
        <f>VLOOKUP(Tabela1[[#This Row],[Cliente]],'BASE DE CLIENTES'!A:D,4,0)</f>
        <v>EMPRESA COM MAQUINA</v>
      </c>
      <c r="L1930" s="1" t="str">
        <f>VLOOKUP(Tabela1[[#This Row],[Cliente]],'BASE DE CLIENTES'!A:E,5,0)</f>
        <v>Luziânia</v>
      </c>
    </row>
    <row r="1931" spans="2:12" x14ac:dyDescent="0.3">
      <c r="B1931" s="1" t="s">
        <v>187</v>
      </c>
      <c r="C1931" s="4" t="str">
        <f>VLOOKUP(Tabela1[[#This Row],[Cliente]],'BASE DE CLIENTES'!A:E,2,0)</f>
        <v>Brasília</v>
      </c>
      <c r="D1931" s="1" t="str">
        <f>VLOOKUP(Tabela1[[#This Row],[Cliente]],'BASE DE CLIENTES'!A:C,3,0)</f>
        <v>DF</v>
      </c>
      <c r="E1931" s="4" t="str">
        <f>CONCATENATE(Tabela1[[#This Row],[CIDADE]],",",Tabela1[[#This Row],[UF]])</f>
        <v>Brasília,DF</v>
      </c>
      <c r="F1931" s="2">
        <v>45895</v>
      </c>
      <c r="G1931" s="17">
        <v>0</v>
      </c>
      <c r="H1931" s="17">
        <v>150</v>
      </c>
      <c r="I1931" s="6">
        <f>Tabela1[[#This Row],[Valor total]]-Tabela1[[#This Row],[Valor custo]]</f>
        <v>150</v>
      </c>
      <c r="J1931" s="7">
        <f>Tabela1[[#This Row],[MARGEM BRUTA]]/Tabela1[[#This Row],[Valor total]]</f>
        <v>1</v>
      </c>
      <c r="K1931" s="1" t="str">
        <f>VLOOKUP(Tabela1[[#This Row],[Cliente]],'BASE DE CLIENTES'!A:D,4,0)</f>
        <v>SERRALHEIRO</v>
      </c>
      <c r="L1931" s="1" t="str">
        <f>VLOOKUP(Tabela1[[#This Row],[Cliente]],'BASE DE CLIENTES'!A:E,5,0)</f>
        <v>CEILANDIA SUL (CEILANDIA)</v>
      </c>
    </row>
    <row r="1932" spans="2:12" x14ac:dyDescent="0.3">
      <c r="B1932" s="1" t="s">
        <v>187</v>
      </c>
      <c r="C1932" s="4" t="str">
        <f>VLOOKUP(Tabela1[[#This Row],[Cliente]],'BASE DE CLIENTES'!A:E,2,0)</f>
        <v>Brasília</v>
      </c>
      <c r="D1932" s="1" t="str">
        <f>VLOOKUP(Tabela1[[#This Row],[Cliente]],'BASE DE CLIENTES'!A:C,3,0)</f>
        <v>DF</v>
      </c>
      <c r="E1932" s="4" t="str">
        <f>CONCATENATE(Tabela1[[#This Row],[CIDADE]],",",Tabela1[[#This Row],[UF]])</f>
        <v>Brasília,DF</v>
      </c>
      <c r="F1932" s="2">
        <v>45895</v>
      </c>
      <c r="G1932" s="17">
        <v>1916.88</v>
      </c>
      <c r="H1932" s="17">
        <v>3408</v>
      </c>
      <c r="I1932" s="6">
        <f>Tabela1[[#This Row],[Valor total]]-Tabela1[[#This Row],[Valor custo]]</f>
        <v>1491.12</v>
      </c>
      <c r="J1932" s="7">
        <f>Tabela1[[#This Row],[MARGEM BRUTA]]/Tabela1[[#This Row],[Valor total]]</f>
        <v>0.43753521126760558</v>
      </c>
      <c r="K1932" s="1" t="str">
        <f>VLOOKUP(Tabela1[[#This Row],[Cliente]],'BASE DE CLIENTES'!A:D,4,0)</f>
        <v>SERRALHEIRO</v>
      </c>
      <c r="L1932" s="1" t="str">
        <f>VLOOKUP(Tabela1[[#This Row],[Cliente]],'BASE DE CLIENTES'!A:E,5,0)</f>
        <v>CEILANDIA SUL (CEILANDIA)</v>
      </c>
    </row>
    <row r="1933" spans="2:12" x14ac:dyDescent="0.3">
      <c r="B1933" s="1" t="s">
        <v>253</v>
      </c>
      <c r="C1933" s="4" t="str">
        <f>VLOOKUP(Tabela1[[#This Row],[Cliente]],'BASE DE CLIENTES'!A:E,2,0)</f>
        <v>Luziânia</v>
      </c>
      <c r="D1933" s="1" t="str">
        <f>VLOOKUP(Tabela1[[#This Row],[Cliente]],'BASE DE CLIENTES'!A:C,3,0)</f>
        <v>GO</v>
      </c>
      <c r="E1933" s="4" t="str">
        <f>CONCATENATE(Tabela1[[#This Row],[CIDADE]],",",Tabela1[[#This Row],[UF]])</f>
        <v>Luziânia,GO</v>
      </c>
      <c r="F1933" s="2">
        <v>45880</v>
      </c>
      <c r="G1933" s="17">
        <v>664</v>
      </c>
      <c r="H1933" s="17">
        <v>1300</v>
      </c>
      <c r="I1933" s="6">
        <f>Tabela1[[#This Row],[Valor total]]-Tabela1[[#This Row],[Valor custo]]</f>
        <v>636</v>
      </c>
      <c r="J1933" s="7">
        <f>Tabela1[[#This Row],[MARGEM BRUTA]]/Tabela1[[#This Row],[Valor total]]</f>
        <v>0.48923076923076925</v>
      </c>
      <c r="K1933" s="1" t="str">
        <f>VLOOKUP(Tabela1[[#This Row],[Cliente]],'BASE DE CLIENTES'!A:D,4,0)</f>
        <v>EMPRESA COM MAQUINA</v>
      </c>
      <c r="L1933" s="1" t="str">
        <f>VLOOKUP(Tabela1[[#This Row],[Cliente]],'BASE DE CLIENTES'!A:E,5,0)</f>
        <v>Luziânia</v>
      </c>
    </row>
    <row r="1934" spans="2:12" x14ac:dyDescent="0.3">
      <c r="B1934" s="1" t="s">
        <v>85</v>
      </c>
      <c r="C1934" s="4" t="str">
        <f>VLOOKUP(Tabela1[[#This Row],[Cliente]],'BASE DE CLIENTES'!A:E,2,0)</f>
        <v>Brasília</v>
      </c>
      <c r="D1934" s="1" t="str">
        <f>VLOOKUP(Tabela1[[#This Row],[Cliente]],'BASE DE CLIENTES'!A:C,3,0)</f>
        <v>DF</v>
      </c>
      <c r="E1934" s="4" t="str">
        <f>CONCATENATE(Tabela1[[#This Row],[CIDADE]],",",Tabela1[[#This Row],[UF]])</f>
        <v>Brasília,DF</v>
      </c>
      <c r="F1934" s="2">
        <v>45895</v>
      </c>
      <c r="G1934" s="17">
        <v>764.6</v>
      </c>
      <c r="H1934" s="17">
        <v>1100</v>
      </c>
      <c r="I1934" s="6">
        <f>Tabela1[[#This Row],[Valor total]]-Tabela1[[#This Row],[Valor custo]]</f>
        <v>335.4</v>
      </c>
      <c r="J1934" s="7">
        <f>Tabela1[[#This Row],[MARGEM BRUTA]]/Tabela1[[#This Row],[Valor total]]</f>
        <v>0.30490909090909091</v>
      </c>
      <c r="K1934" s="1" t="str">
        <f>VLOOKUP(Tabela1[[#This Row],[Cliente]],'BASE DE CLIENTES'!A:D,4,0)</f>
        <v>SERRALHEIRO</v>
      </c>
      <c r="L1934" s="1" t="str">
        <f>VLOOKUP(Tabela1[[#This Row],[Cliente]],'BASE DE CLIENTES'!A:E,5,0)</f>
        <v>SAMAMBAIA NORTE (SAMAMBAIA)</v>
      </c>
    </row>
    <row r="1935" spans="2:12" x14ac:dyDescent="0.3">
      <c r="B1935" s="1" t="s">
        <v>133</v>
      </c>
      <c r="C1935" s="4" t="str">
        <f>VLOOKUP(Tabela1[[#This Row],[Cliente]],'BASE DE CLIENTES'!A:E,2,0)</f>
        <v>Brasília</v>
      </c>
      <c r="D1935" s="1" t="str">
        <f>VLOOKUP(Tabela1[[#This Row],[Cliente]],'BASE DE CLIENTES'!A:C,3,0)</f>
        <v>DF</v>
      </c>
      <c r="E1935" s="4" t="str">
        <f>CONCATENATE(Tabela1[[#This Row],[CIDADE]],",",Tabela1[[#This Row],[UF]])</f>
        <v>Brasília,DF</v>
      </c>
      <c r="F1935" s="2">
        <v>45895</v>
      </c>
      <c r="G1935" s="17">
        <v>13.69</v>
      </c>
      <c r="H1935" s="17">
        <v>120</v>
      </c>
      <c r="I1935" s="6">
        <f>Tabela1[[#This Row],[Valor total]]-Tabela1[[#This Row],[Valor custo]]</f>
        <v>106.31</v>
      </c>
      <c r="J1935" s="7">
        <f>Tabela1[[#This Row],[MARGEM BRUTA]]/Tabela1[[#This Row],[Valor total]]</f>
        <v>0.88591666666666669</v>
      </c>
      <c r="K1935" s="1" t="str">
        <f>VLOOKUP(Tabela1[[#This Row],[Cliente]],'BASE DE CLIENTES'!A:D,4,0)</f>
        <v>SERRALHEIRO</v>
      </c>
      <c r="L1935" s="1" t="str">
        <f>VLOOKUP(Tabela1[[#This Row],[Cliente]],'BASE DE CLIENTES'!A:E,5,0)</f>
        <v>RECANTO DAS EMAS</v>
      </c>
    </row>
    <row r="1936" spans="2:12" x14ac:dyDescent="0.3">
      <c r="B1936" s="1" t="s">
        <v>217</v>
      </c>
      <c r="C1936" s="4" t="str">
        <f>VLOOKUP(Tabela1[[#This Row],[Cliente]],'BASE DE CLIENTES'!A:E,2,0)</f>
        <v>Brasília</v>
      </c>
      <c r="D1936" s="1" t="str">
        <f>VLOOKUP(Tabela1[[#This Row],[Cliente]],'BASE DE CLIENTES'!A:C,3,0)</f>
        <v>DF</v>
      </c>
      <c r="E1936" s="4" t="str">
        <f>CONCATENATE(Tabela1[[#This Row],[CIDADE]],",",Tabela1[[#This Row],[UF]])</f>
        <v>Brasília,DF</v>
      </c>
      <c r="F1936" s="2">
        <v>45895</v>
      </c>
      <c r="G1936" s="17">
        <v>482.33</v>
      </c>
      <c r="H1936" s="17">
        <v>790</v>
      </c>
      <c r="I1936" s="6">
        <f>Tabela1[[#This Row],[Valor total]]-Tabela1[[#This Row],[Valor custo]]</f>
        <v>307.67</v>
      </c>
      <c r="J1936" s="7">
        <f>Tabela1[[#This Row],[MARGEM BRUTA]]/Tabela1[[#This Row],[Valor total]]</f>
        <v>0.38945569620253168</v>
      </c>
      <c r="K1936" s="1" t="str">
        <f>VLOOKUP(Tabela1[[#This Row],[Cliente]],'BASE DE CLIENTES'!A:D,4,0)</f>
        <v>EMPRESA SEM MAQUINA</v>
      </c>
      <c r="L1936" s="1" t="str">
        <f>VLOOKUP(Tabela1[[#This Row],[Cliente]],'BASE DE CLIENTES'!A:E,5,0)</f>
        <v>SETOR HABITACIONAL VICENTE PIRES</v>
      </c>
    </row>
    <row r="1937" spans="2:12" x14ac:dyDescent="0.3">
      <c r="B1937" s="1" t="s">
        <v>264</v>
      </c>
      <c r="C1937" s="4" t="str">
        <f>VLOOKUP(Tabela1[[#This Row],[Cliente]],'BASE DE CLIENTES'!A:E,2,0)</f>
        <v>Brasília</v>
      </c>
      <c r="D1937" s="1" t="str">
        <f>VLOOKUP(Tabela1[[#This Row],[Cliente]],'BASE DE CLIENTES'!A:C,3,0)</f>
        <v>DF</v>
      </c>
      <c r="E1937" s="4" t="str">
        <f>CONCATENATE(Tabela1[[#This Row],[CIDADE]],",",Tabela1[[#This Row],[UF]])</f>
        <v>Brasília,DF</v>
      </c>
      <c r="F1937" s="2">
        <v>45895</v>
      </c>
      <c r="G1937" s="17">
        <v>30.49</v>
      </c>
      <c r="H1937" s="17">
        <v>40</v>
      </c>
      <c r="I1937" s="6">
        <f>Tabela1[[#This Row],[Valor total]]-Tabela1[[#This Row],[Valor custo]]</f>
        <v>9.5100000000000016</v>
      </c>
      <c r="J1937" s="7">
        <f>Tabela1[[#This Row],[MARGEM BRUTA]]/Tabela1[[#This Row],[Valor total]]</f>
        <v>0.23775000000000004</v>
      </c>
      <c r="K1937" s="1" t="str">
        <f>VLOOKUP(Tabela1[[#This Row],[Cliente]],'BASE DE CLIENTES'!A:D,4,0)</f>
        <v>SERRALHEIRO</v>
      </c>
      <c r="L1937" s="1" t="str">
        <f>VLOOKUP(Tabela1[[#This Row],[Cliente]],'BASE DE CLIENTES'!A:E,5,0)</f>
        <v>Recanto das emas</v>
      </c>
    </row>
    <row r="1938" spans="2:12" x14ac:dyDescent="0.3">
      <c r="B1938" s="1" t="s">
        <v>261</v>
      </c>
      <c r="C1938" s="4" t="str">
        <f>VLOOKUP(Tabela1[[#This Row],[Cliente]],'BASE DE CLIENTES'!A:E,2,0)</f>
        <v>Brasília</v>
      </c>
      <c r="D1938" s="1" t="str">
        <f>VLOOKUP(Tabela1[[#This Row],[Cliente]],'BASE DE CLIENTES'!A:C,3,0)</f>
        <v>DF</v>
      </c>
      <c r="E1938" s="4" t="str">
        <f>CONCATENATE(Tabela1[[#This Row],[CIDADE]],",",Tabela1[[#This Row],[UF]])</f>
        <v>Brasília,DF</v>
      </c>
      <c r="F1938" s="2">
        <v>45831</v>
      </c>
      <c r="G1938" s="17">
        <v>57.13</v>
      </c>
      <c r="H1938" s="17">
        <v>250</v>
      </c>
      <c r="I1938" s="6">
        <f>Tabela1[[#This Row],[Valor total]]-Tabela1[[#This Row],[Valor custo]]</f>
        <v>192.87</v>
      </c>
      <c r="J1938" s="7">
        <f>Tabela1[[#This Row],[MARGEM BRUTA]]/Tabela1[[#This Row],[Valor total]]</f>
        <v>0.77148000000000005</v>
      </c>
      <c r="K1938" s="1" t="str">
        <f>VLOOKUP(Tabela1[[#This Row],[Cliente]],'BASE DE CLIENTES'!A:D,4,0)</f>
        <v>SEM CLASSIFICAÇÃO</v>
      </c>
      <c r="L1938" s="1" t="str">
        <f>VLOOKUP(Tabela1[[#This Row],[Cliente]],'BASE DE CLIENTES'!A:E,5,0)</f>
        <v>NA</v>
      </c>
    </row>
    <row r="1939" spans="2:12" x14ac:dyDescent="0.3">
      <c r="B1939" s="1" t="s">
        <v>252</v>
      </c>
      <c r="C1939" s="4" t="str">
        <f>VLOOKUP(Tabela1[[#This Row],[Cliente]],'BASE DE CLIENTES'!A:E,2,0)</f>
        <v>Luziânia</v>
      </c>
      <c r="D1939" s="1" t="str">
        <f>VLOOKUP(Tabela1[[#This Row],[Cliente]],'BASE DE CLIENTES'!A:C,3,0)</f>
        <v>GO</v>
      </c>
      <c r="E1939" s="4" t="str">
        <f>CONCATENATE(Tabela1[[#This Row],[CIDADE]],",",Tabela1[[#This Row],[UF]])</f>
        <v>Luziânia,GO</v>
      </c>
      <c r="F1939" s="2">
        <v>45926</v>
      </c>
      <c r="G1939" s="17">
        <v>668.4</v>
      </c>
      <c r="H1939" s="17">
        <v>1315</v>
      </c>
      <c r="I1939" s="6">
        <f>Tabela1[[#This Row],[Valor total]]-Tabela1[[#This Row],[Valor custo]]</f>
        <v>646.6</v>
      </c>
      <c r="J1939" s="7">
        <f>Tabela1[[#This Row],[MARGEM BRUTA]]/Tabela1[[#This Row],[Valor total]]</f>
        <v>0.4917110266159696</v>
      </c>
      <c r="K1939" s="1" t="str">
        <f>VLOOKUP(Tabela1[[#This Row],[Cliente]],'BASE DE CLIENTES'!A:D,4,0)</f>
        <v>SERRALHEIRO</v>
      </c>
      <c r="L1939" s="1" t="str">
        <f>VLOOKUP(Tabela1[[#This Row],[Cliente]],'BASE DE CLIENTES'!A:E,5,0)</f>
        <v>Luziânia</v>
      </c>
    </row>
    <row r="1940" spans="2:12" x14ac:dyDescent="0.3">
      <c r="B1940" s="1" t="s">
        <v>111</v>
      </c>
      <c r="C1940" s="4" t="str">
        <f>VLOOKUP(Tabela1[[#This Row],[Cliente]],'BASE DE CLIENTES'!A:E,2,0)</f>
        <v>Brasília</v>
      </c>
      <c r="D1940" s="1" t="str">
        <f>VLOOKUP(Tabela1[[#This Row],[Cliente]],'BASE DE CLIENTES'!A:C,3,0)</f>
        <v>DF</v>
      </c>
      <c r="E1940" s="4" t="str">
        <f>CONCATENATE(Tabela1[[#This Row],[CIDADE]],",",Tabela1[[#This Row],[UF]])</f>
        <v>Brasília,DF</v>
      </c>
      <c r="F1940" s="2">
        <v>45895</v>
      </c>
      <c r="G1940" s="17">
        <v>3715.71</v>
      </c>
      <c r="H1940" s="17">
        <v>6000</v>
      </c>
      <c r="I1940" s="6">
        <f>Tabela1[[#This Row],[Valor total]]-Tabela1[[#This Row],[Valor custo]]</f>
        <v>2284.29</v>
      </c>
      <c r="J1940" s="7">
        <f>Tabela1[[#This Row],[MARGEM BRUTA]]/Tabela1[[#This Row],[Valor total]]</f>
        <v>0.38071499999999997</v>
      </c>
      <c r="K1940" s="1" t="str">
        <f>VLOOKUP(Tabela1[[#This Row],[Cliente]],'BASE DE CLIENTES'!A:D,4,0)</f>
        <v>EMPRESA SEM MAQUINA</v>
      </c>
      <c r="L1940" s="1" t="str">
        <f>VLOOKUP(Tabela1[[#This Row],[Cliente]],'BASE DE CLIENTES'!A:E,5,0)</f>
        <v>TAGUATINGA SUL (TAGUATINGA)</v>
      </c>
    </row>
    <row r="1941" spans="2:12" x14ac:dyDescent="0.3">
      <c r="B1941" s="1" t="s">
        <v>88</v>
      </c>
      <c r="C1941" s="4" t="str">
        <f>VLOOKUP(Tabela1[[#This Row],[Cliente]],'BASE DE CLIENTES'!A:E,2,0)</f>
        <v>Brasília</v>
      </c>
      <c r="D1941" s="1" t="str">
        <f>VLOOKUP(Tabela1[[#This Row],[Cliente]],'BASE DE CLIENTES'!A:C,3,0)</f>
        <v>DF</v>
      </c>
      <c r="E1941" s="4" t="str">
        <f>CONCATENATE(Tabela1[[#This Row],[CIDADE]],",",Tabela1[[#This Row],[UF]])</f>
        <v>Brasília,DF</v>
      </c>
      <c r="F1941" s="2">
        <v>45894</v>
      </c>
      <c r="G1941" s="17">
        <v>382.3</v>
      </c>
      <c r="H1941" s="17">
        <v>450</v>
      </c>
      <c r="I1941" s="6">
        <f>Tabela1[[#This Row],[Valor total]]-Tabela1[[#This Row],[Valor custo]]</f>
        <v>67.699999999999989</v>
      </c>
      <c r="J1941" s="7">
        <f>Tabela1[[#This Row],[MARGEM BRUTA]]/Tabela1[[#This Row],[Valor total]]</f>
        <v>0.15044444444444441</v>
      </c>
      <c r="K1941" s="1" t="str">
        <f>VLOOKUP(Tabela1[[#This Row],[Cliente]],'BASE DE CLIENTES'!A:D,4,0)</f>
        <v>SERRALHEIRO</v>
      </c>
      <c r="L1941" s="1" t="str">
        <f>VLOOKUP(Tabela1[[#This Row],[Cliente]],'BASE DE CLIENTES'!A:E,5,0)</f>
        <v>RECANTO DAS EMAS</v>
      </c>
    </row>
    <row r="1942" spans="2:12" x14ac:dyDescent="0.3">
      <c r="B1942" s="1" t="s">
        <v>127</v>
      </c>
      <c r="C1942" s="4" t="str">
        <f>VLOOKUP(Tabela1[[#This Row],[Cliente]],'BASE DE CLIENTES'!A:E,2,0)</f>
        <v>Brasília</v>
      </c>
      <c r="D1942" s="1" t="str">
        <f>VLOOKUP(Tabela1[[#This Row],[Cliente]],'BASE DE CLIENTES'!A:C,3,0)</f>
        <v>DF</v>
      </c>
      <c r="E1942" s="4" t="str">
        <f>CONCATENATE(Tabela1[[#This Row],[CIDADE]],",",Tabela1[[#This Row],[UF]])</f>
        <v>Brasília,DF</v>
      </c>
      <c r="F1942" s="2">
        <v>45894</v>
      </c>
      <c r="G1942" s="17">
        <v>534</v>
      </c>
      <c r="H1942" s="17">
        <v>869</v>
      </c>
      <c r="I1942" s="6">
        <f>Tabela1[[#This Row],[Valor total]]-Tabela1[[#This Row],[Valor custo]]</f>
        <v>335</v>
      </c>
      <c r="J1942" s="7">
        <f>Tabela1[[#This Row],[MARGEM BRUTA]]/Tabela1[[#This Row],[Valor total]]</f>
        <v>0.38550057537399307</v>
      </c>
      <c r="K1942" s="1" t="str">
        <f>VLOOKUP(Tabela1[[#This Row],[Cliente]],'BASE DE CLIENTES'!A:D,4,0)</f>
        <v>EMPRESA COM MAQUINA</v>
      </c>
      <c r="L1942" s="1" t="str">
        <f>VLOOKUP(Tabela1[[#This Row],[Cliente]],'BASE DE CLIENTES'!A:E,5,0)</f>
        <v>CEILANDIA SUL (CEILANDIA)</v>
      </c>
    </row>
    <row r="1943" spans="2:12" x14ac:dyDescent="0.3">
      <c r="B1943" s="1" t="s">
        <v>253</v>
      </c>
      <c r="C1943" s="4" t="str">
        <f>VLOOKUP(Tabela1[[#This Row],[Cliente]],'BASE DE CLIENTES'!A:E,2,0)</f>
        <v>Luziânia</v>
      </c>
      <c r="D1943" s="1" t="str">
        <f>VLOOKUP(Tabela1[[#This Row],[Cliente]],'BASE DE CLIENTES'!A:C,3,0)</f>
        <v>GO</v>
      </c>
      <c r="E1943" s="4" t="str">
        <f>CONCATENATE(Tabela1[[#This Row],[CIDADE]],",",Tabela1[[#This Row],[UF]])</f>
        <v>Luziânia,GO</v>
      </c>
      <c r="F1943" s="2">
        <v>45922</v>
      </c>
      <c r="G1943" s="17">
        <v>13.69</v>
      </c>
      <c r="H1943" s="17">
        <v>100</v>
      </c>
      <c r="I1943" s="6">
        <f>Tabela1[[#This Row],[Valor total]]-Tabela1[[#This Row],[Valor custo]]</f>
        <v>86.31</v>
      </c>
      <c r="J1943" s="7">
        <f>Tabela1[[#This Row],[MARGEM BRUTA]]/Tabela1[[#This Row],[Valor total]]</f>
        <v>0.86309999999999998</v>
      </c>
      <c r="K1943" s="1" t="str">
        <f>VLOOKUP(Tabela1[[#This Row],[Cliente]],'BASE DE CLIENTES'!A:D,4,0)</f>
        <v>EMPRESA COM MAQUINA</v>
      </c>
      <c r="L1943" s="1" t="str">
        <f>VLOOKUP(Tabela1[[#This Row],[Cliente]],'BASE DE CLIENTES'!A:E,5,0)</f>
        <v>Luziânia</v>
      </c>
    </row>
    <row r="1944" spans="2:12" x14ac:dyDescent="0.3">
      <c r="B1944" s="1" t="s">
        <v>253</v>
      </c>
      <c r="C1944" s="4" t="str">
        <f>VLOOKUP(Tabela1[[#This Row],[Cliente]],'BASE DE CLIENTES'!A:E,2,0)</f>
        <v>Luziânia</v>
      </c>
      <c r="D1944" s="1" t="str">
        <f>VLOOKUP(Tabela1[[#This Row],[Cliente]],'BASE DE CLIENTES'!A:C,3,0)</f>
        <v>GO</v>
      </c>
      <c r="E1944" s="4" t="str">
        <f>CONCATENATE(Tabela1[[#This Row],[CIDADE]],",",Tabela1[[#This Row],[UF]])</f>
        <v>Luziânia,GO</v>
      </c>
      <c r="F1944" s="2">
        <v>45919</v>
      </c>
      <c r="G1944" s="17">
        <v>894.6</v>
      </c>
      <c r="H1944" s="17">
        <v>1510</v>
      </c>
      <c r="I1944" s="6">
        <f>Tabela1[[#This Row],[Valor total]]-Tabela1[[#This Row],[Valor custo]]</f>
        <v>615.4</v>
      </c>
      <c r="J1944" s="7">
        <f>Tabela1[[#This Row],[MARGEM BRUTA]]/Tabela1[[#This Row],[Valor total]]</f>
        <v>0.40754966887417216</v>
      </c>
      <c r="K1944" s="1" t="str">
        <f>VLOOKUP(Tabela1[[#This Row],[Cliente]],'BASE DE CLIENTES'!A:D,4,0)</f>
        <v>EMPRESA COM MAQUINA</v>
      </c>
      <c r="L1944" s="1" t="str">
        <f>VLOOKUP(Tabela1[[#This Row],[Cliente]],'BASE DE CLIENTES'!A:E,5,0)</f>
        <v>Luziânia</v>
      </c>
    </row>
    <row r="1945" spans="2:12" x14ac:dyDescent="0.3">
      <c r="B1945" s="1" t="s">
        <v>230</v>
      </c>
      <c r="C1945" s="4" t="str">
        <f>VLOOKUP(Tabela1[[#This Row],[Cliente]],'BASE DE CLIENTES'!A:E,2,0)</f>
        <v>Brasília</v>
      </c>
      <c r="D1945" s="1" t="str">
        <f>VLOOKUP(Tabela1[[#This Row],[Cliente]],'BASE DE CLIENTES'!A:C,3,0)</f>
        <v>DF</v>
      </c>
      <c r="E1945" s="4" t="str">
        <f>CONCATENATE(Tabela1[[#This Row],[CIDADE]],",",Tabela1[[#This Row],[UF]])</f>
        <v>Brasília,DF</v>
      </c>
      <c r="F1945" s="2">
        <v>45894</v>
      </c>
      <c r="G1945" s="17">
        <v>275</v>
      </c>
      <c r="H1945" s="17">
        <v>900</v>
      </c>
      <c r="I1945" s="6">
        <f>Tabela1[[#This Row],[Valor total]]-Tabela1[[#This Row],[Valor custo]]</f>
        <v>625</v>
      </c>
      <c r="J1945" s="7">
        <f>Tabela1[[#This Row],[MARGEM BRUTA]]/Tabela1[[#This Row],[Valor total]]</f>
        <v>0.69444444444444442</v>
      </c>
      <c r="K1945" s="1" t="str">
        <f>VLOOKUP(Tabela1[[#This Row],[Cliente]],'BASE DE CLIENTES'!A:D,4,0)</f>
        <v>SERRALHEIRO</v>
      </c>
      <c r="L1945" s="1" t="str">
        <f>VLOOKUP(Tabela1[[#This Row],[Cliente]],'BASE DE CLIENTES'!A:E,5,0)</f>
        <v>SETOR HABITACIONAL SAMAMBAIA (VICENTE PIRES)</v>
      </c>
    </row>
    <row r="1946" spans="2:12" x14ac:dyDescent="0.3">
      <c r="B1946" s="1" t="s">
        <v>52</v>
      </c>
      <c r="C1946" s="4" t="str">
        <f>VLOOKUP(Tabela1[[#This Row],[Cliente]],'BASE DE CLIENTES'!A:E,2,0)</f>
        <v>Brasília</v>
      </c>
      <c r="D1946" s="1" t="str">
        <f>VLOOKUP(Tabela1[[#This Row],[Cliente]],'BASE DE CLIENTES'!A:C,3,0)</f>
        <v>DF</v>
      </c>
      <c r="E1946" s="4" t="str">
        <f>CONCATENATE(Tabela1[[#This Row],[CIDADE]],",",Tabela1[[#This Row],[UF]])</f>
        <v>Brasília,DF</v>
      </c>
      <c r="F1946" s="2">
        <v>45894</v>
      </c>
      <c r="G1946" s="17">
        <v>432.79</v>
      </c>
      <c r="H1946" s="17">
        <v>700</v>
      </c>
      <c r="I1946" s="6">
        <f>Tabela1[[#This Row],[Valor total]]-Tabela1[[#This Row],[Valor custo]]</f>
        <v>267.20999999999998</v>
      </c>
      <c r="J1946" s="7">
        <f>Tabela1[[#This Row],[MARGEM BRUTA]]/Tabela1[[#This Row],[Valor total]]</f>
        <v>0.38172857142857142</v>
      </c>
      <c r="K1946" s="1" t="str">
        <f>VLOOKUP(Tabela1[[#This Row],[Cliente]],'BASE DE CLIENTES'!A:D,4,0)</f>
        <v>SERRALHEIRO</v>
      </c>
      <c r="L1946" s="1" t="str">
        <f>VLOOKUP(Tabela1[[#This Row],[Cliente]],'BASE DE CLIENTES'!A:E,5,0)</f>
        <v>Ceilândia Sul (Ceilândia)</v>
      </c>
    </row>
    <row r="1947" spans="2:12" x14ac:dyDescent="0.3">
      <c r="B1947" s="1" t="s">
        <v>169</v>
      </c>
      <c r="C1947" s="4" t="str">
        <f>VLOOKUP(Tabela1[[#This Row],[Cliente]],'BASE DE CLIENTES'!A:E,2,0)</f>
        <v>Planaltina</v>
      </c>
      <c r="D1947" s="1" t="str">
        <f>VLOOKUP(Tabela1[[#This Row],[Cliente]],'BASE DE CLIENTES'!A:C,3,0)</f>
        <v>GO</v>
      </c>
      <c r="E1947" s="4" t="str">
        <f>CONCATENATE(Tabela1[[#This Row],[CIDADE]],",",Tabela1[[#This Row],[UF]])</f>
        <v>Planaltina,GO</v>
      </c>
      <c r="F1947" s="2">
        <v>45894</v>
      </c>
      <c r="G1947" s="17">
        <v>382.3</v>
      </c>
      <c r="H1947" s="17">
        <v>645</v>
      </c>
      <c r="I1947" s="6">
        <f>Tabela1[[#This Row],[Valor total]]-Tabela1[[#This Row],[Valor custo]]</f>
        <v>262.7</v>
      </c>
      <c r="J1947" s="7">
        <f>Tabela1[[#This Row],[MARGEM BRUTA]]/Tabela1[[#This Row],[Valor total]]</f>
        <v>0.40728682170542635</v>
      </c>
      <c r="K1947" s="1" t="str">
        <f>VLOOKUP(Tabela1[[#This Row],[Cliente]],'BASE DE CLIENTES'!A:D,4,0)</f>
        <v>SERRALHEIRO</v>
      </c>
      <c r="L1947" s="1" t="str">
        <f>VLOOKUP(Tabela1[[#This Row],[Cliente]],'BASE DE CLIENTES'!A:E,5,0)</f>
        <v>Planaltina</v>
      </c>
    </row>
    <row r="1948" spans="2:12" x14ac:dyDescent="0.3">
      <c r="B1948" s="1" t="s">
        <v>176</v>
      </c>
      <c r="C1948" s="4" t="str">
        <f>VLOOKUP(Tabela1[[#This Row],[Cliente]],'BASE DE CLIENTES'!A:E,2,0)</f>
        <v>Brasília</v>
      </c>
      <c r="D1948" s="1" t="str">
        <f>VLOOKUP(Tabela1[[#This Row],[Cliente]],'BASE DE CLIENTES'!A:C,3,0)</f>
        <v>DF</v>
      </c>
      <c r="E1948" s="4" t="str">
        <f>CONCATENATE(Tabela1[[#This Row],[CIDADE]],",",Tabela1[[#This Row],[UF]])</f>
        <v>Brasília,DF</v>
      </c>
      <c r="F1948" s="2">
        <v>45894</v>
      </c>
      <c r="G1948" s="17">
        <v>14.42</v>
      </c>
      <c r="H1948" s="17">
        <v>80</v>
      </c>
      <c r="I1948" s="6">
        <f>Tabela1[[#This Row],[Valor total]]-Tabela1[[#This Row],[Valor custo]]</f>
        <v>65.58</v>
      </c>
      <c r="J1948" s="7">
        <f>Tabela1[[#This Row],[MARGEM BRUTA]]/Tabela1[[#This Row],[Valor total]]</f>
        <v>0.81974999999999998</v>
      </c>
      <c r="K1948" s="1" t="str">
        <f>VLOOKUP(Tabela1[[#This Row],[Cliente]],'BASE DE CLIENTES'!A:D,4,0)</f>
        <v>OUTROS RAMOS</v>
      </c>
      <c r="L1948" s="1" t="str">
        <f>VLOOKUP(Tabela1[[#This Row],[Cliente]],'BASE DE CLIENTES'!A:E,5,0)</f>
        <v>CEILANDIA NORTE</v>
      </c>
    </row>
    <row r="1949" spans="2:12" x14ac:dyDescent="0.3">
      <c r="B1949" s="1" t="s">
        <v>256</v>
      </c>
      <c r="C1949" s="4" t="str">
        <f>VLOOKUP(Tabela1[[#This Row],[Cliente]],'BASE DE CLIENTES'!A:E,2,0)</f>
        <v>Luziânia</v>
      </c>
      <c r="D1949" s="1" t="str">
        <f>VLOOKUP(Tabela1[[#This Row],[Cliente]],'BASE DE CLIENTES'!A:C,3,0)</f>
        <v>GO</v>
      </c>
      <c r="E1949" s="4" t="str">
        <f>CONCATENATE(Tabela1[[#This Row],[CIDADE]],",",Tabela1[[#This Row],[UF]])</f>
        <v>Luziânia,GO</v>
      </c>
      <c r="F1949" s="2">
        <v>45918</v>
      </c>
      <c r="G1949" s="17">
        <v>784.01</v>
      </c>
      <c r="H1949" s="17">
        <v>1376</v>
      </c>
      <c r="I1949" s="6">
        <f>Tabela1[[#This Row],[Valor total]]-Tabela1[[#This Row],[Valor custo]]</f>
        <v>591.99</v>
      </c>
      <c r="J1949" s="7">
        <f>Tabela1[[#This Row],[MARGEM BRUTA]]/Tabela1[[#This Row],[Valor total]]</f>
        <v>0.4302252906976744</v>
      </c>
      <c r="K1949" s="1" t="str">
        <f>VLOOKUP(Tabela1[[#This Row],[Cliente]],'BASE DE CLIENTES'!A:D,4,0)</f>
        <v>SERRALHEIRO</v>
      </c>
      <c r="L1949" s="1" t="str">
        <f>VLOOKUP(Tabela1[[#This Row],[Cliente]],'BASE DE CLIENTES'!A:E,5,0)</f>
        <v>Luziânia</v>
      </c>
    </row>
    <row r="1950" spans="2:12" x14ac:dyDescent="0.3">
      <c r="B1950" s="1" t="s">
        <v>253</v>
      </c>
      <c r="C1950" s="4" t="str">
        <f>VLOOKUP(Tabela1[[#This Row],[Cliente]],'BASE DE CLIENTES'!A:E,2,0)</f>
        <v>Luziânia</v>
      </c>
      <c r="D1950" s="1" t="str">
        <f>VLOOKUP(Tabela1[[#This Row],[Cliente]],'BASE DE CLIENTES'!A:C,3,0)</f>
        <v>GO</v>
      </c>
      <c r="E1950" s="4" t="str">
        <f>CONCATENATE(Tabela1[[#This Row],[CIDADE]],",",Tabela1[[#This Row],[UF]])</f>
        <v>Luziânia,GO</v>
      </c>
      <c r="F1950" s="2">
        <v>45912</v>
      </c>
      <c r="G1950" s="17">
        <v>649</v>
      </c>
      <c r="H1950" s="17">
        <v>1200</v>
      </c>
      <c r="I1950" s="6">
        <f>Tabela1[[#This Row],[Valor total]]-Tabela1[[#This Row],[Valor custo]]</f>
        <v>551</v>
      </c>
      <c r="J1950" s="7">
        <f>Tabela1[[#This Row],[MARGEM BRUTA]]/Tabela1[[#This Row],[Valor total]]</f>
        <v>0.45916666666666667</v>
      </c>
      <c r="K1950" s="1" t="str">
        <f>VLOOKUP(Tabela1[[#This Row],[Cliente]],'BASE DE CLIENTES'!A:D,4,0)</f>
        <v>EMPRESA COM MAQUINA</v>
      </c>
      <c r="L1950" s="1" t="str">
        <f>VLOOKUP(Tabela1[[#This Row],[Cliente]],'BASE DE CLIENTES'!A:E,5,0)</f>
        <v>Luziânia</v>
      </c>
    </row>
    <row r="1951" spans="2:12" x14ac:dyDescent="0.3">
      <c r="B1951" s="1" t="s">
        <v>254</v>
      </c>
      <c r="C1951" s="4" t="str">
        <f>VLOOKUP(Tabela1[[#This Row],[Cliente]],'BASE DE CLIENTES'!A:E,2,0)</f>
        <v>Luziânia</v>
      </c>
      <c r="D1951" s="1" t="str">
        <f>VLOOKUP(Tabela1[[#This Row],[Cliente]],'BASE DE CLIENTES'!A:C,3,0)</f>
        <v>GO</v>
      </c>
      <c r="E1951" s="4" t="str">
        <f>CONCATENATE(Tabela1[[#This Row],[CIDADE]],",",Tabela1[[#This Row],[UF]])</f>
        <v>Luziânia,GO</v>
      </c>
      <c r="F1951" s="2">
        <v>45904</v>
      </c>
      <c r="G1951" s="17">
        <v>1177.3900000000001</v>
      </c>
      <c r="H1951" s="17">
        <v>1976</v>
      </c>
      <c r="I1951" s="6">
        <f>Tabela1[[#This Row],[Valor total]]-Tabela1[[#This Row],[Valor custo]]</f>
        <v>798.6099999999999</v>
      </c>
      <c r="J1951" s="7">
        <f>Tabela1[[#This Row],[MARGEM BRUTA]]/Tabela1[[#This Row],[Valor total]]</f>
        <v>0.40415485829959508</v>
      </c>
      <c r="K1951" s="1" t="str">
        <f>VLOOKUP(Tabela1[[#This Row],[Cliente]],'BASE DE CLIENTES'!A:D,4,0)</f>
        <v>SERRALHEIRO</v>
      </c>
      <c r="L1951" s="1" t="str">
        <f>VLOOKUP(Tabela1[[#This Row],[Cliente]],'BASE DE CLIENTES'!A:E,5,0)</f>
        <v>Luziânia</v>
      </c>
    </row>
    <row r="1952" spans="2:12" x14ac:dyDescent="0.3">
      <c r="B1952" s="1" t="s">
        <v>27</v>
      </c>
      <c r="C1952" s="4" t="str">
        <f>VLOOKUP(Tabela1[[#This Row],[Cliente]],'BASE DE CLIENTES'!A:E,2,0)</f>
        <v>Brasília</v>
      </c>
      <c r="D1952" s="1" t="str">
        <f>VLOOKUP(Tabela1[[#This Row],[Cliente]],'BASE DE CLIENTES'!A:C,3,0)</f>
        <v>DF</v>
      </c>
      <c r="E1952" s="4" t="str">
        <f>CONCATENATE(Tabela1[[#This Row],[CIDADE]],",",Tabela1[[#This Row],[UF]])</f>
        <v>Brasília,DF</v>
      </c>
      <c r="F1952" s="2">
        <v>45894</v>
      </c>
      <c r="G1952" s="17">
        <v>764.6</v>
      </c>
      <c r="H1952" s="17">
        <v>1230</v>
      </c>
      <c r="I1952" s="6">
        <f>Tabela1[[#This Row],[Valor total]]-Tabela1[[#This Row],[Valor custo]]</f>
        <v>465.4</v>
      </c>
      <c r="J1952" s="7">
        <f>Tabela1[[#This Row],[MARGEM BRUTA]]/Tabela1[[#This Row],[Valor total]]</f>
        <v>0.37837398373983738</v>
      </c>
      <c r="K1952" s="1" t="str">
        <f>VLOOKUP(Tabela1[[#This Row],[Cliente]],'BASE DE CLIENTES'!A:D,4,0)</f>
        <v>EMPRESA SEM MAQUINA</v>
      </c>
      <c r="L1952" s="1" t="str">
        <f>VLOOKUP(Tabela1[[#This Row],[Cliente]],'BASE DE CLIENTES'!A:E,5,0)</f>
        <v>RECANTO DAS EMAS</v>
      </c>
    </row>
    <row r="1953" spans="2:12" x14ac:dyDescent="0.3">
      <c r="B1953" s="1" t="s">
        <v>78</v>
      </c>
      <c r="C1953" s="4" t="str">
        <f>VLOOKUP(Tabela1[[#This Row],[Cliente]],'BASE DE CLIENTES'!A:E,2,0)</f>
        <v>Brasília</v>
      </c>
      <c r="D1953" s="1" t="str">
        <f>VLOOKUP(Tabela1[[#This Row],[Cliente]],'BASE DE CLIENTES'!A:C,3,0)</f>
        <v>DF</v>
      </c>
      <c r="E1953" s="4" t="str">
        <f>CONCATENATE(Tabela1[[#This Row],[CIDADE]],",",Tabela1[[#This Row],[UF]])</f>
        <v>Brasília,DF</v>
      </c>
      <c r="F1953" s="2">
        <v>45894</v>
      </c>
      <c r="G1953" s="17">
        <v>382.3</v>
      </c>
      <c r="H1953" s="17">
        <v>630</v>
      </c>
      <c r="I1953" s="6">
        <f>Tabela1[[#This Row],[Valor total]]-Tabela1[[#This Row],[Valor custo]]</f>
        <v>247.7</v>
      </c>
      <c r="J1953" s="7">
        <f>Tabela1[[#This Row],[MARGEM BRUTA]]/Tabela1[[#This Row],[Valor total]]</f>
        <v>0.39317460317460318</v>
      </c>
      <c r="K1953" s="1" t="str">
        <f>VLOOKUP(Tabela1[[#This Row],[Cliente]],'BASE DE CLIENTES'!A:D,4,0)</f>
        <v>SERRALHEIRO</v>
      </c>
      <c r="L1953" s="1" t="str">
        <f>VLOOKUP(Tabela1[[#This Row],[Cliente]],'BASE DE CLIENTES'!A:E,5,0)</f>
        <v>Vila do Boa (São Sebastião)</v>
      </c>
    </row>
    <row r="1954" spans="2:12" x14ac:dyDescent="0.3">
      <c r="B1954" s="1" t="s">
        <v>187</v>
      </c>
      <c r="C1954" s="4" t="str">
        <f>VLOOKUP(Tabela1[[#This Row],[Cliente]],'BASE DE CLIENTES'!A:E,2,0)</f>
        <v>Brasília</v>
      </c>
      <c r="D1954" s="1" t="str">
        <f>VLOOKUP(Tabela1[[#This Row],[Cliente]],'BASE DE CLIENTES'!A:C,3,0)</f>
        <v>DF</v>
      </c>
      <c r="E1954" s="4" t="str">
        <f>CONCATENATE(Tabela1[[#This Row],[CIDADE]],",",Tabela1[[#This Row],[UF]])</f>
        <v>Brasília,DF</v>
      </c>
      <c r="F1954" s="2">
        <v>45894</v>
      </c>
      <c r="G1954" s="17">
        <v>289</v>
      </c>
      <c r="H1954" s="17">
        <v>618</v>
      </c>
      <c r="I1954" s="6">
        <f>Tabela1[[#This Row],[Valor total]]-Tabela1[[#This Row],[Valor custo]]</f>
        <v>329</v>
      </c>
      <c r="J1954" s="7">
        <f>Tabela1[[#This Row],[MARGEM BRUTA]]/Tabela1[[#This Row],[Valor total]]</f>
        <v>0.53236245954692551</v>
      </c>
      <c r="K1954" s="1" t="str">
        <f>VLOOKUP(Tabela1[[#This Row],[Cliente]],'BASE DE CLIENTES'!A:D,4,0)</f>
        <v>SERRALHEIRO</v>
      </c>
      <c r="L1954" s="1" t="str">
        <f>VLOOKUP(Tabela1[[#This Row],[Cliente]],'BASE DE CLIENTES'!A:E,5,0)</f>
        <v>CEILANDIA SUL (CEILANDIA)</v>
      </c>
    </row>
    <row r="1955" spans="2:12" x14ac:dyDescent="0.3">
      <c r="B1955" s="1" t="s">
        <v>252</v>
      </c>
      <c r="C1955" s="4" t="str">
        <f>VLOOKUP(Tabela1[[#This Row],[Cliente]],'BASE DE CLIENTES'!A:E,2,0)</f>
        <v>Luziânia</v>
      </c>
      <c r="D1955" s="1" t="str">
        <f>VLOOKUP(Tabela1[[#This Row],[Cliente]],'BASE DE CLIENTES'!A:C,3,0)</f>
        <v>GO</v>
      </c>
      <c r="E1955" s="4" t="str">
        <f>CONCATENATE(Tabela1[[#This Row],[CIDADE]],",",Tabela1[[#This Row],[UF]])</f>
        <v>Luziânia,GO</v>
      </c>
      <c r="F1955" s="2">
        <v>45903</v>
      </c>
      <c r="G1955" s="17">
        <v>403.93</v>
      </c>
      <c r="H1955" s="17">
        <v>745</v>
      </c>
      <c r="I1955" s="6">
        <f>Tabela1[[#This Row],[Valor total]]-Tabela1[[#This Row],[Valor custo]]</f>
        <v>341.07</v>
      </c>
      <c r="J1955" s="7">
        <f>Tabela1[[#This Row],[MARGEM BRUTA]]/Tabela1[[#This Row],[Valor total]]</f>
        <v>0.45781208053691275</v>
      </c>
      <c r="K1955" s="1" t="str">
        <f>VLOOKUP(Tabela1[[#This Row],[Cliente]],'BASE DE CLIENTES'!A:D,4,0)</f>
        <v>SERRALHEIRO</v>
      </c>
      <c r="L1955" s="1" t="str">
        <f>VLOOKUP(Tabela1[[#This Row],[Cliente]],'BASE DE CLIENTES'!A:E,5,0)</f>
        <v>Luziânia</v>
      </c>
    </row>
    <row r="1956" spans="2:12" x14ac:dyDescent="0.3">
      <c r="B1956" s="1" t="s">
        <v>249</v>
      </c>
      <c r="C1956" s="4" t="str">
        <f>VLOOKUP(Tabela1[[#This Row],[Cliente]],'BASE DE CLIENTES'!A:E,2,0)</f>
        <v>Brasília</v>
      </c>
      <c r="D1956" s="1" t="str">
        <f>VLOOKUP(Tabela1[[#This Row],[Cliente]],'BASE DE CLIENTES'!A:C,3,0)</f>
        <v>DF</v>
      </c>
      <c r="E1956" s="4" t="str">
        <f>CONCATENATE(Tabela1[[#This Row],[CIDADE]],",",Tabela1[[#This Row],[UF]])</f>
        <v>Brasília,DF</v>
      </c>
      <c r="F1956" s="2">
        <v>45901</v>
      </c>
      <c r="G1956" s="17">
        <v>27.38</v>
      </c>
      <c r="H1956" s="17">
        <v>220</v>
      </c>
      <c r="I1956" s="6">
        <f>Tabela1[[#This Row],[Valor total]]-Tabela1[[#This Row],[Valor custo]]</f>
        <v>192.62</v>
      </c>
      <c r="J1956" s="7">
        <f>Tabela1[[#This Row],[MARGEM BRUTA]]/Tabela1[[#This Row],[Valor total]]</f>
        <v>0.87554545454545452</v>
      </c>
      <c r="K1956" s="1" t="str">
        <f>VLOOKUP(Tabela1[[#This Row],[Cliente]],'BASE DE CLIENTES'!A:D,4,0)</f>
        <v>SEM CLASSIFICAÇÃO</v>
      </c>
      <c r="L1956" s="1" t="str">
        <f>VLOOKUP(Tabela1[[#This Row],[Cliente]],'BASE DE CLIENTES'!A:E,5,0)</f>
        <v>NA</v>
      </c>
    </row>
    <row r="1957" spans="2:12" x14ac:dyDescent="0.3">
      <c r="B1957" s="1" t="s">
        <v>265</v>
      </c>
      <c r="C1957" s="4" t="str">
        <f>VLOOKUP(Tabela1[[#This Row],[Cliente]],'BASE DE CLIENTES'!A:E,2,0)</f>
        <v>Manaus</v>
      </c>
      <c r="D1957" s="1" t="str">
        <f>VLOOKUP(Tabela1[[#This Row],[Cliente]],'BASE DE CLIENTES'!A:C,3,0)</f>
        <v>AM</v>
      </c>
      <c r="E1957" s="4" t="str">
        <f>CONCATENATE(Tabela1[[#This Row],[CIDADE]],",",Tabela1[[#This Row],[UF]])</f>
        <v>Manaus,AM</v>
      </c>
      <c r="F1957" s="2">
        <v>45789</v>
      </c>
      <c r="G1957" s="17">
        <v>2354.5</v>
      </c>
      <c r="H1957" s="17">
        <v>3273</v>
      </c>
      <c r="I1957" s="6">
        <f>Tabela1[[#This Row],[Valor total]]-Tabela1[[#This Row],[Valor custo]]</f>
        <v>918.5</v>
      </c>
      <c r="J1957" s="7">
        <f>Tabela1[[#This Row],[MARGEM BRUTA]]/Tabela1[[#This Row],[Valor total]]</f>
        <v>0.2806293919951115</v>
      </c>
      <c r="K1957" s="1" t="str">
        <f>VLOOKUP(Tabela1[[#This Row],[Cliente]],'BASE DE CLIENTES'!A:D,4,0)</f>
        <v>EMPRESA COM MAQUINA</v>
      </c>
      <c r="L1957" s="1" t="str">
        <f>VLOOKUP(Tabela1[[#This Row],[Cliente]],'BASE DE CLIENTES'!A:E,5,0)</f>
        <v>Manaus</v>
      </c>
    </row>
    <row r="1958" spans="2:12" x14ac:dyDescent="0.3">
      <c r="B1958" s="1" t="s">
        <v>97</v>
      </c>
      <c r="C1958" s="4" t="str">
        <f>VLOOKUP(Tabela1[[#This Row],[Cliente]],'BASE DE CLIENTES'!A:E,2,0)</f>
        <v>Brasília</v>
      </c>
      <c r="D1958" s="1" t="str">
        <f>VLOOKUP(Tabela1[[#This Row],[Cliente]],'BASE DE CLIENTES'!A:C,3,0)</f>
        <v>DF</v>
      </c>
      <c r="E1958" s="4" t="str">
        <f>CONCATENATE(Tabela1[[#This Row],[CIDADE]],",",Tabela1[[#This Row],[UF]])</f>
        <v>Brasília,DF</v>
      </c>
      <c r="F1958" s="2">
        <v>45892</v>
      </c>
      <c r="G1958" s="17">
        <v>1298</v>
      </c>
      <c r="H1958" s="17">
        <v>2500</v>
      </c>
      <c r="I1958" s="6">
        <f>Tabela1[[#This Row],[Valor total]]-Tabela1[[#This Row],[Valor custo]]</f>
        <v>1202</v>
      </c>
      <c r="J1958" s="7">
        <f>Tabela1[[#This Row],[MARGEM BRUTA]]/Tabela1[[#This Row],[Valor total]]</f>
        <v>0.48080000000000001</v>
      </c>
      <c r="K1958" s="1" t="str">
        <f>VLOOKUP(Tabela1[[#This Row],[Cliente]],'BASE DE CLIENTES'!A:D,4,0)</f>
        <v>SERRALHEIRO</v>
      </c>
      <c r="L1958" s="1" t="str">
        <f>VLOOKUP(Tabela1[[#This Row],[Cliente]],'BASE DE CLIENTES'!A:E,5,0)</f>
        <v>CEILANDIA NORTE</v>
      </c>
    </row>
    <row r="1959" spans="2:12" x14ac:dyDescent="0.3">
      <c r="B1959" s="1" t="s">
        <v>266</v>
      </c>
      <c r="C1959" s="4" t="str">
        <f>VLOOKUP(Tabela1[[#This Row],[Cliente]],'BASE DE CLIENTES'!A:E,2,0)</f>
        <v>MERCADO LIVRE</v>
      </c>
      <c r="D1959" s="1" t="str">
        <f>VLOOKUP(Tabela1[[#This Row],[Cliente]],'BASE DE CLIENTES'!A:C,3,0)</f>
        <v>MERCADO LIVRE</v>
      </c>
      <c r="E1959" s="4" t="str">
        <f>CONCATENATE(Tabela1[[#This Row],[CIDADE]],",",Tabela1[[#This Row],[UF]])</f>
        <v>MERCADO LIVRE,MERCADO LIVRE</v>
      </c>
      <c r="F1959" s="2">
        <v>45701</v>
      </c>
      <c r="G1959" s="17">
        <v>10.44</v>
      </c>
      <c r="H1959" s="17">
        <v>35.97</v>
      </c>
      <c r="I1959" s="6">
        <f>Tabela1[[#This Row],[Valor total]]-Tabela1[[#This Row],[Valor custo]]</f>
        <v>25.53</v>
      </c>
      <c r="J1959" s="7">
        <f>Tabela1[[#This Row],[MARGEM BRUTA]]/Tabela1[[#This Row],[Valor total]]</f>
        <v>0.70975813177648051</v>
      </c>
      <c r="K1959" s="1" t="str">
        <f>VLOOKUP(Tabela1[[#This Row],[Cliente]],'BASE DE CLIENTES'!A:D,4,0)</f>
        <v>OUTROS RAMOS</v>
      </c>
      <c r="L1959" s="1" t="str">
        <f>VLOOKUP(Tabela1[[#This Row],[Cliente]],'BASE DE CLIENTES'!A:E,5,0)</f>
        <v>MERCADO LIVRE</v>
      </c>
    </row>
    <row r="1960" spans="2:12" x14ac:dyDescent="0.3">
      <c r="B1960" s="1" t="s">
        <v>266</v>
      </c>
      <c r="C1960" s="4" t="str">
        <f>VLOOKUP(Tabela1[[#This Row],[Cliente]],'BASE DE CLIENTES'!A:E,2,0)</f>
        <v>MERCADO LIVRE</v>
      </c>
      <c r="D1960" s="1" t="str">
        <f>VLOOKUP(Tabela1[[#This Row],[Cliente]],'BASE DE CLIENTES'!A:C,3,0)</f>
        <v>MERCADO LIVRE</v>
      </c>
      <c r="E1960" s="4" t="str">
        <f>CONCATENATE(Tabela1[[#This Row],[CIDADE]],",",Tabela1[[#This Row],[UF]])</f>
        <v>MERCADO LIVRE,MERCADO LIVRE</v>
      </c>
      <c r="F1960" s="2">
        <v>45696</v>
      </c>
      <c r="G1960" s="17">
        <v>13.69</v>
      </c>
      <c r="H1960" s="17">
        <v>88.1</v>
      </c>
      <c r="I1960" s="6">
        <f>Tabela1[[#This Row],[Valor total]]-Tabela1[[#This Row],[Valor custo]]</f>
        <v>74.41</v>
      </c>
      <c r="J1960" s="7">
        <f>Tabela1[[#This Row],[MARGEM BRUTA]]/Tabela1[[#This Row],[Valor total]]</f>
        <v>0.84460839954597056</v>
      </c>
      <c r="K1960" s="1" t="str">
        <f>VLOOKUP(Tabela1[[#This Row],[Cliente]],'BASE DE CLIENTES'!A:D,4,0)</f>
        <v>OUTROS RAMOS</v>
      </c>
      <c r="L1960" s="1" t="str">
        <f>VLOOKUP(Tabela1[[#This Row],[Cliente]],'BASE DE CLIENTES'!A:E,5,0)</f>
        <v>MERCADO LIVRE</v>
      </c>
    </row>
    <row r="1961" spans="2:12" x14ac:dyDescent="0.3">
      <c r="B1961" s="1" t="s">
        <v>266</v>
      </c>
      <c r="C1961" s="4" t="str">
        <f>VLOOKUP(Tabela1[[#This Row],[Cliente]],'BASE DE CLIENTES'!A:E,2,0)</f>
        <v>MERCADO LIVRE</v>
      </c>
      <c r="D1961" s="1" t="str">
        <f>VLOOKUP(Tabela1[[#This Row],[Cliente]],'BASE DE CLIENTES'!A:C,3,0)</f>
        <v>MERCADO LIVRE</v>
      </c>
      <c r="E1961" s="4" t="str">
        <f>CONCATENATE(Tabela1[[#This Row],[CIDADE]],",",Tabela1[[#This Row],[UF]])</f>
        <v>MERCADO LIVRE,MERCADO LIVRE</v>
      </c>
      <c r="F1961" s="2">
        <v>45701</v>
      </c>
      <c r="G1961" s="17">
        <v>83.52</v>
      </c>
      <c r="H1961" s="17">
        <v>280</v>
      </c>
      <c r="I1961" s="6">
        <f>Tabela1[[#This Row],[Valor total]]-Tabela1[[#This Row],[Valor custo]]</f>
        <v>196.48000000000002</v>
      </c>
      <c r="J1961" s="7">
        <f>Tabela1[[#This Row],[MARGEM BRUTA]]/Tabela1[[#This Row],[Valor total]]</f>
        <v>0.70171428571428573</v>
      </c>
      <c r="K1961" s="1" t="str">
        <f>VLOOKUP(Tabela1[[#This Row],[Cliente]],'BASE DE CLIENTES'!A:D,4,0)</f>
        <v>OUTROS RAMOS</v>
      </c>
      <c r="L1961" s="1" t="str">
        <f>VLOOKUP(Tabela1[[#This Row],[Cliente]],'BASE DE CLIENTES'!A:E,5,0)</f>
        <v>MERCADO LIVRE</v>
      </c>
    </row>
    <row r="1962" spans="2:12" x14ac:dyDescent="0.3">
      <c r="B1962" s="1" t="s">
        <v>96</v>
      </c>
      <c r="C1962" s="4" t="str">
        <f>VLOOKUP(Tabela1[[#This Row],[Cliente]],'BASE DE CLIENTES'!A:E,2,0)</f>
        <v>Brasília</v>
      </c>
      <c r="D1962" s="1" t="str">
        <f>VLOOKUP(Tabela1[[#This Row],[Cliente]],'BASE DE CLIENTES'!A:C,3,0)</f>
        <v>DF</v>
      </c>
      <c r="E1962" s="4" t="str">
        <f>CONCATENATE(Tabela1[[#This Row],[CIDADE]],",",Tabela1[[#This Row],[UF]])</f>
        <v>Brasília,DF</v>
      </c>
      <c r="F1962" s="2">
        <v>45891</v>
      </c>
      <c r="G1962" s="17">
        <v>125</v>
      </c>
      <c r="H1962" s="17">
        <v>150</v>
      </c>
      <c r="I1962" s="6">
        <f>Tabela1[[#This Row],[Valor total]]-Tabela1[[#This Row],[Valor custo]]</f>
        <v>25</v>
      </c>
      <c r="J1962" s="7">
        <f>Tabela1[[#This Row],[MARGEM BRUTA]]/Tabela1[[#This Row],[Valor total]]</f>
        <v>0.16666666666666666</v>
      </c>
      <c r="K1962" s="1" t="str">
        <f>VLOOKUP(Tabela1[[#This Row],[Cliente]],'BASE DE CLIENTES'!A:D,4,0)</f>
        <v>EMPRESA SEM MAQUINA</v>
      </c>
      <c r="L1962" s="1" t="str">
        <f>VLOOKUP(Tabela1[[#This Row],[Cliente]],'BASE DE CLIENTES'!A:E,5,0)</f>
        <v>CEILANDIA NORTE (CEILANDIA)</v>
      </c>
    </row>
    <row r="1963" spans="2:12" x14ac:dyDescent="0.3">
      <c r="B1963" s="1" t="s">
        <v>68</v>
      </c>
      <c r="C1963" s="4" t="str">
        <f>VLOOKUP(Tabela1[[#This Row],[Cliente]],'BASE DE CLIENTES'!A:E,2,0)</f>
        <v>Brasília</v>
      </c>
      <c r="D1963" s="1" t="str">
        <f>VLOOKUP(Tabela1[[#This Row],[Cliente]],'BASE DE CLIENTES'!A:C,3,0)</f>
        <v>DF</v>
      </c>
      <c r="E1963" s="4" t="str">
        <f>CONCATENATE(Tabela1[[#This Row],[CIDADE]],",",Tabela1[[#This Row],[UF]])</f>
        <v>Brasília,DF</v>
      </c>
      <c r="F1963" s="2">
        <v>45891</v>
      </c>
      <c r="G1963" s="17">
        <v>553</v>
      </c>
      <c r="H1963" s="17">
        <v>921</v>
      </c>
      <c r="I1963" s="6">
        <f>Tabela1[[#This Row],[Valor total]]-Tabela1[[#This Row],[Valor custo]]</f>
        <v>368</v>
      </c>
      <c r="J1963" s="7">
        <f>Tabela1[[#This Row],[MARGEM BRUTA]]/Tabela1[[#This Row],[Valor total]]</f>
        <v>0.39956568946796961</v>
      </c>
      <c r="K1963" s="1" t="str">
        <f>VLOOKUP(Tabela1[[#This Row],[Cliente]],'BASE DE CLIENTES'!A:D,4,0)</f>
        <v>EMPRESA COM MAQUINA</v>
      </c>
      <c r="L1963" s="1" t="str">
        <f>VLOOKUP(Tabela1[[#This Row],[Cliente]],'BASE DE CLIENTES'!A:E,5,0)</f>
        <v>SAMAMBAIA SUL (SAMAMBAIA)</v>
      </c>
    </row>
    <row r="1964" spans="2:12" x14ac:dyDescent="0.3">
      <c r="B1964" s="1" t="s">
        <v>266</v>
      </c>
      <c r="C1964" s="4" t="str">
        <f>VLOOKUP(Tabela1[[#This Row],[Cliente]],'BASE DE CLIENTES'!A:E,2,0)</f>
        <v>MERCADO LIVRE</v>
      </c>
      <c r="D1964" s="1" t="str">
        <f>VLOOKUP(Tabela1[[#This Row],[Cliente]],'BASE DE CLIENTES'!A:C,3,0)</f>
        <v>MERCADO LIVRE</v>
      </c>
      <c r="E1964" s="4" t="str">
        <f>CONCATENATE(Tabela1[[#This Row],[CIDADE]],",",Tabela1[[#This Row],[UF]])</f>
        <v>MERCADO LIVRE,MERCADO LIVRE</v>
      </c>
      <c r="F1964" s="2">
        <v>45743</v>
      </c>
      <c r="G1964" s="17">
        <v>20.88</v>
      </c>
      <c r="H1964" s="17">
        <v>71.94</v>
      </c>
      <c r="I1964" s="6">
        <f>Tabela1[[#This Row],[Valor total]]-Tabela1[[#This Row],[Valor custo]]</f>
        <v>51.06</v>
      </c>
      <c r="J1964" s="7">
        <f>Tabela1[[#This Row],[MARGEM BRUTA]]/Tabela1[[#This Row],[Valor total]]</f>
        <v>0.70975813177648051</v>
      </c>
      <c r="K1964" s="1" t="str">
        <f>VLOOKUP(Tabela1[[#This Row],[Cliente]],'BASE DE CLIENTES'!A:D,4,0)</f>
        <v>OUTROS RAMOS</v>
      </c>
      <c r="L1964" s="1" t="str">
        <f>VLOOKUP(Tabela1[[#This Row],[Cliente]],'BASE DE CLIENTES'!A:E,5,0)</f>
        <v>MERCADO LIVRE</v>
      </c>
    </row>
    <row r="1965" spans="2:12" x14ac:dyDescent="0.3">
      <c r="B1965" s="1" t="s">
        <v>266</v>
      </c>
      <c r="C1965" s="4" t="str">
        <f>VLOOKUP(Tabela1[[#This Row],[Cliente]],'BASE DE CLIENTES'!A:E,2,0)</f>
        <v>MERCADO LIVRE</v>
      </c>
      <c r="D1965" s="1" t="str">
        <f>VLOOKUP(Tabela1[[#This Row],[Cliente]],'BASE DE CLIENTES'!A:C,3,0)</f>
        <v>MERCADO LIVRE</v>
      </c>
      <c r="E1965" s="4" t="str">
        <f>CONCATENATE(Tabela1[[#This Row],[CIDADE]],",",Tabela1[[#This Row],[UF]])</f>
        <v>MERCADO LIVRE,MERCADO LIVRE</v>
      </c>
      <c r="F1965" s="2">
        <v>45742</v>
      </c>
      <c r="G1965" s="17">
        <v>20.88</v>
      </c>
      <c r="H1965" s="17">
        <v>53.54</v>
      </c>
      <c r="I1965" s="6">
        <f>Tabela1[[#This Row],[Valor total]]-Tabela1[[#This Row],[Valor custo]]</f>
        <v>32.659999999999997</v>
      </c>
      <c r="J1965" s="7">
        <f>Tabela1[[#This Row],[MARGEM BRUTA]]/Tabela1[[#This Row],[Valor total]]</f>
        <v>0.61001120657452368</v>
      </c>
      <c r="K1965" s="1" t="str">
        <f>VLOOKUP(Tabela1[[#This Row],[Cliente]],'BASE DE CLIENTES'!A:D,4,0)</f>
        <v>OUTROS RAMOS</v>
      </c>
      <c r="L1965" s="1" t="str">
        <f>VLOOKUP(Tabela1[[#This Row],[Cliente]],'BASE DE CLIENTES'!A:E,5,0)</f>
        <v>MERCADO LIVRE</v>
      </c>
    </row>
    <row r="1966" spans="2:12" x14ac:dyDescent="0.3">
      <c r="B1966" s="1" t="s">
        <v>98</v>
      </c>
      <c r="C1966" s="4" t="str">
        <f>VLOOKUP(Tabela1[[#This Row],[Cliente]],'BASE DE CLIENTES'!A:E,2,0)</f>
        <v>Brasília</v>
      </c>
      <c r="D1966" s="1" t="str">
        <f>VLOOKUP(Tabela1[[#This Row],[Cliente]],'BASE DE CLIENTES'!A:C,3,0)</f>
        <v>DF</v>
      </c>
      <c r="E1966" s="4" t="str">
        <f>CONCATENATE(Tabela1[[#This Row],[CIDADE]],",",Tabela1[[#This Row],[UF]])</f>
        <v>Brasília,DF</v>
      </c>
      <c r="F1966" s="2">
        <v>45891</v>
      </c>
      <c r="G1966" s="17">
        <v>527.1</v>
      </c>
      <c r="H1966" s="17">
        <v>985</v>
      </c>
      <c r="I1966" s="6">
        <f>Tabela1[[#This Row],[Valor total]]-Tabela1[[#This Row],[Valor custo]]</f>
        <v>457.9</v>
      </c>
      <c r="J1966" s="7">
        <f>Tabela1[[#This Row],[MARGEM BRUTA]]/Tabela1[[#This Row],[Valor total]]</f>
        <v>0.4648730964467005</v>
      </c>
      <c r="K1966" s="1" t="str">
        <f>VLOOKUP(Tabela1[[#This Row],[Cliente]],'BASE DE CLIENTES'!A:D,4,0)</f>
        <v>SERRALHEIRO</v>
      </c>
      <c r="L1966" s="1" t="str">
        <f>VLOOKUP(Tabela1[[#This Row],[Cliente]],'BASE DE CLIENTES'!A:E,5,0)</f>
        <v>SANTA MARIA</v>
      </c>
    </row>
    <row r="1967" spans="2:12" x14ac:dyDescent="0.3">
      <c r="B1967" s="1" t="s">
        <v>262</v>
      </c>
      <c r="C1967" s="4" t="str">
        <f>VLOOKUP(Tabela1[[#This Row],[Cliente]],'BASE DE CLIENTES'!A:E,2,0)</f>
        <v>Brasília</v>
      </c>
      <c r="D1967" s="1" t="str">
        <f>VLOOKUP(Tabela1[[#This Row],[Cliente]],'BASE DE CLIENTES'!A:C,3,0)</f>
        <v>DF</v>
      </c>
      <c r="E1967" s="4" t="str">
        <f>CONCATENATE(Tabela1[[#This Row],[CIDADE]],",",Tabela1[[#This Row],[UF]])</f>
        <v>Brasília,DF</v>
      </c>
      <c r="F1967" s="2">
        <v>45891</v>
      </c>
      <c r="G1967" s="17">
        <v>382.3</v>
      </c>
      <c r="H1967" s="17">
        <v>645</v>
      </c>
      <c r="I1967" s="6">
        <f>Tabela1[[#This Row],[Valor total]]-Tabela1[[#This Row],[Valor custo]]</f>
        <v>262.7</v>
      </c>
      <c r="J1967" s="7">
        <f>Tabela1[[#This Row],[MARGEM BRUTA]]/Tabela1[[#This Row],[Valor total]]</f>
        <v>0.40728682170542635</v>
      </c>
      <c r="K1967" s="1" t="str">
        <f>VLOOKUP(Tabela1[[#This Row],[Cliente]],'BASE DE CLIENTES'!A:D,4,0)</f>
        <v>SERRALHEIRO</v>
      </c>
      <c r="L1967" s="1" t="str">
        <f>VLOOKUP(Tabela1[[#This Row],[Cliente]],'BASE DE CLIENTES'!A:E,5,0)</f>
        <v>SETOR INDUSTRIAL (TAGUATINGA)</v>
      </c>
    </row>
    <row r="1968" spans="2:12" x14ac:dyDescent="0.3">
      <c r="B1968" s="1" t="s">
        <v>25</v>
      </c>
      <c r="C1968" s="4" t="str">
        <f>VLOOKUP(Tabela1[[#This Row],[Cliente]],'BASE DE CLIENTES'!A:E,2,0)</f>
        <v>Brasília</v>
      </c>
      <c r="D1968" s="1" t="str">
        <f>VLOOKUP(Tabela1[[#This Row],[Cliente]],'BASE DE CLIENTES'!A:C,3,0)</f>
        <v>DF</v>
      </c>
      <c r="E1968" s="4" t="str">
        <f>CONCATENATE(Tabela1[[#This Row],[CIDADE]],",",Tabela1[[#This Row],[UF]])</f>
        <v>Brasília,DF</v>
      </c>
      <c r="F1968" s="2">
        <v>45891</v>
      </c>
      <c r="G1968" s="17">
        <v>72.099999999999994</v>
      </c>
      <c r="H1968" s="17">
        <v>300</v>
      </c>
      <c r="I1968" s="6">
        <f>Tabela1[[#This Row],[Valor total]]-Tabela1[[#This Row],[Valor custo]]</f>
        <v>227.9</v>
      </c>
      <c r="J1968" s="7">
        <f>Tabela1[[#This Row],[MARGEM BRUTA]]/Tabela1[[#This Row],[Valor total]]</f>
        <v>0.75966666666666671</v>
      </c>
      <c r="K1968" s="1" t="str">
        <f>VLOOKUP(Tabela1[[#This Row],[Cliente]],'BASE DE CLIENTES'!A:D,4,0)</f>
        <v>EMPRESA COM MAQUINA</v>
      </c>
      <c r="L1968" s="1" t="str">
        <f>VLOOKUP(Tabela1[[#This Row],[Cliente]],'BASE DE CLIENTES'!A:E,5,0)</f>
        <v>CEILANDIA NORTE (CEILANDIA)</v>
      </c>
    </row>
    <row r="1969" spans="2:12" x14ac:dyDescent="0.3">
      <c r="B1969" s="1" t="s">
        <v>25</v>
      </c>
      <c r="C1969" s="4" t="str">
        <f>VLOOKUP(Tabela1[[#This Row],[Cliente]],'BASE DE CLIENTES'!A:E,2,0)</f>
        <v>Brasília</v>
      </c>
      <c r="D1969" s="1" t="str">
        <f>VLOOKUP(Tabela1[[#This Row],[Cliente]],'BASE DE CLIENTES'!A:C,3,0)</f>
        <v>DF</v>
      </c>
      <c r="E1969" s="4" t="str">
        <f>CONCATENATE(Tabela1[[#This Row],[CIDADE]],",",Tabela1[[#This Row],[UF]])</f>
        <v>Brasília,DF</v>
      </c>
      <c r="F1969" s="2">
        <v>45891</v>
      </c>
      <c r="G1969" s="17">
        <v>382.3</v>
      </c>
      <c r="H1969" s="17">
        <v>615</v>
      </c>
      <c r="I1969" s="6">
        <f>Tabela1[[#This Row],[Valor total]]-Tabela1[[#This Row],[Valor custo]]</f>
        <v>232.7</v>
      </c>
      <c r="J1969" s="7">
        <f>Tabela1[[#This Row],[MARGEM BRUTA]]/Tabela1[[#This Row],[Valor total]]</f>
        <v>0.37837398373983738</v>
      </c>
      <c r="K1969" s="1" t="str">
        <f>VLOOKUP(Tabela1[[#This Row],[Cliente]],'BASE DE CLIENTES'!A:D,4,0)</f>
        <v>EMPRESA COM MAQUINA</v>
      </c>
      <c r="L1969" s="1" t="str">
        <f>VLOOKUP(Tabela1[[#This Row],[Cliente]],'BASE DE CLIENTES'!A:E,5,0)</f>
        <v>CEILANDIA NORTE (CEILANDIA)</v>
      </c>
    </row>
    <row r="1970" spans="2:12" x14ac:dyDescent="0.3">
      <c r="B1970" s="1" t="s">
        <v>52</v>
      </c>
      <c r="C1970" s="4" t="str">
        <f>VLOOKUP(Tabela1[[#This Row],[Cliente]],'BASE DE CLIENTES'!A:E,2,0)</f>
        <v>Brasília</v>
      </c>
      <c r="D1970" s="1" t="str">
        <f>VLOOKUP(Tabela1[[#This Row],[Cliente]],'BASE DE CLIENTES'!A:C,3,0)</f>
        <v>DF</v>
      </c>
      <c r="E1970" s="4" t="str">
        <f>CONCATENATE(Tabela1[[#This Row],[CIDADE]],",",Tabela1[[#This Row],[UF]])</f>
        <v>Brasília,DF</v>
      </c>
      <c r="F1970" s="2">
        <v>45891</v>
      </c>
      <c r="G1970" s="17">
        <v>42</v>
      </c>
      <c r="H1970" s="17">
        <v>55</v>
      </c>
      <c r="I1970" s="6">
        <f>Tabela1[[#This Row],[Valor total]]-Tabela1[[#This Row],[Valor custo]]</f>
        <v>13</v>
      </c>
      <c r="J1970" s="7">
        <f>Tabela1[[#This Row],[MARGEM BRUTA]]/Tabela1[[#This Row],[Valor total]]</f>
        <v>0.23636363636363636</v>
      </c>
      <c r="K1970" s="1" t="str">
        <f>VLOOKUP(Tabela1[[#This Row],[Cliente]],'BASE DE CLIENTES'!A:D,4,0)</f>
        <v>SERRALHEIRO</v>
      </c>
      <c r="L1970" s="1" t="str">
        <f>VLOOKUP(Tabela1[[#This Row],[Cliente]],'BASE DE CLIENTES'!A:E,5,0)</f>
        <v>Ceilândia Sul (Ceilândia)</v>
      </c>
    </row>
    <row r="1971" spans="2:12" x14ac:dyDescent="0.3">
      <c r="B1971" s="1" t="s">
        <v>266</v>
      </c>
      <c r="C1971" s="4" t="str">
        <f>VLOOKUP(Tabela1[[#This Row],[Cliente]],'BASE DE CLIENTES'!A:E,2,0)</f>
        <v>MERCADO LIVRE</v>
      </c>
      <c r="D1971" s="1" t="str">
        <f>VLOOKUP(Tabela1[[#This Row],[Cliente]],'BASE DE CLIENTES'!A:C,3,0)</f>
        <v>MERCADO LIVRE</v>
      </c>
      <c r="E1971" s="4" t="str">
        <f>CONCATENATE(Tabela1[[#This Row],[CIDADE]],",",Tabela1[[#This Row],[UF]])</f>
        <v>MERCADO LIVRE,MERCADO LIVRE</v>
      </c>
      <c r="F1971" s="2">
        <v>45742</v>
      </c>
      <c r="G1971" s="17">
        <v>31.32</v>
      </c>
      <c r="H1971" s="17">
        <v>80.31</v>
      </c>
      <c r="I1971" s="6">
        <f>Tabela1[[#This Row],[Valor total]]-Tabela1[[#This Row],[Valor custo]]</f>
        <v>48.99</v>
      </c>
      <c r="J1971" s="7">
        <f>Tabela1[[#This Row],[MARGEM BRUTA]]/Tabela1[[#This Row],[Valor total]]</f>
        <v>0.61001120657452368</v>
      </c>
      <c r="K1971" s="1" t="str">
        <f>VLOOKUP(Tabela1[[#This Row],[Cliente]],'BASE DE CLIENTES'!A:D,4,0)</f>
        <v>OUTROS RAMOS</v>
      </c>
      <c r="L1971" s="1" t="str">
        <f>VLOOKUP(Tabela1[[#This Row],[Cliente]],'BASE DE CLIENTES'!A:E,5,0)</f>
        <v>MERCADO LIVRE</v>
      </c>
    </row>
    <row r="1972" spans="2:12" x14ac:dyDescent="0.3">
      <c r="B1972" s="1" t="s">
        <v>266</v>
      </c>
      <c r="C1972" s="4" t="str">
        <f>VLOOKUP(Tabela1[[#This Row],[Cliente]],'BASE DE CLIENTES'!A:E,2,0)</f>
        <v>MERCADO LIVRE</v>
      </c>
      <c r="D1972" s="1" t="str">
        <f>VLOOKUP(Tabela1[[#This Row],[Cliente]],'BASE DE CLIENTES'!A:C,3,0)</f>
        <v>MERCADO LIVRE</v>
      </c>
      <c r="E1972" s="4" t="str">
        <f>CONCATENATE(Tabela1[[#This Row],[CIDADE]],",",Tabela1[[#This Row],[UF]])</f>
        <v>MERCADO LIVRE,MERCADO LIVRE</v>
      </c>
      <c r="F1972" s="2">
        <v>45741</v>
      </c>
      <c r="G1972" s="17">
        <v>10.44</v>
      </c>
      <c r="H1972" s="17">
        <v>26.77</v>
      </c>
      <c r="I1972" s="6">
        <f>Tabela1[[#This Row],[Valor total]]-Tabela1[[#This Row],[Valor custo]]</f>
        <v>16.329999999999998</v>
      </c>
      <c r="J1972" s="7">
        <f>Tabela1[[#This Row],[MARGEM BRUTA]]/Tabela1[[#This Row],[Valor total]]</f>
        <v>0.61001120657452368</v>
      </c>
      <c r="K1972" s="1" t="str">
        <f>VLOOKUP(Tabela1[[#This Row],[Cliente]],'BASE DE CLIENTES'!A:D,4,0)</f>
        <v>OUTROS RAMOS</v>
      </c>
      <c r="L1972" s="1" t="str">
        <f>VLOOKUP(Tabela1[[#This Row],[Cliente]],'BASE DE CLIENTES'!A:E,5,0)</f>
        <v>MERCADO LIVRE</v>
      </c>
    </row>
    <row r="1973" spans="2:12" x14ac:dyDescent="0.3">
      <c r="B1973" s="1" t="s">
        <v>153</v>
      </c>
      <c r="C1973" s="4" t="str">
        <f>VLOOKUP(Tabela1[[#This Row],[Cliente]],'BASE DE CLIENTES'!A:E,2,0)</f>
        <v>Brasília</v>
      </c>
      <c r="D1973" s="1" t="str">
        <f>VLOOKUP(Tabela1[[#This Row],[Cliente]],'BASE DE CLIENTES'!A:C,3,0)</f>
        <v>DF</v>
      </c>
      <c r="E1973" s="4" t="str">
        <f>CONCATENATE(Tabela1[[#This Row],[CIDADE]],",",Tabela1[[#This Row],[UF]])</f>
        <v>Brasília,DF</v>
      </c>
      <c r="F1973" s="2">
        <v>45891</v>
      </c>
      <c r="G1973" s="17">
        <v>1146.9000000000001</v>
      </c>
      <c r="H1973" s="17">
        <v>1935</v>
      </c>
      <c r="I1973" s="6">
        <f>Tabela1[[#This Row],[Valor total]]-Tabela1[[#This Row],[Valor custo]]</f>
        <v>788.09999999999991</v>
      </c>
      <c r="J1973" s="7">
        <f>Tabela1[[#This Row],[MARGEM BRUTA]]/Tabela1[[#This Row],[Valor total]]</f>
        <v>0.40728682170542629</v>
      </c>
      <c r="K1973" s="1" t="str">
        <f>VLOOKUP(Tabela1[[#This Row],[Cliente]],'BASE DE CLIENTES'!A:D,4,0)</f>
        <v>SERRALHEIRO</v>
      </c>
      <c r="L1973" s="1" t="str">
        <f>VLOOKUP(Tabela1[[#This Row],[Cliente]],'BASE DE CLIENTES'!A:E,5,0)</f>
        <v>PLANALTINA</v>
      </c>
    </row>
    <row r="1974" spans="2:12" x14ac:dyDescent="0.3">
      <c r="B1974" s="1" t="s">
        <v>121</v>
      </c>
      <c r="C1974" s="4" t="str">
        <f>VLOOKUP(Tabela1[[#This Row],[Cliente]],'BASE DE CLIENTES'!A:E,2,0)</f>
        <v>Brasília</v>
      </c>
      <c r="D1974" s="1" t="str">
        <f>VLOOKUP(Tabela1[[#This Row],[Cliente]],'BASE DE CLIENTES'!A:C,3,0)</f>
        <v>DF</v>
      </c>
      <c r="E1974" s="4" t="str">
        <f>CONCATENATE(Tabela1[[#This Row],[CIDADE]],",",Tabela1[[#This Row],[UF]])</f>
        <v>Brasília,DF</v>
      </c>
      <c r="F1974" s="2">
        <v>45915</v>
      </c>
      <c r="G1974" s="17">
        <v>122.74</v>
      </c>
      <c r="H1974" s="17">
        <v>190</v>
      </c>
      <c r="I1974" s="6">
        <f>Tabela1[[#This Row],[Valor total]]-Tabela1[[#This Row],[Valor custo]]</f>
        <v>67.260000000000005</v>
      </c>
      <c r="J1974" s="7">
        <f>Tabela1[[#This Row],[MARGEM BRUTA]]/Tabela1[[#This Row],[Valor total]]</f>
        <v>0.35400000000000004</v>
      </c>
      <c r="K1974" s="1" t="str">
        <f>VLOOKUP(Tabela1[[#This Row],[Cliente]],'BASE DE CLIENTES'!A:D,4,0)</f>
        <v>SEM CLASSIFICAÇÃO</v>
      </c>
      <c r="L1974" s="1" t="str">
        <f>VLOOKUP(Tabela1[[#This Row],[Cliente]],'BASE DE CLIENTES'!A:E,5,0)</f>
        <v>Asa Sul</v>
      </c>
    </row>
    <row r="1975" spans="2:12" x14ac:dyDescent="0.3">
      <c r="B1975" s="1" t="s">
        <v>27</v>
      </c>
      <c r="C1975" s="4" t="str">
        <f>VLOOKUP(Tabela1[[#This Row],[Cliente]],'BASE DE CLIENTES'!A:E,2,0)</f>
        <v>Brasília</v>
      </c>
      <c r="D1975" s="1" t="str">
        <f>VLOOKUP(Tabela1[[#This Row],[Cliente]],'BASE DE CLIENTES'!A:C,3,0)</f>
        <v>DF</v>
      </c>
      <c r="E1975" s="4" t="str">
        <f>CONCATENATE(Tabela1[[#This Row],[CIDADE]],",",Tabela1[[#This Row],[UF]])</f>
        <v>Brasília,DF</v>
      </c>
      <c r="F1975" s="2">
        <v>45891</v>
      </c>
      <c r="G1975" s="17">
        <v>395.99</v>
      </c>
      <c r="H1975" s="17">
        <v>565</v>
      </c>
      <c r="I1975" s="6">
        <f>Tabela1[[#This Row],[Valor total]]-Tabela1[[#This Row],[Valor custo]]</f>
        <v>169.01</v>
      </c>
      <c r="J1975" s="7">
        <f>Tabela1[[#This Row],[MARGEM BRUTA]]/Tabela1[[#This Row],[Valor total]]</f>
        <v>0.29913274336283185</v>
      </c>
      <c r="K1975" s="1" t="str">
        <f>VLOOKUP(Tabela1[[#This Row],[Cliente]],'BASE DE CLIENTES'!A:D,4,0)</f>
        <v>EMPRESA SEM MAQUINA</v>
      </c>
      <c r="L1975" s="1" t="str">
        <f>VLOOKUP(Tabela1[[#This Row],[Cliente]],'BASE DE CLIENTES'!A:E,5,0)</f>
        <v>RECANTO DAS EMAS</v>
      </c>
    </row>
    <row r="1976" spans="2:12" x14ac:dyDescent="0.3">
      <c r="B1976" s="1" t="s">
        <v>266</v>
      </c>
      <c r="C1976" s="4" t="str">
        <f>VLOOKUP(Tabela1[[#This Row],[Cliente]],'BASE DE CLIENTES'!A:E,2,0)</f>
        <v>MERCADO LIVRE</v>
      </c>
      <c r="D1976" s="1" t="str">
        <f>VLOOKUP(Tabela1[[#This Row],[Cliente]],'BASE DE CLIENTES'!A:C,3,0)</f>
        <v>MERCADO LIVRE</v>
      </c>
      <c r="E1976" s="4" t="str">
        <f>CONCATENATE(Tabela1[[#This Row],[CIDADE]],",",Tabela1[[#This Row],[UF]])</f>
        <v>MERCADO LIVRE,MERCADO LIVRE</v>
      </c>
      <c r="F1976" s="2">
        <v>45737</v>
      </c>
      <c r="G1976" s="17">
        <v>10.44</v>
      </c>
      <c r="H1976" s="17">
        <v>26.77</v>
      </c>
      <c r="I1976" s="6">
        <f>Tabela1[[#This Row],[Valor total]]-Tabela1[[#This Row],[Valor custo]]</f>
        <v>16.329999999999998</v>
      </c>
      <c r="J1976" s="7">
        <f>Tabela1[[#This Row],[MARGEM BRUTA]]/Tabela1[[#This Row],[Valor total]]</f>
        <v>0.61001120657452368</v>
      </c>
      <c r="K1976" s="1" t="str">
        <f>VLOOKUP(Tabela1[[#This Row],[Cliente]],'BASE DE CLIENTES'!A:D,4,0)</f>
        <v>OUTROS RAMOS</v>
      </c>
      <c r="L1976" s="1" t="str">
        <f>VLOOKUP(Tabela1[[#This Row],[Cliente]],'BASE DE CLIENTES'!A:E,5,0)</f>
        <v>MERCADO LIVRE</v>
      </c>
    </row>
    <row r="1977" spans="2:12" x14ac:dyDescent="0.3">
      <c r="B1977" s="1" t="s">
        <v>161</v>
      </c>
      <c r="C1977" s="4" t="str">
        <f>VLOOKUP(Tabela1[[#This Row],[Cliente]],'BASE DE CLIENTES'!A:E,2,0)</f>
        <v>Brasília</v>
      </c>
      <c r="D1977" s="1" t="str">
        <f>VLOOKUP(Tabela1[[#This Row],[Cliente]],'BASE DE CLIENTES'!A:C,3,0)</f>
        <v>DF</v>
      </c>
      <c r="E1977" s="4" t="str">
        <f>CONCATENATE(Tabela1[[#This Row],[CIDADE]],",",Tabela1[[#This Row],[UF]])</f>
        <v>Brasília,DF</v>
      </c>
      <c r="F1977" s="2">
        <v>45891</v>
      </c>
      <c r="G1977" s="17">
        <v>18072.650000000001</v>
      </c>
      <c r="H1977" s="17">
        <v>28550</v>
      </c>
      <c r="I1977" s="6">
        <f>Tabela1[[#This Row],[Valor total]]-Tabela1[[#This Row],[Valor custo]]</f>
        <v>10477.349999999999</v>
      </c>
      <c r="J1977" s="7">
        <f>Tabela1[[#This Row],[MARGEM BRUTA]]/Tabela1[[#This Row],[Valor total]]</f>
        <v>0.36698248686514884</v>
      </c>
      <c r="K1977" s="1" t="str">
        <f>VLOOKUP(Tabela1[[#This Row],[Cliente]],'BASE DE CLIENTES'!A:D,4,0)</f>
        <v>EMPRESA COM MAQUINA</v>
      </c>
      <c r="L1977" s="1" t="str">
        <f>VLOOKUP(Tabela1[[#This Row],[Cliente]],'BASE DE CLIENTES'!A:E,5,0)</f>
        <v>RIACHO FUNDO II</v>
      </c>
    </row>
    <row r="1978" spans="2:12" x14ac:dyDescent="0.3">
      <c r="B1978" s="1" t="s">
        <v>55</v>
      </c>
      <c r="C1978" s="4" t="str">
        <f>VLOOKUP(Tabela1[[#This Row],[Cliente]],'BASE DE CLIENTES'!A:E,2,0)</f>
        <v>Brasília</v>
      </c>
      <c r="D1978" s="1" t="str">
        <f>VLOOKUP(Tabela1[[#This Row],[Cliente]],'BASE DE CLIENTES'!A:C,3,0)</f>
        <v>DF</v>
      </c>
      <c r="E1978" s="4" t="str">
        <f>CONCATENATE(Tabela1[[#This Row],[CIDADE]],",",Tabela1[[#This Row],[UF]])</f>
        <v>Brasília,DF</v>
      </c>
      <c r="F1978" s="2">
        <v>45890</v>
      </c>
      <c r="G1978" s="17">
        <v>55</v>
      </c>
      <c r="H1978" s="17">
        <v>180</v>
      </c>
      <c r="I1978" s="6">
        <f>Tabela1[[#This Row],[Valor total]]-Tabela1[[#This Row],[Valor custo]]</f>
        <v>125</v>
      </c>
      <c r="J1978" s="7">
        <f>Tabela1[[#This Row],[MARGEM BRUTA]]/Tabela1[[#This Row],[Valor total]]</f>
        <v>0.69444444444444442</v>
      </c>
      <c r="K1978" s="1" t="str">
        <f>VLOOKUP(Tabela1[[#This Row],[Cliente]],'BASE DE CLIENTES'!A:D,4,0)</f>
        <v>EMPRESA SEM MAQUINA</v>
      </c>
      <c r="L1978" s="1" t="str">
        <f>VLOOKUP(Tabela1[[#This Row],[Cliente]],'BASE DE CLIENTES'!A:E,5,0)</f>
        <v>RECANTO DAS EMAS</v>
      </c>
    </row>
    <row r="1979" spans="2:12" x14ac:dyDescent="0.3">
      <c r="B1979" s="1" t="s">
        <v>266</v>
      </c>
      <c r="C1979" s="4" t="str">
        <f>VLOOKUP(Tabela1[[#This Row],[Cliente]],'BASE DE CLIENTES'!A:E,2,0)</f>
        <v>MERCADO LIVRE</v>
      </c>
      <c r="D1979" s="1" t="str">
        <f>VLOOKUP(Tabela1[[#This Row],[Cliente]],'BASE DE CLIENTES'!A:C,3,0)</f>
        <v>MERCADO LIVRE</v>
      </c>
      <c r="E1979" s="4" t="str">
        <f>CONCATENATE(Tabela1[[#This Row],[CIDADE]],",",Tabela1[[#This Row],[UF]])</f>
        <v>MERCADO LIVRE,MERCADO LIVRE</v>
      </c>
      <c r="F1979" s="2">
        <v>45736</v>
      </c>
      <c r="G1979" s="17">
        <v>20.88</v>
      </c>
      <c r="H1979" s="17">
        <v>53.54</v>
      </c>
      <c r="I1979" s="6">
        <f>Tabela1[[#This Row],[Valor total]]-Tabela1[[#This Row],[Valor custo]]</f>
        <v>32.659999999999997</v>
      </c>
      <c r="J1979" s="7">
        <f>Tabela1[[#This Row],[MARGEM BRUTA]]/Tabela1[[#This Row],[Valor total]]</f>
        <v>0.61001120657452368</v>
      </c>
      <c r="K1979" s="1" t="str">
        <f>VLOOKUP(Tabela1[[#This Row],[Cliente]],'BASE DE CLIENTES'!A:D,4,0)</f>
        <v>OUTROS RAMOS</v>
      </c>
      <c r="L1979" s="1" t="str">
        <f>VLOOKUP(Tabela1[[#This Row],[Cliente]],'BASE DE CLIENTES'!A:E,5,0)</f>
        <v>MERCADO LIVRE</v>
      </c>
    </row>
    <row r="1980" spans="2:12" x14ac:dyDescent="0.3">
      <c r="B1980" s="1" t="s">
        <v>266</v>
      </c>
      <c r="C1980" s="4" t="str">
        <f>VLOOKUP(Tabela1[[#This Row],[Cliente]],'BASE DE CLIENTES'!A:E,2,0)</f>
        <v>MERCADO LIVRE</v>
      </c>
      <c r="D1980" s="1" t="str">
        <f>VLOOKUP(Tabela1[[#This Row],[Cliente]],'BASE DE CLIENTES'!A:C,3,0)</f>
        <v>MERCADO LIVRE</v>
      </c>
      <c r="E1980" s="4" t="str">
        <f>CONCATENATE(Tabela1[[#This Row],[CIDADE]],",",Tabela1[[#This Row],[UF]])</f>
        <v>MERCADO LIVRE,MERCADO LIVRE</v>
      </c>
      <c r="F1980" s="2">
        <v>45735</v>
      </c>
      <c r="G1980" s="17">
        <v>13.69</v>
      </c>
      <c r="H1980" s="17">
        <v>98.42</v>
      </c>
      <c r="I1980" s="6">
        <f>Tabela1[[#This Row],[Valor total]]-Tabela1[[#This Row],[Valor custo]]</f>
        <v>84.73</v>
      </c>
      <c r="J1980" s="7">
        <f>Tabela1[[#This Row],[MARGEM BRUTA]]/Tabela1[[#This Row],[Valor total]]</f>
        <v>0.86090225563909772</v>
      </c>
      <c r="K1980" s="1" t="str">
        <f>VLOOKUP(Tabela1[[#This Row],[Cliente]],'BASE DE CLIENTES'!A:D,4,0)</f>
        <v>OUTROS RAMOS</v>
      </c>
      <c r="L1980" s="1" t="str">
        <f>VLOOKUP(Tabela1[[#This Row],[Cliente]],'BASE DE CLIENTES'!A:E,5,0)</f>
        <v>MERCADO LIVRE</v>
      </c>
    </row>
    <row r="1981" spans="2:12" x14ac:dyDescent="0.3">
      <c r="B1981" s="1" t="s">
        <v>266</v>
      </c>
      <c r="C1981" s="4" t="str">
        <f>VLOOKUP(Tabela1[[#This Row],[Cliente]],'BASE DE CLIENTES'!A:E,2,0)</f>
        <v>MERCADO LIVRE</v>
      </c>
      <c r="D1981" s="1" t="str">
        <f>VLOOKUP(Tabela1[[#This Row],[Cliente]],'BASE DE CLIENTES'!A:C,3,0)</f>
        <v>MERCADO LIVRE</v>
      </c>
      <c r="E1981" s="4" t="str">
        <f>CONCATENATE(Tabela1[[#This Row],[CIDADE]],",",Tabela1[[#This Row],[UF]])</f>
        <v>MERCADO LIVRE,MERCADO LIVRE</v>
      </c>
      <c r="F1981" s="2">
        <v>45735</v>
      </c>
      <c r="G1981" s="17">
        <v>31.32</v>
      </c>
      <c r="H1981" s="17">
        <v>80.31</v>
      </c>
      <c r="I1981" s="6">
        <f>Tabela1[[#This Row],[Valor total]]-Tabela1[[#This Row],[Valor custo]]</f>
        <v>48.99</v>
      </c>
      <c r="J1981" s="7">
        <f>Tabela1[[#This Row],[MARGEM BRUTA]]/Tabela1[[#This Row],[Valor total]]</f>
        <v>0.61001120657452368</v>
      </c>
      <c r="K1981" s="1" t="str">
        <f>VLOOKUP(Tabela1[[#This Row],[Cliente]],'BASE DE CLIENTES'!A:D,4,0)</f>
        <v>OUTROS RAMOS</v>
      </c>
      <c r="L1981" s="1" t="str">
        <f>VLOOKUP(Tabela1[[#This Row],[Cliente]],'BASE DE CLIENTES'!A:E,5,0)</f>
        <v>MERCADO LIVRE</v>
      </c>
    </row>
    <row r="1982" spans="2:12" x14ac:dyDescent="0.3">
      <c r="B1982" s="1" t="s">
        <v>266</v>
      </c>
      <c r="C1982" s="4" t="str">
        <f>VLOOKUP(Tabela1[[#This Row],[Cliente]],'BASE DE CLIENTES'!A:E,2,0)</f>
        <v>MERCADO LIVRE</v>
      </c>
      <c r="D1982" s="1" t="str">
        <f>VLOOKUP(Tabela1[[#This Row],[Cliente]],'BASE DE CLIENTES'!A:C,3,0)</f>
        <v>MERCADO LIVRE</v>
      </c>
      <c r="E1982" s="4" t="str">
        <f>CONCATENATE(Tabela1[[#This Row],[CIDADE]],",",Tabela1[[#This Row],[UF]])</f>
        <v>MERCADO LIVRE,MERCADO LIVRE</v>
      </c>
      <c r="F1982" s="2">
        <v>45735</v>
      </c>
      <c r="G1982" s="17">
        <v>41.76</v>
      </c>
      <c r="H1982" s="17">
        <v>107.08</v>
      </c>
      <c r="I1982" s="6">
        <f>Tabela1[[#This Row],[Valor total]]-Tabela1[[#This Row],[Valor custo]]</f>
        <v>65.319999999999993</v>
      </c>
      <c r="J1982" s="7">
        <f>Tabela1[[#This Row],[MARGEM BRUTA]]/Tabela1[[#This Row],[Valor total]]</f>
        <v>0.61001120657452368</v>
      </c>
      <c r="K1982" s="1" t="str">
        <f>VLOOKUP(Tabela1[[#This Row],[Cliente]],'BASE DE CLIENTES'!A:D,4,0)</f>
        <v>OUTROS RAMOS</v>
      </c>
      <c r="L1982" s="1" t="str">
        <f>VLOOKUP(Tabela1[[#This Row],[Cliente]],'BASE DE CLIENTES'!A:E,5,0)</f>
        <v>MERCADO LIVRE</v>
      </c>
    </row>
    <row r="1983" spans="2:12" x14ac:dyDescent="0.3">
      <c r="B1983" s="1" t="s">
        <v>96</v>
      </c>
      <c r="C1983" s="4" t="str">
        <f>VLOOKUP(Tabela1[[#This Row],[Cliente]],'BASE DE CLIENTES'!A:E,2,0)</f>
        <v>Brasília</v>
      </c>
      <c r="D1983" s="1" t="str">
        <f>VLOOKUP(Tabela1[[#This Row],[Cliente]],'BASE DE CLIENTES'!A:C,3,0)</f>
        <v>DF</v>
      </c>
      <c r="E1983" s="4" t="str">
        <f>CONCATENATE(Tabela1[[#This Row],[CIDADE]],",",Tabela1[[#This Row],[UF]])</f>
        <v>Brasília,DF</v>
      </c>
      <c r="F1983" s="2">
        <v>45890</v>
      </c>
      <c r="G1983" s="17">
        <v>382.3</v>
      </c>
      <c r="H1983" s="17">
        <v>515</v>
      </c>
      <c r="I1983" s="6">
        <f>Tabela1[[#This Row],[Valor total]]-Tabela1[[#This Row],[Valor custo]]</f>
        <v>132.69999999999999</v>
      </c>
      <c r="J1983" s="7">
        <f>Tabela1[[#This Row],[MARGEM BRUTA]]/Tabela1[[#This Row],[Valor total]]</f>
        <v>0.25766990291262132</v>
      </c>
      <c r="K1983" s="1" t="str">
        <f>VLOOKUP(Tabela1[[#This Row],[Cliente]],'BASE DE CLIENTES'!A:D,4,0)</f>
        <v>EMPRESA SEM MAQUINA</v>
      </c>
      <c r="L1983" s="1" t="str">
        <f>VLOOKUP(Tabela1[[#This Row],[Cliente]],'BASE DE CLIENTES'!A:E,5,0)</f>
        <v>CEILANDIA NORTE (CEILANDIA)</v>
      </c>
    </row>
    <row r="1984" spans="2:12" x14ac:dyDescent="0.3">
      <c r="B1984" s="1" t="s">
        <v>266</v>
      </c>
      <c r="C1984" s="4" t="str">
        <f>VLOOKUP(Tabela1[[#This Row],[Cliente]],'BASE DE CLIENTES'!A:E,2,0)</f>
        <v>MERCADO LIVRE</v>
      </c>
      <c r="D1984" s="1" t="str">
        <f>VLOOKUP(Tabela1[[#This Row],[Cliente]],'BASE DE CLIENTES'!A:C,3,0)</f>
        <v>MERCADO LIVRE</v>
      </c>
      <c r="E1984" s="4" t="str">
        <f>CONCATENATE(Tabela1[[#This Row],[CIDADE]],",",Tabela1[[#This Row],[UF]])</f>
        <v>MERCADO LIVRE,MERCADO LIVRE</v>
      </c>
      <c r="F1984" s="2">
        <v>45734</v>
      </c>
      <c r="G1984" s="17">
        <v>52.2</v>
      </c>
      <c r="H1984" s="17">
        <v>133.85</v>
      </c>
      <c r="I1984" s="6">
        <f>Tabela1[[#This Row],[Valor total]]-Tabela1[[#This Row],[Valor custo]]</f>
        <v>81.649999999999991</v>
      </c>
      <c r="J1984" s="7">
        <f>Tabela1[[#This Row],[MARGEM BRUTA]]/Tabela1[[#This Row],[Valor total]]</f>
        <v>0.61001120657452368</v>
      </c>
      <c r="K1984" s="1" t="str">
        <f>VLOOKUP(Tabela1[[#This Row],[Cliente]],'BASE DE CLIENTES'!A:D,4,0)</f>
        <v>OUTROS RAMOS</v>
      </c>
      <c r="L1984" s="1" t="str">
        <f>VLOOKUP(Tabela1[[#This Row],[Cliente]],'BASE DE CLIENTES'!A:E,5,0)</f>
        <v>MERCADO LIVRE</v>
      </c>
    </row>
    <row r="1985" spans="2:12" x14ac:dyDescent="0.3">
      <c r="B1985" s="1" t="s">
        <v>70</v>
      </c>
      <c r="C1985" s="4" t="str">
        <f>VLOOKUP(Tabela1[[#This Row],[Cliente]],'BASE DE CLIENTES'!A:E,2,0)</f>
        <v>Brasília</v>
      </c>
      <c r="D1985" s="1" t="str">
        <f>VLOOKUP(Tabela1[[#This Row],[Cliente]],'BASE DE CLIENTES'!A:C,3,0)</f>
        <v>DF</v>
      </c>
      <c r="E1985" s="4" t="str">
        <f>CONCATENATE(Tabela1[[#This Row],[CIDADE]],",",Tabela1[[#This Row],[UF]])</f>
        <v>Brasília,DF</v>
      </c>
      <c r="F1985" s="2">
        <v>45890</v>
      </c>
      <c r="G1985" s="17">
        <v>664</v>
      </c>
      <c r="H1985" s="17">
        <v>1200</v>
      </c>
      <c r="I1985" s="6">
        <f>Tabela1[[#This Row],[Valor total]]-Tabela1[[#This Row],[Valor custo]]</f>
        <v>536</v>
      </c>
      <c r="J1985" s="7">
        <f>Tabela1[[#This Row],[MARGEM BRUTA]]/Tabela1[[#This Row],[Valor total]]</f>
        <v>0.44666666666666666</v>
      </c>
      <c r="K1985" s="1" t="str">
        <f>VLOOKUP(Tabela1[[#This Row],[Cliente]],'BASE DE CLIENTES'!A:D,4,0)</f>
        <v>EMPRESA COM MAQUINA</v>
      </c>
      <c r="L1985" s="1" t="str">
        <f>VLOOKUP(Tabela1[[#This Row],[Cliente]],'BASE DE CLIENTES'!A:E,5,0)</f>
        <v>TAGUATINGA NORTE (TAGUATINGA)</v>
      </c>
    </row>
    <row r="1986" spans="2:12" x14ac:dyDescent="0.3">
      <c r="B1986" s="1" t="s">
        <v>97</v>
      </c>
      <c r="C1986" s="4" t="str">
        <f>VLOOKUP(Tabela1[[#This Row],[Cliente]],'BASE DE CLIENTES'!A:E,2,0)</f>
        <v>Brasília</v>
      </c>
      <c r="D1986" s="1" t="str">
        <f>VLOOKUP(Tabela1[[#This Row],[Cliente]],'BASE DE CLIENTES'!A:C,3,0)</f>
        <v>DF</v>
      </c>
      <c r="E1986" s="4" t="str">
        <f>CONCATENATE(Tabela1[[#This Row],[CIDADE]],",",Tabela1[[#This Row],[UF]])</f>
        <v>Brasília,DF</v>
      </c>
      <c r="F1986" s="2">
        <v>45890</v>
      </c>
      <c r="G1986" s="17">
        <v>1428.6</v>
      </c>
      <c r="H1986" s="17">
        <v>2640</v>
      </c>
      <c r="I1986" s="6">
        <f>Tabela1[[#This Row],[Valor total]]-Tabela1[[#This Row],[Valor custo]]</f>
        <v>1211.4000000000001</v>
      </c>
      <c r="J1986" s="7">
        <f>Tabela1[[#This Row],[MARGEM BRUTA]]/Tabela1[[#This Row],[Valor total]]</f>
        <v>0.45886363636363642</v>
      </c>
      <c r="K1986" s="1" t="str">
        <f>VLOOKUP(Tabela1[[#This Row],[Cliente]],'BASE DE CLIENTES'!A:D,4,0)</f>
        <v>SERRALHEIRO</v>
      </c>
      <c r="L1986" s="1" t="str">
        <f>VLOOKUP(Tabela1[[#This Row],[Cliente]],'BASE DE CLIENTES'!A:E,5,0)</f>
        <v>CEILANDIA NORTE</v>
      </c>
    </row>
    <row r="1987" spans="2:12" x14ac:dyDescent="0.3">
      <c r="B1987" s="1" t="s">
        <v>97</v>
      </c>
      <c r="C1987" s="4" t="str">
        <f>VLOOKUP(Tabela1[[#This Row],[Cliente]],'BASE DE CLIENTES'!A:E,2,0)</f>
        <v>Brasília</v>
      </c>
      <c r="D1987" s="1" t="str">
        <f>VLOOKUP(Tabela1[[#This Row],[Cliente]],'BASE DE CLIENTES'!A:C,3,0)</f>
        <v>DF</v>
      </c>
      <c r="E1987" s="4" t="str">
        <f>CONCATENATE(Tabela1[[#This Row],[CIDADE]],",",Tabela1[[#This Row],[UF]])</f>
        <v>Brasília,DF</v>
      </c>
      <c r="F1987" s="2">
        <v>45890</v>
      </c>
      <c r="G1987" s="17">
        <v>0</v>
      </c>
      <c r="H1987" s="17">
        <v>600</v>
      </c>
      <c r="I1987" s="6">
        <f>Tabela1[[#This Row],[Valor total]]-Tabela1[[#This Row],[Valor custo]]</f>
        <v>600</v>
      </c>
      <c r="J1987" s="7">
        <f>Tabela1[[#This Row],[MARGEM BRUTA]]/Tabela1[[#This Row],[Valor total]]</f>
        <v>1</v>
      </c>
      <c r="K1987" s="1" t="str">
        <f>VLOOKUP(Tabela1[[#This Row],[Cliente]],'BASE DE CLIENTES'!A:D,4,0)</f>
        <v>SERRALHEIRO</v>
      </c>
      <c r="L1987" s="1" t="str">
        <f>VLOOKUP(Tabela1[[#This Row],[Cliente]],'BASE DE CLIENTES'!A:E,5,0)</f>
        <v>CEILANDIA NORTE</v>
      </c>
    </row>
    <row r="1988" spans="2:12" x14ac:dyDescent="0.3">
      <c r="B1988" s="1" t="s">
        <v>88</v>
      </c>
      <c r="C1988" s="4" t="str">
        <f>VLOOKUP(Tabela1[[#This Row],[Cliente]],'BASE DE CLIENTES'!A:E,2,0)</f>
        <v>Brasília</v>
      </c>
      <c r="D1988" s="1" t="str">
        <f>VLOOKUP(Tabela1[[#This Row],[Cliente]],'BASE DE CLIENTES'!A:C,3,0)</f>
        <v>DF</v>
      </c>
      <c r="E1988" s="4" t="str">
        <f>CONCATENATE(Tabela1[[#This Row],[CIDADE]],",",Tabela1[[#This Row],[UF]])</f>
        <v>Brasília,DF</v>
      </c>
      <c r="F1988" s="2">
        <v>45890</v>
      </c>
      <c r="G1988" s="17">
        <v>764.6</v>
      </c>
      <c r="H1988" s="17">
        <v>1280</v>
      </c>
      <c r="I1988" s="6">
        <f>Tabela1[[#This Row],[Valor total]]-Tabela1[[#This Row],[Valor custo]]</f>
        <v>515.4</v>
      </c>
      <c r="J1988" s="7">
        <f>Tabela1[[#This Row],[MARGEM BRUTA]]/Tabela1[[#This Row],[Valor total]]</f>
        <v>0.40265624999999999</v>
      </c>
      <c r="K1988" s="1" t="str">
        <f>VLOOKUP(Tabela1[[#This Row],[Cliente]],'BASE DE CLIENTES'!A:D,4,0)</f>
        <v>SERRALHEIRO</v>
      </c>
      <c r="L1988" s="1" t="str">
        <f>VLOOKUP(Tabela1[[#This Row],[Cliente]],'BASE DE CLIENTES'!A:E,5,0)</f>
        <v>RECANTO DAS EMAS</v>
      </c>
    </row>
    <row r="1989" spans="2:12" x14ac:dyDescent="0.3">
      <c r="B1989" s="1" t="s">
        <v>230</v>
      </c>
      <c r="C1989" s="4" t="str">
        <f>VLOOKUP(Tabela1[[#This Row],[Cliente]],'BASE DE CLIENTES'!A:E,2,0)</f>
        <v>Brasília</v>
      </c>
      <c r="D1989" s="1" t="str">
        <f>VLOOKUP(Tabela1[[#This Row],[Cliente]],'BASE DE CLIENTES'!A:C,3,0)</f>
        <v>DF</v>
      </c>
      <c r="E1989" s="4" t="str">
        <f>CONCATENATE(Tabela1[[#This Row],[CIDADE]],",",Tabela1[[#This Row],[UF]])</f>
        <v>Brasília,DF</v>
      </c>
      <c r="F1989" s="2">
        <v>45890</v>
      </c>
      <c r="G1989" s="17">
        <v>36.049999999999997</v>
      </c>
      <c r="H1989" s="17">
        <v>175</v>
      </c>
      <c r="I1989" s="6">
        <f>Tabela1[[#This Row],[Valor total]]-Tabela1[[#This Row],[Valor custo]]</f>
        <v>138.94999999999999</v>
      </c>
      <c r="J1989" s="7">
        <f>Tabela1[[#This Row],[MARGEM BRUTA]]/Tabela1[[#This Row],[Valor total]]</f>
        <v>0.79399999999999993</v>
      </c>
      <c r="K1989" s="1" t="str">
        <f>VLOOKUP(Tabela1[[#This Row],[Cliente]],'BASE DE CLIENTES'!A:D,4,0)</f>
        <v>SERRALHEIRO</v>
      </c>
      <c r="L1989" s="1" t="str">
        <f>VLOOKUP(Tabela1[[#This Row],[Cliente]],'BASE DE CLIENTES'!A:E,5,0)</f>
        <v>SETOR HABITACIONAL SAMAMBAIA (VICENTE PIRES)</v>
      </c>
    </row>
    <row r="1990" spans="2:12" x14ac:dyDescent="0.3">
      <c r="B1990" s="1" t="s">
        <v>42</v>
      </c>
      <c r="C1990" s="4" t="str">
        <f>VLOOKUP(Tabela1[[#This Row],[Cliente]],'BASE DE CLIENTES'!A:E,2,0)</f>
        <v>Brasília</v>
      </c>
      <c r="D1990" s="1" t="str">
        <f>VLOOKUP(Tabela1[[#This Row],[Cliente]],'BASE DE CLIENTES'!A:C,3,0)</f>
        <v>DF</v>
      </c>
      <c r="E1990" s="4" t="str">
        <f>CONCATENATE(Tabela1[[#This Row],[CIDADE]],",",Tabela1[[#This Row],[UF]])</f>
        <v>Brasília,DF</v>
      </c>
      <c r="F1990" s="2">
        <v>45890</v>
      </c>
      <c r="G1990" s="17">
        <v>125</v>
      </c>
      <c r="H1990" s="17">
        <v>150</v>
      </c>
      <c r="I1990" s="6">
        <f>Tabela1[[#This Row],[Valor total]]-Tabela1[[#This Row],[Valor custo]]</f>
        <v>25</v>
      </c>
      <c r="J1990" s="7">
        <f>Tabela1[[#This Row],[MARGEM BRUTA]]/Tabela1[[#This Row],[Valor total]]</f>
        <v>0.16666666666666666</v>
      </c>
      <c r="K1990" s="1" t="str">
        <f>VLOOKUP(Tabela1[[#This Row],[Cliente]],'BASE DE CLIENTES'!A:D,4,0)</f>
        <v>EMPRESA SEM MAQUINA</v>
      </c>
      <c r="L1990" s="1" t="str">
        <f>VLOOKUP(Tabela1[[#This Row],[Cliente]],'BASE DE CLIENTES'!A:E,5,0)</f>
        <v>SAMAMBAIA</v>
      </c>
    </row>
    <row r="1991" spans="2:12" x14ac:dyDescent="0.3">
      <c r="B1991" s="1" t="s">
        <v>59</v>
      </c>
      <c r="C1991" s="4" t="str">
        <f>VLOOKUP(Tabela1[[#This Row],[Cliente]],'BASE DE CLIENTES'!A:E,2,0)</f>
        <v>Brasília</v>
      </c>
      <c r="D1991" s="1" t="str">
        <f>VLOOKUP(Tabela1[[#This Row],[Cliente]],'BASE DE CLIENTES'!A:C,3,0)</f>
        <v>DF</v>
      </c>
      <c r="E1991" s="4" t="str">
        <f>CONCATENATE(Tabela1[[#This Row],[CIDADE]],",",Tabela1[[#This Row],[UF]])</f>
        <v>Brasília,DF</v>
      </c>
      <c r="F1991" s="2">
        <v>45890</v>
      </c>
      <c r="G1991" s="17">
        <v>8814.9</v>
      </c>
      <c r="H1991" s="17">
        <v>13200</v>
      </c>
      <c r="I1991" s="6">
        <f>Tabela1[[#This Row],[Valor total]]-Tabela1[[#This Row],[Valor custo]]</f>
        <v>4385.1000000000004</v>
      </c>
      <c r="J1991" s="7">
        <f>Tabela1[[#This Row],[MARGEM BRUTA]]/Tabela1[[#This Row],[Valor total]]</f>
        <v>0.33220454545454547</v>
      </c>
      <c r="K1991" s="1" t="str">
        <f>VLOOKUP(Tabela1[[#This Row],[Cliente]],'BASE DE CLIENTES'!A:D,4,0)</f>
        <v>EMPRESA COM MAQUINA</v>
      </c>
      <c r="L1991" s="1" t="str">
        <f>VLOOKUP(Tabela1[[#This Row],[Cliente]],'BASE DE CLIENTES'!A:E,5,0)</f>
        <v>SETOR HABITACIONAL VICENTE PIRES</v>
      </c>
    </row>
    <row r="1992" spans="2:12" x14ac:dyDescent="0.3">
      <c r="B1992" s="1" t="s">
        <v>38</v>
      </c>
      <c r="C1992" s="4" t="str">
        <f>VLOOKUP(Tabela1[[#This Row],[Cliente]],'BASE DE CLIENTES'!A:E,2,0)</f>
        <v>Brasília</v>
      </c>
      <c r="D1992" s="1" t="str">
        <f>VLOOKUP(Tabela1[[#This Row],[Cliente]],'BASE DE CLIENTES'!A:C,3,0)</f>
        <v>DF</v>
      </c>
      <c r="E1992" s="4" t="str">
        <f>CONCATENATE(Tabela1[[#This Row],[CIDADE]],",",Tabela1[[#This Row],[UF]])</f>
        <v>Brasília,DF</v>
      </c>
      <c r="F1992" s="2">
        <v>45890</v>
      </c>
      <c r="G1992" s="17">
        <v>1096.79</v>
      </c>
      <c r="H1992" s="17">
        <v>2050</v>
      </c>
      <c r="I1992" s="6">
        <f>Tabela1[[#This Row],[Valor total]]-Tabela1[[#This Row],[Valor custo]]</f>
        <v>953.21</v>
      </c>
      <c r="J1992" s="7">
        <f>Tabela1[[#This Row],[MARGEM BRUTA]]/Tabela1[[#This Row],[Valor total]]</f>
        <v>0.46498048780487805</v>
      </c>
      <c r="K1992" s="1" t="str">
        <f>VLOOKUP(Tabela1[[#This Row],[Cliente]],'BASE DE CLIENTES'!A:D,4,0)</f>
        <v>EMPRESA SEM MAQUINA</v>
      </c>
      <c r="L1992" s="1" t="str">
        <f>VLOOKUP(Tabela1[[#This Row],[Cliente]],'BASE DE CLIENTES'!A:E,5,0)</f>
        <v>PONTE ALTA NORTE (GAMA)</v>
      </c>
    </row>
    <row r="1993" spans="2:12" x14ac:dyDescent="0.3">
      <c r="B1993" s="1" t="s">
        <v>266</v>
      </c>
      <c r="C1993" s="4" t="str">
        <f>VLOOKUP(Tabela1[[#This Row],[Cliente]],'BASE DE CLIENTES'!A:E,2,0)</f>
        <v>MERCADO LIVRE</v>
      </c>
      <c r="D1993" s="1" t="str">
        <f>VLOOKUP(Tabela1[[#This Row],[Cliente]],'BASE DE CLIENTES'!A:C,3,0)</f>
        <v>MERCADO LIVRE</v>
      </c>
      <c r="E1993" s="4" t="str">
        <f>CONCATENATE(Tabela1[[#This Row],[CIDADE]],",",Tabela1[[#This Row],[UF]])</f>
        <v>MERCADO LIVRE,MERCADO LIVRE</v>
      </c>
      <c r="F1993" s="2">
        <v>45733</v>
      </c>
      <c r="G1993" s="17">
        <v>20.88</v>
      </c>
      <c r="H1993" s="17">
        <v>50.54</v>
      </c>
      <c r="I1993" s="6">
        <f>Tabela1[[#This Row],[Valor total]]-Tabela1[[#This Row],[Valor custo]]</f>
        <v>29.66</v>
      </c>
      <c r="J1993" s="7">
        <f>Tabela1[[#This Row],[MARGEM BRUTA]]/Tabela1[[#This Row],[Valor total]]</f>
        <v>0.58686189157103286</v>
      </c>
      <c r="K1993" s="1" t="str">
        <f>VLOOKUP(Tabela1[[#This Row],[Cliente]],'BASE DE CLIENTES'!A:D,4,0)</f>
        <v>OUTROS RAMOS</v>
      </c>
      <c r="L1993" s="1" t="str">
        <f>VLOOKUP(Tabela1[[#This Row],[Cliente]],'BASE DE CLIENTES'!A:E,5,0)</f>
        <v>MERCADO LIVRE</v>
      </c>
    </row>
    <row r="1994" spans="2:12" x14ac:dyDescent="0.3">
      <c r="B1994" s="1" t="s">
        <v>266</v>
      </c>
      <c r="C1994" s="4" t="str">
        <f>VLOOKUP(Tabela1[[#This Row],[Cliente]],'BASE DE CLIENTES'!A:E,2,0)</f>
        <v>MERCADO LIVRE</v>
      </c>
      <c r="D1994" s="1" t="str">
        <f>VLOOKUP(Tabela1[[#This Row],[Cliente]],'BASE DE CLIENTES'!A:C,3,0)</f>
        <v>MERCADO LIVRE</v>
      </c>
      <c r="E1994" s="4" t="str">
        <f>CONCATENATE(Tabela1[[#This Row],[CIDADE]],",",Tabela1[[#This Row],[UF]])</f>
        <v>MERCADO LIVRE,MERCADO LIVRE</v>
      </c>
      <c r="F1994" s="2">
        <v>45733</v>
      </c>
      <c r="G1994" s="17">
        <v>167.8</v>
      </c>
      <c r="H1994" s="17">
        <v>231.7</v>
      </c>
      <c r="I1994" s="6">
        <f>Tabela1[[#This Row],[Valor total]]-Tabela1[[#This Row],[Valor custo]]</f>
        <v>63.899999999999977</v>
      </c>
      <c r="J1994" s="7">
        <f>Tabela1[[#This Row],[MARGEM BRUTA]]/Tabela1[[#This Row],[Valor total]]</f>
        <v>0.27578765645230896</v>
      </c>
      <c r="K1994" s="1" t="str">
        <f>VLOOKUP(Tabela1[[#This Row],[Cliente]],'BASE DE CLIENTES'!A:D,4,0)</f>
        <v>OUTROS RAMOS</v>
      </c>
      <c r="L1994" s="1" t="str">
        <f>VLOOKUP(Tabela1[[#This Row],[Cliente]],'BASE DE CLIENTES'!A:E,5,0)</f>
        <v>MERCADO LIVRE</v>
      </c>
    </row>
    <row r="1995" spans="2:12" x14ac:dyDescent="0.3">
      <c r="B1995" s="1" t="s">
        <v>52</v>
      </c>
      <c r="C1995" s="4" t="str">
        <f>VLOOKUP(Tabela1[[#This Row],[Cliente]],'BASE DE CLIENTES'!A:E,2,0)</f>
        <v>Brasília</v>
      </c>
      <c r="D1995" s="1" t="str">
        <f>VLOOKUP(Tabela1[[#This Row],[Cliente]],'BASE DE CLIENTES'!A:C,3,0)</f>
        <v>DF</v>
      </c>
      <c r="E1995" s="4" t="str">
        <f>CONCATENATE(Tabela1[[#This Row],[CIDADE]],",",Tabela1[[#This Row],[UF]])</f>
        <v>Brasília,DF</v>
      </c>
      <c r="F1995" s="2">
        <v>45890</v>
      </c>
      <c r="G1995" s="17">
        <v>389.51</v>
      </c>
      <c r="H1995" s="17">
        <v>675</v>
      </c>
      <c r="I1995" s="6">
        <f>Tabela1[[#This Row],[Valor total]]-Tabela1[[#This Row],[Valor custo]]</f>
        <v>285.49</v>
      </c>
      <c r="J1995" s="7">
        <f>Tabela1[[#This Row],[MARGEM BRUTA]]/Tabela1[[#This Row],[Valor total]]</f>
        <v>0.42294814814814818</v>
      </c>
      <c r="K1995" s="1" t="str">
        <f>VLOOKUP(Tabela1[[#This Row],[Cliente]],'BASE DE CLIENTES'!A:D,4,0)</f>
        <v>SERRALHEIRO</v>
      </c>
      <c r="L1995" s="1" t="str">
        <f>VLOOKUP(Tabela1[[#This Row],[Cliente]],'BASE DE CLIENTES'!A:E,5,0)</f>
        <v>Ceilândia Sul (Ceilândia)</v>
      </c>
    </row>
    <row r="1996" spans="2:12" x14ac:dyDescent="0.3">
      <c r="B1996" s="1" t="s">
        <v>55</v>
      </c>
      <c r="C1996" s="4" t="str">
        <f>VLOOKUP(Tabela1[[#This Row],[Cliente]],'BASE DE CLIENTES'!A:E,2,0)</f>
        <v>Brasília</v>
      </c>
      <c r="D1996" s="1" t="str">
        <f>VLOOKUP(Tabela1[[#This Row],[Cliente]],'BASE DE CLIENTES'!A:C,3,0)</f>
        <v>DF</v>
      </c>
      <c r="E1996" s="4" t="str">
        <f>CONCATENATE(Tabela1[[#This Row],[CIDADE]],",",Tabela1[[#This Row],[UF]])</f>
        <v>Brasília,DF</v>
      </c>
      <c r="F1996" s="2">
        <v>45890</v>
      </c>
      <c r="G1996" s="17">
        <v>865.58</v>
      </c>
      <c r="H1996" s="17">
        <v>1500</v>
      </c>
      <c r="I1996" s="6">
        <f>Tabela1[[#This Row],[Valor total]]-Tabela1[[#This Row],[Valor custo]]</f>
        <v>634.41999999999996</v>
      </c>
      <c r="J1996" s="7">
        <f>Tabela1[[#This Row],[MARGEM BRUTA]]/Tabela1[[#This Row],[Valor total]]</f>
        <v>0.42294666666666664</v>
      </c>
      <c r="K1996" s="1" t="str">
        <f>VLOOKUP(Tabela1[[#This Row],[Cliente]],'BASE DE CLIENTES'!A:D,4,0)</f>
        <v>EMPRESA SEM MAQUINA</v>
      </c>
      <c r="L1996" s="1" t="str">
        <f>VLOOKUP(Tabela1[[#This Row],[Cliente]],'BASE DE CLIENTES'!A:E,5,0)</f>
        <v>RECANTO DAS EMAS</v>
      </c>
    </row>
    <row r="1997" spans="2:12" x14ac:dyDescent="0.3">
      <c r="B1997" s="1" t="s">
        <v>111</v>
      </c>
      <c r="C1997" s="4" t="str">
        <f>VLOOKUP(Tabela1[[#This Row],[Cliente]],'BASE DE CLIENTES'!A:E,2,0)</f>
        <v>Brasília</v>
      </c>
      <c r="D1997" s="1" t="str">
        <f>VLOOKUP(Tabela1[[#This Row],[Cliente]],'BASE DE CLIENTES'!A:C,3,0)</f>
        <v>DF</v>
      </c>
      <c r="E1997" s="4" t="str">
        <f>CONCATENATE(Tabela1[[#This Row],[CIDADE]],",",Tabela1[[#This Row],[UF]])</f>
        <v>Brasília,DF</v>
      </c>
      <c r="F1997" s="2">
        <v>45890</v>
      </c>
      <c r="G1997" s="17">
        <v>2998.8</v>
      </c>
      <c r="H1997" s="17">
        <v>5290</v>
      </c>
      <c r="I1997" s="6">
        <f>Tabela1[[#This Row],[Valor total]]-Tabela1[[#This Row],[Valor custo]]</f>
        <v>2291.1999999999998</v>
      </c>
      <c r="J1997" s="7">
        <f>Tabela1[[#This Row],[MARGEM BRUTA]]/Tabela1[[#This Row],[Valor total]]</f>
        <v>0.43311909262759923</v>
      </c>
      <c r="K1997" s="1" t="str">
        <f>VLOOKUP(Tabela1[[#This Row],[Cliente]],'BASE DE CLIENTES'!A:D,4,0)</f>
        <v>EMPRESA SEM MAQUINA</v>
      </c>
      <c r="L1997" s="1" t="str">
        <f>VLOOKUP(Tabela1[[#This Row],[Cliente]],'BASE DE CLIENTES'!A:E,5,0)</f>
        <v>TAGUATINGA SUL (TAGUATINGA)</v>
      </c>
    </row>
    <row r="1998" spans="2:12" x14ac:dyDescent="0.3">
      <c r="B1998" s="1" t="s">
        <v>117</v>
      </c>
      <c r="C1998" s="4" t="str">
        <f>VLOOKUP(Tabela1[[#This Row],[Cliente]],'BASE DE CLIENTES'!A:E,2,0)</f>
        <v>Brasília</v>
      </c>
      <c r="D1998" s="1" t="str">
        <f>VLOOKUP(Tabela1[[#This Row],[Cliente]],'BASE DE CLIENTES'!A:C,3,0)</f>
        <v>DF</v>
      </c>
      <c r="E1998" s="4" t="str">
        <f>CONCATENATE(Tabela1[[#This Row],[CIDADE]],",",Tabela1[[#This Row],[UF]])</f>
        <v>Brasília,DF</v>
      </c>
      <c r="F1998" s="2">
        <v>45889</v>
      </c>
      <c r="G1998" s="17">
        <v>275</v>
      </c>
      <c r="H1998" s="17">
        <v>875</v>
      </c>
      <c r="I1998" s="6">
        <f>Tabela1[[#This Row],[Valor total]]-Tabela1[[#This Row],[Valor custo]]</f>
        <v>600</v>
      </c>
      <c r="J1998" s="7">
        <f>Tabela1[[#This Row],[MARGEM BRUTA]]/Tabela1[[#This Row],[Valor total]]</f>
        <v>0.68571428571428572</v>
      </c>
      <c r="K1998" s="1" t="str">
        <f>VLOOKUP(Tabela1[[#This Row],[Cliente]],'BASE DE CLIENTES'!A:D,4,0)</f>
        <v>EMPRESA COM MAQUINA</v>
      </c>
      <c r="L1998" s="1" t="str">
        <f>VLOOKUP(Tabela1[[#This Row],[Cliente]],'BASE DE CLIENTES'!A:E,5,0)</f>
        <v>SETOR HABITACIONAL ARNIQUEIRA (AGUAS CLARAS)</v>
      </c>
    </row>
    <row r="1999" spans="2:12" x14ac:dyDescent="0.3">
      <c r="B1999" s="1" t="s">
        <v>239</v>
      </c>
      <c r="C1999" s="4" t="str">
        <f>VLOOKUP(Tabela1[[#This Row],[Cliente]],'BASE DE CLIENTES'!A:E,2,0)</f>
        <v>Brasília</v>
      </c>
      <c r="D1999" s="1" t="str">
        <f>VLOOKUP(Tabela1[[#This Row],[Cliente]],'BASE DE CLIENTES'!A:C,3,0)</f>
        <v>DF</v>
      </c>
      <c r="E1999" s="4" t="str">
        <f>CONCATENATE(Tabela1[[#This Row],[CIDADE]],",",Tabela1[[#This Row],[UF]])</f>
        <v>Brasília,DF</v>
      </c>
      <c r="F1999" s="2">
        <v>45889</v>
      </c>
      <c r="G1999" s="17">
        <v>4702.8999999999996</v>
      </c>
      <c r="H1999" s="17">
        <v>6550</v>
      </c>
      <c r="I1999" s="6">
        <f>Tabela1[[#This Row],[Valor total]]-Tabela1[[#This Row],[Valor custo]]</f>
        <v>1847.1000000000004</v>
      </c>
      <c r="J1999" s="7">
        <f>Tabela1[[#This Row],[MARGEM BRUTA]]/Tabela1[[#This Row],[Valor total]]</f>
        <v>0.28200000000000003</v>
      </c>
      <c r="K1999" s="1" t="str">
        <f>VLOOKUP(Tabela1[[#This Row],[Cliente]],'BASE DE CLIENTES'!A:D,4,0)</f>
        <v>EMPRESA COM MAQUINA</v>
      </c>
      <c r="L1999" s="1" t="str">
        <f>VLOOKUP(Tabela1[[#This Row],[Cliente]],'BASE DE CLIENTES'!A:E,5,0)</f>
        <v>RIACHO FUNDO II</v>
      </c>
    </row>
    <row r="2000" spans="2:12" x14ac:dyDescent="0.3">
      <c r="B2000" s="1" t="s">
        <v>267</v>
      </c>
      <c r="C2000" s="4" t="str">
        <f>VLOOKUP(Tabela1[[#This Row],[Cliente]],'BASE DE CLIENTES'!A:E,2,0)</f>
        <v>Brasília</v>
      </c>
      <c r="D2000" s="1" t="str">
        <f>VLOOKUP(Tabela1[[#This Row],[Cliente]],'BASE DE CLIENTES'!A:C,3,0)</f>
        <v>DF</v>
      </c>
      <c r="E2000" s="4" t="str">
        <f>CONCATENATE(Tabela1[[#This Row],[CIDADE]],",",Tabela1[[#This Row],[UF]])</f>
        <v>Brasília,DF</v>
      </c>
      <c r="F2000" s="2">
        <v>45712</v>
      </c>
      <c r="G2000" s="17">
        <v>122.74</v>
      </c>
      <c r="H2000" s="17">
        <v>180</v>
      </c>
      <c r="I2000" s="6">
        <f>Tabela1[[#This Row],[Valor total]]-Tabela1[[#This Row],[Valor custo]]</f>
        <v>57.260000000000005</v>
      </c>
      <c r="J2000" s="7">
        <f>Tabela1[[#This Row],[MARGEM BRUTA]]/Tabela1[[#This Row],[Valor total]]</f>
        <v>0.31811111111111112</v>
      </c>
      <c r="K2000" s="1" t="str">
        <f>VLOOKUP(Tabela1[[#This Row],[Cliente]],'BASE DE CLIENTES'!A:D,4,0)</f>
        <v>SEM CLASSIFICAÇÃO</v>
      </c>
      <c r="L2000" s="1" t="str">
        <f>VLOOKUP(Tabela1[[#This Row],[Cliente]],'BASE DE CLIENTES'!A:E,5,0)</f>
        <v>TAGUATINGA NORTE</v>
      </c>
    </row>
    <row r="2001" spans="2:12" x14ac:dyDescent="0.3">
      <c r="B2001" s="1" t="s">
        <v>266</v>
      </c>
      <c r="C2001" s="4" t="str">
        <f>VLOOKUP(Tabela1[[#This Row],[Cliente]],'BASE DE CLIENTES'!A:E,2,0)</f>
        <v>MERCADO LIVRE</v>
      </c>
      <c r="D2001" s="1" t="str">
        <f>VLOOKUP(Tabela1[[#This Row],[Cliente]],'BASE DE CLIENTES'!A:C,3,0)</f>
        <v>MERCADO LIVRE</v>
      </c>
      <c r="E2001" s="4" t="str">
        <f>CONCATENATE(Tabela1[[#This Row],[CIDADE]],",",Tabela1[[#This Row],[UF]])</f>
        <v>MERCADO LIVRE,MERCADO LIVRE</v>
      </c>
      <c r="F2001" s="2">
        <v>45733</v>
      </c>
      <c r="G2001" s="17">
        <v>31.32</v>
      </c>
      <c r="H2001" s="17">
        <v>80.31</v>
      </c>
      <c r="I2001" s="6">
        <f>Tabela1[[#This Row],[Valor total]]-Tabela1[[#This Row],[Valor custo]]</f>
        <v>48.99</v>
      </c>
      <c r="J2001" s="7">
        <f>Tabela1[[#This Row],[MARGEM BRUTA]]/Tabela1[[#This Row],[Valor total]]</f>
        <v>0.61001120657452368</v>
      </c>
      <c r="K2001" s="1" t="str">
        <f>VLOOKUP(Tabela1[[#This Row],[Cliente]],'BASE DE CLIENTES'!A:D,4,0)</f>
        <v>OUTROS RAMOS</v>
      </c>
      <c r="L2001" s="1" t="str">
        <f>VLOOKUP(Tabela1[[#This Row],[Cliente]],'BASE DE CLIENTES'!A:E,5,0)</f>
        <v>MERCADO LIVRE</v>
      </c>
    </row>
    <row r="2002" spans="2:12" x14ac:dyDescent="0.3">
      <c r="B2002" s="1" t="s">
        <v>266</v>
      </c>
      <c r="C2002" s="4" t="str">
        <f>VLOOKUP(Tabela1[[#This Row],[Cliente]],'BASE DE CLIENTES'!A:E,2,0)</f>
        <v>MERCADO LIVRE</v>
      </c>
      <c r="D2002" s="1" t="str">
        <f>VLOOKUP(Tabela1[[#This Row],[Cliente]],'BASE DE CLIENTES'!A:C,3,0)</f>
        <v>MERCADO LIVRE</v>
      </c>
      <c r="E2002" s="4" t="str">
        <f>CONCATENATE(Tabela1[[#This Row],[CIDADE]],",",Tabela1[[#This Row],[UF]])</f>
        <v>MERCADO LIVRE,MERCADO LIVRE</v>
      </c>
      <c r="F2002" s="2">
        <v>45729</v>
      </c>
      <c r="G2002" s="17">
        <v>52.2</v>
      </c>
      <c r="H2002" s="17">
        <v>133.85</v>
      </c>
      <c r="I2002" s="6">
        <f>Tabela1[[#This Row],[Valor total]]-Tabela1[[#This Row],[Valor custo]]</f>
        <v>81.649999999999991</v>
      </c>
      <c r="J2002" s="7">
        <f>Tabela1[[#This Row],[MARGEM BRUTA]]/Tabela1[[#This Row],[Valor total]]</f>
        <v>0.61001120657452368</v>
      </c>
      <c r="K2002" s="1" t="str">
        <f>VLOOKUP(Tabela1[[#This Row],[Cliente]],'BASE DE CLIENTES'!A:D,4,0)</f>
        <v>OUTROS RAMOS</v>
      </c>
      <c r="L2002" s="1" t="str">
        <f>VLOOKUP(Tabela1[[#This Row],[Cliente]],'BASE DE CLIENTES'!A:E,5,0)</f>
        <v>MERCADO LIVRE</v>
      </c>
    </row>
    <row r="2003" spans="2:12" x14ac:dyDescent="0.3">
      <c r="B2003" s="1" t="s">
        <v>266</v>
      </c>
      <c r="C2003" s="4" t="str">
        <f>VLOOKUP(Tabela1[[#This Row],[Cliente]],'BASE DE CLIENTES'!A:E,2,0)</f>
        <v>MERCADO LIVRE</v>
      </c>
      <c r="D2003" s="1" t="str">
        <f>VLOOKUP(Tabela1[[#This Row],[Cliente]],'BASE DE CLIENTES'!A:C,3,0)</f>
        <v>MERCADO LIVRE</v>
      </c>
      <c r="E2003" s="4" t="str">
        <f>CONCATENATE(Tabela1[[#This Row],[CIDADE]],",",Tabela1[[#This Row],[UF]])</f>
        <v>MERCADO LIVRE,MERCADO LIVRE</v>
      </c>
      <c r="F2003" s="2">
        <v>45728</v>
      </c>
      <c r="G2003" s="17">
        <v>20.88</v>
      </c>
      <c r="H2003" s="17">
        <v>53.54</v>
      </c>
      <c r="I2003" s="6">
        <f>Tabela1[[#This Row],[Valor total]]-Tabela1[[#This Row],[Valor custo]]</f>
        <v>32.659999999999997</v>
      </c>
      <c r="J2003" s="7">
        <f>Tabela1[[#This Row],[MARGEM BRUTA]]/Tabela1[[#This Row],[Valor total]]</f>
        <v>0.61001120657452368</v>
      </c>
      <c r="K2003" s="1" t="str">
        <f>VLOOKUP(Tabela1[[#This Row],[Cliente]],'BASE DE CLIENTES'!A:D,4,0)</f>
        <v>OUTROS RAMOS</v>
      </c>
      <c r="L2003" s="1" t="str">
        <f>VLOOKUP(Tabela1[[#This Row],[Cliente]],'BASE DE CLIENTES'!A:E,5,0)</f>
        <v>MERCADO LIVRE</v>
      </c>
    </row>
    <row r="2004" spans="2:12" x14ac:dyDescent="0.3">
      <c r="B2004" s="1" t="s">
        <v>266</v>
      </c>
      <c r="C2004" s="4" t="str">
        <f>VLOOKUP(Tabela1[[#This Row],[Cliente]],'BASE DE CLIENTES'!A:E,2,0)</f>
        <v>MERCADO LIVRE</v>
      </c>
      <c r="D2004" s="1" t="str">
        <f>VLOOKUP(Tabela1[[#This Row],[Cliente]],'BASE DE CLIENTES'!A:C,3,0)</f>
        <v>MERCADO LIVRE</v>
      </c>
      <c r="E2004" s="4" t="str">
        <f>CONCATENATE(Tabela1[[#This Row],[CIDADE]],",",Tabela1[[#This Row],[UF]])</f>
        <v>MERCADO LIVRE,MERCADO LIVRE</v>
      </c>
      <c r="F2004" s="2">
        <v>45728</v>
      </c>
      <c r="G2004" s="17">
        <v>41.76</v>
      </c>
      <c r="H2004" s="17">
        <v>107.08</v>
      </c>
      <c r="I2004" s="6">
        <f>Tabela1[[#This Row],[Valor total]]-Tabela1[[#This Row],[Valor custo]]</f>
        <v>65.319999999999993</v>
      </c>
      <c r="J2004" s="7">
        <f>Tabela1[[#This Row],[MARGEM BRUTA]]/Tabela1[[#This Row],[Valor total]]</f>
        <v>0.61001120657452368</v>
      </c>
      <c r="K2004" s="1" t="str">
        <f>VLOOKUP(Tabela1[[#This Row],[Cliente]],'BASE DE CLIENTES'!A:D,4,0)</f>
        <v>OUTROS RAMOS</v>
      </c>
      <c r="L2004" s="1" t="str">
        <f>VLOOKUP(Tabela1[[#This Row],[Cliente]],'BASE DE CLIENTES'!A:E,5,0)</f>
        <v>MERCADO LIVRE</v>
      </c>
    </row>
    <row r="2005" spans="2:12" x14ac:dyDescent="0.3">
      <c r="B2005" s="1" t="s">
        <v>230</v>
      </c>
      <c r="C2005" s="4" t="str">
        <f>VLOOKUP(Tabela1[[#This Row],[Cliente]],'BASE DE CLIENTES'!A:E,2,0)</f>
        <v>Brasília</v>
      </c>
      <c r="D2005" s="1" t="str">
        <f>VLOOKUP(Tabela1[[#This Row],[Cliente]],'BASE DE CLIENTES'!A:C,3,0)</f>
        <v>DF</v>
      </c>
      <c r="E2005" s="4" t="str">
        <f>CONCATENATE(Tabela1[[#This Row],[CIDADE]],",",Tabela1[[#This Row],[UF]])</f>
        <v>Brasília,DF</v>
      </c>
      <c r="F2005" s="2">
        <v>45889</v>
      </c>
      <c r="G2005" s="17">
        <v>13.69</v>
      </c>
      <c r="H2005" s="17">
        <v>90</v>
      </c>
      <c r="I2005" s="6">
        <f>Tabela1[[#This Row],[Valor total]]-Tabela1[[#This Row],[Valor custo]]</f>
        <v>76.31</v>
      </c>
      <c r="J2005" s="7">
        <f>Tabela1[[#This Row],[MARGEM BRUTA]]/Tabela1[[#This Row],[Valor total]]</f>
        <v>0.84788888888888891</v>
      </c>
      <c r="K2005" s="1" t="str">
        <f>VLOOKUP(Tabela1[[#This Row],[Cliente]],'BASE DE CLIENTES'!A:D,4,0)</f>
        <v>SERRALHEIRO</v>
      </c>
      <c r="L2005" s="1" t="str">
        <f>VLOOKUP(Tabela1[[#This Row],[Cliente]],'BASE DE CLIENTES'!A:E,5,0)</f>
        <v>SETOR HABITACIONAL SAMAMBAIA (VICENTE PIRES)</v>
      </c>
    </row>
    <row r="2006" spans="2:12" x14ac:dyDescent="0.3">
      <c r="B2006" s="1" t="s">
        <v>266</v>
      </c>
      <c r="C2006" s="4" t="str">
        <f>VLOOKUP(Tabela1[[#This Row],[Cliente]],'BASE DE CLIENTES'!A:E,2,0)</f>
        <v>MERCADO LIVRE</v>
      </c>
      <c r="D2006" s="1" t="str">
        <f>VLOOKUP(Tabela1[[#This Row],[Cliente]],'BASE DE CLIENTES'!A:C,3,0)</f>
        <v>MERCADO LIVRE</v>
      </c>
      <c r="E2006" s="4" t="str">
        <f>CONCATENATE(Tabela1[[#This Row],[CIDADE]],",",Tabela1[[#This Row],[UF]])</f>
        <v>MERCADO LIVRE,MERCADO LIVRE</v>
      </c>
      <c r="F2006" s="2">
        <v>45921</v>
      </c>
      <c r="G2006" s="17">
        <v>24</v>
      </c>
      <c r="H2006" s="17">
        <v>15.25</v>
      </c>
      <c r="I2006" s="6">
        <f>Tabela1[[#This Row],[Valor total]]-Tabela1[[#This Row],[Valor custo]]</f>
        <v>-8.75</v>
      </c>
      <c r="J2006" s="7">
        <f>Tabela1[[#This Row],[MARGEM BRUTA]]/Tabela1[[#This Row],[Valor total]]</f>
        <v>-0.57377049180327866</v>
      </c>
      <c r="K2006" s="1" t="str">
        <f>VLOOKUP(Tabela1[[#This Row],[Cliente]],'BASE DE CLIENTES'!A:D,4,0)</f>
        <v>OUTROS RAMOS</v>
      </c>
      <c r="L2006" s="1" t="str">
        <f>VLOOKUP(Tabela1[[#This Row],[Cliente]],'BASE DE CLIENTES'!A:E,5,0)</f>
        <v>MERCADO LIVRE</v>
      </c>
    </row>
    <row r="2007" spans="2:12" x14ac:dyDescent="0.3">
      <c r="B2007" s="1" t="s">
        <v>27</v>
      </c>
      <c r="C2007" s="4" t="str">
        <f>VLOOKUP(Tabela1[[#This Row],[Cliente]],'BASE DE CLIENTES'!A:E,2,0)</f>
        <v>Brasília</v>
      </c>
      <c r="D2007" s="1" t="str">
        <f>VLOOKUP(Tabela1[[#This Row],[Cliente]],'BASE DE CLIENTES'!A:C,3,0)</f>
        <v>DF</v>
      </c>
      <c r="E2007" s="4" t="str">
        <f>CONCATENATE(Tabela1[[#This Row],[CIDADE]],",",Tabela1[[#This Row],[UF]])</f>
        <v>Brasília,DF</v>
      </c>
      <c r="F2007" s="2">
        <v>45889</v>
      </c>
      <c r="G2007" s="17">
        <v>450</v>
      </c>
      <c r="H2007" s="17">
        <v>750</v>
      </c>
      <c r="I2007" s="6">
        <f>Tabela1[[#This Row],[Valor total]]-Tabela1[[#This Row],[Valor custo]]</f>
        <v>300</v>
      </c>
      <c r="J2007" s="7">
        <f>Tabela1[[#This Row],[MARGEM BRUTA]]/Tabela1[[#This Row],[Valor total]]</f>
        <v>0.4</v>
      </c>
      <c r="K2007" s="1" t="str">
        <f>VLOOKUP(Tabela1[[#This Row],[Cliente]],'BASE DE CLIENTES'!A:D,4,0)</f>
        <v>EMPRESA SEM MAQUINA</v>
      </c>
      <c r="L2007" s="1" t="str">
        <f>VLOOKUP(Tabela1[[#This Row],[Cliente]],'BASE DE CLIENTES'!A:E,5,0)</f>
        <v>RECANTO DAS EMAS</v>
      </c>
    </row>
    <row r="2008" spans="2:12" x14ac:dyDescent="0.3">
      <c r="B2008" s="1" t="s">
        <v>266</v>
      </c>
      <c r="C2008" s="4" t="str">
        <f>VLOOKUP(Tabela1[[#This Row],[Cliente]],'BASE DE CLIENTES'!A:E,2,0)</f>
        <v>MERCADO LIVRE</v>
      </c>
      <c r="D2008" s="1" t="str">
        <f>VLOOKUP(Tabela1[[#This Row],[Cliente]],'BASE DE CLIENTES'!A:C,3,0)</f>
        <v>MERCADO LIVRE</v>
      </c>
      <c r="E2008" s="4" t="str">
        <f>CONCATENATE(Tabela1[[#This Row],[CIDADE]],",",Tabela1[[#This Row],[UF]])</f>
        <v>MERCADO LIVRE,MERCADO LIVRE</v>
      </c>
      <c r="F2008" s="2">
        <v>45921</v>
      </c>
      <c r="G2008" s="17">
        <v>24</v>
      </c>
      <c r="H2008" s="17">
        <v>15.25</v>
      </c>
      <c r="I2008" s="6">
        <f>Tabela1[[#This Row],[Valor total]]-Tabela1[[#This Row],[Valor custo]]</f>
        <v>-8.75</v>
      </c>
      <c r="J2008" s="7">
        <f>Tabela1[[#This Row],[MARGEM BRUTA]]/Tabela1[[#This Row],[Valor total]]</f>
        <v>-0.57377049180327866</v>
      </c>
      <c r="K2008" s="1" t="str">
        <f>VLOOKUP(Tabela1[[#This Row],[Cliente]],'BASE DE CLIENTES'!A:D,4,0)</f>
        <v>OUTROS RAMOS</v>
      </c>
      <c r="L2008" s="1" t="str">
        <f>VLOOKUP(Tabela1[[#This Row],[Cliente]],'BASE DE CLIENTES'!A:E,5,0)</f>
        <v>MERCADO LIVRE</v>
      </c>
    </row>
    <row r="2009" spans="2:12" x14ac:dyDescent="0.3">
      <c r="B2009" s="1" t="s">
        <v>266</v>
      </c>
      <c r="C2009" s="4" t="str">
        <f>VLOOKUP(Tabela1[[#This Row],[Cliente]],'BASE DE CLIENTES'!A:E,2,0)</f>
        <v>MERCADO LIVRE</v>
      </c>
      <c r="D2009" s="1" t="str">
        <f>VLOOKUP(Tabela1[[#This Row],[Cliente]],'BASE DE CLIENTES'!A:C,3,0)</f>
        <v>MERCADO LIVRE</v>
      </c>
      <c r="E2009" s="4" t="str">
        <f>CONCATENATE(Tabela1[[#This Row],[CIDADE]],",",Tabela1[[#This Row],[UF]])</f>
        <v>MERCADO LIVRE,MERCADO LIVRE</v>
      </c>
      <c r="F2009" s="2">
        <v>45919</v>
      </c>
      <c r="G2009" s="17">
        <v>7.21</v>
      </c>
      <c r="H2009" s="17">
        <v>35.97</v>
      </c>
      <c r="I2009" s="6">
        <f>Tabela1[[#This Row],[Valor total]]-Tabela1[[#This Row],[Valor custo]]</f>
        <v>28.759999999999998</v>
      </c>
      <c r="J2009" s="7">
        <f>Tabela1[[#This Row],[MARGEM BRUTA]]/Tabela1[[#This Row],[Valor total]]</f>
        <v>0.79955518487628574</v>
      </c>
      <c r="K2009" s="1" t="str">
        <f>VLOOKUP(Tabela1[[#This Row],[Cliente]],'BASE DE CLIENTES'!A:D,4,0)</f>
        <v>OUTROS RAMOS</v>
      </c>
      <c r="L2009" s="1" t="str">
        <f>VLOOKUP(Tabela1[[#This Row],[Cliente]],'BASE DE CLIENTES'!A:E,5,0)</f>
        <v>MERCADO LIVRE</v>
      </c>
    </row>
    <row r="2010" spans="2:12" x14ac:dyDescent="0.3">
      <c r="B2010" s="1" t="s">
        <v>101</v>
      </c>
      <c r="C2010" s="4" t="str">
        <f>VLOOKUP(Tabela1[[#This Row],[Cliente]],'BASE DE CLIENTES'!A:E,2,0)</f>
        <v>Brasília</v>
      </c>
      <c r="D2010" s="1" t="str">
        <f>VLOOKUP(Tabela1[[#This Row],[Cliente]],'BASE DE CLIENTES'!A:C,3,0)</f>
        <v>DF</v>
      </c>
      <c r="E2010" s="4" t="str">
        <f>CONCATENATE(Tabela1[[#This Row],[CIDADE]],",",Tabela1[[#This Row],[UF]])</f>
        <v>Brasília,DF</v>
      </c>
      <c r="F2010" s="2">
        <v>45889</v>
      </c>
      <c r="G2010" s="17">
        <v>900.6</v>
      </c>
      <c r="H2010" s="17">
        <v>1850</v>
      </c>
      <c r="I2010" s="6">
        <f>Tabela1[[#This Row],[Valor total]]-Tabela1[[#This Row],[Valor custo]]</f>
        <v>949.4</v>
      </c>
      <c r="J2010" s="7">
        <f>Tabela1[[#This Row],[MARGEM BRUTA]]/Tabela1[[#This Row],[Valor total]]</f>
        <v>0.51318918918918921</v>
      </c>
      <c r="K2010" s="1" t="str">
        <f>VLOOKUP(Tabela1[[#This Row],[Cliente]],'BASE DE CLIENTES'!A:D,4,0)</f>
        <v>SERRALHEIRO</v>
      </c>
      <c r="L2010" s="1" t="str">
        <f>VLOOKUP(Tabela1[[#This Row],[Cliente]],'BASE DE CLIENTES'!A:E,5,0)</f>
        <v>TAGUATINGA SUL (TAGUATINGA)</v>
      </c>
    </row>
    <row r="2011" spans="2:12" x14ac:dyDescent="0.3">
      <c r="B2011" s="1" t="s">
        <v>42</v>
      </c>
      <c r="C2011" s="4" t="str">
        <f>VLOOKUP(Tabela1[[#This Row],[Cliente]],'BASE DE CLIENTES'!A:E,2,0)</f>
        <v>Brasília</v>
      </c>
      <c r="D2011" s="1" t="str">
        <f>VLOOKUP(Tabela1[[#This Row],[Cliente]],'BASE DE CLIENTES'!A:C,3,0)</f>
        <v>DF</v>
      </c>
      <c r="E2011" s="4" t="str">
        <f>CONCATENATE(Tabela1[[#This Row],[CIDADE]],",",Tabela1[[#This Row],[UF]])</f>
        <v>Brasília,DF</v>
      </c>
      <c r="F2011" s="2">
        <v>45889</v>
      </c>
      <c r="G2011" s="17">
        <v>447.21</v>
      </c>
      <c r="H2011" s="17">
        <v>715</v>
      </c>
      <c r="I2011" s="6">
        <f>Tabela1[[#This Row],[Valor total]]-Tabela1[[#This Row],[Valor custo]]</f>
        <v>267.79000000000002</v>
      </c>
      <c r="J2011" s="7">
        <f>Tabela1[[#This Row],[MARGEM BRUTA]]/Tabela1[[#This Row],[Valor total]]</f>
        <v>0.37453146853146857</v>
      </c>
      <c r="K2011" s="1" t="str">
        <f>VLOOKUP(Tabela1[[#This Row],[Cliente]],'BASE DE CLIENTES'!A:D,4,0)</f>
        <v>EMPRESA SEM MAQUINA</v>
      </c>
      <c r="L2011" s="1" t="str">
        <f>VLOOKUP(Tabela1[[#This Row],[Cliente]],'BASE DE CLIENTES'!A:E,5,0)</f>
        <v>SAMAMBAIA</v>
      </c>
    </row>
    <row r="2012" spans="2:12" x14ac:dyDescent="0.3">
      <c r="B2012" s="1" t="s">
        <v>266</v>
      </c>
      <c r="C2012" s="4" t="str">
        <f>VLOOKUP(Tabela1[[#This Row],[Cliente]],'BASE DE CLIENTES'!A:E,2,0)</f>
        <v>MERCADO LIVRE</v>
      </c>
      <c r="D2012" s="1" t="str">
        <f>VLOOKUP(Tabela1[[#This Row],[Cliente]],'BASE DE CLIENTES'!A:C,3,0)</f>
        <v>MERCADO LIVRE</v>
      </c>
      <c r="E2012" s="4" t="str">
        <f>CONCATENATE(Tabela1[[#This Row],[CIDADE]],",",Tabela1[[#This Row],[UF]])</f>
        <v>MERCADO LIVRE,MERCADO LIVRE</v>
      </c>
      <c r="F2012" s="2">
        <v>45919</v>
      </c>
      <c r="G2012" s="17">
        <v>24</v>
      </c>
      <c r="H2012" s="17">
        <v>15.25</v>
      </c>
      <c r="I2012" s="6">
        <f>Tabela1[[#This Row],[Valor total]]-Tabela1[[#This Row],[Valor custo]]</f>
        <v>-8.75</v>
      </c>
      <c r="J2012" s="7">
        <f>Tabela1[[#This Row],[MARGEM BRUTA]]/Tabela1[[#This Row],[Valor total]]</f>
        <v>-0.57377049180327866</v>
      </c>
      <c r="K2012" s="1" t="str">
        <f>VLOOKUP(Tabela1[[#This Row],[Cliente]],'BASE DE CLIENTES'!A:D,4,0)</f>
        <v>OUTROS RAMOS</v>
      </c>
      <c r="L2012" s="1" t="str">
        <f>VLOOKUP(Tabela1[[#This Row],[Cliente]],'BASE DE CLIENTES'!A:E,5,0)</f>
        <v>MERCADO LIVRE</v>
      </c>
    </row>
    <row r="2013" spans="2:12" x14ac:dyDescent="0.3">
      <c r="B2013" s="1" t="s">
        <v>266</v>
      </c>
      <c r="C2013" s="4" t="str">
        <f>VLOOKUP(Tabela1[[#This Row],[Cliente]],'BASE DE CLIENTES'!A:E,2,0)</f>
        <v>MERCADO LIVRE</v>
      </c>
      <c r="D2013" s="1" t="str">
        <f>VLOOKUP(Tabela1[[#This Row],[Cliente]],'BASE DE CLIENTES'!A:C,3,0)</f>
        <v>MERCADO LIVRE</v>
      </c>
      <c r="E2013" s="4" t="str">
        <f>CONCATENATE(Tabela1[[#This Row],[CIDADE]],",",Tabela1[[#This Row],[UF]])</f>
        <v>MERCADO LIVRE,MERCADO LIVRE</v>
      </c>
      <c r="F2013" s="2">
        <v>45919</v>
      </c>
      <c r="G2013" s="17">
        <v>67.12</v>
      </c>
      <c r="H2013" s="17">
        <v>116.12</v>
      </c>
      <c r="I2013" s="6">
        <f>Tabela1[[#This Row],[Valor total]]-Tabela1[[#This Row],[Valor custo]]</f>
        <v>49</v>
      </c>
      <c r="J2013" s="7">
        <f>Tabela1[[#This Row],[MARGEM BRUTA]]/Tabela1[[#This Row],[Valor total]]</f>
        <v>0.42197726489838094</v>
      </c>
      <c r="K2013" s="1" t="str">
        <f>VLOOKUP(Tabela1[[#This Row],[Cliente]],'BASE DE CLIENTES'!A:D,4,0)</f>
        <v>OUTROS RAMOS</v>
      </c>
      <c r="L2013" s="1" t="str">
        <f>VLOOKUP(Tabela1[[#This Row],[Cliente]],'BASE DE CLIENTES'!A:E,5,0)</f>
        <v>MERCADO LIVRE</v>
      </c>
    </row>
    <row r="2014" spans="2:12" x14ac:dyDescent="0.3">
      <c r="B2014" s="1" t="s">
        <v>266</v>
      </c>
      <c r="C2014" s="4" t="str">
        <f>VLOOKUP(Tabela1[[#This Row],[Cliente]],'BASE DE CLIENTES'!A:E,2,0)</f>
        <v>MERCADO LIVRE</v>
      </c>
      <c r="D2014" s="1" t="str">
        <f>VLOOKUP(Tabela1[[#This Row],[Cliente]],'BASE DE CLIENTES'!A:C,3,0)</f>
        <v>MERCADO LIVRE</v>
      </c>
      <c r="E2014" s="4" t="str">
        <f>CONCATENATE(Tabela1[[#This Row],[CIDADE]],",",Tabela1[[#This Row],[UF]])</f>
        <v>MERCADO LIVRE,MERCADO LIVRE</v>
      </c>
      <c r="F2014" s="2">
        <v>45919</v>
      </c>
      <c r="G2014" s="17">
        <v>24</v>
      </c>
      <c r="H2014" s="17">
        <v>15.25</v>
      </c>
      <c r="I2014" s="6">
        <f>Tabela1[[#This Row],[Valor total]]-Tabela1[[#This Row],[Valor custo]]</f>
        <v>-8.75</v>
      </c>
      <c r="J2014" s="7">
        <f>Tabela1[[#This Row],[MARGEM BRUTA]]/Tabela1[[#This Row],[Valor total]]</f>
        <v>-0.57377049180327866</v>
      </c>
      <c r="K2014" s="1" t="str">
        <f>VLOOKUP(Tabela1[[#This Row],[Cliente]],'BASE DE CLIENTES'!A:D,4,0)</f>
        <v>OUTROS RAMOS</v>
      </c>
      <c r="L2014" s="1" t="str">
        <f>VLOOKUP(Tabela1[[#This Row],[Cliente]],'BASE DE CLIENTES'!A:E,5,0)</f>
        <v>MERCADO LIVRE</v>
      </c>
    </row>
    <row r="2015" spans="2:12" x14ac:dyDescent="0.3">
      <c r="B2015" s="1" t="s">
        <v>55</v>
      </c>
      <c r="C2015" s="4" t="str">
        <f>VLOOKUP(Tabela1[[#This Row],[Cliente]],'BASE DE CLIENTES'!A:E,2,0)</f>
        <v>Brasília</v>
      </c>
      <c r="D2015" s="1" t="str">
        <f>VLOOKUP(Tabela1[[#This Row],[Cliente]],'BASE DE CLIENTES'!A:C,3,0)</f>
        <v>DF</v>
      </c>
      <c r="E2015" s="4" t="str">
        <f>CONCATENATE(Tabela1[[#This Row],[CIDADE]],",",Tabela1[[#This Row],[UF]])</f>
        <v>Brasília,DF</v>
      </c>
      <c r="F2015" s="2">
        <v>45888</v>
      </c>
      <c r="G2015" s="17">
        <v>2089</v>
      </c>
      <c r="H2015" s="17">
        <v>4700</v>
      </c>
      <c r="I2015" s="6">
        <f>Tabela1[[#This Row],[Valor total]]-Tabela1[[#This Row],[Valor custo]]</f>
        <v>2611</v>
      </c>
      <c r="J2015" s="7">
        <f>Tabela1[[#This Row],[MARGEM BRUTA]]/Tabela1[[#This Row],[Valor total]]</f>
        <v>0.55553191489361697</v>
      </c>
      <c r="K2015" s="1" t="str">
        <f>VLOOKUP(Tabela1[[#This Row],[Cliente]],'BASE DE CLIENTES'!A:D,4,0)</f>
        <v>EMPRESA SEM MAQUINA</v>
      </c>
      <c r="L2015" s="1" t="str">
        <f>VLOOKUP(Tabela1[[#This Row],[Cliente]],'BASE DE CLIENTES'!A:E,5,0)</f>
        <v>RECANTO DAS EMAS</v>
      </c>
    </row>
    <row r="2016" spans="2:12" x14ac:dyDescent="0.3">
      <c r="B2016" s="1" t="s">
        <v>55</v>
      </c>
      <c r="C2016" s="4" t="str">
        <f>VLOOKUP(Tabela1[[#This Row],[Cliente]],'BASE DE CLIENTES'!A:E,2,0)</f>
        <v>Brasília</v>
      </c>
      <c r="D2016" s="1" t="str">
        <f>VLOOKUP(Tabela1[[#This Row],[Cliente]],'BASE DE CLIENTES'!A:C,3,0)</f>
        <v>DF</v>
      </c>
      <c r="E2016" s="4" t="str">
        <f>CONCATENATE(Tabela1[[#This Row],[CIDADE]],",",Tabela1[[#This Row],[UF]])</f>
        <v>Brasília,DF</v>
      </c>
      <c r="F2016" s="2">
        <v>45888</v>
      </c>
      <c r="G2016" s="17">
        <v>117.7</v>
      </c>
      <c r="H2016" s="17">
        <v>340</v>
      </c>
      <c r="I2016" s="6">
        <f>Tabela1[[#This Row],[Valor total]]-Tabela1[[#This Row],[Valor custo]]</f>
        <v>222.3</v>
      </c>
      <c r="J2016" s="7">
        <f>Tabela1[[#This Row],[MARGEM BRUTA]]/Tabela1[[#This Row],[Valor total]]</f>
        <v>0.65382352941176469</v>
      </c>
      <c r="K2016" s="1" t="str">
        <f>VLOOKUP(Tabela1[[#This Row],[Cliente]],'BASE DE CLIENTES'!A:D,4,0)</f>
        <v>EMPRESA SEM MAQUINA</v>
      </c>
      <c r="L2016" s="1" t="str">
        <f>VLOOKUP(Tabela1[[#This Row],[Cliente]],'BASE DE CLIENTES'!A:E,5,0)</f>
        <v>RECANTO DAS EMAS</v>
      </c>
    </row>
    <row r="2017" spans="2:12" x14ac:dyDescent="0.3">
      <c r="B2017" s="1" t="s">
        <v>266</v>
      </c>
      <c r="C2017" s="4" t="str">
        <f>VLOOKUP(Tabela1[[#This Row],[Cliente]],'BASE DE CLIENTES'!A:E,2,0)</f>
        <v>MERCADO LIVRE</v>
      </c>
      <c r="D2017" s="1" t="str">
        <f>VLOOKUP(Tabela1[[#This Row],[Cliente]],'BASE DE CLIENTES'!A:C,3,0)</f>
        <v>MERCADO LIVRE</v>
      </c>
      <c r="E2017" s="4" t="str">
        <f>CONCATENATE(Tabela1[[#This Row],[CIDADE]],",",Tabela1[[#This Row],[UF]])</f>
        <v>MERCADO LIVRE,MERCADO LIVRE</v>
      </c>
      <c r="F2017" s="2">
        <v>45918</v>
      </c>
      <c r="G2017" s="17">
        <v>24</v>
      </c>
      <c r="H2017" s="17">
        <v>15.25</v>
      </c>
      <c r="I2017" s="6">
        <f>Tabela1[[#This Row],[Valor total]]-Tabela1[[#This Row],[Valor custo]]</f>
        <v>-8.75</v>
      </c>
      <c r="J2017" s="7">
        <f>Tabela1[[#This Row],[MARGEM BRUTA]]/Tabela1[[#This Row],[Valor total]]</f>
        <v>-0.57377049180327866</v>
      </c>
      <c r="K2017" s="1" t="str">
        <f>VLOOKUP(Tabela1[[#This Row],[Cliente]],'BASE DE CLIENTES'!A:D,4,0)</f>
        <v>OUTROS RAMOS</v>
      </c>
      <c r="L2017" s="1" t="str">
        <f>VLOOKUP(Tabela1[[#This Row],[Cliente]],'BASE DE CLIENTES'!A:E,5,0)</f>
        <v>MERCADO LIVRE</v>
      </c>
    </row>
    <row r="2018" spans="2:12" x14ac:dyDescent="0.3">
      <c r="B2018" s="1" t="s">
        <v>266</v>
      </c>
      <c r="C2018" s="4" t="str">
        <f>VLOOKUP(Tabela1[[#This Row],[Cliente]],'BASE DE CLIENTES'!A:E,2,0)</f>
        <v>MERCADO LIVRE</v>
      </c>
      <c r="D2018" s="1" t="str">
        <f>VLOOKUP(Tabela1[[#This Row],[Cliente]],'BASE DE CLIENTES'!A:C,3,0)</f>
        <v>MERCADO LIVRE</v>
      </c>
      <c r="E2018" s="4" t="str">
        <f>CONCATENATE(Tabela1[[#This Row],[CIDADE]],",",Tabela1[[#This Row],[UF]])</f>
        <v>MERCADO LIVRE,MERCADO LIVRE</v>
      </c>
      <c r="F2018" s="2">
        <v>45919</v>
      </c>
      <c r="G2018" s="17">
        <v>96</v>
      </c>
      <c r="H2018" s="17">
        <v>61</v>
      </c>
      <c r="I2018" s="6">
        <f>Tabela1[[#This Row],[Valor total]]-Tabela1[[#This Row],[Valor custo]]</f>
        <v>-35</v>
      </c>
      <c r="J2018" s="7">
        <f>Tabela1[[#This Row],[MARGEM BRUTA]]/Tabela1[[#This Row],[Valor total]]</f>
        <v>-0.57377049180327866</v>
      </c>
      <c r="K2018" s="1" t="str">
        <f>VLOOKUP(Tabela1[[#This Row],[Cliente]],'BASE DE CLIENTES'!A:D,4,0)</f>
        <v>OUTROS RAMOS</v>
      </c>
      <c r="L2018" s="1" t="str">
        <f>VLOOKUP(Tabela1[[#This Row],[Cliente]],'BASE DE CLIENTES'!A:E,5,0)</f>
        <v>MERCADO LIVRE</v>
      </c>
    </row>
    <row r="2019" spans="2:12" x14ac:dyDescent="0.3">
      <c r="B2019" s="1" t="s">
        <v>266</v>
      </c>
      <c r="C2019" s="4" t="str">
        <f>VLOOKUP(Tabela1[[#This Row],[Cliente]],'BASE DE CLIENTES'!A:E,2,0)</f>
        <v>MERCADO LIVRE</v>
      </c>
      <c r="D2019" s="1" t="str">
        <f>VLOOKUP(Tabela1[[#This Row],[Cliente]],'BASE DE CLIENTES'!A:C,3,0)</f>
        <v>MERCADO LIVRE</v>
      </c>
      <c r="E2019" s="4" t="str">
        <f>CONCATENATE(Tabela1[[#This Row],[CIDADE]],",",Tabela1[[#This Row],[UF]])</f>
        <v>MERCADO LIVRE,MERCADO LIVRE</v>
      </c>
      <c r="F2019" s="2">
        <v>45919</v>
      </c>
      <c r="G2019" s="17">
        <v>100.68</v>
      </c>
      <c r="H2019" s="17">
        <v>187.05</v>
      </c>
      <c r="I2019" s="6">
        <f>Tabela1[[#This Row],[Valor total]]-Tabela1[[#This Row],[Valor custo]]</f>
        <v>86.37</v>
      </c>
      <c r="J2019" s="7">
        <f>Tabela1[[#This Row],[MARGEM BRUTA]]/Tabela1[[#This Row],[Valor total]]</f>
        <v>0.46174819566960706</v>
      </c>
      <c r="K2019" s="1" t="str">
        <f>VLOOKUP(Tabela1[[#This Row],[Cliente]],'BASE DE CLIENTES'!A:D,4,0)</f>
        <v>OUTROS RAMOS</v>
      </c>
      <c r="L2019" s="1" t="str">
        <f>VLOOKUP(Tabela1[[#This Row],[Cliente]],'BASE DE CLIENTES'!A:E,5,0)</f>
        <v>MERCADO LIVRE</v>
      </c>
    </row>
    <row r="2020" spans="2:12" x14ac:dyDescent="0.3">
      <c r="B2020" s="1" t="s">
        <v>42</v>
      </c>
      <c r="C2020" s="4" t="str">
        <f>VLOOKUP(Tabela1[[#This Row],[Cliente]],'BASE DE CLIENTES'!A:E,2,0)</f>
        <v>Brasília</v>
      </c>
      <c r="D2020" s="1" t="str">
        <f>VLOOKUP(Tabela1[[#This Row],[Cliente]],'BASE DE CLIENTES'!A:C,3,0)</f>
        <v>DF</v>
      </c>
      <c r="E2020" s="4" t="str">
        <f>CONCATENATE(Tabela1[[#This Row],[CIDADE]],",",Tabela1[[#This Row],[UF]])</f>
        <v>Brasília,DF</v>
      </c>
      <c r="F2020" s="2">
        <v>45888</v>
      </c>
      <c r="G2020" s="17">
        <v>455</v>
      </c>
      <c r="H2020" s="17">
        <v>750</v>
      </c>
      <c r="I2020" s="6">
        <f>Tabela1[[#This Row],[Valor total]]-Tabela1[[#This Row],[Valor custo]]</f>
        <v>295</v>
      </c>
      <c r="J2020" s="7">
        <f>Tabela1[[#This Row],[MARGEM BRUTA]]/Tabela1[[#This Row],[Valor total]]</f>
        <v>0.39333333333333331</v>
      </c>
      <c r="K2020" s="1" t="str">
        <f>VLOOKUP(Tabela1[[#This Row],[Cliente]],'BASE DE CLIENTES'!A:D,4,0)</f>
        <v>EMPRESA SEM MAQUINA</v>
      </c>
      <c r="L2020" s="1" t="str">
        <f>VLOOKUP(Tabela1[[#This Row],[Cliente]],'BASE DE CLIENTES'!A:E,5,0)</f>
        <v>SAMAMBAIA</v>
      </c>
    </row>
    <row r="2021" spans="2:12" x14ac:dyDescent="0.3">
      <c r="B2021" s="1" t="s">
        <v>266</v>
      </c>
      <c r="C2021" s="4" t="str">
        <f>VLOOKUP(Tabela1[[#This Row],[Cliente]],'BASE DE CLIENTES'!A:E,2,0)</f>
        <v>MERCADO LIVRE</v>
      </c>
      <c r="D2021" s="1" t="str">
        <f>VLOOKUP(Tabela1[[#This Row],[Cliente]],'BASE DE CLIENTES'!A:C,3,0)</f>
        <v>MERCADO LIVRE</v>
      </c>
      <c r="E2021" s="4" t="str">
        <f>CONCATENATE(Tabela1[[#This Row],[CIDADE]],",",Tabela1[[#This Row],[UF]])</f>
        <v>MERCADO LIVRE,MERCADO LIVRE</v>
      </c>
      <c r="F2021" s="2">
        <v>45919</v>
      </c>
      <c r="G2021" s="17">
        <v>100.68</v>
      </c>
      <c r="H2021" s="17">
        <v>187.05</v>
      </c>
      <c r="I2021" s="6">
        <f>Tabela1[[#This Row],[Valor total]]-Tabela1[[#This Row],[Valor custo]]</f>
        <v>86.37</v>
      </c>
      <c r="J2021" s="7">
        <f>Tabela1[[#This Row],[MARGEM BRUTA]]/Tabela1[[#This Row],[Valor total]]</f>
        <v>0.46174819566960706</v>
      </c>
      <c r="K2021" s="1" t="str">
        <f>VLOOKUP(Tabela1[[#This Row],[Cliente]],'BASE DE CLIENTES'!A:D,4,0)</f>
        <v>OUTROS RAMOS</v>
      </c>
      <c r="L2021" s="1" t="str">
        <f>VLOOKUP(Tabela1[[#This Row],[Cliente]],'BASE DE CLIENTES'!A:E,5,0)</f>
        <v>MERCADO LIVRE</v>
      </c>
    </row>
    <row r="2022" spans="2:12" x14ac:dyDescent="0.3">
      <c r="B2022" s="1" t="s">
        <v>27</v>
      </c>
      <c r="C2022" s="4" t="str">
        <f>VLOOKUP(Tabela1[[#This Row],[Cliente]],'BASE DE CLIENTES'!A:E,2,0)</f>
        <v>Brasília</v>
      </c>
      <c r="D2022" s="1" t="str">
        <f>VLOOKUP(Tabela1[[#This Row],[Cliente]],'BASE DE CLIENTES'!A:C,3,0)</f>
        <v>DF</v>
      </c>
      <c r="E2022" s="4" t="str">
        <f>CONCATENATE(Tabela1[[#This Row],[CIDADE]],",",Tabela1[[#This Row],[UF]])</f>
        <v>Brasília,DF</v>
      </c>
      <c r="F2022" s="2">
        <v>45888</v>
      </c>
      <c r="G2022" s="17">
        <v>953.26</v>
      </c>
      <c r="H2022" s="17">
        <v>1700</v>
      </c>
      <c r="I2022" s="6">
        <f>Tabela1[[#This Row],[Valor total]]-Tabela1[[#This Row],[Valor custo]]</f>
        <v>746.74</v>
      </c>
      <c r="J2022" s="7">
        <f>Tabela1[[#This Row],[MARGEM BRUTA]]/Tabela1[[#This Row],[Valor total]]</f>
        <v>0.43925882352941176</v>
      </c>
      <c r="K2022" s="1" t="str">
        <f>VLOOKUP(Tabela1[[#This Row],[Cliente]],'BASE DE CLIENTES'!A:D,4,0)</f>
        <v>EMPRESA SEM MAQUINA</v>
      </c>
      <c r="L2022" s="1" t="str">
        <f>VLOOKUP(Tabela1[[#This Row],[Cliente]],'BASE DE CLIENTES'!A:E,5,0)</f>
        <v>RECANTO DAS EMAS</v>
      </c>
    </row>
    <row r="2023" spans="2:12" x14ac:dyDescent="0.3">
      <c r="B2023" s="1" t="s">
        <v>141</v>
      </c>
      <c r="C2023" s="4" t="str">
        <f>VLOOKUP(Tabela1[[#This Row],[Cliente]],'BASE DE CLIENTES'!A:E,2,0)</f>
        <v>Brasília</v>
      </c>
      <c r="D2023" s="1" t="str">
        <f>VLOOKUP(Tabela1[[#This Row],[Cliente]],'BASE DE CLIENTES'!A:C,3,0)</f>
        <v>DF</v>
      </c>
      <c r="E2023" s="4" t="str">
        <f>CONCATENATE(Tabela1[[#This Row],[CIDADE]],",",Tabela1[[#This Row],[UF]])</f>
        <v>Brasília,DF</v>
      </c>
      <c r="F2023" s="2">
        <v>45888</v>
      </c>
      <c r="G2023" s="17">
        <v>4027.97</v>
      </c>
      <c r="H2023" s="17">
        <v>6045</v>
      </c>
      <c r="I2023" s="6">
        <f>Tabela1[[#This Row],[Valor total]]-Tabela1[[#This Row],[Valor custo]]</f>
        <v>2017.0300000000002</v>
      </c>
      <c r="J2023" s="7">
        <f>Tabela1[[#This Row],[MARGEM BRUTA]]/Tabela1[[#This Row],[Valor total]]</f>
        <v>0.33366914805624487</v>
      </c>
      <c r="K2023" s="1" t="str">
        <f>VLOOKUP(Tabela1[[#This Row],[Cliente]],'BASE DE CLIENTES'!A:D,4,0)</f>
        <v>EMPRESA COM MAQUINA</v>
      </c>
      <c r="L2023" s="1" t="str">
        <f>VLOOKUP(Tabela1[[#This Row],[Cliente]],'BASE DE CLIENTES'!A:E,5,0)</f>
        <v>TAGUATINGA</v>
      </c>
    </row>
    <row r="2024" spans="2:12" x14ac:dyDescent="0.3">
      <c r="B2024" s="1" t="s">
        <v>266</v>
      </c>
      <c r="C2024" s="4" t="str">
        <f>VLOOKUP(Tabela1[[#This Row],[Cliente]],'BASE DE CLIENTES'!A:E,2,0)</f>
        <v>MERCADO LIVRE</v>
      </c>
      <c r="D2024" s="1" t="str">
        <f>VLOOKUP(Tabela1[[#This Row],[Cliente]],'BASE DE CLIENTES'!A:C,3,0)</f>
        <v>MERCADO LIVRE</v>
      </c>
      <c r="E2024" s="4" t="str">
        <f>CONCATENATE(Tabela1[[#This Row],[CIDADE]],",",Tabela1[[#This Row],[UF]])</f>
        <v>MERCADO LIVRE,MERCADO LIVRE</v>
      </c>
      <c r="F2024" s="2">
        <v>45918</v>
      </c>
      <c r="G2024" s="17">
        <v>24</v>
      </c>
      <c r="H2024" s="17">
        <v>15.25</v>
      </c>
      <c r="I2024" s="6">
        <f>Tabela1[[#This Row],[Valor total]]-Tabela1[[#This Row],[Valor custo]]</f>
        <v>-8.75</v>
      </c>
      <c r="J2024" s="7">
        <f>Tabela1[[#This Row],[MARGEM BRUTA]]/Tabela1[[#This Row],[Valor total]]</f>
        <v>-0.57377049180327866</v>
      </c>
      <c r="K2024" s="1" t="str">
        <f>VLOOKUP(Tabela1[[#This Row],[Cliente]],'BASE DE CLIENTES'!A:D,4,0)</f>
        <v>OUTROS RAMOS</v>
      </c>
      <c r="L2024" s="1" t="str">
        <f>VLOOKUP(Tabela1[[#This Row],[Cliente]],'BASE DE CLIENTES'!A:E,5,0)</f>
        <v>MERCADO LIVRE</v>
      </c>
    </row>
    <row r="2025" spans="2:12" x14ac:dyDescent="0.3">
      <c r="B2025" s="1" t="s">
        <v>55</v>
      </c>
      <c r="C2025" s="4" t="str">
        <f>VLOOKUP(Tabela1[[#This Row],[Cliente]],'BASE DE CLIENTES'!A:E,2,0)</f>
        <v>Brasília</v>
      </c>
      <c r="D2025" s="1" t="str">
        <f>VLOOKUP(Tabela1[[#This Row],[Cliente]],'BASE DE CLIENTES'!A:C,3,0)</f>
        <v>DF</v>
      </c>
      <c r="E2025" s="4" t="str">
        <f>CONCATENATE(Tabela1[[#This Row],[CIDADE]],",",Tabela1[[#This Row],[UF]])</f>
        <v>Brasília,DF</v>
      </c>
      <c r="F2025" s="2">
        <v>45888</v>
      </c>
      <c r="G2025" s="17">
        <v>491</v>
      </c>
      <c r="H2025" s="17">
        <v>700</v>
      </c>
      <c r="I2025" s="6">
        <f>Tabela1[[#This Row],[Valor total]]-Tabela1[[#This Row],[Valor custo]]</f>
        <v>209</v>
      </c>
      <c r="J2025" s="7">
        <f>Tabela1[[#This Row],[MARGEM BRUTA]]/Tabela1[[#This Row],[Valor total]]</f>
        <v>0.2985714285714286</v>
      </c>
      <c r="K2025" s="1" t="str">
        <f>VLOOKUP(Tabela1[[#This Row],[Cliente]],'BASE DE CLIENTES'!A:D,4,0)</f>
        <v>EMPRESA SEM MAQUINA</v>
      </c>
      <c r="L2025" s="1" t="str">
        <f>VLOOKUP(Tabela1[[#This Row],[Cliente]],'BASE DE CLIENTES'!A:E,5,0)</f>
        <v>RECANTO DAS EMAS</v>
      </c>
    </row>
    <row r="2026" spans="2:12" x14ac:dyDescent="0.3">
      <c r="B2026" s="1" t="s">
        <v>70</v>
      </c>
      <c r="C2026" s="4" t="str">
        <f>VLOOKUP(Tabela1[[#This Row],[Cliente]],'BASE DE CLIENTES'!A:E,2,0)</f>
        <v>Brasília</v>
      </c>
      <c r="D2026" s="1" t="str">
        <f>VLOOKUP(Tabela1[[#This Row],[Cliente]],'BASE DE CLIENTES'!A:C,3,0)</f>
        <v>DF</v>
      </c>
      <c r="E2026" s="4" t="str">
        <f>CONCATENATE(Tabela1[[#This Row],[CIDADE]],",",Tabela1[[#This Row],[UF]])</f>
        <v>Brasília,DF</v>
      </c>
      <c r="F2026" s="2">
        <v>45888</v>
      </c>
      <c r="G2026" s="17">
        <v>5582.76</v>
      </c>
      <c r="H2026" s="17">
        <v>8865</v>
      </c>
      <c r="I2026" s="6">
        <f>Tabela1[[#This Row],[Valor total]]-Tabela1[[#This Row],[Valor custo]]</f>
        <v>3282.24</v>
      </c>
      <c r="J2026" s="7">
        <f>Tabela1[[#This Row],[MARGEM BRUTA]]/Tabela1[[#This Row],[Valor total]]</f>
        <v>0.37024703891708965</v>
      </c>
      <c r="K2026" s="1" t="str">
        <f>VLOOKUP(Tabela1[[#This Row],[Cliente]],'BASE DE CLIENTES'!A:D,4,0)</f>
        <v>EMPRESA COM MAQUINA</v>
      </c>
      <c r="L2026" s="1" t="str">
        <f>VLOOKUP(Tabela1[[#This Row],[Cliente]],'BASE DE CLIENTES'!A:E,5,0)</f>
        <v>TAGUATINGA NORTE (TAGUATINGA)</v>
      </c>
    </row>
    <row r="2027" spans="2:12" x14ac:dyDescent="0.3">
      <c r="B2027" s="1" t="s">
        <v>55</v>
      </c>
      <c r="C2027" s="4" t="str">
        <f>VLOOKUP(Tabela1[[#This Row],[Cliente]],'BASE DE CLIENTES'!A:E,2,0)</f>
        <v>Brasília</v>
      </c>
      <c r="D2027" s="1" t="str">
        <f>VLOOKUP(Tabela1[[#This Row],[Cliente]],'BASE DE CLIENTES'!A:C,3,0)</f>
        <v>DF</v>
      </c>
      <c r="E2027" s="4" t="str">
        <f>CONCATENATE(Tabela1[[#This Row],[CIDADE]],",",Tabela1[[#This Row],[UF]])</f>
        <v>Brasília,DF</v>
      </c>
      <c r="F2027" s="2">
        <v>45888</v>
      </c>
      <c r="G2027" s="17">
        <v>142.74</v>
      </c>
      <c r="H2027" s="17">
        <v>190</v>
      </c>
      <c r="I2027" s="6">
        <f>Tabela1[[#This Row],[Valor total]]-Tabela1[[#This Row],[Valor custo]]</f>
        <v>47.259999999999991</v>
      </c>
      <c r="J2027" s="7">
        <f>Tabela1[[#This Row],[MARGEM BRUTA]]/Tabela1[[#This Row],[Valor total]]</f>
        <v>0.24873684210526312</v>
      </c>
      <c r="K2027" s="1" t="str">
        <f>VLOOKUP(Tabela1[[#This Row],[Cliente]],'BASE DE CLIENTES'!A:D,4,0)</f>
        <v>EMPRESA SEM MAQUINA</v>
      </c>
      <c r="L2027" s="1" t="str">
        <f>VLOOKUP(Tabela1[[#This Row],[Cliente]],'BASE DE CLIENTES'!A:E,5,0)</f>
        <v>RECANTO DAS EMAS</v>
      </c>
    </row>
    <row r="2028" spans="2:12" x14ac:dyDescent="0.3">
      <c r="B2028" s="1" t="s">
        <v>106</v>
      </c>
      <c r="C2028" s="4" t="str">
        <f>VLOOKUP(Tabela1[[#This Row],[Cliente]],'BASE DE CLIENTES'!A:E,2,0)</f>
        <v>Brasília</v>
      </c>
      <c r="D2028" s="1" t="str">
        <f>VLOOKUP(Tabela1[[#This Row],[Cliente]],'BASE DE CLIENTES'!A:C,3,0)</f>
        <v>DF</v>
      </c>
      <c r="E2028" s="4" t="str">
        <f>CONCATENATE(Tabela1[[#This Row],[CIDADE]],",",Tabela1[[#This Row],[UF]])</f>
        <v>Brasília,DF</v>
      </c>
      <c r="F2028" s="2">
        <v>45888</v>
      </c>
      <c r="G2028" s="17">
        <v>382.3</v>
      </c>
      <c r="H2028" s="17">
        <v>615</v>
      </c>
      <c r="I2028" s="6">
        <f>Tabela1[[#This Row],[Valor total]]-Tabela1[[#This Row],[Valor custo]]</f>
        <v>232.7</v>
      </c>
      <c r="J2028" s="7">
        <f>Tabela1[[#This Row],[MARGEM BRUTA]]/Tabela1[[#This Row],[Valor total]]</f>
        <v>0.37837398373983738</v>
      </c>
      <c r="K2028" s="1" t="str">
        <f>VLOOKUP(Tabela1[[#This Row],[Cliente]],'BASE DE CLIENTES'!A:D,4,0)</f>
        <v>EMPRESA COM MAQUINA</v>
      </c>
      <c r="L2028" s="1" t="str">
        <f>VLOOKUP(Tabela1[[#This Row],[Cliente]],'BASE DE CLIENTES'!A:E,5,0)</f>
        <v>26 DE SETEMBRO</v>
      </c>
    </row>
    <row r="2029" spans="2:12" x14ac:dyDescent="0.3">
      <c r="B2029" s="1" t="s">
        <v>266</v>
      </c>
      <c r="C2029" s="4" t="str">
        <f>VLOOKUP(Tabela1[[#This Row],[Cliente]],'BASE DE CLIENTES'!A:E,2,0)</f>
        <v>MERCADO LIVRE</v>
      </c>
      <c r="D2029" s="1" t="str">
        <f>VLOOKUP(Tabela1[[#This Row],[Cliente]],'BASE DE CLIENTES'!A:C,3,0)</f>
        <v>MERCADO LIVRE</v>
      </c>
      <c r="E2029" s="4" t="str">
        <f>CONCATENATE(Tabela1[[#This Row],[CIDADE]],",",Tabela1[[#This Row],[UF]])</f>
        <v>MERCADO LIVRE,MERCADO LIVRE</v>
      </c>
      <c r="F2029" s="2">
        <v>45918</v>
      </c>
      <c r="G2029" s="17">
        <v>13.69</v>
      </c>
      <c r="H2029" s="17">
        <v>86.83</v>
      </c>
      <c r="I2029" s="6">
        <f>Tabela1[[#This Row],[Valor total]]-Tabela1[[#This Row],[Valor custo]]</f>
        <v>73.14</v>
      </c>
      <c r="J2029" s="7">
        <f>Tabela1[[#This Row],[MARGEM BRUTA]]/Tabela1[[#This Row],[Valor total]]</f>
        <v>0.84233559829551996</v>
      </c>
      <c r="K2029" s="1" t="str">
        <f>VLOOKUP(Tabela1[[#This Row],[Cliente]],'BASE DE CLIENTES'!A:D,4,0)</f>
        <v>OUTROS RAMOS</v>
      </c>
      <c r="L2029" s="1" t="str">
        <f>VLOOKUP(Tabela1[[#This Row],[Cliente]],'BASE DE CLIENTES'!A:E,5,0)</f>
        <v>MERCADO LIVRE</v>
      </c>
    </row>
    <row r="2030" spans="2:12" x14ac:dyDescent="0.3">
      <c r="B2030" s="1" t="s">
        <v>42</v>
      </c>
      <c r="C2030" s="4" t="str">
        <f>VLOOKUP(Tabela1[[#This Row],[Cliente]],'BASE DE CLIENTES'!A:E,2,0)</f>
        <v>Brasília</v>
      </c>
      <c r="D2030" s="1" t="str">
        <f>VLOOKUP(Tabela1[[#This Row],[Cliente]],'BASE DE CLIENTES'!A:C,3,0)</f>
        <v>DF</v>
      </c>
      <c r="E2030" s="4" t="str">
        <f>CONCATENATE(Tabela1[[#This Row],[CIDADE]],",",Tabela1[[#This Row],[UF]])</f>
        <v>Brasília,DF</v>
      </c>
      <c r="F2030" s="2">
        <v>45888</v>
      </c>
      <c r="G2030" s="17">
        <v>432.79</v>
      </c>
      <c r="H2030" s="17">
        <v>655</v>
      </c>
      <c r="I2030" s="6">
        <f>Tabela1[[#This Row],[Valor total]]-Tabela1[[#This Row],[Valor custo]]</f>
        <v>222.20999999999998</v>
      </c>
      <c r="J2030" s="7">
        <f>Tabela1[[#This Row],[MARGEM BRUTA]]/Tabela1[[#This Row],[Valor total]]</f>
        <v>0.33925190839694652</v>
      </c>
      <c r="K2030" s="1" t="str">
        <f>VLOOKUP(Tabela1[[#This Row],[Cliente]],'BASE DE CLIENTES'!A:D,4,0)</f>
        <v>EMPRESA SEM MAQUINA</v>
      </c>
      <c r="L2030" s="1" t="str">
        <f>VLOOKUP(Tabela1[[#This Row],[Cliente]],'BASE DE CLIENTES'!A:E,5,0)</f>
        <v>SAMAMBAIA</v>
      </c>
    </row>
    <row r="2031" spans="2:12" x14ac:dyDescent="0.3">
      <c r="B2031" s="1" t="s">
        <v>68</v>
      </c>
      <c r="C2031" s="4" t="str">
        <f>VLOOKUP(Tabela1[[#This Row],[Cliente]],'BASE DE CLIENTES'!A:E,2,0)</f>
        <v>Brasília</v>
      </c>
      <c r="D2031" s="1" t="str">
        <f>VLOOKUP(Tabela1[[#This Row],[Cliente]],'BASE DE CLIENTES'!A:C,3,0)</f>
        <v>DF</v>
      </c>
      <c r="E2031" s="4" t="str">
        <f>CONCATENATE(Tabela1[[#This Row],[CIDADE]],",",Tabela1[[#This Row],[UF]])</f>
        <v>Brasília,DF</v>
      </c>
      <c r="F2031" s="2">
        <v>45888</v>
      </c>
      <c r="G2031" s="17">
        <v>7077.09</v>
      </c>
      <c r="H2031" s="17">
        <v>11495</v>
      </c>
      <c r="I2031" s="6">
        <f>Tabela1[[#This Row],[Valor total]]-Tabela1[[#This Row],[Valor custo]]</f>
        <v>4417.91</v>
      </c>
      <c r="J2031" s="7">
        <f>Tabela1[[#This Row],[MARGEM BRUTA]]/Tabela1[[#This Row],[Valor total]]</f>
        <v>0.3843331883427577</v>
      </c>
      <c r="K2031" s="1" t="str">
        <f>VLOOKUP(Tabela1[[#This Row],[Cliente]],'BASE DE CLIENTES'!A:D,4,0)</f>
        <v>EMPRESA COM MAQUINA</v>
      </c>
      <c r="L2031" s="1" t="str">
        <f>VLOOKUP(Tabela1[[#This Row],[Cliente]],'BASE DE CLIENTES'!A:E,5,0)</f>
        <v>SAMAMBAIA SUL (SAMAMBAIA)</v>
      </c>
    </row>
    <row r="2032" spans="2:12" x14ac:dyDescent="0.3">
      <c r="B2032" s="1" t="s">
        <v>111</v>
      </c>
      <c r="C2032" s="4" t="str">
        <f>VLOOKUP(Tabela1[[#This Row],[Cliente]],'BASE DE CLIENTES'!A:E,2,0)</f>
        <v>Brasília</v>
      </c>
      <c r="D2032" s="1" t="str">
        <f>VLOOKUP(Tabela1[[#This Row],[Cliente]],'BASE DE CLIENTES'!A:C,3,0)</f>
        <v>DF</v>
      </c>
      <c r="E2032" s="4" t="str">
        <f>CONCATENATE(Tabela1[[#This Row],[CIDADE]],",",Tabela1[[#This Row],[UF]])</f>
        <v>Brasília,DF</v>
      </c>
      <c r="F2032" s="2">
        <v>45888</v>
      </c>
      <c r="G2032" s="17">
        <v>2193.58</v>
      </c>
      <c r="H2032" s="17">
        <v>3910</v>
      </c>
      <c r="I2032" s="6">
        <f>Tabela1[[#This Row],[Valor total]]-Tabela1[[#This Row],[Valor custo]]</f>
        <v>1716.42</v>
      </c>
      <c r="J2032" s="7">
        <f>Tabela1[[#This Row],[MARGEM BRUTA]]/Tabela1[[#This Row],[Valor total]]</f>
        <v>0.43898209718670078</v>
      </c>
      <c r="K2032" s="1" t="str">
        <f>VLOOKUP(Tabela1[[#This Row],[Cliente]],'BASE DE CLIENTES'!A:D,4,0)</f>
        <v>EMPRESA SEM MAQUINA</v>
      </c>
      <c r="L2032" s="1" t="str">
        <f>VLOOKUP(Tabela1[[#This Row],[Cliente]],'BASE DE CLIENTES'!A:E,5,0)</f>
        <v>TAGUATINGA SUL (TAGUATINGA)</v>
      </c>
    </row>
    <row r="2033" spans="2:12" x14ac:dyDescent="0.3">
      <c r="B2033" s="1" t="s">
        <v>266</v>
      </c>
      <c r="C2033" s="4" t="str">
        <f>VLOOKUP(Tabela1[[#This Row],[Cliente]],'BASE DE CLIENTES'!A:E,2,0)</f>
        <v>MERCADO LIVRE</v>
      </c>
      <c r="D2033" s="1" t="str">
        <f>VLOOKUP(Tabela1[[#This Row],[Cliente]],'BASE DE CLIENTES'!A:C,3,0)</f>
        <v>MERCADO LIVRE</v>
      </c>
      <c r="E2033" s="4" t="str">
        <f>CONCATENATE(Tabela1[[#This Row],[CIDADE]],",",Tabela1[[#This Row],[UF]])</f>
        <v>MERCADO LIVRE,MERCADO LIVRE</v>
      </c>
      <c r="F2033" s="2">
        <v>45918</v>
      </c>
      <c r="G2033" s="17">
        <v>7.21</v>
      </c>
      <c r="H2033" s="17">
        <v>35</v>
      </c>
      <c r="I2033" s="6">
        <f>Tabela1[[#This Row],[Valor total]]-Tabela1[[#This Row],[Valor custo]]</f>
        <v>27.79</v>
      </c>
      <c r="J2033" s="7">
        <f>Tabela1[[#This Row],[MARGEM BRUTA]]/Tabela1[[#This Row],[Valor total]]</f>
        <v>0.79399999999999993</v>
      </c>
      <c r="K2033" s="1" t="str">
        <f>VLOOKUP(Tabela1[[#This Row],[Cliente]],'BASE DE CLIENTES'!A:D,4,0)</f>
        <v>OUTROS RAMOS</v>
      </c>
      <c r="L2033" s="1" t="str">
        <f>VLOOKUP(Tabela1[[#This Row],[Cliente]],'BASE DE CLIENTES'!A:E,5,0)</f>
        <v>MERCADO LIVRE</v>
      </c>
    </row>
    <row r="2034" spans="2:12" x14ac:dyDescent="0.3">
      <c r="B2034" s="1" t="s">
        <v>266</v>
      </c>
      <c r="C2034" s="4" t="str">
        <f>VLOOKUP(Tabela1[[#This Row],[Cliente]],'BASE DE CLIENTES'!A:E,2,0)</f>
        <v>MERCADO LIVRE</v>
      </c>
      <c r="D2034" s="1" t="str">
        <f>VLOOKUP(Tabela1[[#This Row],[Cliente]],'BASE DE CLIENTES'!A:C,3,0)</f>
        <v>MERCADO LIVRE</v>
      </c>
      <c r="E2034" s="4" t="str">
        <f>CONCATENATE(Tabela1[[#This Row],[CIDADE]],",",Tabela1[[#This Row],[UF]])</f>
        <v>MERCADO LIVRE,MERCADO LIVRE</v>
      </c>
      <c r="F2034" s="2">
        <v>45918</v>
      </c>
      <c r="G2034" s="17">
        <v>14.42</v>
      </c>
      <c r="H2034" s="17">
        <v>71.94</v>
      </c>
      <c r="I2034" s="6">
        <f>Tabela1[[#This Row],[Valor total]]-Tabela1[[#This Row],[Valor custo]]</f>
        <v>57.519999999999996</v>
      </c>
      <c r="J2034" s="7">
        <f>Tabela1[[#This Row],[MARGEM BRUTA]]/Tabela1[[#This Row],[Valor total]]</f>
        <v>0.79955518487628574</v>
      </c>
      <c r="K2034" s="1" t="str">
        <f>VLOOKUP(Tabela1[[#This Row],[Cliente]],'BASE DE CLIENTES'!A:D,4,0)</f>
        <v>OUTROS RAMOS</v>
      </c>
      <c r="L2034" s="1" t="str">
        <f>VLOOKUP(Tabela1[[#This Row],[Cliente]],'BASE DE CLIENTES'!A:E,5,0)</f>
        <v>MERCADO LIVRE</v>
      </c>
    </row>
    <row r="2035" spans="2:12" x14ac:dyDescent="0.3">
      <c r="B2035" s="1" t="s">
        <v>266</v>
      </c>
      <c r="C2035" s="4" t="str">
        <f>VLOOKUP(Tabela1[[#This Row],[Cliente]],'BASE DE CLIENTES'!A:E,2,0)</f>
        <v>MERCADO LIVRE</v>
      </c>
      <c r="D2035" s="1" t="str">
        <f>VLOOKUP(Tabela1[[#This Row],[Cliente]],'BASE DE CLIENTES'!A:C,3,0)</f>
        <v>MERCADO LIVRE</v>
      </c>
      <c r="E2035" s="4" t="str">
        <f>CONCATENATE(Tabela1[[#This Row],[CIDADE]],",",Tabela1[[#This Row],[UF]])</f>
        <v>MERCADO LIVRE,MERCADO LIVRE</v>
      </c>
      <c r="F2035" s="2">
        <v>45918</v>
      </c>
      <c r="G2035" s="17">
        <v>67.12</v>
      </c>
      <c r="H2035" s="17">
        <v>124.7</v>
      </c>
      <c r="I2035" s="6">
        <f>Tabela1[[#This Row],[Valor total]]-Tabela1[[#This Row],[Valor custo]]</f>
        <v>57.58</v>
      </c>
      <c r="J2035" s="7">
        <f>Tabela1[[#This Row],[MARGEM BRUTA]]/Tabela1[[#This Row],[Valor total]]</f>
        <v>0.46174819566960701</v>
      </c>
      <c r="K2035" s="1" t="str">
        <f>VLOOKUP(Tabela1[[#This Row],[Cliente]],'BASE DE CLIENTES'!A:D,4,0)</f>
        <v>OUTROS RAMOS</v>
      </c>
      <c r="L2035" s="1" t="str">
        <f>VLOOKUP(Tabela1[[#This Row],[Cliente]],'BASE DE CLIENTES'!A:E,5,0)</f>
        <v>MERCADO LIVRE</v>
      </c>
    </row>
    <row r="2036" spans="2:12" x14ac:dyDescent="0.3">
      <c r="B2036" s="1" t="s">
        <v>239</v>
      </c>
      <c r="C2036" s="4" t="str">
        <f>VLOOKUP(Tabela1[[#This Row],[Cliente]],'BASE DE CLIENTES'!A:E,2,0)</f>
        <v>Brasília</v>
      </c>
      <c r="D2036" s="1" t="str">
        <f>VLOOKUP(Tabela1[[#This Row],[Cliente]],'BASE DE CLIENTES'!A:C,3,0)</f>
        <v>DF</v>
      </c>
      <c r="E2036" s="4" t="str">
        <f>CONCATENATE(Tabela1[[#This Row],[CIDADE]],",",Tabela1[[#This Row],[UF]])</f>
        <v>Brasília,DF</v>
      </c>
      <c r="F2036" s="2">
        <v>45887</v>
      </c>
      <c r="G2036" s="17">
        <v>432.79</v>
      </c>
      <c r="H2036" s="17">
        <v>655</v>
      </c>
      <c r="I2036" s="6">
        <f>Tabela1[[#This Row],[Valor total]]-Tabela1[[#This Row],[Valor custo]]</f>
        <v>222.20999999999998</v>
      </c>
      <c r="J2036" s="7">
        <f>Tabela1[[#This Row],[MARGEM BRUTA]]/Tabela1[[#This Row],[Valor total]]</f>
        <v>0.33925190839694652</v>
      </c>
      <c r="K2036" s="1" t="str">
        <f>VLOOKUP(Tabela1[[#This Row],[Cliente]],'BASE DE CLIENTES'!A:D,4,0)</f>
        <v>EMPRESA COM MAQUINA</v>
      </c>
      <c r="L2036" s="1" t="str">
        <f>VLOOKUP(Tabela1[[#This Row],[Cliente]],'BASE DE CLIENTES'!A:E,5,0)</f>
        <v>RIACHO FUNDO II</v>
      </c>
    </row>
    <row r="2037" spans="2:12" x14ac:dyDescent="0.3">
      <c r="B2037" s="1" t="s">
        <v>27</v>
      </c>
      <c r="C2037" s="4" t="str">
        <f>VLOOKUP(Tabela1[[#This Row],[Cliente]],'BASE DE CLIENTES'!A:E,2,0)</f>
        <v>Brasília</v>
      </c>
      <c r="D2037" s="1" t="str">
        <f>VLOOKUP(Tabela1[[#This Row],[Cliente]],'BASE DE CLIENTES'!A:C,3,0)</f>
        <v>DF</v>
      </c>
      <c r="E2037" s="4" t="str">
        <f>CONCATENATE(Tabela1[[#This Row],[CIDADE]],",",Tabela1[[#This Row],[UF]])</f>
        <v>Brasília,DF</v>
      </c>
      <c r="F2037" s="2">
        <v>45887</v>
      </c>
      <c r="G2037" s="17">
        <v>382.3</v>
      </c>
      <c r="H2037" s="17">
        <v>600</v>
      </c>
      <c r="I2037" s="6">
        <f>Tabela1[[#This Row],[Valor total]]-Tabela1[[#This Row],[Valor custo]]</f>
        <v>217.7</v>
      </c>
      <c r="J2037" s="7">
        <f>Tabela1[[#This Row],[MARGEM BRUTA]]/Tabela1[[#This Row],[Valor total]]</f>
        <v>0.36283333333333334</v>
      </c>
      <c r="K2037" s="1" t="str">
        <f>VLOOKUP(Tabela1[[#This Row],[Cliente]],'BASE DE CLIENTES'!A:D,4,0)</f>
        <v>EMPRESA SEM MAQUINA</v>
      </c>
      <c r="L2037" s="1" t="str">
        <f>VLOOKUP(Tabela1[[#This Row],[Cliente]],'BASE DE CLIENTES'!A:E,5,0)</f>
        <v>RECANTO DAS EMAS</v>
      </c>
    </row>
    <row r="2038" spans="2:12" x14ac:dyDescent="0.3">
      <c r="B2038" s="1" t="s">
        <v>70</v>
      </c>
      <c r="C2038" s="4" t="str">
        <f>VLOOKUP(Tabela1[[#This Row],[Cliente]],'BASE DE CLIENTES'!A:E,2,0)</f>
        <v>Brasília</v>
      </c>
      <c r="D2038" s="1" t="str">
        <f>VLOOKUP(Tabela1[[#This Row],[Cliente]],'BASE DE CLIENTES'!A:C,3,0)</f>
        <v>DF</v>
      </c>
      <c r="E2038" s="4" t="str">
        <f>CONCATENATE(Tabela1[[#This Row],[CIDADE]],",",Tabela1[[#This Row],[UF]])</f>
        <v>Brasília,DF</v>
      </c>
      <c r="F2038" s="2">
        <v>45887</v>
      </c>
      <c r="G2038" s="17">
        <v>455</v>
      </c>
      <c r="H2038" s="17">
        <v>870</v>
      </c>
      <c r="I2038" s="6">
        <f>Tabela1[[#This Row],[Valor total]]-Tabela1[[#This Row],[Valor custo]]</f>
        <v>415</v>
      </c>
      <c r="J2038" s="7">
        <f>Tabela1[[#This Row],[MARGEM BRUTA]]/Tabela1[[#This Row],[Valor total]]</f>
        <v>0.47701149425287354</v>
      </c>
      <c r="K2038" s="1" t="str">
        <f>VLOOKUP(Tabela1[[#This Row],[Cliente]],'BASE DE CLIENTES'!A:D,4,0)</f>
        <v>EMPRESA COM MAQUINA</v>
      </c>
      <c r="L2038" s="1" t="str">
        <f>VLOOKUP(Tabela1[[#This Row],[Cliente]],'BASE DE CLIENTES'!A:E,5,0)</f>
        <v>TAGUATINGA NORTE (TAGUATINGA)</v>
      </c>
    </row>
    <row r="2039" spans="2:12" x14ac:dyDescent="0.3">
      <c r="B2039" s="1" t="s">
        <v>52</v>
      </c>
      <c r="C2039" s="4" t="str">
        <f>VLOOKUP(Tabela1[[#This Row],[Cliente]],'BASE DE CLIENTES'!A:E,2,0)</f>
        <v>Brasília</v>
      </c>
      <c r="D2039" s="1" t="str">
        <f>VLOOKUP(Tabela1[[#This Row],[Cliente]],'BASE DE CLIENTES'!A:C,3,0)</f>
        <v>DF</v>
      </c>
      <c r="E2039" s="4" t="str">
        <f>CONCATENATE(Tabela1[[#This Row],[CIDADE]],",",Tabela1[[#This Row],[UF]])</f>
        <v>Brasília,DF</v>
      </c>
      <c r="F2039" s="2">
        <v>45887</v>
      </c>
      <c r="G2039" s="17">
        <v>865.58</v>
      </c>
      <c r="H2039" s="17">
        <v>1400</v>
      </c>
      <c r="I2039" s="6">
        <f>Tabela1[[#This Row],[Valor total]]-Tabela1[[#This Row],[Valor custo]]</f>
        <v>534.41999999999996</v>
      </c>
      <c r="J2039" s="7">
        <f>Tabela1[[#This Row],[MARGEM BRUTA]]/Tabela1[[#This Row],[Valor total]]</f>
        <v>0.38172857142857142</v>
      </c>
      <c r="K2039" s="1" t="str">
        <f>VLOOKUP(Tabela1[[#This Row],[Cliente]],'BASE DE CLIENTES'!A:D,4,0)</f>
        <v>SERRALHEIRO</v>
      </c>
      <c r="L2039" s="1" t="str">
        <f>VLOOKUP(Tabela1[[#This Row],[Cliente]],'BASE DE CLIENTES'!A:E,5,0)</f>
        <v>Ceilândia Sul (Ceilândia)</v>
      </c>
    </row>
    <row r="2040" spans="2:12" x14ac:dyDescent="0.3">
      <c r="B2040" s="1" t="s">
        <v>88</v>
      </c>
      <c r="C2040" s="4" t="str">
        <f>VLOOKUP(Tabela1[[#This Row],[Cliente]],'BASE DE CLIENTES'!A:E,2,0)</f>
        <v>Brasília</v>
      </c>
      <c r="D2040" s="1" t="str">
        <f>VLOOKUP(Tabela1[[#This Row],[Cliente]],'BASE DE CLIENTES'!A:C,3,0)</f>
        <v>DF</v>
      </c>
      <c r="E2040" s="4" t="str">
        <f>CONCATENATE(Tabela1[[#This Row],[CIDADE]],",",Tabela1[[#This Row],[UF]])</f>
        <v>Brasília,DF</v>
      </c>
      <c r="F2040" s="2">
        <v>45887</v>
      </c>
      <c r="G2040" s="17">
        <v>382.3</v>
      </c>
      <c r="H2040" s="17">
        <v>610</v>
      </c>
      <c r="I2040" s="6">
        <f>Tabela1[[#This Row],[Valor total]]-Tabela1[[#This Row],[Valor custo]]</f>
        <v>227.7</v>
      </c>
      <c r="J2040" s="7">
        <f>Tabela1[[#This Row],[MARGEM BRUTA]]/Tabela1[[#This Row],[Valor total]]</f>
        <v>0.37327868852459012</v>
      </c>
      <c r="K2040" s="1" t="str">
        <f>VLOOKUP(Tabela1[[#This Row],[Cliente]],'BASE DE CLIENTES'!A:D,4,0)</f>
        <v>SERRALHEIRO</v>
      </c>
      <c r="L2040" s="1" t="str">
        <f>VLOOKUP(Tabela1[[#This Row],[Cliente]],'BASE DE CLIENTES'!A:E,5,0)</f>
        <v>RECANTO DAS EMAS</v>
      </c>
    </row>
    <row r="2041" spans="2:12" x14ac:dyDescent="0.3">
      <c r="B2041" s="1" t="s">
        <v>266</v>
      </c>
      <c r="C2041" s="4" t="str">
        <f>VLOOKUP(Tabela1[[#This Row],[Cliente]],'BASE DE CLIENTES'!A:E,2,0)</f>
        <v>MERCADO LIVRE</v>
      </c>
      <c r="D2041" s="1" t="str">
        <f>VLOOKUP(Tabela1[[#This Row],[Cliente]],'BASE DE CLIENTES'!A:C,3,0)</f>
        <v>MERCADO LIVRE</v>
      </c>
      <c r="E2041" s="4" t="str">
        <f>CONCATENATE(Tabela1[[#This Row],[CIDADE]],",",Tabela1[[#This Row],[UF]])</f>
        <v>MERCADO LIVRE,MERCADO LIVRE</v>
      </c>
      <c r="F2041" s="2">
        <v>45918</v>
      </c>
      <c r="G2041" s="17">
        <v>7.21</v>
      </c>
      <c r="H2041" s="17">
        <v>35.97</v>
      </c>
      <c r="I2041" s="6">
        <f>Tabela1[[#This Row],[Valor total]]-Tabela1[[#This Row],[Valor custo]]</f>
        <v>28.759999999999998</v>
      </c>
      <c r="J2041" s="7">
        <f>Tabela1[[#This Row],[MARGEM BRUTA]]/Tabela1[[#This Row],[Valor total]]</f>
        <v>0.79955518487628574</v>
      </c>
      <c r="K2041" s="1" t="str">
        <f>VLOOKUP(Tabela1[[#This Row],[Cliente]],'BASE DE CLIENTES'!A:D,4,0)</f>
        <v>OUTROS RAMOS</v>
      </c>
      <c r="L2041" s="1" t="str">
        <f>VLOOKUP(Tabela1[[#This Row],[Cliente]],'BASE DE CLIENTES'!A:E,5,0)</f>
        <v>MERCADO LIVRE</v>
      </c>
    </row>
    <row r="2042" spans="2:12" x14ac:dyDescent="0.3">
      <c r="B2042" s="1" t="s">
        <v>266</v>
      </c>
      <c r="C2042" s="4" t="str">
        <f>VLOOKUP(Tabela1[[#This Row],[Cliente]],'BASE DE CLIENTES'!A:E,2,0)</f>
        <v>MERCADO LIVRE</v>
      </c>
      <c r="D2042" s="1" t="str">
        <f>VLOOKUP(Tabela1[[#This Row],[Cliente]],'BASE DE CLIENTES'!A:C,3,0)</f>
        <v>MERCADO LIVRE</v>
      </c>
      <c r="E2042" s="4" t="str">
        <f>CONCATENATE(Tabela1[[#This Row],[CIDADE]],",",Tabela1[[#This Row],[UF]])</f>
        <v>MERCADO LIVRE,MERCADO LIVRE</v>
      </c>
      <c r="F2042" s="2">
        <v>45918</v>
      </c>
      <c r="G2042" s="17">
        <v>28.84</v>
      </c>
      <c r="H2042" s="17">
        <v>143.88</v>
      </c>
      <c r="I2042" s="6">
        <f>Tabela1[[#This Row],[Valor total]]-Tabela1[[#This Row],[Valor custo]]</f>
        <v>115.03999999999999</v>
      </c>
      <c r="J2042" s="7">
        <f>Tabela1[[#This Row],[MARGEM BRUTA]]/Tabela1[[#This Row],[Valor total]]</f>
        <v>0.79955518487628574</v>
      </c>
      <c r="K2042" s="1" t="str">
        <f>VLOOKUP(Tabela1[[#This Row],[Cliente]],'BASE DE CLIENTES'!A:D,4,0)</f>
        <v>OUTROS RAMOS</v>
      </c>
      <c r="L2042" s="1" t="str">
        <f>VLOOKUP(Tabela1[[#This Row],[Cliente]],'BASE DE CLIENTES'!A:E,5,0)</f>
        <v>MERCADO LIVRE</v>
      </c>
    </row>
    <row r="2043" spans="2:12" x14ac:dyDescent="0.3">
      <c r="B2043" s="1" t="s">
        <v>140</v>
      </c>
      <c r="C2043" s="4" t="str">
        <f>VLOOKUP(Tabela1[[#This Row],[Cliente]],'BASE DE CLIENTES'!A:E,2,0)</f>
        <v>Brasília</v>
      </c>
      <c r="D2043" s="1" t="str">
        <f>VLOOKUP(Tabela1[[#This Row],[Cliente]],'BASE DE CLIENTES'!A:C,3,0)</f>
        <v>DF</v>
      </c>
      <c r="E2043" s="4" t="str">
        <f>CONCATENATE(Tabela1[[#This Row],[CIDADE]],",",Tabela1[[#This Row],[UF]])</f>
        <v>Brasília,DF</v>
      </c>
      <c r="F2043" s="2">
        <v>45887</v>
      </c>
      <c r="G2043" s="17">
        <v>1708</v>
      </c>
      <c r="H2043" s="17">
        <v>3410</v>
      </c>
      <c r="I2043" s="6">
        <f>Tabela1[[#This Row],[Valor total]]-Tabela1[[#This Row],[Valor custo]]</f>
        <v>1702</v>
      </c>
      <c r="J2043" s="7">
        <f>Tabela1[[#This Row],[MARGEM BRUTA]]/Tabela1[[#This Row],[Valor total]]</f>
        <v>0.49912023460410559</v>
      </c>
      <c r="K2043" s="1" t="str">
        <f>VLOOKUP(Tabela1[[#This Row],[Cliente]],'BASE DE CLIENTES'!A:D,4,0)</f>
        <v>EMPRESA COM MAQUINA</v>
      </c>
      <c r="L2043" s="1" t="str">
        <f>VLOOKUP(Tabela1[[#This Row],[Cliente]],'BASE DE CLIENTES'!A:E,5,0)</f>
        <v>RECANTO DAS EMAS</v>
      </c>
    </row>
    <row r="2044" spans="2:12" x14ac:dyDescent="0.3">
      <c r="B2044" s="1" t="s">
        <v>230</v>
      </c>
      <c r="C2044" s="4" t="str">
        <f>VLOOKUP(Tabela1[[#This Row],[Cliente]],'BASE DE CLIENTES'!A:E,2,0)</f>
        <v>Brasília</v>
      </c>
      <c r="D2044" s="1" t="str">
        <f>VLOOKUP(Tabela1[[#This Row],[Cliente]],'BASE DE CLIENTES'!A:C,3,0)</f>
        <v>DF</v>
      </c>
      <c r="E2044" s="4" t="str">
        <f>CONCATENATE(Tabela1[[#This Row],[CIDADE]],",",Tabela1[[#This Row],[UF]])</f>
        <v>Brasília,DF</v>
      </c>
      <c r="F2044" s="2">
        <v>45887</v>
      </c>
      <c r="G2044" s="17">
        <v>764.6</v>
      </c>
      <c r="H2044" s="17">
        <v>1200</v>
      </c>
      <c r="I2044" s="6">
        <f>Tabela1[[#This Row],[Valor total]]-Tabela1[[#This Row],[Valor custo]]</f>
        <v>435.4</v>
      </c>
      <c r="J2044" s="7">
        <f>Tabela1[[#This Row],[MARGEM BRUTA]]/Tabela1[[#This Row],[Valor total]]</f>
        <v>0.36283333333333334</v>
      </c>
      <c r="K2044" s="1" t="str">
        <f>VLOOKUP(Tabela1[[#This Row],[Cliente]],'BASE DE CLIENTES'!A:D,4,0)</f>
        <v>SERRALHEIRO</v>
      </c>
      <c r="L2044" s="1" t="str">
        <f>VLOOKUP(Tabela1[[#This Row],[Cliente]],'BASE DE CLIENTES'!A:E,5,0)</f>
        <v>SETOR HABITACIONAL SAMAMBAIA (VICENTE PIRES)</v>
      </c>
    </row>
    <row r="2045" spans="2:12" x14ac:dyDescent="0.3">
      <c r="B2045" s="1" t="s">
        <v>266</v>
      </c>
      <c r="C2045" s="4" t="str">
        <f>VLOOKUP(Tabela1[[#This Row],[Cliente]],'BASE DE CLIENTES'!A:E,2,0)</f>
        <v>MERCADO LIVRE</v>
      </c>
      <c r="D2045" s="1" t="str">
        <f>VLOOKUP(Tabela1[[#This Row],[Cliente]],'BASE DE CLIENTES'!A:C,3,0)</f>
        <v>MERCADO LIVRE</v>
      </c>
      <c r="E2045" s="4" t="str">
        <f>CONCATENATE(Tabela1[[#This Row],[CIDADE]],",",Tabela1[[#This Row],[UF]])</f>
        <v>MERCADO LIVRE,MERCADO LIVRE</v>
      </c>
      <c r="F2045" s="2">
        <v>45917</v>
      </c>
      <c r="G2045" s="17">
        <v>67.12</v>
      </c>
      <c r="H2045" s="17">
        <v>124.7</v>
      </c>
      <c r="I2045" s="6">
        <f>Tabela1[[#This Row],[Valor total]]-Tabela1[[#This Row],[Valor custo]]</f>
        <v>57.58</v>
      </c>
      <c r="J2045" s="7">
        <f>Tabela1[[#This Row],[MARGEM BRUTA]]/Tabela1[[#This Row],[Valor total]]</f>
        <v>0.46174819566960701</v>
      </c>
      <c r="K2045" s="1" t="str">
        <f>VLOOKUP(Tabela1[[#This Row],[Cliente]],'BASE DE CLIENTES'!A:D,4,0)</f>
        <v>OUTROS RAMOS</v>
      </c>
      <c r="L2045" s="1" t="str">
        <f>VLOOKUP(Tabela1[[#This Row],[Cliente]],'BASE DE CLIENTES'!A:E,5,0)</f>
        <v>MERCADO LIVRE</v>
      </c>
    </row>
    <row r="2046" spans="2:12" x14ac:dyDescent="0.3">
      <c r="B2046" s="1" t="s">
        <v>38</v>
      </c>
      <c r="C2046" s="4" t="str">
        <f>VLOOKUP(Tabela1[[#This Row],[Cliente]],'BASE DE CLIENTES'!A:E,2,0)</f>
        <v>Brasília</v>
      </c>
      <c r="D2046" s="1" t="str">
        <f>VLOOKUP(Tabela1[[#This Row],[Cliente]],'BASE DE CLIENTES'!A:C,3,0)</f>
        <v>DF</v>
      </c>
      <c r="E2046" s="4" t="str">
        <f>CONCATENATE(Tabela1[[#This Row],[CIDADE]],",",Tabela1[[#This Row],[UF]])</f>
        <v>Brasília,DF</v>
      </c>
      <c r="F2046" s="2">
        <v>45887</v>
      </c>
      <c r="G2046" s="17">
        <v>289</v>
      </c>
      <c r="H2046" s="17">
        <v>0</v>
      </c>
      <c r="I2046" s="6">
        <f>Tabela1[[#This Row],[Valor total]]-Tabela1[[#This Row],[Valor custo]]</f>
        <v>-289</v>
      </c>
      <c r="J2046" s="7" t="e">
        <f>Tabela1[[#This Row],[MARGEM BRUTA]]/Tabela1[[#This Row],[Valor total]]</f>
        <v>#DIV/0!</v>
      </c>
      <c r="K2046" s="1" t="str">
        <f>VLOOKUP(Tabela1[[#This Row],[Cliente]],'BASE DE CLIENTES'!A:D,4,0)</f>
        <v>EMPRESA SEM MAQUINA</v>
      </c>
      <c r="L2046" s="1" t="str">
        <f>VLOOKUP(Tabela1[[#This Row],[Cliente]],'BASE DE CLIENTES'!A:E,5,0)</f>
        <v>PONTE ALTA NORTE (GAMA)</v>
      </c>
    </row>
    <row r="2047" spans="2:12" x14ac:dyDescent="0.3">
      <c r="B2047" s="1" t="s">
        <v>268</v>
      </c>
      <c r="C2047" s="4" t="str">
        <f>VLOOKUP(Tabela1[[#This Row],[Cliente]],'BASE DE CLIENTES'!A:E,2,0)</f>
        <v>Brasília</v>
      </c>
      <c r="D2047" s="1" t="str">
        <f>VLOOKUP(Tabela1[[#This Row],[Cliente]],'BASE DE CLIENTES'!A:C,3,0)</f>
        <v>DF</v>
      </c>
      <c r="E2047" s="4" t="str">
        <f>CONCATENATE(Tabela1[[#This Row],[CIDADE]],",",Tabela1[[#This Row],[UF]])</f>
        <v>Brasília,DF</v>
      </c>
      <c r="F2047" s="2">
        <v>45840</v>
      </c>
      <c r="G2047" s="17">
        <v>122.74</v>
      </c>
      <c r="H2047" s="17">
        <v>180</v>
      </c>
      <c r="I2047" s="6">
        <f>Tabela1[[#This Row],[Valor total]]-Tabela1[[#This Row],[Valor custo]]</f>
        <v>57.260000000000005</v>
      </c>
      <c r="J2047" s="7">
        <f>Tabela1[[#This Row],[MARGEM BRUTA]]/Tabela1[[#This Row],[Valor total]]</f>
        <v>0.31811111111111112</v>
      </c>
      <c r="K2047" s="1" t="str">
        <f>VLOOKUP(Tabela1[[#This Row],[Cliente]],'BASE DE CLIENTES'!A:D,4,0)</f>
        <v>SEM CLASSIFICAÇÃO</v>
      </c>
      <c r="L2047" s="1" t="str">
        <f>VLOOKUP(Tabela1[[#This Row],[Cliente]],'BASE DE CLIENTES'!A:E,5,0)</f>
        <v>NA</v>
      </c>
    </row>
    <row r="2048" spans="2:12" x14ac:dyDescent="0.3">
      <c r="B2048" s="1" t="s">
        <v>106</v>
      </c>
      <c r="C2048" s="4" t="str">
        <f>VLOOKUP(Tabela1[[#This Row],[Cliente]],'BASE DE CLIENTES'!A:E,2,0)</f>
        <v>Brasília</v>
      </c>
      <c r="D2048" s="1" t="str">
        <f>VLOOKUP(Tabela1[[#This Row],[Cliente]],'BASE DE CLIENTES'!A:C,3,0)</f>
        <v>DF</v>
      </c>
      <c r="E2048" s="4" t="str">
        <f>CONCATENATE(Tabela1[[#This Row],[CIDADE]],",",Tabela1[[#This Row],[UF]])</f>
        <v>Brasília,DF</v>
      </c>
      <c r="F2048" s="2">
        <v>45884</v>
      </c>
      <c r="G2048" s="17">
        <v>1349.09</v>
      </c>
      <c r="H2048" s="17">
        <v>2124</v>
      </c>
      <c r="I2048" s="6">
        <f>Tabela1[[#This Row],[Valor total]]-Tabela1[[#This Row],[Valor custo]]</f>
        <v>774.91000000000008</v>
      </c>
      <c r="J2048" s="7">
        <f>Tabela1[[#This Row],[MARGEM BRUTA]]/Tabela1[[#This Row],[Valor total]]</f>
        <v>0.36483521657250473</v>
      </c>
      <c r="K2048" s="1" t="str">
        <f>VLOOKUP(Tabela1[[#This Row],[Cliente]],'BASE DE CLIENTES'!A:D,4,0)</f>
        <v>EMPRESA COM MAQUINA</v>
      </c>
      <c r="L2048" s="1" t="str">
        <f>VLOOKUP(Tabela1[[#This Row],[Cliente]],'BASE DE CLIENTES'!A:E,5,0)</f>
        <v>26 DE SETEMBRO</v>
      </c>
    </row>
    <row r="2049" spans="2:12" x14ac:dyDescent="0.3">
      <c r="B2049" s="1" t="s">
        <v>27</v>
      </c>
      <c r="C2049" s="4" t="str">
        <f>VLOOKUP(Tabela1[[#This Row],[Cliente]],'BASE DE CLIENTES'!A:E,2,0)</f>
        <v>Brasília</v>
      </c>
      <c r="D2049" s="1" t="str">
        <f>VLOOKUP(Tabela1[[#This Row],[Cliente]],'BASE DE CLIENTES'!A:C,3,0)</f>
        <v>DF</v>
      </c>
      <c r="E2049" s="4" t="str">
        <f>CONCATENATE(Tabela1[[#This Row],[CIDADE]],",",Tabela1[[#This Row],[UF]])</f>
        <v>Brasília,DF</v>
      </c>
      <c r="F2049" s="2">
        <v>45887</v>
      </c>
      <c r="G2049" s="17">
        <v>469.98</v>
      </c>
      <c r="H2049" s="17">
        <v>700</v>
      </c>
      <c r="I2049" s="6">
        <f>Tabela1[[#This Row],[Valor total]]-Tabela1[[#This Row],[Valor custo]]</f>
        <v>230.01999999999998</v>
      </c>
      <c r="J2049" s="7">
        <f>Tabela1[[#This Row],[MARGEM BRUTA]]/Tabela1[[#This Row],[Valor total]]</f>
        <v>0.32859999999999995</v>
      </c>
      <c r="K2049" s="1" t="str">
        <f>VLOOKUP(Tabela1[[#This Row],[Cliente]],'BASE DE CLIENTES'!A:D,4,0)</f>
        <v>EMPRESA SEM MAQUINA</v>
      </c>
      <c r="L2049" s="1" t="str">
        <f>VLOOKUP(Tabela1[[#This Row],[Cliente]],'BASE DE CLIENTES'!A:E,5,0)</f>
        <v>RECANTO DAS EMAS</v>
      </c>
    </row>
    <row r="2050" spans="2:12" x14ac:dyDescent="0.3">
      <c r="B2050" s="1" t="s">
        <v>266</v>
      </c>
      <c r="C2050" s="4" t="str">
        <f>VLOOKUP(Tabela1[[#This Row],[Cliente]],'BASE DE CLIENTES'!A:E,2,0)</f>
        <v>MERCADO LIVRE</v>
      </c>
      <c r="D2050" s="1" t="str">
        <f>VLOOKUP(Tabela1[[#This Row],[Cliente]],'BASE DE CLIENTES'!A:C,3,0)</f>
        <v>MERCADO LIVRE</v>
      </c>
      <c r="E2050" s="4" t="str">
        <f>CONCATENATE(Tabela1[[#This Row],[CIDADE]],",",Tabela1[[#This Row],[UF]])</f>
        <v>MERCADO LIVRE,MERCADO LIVRE</v>
      </c>
      <c r="F2050" s="2">
        <v>45917</v>
      </c>
      <c r="G2050" s="17">
        <v>134.24</v>
      </c>
      <c r="H2050" s="17">
        <v>249.4</v>
      </c>
      <c r="I2050" s="6">
        <f>Tabela1[[#This Row],[Valor total]]-Tabela1[[#This Row],[Valor custo]]</f>
        <v>115.16</v>
      </c>
      <c r="J2050" s="7">
        <f>Tabela1[[#This Row],[MARGEM BRUTA]]/Tabela1[[#This Row],[Valor total]]</f>
        <v>0.46174819566960701</v>
      </c>
      <c r="K2050" s="1" t="str">
        <f>VLOOKUP(Tabela1[[#This Row],[Cliente]],'BASE DE CLIENTES'!A:D,4,0)</f>
        <v>OUTROS RAMOS</v>
      </c>
      <c r="L2050" s="1" t="str">
        <f>VLOOKUP(Tabela1[[#This Row],[Cliente]],'BASE DE CLIENTES'!A:E,5,0)</f>
        <v>MERCADO LIVRE</v>
      </c>
    </row>
    <row r="2051" spans="2:12" x14ac:dyDescent="0.3">
      <c r="B2051" s="1" t="s">
        <v>68</v>
      </c>
      <c r="C2051" s="4" t="str">
        <f>VLOOKUP(Tabela1[[#This Row],[Cliente]],'BASE DE CLIENTES'!A:E,2,0)</f>
        <v>Brasília</v>
      </c>
      <c r="D2051" s="1" t="str">
        <f>VLOOKUP(Tabela1[[#This Row],[Cliente]],'BASE DE CLIENTES'!A:C,3,0)</f>
        <v>DF</v>
      </c>
      <c r="E2051" s="4" t="str">
        <f>CONCATENATE(Tabela1[[#This Row],[CIDADE]],",",Tabela1[[#This Row],[UF]])</f>
        <v>Brasília,DF</v>
      </c>
      <c r="F2051" s="2">
        <v>45887</v>
      </c>
      <c r="G2051" s="17">
        <v>764.6</v>
      </c>
      <c r="H2051" s="17">
        <v>1230</v>
      </c>
      <c r="I2051" s="6">
        <f>Tabela1[[#This Row],[Valor total]]-Tabela1[[#This Row],[Valor custo]]</f>
        <v>465.4</v>
      </c>
      <c r="J2051" s="7">
        <f>Tabela1[[#This Row],[MARGEM BRUTA]]/Tabela1[[#This Row],[Valor total]]</f>
        <v>0.37837398373983738</v>
      </c>
      <c r="K2051" s="1" t="str">
        <f>VLOOKUP(Tabela1[[#This Row],[Cliente]],'BASE DE CLIENTES'!A:D,4,0)</f>
        <v>EMPRESA COM MAQUINA</v>
      </c>
      <c r="L2051" s="1" t="str">
        <f>VLOOKUP(Tabela1[[#This Row],[Cliente]],'BASE DE CLIENTES'!A:E,5,0)</f>
        <v>SAMAMBAIA SUL (SAMAMBAIA)</v>
      </c>
    </row>
    <row r="2052" spans="2:12" x14ac:dyDescent="0.3">
      <c r="B2052" s="1" t="s">
        <v>98</v>
      </c>
      <c r="C2052" s="4" t="str">
        <f>VLOOKUP(Tabela1[[#This Row],[Cliente]],'BASE DE CLIENTES'!A:E,2,0)</f>
        <v>Brasília</v>
      </c>
      <c r="D2052" s="1" t="str">
        <f>VLOOKUP(Tabela1[[#This Row],[Cliente]],'BASE DE CLIENTES'!A:C,3,0)</f>
        <v>DF</v>
      </c>
      <c r="E2052" s="4" t="str">
        <f>CONCATENATE(Tabela1[[#This Row],[CIDADE]],",",Tabela1[[#This Row],[UF]])</f>
        <v>Brasília,DF</v>
      </c>
      <c r="F2052" s="2">
        <v>45887</v>
      </c>
      <c r="G2052" s="17">
        <v>455</v>
      </c>
      <c r="H2052" s="17">
        <v>685</v>
      </c>
      <c r="I2052" s="6">
        <f>Tabela1[[#This Row],[Valor total]]-Tabela1[[#This Row],[Valor custo]]</f>
        <v>230</v>
      </c>
      <c r="J2052" s="7">
        <f>Tabela1[[#This Row],[MARGEM BRUTA]]/Tabela1[[#This Row],[Valor total]]</f>
        <v>0.33576642335766421</v>
      </c>
      <c r="K2052" s="1" t="str">
        <f>VLOOKUP(Tabela1[[#This Row],[Cliente]],'BASE DE CLIENTES'!A:D,4,0)</f>
        <v>SERRALHEIRO</v>
      </c>
      <c r="L2052" s="1" t="str">
        <f>VLOOKUP(Tabela1[[#This Row],[Cliente]],'BASE DE CLIENTES'!A:E,5,0)</f>
        <v>SANTA MARIA</v>
      </c>
    </row>
    <row r="2053" spans="2:12" x14ac:dyDescent="0.3">
      <c r="B2053" s="1" t="s">
        <v>230</v>
      </c>
      <c r="C2053" s="4" t="str">
        <f>VLOOKUP(Tabela1[[#This Row],[Cliente]],'BASE DE CLIENTES'!A:E,2,0)</f>
        <v>Brasília</v>
      </c>
      <c r="D2053" s="1" t="str">
        <f>VLOOKUP(Tabela1[[#This Row],[Cliente]],'BASE DE CLIENTES'!A:C,3,0)</f>
        <v>DF</v>
      </c>
      <c r="E2053" s="4" t="str">
        <f>CONCATENATE(Tabela1[[#This Row],[CIDADE]],",",Tabela1[[#This Row],[UF]])</f>
        <v>Brasília,DF</v>
      </c>
      <c r="F2053" s="2">
        <v>45884</v>
      </c>
      <c r="G2053" s="17">
        <v>395.99</v>
      </c>
      <c r="H2053" s="17">
        <v>690</v>
      </c>
      <c r="I2053" s="6">
        <f>Tabela1[[#This Row],[Valor total]]-Tabela1[[#This Row],[Valor custo]]</f>
        <v>294.01</v>
      </c>
      <c r="J2053" s="7">
        <f>Tabela1[[#This Row],[MARGEM BRUTA]]/Tabela1[[#This Row],[Valor total]]</f>
        <v>0.42610144927536231</v>
      </c>
      <c r="K2053" s="1" t="str">
        <f>VLOOKUP(Tabela1[[#This Row],[Cliente]],'BASE DE CLIENTES'!A:D,4,0)</f>
        <v>SERRALHEIRO</v>
      </c>
      <c r="L2053" s="1" t="str">
        <f>VLOOKUP(Tabela1[[#This Row],[Cliente]],'BASE DE CLIENTES'!A:E,5,0)</f>
        <v>SETOR HABITACIONAL SAMAMBAIA (VICENTE PIRES)</v>
      </c>
    </row>
    <row r="2054" spans="2:12" x14ac:dyDescent="0.3">
      <c r="B2054" s="1" t="s">
        <v>169</v>
      </c>
      <c r="C2054" s="4" t="str">
        <f>VLOOKUP(Tabela1[[#This Row],[Cliente]],'BASE DE CLIENTES'!A:E,2,0)</f>
        <v>Planaltina</v>
      </c>
      <c r="D2054" s="1" t="str">
        <f>VLOOKUP(Tabela1[[#This Row],[Cliente]],'BASE DE CLIENTES'!A:C,3,0)</f>
        <v>GO</v>
      </c>
      <c r="E2054" s="4" t="str">
        <f>CONCATENATE(Tabela1[[#This Row],[CIDADE]],",",Tabela1[[#This Row],[UF]])</f>
        <v>Planaltina,GO</v>
      </c>
      <c r="F2054" s="2">
        <v>45884</v>
      </c>
      <c r="G2054" s="17">
        <v>382.3</v>
      </c>
      <c r="H2054" s="17">
        <v>600</v>
      </c>
      <c r="I2054" s="6">
        <f>Tabela1[[#This Row],[Valor total]]-Tabela1[[#This Row],[Valor custo]]</f>
        <v>217.7</v>
      </c>
      <c r="J2054" s="7">
        <f>Tabela1[[#This Row],[MARGEM BRUTA]]/Tabela1[[#This Row],[Valor total]]</f>
        <v>0.36283333333333334</v>
      </c>
      <c r="K2054" s="1" t="str">
        <f>VLOOKUP(Tabela1[[#This Row],[Cliente]],'BASE DE CLIENTES'!A:D,4,0)</f>
        <v>SERRALHEIRO</v>
      </c>
      <c r="L2054" s="1" t="str">
        <f>VLOOKUP(Tabela1[[#This Row],[Cliente]],'BASE DE CLIENTES'!A:E,5,0)</f>
        <v>Planaltina</v>
      </c>
    </row>
    <row r="2055" spans="2:12" x14ac:dyDescent="0.3">
      <c r="B2055" s="1" t="s">
        <v>267</v>
      </c>
      <c r="C2055" s="4" t="str">
        <f>VLOOKUP(Tabela1[[#This Row],[Cliente]],'BASE DE CLIENTES'!A:E,2,0)</f>
        <v>Brasília</v>
      </c>
      <c r="D2055" s="1" t="str">
        <f>VLOOKUP(Tabela1[[#This Row],[Cliente]],'BASE DE CLIENTES'!A:C,3,0)</f>
        <v>DF</v>
      </c>
      <c r="E2055" s="4" t="str">
        <f>CONCATENATE(Tabela1[[#This Row],[CIDADE]],",",Tabela1[[#This Row],[UF]])</f>
        <v>Brasília,DF</v>
      </c>
      <c r="F2055" s="2">
        <v>45882</v>
      </c>
      <c r="G2055" s="17">
        <v>122.74</v>
      </c>
      <c r="H2055" s="17">
        <v>180</v>
      </c>
      <c r="I2055" s="6">
        <f>Tabela1[[#This Row],[Valor total]]-Tabela1[[#This Row],[Valor custo]]</f>
        <v>57.260000000000005</v>
      </c>
      <c r="J2055" s="7">
        <f>Tabela1[[#This Row],[MARGEM BRUTA]]/Tabela1[[#This Row],[Valor total]]</f>
        <v>0.31811111111111112</v>
      </c>
      <c r="K2055" s="1" t="str">
        <f>VLOOKUP(Tabela1[[#This Row],[Cliente]],'BASE DE CLIENTES'!A:D,4,0)</f>
        <v>SEM CLASSIFICAÇÃO</v>
      </c>
      <c r="L2055" s="1" t="str">
        <f>VLOOKUP(Tabela1[[#This Row],[Cliente]],'BASE DE CLIENTES'!A:E,5,0)</f>
        <v>TAGUATINGA NORTE</v>
      </c>
    </row>
    <row r="2056" spans="2:12" x14ac:dyDescent="0.3">
      <c r="B2056" s="1" t="s">
        <v>161</v>
      </c>
      <c r="C2056" s="4" t="str">
        <f>VLOOKUP(Tabela1[[#This Row],[Cliente]],'BASE DE CLIENTES'!A:E,2,0)</f>
        <v>Brasília</v>
      </c>
      <c r="D2056" s="1" t="str">
        <f>VLOOKUP(Tabela1[[#This Row],[Cliente]],'BASE DE CLIENTES'!A:C,3,0)</f>
        <v>DF</v>
      </c>
      <c r="E2056" s="4" t="str">
        <f>CONCATENATE(Tabela1[[#This Row],[CIDADE]],",",Tabela1[[#This Row],[UF]])</f>
        <v>Brasília,DF</v>
      </c>
      <c r="F2056" s="2">
        <v>45884</v>
      </c>
      <c r="G2056" s="17">
        <v>6712.9</v>
      </c>
      <c r="H2056" s="17">
        <v>10600</v>
      </c>
      <c r="I2056" s="6">
        <f>Tabela1[[#This Row],[Valor total]]-Tabela1[[#This Row],[Valor custo]]</f>
        <v>3887.1000000000004</v>
      </c>
      <c r="J2056" s="7">
        <f>Tabela1[[#This Row],[MARGEM BRUTA]]/Tabela1[[#This Row],[Valor total]]</f>
        <v>0.36670754716981135</v>
      </c>
      <c r="K2056" s="1" t="str">
        <f>VLOOKUP(Tabela1[[#This Row],[Cliente]],'BASE DE CLIENTES'!A:D,4,0)</f>
        <v>EMPRESA COM MAQUINA</v>
      </c>
      <c r="L2056" s="1" t="str">
        <f>VLOOKUP(Tabela1[[#This Row],[Cliente]],'BASE DE CLIENTES'!A:E,5,0)</f>
        <v>RIACHO FUNDO II</v>
      </c>
    </row>
    <row r="2057" spans="2:12" x14ac:dyDescent="0.3">
      <c r="B2057" s="1" t="s">
        <v>266</v>
      </c>
      <c r="C2057" s="4" t="str">
        <f>VLOOKUP(Tabela1[[#This Row],[Cliente]],'BASE DE CLIENTES'!A:E,2,0)</f>
        <v>MERCADO LIVRE</v>
      </c>
      <c r="D2057" s="1" t="str">
        <f>VLOOKUP(Tabela1[[#This Row],[Cliente]],'BASE DE CLIENTES'!A:C,3,0)</f>
        <v>MERCADO LIVRE</v>
      </c>
      <c r="E2057" s="4" t="str">
        <f>CONCATENATE(Tabela1[[#This Row],[CIDADE]],",",Tabela1[[#This Row],[UF]])</f>
        <v>MERCADO LIVRE,MERCADO LIVRE</v>
      </c>
      <c r="F2057" s="2">
        <v>45917</v>
      </c>
      <c r="G2057" s="17">
        <v>33.56</v>
      </c>
      <c r="H2057" s="17">
        <v>62.35</v>
      </c>
      <c r="I2057" s="6">
        <f>Tabela1[[#This Row],[Valor total]]-Tabela1[[#This Row],[Valor custo]]</f>
        <v>28.79</v>
      </c>
      <c r="J2057" s="7">
        <f>Tabela1[[#This Row],[MARGEM BRUTA]]/Tabela1[[#This Row],[Valor total]]</f>
        <v>0.46174819566960701</v>
      </c>
      <c r="K2057" s="1" t="str">
        <f>VLOOKUP(Tabela1[[#This Row],[Cliente]],'BASE DE CLIENTES'!A:D,4,0)</f>
        <v>OUTROS RAMOS</v>
      </c>
      <c r="L2057" s="1" t="str">
        <f>VLOOKUP(Tabela1[[#This Row],[Cliente]],'BASE DE CLIENTES'!A:E,5,0)</f>
        <v>MERCADO LIVRE</v>
      </c>
    </row>
    <row r="2058" spans="2:12" x14ac:dyDescent="0.3">
      <c r="B2058" s="1" t="s">
        <v>70</v>
      </c>
      <c r="C2058" s="4" t="str">
        <f>VLOOKUP(Tabela1[[#This Row],[Cliente]],'BASE DE CLIENTES'!A:E,2,0)</f>
        <v>Brasília</v>
      </c>
      <c r="D2058" s="1" t="str">
        <f>VLOOKUP(Tabela1[[#This Row],[Cliente]],'BASE DE CLIENTES'!A:C,3,0)</f>
        <v>DF</v>
      </c>
      <c r="E2058" s="4" t="str">
        <f>CONCATENATE(Tabela1[[#This Row],[CIDADE]],",",Tabela1[[#This Row],[UF]])</f>
        <v>Brasília,DF</v>
      </c>
      <c r="F2058" s="2">
        <v>45884</v>
      </c>
      <c r="G2058" s="17">
        <v>273.14</v>
      </c>
      <c r="H2058" s="17">
        <v>334.5</v>
      </c>
      <c r="I2058" s="6">
        <f>Tabela1[[#This Row],[Valor total]]-Tabela1[[#This Row],[Valor custo]]</f>
        <v>61.360000000000014</v>
      </c>
      <c r="J2058" s="7">
        <f>Tabela1[[#This Row],[MARGEM BRUTA]]/Tabela1[[#This Row],[Valor total]]</f>
        <v>0.18343796711509719</v>
      </c>
      <c r="K2058" s="1" t="str">
        <f>VLOOKUP(Tabela1[[#This Row],[Cliente]],'BASE DE CLIENTES'!A:D,4,0)</f>
        <v>EMPRESA COM MAQUINA</v>
      </c>
      <c r="L2058" s="1" t="str">
        <f>VLOOKUP(Tabela1[[#This Row],[Cliente]],'BASE DE CLIENTES'!A:E,5,0)</f>
        <v>TAGUATINGA NORTE (TAGUATINGA)</v>
      </c>
    </row>
    <row r="2059" spans="2:12" x14ac:dyDescent="0.3">
      <c r="B2059" s="1" t="s">
        <v>266</v>
      </c>
      <c r="C2059" s="4" t="str">
        <f>VLOOKUP(Tabela1[[#This Row],[Cliente]],'BASE DE CLIENTES'!A:E,2,0)</f>
        <v>MERCADO LIVRE</v>
      </c>
      <c r="D2059" s="1" t="str">
        <f>VLOOKUP(Tabela1[[#This Row],[Cliente]],'BASE DE CLIENTES'!A:C,3,0)</f>
        <v>MERCADO LIVRE</v>
      </c>
      <c r="E2059" s="4" t="str">
        <f>CONCATENATE(Tabela1[[#This Row],[CIDADE]],",",Tabela1[[#This Row],[UF]])</f>
        <v>MERCADO LIVRE,MERCADO LIVRE</v>
      </c>
      <c r="F2059" s="2">
        <v>45917</v>
      </c>
      <c r="G2059" s="17">
        <v>7.21</v>
      </c>
      <c r="H2059" s="17">
        <v>35</v>
      </c>
      <c r="I2059" s="6">
        <f>Tabela1[[#This Row],[Valor total]]-Tabela1[[#This Row],[Valor custo]]</f>
        <v>27.79</v>
      </c>
      <c r="J2059" s="7">
        <f>Tabela1[[#This Row],[MARGEM BRUTA]]/Tabela1[[#This Row],[Valor total]]</f>
        <v>0.79399999999999993</v>
      </c>
      <c r="K2059" s="1" t="str">
        <f>VLOOKUP(Tabela1[[#This Row],[Cliente]],'BASE DE CLIENTES'!A:D,4,0)</f>
        <v>OUTROS RAMOS</v>
      </c>
      <c r="L2059" s="1" t="str">
        <f>VLOOKUP(Tabela1[[#This Row],[Cliente]],'BASE DE CLIENTES'!A:E,5,0)</f>
        <v>MERCADO LIVRE</v>
      </c>
    </row>
    <row r="2060" spans="2:12" x14ac:dyDescent="0.3">
      <c r="B2060" s="1" t="s">
        <v>266</v>
      </c>
      <c r="C2060" s="4" t="str">
        <f>VLOOKUP(Tabela1[[#This Row],[Cliente]],'BASE DE CLIENTES'!A:E,2,0)</f>
        <v>MERCADO LIVRE</v>
      </c>
      <c r="D2060" s="1" t="str">
        <f>VLOOKUP(Tabela1[[#This Row],[Cliente]],'BASE DE CLIENTES'!A:C,3,0)</f>
        <v>MERCADO LIVRE</v>
      </c>
      <c r="E2060" s="4" t="str">
        <f>CONCATENATE(Tabela1[[#This Row],[CIDADE]],",",Tabela1[[#This Row],[UF]])</f>
        <v>MERCADO LIVRE,MERCADO LIVRE</v>
      </c>
      <c r="F2060" s="2">
        <v>45915</v>
      </c>
      <c r="G2060" s="17">
        <v>13.69</v>
      </c>
      <c r="H2060" s="17">
        <v>93.54</v>
      </c>
      <c r="I2060" s="6">
        <f>Tabela1[[#This Row],[Valor total]]-Tabela1[[#This Row],[Valor custo]]</f>
        <v>79.850000000000009</v>
      </c>
      <c r="J2060" s="7">
        <f>Tabela1[[#This Row],[MARGEM BRUTA]]/Tabela1[[#This Row],[Valor total]]</f>
        <v>0.85364549925165711</v>
      </c>
      <c r="K2060" s="1" t="str">
        <f>VLOOKUP(Tabela1[[#This Row],[Cliente]],'BASE DE CLIENTES'!A:D,4,0)</f>
        <v>OUTROS RAMOS</v>
      </c>
      <c r="L2060" s="1" t="str">
        <f>VLOOKUP(Tabela1[[#This Row],[Cliente]],'BASE DE CLIENTES'!A:E,5,0)</f>
        <v>MERCADO LIVRE</v>
      </c>
    </row>
    <row r="2061" spans="2:12" x14ac:dyDescent="0.3">
      <c r="B2061" s="1" t="s">
        <v>38</v>
      </c>
      <c r="C2061" s="4" t="str">
        <f>VLOOKUP(Tabela1[[#This Row],[Cliente]],'BASE DE CLIENTES'!A:E,2,0)</f>
        <v>Brasília</v>
      </c>
      <c r="D2061" s="1" t="str">
        <f>VLOOKUP(Tabela1[[#This Row],[Cliente]],'BASE DE CLIENTES'!A:C,3,0)</f>
        <v>DF</v>
      </c>
      <c r="E2061" s="4" t="str">
        <f>CONCATENATE(Tabela1[[#This Row],[CIDADE]],",",Tabela1[[#This Row],[UF]])</f>
        <v>Brasília,DF</v>
      </c>
      <c r="F2061" s="2">
        <v>45884</v>
      </c>
      <c r="G2061" s="17">
        <v>1559</v>
      </c>
      <c r="H2061" s="17">
        <v>2820</v>
      </c>
      <c r="I2061" s="6">
        <f>Tabela1[[#This Row],[Valor total]]-Tabela1[[#This Row],[Valor custo]]</f>
        <v>1261</v>
      </c>
      <c r="J2061" s="7">
        <f>Tabela1[[#This Row],[MARGEM BRUTA]]/Tabela1[[#This Row],[Valor total]]</f>
        <v>0.44716312056737589</v>
      </c>
      <c r="K2061" s="1" t="str">
        <f>VLOOKUP(Tabela1[[#This Row],[Cliente]],'BASE DE CLIENTES'!A:D,4,0)</f>
        <v>EMPRESA SEM MAQUINA</v>
      </c>
      <c r="L2061" s="1" t="str">
        <f>VLOOKUP(Tabela1[[#This Row],[Cliente]],'BASE DE CLIENTES'!A:E,5,0)</f>
        <v>PONTE ALTA NORTE (GAMA)</v>
      </c>
    </row>
    <row r="2062" spans="2:12" x14ac:dyDescent="0.3">
      <c r="B2062" s="1" t="s">
        <v>111</v>
      </c>
      <c r="C2062" s="4" t="str">
        <f>VLOOKUP(Tabela1[[#This Row],[Cliente]],'BASE DE CLIENTES'!A:E,2,0)</f>
        <v>Brasília</v>
      </c>
      <c r="D2062" s="1" t="str">
        <f>VLOOKUP(Tabela1[[#This Row],[Cliente]],'BASE DE CLIENTES'!A:C,3,0)</f>
        <v>DF</v>
      </c>
      <c r="E2062" s="4" t="str">
        <f>CONCATENATE(Tabela1[[#This Row],[CIDADE]],",",Tabela1[[#This Row],[UF]])</f>
        <v>Brasília,DF</v>
      </c>
      <c r="F2062" s="2">
        <v>45884</v>
      </c>
      <c r="G2062" s="17">
        <v>1146.9000000000001</v>
      </c>
      <c r="H2062" s="17">
        <v>1830</v>
      </c>
      <c r="I2062" s="6">
        <f>Tabela1[[#This Row],[Valor total]]-Tabela1[[#This Row],[Valor custo]]</f>
        <v>683.09999999999991</v>
      </c>
      <c r="J2062" s="7">
        <f>Tabela1[[#This Row],[MARGEM BRUTA]]/Tabela1[[#This Row],[Valor total]]</f>
        <v>0.37327868852459012</v>
      </c>
      <c r="K2062" s="1" t="str">
        <f>VLOOKUP(Tabela1[[#This Row],[Cliente]],'BASE DE CLIENTES'!A:D,4,0)</f>
        <v>EMPRESA SEM MAQUINA</v>
      </c>
      <c r="L2062" s="1" t="str">
        <f>VLOOKUP(Tabela1[[#This Row],[Cliente]],'BASE DE CLIENTES'!A:E,5,0)</f>
        <v>TAGUATINGA SUL (TAGUATINGA)</v>
      </c>
    </row>
    <row r="2063" spans="2:12" x14ac:dyDescent="0.3">
      <c r="B2063" s="1" t="s">
        <v>266</v>
      </c>
      <c r="C2063" s="4" t="str">
        <f>VLOOKUP(Tabela1[[#This Row],[Cliente]],'BASE DE CLIENTES'!A:E,2,0)</f>
        <v>MERCADO LIVRE</v>
      </c>
      <c r="D2063" s="1" t="str">
        <f>VLOOKUP(Tabela1[[#This Row],[Cliente]],'BASE DE CLIENTES'!A:C,3,0)</f>
        <v>MERCADO LIVRE</v>
      </c>
      <c r="E2063" s="4" t="str">
        <f>CONCATENATE(Tabela1[[#This Row],[CIDADE]],",",Tabela1[[#This Row],[UF]])</f>
        <v>MERCADO LIVRE,MERCADO LIVRE</v>
      </c>
      <c r="F2063" s="2">
        <v>45915</v>
      </c>
      <c r="G2063" s="17">
        <v>33.56</v>
      </c>
      <c r="H2063" s="17">
        <v>62.35</v>
      </c>
      <c r="I2063" s="6">
        <f>Tabela1[[#This Row],[Valor total]]-Tabela1[[#This Row],[Valor custo]]</f>
        <v>28.79</v>
      </c>
      <c r="J2063" s="7">
        <f>Tabela1[[#This Row],[MARGEM BRUTA]]/Tabela1[[#This Row],[Valor total]]</f>
        <v>0.46174819566960701</v>
      </c>
      <c r="K2063" s="1" t="str">
        <f>VLOOKUP(Tabela1[[#This Row],[Cliente]],'BASE DE CLIENTES'!A:D,4,0)</f>
        <v>OUTROS RAMOS</v>
      </c>
      <c r="L2063" s="1" t="str">
        <f>VLOOKUP(Tabela1[[#This Row],[Cliente]],'BASE DE CLIENTES'!A:E,5,0)</f>
        <v>MERCADO LIVRE</v>
      </c>
    </row>
    <row r="2064" spans="2:12" x14ac:dyDescent="0.3">
      <c r="B2064" s="1" t="s">
        <v>42</v>
      </c>
      <c r="C2064" s="4" t="str">
        <f>VLOOKUP(Tabela1[[#This Row],[Cliente]],'BASE DE CLIENTES'!A:E,2,0)</f>
        <v>Brasília</v>
      </c>
      <c r="D2064" s="1" t="str">
        <f>VLOOKUP(Tabela1[[#This Row],[Cliente]],'BASE DE CLIENTES'!A:C,3,0)</f>
        <v>DF</v>
      </c>
      <c r="E2064" s="4" t="str">
        <f>CONCATENATE(Tabela1[[#This Row],[CIDADE]],",",Tabela1[[#This Row],[UF]])</f>
        <v>Brasília,DF</v>
      </c>
      <c r="F2064" s="2">
        <v>45884</v>
      </c>
      <c r="G2064" s="17">
        <v>613.74</v>
      </c>
      <c r="H2064" s="17">
        <v>870</v>
      </c>
      <c r="I2064" s="6">
        <f>Tabela1[[#This Row],[Valor total]]-Tabela1[[#This Row],[Valor custo]]</f>
        <v>256.26</v>
      </c>
      <c r="J2064" s="7">
        <f>Tabela1[[#This Row],[MARGEM BRUTA]]/Tabela1[[#This Row],[Valor total]]</f>
        <v>0.29455172413793101</v>
      </c>
      <c r="K2064" s="1" t="str">
        <f>VLOOKUP(Tabela1[[#This Row],[Cliente]],'BASE DE CLIENTES'!A:D,4,0)</f>
        <v>EMPRESA SEM MAQUINA</v>
      </c>
      <c r="L2064" s="1" t="str">
        <f>VLOOKUP(Tabela1[[#This Row],[Cliente]],'BASE DE CLIENTES'!A:E,5,0)</f>
        <v>SAMAMBAIA</v>
      </c>
    </row>
    <row r="2065" spans="2:12" x14ac:dyDescent="0.3">
      <c r="B2065" s="1" t="s">
        <v>161</v>
      </c>
      <c r="C2065" s="4" t="str">
        <f>VLOOKUP(Tabela1[[#This Row],[Cliente]],'BASE DE CLIENTES'!A:E,2,0)</f>
        <v>Brasília</v>
      </c>
      <c r="D2065" s="1" t="str">
        <f>VLOOKUP(Tabela1[[#This Row],[Cliente]],'BASE DE CLIENTES'!A:C,3,0)</f>
        <v>DF</v>
      </c>
      <c r="E2065" s="4" t="str">
        <f>CONCATENATE(Tabela1[[#This Row],[CIDADE]],",",Tabela1[[#This Row],[UF]])</f>
        <v>Brasília,DF</v>
      </c>
      <c r="F2065" s="2">
        <v>45883</v>
      </c>
      <c r="G2065" s="17">
        <v>909</v>
      </c>
      <c r="H2065" s="17">
        <v>1100</v>
      </c>
      <c r="I2065" s="6">
        <f>Tabela1[[#This Row],[Valor total]]-Tabela1[[#This Row],[Valor custo]]</f>
        <v>191</v>
      </c>
      <c r="J2065" s="7">
        <f>Tabela1[[#This Row],[MARGEM BRUTA]]/Tabela1[[#This Row],[Valor total]]</f>
        <v>0.17363636363636364</v>
      </c>
      <c r="K2065" s="1" t="str">
        <f>VLOOKUP(Tabela1[[#This Row],[Cliente]],'BASE DE CLIENTES'!A:D,4,0)</f>
        <v>EMPRESA COM MAQUINA</v>
      </c>
      <c r="L2065" s="1" t="str">
        <f>VLOOKUP(Tabela1[[#This Row],[Cliente]],'BASE DE CLIENTES'!A:E,5,0)</f>
        <v>RIACHO FUNDO II</v>
      </c>
    </row>
    <row r="2066" spans="2:12" x14ac:dyDescent="0.3">
      <c r="B2066" s="1" t="s">
        <v>96</v>
      </c>
      <c r="C2066" s="4" t="str">
        <f>VLOOKUP(Tabela1[[#This Row],[Cliente]],'BASE DE CLIENTES'!A:E,2,0)</f>
        <v>Brasília</v>
      </c>
      <c r="D2066" s="1" t="str">
        <f>VLOOKUP(Tabela1[[#This Row],[Cliente]],'BASE DE CLIENTES'!A:C,3,0)</f>
        <v>DF</v>
      </c>
      <c r="E2066" s="4" t="str">
        <f>CONCATENATE(Tabela1[[#This Row],[CIDADE]],",",Tabela1[[#This Row],[UF]])</f>
        <v>Brasília,DF</v>
      </c>
      <c r="F2066" s="2">
        <v>45883</v>
      </c>
      <c r="G2066" s="17">
        <v>455</v>
      </c>
      <c r="H2066" s="17">
        <v>750</v>
      </c>
      <c r="I2066" s="6">
        <f>Tabela1[[#This Row],[Valor total]]-Tabela1[[#This Row],[Valor custo]]</f>
        <v>295</v>
      </c>
      <c r="J2066" s="7">
        <f>Tabela1[[#This Row],[MARGEM BRUTA]]/Tabela1[[#This Row],[Valor total]]</f>
        <v>0.39333333333333331</v>
      </c>
      <c r="K2066" s="1" t="str">
        <f>VLOOKUP(Tabela1[[#This Row],[Cliente]],'BASE DE CLIENTES'!A:D,4,0)</f>
        <v>EMPRESA SEM MAQUINA</v>
      </c>
      <c r="L2066" s="1" t="str">
        <f>VLOOKUP(Tabela1[[#This Row],[Cliente]],'BASE DE CLIENTES'!A:E,5,0)</f>
        <v>CEILANDIA NORTE (CEILANDIA)</v>
      </c>
    </row>
    <row r="2067" spans="2:12" x14ac:dyDescent="0.3">
      <c r="B2067" s="1" t="s">
        <v>99</v>
      </c>
      <c r="C2067" s="4" t="str">
        <f>VLOOKUP(Tabela1[[#This Row],[Cliente]],'BASE DE CLIENTES'!A:E,2,0)</f>
        <v>Brasília</v>
      </c>
      <c r="D2067" s="1" t="str">
        <f>VLOOKUP(Tabela1[[#This Row],[Cliente]],'BASE DE CLIENTES'!A:C,3,0)</f>
        <v>DF</v>
      </c>
      <c r="E2067" s="4" t="str">
        <f>CONCATENATE(Tabela1[[#This Row],[CIDADE]],",",Tabela1[[#This Row],[UF]])</f>
        <v>Brasília,DF</v>
      </c>
      <c r="F2067" s="2">
        <v>45883</v>
      </c>
      <c r="G2067" s="17">
        <v>7928.79</v>
      </c>
      <c r="H2067" s="17">
        <v>11840</v>
      </c>
      <c r="I2067" s="6">
        <f>Tabela1[[#This Row],[Valor total]]-Tabela1[[#This Row],[Valor custo]]</f>
        <v>3911.21</v>
      </c>
      <c r="J2067" s="7">
        <f>Tabela1[[#This Row],[MARGEM BRUTA]]/Tabela1[[#This Row],[Valor total]]</f>
        <v>0.33033868243243242</v>
      </c>
      <c r="K2067" s="1" t="str">
        <f>VLOOKUP(Tabela1[[#This Row],[Cliente]],'BASE DE CLIENTES'!A:D,4,0)</f>
        <v>EMPRESA COM MAQUINA</v>
      </c>
      <c r="L2067" s="1" t="str">
        <f>VLOOKUP(Tabela1[[#This Row],[Cliente]],'BASE DE CLIENTES'!A:E,5,0)</f>
        <v>ARAPOANGA (PLANALTINA)</v>
      </c>
    </row>
    <row r="2068" spans="2:12" x14ac:dyDescent="0.3">
      <c r="B2068" s="1" t="s">
        <v>266</v>
      </c>
      <c r="C2068" s="4" t="str">
        <f>VLOOKUP(Tabela1[[#This Row],[Cliente]],'BASE DE CLIENTES'!A:E,2,0)</f>
        <v>MERCADO LIVRE</v>
      </c>
      <c r="D2068" s="1" t="str">
        <f>VLOOKUP(Tabela1[[#This Row],[Cliente]],'BASE DE CLIENTES'!A:C,3,0)</f>
        <v>MERCADO LIVRE</v>
      </c>
      <c r="E2068" s="4" t="str">
        <f>CONCATENATE(Tabela1[[#This Row],[CIDADE]],",",Tabela1[[#This Row],[UF]])</f>
        <v>MERCADO LIVRE,MERCADO LIVRE</v>
      </c>
      <c r="F2068" s="2">
        <v>45915</v>
      </c>
      <c r="G2068" s="17">
        <v>13.69</v>
      </c>
      <c r="H2068" s="17">
        <v>86.83</v>
      </c>
      <c r="I2068" s="6">
        <f>Tabela1[[#This Row],[Valor total]]-Tabela1[[#This Row],[Valor custo]]</f>
        <v>73.14</v>
      </c>
      <c r="J2068" s="7">
        <f>Tabela1[[#This Row],[MARGEM BRUTA]]/Tabela1[[#This Row],[Valor total]]</f>
        <v>0.84233559829551996</v>
      </c>
      <c r="K2068" s="1" t="str">
        <f>VLOOKUP(Tabela1[[#This Row],[Cliente]],'BASE DE CLIENTES'!A:D,4,0)</f>
        <v>OUTROS RAMOS</v>
      </c>
      <c r="L2068" s="1" t="str">
        <f>VLOOKUP(Tabela1[[#This Row],[Cliente]],'BASE DE CLIENTES'!A:E,5,0)</f>
        <v>MERCADO LIVRE</v>
      </c>
    </row>
    <row r="2069" spans="2:12" x14ac:dyDescent="0.3">
      <c r="B2069" s="1" t="s">
        <v>266</v>
      </c>
      <c r="C2069" s="4" t="str">
        <f>VLOOKUP(Tabela1[[#This Row],[Cliente]],'BASE DE CLIENTES'!A:E,2,0)</f>
        <v>MERCADO LIVRE</v>
      </c>
      <c r="D2069" s="1" t="str">
        <f>VLOOKUP(Tabela1[[#This Row],[Cliente]],'BASE DE CLIENTES'!A:C,3,0)</f>
        <v>MERCADO LIVRE</v>
      </c>
      <c r="E2069" s="4" t="str">
        <f>CONCATENATE(Tabela1[[#This Row],[CIDADE]],",",Tabela1[[#This Row],[UF]])</f>
        <v>MERCADO LIVRE,MERCADO LIVRE</v>
      </c>
      <c r="F2069" s="2">
        <v>45914</v>
      </c>
      <c r="G2069" s="17">
        <v>7.21</v>
      </c>
      <c r="H2069" s="17">
        <v>35</v>
      </c>
      <c r="I2069" s="6">
        <f>Tabela1[[#This Row],[Valor total]]-Tabela1[[#This Row],[Valor custo]]</f>
        <v>27.79</v>
      </c>
      <c r="J2069" s="7">
        <f>Tabela1[[#This Row],[MARGEM BRUTA]]/Tabela1[[#This Row],[Valor total]]</f>
        <v>0.79399999999999993</v>
      </c>
      <c r="K2069" s="1" t="str">
        <f>VLOOKUP(Tabela1[[#This Row],[Cliente]],'BASE DE CLIENTES'!A:D,4,0)</f>
        <v>OUTROS RAMOS</v>
      </c>
      <c r="L2069" s="1" t="str">
        <f>VLOOKUP(Tabela1[[#This Row],[Cliente]],'BASE DE CLIENTES'!A:E,5,0)</f>
        <v>MERCADO LIVRE</v>
      </c>
    </row>
    <row r="2070" spans="2:12" x14ac:dyDescent="0.3">
      <c r="B2070" s="1" t="s">
        <v>266</v>
      </c>
      <c r="C2070" s="4" t="str">
        <f>VLOOKUP(Tabela1[[#This Row],[Cliente]],'BASE DE CLIENTES'!A:E,2,0)</f>
        <v>MERCADO LIVRE</v>
      </c>
      <c r="D2070" s="1" t="str">
        <f>VLOOKUP(Tabela1[[#This Row],[Cliente]],'BASE DE CLIENTES'!A:C,3,0)</f>
        <v>MERCADO LIVRE</v>
      </c>
      <c r="E2070" s="4" t="str">
        <f>CONCATENATE(Tabela1[[#This Row],[CIDADE]],",",Tabela1[[#This Row],[UF]])</f>
        <v>MERCADO LIVRE,MERCADO LIVRE</v>
      </c>
      <c r="F2070" s="2">
        <v>45913</v>
      </c>
      <c r="G2070" s="17">
        <v>13.69</v>
      </c>
      <c r="H2070" s="17">
        <v>86.83</v>
      </c>
      <c r="I2070" s="6">
        <f>Tabela1[[#This Row],[Valor total]]-Tabela1[[#This Row],[Valor custo]]</f>
        <v>73.14</v>
      </c>
      <c r="J2070" s="7">
        <f>Tabela1[[#This Row],[MARGEM BRUTA]]/Tabela1[[#This Row],[Valor total]]</f>
        <v>0.84233559829551996</v>
      </c>
      <c r="K2070" s="1" t="str">
        <f>VLOOKUP(Tabela1[[#This Row],[Cliente]],'BASE DE CLIENTES'!A:D,4,0)</f>
        <v>OUTROS RAMOS</v>
      </c>
      <c r="L2070" s="1" t="str">
        <f>VLOOKUP(Tabela1[[#This Row],[Cliente]],'BASE DE CLIENTES'!A:E,5,0)</f>
        <v>MERCADO LIVRE</v>
      </c>
    </row>
    <row r="2071" spans="2:12" x14ac:dyDescent="0.3">
      <c r="B2071" s="1" t="s">
        <v>68</v>
      </c>
      <c r="C2071" s="4" t="str">
        <f>VLOOKUP(Tabela1[[#This Row],[Cliente]],'BASE DE CLIENTES'!A:E,2,0)</f>
        <v>Brasília</v>
      </c>
      <c r="D2071" s="1" t="str">
        <f>VLOOKUP(Tabela1[[#This Row],[Cliente]],'BASE DE CLIENTES'!A:C,3,0)</f>
        <v>DF</v>
      </c>
      <c r="E2071" s="4" t="str">
        <f>CONCATENATE(Tabela1[[#This Row],[CIDADE]],",",Tabela1[[#This Row],[UF]])</f>
        <v>Brasília,DF</v>
      </c>
      <c r="F2071" s="2">
        <v>45883</v>
      </c>
      <c r="G2071" s="17">
        <v>843.2</v>
      </c>
      <c r="H2071" s="17">
        <v>1430</v>
      </c>
      <c r="I2071" s="6">
        <f>Tabela1[[#This Row],[Valor total]]-Tabela1[[#This Row],[Valor custo]]</f>
        <v>586.79999999999995</v>
      </c>
      <c r="J2071" s="7">
        <f>Tabela1[[#This Row],[MARGEM BRUTA]]/Tabela1[[#This Row],[Valor total]]</f>
        <v>0.41034965034965032</v>
      </c>
      <c r="K2071" s="1" t="str">
        <f>VLOOKUP(Tabela1[[#This Row],[Cliente]],'BASE DE CLIENTES'!A:D,4,0)</f>
        <v>EMPRESA COM MAQUINA</v>
      </c>
      <c r="L2071" s="1" t="str">
        <f>VLOOKUP(Tabela1[[#This Row],[Cliente]],'BASE DE CLIENTES'!A:E,5,0)</f>
        <v>SAMAMBAIA SUL (SAMAMBAIA)</v>
      </c>
    </row>
    <row r="2072" spans="2:12" x14ac:dyDescent="0.3">
      <c r="B2072" s="1" t="s">
        <v>127</v>
      </c>
      <c r="C2072" s="4" t="str">
        <f>VLOOKUP(Tabela1[[#This Row],[Cliente]],'BASE DE CLIENTES'!A:E,2,0)</f>
        <v>Brasília</v>
      </c>
      <c r="D2072" s="1" t="str">
        <f>VLOOKUP(Tabela1[[#This Row],[Cliente]],'BASE DE CLIENTES'!A:C,3,0)</f>
        <v>DF</v>
      </c>
      <c r="E2072" s="4" t="str">
        <f>CONCATENATE(Tabela1[[#This Row],[CIDADE]],",",Tabela1[[#This Row],[UF]])</f>
        <v>Brasília,DF</v>
      </c>
      <c r="F2072" s="2">
        <v>45883</v>
      </c>
      <c r="G2072" s="17">
        <v>1469.28</v>
      </c>
      <c r="H2072" s="17">
        <v>2529</v>
      </c>
      <c r="I2072" s="6">
        <f>Tabela1[[#This Row],[Valor total]]-Tabela1[[#This Row],[Valor custo]]</f>
        <v>1059.72</v>
      </c>
      <c r="J2072" s="7">
        <f>Tabela1[[#This Row],[MARGEM BRUTA]]/Tabela1[[#This Row],[Valor total]]</f>
        <v>0.41902728351126928</v>
      </c>
      <c r="K2072" s="1" t="str">
        <f>VLOOKUP(Tabela1[[#This Row],[Cliente]],'BASE DE CLIENTES'!A:D,4,0)</f>
        <v>EMPRESA COM MAQUINA</v>
      </c>
      <c r="L2072" s="1" t="str">
        <f>VLOOKUP(Tabela1[[#This Row],[Cliente]],'BASE DE CLIENTES'!A:E,5,0)</f>
        <v>CEILANDIA SUL (CEILANDIA)</v>
      </c>
    </row>
    <row r="2073" spans="2:12" x14ac:dyDescent="0.3">
      <c r="B2073" s="1" t="s">
        <v>266</v>
      </c>
      <c r="C2073" s="4" t="str">
        <f>VLOOKUP(Tabela1[[#This Row],[Cliente]],'BASE DE CLIENTES'!A:E,2,0)</f>
        <v>MERCADO LIVRE</v>
      </c>
      <c r="D2073" s="1" t="str">
        <f>VLOOKUP(Tabela1[[#This Row],[Cliente]],'BASE DE CLIENTES'!A:C,3,0)</f>
        <v>MERCADO LIVRE</v>
      </c>
      <c r="E2073" s="4" t="str">
        <f>CONCATENATE(Tabela1[[#This Row],[CIDADE]],",",Tabela1[[#This Row],[UF]])</f>
        <v>MERCADO LIVRE,MERCADO LIVRE</v>
      </c>
      <c r="F2073" s="2">
        <v>45913</v>
      </c>
      <c r="G2073" s="17">
        <v>14.42</v>
      </c>
      <c r="H2073" s="17">
        <v>71.94</v>
      </c>
      <c r="I2073" s="6">
        <f>Tabela1[[#This Row],[Valor total]]-Tabela1[[#This Row],[Valor custo]]</f>
        <v>57.519999999999996</v>
      </c>
      <c r="J2073" s="7">
        <f>Tabela1[[#This Row],[MARGEM BRUTA]]/Tabela1[[#This Row],[Valor total]]</f>
        <v>0.79955518487628574</v>
      </c>
      <c r="K2073" s="1" t="str">
        <f>VLOOKUP(Tabela1[[#This Row],[Cliente]],'BASE DE CLIENTES'!A:D,4,0)</f>
        <v>OUTROS RAMOS</v>
      </c>
      <c r="L2073" s="1" t="str">
        <f>VLOOKUP(Tabela1[[#This Row],[Cliente]],'BASE DE CLIENTES'!A:E,5,0)</f>
        <v>MERCADO LIVRE</v>
      </c>
    </row>
    <row r="2074" spans="2:12" x14ac:dyDescent="0.3">
      <c r="B2074" s="1" t="s">
        <v>269</v>
      </c>
      <c r="C2074" s="4" t="str">
        <f>VLOOKUP(Tabela1[[#This Row],[Cliente]],'BASE DE CLIENTES'!A:E,2,0)</f>
        <v>Brasília</v>
      </c>
      <c r="D2074" s="1" t="str">
        <f>VLOOKUP(Tabela1[[#This Row],[Cliente]],'BASE DE CLIENTES'!A:C,3,0)</f>
        <v>DF</v>
      </c>
      <c r="E2074" s="4" t="str">
        <f>CONCATENATE(Tabela1[[#This Row],[CIDADE]],",",Tabela1[[#This Row],[UF]])</f>
        <v>Brasília,DF</v>
      </c>
      <c r="F2074" s="2">
        <v>45883</v>
      </c>
      <c r="G2074" s="17">
        <v>293.13</v>
      </c>
      <c r="H2074" s="17">
        <v>450</v>
      </c>
      <c r="I2074" s="6">
        <f>Tabela1[[#This Row],[Valor total]]-Tabela1[[#This Row],[Valor custo]]</f>
        <v>156.87</v>
      </c>
      <c r="J2074" s="7">
        <f>Tabela1[[#This Row],[MARGEM BRUTA]]/Tabela1[[#This Row],[Valor total]]</f>
        <v>0.34860000000000002</v>
      </c>
      <c r="K2074" s="1" t="str">
        <f>VLOOKUP(Tabela1[[#This Row],[Cliente]],'BASE DE CLIENTES'!A:D,4,0)</f>
        <v>CLIENTE FECHADURA</v>
      </c>
      <c r="L2074" s="1" t="str">
        <f>VLOOKUP(Tabela1[[#This Row],[Cliente]],'BASE DE CLIENTES'!A:E,5,0)</f>
        <v>ÁGUAS CLARAS</v>
      </c>
    </row>
    <row r="2075" spans="2:12" x14ac:dyDescent="0.3">
      <c r="B2075" s="1" t="s">
        <v>107</v>
      </c>
      <c r="C2075" s="4" t="str">
        <f>VLOOKUP(Tabela1[[#This Row],[Cliente]],'BASE DE CLIENTES'!A:E,2,0)</f>
        <v>Planaltina</v>
      </c>
      <c r="D2075" s="1" t="str">
        <f>VLOOKUP(Tabela1[[#This Row],[Cliente]],'BASE DE CLIENTES'!A:C,3,0)</f>
        <v>DF</v>
      </c>
      <c r="E2075" s="4" t="str">
        <f>CONCATENATE(Tabela1[[#This Row],[CIDADE]],",",Tabela1[[#This Row],[UF]])</f>
        <v>Planaltina,DF</v>
      </c>
      <c r="F2075" s="2">
        <v>45883</v>
      </c>
      <c r="G2075" s="17">
        <v>1797.79</v>
      </c>
      <c r="H2075" s="17">
        <v>2900</v>
      </c>
      <c r="I2075" s="6">
        <f>Tabela1[[#This Row],[Valor total]]-Tabela1[[#This Row],[Valor custo]]</f>
        <v>1102.21</v>
      </c>
      <c r="J2075" s="7">
        <f>Tabela1[[#This Row],[MARGEM BRUTA]]/Tabela1[[#This Row],[Valor total]]</f>
        <v>0.38007241379310347</v>
      </c>
      <c r="K2075" s="1" t="str">
        <f>VLOOKUP(Tabela1[[#This Row],[Cliente]],'BASE DE CLIENTES'!A:D,4,0)</f>
        <v>EMPRESA COM MAQUINA</v>
      </c>
      <c r="L2075" s="1" t="str">
        <f>VLOOKUP(Tabela1[[#This Row],[Cliente]],'BASE DE CLIENTES'!A:E,5,0)</f>
        <v>SETOR LESTE</v>
      </c>
    </row>
    <row r="2076" spans="2:12" x14ac:dyDescent="0.3">
      <c r="B2076" s="1" t="s">
        <v>108</v>
      </c>
      <c r="C2076" s="4" t="str">
        <f>VLOOKUP(Tabela1[[#This Row],[Cliente]],'BASE DE CLIENTES'!A:E,2,0)</f>
        <v>Brasília</v>
      </c>
      <c r="D2076" s="1" t="str">
        <f>VLOOKUP(Tabela1[[#This Row],[Cliente]],'BASE DE CLIENTES'!A:C,3,0)</f>
        <v>DF</v>
      </c>
      <c r="E2076" s="4" t="str">
        <f>CONCATENATE(Tabela1[[#This Row],[CIDADE]],",",Tabela1[[#This Row],[UF]])</f>
        <v>Brasília,DF</v>
      </c>
      <c r="F2076" s="2">
        <v>45883</v>
      </c>
      <c r="G2076" s="17">
        <v>174.38</v>
      </c>
      <c r="H2076" s="17">
        <v>210</v>
      </c>
      <c r="I2076" s="6">
        <f>Tabela1[[#This Row],[Valor total]]-Tabela1[[#This Row],[Valor custo]]</f>
        <v>35.620000000000005</v>
      </c>
      <c r="J2076" s="7">
        <f>Tabela1[[#This Row],[MARGEM BRUTA]]/Tabela1[[#This Row],[Valor total]]</f>
        <v>0.16961904761904764</v>
      </c>
      <c r="K2076" s="1" t="str">
        <f>VLOOKUP(Tabela1[[#This Row],[Cliente]],'BASE DE CLIENTES'!A:D,4,0)</f>
        <v>SERRALHEIRO</v>
      </c>
      <c r="L2076" s="1" t="str">
        <f>VLOOKUP(Tabela1[[#This Row],[Cliente]],'BASE DE CLIENTES'!A:E,5,0)</f>
        <v>Vila Planalto</v>
      </c>
    </row>
    <row r="2077" spans="2:12" x14ac:dyDescent="0.3">
      <c r="B2077" s="1" t="s">
        <v>36</v>
      </c>
      <c r="C2077" s="4" t="str">
        <f>VLOOKUP(Tabela1[[#This Row],[Cliente]],'BASE DE CLIENTES'!A:E,2,0)</f>
        <v>Brasília</v>
      </c>
      <c r="D2077" s="1" t="str">
        <f>VLOOKUP(Tabela1[[#This Row],[Cliente]],'BASE DE CLIENTES'!A:C,3,0)</f>
        <v>DF</v>
      </c>
      <c r="E2077" s="4" t="str">
        <f>CONCATENATE(Tabela1[[#This Row],[CIDADE]],",",Tabela1[[#This Row],[UF]])</f>
        <v>Brasília,DF</v>
      </c>
      <c r="F2077" s="2">
        <v>45883</v>
      </c>
      <c r="G2077" s="17">
        <v>8</v>
      </c>
      <c r="H2077" s="17">
        <v>57.5</v>
      </c>
      <c r="I2077" s="6">
        <f>Tabela1[[#This Row],[Valor total]]-Tabela1[[#This Row],[Valor custo]]</f>
        <v>49.5</v>
      </c>
      <c r="J2077" s="7">
        <f>Tabela1[[#This Row],[MARGEM BRUTA]]/Tabela1[[#This Row],[Valor total]]</f>
        <v>0.86086956521739133</v>
      </c>
      <c r="K2077" s="1" t="str">
        <f>VLOOKUP(Tabela1[[#This Row],[Cliente]],'BASE DE CLIENTES'!A:D,4,0)</f>
        <v>SERRALHEIRO</v>
      </c>
      <c r="L2077" s="1" t="str">
        <f>VLOOKUP(Tabela1[[#This Row],[Cliente]],'BASE DE CLIENTES'!A:E,5,0)</f>
        <v>CEILANDIA SUL (CEILANDIA)</v>
      </c>
    </row>
    <row r="2078" spans="2:12" x14ac:dyDescent="0.3">
      <c r="B2078" s="1" t="s">
        <v>15</v>
      </c>
      <c r="C2078" s="4" t="str">
        <f>VLOOKUP(Tabela1[[#This Row],[Cliente]],'BASE DE CLIENTES'!A:E,2,0)</f>
        <v>Brasília</v>
      </c>
      <c r="D2078" s="1" t="str">
        <f>VLOOKUP(Tabela1[[#This Row],[Cliente]],'BASE DE CLIENTES'!A:C,3,0)</f>
        <v>DF</v>
      </c>
      <c r="E2078" s="4" t="str">
        <f>CONCATENATE(Tabela1[[#This Row],[CIDADE]],",",Tabela1[[#This Row],[UF]])</f>
        <v>Brasília,DF</v>
      </c>
      <c r="F2078" s="2">
        <v>45883</v>
      </c>
      <c r="G2078" s="17">
        <v>36.049999999999997</v>
      </c>
      <c r="H2078" s="17">
        <v>400</v>
      </c>
      <c r="I2078" s="6">
        <f>Tabela1[[#This Row],[Valor total]]-Tabela1[[#This Row],[Valor custo]]</f>
        <v>363.95</v>
      </c>
      <c r="J2078" s="7">
        <f>Tabela1[[#This Row],[MARGEM BRUTA]]/Tabela1[[#This Row],[Valor total]]</f>
        <v>0.90987499999999999</v>
      </c>
      <c r="K2078" s="1" t="str">
        <f>VLOOKUP(Tabela1[[#This Row],[Cliente]],'BASE DE CLIENTES'!A:D,4,0)</f>
        <v>SERRALHEIRO</v>
      </c>
      <c r="L2078" s="1" t="str">
        <f>VLOOKUP(Tabela1[[#This Row],[Cliente]],'BASE DE CLIENTES'!A:E,5,0)</f>
        <v>SETOR HABITACIONAL VICENTE PIRES</v>
      </c>
    </row>
    <row r="2079" spans="2:12" x14ac:dyDescent="0.3">
      <c r="B2079" s="1" t="s">
        <v>106</v>
      </c>
      <c r="C2079" s="4" t="str">
        <f>VLOOKUP(Tabela1[[#This Row],[Cliente]],'BASE DE CLIENTES'!A:E,2,0)</f>
        <v>Brasília</v>
      </c>
      <c r="D2079" s="1" t="str">
        <f>VLOOKUP(Tabela1[[#This Row],[Cliente]],'BASE DE CLIENTES'!A:C,3,0)</f>
        <v>DF</v>
      </c>
      <c r="E2079" s="4" t="str">
        <f>CONCATENATE(Tabela1[[#This Row],[CIDADE]],",",Tabela1[[#This Row],[UF]])</f>
        <v>Brasília,DF</v>
      </c>
      <c r="F2079" s="2">
        <v>45883</v>
      </c>
      <c r="G2079" s="17">
        <v>764.6</v>
      </c>
      <c r="H2079" s="17">
        <v>1200</v>
      </c>
      <c r="I2079" s="6">
        <f>Tabela1[[#This Row],[Valor total]]-Tabela1[[#This Row],[Valor custo]]</f>
        <v>435.4</v>
      </c>
      <c r="J2079" s="7">
        <f>Tabela1[[#This Row],[MARGEM BRUTA]]/Tabela1[[#This Row],[Valor total]]</f>
        <v>0.36283333333333334</v>
      </c>
      <c r="K2079" s="1" t="str">
        <f>VLOOKUP(Tabela1[[#This Row],[Cliente]],'BASE DE CLIENTES'!A:D,4,0)</f>
        <v>EMPRESA COM MAQUINA</v>
      </c>
      <c r="L2079" s="1" t="str">
        <f>VLOOKUP(Tabela1[[#This Row],[Cliente]],'BASE DE CLIENTES'!A:E,5,0)</f>
        <v>26 DE SETEMBRO</v>
      </c>
    </row>
    <row r="2080" spans="2:12" x14ac:dyDescent="0.3">
      <c r="B2080" s="1" t="s">
        <v>266</v>
      </c>
      <c r="C2080" s="4" t="str">
        <f>VLOOKUP(Tabela1[[#This Row],[Cliente]],'BASE DE CLIENTES'!A:E,2,0)</f>
        <v>MERCADO LIVRE</v>
      </c>
      <c r="D2080" s="1" t="str">
        <f>VLOOKUP(Tabela1[[#This Row],[Cliente]],'BASE DE CLIENTES'!A:C,3,0)</f>
        <v>MERCADO LIVRE</v>
      </c>
      <c r="E2080" s="4" t="str">
        <f>CONCATENATE(Tabela1[[#This Row],[CIDADE]],",",Tabela1[[#This Row],[UF]])</f>
        <v>MERCADO LIVRE,MERCADO LIVRE</v>
      </c>
      <c r="F2080" s="2">
        <v>45912</v>
      </c>
      <c r="G2080" s="17">
        <v>33.56</v>
      </c>
      <c r="H2080" s="17">
        <v>62.35</v>
      </c>
      <c r="I2080" s="6">
        <f>Tabela1[[#This Row],[Valor total]]-Tabela1[[#This Row],[Valor custo]]</f>
        <v>28.79</v>
      </c>
      <c r="J2080" s="7">
        <f>Tabela1[[#This Row],[MARGEM BRUTA]]/Tabela1[[#This Row],[Valor total]]</f>
        <v>0.46174819566960701</v>
      </c>
      <c r="K2080" s="1" t="str">
        <f>VLOOKUP(Tabela1[[#This Row],[Cliente]],'BASE DE CLIENTES'!A:D,4,0)</f>
        <v>OUTROS RAMOS</v>
      </c>
      <c r="L2080" s="1" t="str">
        <f>VLOOKUP(Tabela1[[#This Row],[Cliente]],'BASE DE CLIENTES'!A:E,5,0)</f>
        <v>MERCADO LIVRE</v>
      </c>
    </row>
    <row r="2081" spans="2:12" x14ac:dyDescent="0.3">
      <c r="B2081" s="1" t="s">
        <v>85</v>
      </c>
      <c r="C2081" s="4" t="str">
        <f>VLOOKUP(Tabela1[[#This Row],[Cliente]],'BASE DE CLIENTES'!A:E,2,0)</f>
        <v>Brasília</v>
      </c>
      <c r="D2081" s="1" t="str">
        <f>VLOOKUP(Tabela1[[#This Row],[Cliente]],'BASE DE CLIENTES'!A:C,3,0)</f>
        <v>DF</v>
      </c>
      <c r="E2081" s="4" t="str">
        <f>CONCATENATE(Tabela1[[#This Row],[CIDADE]],",",Tabela1[[#This Row],[UF]])</f>
        <v>Brasília,DF</v>
      </c>
      <c r="F2081" s="2">
        <v>45882</v>
      </c>
      <c r="G2081" s="17">
        <v>42</v>
      </c>
      <c r="H2081" s="17">
        <v>55</v>
      </c>
      <c r="I2081" s="6">
        <f>Tabela1[[#This Row],[Valor total]]-Tabela1[[#This Row],[Valor custo]]</f>
        <v>13</v>
      </c>
      <c r="J2081" s="7">
        <f>Tabela1[[#This Row],[MARGEM BRUTA]]/Tabela1[[#This Row],[Valor total]]</f>
        <v>0.23636363636363636</v>
      </c>
      <c r="K2081" s="1" t="str">
        <f>VLOOKUP(Tabela1[[#This Row],[Cliente]],'BASE DE CLIENTES'!A:D,4,0)</f>
        <v>SERRALHEIRO</v>
      </c>
      <c r="L2081" s="1" t="str">
        <f>VLOOKUP(Tabela1[[#This Row],[Cliente]],'BASE DE CLIENTES'!A:E,5,0)</f>
        <v>SAMAMBAIA NORTE (SAMAMBAIA)</v>
      </c>
    </row>
    <row r="2082" spans="2:12" x14ac:dyDescent="0.3">
      <c r="B2082" s="1" t="s">
        <v>106</v>
      </c>
      <c r="C2082" s="4" t="str">
        <f>VLOOKUP(Tabela1[[#This Row],[Cliente]],'BASE DE CLIENTES'!A:E,2,0)</f>
        <v>Brasília</v>
      </c>
      <c r="D2082" s="1" t="str">
        <f>VLOOKUP(Tabela1[[#This Row],[Cliente]],'BASE DE CLIENTES'!A:C,3,0)</f>
        <v>DF</v>
      </c>
      <c r="E2082" s="4" t="str">
        <f>CONCATENATE(Tabela1[[#This Row],[CIDADE]],",",Tabela1[[#This Row],[UF]])</f>
        <v>Brasília,DF</v>
      </c>
      <c r="F2082" s="2">
        <v>45882</v>
      </c>
      <c r="G2082" s="17">
        <v>837.3</v>
      </c>
      <c r="H2082" s="17">
        <v>1350</v>
      </c>
      <c r="I2082" s="6">
        <f>Tabela1[[#This Row],[Valor total]]-Tabela1[[#This Row],[Valor custo]]</f>
        <v>512.70000000000005</v>
      </c>
      <c r="J2082" s="7">
        <f>Tabela1[[#This Row],[MARGEM BRUTA]]/Tabela1[[#This Row],[Valor total]]</f>
        <v>0.37977777777777783</v>
      </c>
      <c r="K2082" s="1" t="str">
        <f>VLOOKUP(Tabela1[[#This Row],[Cliente]],'BASE DE CLIENTES'!A:D,4,0)</f>
        <v>EMPRESA COM MAQUINA</v>
      </c>
      <c r="L2082" s="1" t="str">
        <f>VLOOKUP(Tabela1[[#This Row],[Cliente]],'BASE DE CLIENTES'!A:E,5,0)</f>
        <v>26 DE SETEMBRO</v>
      </c>
    </row>
    <row r="2083" spans="2:12" x14ac:dyDescent="0.3">
      <c r="B2083" s="1" t="s">
        <v>266</v>
      </c>
      <c r="C2083" s="4" t="str">
        <f>VLOOKUP(Tabela1[[#This Row],[Cliente]],'BASE DE CLIENTES'!A:E,2,0)</f>
        <v>MERCADO LIVRE</v>
      </c>
      <c r="D2083" s="1" t="str">
        <f>VLOOKUP(Tabela1[[#This Row],[Cliente]],'BASE DE CLIENTES'!A:C,3,0)</f>
        <v>MERCADO LIVRE</v>
      </c>
      <c r="E2083" s="4" t="str">
        <f>CONCATENATE(Tabela1[[#This Row],[CIDADE]],",",Tabela1[[#This Row],[UF]])</f>
        <v>MERCADO LIVRE,MERCADO LIVRE</v>
      </c>
      <c r="F2083" s="2">
        <v>45911</v>
      </c>
      <c r="G2083" s="17">
        <v>293.13</v>
      </c>
      <c r="H2083" s="17">
        <v>369.48</v>
      </c>
      <c r="I2083" s="6">
        <f>Tabela1[[#This Row],[Valor total]]-Tabela1[[#This Row],[Valor custo]]</f>
        <v>76.350000000000023</v>
      </c>
      <c r="J2083" s="7">
        <f>Tabela1[[#This Row],[MARGEM BRUTA]]/Tabela1[[#This Row],[Valor total]]</f>
        <v>0.20664176680740506</v>
      </c>
      <c r="K2083" s="1" t="str">
        <f>VLOOKUP(Tabela1[[#This Row],[Cliente]],'BASE DE CLIENTES'!A:D,4,0)</f>
        <v>OUTROS RAMOS</v>
      </c>
      <c r="L2083" s="1" t="str">
        <f>VLOOKUP(Tabela1[[#This Row],[Cliente]],'BASE DE CLIENTES'!A:E,5,0)</f>
        <v>MERCADO LIVRE</v>
      </c>
    </row>
    <row r="2084" spans="2:12" x14ac:dyDescent="0.3">
      <c r="B2084" s="1" t="s">
        <v>88</v>
      </c>
      <c r="C2084" s="4" t="str">
        <f>VLOOKUP(Tabela1[[#This Row],[Cliente]],'BASE DE CLIENTES'!A:E,2,0)</f>
        <v>Brasília</v>
      </c>
      <c r="D2084" s="1" t="str">
        <f>VLOOKUP(Tabela1[[#This Row],[Cliente]],'BASE DE CLIENTES'!A:C,3,0)</f>
        <v>DF</v>
      </c>
      <c r="E2084" s="4" t="str">
        <f>CONCATENATE(Tabela1[[#This Row],[CIDADE]],",",Tabela1[[#This Row],[UF]])</f>
        <v>Brasília,DF</v>
      </c>
      <c r="F2084" s="2">
        <v>45882</v>
      </c>
      <c r="G2084" s="17">
        <v>649</v>
      </c>
      <c r="H2084" s="17">
        <v>1200</v>
      </c>
      <c r="I2084" s="6">
        <f>Tabela1[[#This Row],[Valor total]]-Tabela1[[#This Row],[Valor custo]]</f>
        <v>551</v>
      </c>
      <c r="J2084" s="7">
        <f>Tabela1[[#This Row],[MARGEM BRUTA]]/Tabela1[[#This Row],[Valor total]]</f>
        <v>0.45916666666666667</v>
      </c>
      <c r="K2084" s="1" t="str">
        <f>VLOOKUP(Tabela1[[#This Row],[Cliente]],'BASE DE CLIENTES'!A:D,4,0)</f>
        <v>SERRALHEIRO</v>
      </c>
      <c r="L2084" s="1" t="str">
        <f>VLOOKUP(Tabela1[[#This Row],[Cliente]],'BASE DE CLIENTES'!A:E,5,0)</f>
        <v>RECANTO DAS EMAS</v>
      </c>
    </row>
    <row r="2085" spans="2:12" x14ac:dyDescent="0.3">
      <c r="B2085" s="1" t="s">
        <v>52</v>
      </c>
      <c r="C2085" s="4" t="str">
        <f>VLOOKUP(Tabela1[[#This Row],[Cliente]],'BASE DE CLIENTES'!A:E,2,0)</f>
        <v>Brasília</v>
      </c>
      <c r="D2085" s="1" t="str">
        <f>VLOOKUP(Tabela1[[#This Row],[Cliente]],'BASE DE CLIENTES'!A:C,3,0)</f>
        <v>DF</v>
      </c>
      <c r="E2085" s="4" t="str">
        <f>CONCATENATE(Tabela1[[#This Row],[CIDADE]],",",Tabela1[[#This Row],[UF]])</f>
        <v>Brasília,DF</v>
      </c>
      <c r="F2085" s="2">
        <v>45882</v>
      </c>
      <c r="G2085" s="17">
        <v>180</v>
      </c>
      <c r="H2085" s="17">
        <v>300</v>
      </c>
      <c r="I2085" s="6">
        <f>Tabela1[[#This Row],[Valor total]]-Tabela1[[#This Row],[Valor custo]]</f>
        <v>120</v>
      </c>
      <c r="J2085" s="7">
        <f>Tabela1[[#This Row],[MARGEM BRUTA]]/Tabela1[[#This Row],[Valor total]]</f>
        <v>0.4</v>
      </c>
      <c r="K2085" s="1" t="str">
        <f>VLOOKUP(Tabela1[[#This Row],[Cliente]],'BASE DE CLIENTES'!A:D,4,0)</f>
        <v>SERRALHEIRO</v>
      </c>
      <c r="L2085" s="1" t="str">
        <f>VLOOKUP(Tabela1[[#This Row],[Cliente]],'BASE DE CLIENTES'!A:E,5,0)</f>
        <v>Ceilândia Sul (Ceilândia)</v>
      </c>
    </row>
    <row r="2086" spans="2:12" x14ac:dyDescent="0.3">
      <c r="B2086" s="1" t="s">
        <v>111</v>
      </c>
      <c r="C2086" s="4" t="str">
        <f>VLOOKUP(Tabela1[[#This Row],[Cliente]],'BASE DE CLIENTES'!A:E,2,0)</f>
        <v>Brasília</v>
      </c>
      <c r="D2086" s="1" t="str">
        <f>VLOOKUP(Tabela1[[#This Row],[Cliente]],'BASE DE CLIENTES'!A:C,3,0)</f>
        <v>DF</v>
      </c>
      <c r="E2086" s="4" t="str">
        <f>CONCATENATE(Tabela1[[#This Row],[CIDADE]],",",Tabela1[[#This Row],[UF]])</f>
        <v>Brasília,DF</v>
      </c>
      <c r="F2086" s="2">
        <v>45882</v>
      </c>
      <c r="G2086" s="17">
        <v>2510.39</v>
      </c>
      <c r="H2086" s="17">
        <v>4385</v>
      </c>
      <c r="I2086" s="6">
        <f>Tabela1[[#This Row],[Valor total]]-Tabela1[[#This Row],[Valor custo]]</f>
        <v>1874.6100000000001</v>
      </c>
      <c r="J2086" s="7">
        <f>Tabela1[[#This Row],[MARGEM BRUTA]]/Tabela1[[#This Row],[Valor total]]</f>
        <v>0.42750513112884836</v>
      </c>
      <c r="K2086" s="1" t="str">
        <f>VLOOKUP(Tabela1[[#This Row],[Cliente]],'BASE DE CLIENTES'!A:D,4,0)</f>
        <v>EMPRESA SEM MAQUINA</v>
      </c>
      <c r="L2086" s="1" t="str">
        <f>VLOOKUP(Tabela1[[#This Row],[Cliente]],'BASE DE CLIENTES'!A:E,5,0)</f>
        <v>TAGUATINGA SUL (TAGUATINGA)</v>
      </c>
    </row>
    <row r="2087" spans="2:12" x14ac:dyDescent="0.3">
      <c r="B2087" s="1" t="s">
        <v>133</v>
      </c>
      <c r="C2087" s="4" t="str">
        <f>VLOOKUP(Tabela1[[#This Row],[Cliente]],'BASE DE CLIENTES'!A:E,2,0)</f>
        <v>Brasília</v>
      </c>
      <c r="D2087" s="1" t="str">
        <f>VLOOKUP(Tabela1[[#This Row],[Cliente]],'BASE DE CLIENTES'!A:C,3,0)</f>
        <v>DF</v>
      </c>
      <c r="E2087" s="4" t="str">
        <f>CONCATENATE(Tabela1[[#This Row],[CIDADE]],",",Tabela1[[#This Row],[UF]])</f>
        <v>Brasília,DF</v>
      </c>
      <c r="F2087" s="2">
        <v>45882</v>
      </c>
      <c r="G2087" s="17">
        <v>477</v>
      </c>
      <c r="H2087" s="17">
        <v>740</v>
      </c>
      <c r="I2087" s="6">
        <f>Tabela1[[#This Row],[Valor total]]-Tabela1[[#This Row],[Valor custo]]</f>
        <v>263</v>
      </c>
      <c r="J2087" s="7">
        <f>Tabela1[[#This Row],[MARGEM BRUTA]]/Tabela1[[#This Row],[Valor total]]</f>
        <v>0.35540540540540538</v>
      </c>
      <c r="K2087" s="1" t="str">
        <f>VLOOKUP(Tabela1[[#This Row],[Cliente]],'BASE DE CLIENTES'!A:D,4,0)</f>
        <v>SERRALHEIRO</v>
      </c>
      <c r="L2087" s="1" t="str">
        <f>VLOOKUP(Tabela1[[#This Row],[Cliente]],'BASE DE CLIENTES'!A:E,5,0)</f>
        <v>RECANTO DAS EMAS</v>
      </c>
    </row>
    <row r="2088" spans="2:12" x14ac:dyDescent="0.3">
      <c r="B2088" s="1" t="s">
        <v>266</v>
      </c>
      <c r="C2088" s="4" t="str">
        <f>VLOOKUP(Tabela1[[#This Row],[Cliente]],'BASE DE CLIENTES'!A:E,2,0)</f>
        <v>MERCADO LIVRE</v>
      </c>
      <c r="D2088" s="1" t="str">
        <f>VLOOKUP(Tabela1[[#This Row],[Cliente]],'BASE DE CLIENTES'!A:C,3,0)</f>
        <v>MERCADO LIVRE</v>
      </c>
      <c r="E2088" s="4" t="str">
        <f>CONCATENATE(Tabela1[[#This Row],[CIDADE]],",",Tabela1[[#This Row],[UF]])</f>
        <v>MERCADO LIVRE,MERCADO LIVRE</v>
      </c>
      <c r="F2088" s="2">
        <v>45911</v>
      </c>
      <c r="G2088" s="17">
        <v>13.69</v>
      </c>
      <c r="H2088" s="17">
        <v>86.83</v>
      </c>
      <c r="I2088" s="6">
        <f>Tabela1[[#This Row],[Valor total]]-Tabela1[[#This Row],[Valor custo]]</f>
        <v>73.14</v>
      </c>
      <c r="J2088" s="7">
        <f>Tabela1[[#This Row],[MARGEM BRUTA]]/Tabela1[[#This Row],[Valor total]]</f>
        <v>0.84233559829551996</v>
      </c>
      <c r="K2088" s="1" t="str">
        <f>VLOOKUP(Tabela1[[#This Row],[Cliente]],'BASE DE CLIENTES'!A:D,4,0)</f>
        <v>OUTROS RAMOS</v>
      </c>
      <c r="L2088" s="1" t="str">
        <f>VLOOKUP(Tabela1[[#This Row],[Cliente]],'BASE DE CLIENTES'!A:E,5,0)</f>
        <v>MERCADO LIVRE</v>
      </c>
    </row>
    <row r="2089" spans="2:12" x14ac:dyDescent="0.3">
      <c r="B2089" s="1" t="s">
        <v>96</v>
      </c>
      <c r="C2089" s="4" t="str">
        <f>VLOOKUP(Tabela1[[#This Row],[Cliente]],'BASE DE CLIENTES'!A:E,2,0)</f>
        <v>Brasília</v>
      </c>
      <c r="D2089" s="1" t="str">
        <f>VLOOKUP(Tabela1[[#This Row],[Cliente]],'BASE DE CLIENTES'!A:C,3,0)</f>
        <v>DF</v>
      </c>
      <c r="E2089" s="4" t="str">
        <f>CONCATENATE(Tabela1[[#This Row],[CIDADE]],",",Tabela1[[#This Row],[UF]])</f>
        <v>Brasília,DF</v>
      </c>
      <c r="F2089" s="2">
        <v>45882</v>
      </c>
      <c r="G2089" s="17">
        <v>1017.15</v>
      </c>
      <c r="H2089" s="17">
        <v>1275</v>
      </c>
      <c r="I2089" s="6">
        <f>Tabela1[[#This Row],[Valor total]]-Tabela1[[#This Row],[Valor custo]]</f>
        <v>257.85000000000002</v>
      </c>
      <c r="J2089" s="7">
        <f>Tabela1[[#This Row],[MARGEM BRUTA]]/Tabela1[[#This Row],[Valor total]]</f>
        <v>0.20223529411764707</v>
      </c>
      <c r="K2089" s="1" t="str">
        <f>VLOOKUP(Tabela1[[#This Row],[Cliente]],'BASE DE CLIENTES'!A:D,4,0)</f>
        <v>EMPRESA SEM MAQUINA</v>
      </c>
      <c r="L2089" s="1" t="str">
        <f>VLOOKUP(Tabela1[[#This Row],[Cliente]],'BASE DE CLIENTES'!A:E,5,0)</f>
        <v>CEILANDIA NORTE (CEILANDIA)</v>
      </c>
    </row>
    <row r="2090" spans="2:12" x14ac:dyDescent="0.3">
      <c r="B2090" s="1" t="s">
        <v>142</v>
      </c>
      <c r="C2090" s="4" t="str">
        <f>VLOOKUP(Tabela1[[#This Row],[Cliente]],'BASE DE CLIENTES'!A:E,2,0)</f>
        <v>Brasília</v>
      </c>
      <c r="D2090" s="1" t="str">
        <f>VLOOKUP(Tabela1[[#This Row],[Cliente]],'BASE DE CLIENTES'!A:C,3,0)</f>
        <v>DF</v>
      </c>
      <c r="E2090" s="4" t="str">
        <f>CONCATENATE(Tabela1[[#This Row],[CIDADE]],",",Tabela1[[#This Row],[UF]])</f>
        <v>Brasília,DF</v>
      </c>
      <c r="F2090" s="2">
        <v>45882</v>
      </c>
      <c r="G2090" s="17">
        <v>55</v>
      </c>
      <c r="H2090" s="17">
        <v>200</v>
      </c>
      <c r="I2090" s="6">
        <f>Tabela1[[#This Row],[Valor total]]-Tabela1[[#This Row],[Valor custo]]</f>
        <v>145</v>
      </c>
      <c r="J2090" s="7">
        <f>Tabela1[[#This Row],[MARGEM BRUTA]]/Tabela1[[#This Row],[Valor total]]</f>
        <v>0.72499999999999998</v>
      </c>
      <c r="K2090" s="1" t="str">
        <f>VLOOKUP(Tabela1[[#This Row],[Cliente]],'BASE DE CLIENTES'!A:D,4,0)</f>
        <v>OUTROS RAMOS</v>
      </c>
      <c r="L2090" s="1" t="str">
        <f>VLOOKUP(Tabela1[[#This Row],[Cliente]],'BASE DE CLIENTES'!A:E,5,0)</f>
        <v>RIACHO FUNDO II</v>
      </c>
    </row>
    <row r="2091" spans="2:12" x14ac:dyDescent="0.3">
      <c r="B2091" s="1" t="s">
        <v>266</v>
      </c>
      <c r="C2091" s="4" t="str">
        <f>VLOOKUP(Tabela1[[#This Row],[Cliente]],'BASE DE CLIENTES'!A:E,2,0)</f>
        <v>MERCADO LIVRE</v>
      </c>
      <c r="D2091" s="1" t="str">
        <f>VLOOKUP(Tabela1[[#This Row],[Cliente]],'BASE DE CLIENTES'!A:C,3,0)</f>
        <v>MERCADO LIVRE</v>
      </c>
      <c r="E2091" s="4" t="str">
        <f>CONCATENATE(Tabela1[[#This Row],[CIDADE]],",",Tabela1[[#This Row],[UF]])</f>
        <v>MERCADO LIVRE,MERCADO LIVRE</v>
      </c>
      <c r="F2091" s="2">
        <v>45909</v>
      </c>
      <c r="G2091" s="17">
        <v>95.83</v>
      </c>
      <c r="H2091" s="17">
        <v>361.22</v>
      </c>
      <c r="I2091" s="6">
        <f>Tabela1[[#This Row],[Valor total]]-Tabela1[[#This Row],[Valor custo]]</f>
        <v>265.39000000000004</v>
      </c>
      <c r="J2091" s="7">
        <f>Tabela1[[#This Row],[MARGEM BRUTA]]/Tabela1[[#This Row],[Valor total]]</f>
        <v>0.73470461214772165</v>
      </c>
      <c r="K2091" s="1" t="str">
        <f>VLOOKUP(Tabela1[[#This Row],[Cliente]],'BASE DE CLIENTES'!A:D,4,0)</f>
        <v>OUTROS RAMOS</v>
      </c>
      <c r="L2091" s="1" t="str">
        <f>VLOOKUP(Tabela1[[#This Row],[Cliente]],'BASE DE CLIENTES'!A:E,5,0)</f>
        <v>MERCADO LIVRE</v>
      </c>
    </row>
    <row r="2092" spans="2:12" x14ac:dyDescent="0.3">
      <c r="B2092" s="1" t="s">
        <v>27</v>
      </c>
      <c r="C2092" s="4" t="str">
        <f>VLOOKUP(Tabela1[[#This Row],[Cliente]],'BASE DE CLIENTES'!A:E,2,0)</f>
        <v>Brasília</v>
      </c>
      <c r="D2092" s="1" t="str">
        <f>VLOOKUP(Tabela1[[#This Row],[Cliente]],'BASE DE CLIENTES'!A:C,3,0)</f>
        <v>DF</v>
      </c>
      <c r="E2092" s="4" t="str">
        <f>CONCATENATE(Tabela1[[#This Row],[CIDADE]],",",Tabela1[[#This Row],[UF]])</f>
        <v>Brasília,DF</v>
      </c>
      <c r="F2092" s="2">
        <v>45882</v>
      </c>
      <c r="G2092" s="17">
        <v>764.6</v>
      </c>
      <c r="H2092" s="17">
        <v>950</v>
      </c>
      <c r="I2092" s="6">
        <f>Tabela1[[#This Row],[Valor total]]-Tabela1[[#This Row],[Valor custo]]</f>
        <v>185.39999999999998</v>
      </c>
      <c r="J2092" s="7">
        <f>Tabela1[[#This Row],[MARGEM BRUTA]]/Tabela1[[#This Row],[Valor total]]</f>
        <v>0.19515789473684209</v>
      </c>
      <c r="K2092" s="1" t="str">
        <f>VLOOKUP(Tabela1[[#This Row],[Cliente]],'BASE DE CLIENTES'!A:D,4,0)</f>
        <v>EMPRESA SEM MAQUINA</v>
      </c>
      <c r="L2092" s="1" t="str">
        <f>VLOOKUP(Tabela1[[#This Row],[Cliente]],'BASE DE CLIENTES'!A:E,5,0)</f>
        <v>RECANTO DAS EMAS</v>
      </c>
    </row>
    <row r="2093" spans="2:12" x14ac:dyDescent="0.3">
      <c r="B2093" s="1" t="s">
        <v>266</v>
      </c>
      <c r="C2093" s="4" t="str">
        <f>VLOOKUP(Tabela1[[#This Row],[Cliente]],'BASE DE CLIENTES'!A:E,2,0)</f>
        <v>MERCADO LIVRE</v>
      </c>
      <c r="D2093" s="1" t="str">
        <f>VLOOKUP(Tabela1[[#This Row],[Cliente]],'BASE DE CLIENTES'!A:C,3,0)</f>
        <v>MERCADO LIVRE</v>
      </c>
      <c r="E2093" s="4" t="str">
        <f>CONCATENATE(Tabela1[[#This Row],[CIDADE]],",",Tabela1[[#This Row],[UF]])</f>
        <v>MERCADO LIVRE,MERCADO LIVRE</v>
      </c>
      <c r="F2093" s="2">
        <v>45909</v>
      </c>
      <c r="G2093" s="17">
        <v>7.21</v>
      </c>
      <c r="H2093" s="17">
        <v>35</v>
      </c>
      <c r="I2093" s="6">
        <f>Tabela1[[#This Row],[Valor total]]-Tabela1[[#This Row],[Valor custo]]</f>
        <v>27.79</v>
      </c>
      <c r="J2093" s="7">
        <f>Tabela1[[#This Row],[MARGEM BRUTA]]/Tabela1[[#This Row],[Valor total]]</f>
        <v>0.79399999999999993</v>
      </c>
      <c r="K2093" s="1" t="str">
        <f>VLOOKUP(Tabela1[[#This Row],[Cliente]],'BASE DE CLIENTES'!A:D,4,0)</f>
        <v>OUTROS RAMOS</v>
      </c>
      <c r="L2093" s="1" t="str">
        <f>VLOOKUP(Tabela1[[#This Row],[Cliente]],'BASE DE CLIENTES'!A:E,5,0)</f>
        <v>MERCADO LIVRE</v>
      </c>
    </row>
    <row r="2094" spans="2:12" x14ac:dyDescent="0.3">
      <c r="B2094" s="1" t="s">
        <v>96</v>
      </c>
      <c r="C2094" s="4" t="str">
        <f>VLOOKUP(Tabela1[[#This Row],[Cliente]],'BASE DE CLIENTES'!A:E,2,0)</f>
        <v>Brasília</v>
      </c>
      <c r="D2094" s="1" t="str">
        <f>VLOOKUP(Tabela1[[#This Row],[Cliente]],'BASE DE CLIENTES'!A:C,3,0)</f>
        <v>DF</v>
      </c>
      <c r="E2094" s="4" t="str">
        <f>CONCATENATE(Tabela1[[#This Row],[CIDADE]],",",Tabela1[[#This Row],[UF]])</f>
        <v>Brasília,DF</v>
      </c>
      <c r="F2094" s="2">
        <v>45882</v>
      </c>
      <c r="G2094" s="17">
        <v>909</v>
      </c>
      <c r="H2094" s="17">
        <v>1400</v>
      </c>
      <c r="I2094" s="6">
        <f>Tabela1[[#This Row],[Valor total]]-Tabela1[[#This Row],[Valor custo]]</f>
        <v>491</v>
      </c>
      <c r="J2094" s="7">
        <f>Tabela1[[#This Row],[MARGEM BRUTA]]/Tabela1[[#This Row],[Valor total]]</f>
        <v>0.3507142857142857</v>
      </c>
      <c r="K2094" s="1" t="str">
        <f>VLOOKUP(Tabela1[[#This Row],[Cliente]],'BASE DE CLIENTES'!A:D,4,0)</f>
        <v>EMPRESA SEM MAQUINA</v>
      </c>
      <c r="L2094" s="1" t="str">
        <f>VLOOKUP(Tabela1[[#This Row],[Cliente]],'BASE DE CLIENTES'!A:E,5,0)</f>
        <v>CEILANDIA NORTE (CEILANDIA)</v>
      </c>
    </row>
    <row r="2095" spans="2:12" x14ac:dyDescent="0.3">
      <c r="B2095" s="1" t="s">
        <v>266</v>
      </c>
      <c r="C2095" s="4" t="str">
        <f>VLOOKUP(Tabela1[[#This Row],[Cliente]],'BASE DE CLIENTES'!A:E,2,0)</f>
        <v>MERCADO LIVRE</v>
      </c>
      <c r="D2095" s="1" t="str">
        <f>VLOOKUP(Tabela1[[#This Row],[Cliente]],'BASE DE CLIENTES'!A:C,3,0)</f>
        <v>MERCADO LIVRE</v>
      </c>
      <c r="E2095" s="4" t="str">
        <f>CONCATENATE(Tabela1[[#This Row],[CIDADE]],",",Tabela1[[#This Row],[UF]])</f>
        <v>MERCADO LIVRE,MERCADO LIVRE</v>
      </c>
      <c r="F2095" s="2">
        <v>45908</v>
      </c>
      <c r="G2095" s="17">
        <v>65</v>
      </c>
      <c r="H2095" s="17">
        <v>72.37</v>
      </c>
      <c r="I2095" s="6">
        <f>Tabela1[[#This Row],[Valor total]]-Tabela1[[#This Row],[Valor custo]]</f>
        <v>7.3700000000000045</v>
      </c>
      <c r="J2095" s="7">
        <f>Tabela1[[#This Row],[MARGEM BRUTA]]/Tabela1[[#This Row],[Valor total]]</f>
        <v>0.10183777808484185</v>
      </c>
      <c r="K2095" s="1" t="str">
        <f>VLOOKUP(Tabela1[[#This Row],[Cliente]],'BASE DE CLIENTES'!A:D,4,0)</f>
        <v>OUTROS RAMOS</v>
      </c>
      <c r="L2095" s="1" t="str">
        <f>VLOOKUP(Tabela1[[#This Row],[Cliente]],'BASE DE CLIENTES'!A:E,5,0)</f>
        <v>MERCADO LIVRE</v>
      </c>
    </row>
    <row r="2096" spans="2:12" x14ac:dyDescent="0.3">
      <c r="B2096" s="1" t="s">
        <v>267</v>
      </c>
      <c r="C2096" s="4" t="str">
        <f>VLOOKUP(Tabela1[[#This Row],[Cliente]],'BASE DE CLIENTES'!A:E,2,0)</f>
        <v>Brasília</v>
      </c>
      <c r="D2096" s="1" t="str">
        <f>VLOOKUP(Tabela1[[#This Row],[Cliente]],'BASE DE CLIENTES'!A:C,3,0)</f>
        <v>DF</v>
      </c>
      <c r="E2096" s="4" t="str">
        <f>CONCATENATE(Tabela1[[#This Row],[CIDADE]],",",Tabela1[[#This Row],[UF]])</f>
        <v>Brasília,DF</v>
      </c>
      <c r="F2096" s="2">
        <v>45926</v>
      </c>
      <c r="G2096" s="17">
        <v>122.74</v>
      </c>
      <c r="H2096" s="17">
        <v>180</v>
      </c>
      <c r="I2096" s="6">
        <f>Tabela1[[#This Row],[Valor total]]-Tabela1[[#This Row],[Valor custo]]</f>
        <v>57.260000000000005</v>
      </c>
      <c r="J2096" s="7">
        <f>Tabela1[[#This Row],[MARGEM BRUTA]]/Tabela1[[#This Row],[Valor total]]</f>
        <v>0.31811111111111112</v>
      </c>
      <c r="K2096" s="1" t="str">
        <f>VLOOKUP(Tabela1[[#This Row],[Cliente]],'BASE DE CLIENTES'!A:D,4,0)</f>
        <v>SEM CLASSIFICAÇÃO</v>
      </c>
      <c r="L2096" s="1" t="str">
        <f>VLOOKUP(Tabela1[[#This Row],[Cliente]],'BASE DE CLIENTES'!A:E,5,0)</f>
        <v>TAGUATINGA NORTE</v>
      </c>
    </row>
    <row r="2097" spans="2:12" x14ac:dyDescent="0.3">
      <c r="B2097" s="1" t="s">
        <v>78</v>
      </c>
      <c r="C2097" s="4" t="str">
        <f>VLOOKUP(Tabela1[[#This Row],[Cliente]],'BASE DE CLIENTES'!A:E,2,0)</f>
        <v>Brasília</v>
      </c>
      <c r="D2097" s="1" t="str">
        <f>VLOOKUP(Tabela1[[#This Row],[Cliente]],'BASE DE CLIENTES'!A:C,3,0)</f>
        <v>DF</v>
      </c>
      <c r="E2097" s="4" t="str">
        <f>CONCATENATE(Tabela1[[#This Row],[CIDADE]],",",Tabela1[[#This Row],[UF]])</f>
        <v>Brasília,DF</v>
      </c>
      <c r="F2097" s="2">
        <v>45882</v>
      </c>
      <c r="G2097" s="17">
        <v>2774</v>
      </c>
      <c r="H2097" s="17">
        <v>4800</v>
      </c>
      <c r="I2097" s="6">
        <f>Tabela1[[#This Row],[Valor total]]-Tabela1[[#This Row],[Valor custo]]</f>
        <v>2026</v>
      </c>
      <c r="J2097" s="7">
        <f>Tabela1[[#This Row],[MARGEM BRUTA]]/Tabela1[[#This Row],[Valor total]]</f>
        <v>0.42208333333333331</v>
      </c>
      <c r="K2097" s="1" t="str">
        <f>VLOOKUP(Tabela1[[#This Row],[Cliente]],'BASE DE CLIENTES'!A:D,4,0)</f>
        <v>SERRALHEIRO</v>
      </c>
      <c r="L2097" s="1" t="str">
        <f>VLOOKUP(Tabela1[[#This Row],[Cliente]],'BASE DE CLIENTES'!A:E,5,0)</f>
        <v>Vila do Boa (São Sebastião)</v>
      </c>
    </row>
    <row r="2098" spans="2:12" x14ac:dyDescent="0.3">
      <c r="B2098" s="1" t="s">
        <v>266</v>
      </c>
      <c r="C2098" s="4" t="str">
        <f>VLOOKUP(Tabela1[[#This Row],[Cliente]],'BASE DE CLIENTES'!A:E,2,0)</f>
        <v>MERCADO LIVRE</v>
      </c>
      <c r="D2098" s="1" t="str">
        <f>VLOOKUP(Tabela1[[#This Row],[Cliente]],'BASE DE CLIENTES'!A:C,3,0)</f>
        <v>MERCADO LIVRE</v>
      </c>
      <c r="E2098" s="4" t="str">
        <f>CONCATENATE(Tabela1[[#This Row],[CIDADE]],",",Tabela1[[#This Row],[UF]])</f>
        <v>MERCADO LIVRE,MERCADO LIVRE</v>
      </c>
      <c r="F2098" s="2">
        <v>45908</v>
      </c>
      <c r="G2098" s="17">
        <v>65</v>
      </c>
      <c r="H2098" s="17">
        <v>72.37</v>
      </c>
      <c r="I2098" s="6">
        <f>Tabela1[[#This Row],[Valor total]]-Tabela1[[#This Row],[Valor custo]]</f>
        <v>7.3700000000000045</v>
      </c>
      <c r="J2098" s="7">
        <f>Tabela1[[#This Row],[MARGEM BRUTA]]/Tabela1[[#This Row],[Valor total]]</f>
        <v>0.10183777808484185</v>
      </c>
      <c r="K2098" s="1" t="str">
        <f>VLOOKUP(Tabela1[[#This Row],[Cliente]],'BASE DE CLIENTES'!A:D,4,0)</f>
        <v>OUTROS RAMOS</v>
      </c>
      <c r="L2098" s="1" t="str">
        <f>VLOOKUP(Tabela1[[#This Row],[Cliente]],'BASE DE CLIENTES'!A:E,5,0)</f>
        <v>MERCADO LIVRE</v>
      </c>
    </row>
    <row r="2099" spans="2:12" x14ac:dyDescent="0.3">
      <c r="B2099" s="1" t="s">
        <v>42</v>
      </c>
      <c r="C2099" s="4" t="str">
        <f>VLOOKUP(Tabela1[[#This Row],[Cliente]],'BASE DE CLIENTES'!A:E,2,0)</f>
        <v>Brasília</v>
      </c>
      <c r="D2099" s="1" t="str">
        <f>VLOOKUP(Tabela1[[#This Row],[Cliente]],'BASE DE CLIENTES'!A:C,3,0)</f>
        <v>DF</v>
      </c>
      <c r="E2099" s="4" t="str">
        <f>CONCATENATE(Tabela1[[#This Row],[CIDADE]],",",Tabela1[[#This Row],[UF]])</f>
        <v>Brasília,DF</v>
      </c>
      <c r="F2099" s="2">
        <v>45882</v>
      </c>
      <c r="G2099" s="17">
        <v>73.14</v>
      </c>
      <c r="H2099" s="17">
        <v>90</v>
      </c>
      <c r="I2099" s="6">
        <f>Tabela1[[#This Row],[Valor total]]-Tabela1[[#This Row],[Valor custo]]</f>
        <v>16.86</v>
      </c>
      <c r="J2099" s="7">
        <f>Tabela1[[#This Row],[MARGEM BRUTA]]/Tabela1[[#This Row],[Valor total]]</f>
        <v>0.18733333333333332</v>
      </c>
      <c r="K2099" s="1" t="str">
        <f>VLOOKUP(Tabela1[[#This Row],[Cliente]],'BASE DE CLIENTES'!A:D,4,0)</f>
        <v>EMPRESA SEM MAQUINA</v>
      </c>
      <c r="L2099" s="1" t="str">
        <f>VLOOKUP(Tabela1[[#This Row],[Cliente]],'BASE DE CLIENTES'!A:E,5,0)</f>
        <v>SAMAMBAIA</v>
      </c>
    </row>
    <row r="2100" spans="2:12" x14ac:dyDescent="0.3">
      <c r="B2100" s="1" t="s">
        <v>42</v>
      </c>
      <c r="C2100" s="4" t="str">
        <f>VLOOKUP(Tabela1[[#This Row],[Cliente]],'BASE DE CLIENTES'!A:E,2,0)</f>
        <v>Brasília</v>
      </c>
      <c r="D2100" s="1" t="str">
        <f>VLOOKUP(Tabela1[[#This Row],[Cliente]],'BASE DE CLIENTES'!A:C,3,0)</f>
        <v>DF</v>
      </c>
      <c r="E2100" s="4" t="str">
        <f>CONCATENATE(Tabela1[[#This Row],[CIDADE]],",",Tabela1[[#This Row],[UF]])</f>
        <v>Brasília,DF</v>
      </c>
      <c r="F2100" s="2">
        <v>45882</v>
      </c>
      <c r="G2100" s="17">
        <v>3109.27</v>
      </c>
      <c r="H2100" s="17">
        <v>5080</v>
      </c>
      <c r="I2100" s="6">
        <f>Tabela1[[#This Row],[Valor total]]-Tabela1[[#This Row],[Valor custo]]</f>
        <v>1970.73</v>
      </c>
      <c r="J2100" s="7">
        <f>Tabela1[[#This Row],[MARGEM BRUTA]]/Tabela1[[#This Row],[Valor total]]</f>
        <v>0.38793897637795277</v>
      </c>
      <c r="K2100" s="1" t="str">
        <f>VLOOKUP(Tabela1[[#This Row],[Cliente]],'BASE DE CLIENTES'!A:D,4,0)</f>
        <v>EMPRESA SEM MAQUINA</v>
      </c>
      <c r="L2100" s="1" t="str">
        <f>VLOOKUP(Tabela1[[#This Row],[Cliente]],'BASE DE CLIENTES'!A:E,5,0)</f>
        <v>SAMAMBAIA</v>
      </c>
    </row>
    <row r="2101" spans="2:12" x14ac:dyDescent="0.3">
      <c r="B2101" s="1" t="s">
        <v>55</v>
      </c>
      <c r="C2101" s="4" t="str">
        <f>VLOOKUP(Tabela1[[#This Row],[Cliente]],'BASE DE CLIENTES'!A:E,2,0)</f>
        <v>Brasília</v>
      </c>
      <c r="D2101" s="1" t="str">
        <f>VLOOKUP(Tabela1[[#This Row],[Cliente]],'BASE DE CLIENTES'!A:C,3,0)</f>
        <v>DF</v>
      </c>
      <c r="E2101" s="4" t="str">
        <f>CONCATENATE(Tabela1[[#This Row],[CIDADE]],",",Tabela1[[#This Row],[UF]])</f>
        <v>Brasília,DF</v>
      </c>
      <c r="F2101" s="2">
        <v>45881</v>
      </c>
      <c r="G2101" s="17">
        <v>404.1</v>
      </c>
      <c r="H2101" s="17">
        <v>735</v>
      </c>
      <c r="I2101" s="6">
        <f>Tabela1[[#This Row],[Valor total]]-Tabela1[[#This Row],[Valor custo]]</f>
        <v>330.9</v>
      </c>
      <c r="J2101" s="7">
        <f>Tabela1[[#This Row],[MARGEM BRUTA]]/Tabela1[[#This Row],[Valor total]]</f>
        <v>0.45020408163265302</v>
      </c>
      <c r="K2101" s="1" t="str">
        <f>VLOOKUP(Tabela1[[#This Row],[Cliente]],'BASE DE CLIENTES'!A:D,4,0)</f>
        <v>EMPRESA SEM MAQUINA</v>
      </c>
      <c r="L2101" s="1" t="str">
        <f>VLOOKUP(Tabela1[[#This Row],[Cliente]],'BASE DE CLIENTES'!A:E,5,0)</f>
        <v>RECANTO DAS EMAS</v>
      </c>
    </row>
    <row r="2102" spans="2:12" x14ac:dyDescent="0.3">
      <c r="B2102" s="1" t="s">
        <v>169</v>
      </c>
      <c r="C2102" s="4" t="str">
        <f>VLOOKUP(Tabela1[[#This Row],[Cliente]],'BASE DE CLIENTES'!A:E,2,0)</f>
        <v>Planaltina</v>
      </c>
      <c r="D2102" s="1" t="str">
        <f>VLOOKUP(Tabela1[[#This Row],[Cliente]],'BASE DE CLIENTES'!A:C,3,0)</f>
        <v>GO</v>
      </c>
      <c r="E2102" s="4" t="str">
        <f>CONCATENATE(Tabela1[[#This Row],[CIDADE]],",",Tabela1[[#This Row],[UF]])</f>
        <v>Planaltina,GO</v>
      </c>
      <c r="F2102" s="2">
        <v>45881</v>
      </c>
      <c r="G2102" s="17">
        <v>13.69</v>
      </c>
      <c r="H2102" s="17">
        <v>120</v>
      </c>
      <c r="I2102" s="6">
        <f>Tabela1[[#This Row],[Valor total]]-Tabela1[[#This Row],[Valor custo]]</f>
        <v>106.31</v>
      </c>
      <c r="J2102" s="7">
        <f>Tabela1[[#This Row],[MARGEM BRUTA]]/Tabela1[[#This Row],[Valor total]]</f>
        <v>0.88591666666666669</v>
      </c>
      <c r="K2102" s="1" t="str">
        <f>VLOOKUP(Tabela1[[#This Row],[Cliente]],'BASE DE CLIENTES'!A:D,4,0)</f>
        <v>SERRALHEIRO</v>
      </c>
      <c r="L2102" s="1" t="str">
        <f>VLOOKUP(Tabela1[[#This Row],[Cliente]],'BASE DE CLIENTES'!A:E,5,0)</f>
        <v>Planaltina</v>
      </c>
    </row>
    <row r="2103" spans="2:12" x14ac:dyDescent="0.3">
      <c r="B2103" s="1" t="s">
        <v>106</v>
      </c>
      <c r="C2103" s="4" t="str">
        <f>VLOOKUP(Tabela1[[#This Row],[Cliente]],'BASE DE CLIENTES'!A:E,2,0)</f>
        <v>Brasília</v>
      </c>
      <c r="D2103" s="1" t="str">
        <f>VLOOKUP(Tabela1[[#This Row],[Cliente]],'BASE DE CLIENTES'!A:C,3,0)</f>
        <v>DF</v>
      </c>
      <c r="E2103" s="4" t="str">
        <f>CONCATENATE(Tabela1[[#This Row],[CIDADE]],",",Tabela1[[#This Row],[UF]])</f>
        <v>Brasília,DF</v>
      </c>
      <c r="F2103" s="2">
        <v>45881</v>
      </c>
      <c r="G2103" s="17">
        <v>764.6</v>
      </c>
      <c r="H2103" s="17">
        <v>1200</v>
      </c>
      <c r="I2103" s="6">
        <f>Tabela1[[#This Row],[Valor total]]-Tabela1[[#This Row],[Valor custo]]</f>
        <v>435.4</v>
      </c>
      <c r="J2103" s="7">
        <f>Tabela1[[#This Row],[MARGEM BRUTA]]/Tabela1[[#This Row],[Valor total]]</f>
        <v>0.36283333333333334</v>
      </c>
      <c r="K2103" s="1" t="str">
        <f>VLOOKUP(Tabela1[[#This Row],[Cliente]],'BASE DE CLIENTES'!A:D,4,0)</f>
        <v>EMPRESA COM MAQUINA</v>
      </c>
      <c r="L2103" s="1" t="str">
        <f>VLOOKUP(Tabela1[[#This Row],[Cliente]],'BASE DE CLIENTES'!A:E,5,0)</f>
        <v>26 DE SETEMBRO</v>
      </c>
    </row>
    <row r="2104" spans="2:12" x14ac:dyDescent="0.3">
      <c r="B2104" s="1" t="s">
        <v>266</v>
      </c>
      <c r="C2104" s="4" t="str">
        <f>VLOOKUP(Tabela1[[#This Row],[Cliente]],'BASE DE CLIENTES'!A:E,2,0)</f>
        <v>MERCADO LIVRE</v>
      </c>
      <c r="D2104" s="1" t="str">
        <f>VLOOKUP(Tabela1[[#This Row],[Cliente]],'BASE DE CLIENTES'!A:C,3,0)</f>
        <v>MERCADO LIVRE</v>
      </c>
      <c r="E2104" s="4" t="str">
        <f>CONCATENATE(Tabela1[[#This Row],[CIDADE]],",",Tabela1[[#This Row],[UF]])</f>
        <v>MERCADO LIVRE,MERCADO LIVRE</v>
      </c>
      <c r="F2104" s="2">
        <v>45907</v>
      </c>
      <c r="G2104" s="17">
        <v>14.42</v>
      </c>
      <c r="H2104" s="17">
        <v>71.94</v>
      </c>
      <c r="I2104" s="6">
        <f>Tabela1[[#This Row],[Valor total]]-Tabela1[[#This Row],[Valor custo]]</f>
        <v>57.519999999999996</v>
      </c>
      <c r="J2104" s="7">
        <f>Tabela1[[#This Row],[MARGEM BRUTA]]/Tabela1[[#This Row],[Valor total]]</f>
        <v>0.79955518487628574</v>
      </c>
      <c r="K2104" s="1" t="str">
        <f>VLOOKUP(Tabela1[[#This Row],[Cliente]],'BASE DE CLIENTES'!A:D,4,0)</f>
        <v>OUTROS RAMOS</v>
      </c>
      <c r="L2104" s="1" t="str">
        <f>VLOOKUP(Tabela1[[#This Row],[Cliente]],'BASE DE CLIENTES'!A:E,5,0)</f>
        <v>MERCADO LIVRE</v>
      </c>
    </row>
    <row r="2105" spans="2:12" x14ac:dyDescent="0.3">
      <c r="B2105" s="1" t="s">
        <v>266</v>
      </c>
      <c r="C2105" s="4" t="str">
        <f>VLOOKUP(Tabela1[[#This Row],[Cliente]],'BASE DE CLIENTES'!A:E,2,0)</f>
        <v>MERCADO LIVRE</v>
      </c>
      <c r="D2105" s="1" t="str">
        <f>VLOOKUP(Tabela1[[#This Row],[Cliente]],'BASE DE CLIENTES'!A:C,3,0)</f>
        <v>MERCADO LIVRE</v>
      </c>
      <c r="E2105" s="4" t="str">
        <f>CONCATENATE(Tabela1[[#This Row],[CIDADE]],",",Tabela1[[#This Row],[UF]])</f>
        <v>MERCADO LIVRE,MERCADO LIVRE</v>
      </c>
      <c r="F2105" s="2">
        <v>45905</v>
      </c>
      <c r="G2105" s="17">
        <v>7.21</v>
      </c>
      <c r="H2105" s="17">
        <v>35</v>
      </c>
      <c r="I2105" s="6">
        <f>Tabela1[[#This Row],[Valor total]]-Tabela1[[#This Row],[Valor custo]]</f>
        <v>27.79</v>
      </c>
      <c r="J2105" s="7">
        <f>Tabela1[[#This Row],[MARGEM BRUTA]]/Tabela1[[#This Row],[Valor total]]</f>
        <v>0.79399999999999993</v>
      </c>
      <c r="K2105" s="1" t="str">
        <f>VLOOKUP(Tabela1[[#This Row],[Cliente]],'BASE DE CLIENTES'!A:D,4,0)</f>
        <v>OUTROS RAMOS</v>
      </c>
      <c r="L2105" s="1" t="str">
        <f>VLOOKUP(Tabela1[[#This Row],[Cliente]],'BASE DE CLIENTES'!A:E,5,0)</f>
        <v>MERCADO LIVRE</v>
      </c>
    </row>
    <row r="2106" spans="2:12" x14ac:dyDescent="0.3">
      <c r="B2106" s="1" t="s">
        <v>230</v>
      </c>
      <c r="C2106" s="4" t="str">
        <f>VLOOKUP(Tabela1[[#This Row],[Cliente]],'BASE DE CLIENTES'!A:E,2,0)</f>
        <v>Brasília</v>
      </c>
      <c r="D2106" s="1" t="str">
        <f>VLOOKUP(Tabela1[[#This Row],[Cliente]],'BASE DE CLIENTES'!A:C,3,0)</f>
        <v>DF</v>
      </c>
      <c r="E2106" s="4" t="str">
        <f>CONCATENATE(Tabela1[[#This Row],[CIDADE]],",",Tabela1[[#This Row],[UF]])</f>
        <v>Brasília,DF</v>
      </c>
      <c r="F2106" s="2">
        <v>45881</v>
      </c>
      <c r="G2106" s="17">
        <v>382.3</v>
      </c>
      <c r="H2106" s="17">
        <v>600</v>
      </c>
      <c r="I2106" s="6">
        <f>Tabela1[[#This Row],[Valor total]]-Tabela1[[#This Row],[Valor custo]]</f>
        <v>217.7</v>
      </c>
      <c r="J2106" s="7">
        <f>Tabela1[[#This Row],[MARGEM BRUTA]]/Tabela1[[#This Row],[Valor total]]</f>
        <v>0.36283333333333334</v>
      </c>
      <c r="K2106" s="1" t="str">
        <f>VLOOKUP(Tabela1[[#This Row],[Cliente]],'BASE DE CLIENTES'!A:D,4,0)</f>
        <v>SERRALHEIRO</v>
      </c>
      <c r="L2106" s="1" t="str">
        <f>VLOOKUP(Tabela1[[#This Row],[Cliente]],'BASE DE CLIENTES'!A:E,5,0)</f>
        <v>SETOR HABITACIONAL SAMAMBAIA (VICENTE PIRES)</v>
      </c>
    </row>
    <row r="2107" spans="2:12" x14ac:dyDescent="0.3">
      <c r="B2107" s="1" t="s">
        <v>52</v>
      </c>
      <c r="C2107" s="4" t="str">
        <f>VLOOKUP(Tabela1[[#This Row],[Cliente]],'BASE DE CLIENTES'!A:E,2,0)</f>
        <v>Brasília</v>
      </c>
      <c r="D2107" s="1" t="str">
        <f>VLOOKUP(Tabela1[[#This Row],[Cliente]],'BASE DE CLIENTES'!A:C,3,0)</f>
        <v>DF</v>
      </c>
      <c r="E2107" s="4" t="str">
        <f>CONCATENATE(Tabela1[[#This Row],[CIDADE]],",",Tabela1[[#This Row],[UF]])</f>
        <v>Brasília,DF</v>
      </c>
      <c r="F2107" s="2">
        <v>45881</v>
      </c>
      <c r="G2107" s="17">
        <v>865.58</v>
      </c>
      <c r="H2107" s="17">
        <v>1400</v>
      </c>
      <c r="I2107" s="6">
        <f>Tabela1[[#This Row],[Valor total]]-Tabela1[[#This Row],[Valor custo]]</f>
        <v>534.41999999999996</v>
      </c>
      <c r="J2107" s="7">
        <f>Tabela1[[#This Row],[MARGEM BRUTA]]/Tabela1[[#This Row],[Valor total]]</f>
        <v>0.38172857142857142</v>
      </c>
      <c r="K2107" s="1" t="str">
        <f>VLOOKUP(Tabela1[[#This Row],[Cliente]],'BASE DE CLIENTES'!A:D,4,0)</f>
        <v>SERRALHEIRO</v>
      </c>
      <c r="L2107" s="1" t="str">
        <f>VLOOKUP(Tabela1[[#This Row],[Cliente]],'BASE DE CLIENTES'!A:E,5,0)</f>
        <v>Ceilândia Sul (Ceilândia)</v>
      </c>
    </row>
    <row r="2108" spans="2:12" x14ac:dyDescent="0.3">
      <c r="B2108" s="1" t="s">
        <v>68</v>
      </c>
      <c r="C2108" s="4" t="str">
        <f>VLOOKUP(Tabela1[[#This Row],[Cliente]],'BASE DE CLIENTES'!A:E,2,0)</f>
        <v>Brasília</v>
      </c>
      <c r="D2108" s="1" t="str">
        <f>VLOOKUP(Tabela1[[#This Row],[Cliente]],'BASE DE CLIENTES'!A:C,3,0)</f>
        <v>DF</v>
      </c>
      <c r="E2108" s="4" t="str">
        <f>CONCATENATE(Tabela1[[#This Row],[CIDADE]],",",Tabela1[[#This Row],[UF]])</f>
        <v>Brasília,DF</v>
      </c>
      <c r="F2108" s="2">
        <v>45881</v>
      </c>
      <c r="G2108" s="17">
        <v>122.74</v>
      </c>
      <c r="H2108" s="17">
        <v>170</v>
      </c>
      <c r="I2108" s="6">
        <f>Tabela1[[#This Row],[Valor total]]-Tabela1[[#This Row],[Valor custo]]</f>
        <v>47.260000000000005</v>
      </c>
      <c r="J2108" s="7">
        <f>Tabela1[[#This Row],[MARGEM BRUTA]]/Tabela1[[#This Row],[Valor total]]</f>
        <v>0.27800000000000002</v>
      </c>
      <c r="K2108" s="1" t="str">
        <f>VLOOKUP(Tabela1[[#This Row],[Cliente]],'BASE DE CLIENTES'!A:D,4,0)</f>
        <v>EMPRESA COM MAQUINA</v>
      </c>
      <c r="L2108" s="1" t="str">
        <f>VLOOKUP(Tabela1[[#This Row],[Cliente]],'BASE DE CLIENTES'!A:E,5,0)</f>
        <v>SAMAMBAIA SUL (SAMAMBAIA)</v>
      </c>
    </row>
    <row r="2109" spans="2:12" x14ac:dyDescent="0.3">
      <c r="B2109" s="1" t="s">
        <v>266</v>
      </c>
      <c r="C2109" s="4" t="str">
        <f>VLOOKUP(Tabela1[[#This Row],[Cliente]],'BASE DE CLIENTES'!A:E,2,0)</f>
        <v>MERCADO LIVRE</v>
      </c>
      <c r="D2109" s="1" t="str">
        <f>VLOOKUP(Tabela1[[#This Row],[Cliente]],'BASE DE CLIENTES'!A:C,3,0)</f>
        <v>MERCADO LIVRE</v>
      </c>
      <c r="E2109" s="4" t="str">
        <f>CONCATENATE(Tabela1[[#This Row],[CIDADE]],",",Tabela1[[#This Row],[UF]])</f>
        <v>MERCADO LIVRE,MERCADO LIVRE</v>
      </c>
      <c r="F2109" s="2">
        <v>45904</v>
      </c>
      <c r="G2109" s="17">
        <v>7.21</v>
      </c>
      <c r="H2109" s="17">
        <v>35</v>
      </c>
      <c r="I2109" s="6">
        <f>Tabela1[[#This Row],[Valor total]]-Tabela1[[#This Row],[Valor custo]]</f>
        <v>27.79</v>
      </c>
      <c r="J2109" s="7">
        <f>Tabela1[[#This Row],[MARGEM BRUTA]]/Tabela1[[#This Row],[Valor total]]</f>
        <v>0.79399999999999993</v>
      </c>
      <c r="K2109" s="1" t="str">
        <f>VLOOKUP(Tabela1[[#This Row],[Cliente]],'BASE DE CLIENTES'!A:D,4,0)</f>
        <v>OUTROS RAMOS</v>
      </c>
      <c r="L2109" s="1" t="str">
        <f>VLOOKUP(Tabela1[[#This Row],[Cliente]],'BASE DE CLIENTES'!A:E,5,0)</f>
        <v>MERCADO LIVRE</v>
      </c>
    </row>
    <row r="2110" spans="2:12" x14ac:dyDescent="0.3">
      <c r="B2110" s="1" t="s">
        <v>266</v>
      </c>
      <c r="C2110" s="4" t="str">
        <f>VLOOKUP(Tabela1[[#This Row],[Cliente]],'BASE DE CLIENTES'!A:E,2,0)</f>
        <v>MERCADO LIVRE</v>
      </c>
      <c r="D2110" s="1" t="str">
        <f>VLOOKUP(Tabela1[[#This Row],[Cliente]],'BASE DE CLIENTES'!A:C,3,0)</f>
        <v>MERCADO LIVRE</v>
      </c>
      <c r="E2110" s="4" t="str">
        <f>CONCATENATE(Tabela1[[#This Row],[CIDADE]],",",Tabela1[[#This Row],[UF]])</f>
        <v>MERCADO LIVRE,MERCADO LIVRE</v>
      </c>
      <c r="F2110" s="2">
        <v>45904</v>
      </c>
      <c r="G2110" s="17">
        <v>7.21</v>
      </c>
      <c r="H2110" s="17">
        <v>62.93</v>
      </c>
      <c r="I2110" s="6">
        <f>Tabela1[[#This Row],[Valor total]]-Tabela1[[#This Row],[Valor custo]]</f>
        <v>55.72</v>
      </c>
      <c r="J2110" s="7">
        <f>Tabela1[[#This Row],[MARGEM BRUTA]]/Tabela1[[#This Row],[Valor total]]</f>
        <v>0.88542825361512789</v>
      </c>
      <c r="K2110" s="1" t="str">
        <f>VLOOKUP(Tabela1[[#This Row],[Cliente]],'BASE DE CLIENTES'!A:D,4,0)</f>
        <v>OUTROS RAMOS</v>
      </c>
      <c r="L2110" s="1" t="str">
        <f>VLOOKUP(Tabela1[[#This Row],[Cliente]],'BASE DE CLIENTES'!A:E,5,0)</f>
        <v>MERCADO LIVRE</v>
      </c>
    </row>
    <row r="2111" spans="2:12" x14ac:dyDescent="0.3">
      <c r="B2111" s="1" t="s">
        <v>266</v>
      </c>
      <c r="C2111" s="4" t="str">
        <f>VLOOKUP(Tabela1[[#This Row],[Cliente]],'BASE DE CLIENTES'!A:E,2,0)</f>
        <v>MERCADO LIVRE</v>
      </c>
      <c r="D2111" s="1" t="str">
        <f>VLOOKUP(Tabela1[[#This Row],[Cliente]],'BASE DE CLIENTES'!A:C,3,0)</f>
        <v>MERCADO LIVRE</v>
      </c>
      <c r="E2111" s="4" t="str">
        <f>CONCATENATE(Tabela1[[#This Row],[CIDADE]],",",Tabela1[[#This Row],[UF]])</f>
        <v>MERCADO LIVRE,MERCADO LIVRE</v>
      </c>
      <c r="F2111" s="2">
        <v>45904</v>
      </c>
      <c r="G2111" s="17">
        <v>28.84</v>
      </c>
      <c r="H2111" s="17">
        <v>111.72</v>
      </c>
      <c r="I2111" s="6">
        <f>Tabela1[[#This Row],[Valor total]]-Tabela1[[#This Row],[Valor custo]]</f>
        <v>82.88</v>
      </c>
      <c r="J2111" s="7">
        <f>Tabela1[[#This Row],[MARGEM BRUTA]]/Tabela1[[#This Row],[Valor total]]</f>
        <v>0.74185463659147866</v>
      </c>
      <c r="K2111" s="1" t="str">
        <f>VLOOKUP(Tabela1[[#This Row],[Cliente]],'BASE DE CLIENTES'!A:D,4,0)</f>
        <v>OUTROS RAMOS</v>
      </c>
      <c r="L2111" s="1" t="str">
        <f>VLOOKUP(Tabela1[[#This Row],[Cliente]],'BASE DE CLIENTES'!A:E,5,0)</f>
        <v>MERCADO LIVRE</v>
      </c>
    </row>
    <row r="2112" spans="2:12" x14ac:dyDescent="0.3">
      <c r="B2112" s="1" t="s">
        <v>266</v>
      </c>
      <c r="C2112" s="4" t="str">
        <f>VLOOKUP(Tabela1[[#This Row],[Cliente]],'BASE DE CLIENTES'!A:E,2,0)</f>
        <v>MERCADO LIVRE</v>
      </c>
      <c r="D2112" s="1" t="str">
        <f>VLOOKUP(Tabela1[[#This Row],[Cliente]],'BASE DE CLIENTES'!A:C,3,0)</f>
        <v>MERCADO LIVRE</v>
      </c>
      <c r="E2112" s="4" t="str">
        <f>CONCATENATE(Tabela1[[#This Row],[CIDADE]],",",Tabela1[[#This Row],[UF]])</f>
        <v>MERCADO LIVRE,MERCADO LIVRE</v>
      </c>
      <c r="F2112" s="2">
        <v>45904</v>
      </c>
      <c r="G2112" s="17">
        <v>7.21</v>
      </c>
      <c r="H2112" s="17">
        <v>27.93</v>
      </c>
      <c r="I2112" s="6">
        <f>Tabela1[[#This Row],[Valor total]]-Tabela1[[#This Row],[Valor custo]]</f>
        <v>20.72</v>
      </c>
      <c r="J2112" s="7">
        <f>Tabela1[[#This Row],[MARGEM BRUTA]]/Tabela1[[#This Row],[Valor total]]</f>
        <v>0.74185463659147866</v>
      </c>
      <c r="K2112" s="1" t="str">
        <f>VLOOKUP(Tabela1[[#This Row],[Cliente]],'BASE DE CLIENTES'!A:D,4,0)</f>
        <v>OUTROS RAMOS</v>
      </c>
      <c r="L2112" s="1" t="str">
        <f>VLOOKUP(Tabela1[[#This Row],[Cliente]],'BASE DE CLIENTES'!A:E,5,0)</f>
        <v>MERCADO LIVRE</v>
      </c>
    </row>
    <row r="2113" spans="2:12" x14ac:dyDescent="0.3">
      <c r="B2113" s="1" t="s">
        <v>266</v>
      </c>
      <c r="C2113" s="4" t="str">
        <f>VLOOKUP(Tabela1[[#This Row],[Cliente]],'BASE DE CLIENTES'!A:E,2,0)</f>
        <v>MERCADO LIVRE</v>
      </c>
      <c r="D2113" s="1" t="str">
        <f>VLOOKUP(Tabela1[[#This Row],[Cliente]],'BASE DE CLIENTES'!A:C,3,0)</f>
        <v>MERCADO LIVRE</v>
      </c>
      <c r="E2113" s="4" t="str">
        <f>CONCATENATE(Tabela1[[#This Row],[CIDADE]],",",Tabela1[[#This Row],[UF]])</f>
        <v>MERCADO LIVRE,MERCADO LIVRE</v>
      </c>
      <c r="F2113" s="2">
        <v>45903</v>
      </c>
      <c r="G2113" s="17">
        <v>7.21</v>
      </c>
      <c r="H2113" s="17">
        <v>35</v>
      </c>
      <c r="I2113" s="6">
        <f>Tabela1[[#This Row],[Valor total]]-Tabela1[[#This Row],[Valor custo]]</f>
        <v>27.79</v>
      </c>
      <c r="J2113" s="7">
        <f>Tabela1[[#This Row],[MARGEM BRUTA]]/Tabela1[[#This Row],[Valor total]]</f>
        <v>0.79399999999999993</v>
      </c>
      <c r="K2113" s="1" t="str">
        <f>VLOOKUP(Tabela1[[#This Row],[Cliente]],'BASE DE CLIENTES'!A:D,4,0)</f>
        <v>OUTROS RAMOS</v>
      </c>
      <c r="L2113" s="1" t="str">
        <f>VLOOKUP(Tabela1[[#This Row],[Cliente]],'BASE DE CLIENTES'!A:E,5,0)</f>
        <v>MERCADO LIVRE</v>
      </c>
    </row>
    <row r="2114" spans="2:12" x14ac:dyDescent="0.3">
      <c r="B2114" s="1" t="s">
        <v>266</v>
      </c>
      <c r="C2114" s="4" t="str">
        <f>VLOOKUP(Tabela1[[#This Row],[Cliente]],'BASE DE CLIENTES'!A:E,2,0)</f>
        <v>MERCADO LIVRE</v>
      </c>
      <c r="D2114" s="1" t="str">
        <f>VLOOKUP(Tabela1[[#This Row],[Cliente]],'BASE DE CLIENTES'!A:C,3,0)</f>
        <v>MERCADO LIVRE</v>
      </c>
      <c r="E2114" s="4" t="str">
        <f>CONCATENATE(Tabela1[[#This Row],[CIDADE]],",",Tabela1[[#This Row],[UF]])</f>
        <v>MERCADO LIVRE,MERCADO LIVRE</v>
      </c>
      <c r="F2114" s="2">
        <v>45903</v>
      </c>
      <c r="G2114" s="17">
        <v>14.42</v>
      </c>
      <c r="H2114" s="17">
        <v>55.86</v>
      </c>
      <c r="I2114" s="6">
        <f>Tabela1[[#This Row],[Valor total]]-Tabela1[[#This Row],[Valor custo]]</f>
        <v>41.44</v>
      </c>
      <c r="J2114" s="7">
        <f>Tabela1[[#This Row],[MARGEM BRUTA]]/Tabela1[[#This Row],[Valor total]]</f>
        <v>0.74185463659147866</v>
      </c>
      <c r="K2114" s="1" t="str">
        <f>VLOOKUP(Tabela1[[#This Row],[Cliente]],'BASE DE CLIENTES'!A:D,4,0)</f>
        <v>OUTROS RAMOS</v>
      </c>
      <c r="L2114" s="1" t="str">
        <f>VLOOKUP(Tabela1[[#This Row],[Cliente]],'BASE DE CLIENTES'!A:E,5,0)</f>
        <v>MERCADO LIVRE</v>
      </c>
    </row>
    <row r="2115" spans="2:12" x14ac:dyDescent="0.3">
      <c r="B2115" s="1" t="s">
        <v>266</v>
      </c>
      <c r="C2115" s="4" t="str">
        <f>VLOOKUP(Tabela1[[#This Row],[Cliente]],'BASE DE CLIENTES'!A:E,2,0)</f>
        <v>MERCADO LIVRE</v>
      </c>
      <c r="D2115" s="1" t="str">
        <f>VLOOKUP(Tabela1[[#This Row],[Cliente]],'BASE DE CLIENTES'!A:C,3,0)</f>
        <v>MERCADO LIVRE</v>
      </c>
      <c r="E2115" s="4" t="str">
        <f>CONCATENATE(Tabela1[[#This Row],[CIDADE]],",",Tabela1[[#This Row],[UF]])</f>
        <v>MERCADO LIVRE,MERCADO LIVRE</v>
      </c>
      <c r="F2115" s="2">
        <v>45903</v>
      </c>
      <c r="G2115" s="17">
        <v>21.63</v>
      </c>
      <c r="H2115" s="17">
        <v>83.79</v>
      </c>
      <c r="I2115" s="6">
        <f>Tabela1[[#This Row],[Valor total]]-Tabela1[[#This Row],[Valor custo]]</f>
        <v>62.160000000000011</v>
      </c>
      <c r="J2115" s="7">
        <f>Tabela1[[#This Row],[MARGEM BRUTA]]/Tabela1[[#This Row],[Valor total]]</f>
        <v>0.74185463659147877</v>
      </c>
      <c r="K2115" s="1" t="str">
        <f>VLOOKUP(Tabela1[[#This Row],[Cliente]],'BASE DE CLIENTES'!A:D,4,0)</f>
        <v>OUTROS RAMOS</v>
      </c>
      <c r="L2115" s="1" t="str">
        <f>VLOOKUP(Tabela1[[#This Row],[Cliente]],'BASE DE CLIENTES'!A:E,5,0)</f>
        <v>MERCADO LIVRE</v>
      </c>
    </row>
    <row r="2116" spans="2:12" x14ac:dyDescent="0.3">
      <c r="B2116" s="1" t="s">
        <v>266</v>
      </c>
      <c r="C2116" s="4" t="str">
        <f>VLOOKUP(Tabela1[[#This Row],[Cliente]],'BASE DE CLIENTES'!A:E,2,0)</f>
        <v>MERCADO LIVRE</v>
      </c>
      <c r="D2116" s="1" t="str">
        <f>VLOOKUP(Tabela1[[#This Row],[Cliente]],'BASE DE CLIENTES'!A:C,3,0)</f>
        <v>MERCADO LIVRE</v>
      </c>
      <c r="E2116" s="4" t="str">
        <f>CONCATENATE(Tabela1[[#This Row],[CIDADE]],",",Tabela1[[#This Row],[UF]])</f>
        <v>MERCADO LIVRE,MERCADO LIVRE</v>
      </c>
      <c r="F2116" s="2">
        <v>45903</v>
      </c>
      <c r="G2116" s="17">
        <v>14.42</v>
      </c>
      <c r="H2116" s="17">
        <v>55.86</v>
      </c>
      <c r="I2116" s="6">
        <f>Tabela1[[#This Row],[Valor total]]-Tabela1[[#This Row],[Valor custo]]</f>
        <v>41.44</v>
      </c>
      <c r="J2116" s="7">
        <f>Tabela1[[#This Row],[MARGEM BRUTA]]/Tabela1[[#This Row],[Valor total]]</f>
        <v>0.74185463659147866</v>
      </c>
      <c r="K2116" s="1" t="str">
        <f>VLOOKUP(Tabela1[[#This Row],[Cliente]],'BASE DE CLIENTES'!A:D,4,0)</f>
        <v>OUTROS RAMOS</v>
      </c>
      <c r="L2116" s="1" t="str">
        <f>VLOOKUP(Tabela1[[#This Row],[Cliente]],'BASE DE CLIENTES'!A:E,5,0)</f>
        <v>MERCADO LIVRE</v>
      </c>
    </row>
    <row r="2117" spans="2:12" x14ac:dyDescent="0.3">
      <c r="B2117" s="1" t="s">
        <v>266</v>
      </c>
      <c r="C2117" s="4" t="str">
        <f>VLOOKUP(Tabela1[[#This Row],[Cliente]],'BASE DE CLIENTES'!A:E,2,0)</f>
        <v>MERCADO LIVRE</v>
      </c>
      <c r="D2117" s="1" t="str">
        <f>VLOOKUP(Tabela1[[#This Row],[Cliente]],'BASE DE CLIENTES'!A:C,3,0)</f>
        <v>MERCADO LIVRE</v>
      </c>
      <c r="E2117" s="4" t="str">
        <f>CONCATENATE(Tabela1[[#This Row],[CIDADE]],",",Tabela1[[#This Row],[UF]])</f>
        <v>MERCADO LIVRE,MERCADO LIVRE</v>
      </c>
      <c r="F2117" s="2">
        <v>45903</v>
      </c>
      <c r="G2117" s="17">
        <v>33.56</v>
      </c>
      <c r="H2117" s="17">
        <v>62.35</v>
      </c>
      <c r="I2117" s="6">
        <f>Tabela1[[#This Row],[Valor total]]-Tabela1[[#This Row],[Valor custo]]</f>
        <v>28.79</v>
      </c>
      <c r="J2117" s="7">
        <f>Tabela1[[#This Row],[MARGEM BRUTA]]/Tabela1[[#This Row],[Valor total]]</f>
        <v>0.46174819566960701</v>
      </c>
      <c r="K2117" s="1" t="str">
        <f>VLOOKUP(Tabela1[[#This Row],[Cliente]],'BASE DE CLIENTES'!A:D,4,0)</f>
        <v>OUTROS RAMOS</v>
      </c>
      <c r="L2117" s="1" t="str">
        <f>VLOOKUP(Tabela1[[#This Row],[Cliente]],'BASE DE CLIENTES'!A:E,5,0)</f>
        <v>MERCADO LIVRE</v>
      </c>
    </row>
    <row r="2118" spans="2:12" x14ac:dyDescent="0.3">
      <c r="B2118" s="1" t="s">
        <v>266</v>
      </c>
      <c r="C2118" s="4" t="str">
        <f>VLOOKUP(Tabela1[[#This Row],[Cliente]],'BASE DE CLIENTES'!A:E,2,0)</f>
        <v>MERCADO LIVRE</v>
      </c>
      <c r="D2118" s="1" t="str">
        <f>VLOOKUP(Tabela1[[#This Row],[Cliente]],'BASE DE CLIENTES'!A:C,3,0)</f>
        <v>MERCADO LIVRE</v>
      </c>
      <c r="E2118" s="4" t="str">
        <f>CONCATENATE(Tabela1[[#This Row],[CIDADE]],",",Tabela1[[#This Row],[UF]])</f>
        <v>MERCADO LIVRE,MERCADO LIVRE</v>
      </c>
      <c r="F2118" s="2">
        <v>45903</v>
      </c>
      <c r="G2118" s="17">
        <v>14.42</v>
      </c>
      <c r="H2118" s="17">
        <v>55.86</v>
      </c>
      <c r="I2118" s="6">
        <f>Tabela1[[#This Row],[Valor total]]-Tabela1[[#This Row],[Valor custo]]</f>
        <v>41.44</v>
      </c>
      <c r="J2118" s="7">
        <f>Tabela1[[#This Row],[MARGEM BRUTA]]/Tabela1[[#This Row],[Valor total]]</f>
        <v>0.74185463659147866</v>
      </c>
      <c r="K2118" s="1" t="str">
        <f>VLOOKUP(Tabela1[[#This Row],[Cliente]],'BASE DE CLIENTES'!A:D,4,0)</f>
        <v>OUTROS RAMOS</v>
      </c>
      <c r="L2118" s="1" t="str">
        <f>VLOOKUP(Tabela1[[#This Row],[Cliente]],'BASE DE CLIENTES'!A:E,5,0)</f>
        <v>MERCADO LIVRE</v>
      </c>
    </row>
    <row r="2119" spans="2:12" x14ac:dyDescent="0.3">
      <c r="B2119" s="1" t="s">
        <v>266</v>
      </c>
      <c r="C2119" s="4" t="str">
        <f>VLOOKUP(Tabela1[[#This Row],[Cliente]],'BASE DE CLIENTES'!A:E,2,0)</f>
        <v>MERCADO LIVRE</v>
      </c>
      <c r="D2119" s="1" t="str">
        <f>VLOOKUP(Tabela1[[#This Row],[Cliente]],'BASE DE CLIENTES'!A:C,3,0)</f>
        <v>MERCADO LIVRE</v>
      </c>
      <c r="E2119" s="4" t="str">
        <f>CONCATENATE(Tabela1[[#This Row],[CIDADE]],",",Tabela1[[#This Row],[UF]])</f>
        <v>MERCADO LIVRE,MERCADO LIVRE</v>
      </c>
      <c r="F2119" s="2">
        <v>45903</v>
      </c>
      <c r="G2119" s="17">
        <v>7.21</v>
      </c>
      <c r="H2119" s="17">
        <v>27.93</v>
      </c>
      <c r="I2119" s="6">
        <f>Tabela1[[#This Row],[Valor total]]-Tabela1[[#This Row],[Valor custo]]</f>
        <v>20.72</v>
      </c>
      <c r="J2119" s="7">
        <f>Tabela1[[#This Row],[MARGEM BRUTA]]/Tabela1[[#This Row],[Valor total]]</f>
        <v>0.74185463659147866</v>
      </c>
      <c r="K2119" s="1" t="str">
        <f>VLOOKUP(Tabela1[[#This Row],[Cliente]],'BASE DE CLIENTES'!A:D,4,0)</f>
        <v>OUTROS RAMOS</v>
      </c>
      <c r="L2119" s="1" t="str">
        <f>VLOOKUP(Tabela1[[#This Row],[Cliente]],'BASE DE CLIENTES'!A:E,5,0)</f>
        <v>MERCADO LIVRE</v>
      </c>
    </row>
    <row r="2120" spans="2:12" x14ac:dyDescent="0.3">
      <c r="B2120" s="1" t="s">
        <v>106</v>
      </c>
      <c r="C2120" s="4" t="str">
        <f>VLOOKUP(Tabela1[[#This Row],[Cliente]],'BASE DE CLIENTES'!A:E,2,0)</f>
        <v>Brasília</v>
      </c>
      <c r="D2120" s="1" t="str">
        <f>VLOOKUP(Tabela1[[#This Row],[Cliente]],'BASE DE CLIENTES'!A:C,3,0)</f>
        <v>DF</v>
      </c>
      <c r="E2120" s="4" t="str">
        <f>CONCATENATE(Tabela1[[#This Row],[CIDADE]],",",Tabela1[[#This Row],[UF]])</f>
        <v>Brasília,DF</v>
      </c>
      <c r="F2120" s="2">
        <v>45880</v>
      </c>
      <c r="G2120" s="17">
        <v>764.6</v>
      </c>
      <c r="H2120" s="17">
        <v>1200</v>
      </c>
      <c r="I2120" s="6">
        <f>Tabela1[[#This Row],[Valor total]]-Tabela1[[#This Row],[Valor custo]]</f>
        <v>435.4</v>
      </c>
      <c r="J2120" s="7">
        <f>Tabela1[[#This Row],[MARGEM BRUTA]]/Tabela1[[#This Row],[Valor total]]</f>
        <v>0.36283333333333334</v>
      </c>
      <c r="K2120" s="1" t="str">
        <f>VLOOKUP(Tabela1[[#This Row],[Cliente]],'BASE DE CLIENTES'!A:D,4,0)</f>
        <v>EMPRESA COM MAQUINA</v>
      </c>
      <c r="L2120" s="1" t="str">
        <f>VLOOKUP(Tabela1[[#This Row],[Cliente]],'BASE DE CLIENTES'!A:E,5,0)</f>
        <v>26 DE SETEMBRO</v>
      </c>
    </row>
    <row r="2121" spans="2:12" x14ac:dyDescent="0.3">
      <c r="B2121" s="1" t="s">
        <v>55</v>
      </c>
      <c r="C2121" s="4" t="str">
        <f>VLOOKUP(Tabela1[[#This Row],[Cliente]],'BASE DE CLIENTES'!A:E,2,0)</f>
        <v>Brasília</v>
      </c>
      <c r="D2121" s="1" t="str">
        <f>VLOOKUP(Tabela1[[#This Row],[Cliente]],'BASE DE CLIENTES'!A:C,3,0)</f>
        <v>DF</v>
      </c>
      <c r="E2121" s="4" t="str">
        <f>CONCATENATE(Tabela1[[#This Row],[CIDADE]],",",Tabela1[[#This Row],[UF]])</f>
        <v>Brasília,DF</v>
      </c>
      <c r="F2121" s="2">
        <v>45880</v>
      </c>
      <c r="G2121" s="17">
        <v>1731.16</v>
      </c>
      <c r="H2121" s="17">
        <v>2880</v>
      </c>
      <c r="I2121" s="6">
        <f>Tabela1[[#This Row],[Valor total]]-Tabela1[[#This Row],[Valor custo]]</f>
        <v>1148.8399999999999</v>
      </c>
      <c r="J2121" s="7">
        <f>Tabela1[[#This Row],[MARGEM BRUTA]]/Tabela1[[#This Row],[Valor total]]</f>
        <v>0.39890277777777777</v>
      </c>
      <c r="K2121" s="1" t="str">
        <f>VLOOKUP(Tabela1[[#This Row],[Cliente]],'BASE DE CLIENTES'!A:D,4,0)</f>
        <v>EMPRESA SEM MAQUINA</v>
      </c>
      <c r="L2121" s="1" t="str">
        <f>VLOOKUP(Tabela1[[#This Row],[Cliente]],'BASE DE CLIENTES'!A:E,5,0)</f>
        <v>RECANTO DAS EMAS</v>
      </c>
    </row>
    <row r="2122" spans="2:12" x14ac:dyDescent="0.3">
      <c r="B2122" s="1" t="s">
        <v>230</v>
      </c>
      <c r="C2122" s="4" t="str">
        <f>VLOOKUP(Tabela1[[#This Row],[Cliente]],'BASE DE CLIENTES'!A:E,2,0)</f>
        <v>Brasília</v>
      </c>
      <c r="D2122" s="1" t="str">
        <f>VLOOKUP(Tabela1[[#This Row],[Cliente]],'BASE DE CLIENTES'!A:C,3,0)</f>
        <v>DF</v>
      </c>
      <c r="E2122" s="4" t="str">
        <f>CONCATENATE(Tabela1[[#This Row],[CIDADE]],",",Tabela1[[#This Row],[UF]])</f>
        <v>Brasília,DF</v>
      </c>
      <c r="F2122" s="2">
        <v>45880</v>
      </c>
      <c r="G2122" s="17">
        <v>1146.9000000000001</v>
      </c>
      <c r="H2122" s="17">
        <v>1800</v>
      </c>
      <c r="I2122" s="6">
        <f>Tabela1[[#This Row],[Valor total]]-Tabela1[[#This Row],[Valor custo]]</f>
        <v>653.09999999999991</v>
      </c>
      <c r="J2122" s="7">
        <f>Tabela1[[#This Row],[MARGEM BRUTA]]/Tabela1[[#This Row],[Valor total]]</f>
        <v>0.36283333333333329</v>
      </c>
      <c r="K2122" s="1" t="str">
        <f>VLOOKUP(Tabela1[[#This Row],[Cliente]],'BASE DE CLIENTES'!A:D,4,0)</f>
        <v>SERRALHEIRO</v>
      </c>
      <c r="L2122" s="1" t="str">
        <f>VLOOKUP(Tabela1[[#This Row],[Cliente]],'BASE DE CLIENTES'!A:E,5,0)</f>
        <v>SETOR HABITACIONAL SAMAMBAIA (VICENTE PIRES)</v>
      </c>
    </row>
    <row r="2123" spans="2:12" x14ac:dyDescent="0.3">
      <c r="B2123" s="1" t="s">
        <v>27</v>
      </c>
      <c r="C2123" s="4" t="str">
        <f>VLOOKUP(Tabela1[[#This Row],[Cliente]],'BASE DE CLIENTES'!A:E,2,0)</f>
        <v>Brasília</v>
      </c>
      <c r="D2123" s="1" t="str">
        <f>VLOOKUP(Tabela1[[#This Row],[Cliente]],'BASE DE CLIENTES'!A:C,3,0)</f>
        <v>DF</v>
      </c>
      <c r="E2123" s="4" t="str">
        <f>CONCATENATE(Tabela1[[#This Row],[CIDADE]],",",Tabela1[[#This Row],[UF]])</f>
        <v>Brasília,DF</v>
      </c>
      <c r="F2123" s="2">
        <v>45880</v>
      </c>
      <c r="G2123" s="17">
        <v>25</v>
      </c>
      <c r="H2123" s="17">
        <v>30</v>
      </c>
      <c r="I2123" s="6">
        <f>Tabela1[[#This Row],[Valor total]]-Tabela1[[#This Row],[Valor custo]]</f>
        <v>5</v>
      </c>
      <c r="J2123" s="7">
        <f>Tabela1[[#This Row],[MARGEM BRUTA]]/Tabela1[[#This Row],[Valor total]]</f>
        <v>0.16666666666666666</v>
      </c>
      <c r="K2123" s="1" t="str">
        <f>VLOOKUP(Tabela1[[#This Row],[Cliente]],'BASE DE CLIENTES'!A:D,4,0)</f>
        <v>EMPRESA SEM MAQUINA</v>
      </c>
      <c r="L2123" s="1" t="str">
        <f>VLOOKUP(Tabela1[[#This Row],[Cliente]],'BASE DE CLIENTES'!A:E,5,0)</f>
        <v>RECANTO DAS EMAS</v>
      </c>
    </row>
    <row r="2124" spans="2:12" x14ac:dyDescent="0.3">
      <c r="B2124" s="1" t="s">
        <v>21</v>
      </c>
      <c r="C2124" s="4" t="str">
        <f>VLOOKUP(Tabela1[[#This Row],[Cliente]],'BASE DE CLIENTES'!A:E,2,0)</f>
        <v>Brasília</v>
      </c>
      <c r="D2124" s="1" t="str">
        <f>VLOOKUP(Tabela1[[#This Row],[Cliente]],'BASE DE CLIENTES'!A:C,3,0)</f>
        <v>DF</v>
      </c>
      <c r="E2124" s="4" t="str">
        <f>CONCATENATE(Tabela1[[#This Row],[CIDADE]],",",Tabela1[[#This Row],[UF]])</f>
        <v>Brasília,DF</v>
      </c>
      <c r="F2124" s="2">
        <v>45722</v>
      </c>
      <c r="G2124" s="17">
        <v>122.74</v>
      </c>
      <c r="H2124" s="17">
        <v>160</v>
      </c>
      <c r="I2124" s="6">
        <f>Tabela1[[#This Row],[Valor total]]-Tabela1[[#This Row],[Valor custo]]</f>
        <v>37.260000000000005</v>
      </c>
      <c r="J2124" s="7">
        <f>Tabela1[[#This Row],[MARGEM BRUTA]]/Tabela1[[#This Row],[Valor total]]</f>
        <v>0.23287500000000003</v>
      </c>
      <c r="K2124" s="1" t="str">
        <f>VLOOKUP(Tabela1[[#This Row],[Cliente]],'BASE DE CLIENTES'!A:D,4,0)</f>
        <v>EMPRESA COM MAQUINA</v>
      </c>
      <c r="L2124" s="1" t="str">
        <f>VLOOKUP(Tabela1[[#This Row],[Cliente]],'BASE DE CLIENTES'!A:E,5,0)</f>
        <v>RIACHO FUNDO II</v>
      </c>
    </row>
    <row r="2125" spans="2:12" x14ac:dyDescent="0.3">
      <c r="B2125" s="1" t="s">
        <v>266</v>
      </c>
      <c r="C2125" s="4" t="str">
        <f>VLOOKUP(Tabela1[[#This Row],[Cliente]],'BASE DE CLIENTES'!A:E,2,0)</f>
        <v>MERCADO LIVRE</v>
      </c>
      <c r="D2125" s="1" t="str">
        <f>VLOOKUP(Tabela1[[#This Row],[Cliente]],'BASE DE CLIENTES'!A:C,3,0)</f>
        <v>MERCADO LIVRE</v>
      </c>
      <c r="E2125" s="4" t="str">
        <f>CONCATENATE(Tabela1[[#This Row],[CIDADE]],",",Tabela1[[#This Row],[UF]])</f>
        <v>MERCADO LIVRE,MERCADO LIVRE</v>
      </c>
      <c r="F2125" s="2">
        <v>45902</v>
      </c>
      <c r="G2125" s="17">
        <v>14.42</v>
      </c>
      <c r="H2125" s="17">
        <v>70</v>
      </c>
      <c r="I2125" s="6">
        <f>Tabela1[[#This Row],[Valor total]]-Tabela1[[#This Row],[Valor custo]]</f>
        <v>55.58</v>
      </c>
      <c r="J2125" s="7">
        <f>Tabela1[[#This Row],[MARGEM BRUTA]]/Tabela1[[#This Row],[Valor total]]</f>
        <v>0.79399999999999993</v>
      </c>
      <c r="K2125" s="1" t="str">
        <f>VLOOKUP(Tabela1[[#This Row],[Cliente]],'BASE DE CLIENTES'!A:D,4,0)</f>
        <v>OUTROS RAMOS</v>
      </c>
      <c r="L2125" s="1" t="str">
        <f>VLOOKUP(Tabela1[[#This Row],[Cliente]],'BASE DE CLIENTES'!A:E,5,0)</f>
        <v>MERCADO LIVRE</v>
      </c>
    </row>
    <row r="2126" spans="2:12" x14ac:dyDescent="0.3">
      <c r="B2126" s="1" t="s">
        <v>270</v>
      </c>
      <c r="C2126" s="4" t="str">
        <f>VLOOKUP(Tabela1[[#This Row],[Cliente]],'BASE DE CLIENTES'!A:E,2,0)</f>
        <v>Brasília</v>
      </c>
      <c r="D2126" s="1" t="str">
        <f>VLOOKUP(Tabela1[[#This Row],[Cliente]],'BASE DE CLIENTES'!A:C,3,0)</f>
        <v>DF</v>
      </c>
      <c r="E2126" s="4" t="str">
        <f>CONCATENATE(Tabela1[[#This Row],[CIDADE]],",",Tabela1[[#This Row],[UF]])</f>
        <v>Brasília,DF</v>
      </c>
      <c r="F2126" s="2">
        <v>45740</v>
      </c>
      <c r="G2126" s="17">
        <v>13.69</v>
      </c>
      <c r="H2126" s="17">
        <v>130</v>
      </c>
      <c r="I2126" s="6">
        <f>Tabela1[[#This Row],[Valor total]]-Tabela1[[#This Row],[Valor custo]]</f>
        <v>116.31</v>
      </c>
      <c r="J2126" s="7">
        <f>Tabela1[[#This Row],[MARGEM BRUTA]]/Tabela1[[#This Row],[Valor total]]</f>
        <v>0.89469230769230768</v>
      </c>
      <c r="K2126" s="1" t="str">
        <f>VLOOKUP(Tabela1[[#This Row],[Cliente]],'BASE DE CLIENTES'!A:D,4,0)</f>
        <v>SEM CLASSIFICAÇÃO</v>
      </c>
      <c r="L2126" s="1" t="str">
        <f>VLOOKUP(Tabela1[[#This Row],[Cliente]],'BASE DE CLIENTES'!A:E,5,0)</f>
        <v>NA</v>
      </c>
    </row>
    <row r="2127" spans="2:12" x14ac:dyDescent="0.3">
      <c r="B2127" s="1" t="s">
        <v>169</v>
      </c>
      <c r="C2127" s="4" t="str">
        <f>VLOOKUP(Tabela1[[#This Row],[Cliente]],'BASE DE CLIENTES'!A:E,2,0)</f>
        <v>Planaltina</v>
      </c>
      <c r="D2127" s="1" t="str">
        <f>VLOOKUP(Tabela1[[#This Row],[Cliente]],'BASE DE CLIENTES'!A:C,3,0)</f>
        <v>GO</v>
      </c>
      <c r="E2127" s="4" t="str">
        <f>CONCATENATE(Tabela1[[#This Row],[CIDADE]],",",Tabela1[[#This Row],[UF]])</f>
        <v>Planaltina,GO</v>
      </c>
      <c r="F2127" s="2">
        <v>45880</v>
      </c>
      <c r="G2127" s="17">
        <v>28.84</v>
      </c>
      <c r="H2127" s="17">
        <v>160</v>
      </c>
      <c r="I2127" s="6">
        <f>Tabela1[[#This Row],[Valor total]]-Tabela1[[#This Row],[Valor custo]]</f>
        <v>131.16</v>
      </c>
      <c r="J2127" s="7">
        <f>Tabela1[[#This Row],[MARGEM BRUTA]]/Tabela1[[#This Row],[Valor total]]</f>
        <v>0.81974999999999998</v>
      </c>
      <c r="K2127" s="1" t="str">
        <f>VLOOKUP(Tabela1[[#This Row],[Cliente]],'BASE DE CLIENTES'!A:D,4,0)</f>
        <v>SERRALHEIRO</v>
      </c>
      <c r="L2127" s="1" t="str">
        <f>VLOOKUP(Tabela1[[#This Row],[Cliente]],'BASE DE CLIENTES'!A:E,5,0)</f>
        <v>Planaltina</v>
      </c>
    </row>
    <row r="2128" spans="2:12" x14ac:dyDescent="0.3">
      <c r="B2128" s="1" t="s">
        <v>266</v>
      </c>
      <c r="C2128" s="4" t="str">
        <f>VLOOKUP(Tabela1[[#This Row],[Cliente]],'BASE DE CLIENTES'!A:E,2,0)</f>
        <v>MERCADO LIVRE</v>
      </c>
      <c r="D2128" s="1" t="str">
        <f>VLOOKUP(Tabela1[[#This Row],[Cliente]],'BASE DE CLIENTES'!A:C,3,0)</f>
        <v>MERCADO LIVRE</v>
      </c>
      <c r="E2128" s="4" t="str">
        <f>CONCATENATE(Tabela1[[#This Row],[CIDADE]],",",Tabela1[[#This Row],[UF]])</f>
        <v>MERCADO LIVRE,MERCADO LIVRE</v>
      </c>
      <c r="F2128" s="2">
        <v>45902</v>
      </c>
      <c r="G2128" s="17">
        <v>7.21</v>
      </c>
      <c r="H2128" s="17">
        <v>35</v>
      </c>
      <c r="I2128" s="6">
        <f>Tabela1[[#This Row],[Valor total]]-Tabela1[[#This Row],[Valor custo]]</f>
        <v>27.79</v>
      </c>
      <c r="J2128" s="7">
        <f>Tabela1[[#This Row],[MARGEM BRUTA]]/Tabela1[[#This Row],[Valor total]]</f>
        <v>0.79399999999999993</v>
      </c>
      <c r="K2128" s="1" t="str">
        <f>VLOOKUP(Tabela1[[#This Row],[Cliente]],'BASE DE CLIENTES'!A:D,4,0)</f>
        <v>OUTROS RAMOS</v>
      </c>
      <c r="L2128" s="1" t="str">
        <f>VLOOKUP(Tabela1[[#This Row],[Cliente]],'BASE DE CLIENTES'!A:E,5,0)</f>
        <v>MERCADO LIVRE</v>
      </c>
    </row>
    <row r="2129" spans="2:12" x14ac:dyDescent="0.3">
      <c r="B2129" s="1" t="s">
        <v>42</v>
      </c>
      <c r="C2129" s="4" t="str">
        <f>VLOOKUP(Tabela1[[#This Row],[Cliente]],'BASE DE CLIENTES'!A:E,2,0)</f>
        <v>Brasília</v>
      </c>
      <c r="D2129" s="1" t="str">
        <f>VLOOKUP(Tabela1[[#This Row],[Cliente]],'BASE DE CLIENTES'!A:C,3,0)</f>
        <v>DF</v>
      </c>
      <c r="E2129" s="4" t="str">
        <f>CONCATENATE(Tabela1[[#This Row],[CIDADE]],",",Tabela1[[#This Row],[UF]])</f>
        <v>Brasília,DF</v>
      </c>
      <c r="F2129" s="2">
        <v>45880</v>
      </c>
      <c r="G2129" s="17">
        <v>664</v>
      </c>
      <c r="H2129" s="17">
        <v>1300</v>
      </c>
      <c r="I2129" s="6">
        <f>Tabela1[[#This Row],[Valor total]]-Tabela1[[#This Row],[Valor custo]]</f>
        <v>636</v>
      </c>
      <c r="J2129" s="7">
        <f>Tabela1[[#This Row],[MARGEM BRUTA]]/Tabela1[[#This Row],[Valor total]]</f>
        <v>0.48923076923076925</v>
      </c>
      <c r="K2129" s="1" t="str">
        <f>VLOOKUP(Tabela1[[#This Row],[Cliente]],'BASE DE CLIENTES'!A:D,4,0)</f>
        <v>EMPRESA SEM MAQUINA</v>
      </c>
      <c r="L2129" s="1" t="str">
        <f>VLOOKUP(Tabela1[[#This Row],[Cliente]],'BASE DE CLIENTES'!A:E,5,0)</f>
        <v>SAMAMBAIA</v>
      </c>
    </row>
    <row r="2130" spans="2:12" x14ac:dyDescent="0.3">
      <c r="B2130" s="1" t="s">
        <v>271</v>
      </c>
      <c r="C2130" s="4" t="str">
        <f>VLOOKUP(Tabela1[[#This Row],[Cliente]],'BASE DE CLIENTES'!A:E,2,0)</f>
        <v>Brasília</v>
      </c>
      <c r="D2130" s="1" t="str">
        <f>VLOOKUP(Tabela1[[#This Row],[Cliente]],'BASE DE CLIENTES'!A:C,3,0)</f>
        <v>DF</v>
      </c>
      <c r="E2130" s="4" t="str">
        <f>CONCATENATE(Tabela1[[#This Row],[CIDADE]],",",Tabela1[[#This Row],[UF]])</f>
        <v>Brasília,DF</v>
      </c>
      <c r="F2130" s="2">
        <v>45674</v>
      </c>
      <c r="G2130" s="17">
        <v>82</v>
      </c>
      <c r="H2130" s="17">
        <v>150</v>
      </c>
      <c r="I2130" s="6">
        <f>Tabela1[[#This Row],[Valor total]]-Tabela1[[#This Row],[Valor custo]]</f>
        <v>68</v>
      </c>
      <c r="J2130" s="7">
        <f>Tabela1[[#This Row],[MARGEM BRUTA]]/Tabela1[[#This Row],[Valor total]]</f>
        <v>0.45333333333333331</v>
      </c>
      <c r="K2130" s="1" t="str">
        <f>VLOOKUP(Tabela1[[#This Row],[Cliente]],'BASE DE CLIENTES'!A:D,4,0)</f>
        <v>SEM CLASSIFICAÇÃO</v>
      </c>
      <c r="L2130" s="1" t="str">
        <f>VLOOKUP(Tabela1[[#This Row],[Cliente]],'BASE DE CLIENTES'!A:E,5,0)</f>
        <v>SETOR HABITACIONAL ARNIQUEIRA (AGUAS CLARAS)</v>
      </c>
    </row>
    <row r="2131" spans="2:12" x14ac:dyDescent="0.3">
      <c r="B2131" s="1" t="s">
        <v>269</v>
      </c>
      <c r="C2131" s="4" t="str">
        <f>VLOOKUP(Tabela1[[#This Row],[Cliente]],'BASE DE CLIENTES'!A:E,2,0)</f>
        <v>Brasília</v>
      </c>
      <c r="D2131" s="1" t="str">
        <f>VLOOKUP(Tabela1[[#This Row],[Cliente]],'BASE DE CLIENTES'!A:C,3,0)</f>
        <v>DF</v>
      </c>
      <c r="E2131" s="4" t="str">
        <f>CONCATENATE(Tabela1[[#This Row],[CIDADE]],",",Tabela1[[#This Row],[UF]])</f>
        <v>Brasília,DF</v>
      </c>
      <c r="F2131" s="2">
        <v>45878</v>
      </c>
      <c r="G2131" s="17">
        <v>293.13</v>
      </c>
      <c r="H2131" s="17">
        <v>450</v>
      </c>
      <c r="I2131" s="6">
        <f>Tabela1[[#This Row],[Valor total]]-Tabela1[[#This Row],[Valor custo]]</f>
        <v>156.87</v>
      </c>
      <c r="J2131" s="7">
        <f>Tabela1[[#This Row],[MARGEM BRUTA]]/Tabela1[[#This Row],[Valor total]]</f>
        <v>0.34860000000000002</v>
      </c>
      <c r="K2131" s="1" t="str">
        <f>VLOOKUP(Tabela1[[#This Row],[Cliente]],'BASE DE CLIENTES'!A:D,4,0)</f>
        <v>CLIENTE FECHADURA</v>
      </c>
      <c r="L2131" s="1" t="str">
        <f>VLOOKUP(Tabela1[[#This Row],[Cliente]],'BASE DE CLIENTES'!A:E,5,0)</f>
        <v>ÁGUAS CLARAS</v>
      </c>
    </row>
    <row r="2132" spans="2:12" x14ac:dyDescent="0.3">
      <c r="B2132" s="1" t="s">
        <v>96</v>
      </c>
      <c r="C2132" s="4" t="str">
        <f>VLOOKUP(Tabela1[[#This Row],[Cliente]],'BASE DE CLIENTES'!A:E,2,0)</f>
        <v>Brasília</v>
      </c>
      <c r="D2132" s="1" t="str">
        <f>VLOOKUP(Tabela1[[#This Row],[Cliente]],'BASE DE CLIENTES'!A:C,3,0)</f>
        <v>DF</v>
      </c>
      <c r="E2132" s="4" t="str">
        <f>CONCATENATE(Tabela1[[#This Row],[CIDADE]],",",Tabela1[[#This Row],[UF]])</f>
        <v>Brasília,DF</v>
      </c>
      <c r="F2132" s="2">
        <v>45877</v>
      </c>
      <c r="G2132" s="17">
        <v>382.3</v>
      </c>
      <c r="H2132" s="17">
        <v>615</v>
      </c>
      <c r="I2132" s="6">
        <f>Tabela1[[#This Row],[Valor total]]-Tabela1[[#This Row],[Valor custo]]</f>
        <v>232.7</v>
      </c>
      <c r="J2132" s="7">
        <f>Tabela1[[#This Row],[MARGEM BRUTA]]/Tabela1[[#This Row],[Valor total]]</f>
        <v>0.37837398373983738</v>
      </c>
      <c r="K2132" s="1" t="str">
        <f>VLOOKUP(Tabela1[[#This Row],[Cliente]],'BASE DE CLIENTES'!A:D,4,0)</f>
        <v>EMPRESA SEM MAQUINA</v>
      </c>
      <c r="L2132" s="1" t="str">
        <f>VLOOKUP(Tabela1[[#This Row],[Cliente]],'BASE DE CLIENTES'!A:E,5,0)</f>
        <v>CEILANDIA NORTE (CEILANDIA)</v>
      </c>
    </row>
    <row r="2133" spans="2:12" x14ac:dyDescent="0.3">
      <c r="B2133" s="1" t="s">
        <v>105</v>
      </c>
      <c r="C2133" s="4" t="str">
        <f>VLOOKUP(Tabela1[[#This Row],[Cliente]],'BASE DE CLIENTES'!A:E,2,0)</f>
        <v>Brasília</v>
      </c>
      <c r="D2133" s="1" t="str">
        <f>VLOOKUP(Tabela1[[#This Row],[Cliente]],'BASE DE CLIENTES'!A:C,3,0)</f>
        <v>DF</v>
      </c>
      <c r="E2133" s="4" t="str">
        <f>CONCATENATE(Tabela1[[#This Row],[CIDADE]],",",Tabela1[[#This Row],[UF]])</f>
        <v>Brasília,DF</v>
      </c>
      <c r="F2133" s="2">
        <v>45877</v>
      </c>
      <c r="G2133" s="17">
        <v>10793.85</v>
      </c>
      <c r="H2133" s="17">
        <v>17050</v>
      </c>
      <c r="I2133" s="6">
        <f>Tabela1[[#This Row],[Valor total]]-Tabela1[[#This Row],[Valor custo]]</f>
        <v>6256.15</v>
      </c>
      <c r="J2133" s="7">
        <f>Tabela1[[#This Row],[MARGEM BRUTA]]/Tabela1[[#This Row],[Valor total]]</f>
        <v>0.36692961876832841</v>
      </c>
      <c r="K2133" s="1" t="str">
        <f>VLOOKUP(Tabela1[[#This Row],[Cliente]],'BASE DE CLIENTES'!A:D,4,0)</f>
        <v>EMPRESA COM MAQUINA</v>
      </c>
      <c r="L2133" s="1" t="str">
        <f>VLOOKUP(Tabela1[[#This Row],[Cliente]],'BASE DE CLIENTES'!A:E,5,0)</f>
        <v>PLANALTINA</v>
      </c>
    </row>
    <row r="2134" spans="2:12" x14ac:dyDescent="0.3">
      <c r="B2134" s="1" t="s">
        <v>266</v>
      </c>
      <c r="C2134" s="4" t="str">
        <f>VLOOKUP(Tabela1[[#This Row],[Cliente]],'BASE DE CLIENTES'!A:E,2,0)</f>
        <v>MERCADO LIVRE</v>
      </c>
      <c r="D2134" s="1" t="str">
        <f>VLOOKUP(Tabela1[[#This Row],[Cliente]],'BASE DE CLIENTES'!A:C,3,0)</f>
        <v>MERCADO LIVRE</v>
      </c>
      <c r="E2134" s="4" t="str">
        <f>CONCATENATE(Tabela1[[#This Row],[CIDADE]],",",Tabela1[[#This Row],[UF]])</f>
        <v>MERCADO LIVRE,MERCADO LIVRE</v>
      </c>
      <c r="F2134" s="2">
        <v>45901</v>
      </c>
      <c r="G2134" s="17">
        <v>7.21</v>
      </c>
      <c r="H2134" s="17">
        <v>27.93</v>
      </c>
      <c r="I2134" s="6">
        <f>Tabela1[[#This Row],[Valor total]]-Tabela1[[#This Row],[Valor custo]]</f>
        <v>20.72</v>
      </c>
      <c r="J2134" s="7">
        <f>Tabela1[[#This Row],[MARGEM BRUTA]]/Tabela1[[#This Row],[Valor total]]</f>
        <v>0.74185463659147866</v>
      </c>
      <c r="K2134" s="1" t="str">
        <f>VLOOKUP(Tabela1[[#This Row],[Cliente]],'BASE DE CLIENTES'!A:D,4,0)</f>
        <v>OUTROS RAMOS</v>
      </c>
      <c r="L2134" s="1" t="str">
        <f>VLOOKUP(Tabela1[[#This Row],[Cliente]],'BASE DE CLIENTES'!A:E,5,0)</f>
        <v>MERCADO LIVRE</v>
      </c>
    </row>
    <row r="2135" spans="2:12" x14ac:dyDescent="0.3">
      <c r="B2135" s="1" t="s">
        <v>230</v>
      </c>
      <c r="C2135" s="4" t="str">
        <f>VLOOKUP(Tabela1[[#This Row],[Cliente]],'BASE DE CLIENTES'!A:E,2,0)</f>
        <v>Brasília</v>
      </c>
      <c r="D2135" s="1" t="str">
        <f>VLOOKUP(Tabela1[[#This Row],[Cliente]],'BASE DE CLIENTES'!A:C,3,0)</f>
        <v>DF</v>
      </c>
      <c r="E2135" s="4" t="str">
        <f>CONCATENATE(Tabela1[[#This Row],[CIDADE]],",",Tabela1[[#This Row],[UF]])</f>
        <v>Brasília,DF</v>
      </c>
      <c r="F2135" s="2">
        <v>45877</v>
      </c>
      <c r="G2135" s="17">
        <v>382.3</v>
      </c>
      <c r="H2135" s="17">
        <v>600</v>
      </c>
      <c r="I2135" s="6">
        <f>Tabela1[[#This Row],[Valor total]]-Tabela1[[#This Row],[Valor custo]]</f>
        <v>217.7</v>
      </c>
      <c r="J2135" s="7">
        <f>Tabela1[[#This Row],[MARGEM BRUTA]]/Tabela1[[#This Row],[Valor total]]</f>
        <v>0.36283333333333334</v>
      </c>
      <c r="K2135" s="1" t="str">
        <f>VLOOKUP(Tabela1[[#This Row],[Cliente]],'BASE DE CLIENTES'!A:D,4,0)</f>
        <v>SERRALHEIRO</v>
      </c>
      <c r="L2135" s="1" t="str">
        <f>VLOOKUP(Tabela1[[#This Row],[Cliente]],'BASE DE CLIENTES'!A:E,5,0)</f>
        <v>SETOR HABITACIONAL SAMAMBAIA (VICENTE PIRES)</v>
      </c>
    </row>
    <row r="2136" spans="2:12" x14ac:dyDescent="0.3">
      <c r="B2136" s="1" t="s">
        <v>142</v>
      </c>
      <c r="C2136" s="4" t="str">
        <f>VLOOKUP(Tabela1[[#This Row],[Cliente]],'BASE DE CLIENTES'!A:E,2,0)</f>
        <v>Brasília</v>
      </c>
      <c r="D2136" s="1" t="str">
        <f>VLOOKUP(Tabela1[[#This Row],[Cliente]],'BASE DE CLIENTES'!A:C,3,0)</f>
        <v>DF</v>
      </c>
      <c r="E2136" s="4" t="str">
        <f>CONCATENATE(Tabela1[[#This Row],[CIDADE]],",",Tabela1[[#This Row],[UF]])</f>
        <v>Brasília,DF</v>
      </c>
      <c r="F2136" s="2">
        <v>45877</v>
      </c>
      <c r="G2136" s="17">
        <v>55</v>
      </c>
      <c r="H2136" s="17">
        <v>200</v>
      </c>
      <c r="I2136" s="6">
        <f>Tabela1[[#This Row],[Valor total]]-Tabela1[[#This Row],[Valor custo]]</f>
        <v>145</v>
      </c>
      <c r="J2136" s="7">
        <f>Tabela1[[#This Row],[MARGEM BRUTA]]/Tabela1[[#This Row],[Valor total]]</f>
        <v>0.72499999999999998</v>
      </c>
      <c r="K2136" s="1" t="str">
        <f>VLOOKUP(Tabela1[[#This Row],[Cliente]],'BASE DE CLIENTES'!A:D,4,0)</f>
        <v>OUTROS RAMOS</v>
      </c>
      <c r="L2136" s="1" t="str">
        <f>VLOOKUP(Tabela1[[#This Row],[Cliente]],'BASE DE CLIENTES'!A:E,5,0)</f>
        <v>RIACHO FUNDO II</v>
      </c>
    </row>
    <row r="2137" spans="2:12" x14ac:dyDescent="0.3">
      <c r="B2137" s="1" t="s">
        <v>52</v>
      </c>
      <c r="C2137" s="4" t="str">
        <f>VLOOKUP(Tabela1[[#This Row],[Cliente]],'BASE DE CLIENTES'!A:E,2,0)</f>
        <v>Brasília</v>
      </c>
      <c r="D2137" s="1" t="str">
        <f>VLOOKUP(Tabela1[[#This Row],[Cliente]],'BASE DE CLIENTES'!A:C,3,0)</f>
        <v>DF</v>
      </c>
      <c r="E2137" s="4" t="str">
        <f>CONCATENATE(Tabela1[[#This Row],[CIDADE]],",",Tabela1[[#This Row],[UF]])</f>
        <v>Brasília,DF</v>
      </c>
      <c r="F2137" s="2">
        <v>45877</v>
      </c>
      <c r="G2137" s="17">
        <v>1399.58</v>
      </c>
      <c r="H2137" s="17">
        <v>2300</v>
      </c>
      <c r="I2137" s="6">
        <f>Tabela1[[#This Row],[Valor total]]-Tabela1[[#This Row],[Valor custo]]</f>
        <v>900.42000000000007</v>
      </c>
      <c r="J2137" s="7">
        <f>Tabela1[[#This Row],[MARGEM BRUTA]]/Tabela1[[#This Row],[Valor total]]</f>
        <v>0.39148695652173915</v>
      </c>
      <c r="K2137" s="1" t="str">
        <f>VLOOKUP(Tabela1[[#This Row],[Cliente]],'BASE DE CLIENTES'!A:D,4,0)</f>
        <v>SERRALHEIRO</v>
      </c>
      <c r="L2137" s="1" t="str">
        <f>VLOOKUP(Tabela1[[#This Row],[Cliente]],'BASE DE CLIENTES'!A:E,5,0)</f>
        <v>Ceilândia Sul (Ceilândia)</v>
      </c>
    </row>
    <row r="2138" spans="2:12" x14ac:dyDescent="0.3">
      <c r="B2138" s="1" t="s">
        <v>111</v>
      </c>
      <c r="C2138" s="4" t="str">
        <f>VLOOKUP(Tabela1[[#This Row],[Cliente]],'BASE DE CLIENTES'!A:E,2,0)</f>
        <v>Brasília</v>
      </c>
      <c r="D2138" s="1" t="str">
        <f>VLOOKUP(Tabela1[[#This Row],[Cliente]],'BASE DE CLIENTES'!A:C,3,0)</f>
        <v>DF</v>
      </c>
      <c r="E2138" s="4" t="str">
        <f>CONCATENATE(Tabela1[[#This Row],[CIDADE]],",",Tabela1[[#This Row],[UF]])</f>
        <v>Brasília,DF</v>
      </c>
      <c r="F2138" s="2">
        <v>45877</v>
      </c>
      <c r="G2138" s="17">
        <v>491</v>
      </c>
      <c r="H2138" s="17">
        <v>650</v>
      </c>
      <c r="I2138" s="6">
        <f>Tabela1[[#This Row],[Valor total]]-Tabela1[[#This Row],[Valor custo]]</f>
        <v>159</v>
      </c>
      <c r="J2138" s="7">
        <f>Tabela1[[#This Row],[MARGEM BRUTA]]/Tabela1[[#This Row],[Valor total]]</f>
        <v>0.24461538461538462</v>
      </c>
      <c r="K2138" s="1" t="str">
        <f>VLOOKUP(Tabela1[[#This Row],[Cliente]],'BASE DE CLIENTES'!A:D,4,0)</f>
        <v>EMPRESA SEM MAQUINA</v>
      </c>
      <c r="L2138" s="1" t="str">
        <f>VLOOKUP(Tabela1[[#This Row],[Cliente]],'BASE DE CLIENTES'!A:E,5,0)</f>
        <v>TAGUATINGA SUL (TAGUATINGA)</v>
      </c>
    </row>
    <row r="2139" spans="2:12" x14ac:dyDescent="0.3">
      <c r="B2139" s="1" t="s">
        <v>266</v>
      </c>
      <c r="C2139" s="4" t="str">
        <f>VLOOKUP(Tabela1[[#This Row],[Cliente]],'BASE DE CLIENTES'!A:E,2,0)</f>
        <v>MERCADO LIVRE</v>
      </c>
      <c r="D2139" s="1" t="str">
        <f>VLOOKUP(Tabela1[[#This Row],[Cliente]],'BASE DE CLIENTES'!A:C,3,0)</f>
        <v>MERCADO LIVRE</v>
      </c>
      <c r="E2139" s="4" t="str">
        <f>CONCATENATE(Tabela1[[#This Row],[CIDADE]],",",Tabela1[[#This Row],[UF]])</f>
        <v>MERCADO LIVRE,MERCADO LIVRE</v>
      </c>
      <c r="F2139" s="2">
        <v>45901</v>
      </c>
      <c r="G2139" s="17">
        <v>36.049999999999997</v>
      </c>
      <c r="H2139" s="17">
        <v>126.35</v>
      </c>
      <c r="I2139" s="6">
        <f>Tabela1[[#This Row],[Valor total]]-Tabela1[[#This Row],[Valor custo]]</f>
        <v>90.3</v>
      </c>
      <c r="J2139" s="7">
        <f>Tabela1[[#This Row],[MARGEM BRUTA]]/Tabela1[[#This Row],[Valor total]]</f>
        <v>0.71468144044321336</v>
      </c>
      <c r="K2139" s="1" t="str">
        <f>VLOOKUP(Tabela1[[#This Row],[Cliente]],'BASE DE CLIENTES'!A:D,4,0)</f>
        <v>OUTROS RAMOS</v>
      </c>
      <c r="L2139" s="1" t="str">
        <f>VLOOKUP(Tabela1[[#This Row],[Cliente]],'BASE DE CLIENTES'!A:E,5,0)</f>
        <v>MERCADO LIVRE</v>
      </c>
    </row>
    <row r="2140" spans="2:12" x14ac:dyDescent="0.3">
      <c r="B2140" s="1" t="s">
        <v>96</v>
      </c>
      <c r="C2140" s="4" t="str">
        <f>VLOOKUP(Tabela1[[#This Row],[Cliente]],'BASE DE CLIENTES'!A:E,2,0)</f>
        <v>Brasília</v>
      </c>
      <c r="D2140" s="1" t="str">
        <f>VLOOKUP(Tabela1[[#This Row],[Cliente]],'BASE DE CLIENTES'!A:C,3,0)</f>
        <v>DF</v>
      </c>
      <c r="E2140" s="4" t="str">
        <f>CONCATENATE(Tabela1[[#This Row],[CIDADE]],",",Tabela1[[#This Row],[UF]])</f>
        <v>Brasília,DF</v>
      </c>
      <c r="F2140" s="2">
        <v>45877</v>
      </c>
      <c r="G2140" s="17">
        <v>382.3</v>
      </c>
      <c r="H2140" s="17">
        <v>0</v>
      </c>
      <c r="I2140" s="6">
        <f>Tabela1[[#This Row],[Valor total]]-Tabela1[[#This Row],[Valor custo]]</f>
        <v>-382.3</v>
      </c>
      <c r="J2140" s="7" t="e">
        <f>Tabela1[[#This Row],[MARGEM BRUTA]]/Tabela1[[#This Row],[Valor total]]</f>
        <v>#DIV/0!</v>
      </c>
      <c r="K2140" s="1" t="str">
        <f>VLOOKUP(Tabela1[[#This Row],[Cliente]],'BASE DE CLIENTES'!A:D,4,0)</f>
        <v>EMPRESA SEM MAQUINA</v>
      </c>
      <c r="L2140" s="1" t="str">
        <f>VLOOKUP(Tabela1[[#This Row],[Cliente]],'BASE DE CLIENTES'!A:E,5,0)</f>
        <v>CEILANDIA NORTE (CEILANDIA)</v>
      </c>
    </row>
    <row r="2141" spans="2:12" x14ac:dyDescent="0.3">
      <c r="B2141" s="1" t="s">
        <v>110</v>
      </c>
      <c r="C2141" s="4" t="str">
        <f>VLOOKUP(Tabela1[[#This Row],[Cliente]],'BASE DE CLIENTES'!A:E,2,0)</f>
        <v>Brasília</v>
      </c>
      <c r="D2141" s="1" t="str">
        <f>VLOOKUP(Tabela1[[#This Row],[Cliente]],'BASE DE CLIENTES'!A:C,3,0)</f>
        <v>DF</v>
      </c>
      <c r="E2141" s="4" t="str">
        <f>CONCATENATE(Tabela1[[#This Row],[CIDADE]],",",Tabela1[[#This Row],[UF]])</f>
        <v>Brasília,DF</v>
      </c>
      <c r="F2141" s="2">
        <v>45877</v>
      </c>
      <c r="G2141" s="17">
        <v>94.43</v>
      </c>
      <c r="H2141" s="17">
        <v>130</v>
      </c>
      <c r="I2141" s="6">
        <f>Tabela1[[#This Row],[Valor total]]-Tabela1[[#This Row],[Valor custo]]</f>
        <v>35.569999999999993</v>
      </c>
      <c r="J2141" s="7">
        <f>Tabela1[[#This Row],[MARGEM BRUTA]]/Tabela1[[#This Row],[Valor total]]</f>
        <v>0.27361538461538454</v>
      </c>
      <c r="K2141" s="1" t="str">
        <f>VLOOKUP(Tabela1[[#This Row],[Cliente]],'BASE DE CLIENTES'!A:D,4,0)</f>
        <v>SERRALHEIRO</v>
      </c>
      <c r="L2141" s="1" t="str">
        <f>VLOOKUP(Tabela1[[#This Row],[Cliente]],'BASE DE CLIENTES'!A:E,5,0)</f>
        <v>Taguatinga sul</v>
      </c>
    </row>
    <row r="2142" spans="2:12" x14ac:dyDescent="0.3">
      <c r="B2142" s="1" t="s">
        <v>266</v>
      </c>
      <c r="C2142" s="4" t="str">
        <f>VLOOKUP(Tabela1[[#This Row],[Cliente]],'BASE DE CLIENTES'!A:E,2,0)</f>
        <v>MERCADO LIVRE</v>
      </c>
      <c r="D2142" s="1" t="str">
        <f>VLOOKUP(Tabela1[[#This Row],[Cliente]],'BASE DE CLIENTES'!A:C,3,0)</f>
        <v>MERCADO LIVRE</v>
      </c>
      <c r="E2142" s="4" t="str">
        <f>CONCATENATE(Tabela1[[#This Row],[CIDADE]],",",Tabela1[[#This Row],[UF]])</f>
        <v>MERCADO LIVRE,MERCADO LIVRE</v>
      </c>
      <c r="F2142" s="2">
        <v>45901</v>
      </c>
      <c r="G2142" s="17">
        <v>7.21</v>
      </c>
      <c r="H2142" s="17">
        <v>27.93</v>
      </c>
      <c r="I2142" s="6">
        <f>Tabela1[[#This Row],[Valor total]]-Tabela1[[#This Row],[Valor custo]]</f>
        <v>20.72</v>
      </c>
      <c r="J2142" s="7">
        <f>Tabela1[[#This Row],[MARGEM BRUTA]]/Tabela1[[#This Row],[Valor total]]</f>
        <v>0.74185463659147866</v>
      </c>
      <c r="K2142" s="1" t="str">
        <f>VLOOKUP(Tabela1[[#This Row],[Cliente]],'BASE DE CLIENTES'!A:D,4,0)</f>
        <v>OUTROS RAMOS</v>
      </c>
      <c r="L2142" s="1" t="str">
        <f>VLOOKUP(Tabela1[[#This Row],[Cliente]],'BASE DE CLIENTES'!A:E,5,0)</f>
        <v>MERCADO LIVRE</v>
      </c>
    </row>
    <row r="2143" spans="2:12" x14ac:dyDescent="0.3">
      <c r="B2143" s="1" t="s">
        <v>70</v>
      </c>
      <c r="C2143" s="4" t="str">
        <f>VLOOKUP(Tabela1[[#This Row],[Cliente]],'BASE DE CLIENTES'!A:E,2,0)</f>
        <v>Brasília</v>
      </c>
      <c r="D2143" s="1" t="str">
        <f>VLOOKUP(Tabela1[[#This Row],[Cliente]],'BASE DE CLIENTES'!A:C,3,0)</f>
        <v>DF</v>
      </c>
      <c r="E2143" s="4" t="str">
        <f>CONCATENATE(Tabela1[[#This Row],[CIDADE]],",",Tabela1[[#This Row],[UF]])</f>
        <v>Brasília,DF</v>
      </c>
      <c r="F2143" s="2">
        <v>45877</v>
      </c>
      <c r="G2143" s="17">
        <v>679</v>
      </c>
      <c r="H2143" s="17">
        <v>1400</v>
      </c>
      <c r="I2143" s="6">
        <f>Tabela1[[#This Row],[Valor total]]-Tabela1[[#This Row],[Valor custo]]</f>
        <v>721</v>
      </c>
      <c r="J2143" s="7">
        <f>Tabela1[[#This Row],[MARGEM BRUTA]]/Tabela1[[#This Row],[Valor total]]</f>
        <v>0.51500000000000001</v>
      </c>
      <c r="K2143" s="1" t="str">
        <f>VLOOKUP(Tabela1[[#This Row],[Cliente]],'BASE DE CLIENTES'!A:D,4,0)</f>
        <v>EMPRESA COM MAQUINA</v>
      </c>
      <c r="L2143" s="1" t="str">
        <f>VLOOKUP(Tabela1[[#This Row],[Cliente]],'BASE DE CLIENTES'!A:E,5,0)</f>
        <v>TAGUATINGA NORTE (TAGUATINGA)</v>
      </c>
    </row>
    <row r="2144" spans="2:12" x14ac:dyDescent="0.3">
      <c r="B2144" s="1" t="s">
        <v>266</v>
      </c>
      <c r="C2144" s="4" t="str">
        <f>VLOOKUP(Tabela1[[#This Row],[Cliente]],'BASE DE CLIENTES'!A:E,2,0)</f>
        <v>MERCADO LIVRE</v>
      </c>
      <c r="D2144" s="1" t="str">
        <f>VLOOKUP(Tabela1[[#This Row],[Cliente]],'BASE DE CLIENTES'!A:C,3,0)</f>
        <v>MERCADO LIVRE</v>
      </c>
      <c r="E2144" s="4" t="str">
        <f>CONCATENATE(Tabela1[[#This Row],[CIDADE]],",",Tabela1[[#This Row],[UF]])</f>
        <v>MERCADO LIVRE,MERCADO LIVRE</v>
      </c>
      <c r="F2144" s="2">
        <v>45901</v>
      </c>
      <c r="G2144" s="17">
        <v>14.42</v>
      </c>
      <c r="H2144" s="17">
        <v>55.86</v>
      </c>
      <c r="I2144" s="6">
        <f>Tabela1[[#This Row],[Valor total]]-Tabela1[[#This Row],[Valor custo]]</f>
        <v>41.44</v>
      </c>
      <c r="J2144" s="7">
        <f>Tabela1[[#This Row],[MARGEM BRUTA]]/Tabela1[[#This Row],[Valor total]]</f>
        <v>0.74185463659147866</v>
      </c>
      <c r="K2144" s="1" t="str">
        <f>VLOOKUP(Tabela1[[#This Row],[Cliente]],'BASE DE CLIENTES'!A:D,4,0)</f>
        <v>OUTROS RAMOS</v>
      </c>
      <c r="L2144" s="1" t="str">
        <f>VLOOKUP(Tabela1[[#This Row],[Cliente]],'BASE DE CLIENTES'!A:E,5,0)</f>
        <v>MERCADO LIVRE</v>
      </c>
    </row>
    <row r="2145" spans="2:12" x14ac:dyDescent="0.3">
      <c r="B2145" s="1" t="s">
        <v>27</v>
      </c>
      <c r="C2145" s="4" t="str">
        <f>VLOOKUP(Tabela1[[#This Row],[Cliente]],'BASE DE CLIENTES'!A:E,2,0)</f>
        <v>Brasília</v>
      </c>
      <c r="D2145" s="1" t="str">
        <f>VLOOKUP(Tabela1[[#This Row],[Cliente]],'BASE DE CLIENTES'!A:C,3,0)</f>
        <v>DF</v>
      </c>
      <c r="E2145" s="4" t="str">
        <f>CONCATENATE(Tabela1[[#This Row],[CIDADE]],",",Tabela1[[#This Row],[UF]])</f>
        <v>Brasília,DF</v>
      </c>
      <c r="F2145" s="2">
        <v>45877</v>
      </c>
      <c r="G2145" s="17">
        <v>2178.1999999999998</v>
      </c>
      <c r="H2145" s="17">
        <v>3660</v>
      </c>
      <c r="I2145" s="6">
        <f>Tabela1[[#This Row],[Valor total]]-Tabela1[[#This Row],[Valor custo]]</f>
        <v>1481.8000000000002</v>
      </c>
      <c r="J2145" s="7">
        <f>Tabela1[[#This Row],[MARGEM BRUTA]]/Tabela1[[#This Row],[Valor total]]</f>
        <v>0.40486338797814214</v>
      </c>
      <c r="K2145" s="1" t="str">
        <f>VLOOKUP(Tabela1[[#This Row],[Cliente]],'BASE DE CLIENTES'!A:D,4,0)</f>
        <v>EMPRESA SEM MAQUINA</v>
      </c>
      <c r="L2145" s="1" t="str">
        <f>VLOOKUP(Tabela1[[#This Row],[Cliente]],'BASE DE CLIENTES'!A:E,5,0)</f>
        <v>RECANTO DAS EMAS</v>
      </c>
    </row>
    <row r="2146" spans="2:12" x14ac:dyDescent="0.3">
      <c r="B2146" s="1" t="s">
        <v>38</v>
      </c>
      <c r="C2146" s="4" t="str">
        <f>VLOOKUP(Tabela1[[#This Row],[Cliente]],'BASE DE CLIENTES'!A:E,2,0)</f>
        <v>Brasília</v>
      </c>
      <c r="D2146" s="1" t="str">
        <f>VLOOKUP(Tabela1[[#This Row],[Cliente]],'BASE DE CLIENTES'!A:C,3,0)</f>
        <v>DF</v>
      </c>
      <c r="E2146" s="4" t="str">
        <f>CONCATENATE(Tabela1[[#This Row],[CIDADE]],",",Tabela1[[#This Row],[UF]])</f>
        <v>Brasília,DF</v>
      </c>
      <c r="F2146" s="2">
        <v>45877</v>
      </c>
      <c r="G2146" s="17">
        <v>946</v>
      </c>
      <c r="H2146" s="17">
        <v>1485</v>
      </c>
      <c r="I2146" s="6">
        <f>Tabela1[[#This Row],[Valor total]]-Tabela1[[#This Row],[Valor custo]]</f>
        <v>539</v>
      </c>
      <c r="J2146" s="7">
        <f>Tabela1[[#This Row],[MARGEM BRUTA]]/Tabela1[[#This Row],[Valor total]]</f>
        <v>0.36296296296296299</v>
      </c>
      <c r="K2146" s="1" t="str">
        <f>VLOOKUP(Tabela1[[#This Row],[Cliente]],'BASE DE CLIENTES'!A:D,4,0)</f>
        <v>EMPRESA SEM MAQUINA</v>
      </c>
      <c r="L2146" s="1" t="str">
        <f>VLOOKUP(Tabela1[[#This Row],[Cliente]],'BASE DE CLIENTES'!A:E,5,0)</f>
        <v>PONTE ALTA NORTE (GAMA)</v>
      </c>
    </row>
    <row r="2147" spans="2:12" x14ac:dyDescent="0.3">
      <c r="B2147" s="1" t="s">
        <v>249</v>
      </c>
      <c r="C2147" s="4" t="str">
        <f>VLOOKUP(Tabela1[[#This Row],[Cliente]],'BASE DE CLIENTES'!A:E,2,0)</f>
        <v>Brasília</v>
      </c>
      <c r="D2147" s="1" t="str">
        <f>VLOOKUP(Tabela1[[#This Row],[Cliente]],'BASE DE CLIENTES'!A:C,3,0)</f>
        <v>DF</v>
      </c>
      <c r="E2147" s="4" t="str">
        <f>CONCATENATE(Tabela1[[#This Row],[CIDADE]],",",Tabela1[[#This Row],[UF]])</f>
        <v>Brasília,DF</v>
      </c>
      <c r="F2147" s="2">
        <v>45901</v>
      </c>
      <c r="G2147" s="17">
        <v>45.6</v>
      </c>
      <c r="H2147" s="17">
        <v>80</v>
      </c>
      <c r="I2147" s="6">
        <f>Tabela1[[#This Row],[Valor total]]-Tabela1[[#This Row],[Valor custo]]</f>
        <v>34.4</v>
      </c>
      <c r="J2147" s="7">
        <f>Tabela1[[#This Row],[MARGEM BRUTA]]/Tabela1[[#This Row],[Valor total]]</f>
        <v>0.43</v>
      </c>
      <c r="K2147" s="1" t="str">
        <f>VLOOKUP(Tabela1[[#This Row],[Cliente]],'BASE DE CLIENTES'!A:D,4,0)</f>
        <v>SEM CLASSIFICAÇÃO</v>
      </c>
      <c r="L2147" s="1" t="str">
        <f>VLOOKUP(Tabela1[[#This Row],[Cliente]],'BASE DE CLIENTES'!A:E,5,0)</f>
        <v>NA</v>
      </c>
    </row>
    <row r="2148" spans="2:12" x14ac:dyDescent="0.3">
      <c r="B2148" s="1" t="s">
        <v>99</v>
      </c>
      <c r="C2148" s="4" t="str">
        <f>VLOOKUP(Tabela1[[#This Row],[Cliente]],'BASE DE CLIENTES'!A:E,2,0)</f>
        <v>Brasília</v>
      </c>
      <c r="D2148" s="1" t="str">
        <f>VLOOKUP(Tabela1[[#This Row],[Cliente]],'BASE DE CLIENTES'!A:C,3,0)</f>
        <v>DF</v>
      </c>
      <c r="E2148" s="4" t="str">
        <f>CONCATENATE(Tabela1[[#This Row],[CIDADE]],",",Tabela1[[#This Row],[UF]])</f>
        <v>Brasília,DF</v>
      </c>
      <c r="F2148" s="2">
        <v>45877</v>
      </c>
      <c r="G2148" s="17">
        <v>4923.18</v>
      </c>
      <c r="H2148" s="17">
        <v>8430</v>
      </c>
      <c r="I2148" s="6">
        <f>Tabela1[[#This Row],[Valor total]]-Tabela1[[#This Row],[Valor custo]]</f>
        <v>3506.8199999999997</v>
      </c>
      <c r="J2148" s="7">
        <f>Tabela1[[#This Row],[MARGEM BRUTA]]/Tabela1[[#This Row],[Valor total]]</f>
        <v>0.41599288256227757</v>
      </c>
      <c r="K2148" s="1" t="str">
        <f>VLOOKUP(Tabela1[[#This Row],[Cliente]],'BASE DE CLIENTES'!A:D,4,0)</f>
        <v>EMPRESA COM MAQUINA</v>
      </c>
      <c r="L2148" s="1" t="str">
        <f>VLOOKUP(Tabela1[[#This Row],[Cliente]],'BASE DE CLIENTES'!A:E,5,0)</f>
        <v>ARAPOANGA (PLANALTINA)</v>
      </c>
    </row>
    <row r="2149" spans="2:12" x14ac:dyDescent="0.3">
      <c r="B2149" s="1" t="s">
        <v>266</v>
      </c>
      <c r="C2149" s="4" t="str">
        <f>VLOOKUP(Tabela1[[#This Row],[Cliente]],'BASE DE CLIENTES'!A:E,2,0)</f>
        <v>MERCADO LIVRE</v>
      </c>
      <c r="D2149" s="1" t="str">
        <f>VLOOKUP(Tabela1[[#This Row],[Cliente]],'BASE DE CLIENTES'!A:C,3,0)</f>
        <v>MERCADO LIVRE</v>
      </c>
      <c r="E2149" s="4" t="str">
        <f>CONCATENATE(Tabela1[[#This Row],[CIDADE]],",",Tabela1[[#This Row],[UF]])</f>
        <v>MERCADO LIVRE,MERCADO LIVRE</v>
      </c>
      <c r="F2149" s="2">
        <v>45901</v>
      </c>
      <c r="G2149" s="17">
        <v>14.42</v>
      </c>
      <c r="H2149" s="17">
        <v>55.86</v>
      </c>
      <c r="I2149" s="6">
        <f>Tabela1[[#This Row],[Valor total]]-Tabela1[[#This Row],[Valor custo]]</f>
        <v>41.44</v>
      </c>
      <c r="J2149" s="7">
        <f>Tabela1[[#This Row],[MARGEM BRUTA]]/Tabela1[[#This Row],[Valor total]]</f>
        <v>0.74185463659147866</v>
      </c>
      <c r="K2149" s="1" t="str">
        <f>VLOOKUP(Tabela1[[#This Row],[Cliente]],'BASE DE CLIENTES'!A:D,4,0)</f>
        <v>OUTROS RAMOS</v>
      </c>
      <c r="L2149" s="1" t="str">
        <f>VLOOKUP(Tabela1[[#This Row],[Cliente]],'BASE DE CLIENTES'!A:E,5,0)</f>
        <v>MERCADO LIVRE</v>
      </c>
    </row>
    <row r="2150" spans="2:12" x14ac:dyDescent="0.3">
      <c r="B2150" s="1" t="s">
        <v>169</v>
      </c>
      <c r="C2150" s="4" t="str">
        <f>VLOOKUP(Tabela1[[#This Row],[Cliente]],'BASE DE CLIENTES'!A:E,2,0)</f>
        <v>Planaltina</v>
      </c>
      <c r="D2150" s="1" t="str">
        <f>VLOOKUP(Tabela1[[#This Row],[Cliente]],'BASE DE CLIENTES'!A:C,3,0)</f>
        <v>GO</v>
      </c>
      <c r="E2150" s="4" t="str">
        <f>CONCATENATE(Tabela1[[#This Row],[CIDADE]],",",Tabela1[[#This Row],[UF]])</f>
        <v>Planaltina,GO</v>
      </c>
      <c r="F2150" s="2">
        <v>45876</v>
      </c>
      <c r="G2150" s="17">
        <v>477</v>
      </c>
      <c r="H2150" s="17">
        <v>785</v>
      </c>
      <c r="I2150" s="6">
        <f>Tabela1[[#This Row],[Valor total]]-Tabela1[[#This Row],[Valor custo]]</f>
        <v>308</v>
      </c>
      <c r="J2150" s="7">
        <f>Tabela1[[#This Row],[MARGEM BRUTA]]/Tabela1[[#This Row],[Valor total]]</f>
        <v>0.3923566878980892</v>
      </c>
      <c r="K2150" s="1" t="str">
        <f>VLOOKUP(Tabela1[[#This Row],[Cliente]],'BASE DE CLIENTES'!A:D,4,0)</f>
        <v>SERRALHEIRO</v>
      </c>
      <c r="L2150" s="1" t="str">
        <f>VLOOKUP(Tabela1[[#This Row],[Cliente]],'BASE DE CLIENTES'!A:E,5,0)</f>
        <v>Planaltina</v>
      </c>
    </row>
    <row r="2151" spans="2:12" x14ac:dyDescent="0.3">
      <c r="B2151" s="1" t="s">
        <v>266</v>
      </c>
      <c r="C2151" s="4" t="str">
        <f>VLOOKUP(Tabela1[[#This Row],[Cliente]],'BASE DE CLIENTES'!A:E,2,0)</f>
        <v>MERCADO LIVRE</v>
      </c>
      <c r="D2151" s="1" t="str">
        <f>VLOOKUP(Tabela1[[#This Row],[Cliente]],'BASE DE CLIENTES'!A:C,3,0)</f>
        <v>MERCADO LIVRE</v>
      </c>
      <c r="E2151" s="4" t="str">
        <f>CONCATENATE(Tabela1[[#This Row],[CIDADE]],",",Tabela1[[#This Row],[UF]])</f>
        <v>MERCADO LIVRE,MERCADO LIVRE</v>
      </c>
      <c r="F2151" s="2">
        <v>45901</v>
      </c>
      <c r="G2151" s="17">
        <v>7.21</v>
      </c>
      <c r="H2151" s="17">
        <v>27.93</v>
      </c>
      <c r="I2151" s="6">
        <f>Tabela1[[#This Row],[Valor total]]-Tabela1[[#This Row],[Valor custo]]</f>
        <v>20.72</v>
      </c>
      <c r="J2151" s="7">
        <f>Tabela1[[#This Row],[MARGEM BRUTA]]/Tabela1[[#This Row],[Valor total]]</f>
        <v>0.74185463659147866</v>
      </c>
      <c r="K2151" s="1" t="str">
        <f>VLOOKUP(Tabela1[[#This Row],[Cliente]],'BASE DE CLIENTES'!A:D,4,0)</f>
        <v>OUTROS RAMOS</v>
      </c>
      <c r="L2151" s="1" t="str">
        <f>VLOOKUP(Tabela1[[#This Row],[Cliente]],'BASE DE CLIENTES'!A:E,5,0)</f>
        <v>MERCADO LIVRE</v>
      </c>
    </row>
    <row r="2152" spans="2:12" x14ac:dyDescent="0.3">
      <c r="B2152" s="1" t="s">
        <v>42</v>
      </c>
      <c r="C2152" s="4" t="str">
        <f>VLOOKUP(Tabela1[[#This Row],[Cliente]],'BASE DE CLIENTES'!A:E,2,0)</f>
        <v>Brasília</v>
      </c>
      <c r="D2152" s="1" t="str">
        <f>VLOOKUP(Tabela1[[#This Row],[Cliente]],'BASE DE CLIENTES'!A:C,3,0)</f>
        <v>DF</v>
      </c>
      <c r="E2152" s="4" t="str">
        <f>CONCATENATE(Tabela1[[#This Row],[CIDADE]],",",Tabela1[[#This Row],[UF]])</f>
        <v>Brasília,DF</v>
      </c>
      <c r="F2152" s="2">
        <v>45876</v>
      </c>
      <c r="G2152" s="17">
        <v>764.6</v>
      </c>
      <c r="H2152" s="17">
        <v>1030</v>
      </c>
      <c r="I2152" s="6">
        <f>Tabela1[[#This Row],[Valor total]]-Tabela1[[#This Row],[Valor custo]]</f>
        <v>265.39999999999998</v>
      </c>
      <c r="J2152" s="7">
        <f>Tabela1[[#This Row],[MARGEM BRUTA]]/Tabela1[[#This Row],[Valor total]]</f>
        <v>0.25766990291262132</v>
      </c>
      <c r="K2152" s="1" t="str">
        <f>VLOOKUP(Tabela1[[#This Row],[Cliente]],'BASE DE CLIENTES'!A:D,4,0)</f>
        <v>EMPRESA SEM MAQUINA</v>
      </c>
      <c r="L2152" s="1" t="str">
        <f>VLOOKUP(Tabela1[[#This Row],[Cliente]],'BASE DE CLIENTES'!A:E,5,0)</f>
        <v>SAMAMBAIA</v>
      </c>
    </row>
    <row r="2153" spans="2:12" x14ac:dyDescent="0.3">
      <c r="B2153" s="1" t="s">
        <v>266</v>
      </c>
      <c r="C2153" s="4" t="str">
        <f>VLOOKUP(Tabela1[[#This Row],[Cliente]],'BASE DE CLIENTES'!A:E,2,0)</f>
        <v>MERCADO LIVRE</v>
      </c>
      <c r="D2153" s="1" t="str">
        <f>VLOOKUP(Tabela1[[#This Row],[Cliente]],'BASE DE CLIENTES'!A:C,3,0)</f>
        <v>MERCADO LIVRE</v>
      </c>
      <c r="E2153" s="4" t="str">
        <f>CONCATENATE(Tabela1[[#This Row],[CIDADE]],",",Tabela1[[#This Row],[UF]])</f>
        <v>MERCADO LIVRE,MERCADO LIVRE</v>
      </c>
      <c r="F2153" s="2">
        <v>45901</v>
      </c>
      <c r="G2153" s="17">
        <v>24</v>
      </c>
      <c r="H2153" s="17">
        <v>15.25</v>
      </c>
      <c r="I2153" s="6">
        <f>Tabela1[[#This Row],[Valor total]]-Tabela1[[#This Row],[Valor custo]]</f>
        <v>-8.75</v>
      </c>
      <c r="J2153" s="7">
        <f>Tabela1[[#This Row],[MARGEM BRUTA]]/Tabela1[[#This Row],[Valor total]]</f>
        <v>-0.57377049180327866</v>
      </c>
      <c r="K2153" s="1" t="str">
        <f>VLOOKUP(Tabela1[[#This Row],[Cliente]],'BASE DE CLIENTES'!A:D,4,0)</f>
        <v>OUTROS RAMOS</v>
      </c>
      <c r="L2153" s="1" t="str">
        <f>VLOOKUP(Tabela1[[#This Row],[Cliente]],'BASE DE CLIENTES'!A:E,5,0)</f>
        <v>MERCADO LIVRE</v>
      </c>
    </row>
    <row r="2154" spans="2:12" x14ac:dyDescent="0.3">
      <c r="B2154" s="1" t="s">
        <v>230</v>
      </c>
      <c r="C2154" s="4" t="str">
        <f>VLOOKUP(Tabela1[[#This Row],[Cliente]],'BASE DE CLIENTES'!A:E,2,0)</f>
        <v>Brasília</v>
      </c>
      <c r="D2154" s="1" t="str">
        <f>VLOOKUP(Tabela1[[#This Row],[Cliente]],'BASE DE CLIENTES'!A:C,3,0)</f>
        <v>DF</v>
      </c>
      <c r="E2154" s="4" t="str">
        <f>CONCATENATE(Tabela1[[#This Row],[CIDADE]],",",Tabela1[[#This Row],[UF]])</f>
        <v>Brasília,DF</v>
      </c>
      <c r="F2154" s="2">
        <v>45876</v>
      </c>
      <c r="G2154" s="17">
        <v>25</v>
      </c>
      <c r="H2154" s="17">
        <v>30</v>
      </c>
      <c r="I2154" s="6">
        <f>Tabela1[[#This Row],[Valor total]]-Tabela1[[#This Row],[Valor custo]]</f>
        <v>5</v>
      </c>
      <c r="J2154" s="7">
        <f>Tabela1[[#This Row],[MARGEM BRUTA]]/Tabela1[[#This Row],[Valor total]]</f>
        <v>0.16666666666666666</v>
      </c>
      <c r="K2154" s="1" t="str">
        <f>VLOOKUP(Tabela1[[#This Row],[Cliente]],'BASE DE CLIENTES'!A:D,4,0)</f>
        <v>SERRALHEIRO</v>
      </c>
      <c r="L2154" s="1" t="str">
        <f>VLOOKUP(Tabela1[[#This Row],[Cliente]],'BASE DE CLIENTES'!A:E,5,0)</f>
        <v>SETOR HABITACIONAL SAMAMBAIA (VICENTE PIRES)</v>
      </c>
    </row>
    <row r="2155" spans="2:12" x14ac:dyDescent="0.3">
      <c r="B2155" s="1" t="s">
        <v>266</v>
      </c>
      <c r="C2155" s="4" t="str">
        <f>VLOOKUP(Tabela1[[#This Row],[Cliente]],'BASE DE CLIENTES'!A:E,2,0)</f>
        <v>MERCADO LIVRE</v>
      </c>
      <c r="D2155" s="1" t="str">
        <f>VLOOKUP(Tabela1[[#This Row],[Cliente]],'BASE DE CLIENTES'!A:C,3,0)</f>
        <v>MERCADO LIVRE</v>
      </c>
      <c r="E2155" s="4" t="str">
        <f>CONCATENATE(Tabela1[[#This Row],[CIDADE]],",",Tabela1[[#This Row],[UF]])</f>
        <v>MERCADO LIVRE,MERCADO LIVRE</v>
      </c>
      <c r="F2155" s="2">
        <v>45901</v>
      </c>
      <c r="G2155" s="17">
        <v>144</v>
      </c>
      <c r="H2155" s="17">
        <v>66.599999999999994</v>
      </c>
      <c r="I2155" s="6">
        <f>Tabela1[[#This Row],[Valor total]]-Tabela1[[#This Row],[Valor custo]]</f>
        <v>-77.400000000000006</v>
      </c>
      <c r="J2155" s="7">
        <f>Tabela1[[#This Row],[MARGEM BRUTA]]/Tabela1[[#This Row],[Valor total]]</f>
        <v>-1.1621621621621623</v>
      </c>
      <c r="K2155" s="1" t="str">
        <f>VLOOKUP(Tabela1[[#This Row],[Cliente]],'BASE DE CLIENTES'!A:D,4,0)</f>
        <v>OUTROS RAMOS</v>
      </c>
      <c r="L2155" s="1" t="str">
        <f>VLOOKUP(Tabela1[[#This Row],[Cliente]],'BASE DE CLIENTES'!A:E,5,0)</f>
        <v>MERCADO LIVRE</v>
      </c>
    </row>
    <row r="2156" spans="2:12" x14ac:dyDescent="0.3">
      <c r="B2156" s="1" t="s">
        <v>248</v>
      </c>
      <c r="C2156" s="4" t="str">
        <f>VLOOKUP(Tabela1[[#This Row],[Cliente]],'BASE DE CLIENTES'!A:E,2,0)</f>
        <v>Brasília</v>
      </c>
      <c r="D2156" s="1" t="str">
        <f>VLOOKUP(Tabela1[[#This Row],[Cliente]],'BASE DE CLIENTES'!A:C,3,0)</f>
        <v>DF</v>
      </c>
      <c r="E2156" s="4" t="str">
        <f>CONCATENATE(Tabela1[[#This Row],[CIDADE]],",",Tabela1[[#This Row],[UF]])</f>
        <v>Brasília,DF</v>
      </c>
      <c r="F2156" s="2">
        <v>45661</v>
      </c>
      <c r="G2156" s="17">
        <v>514.45000000000005</v>
      </c>
      <c r="H2156" s="17">
        <v>75</v>
      </c>
      <c r="I2156" s="6">
        <f>Tabela1[[#This Row],[Valor total]]-Tabela1[[#This Row],[Valor custo]]</f>
        <v>-439.45000000000005</v>
      </c>
      <c r="J2156" s="7">
        <f>Tabela1[[#This Row],[MARGEM BRUTA]]/Tabela1[[#This Row],[Valor total]]</f>
        <v>-5.8593333333333337</v>
      </c>
      <c r="K2156" s="1" t="str">
        <f>VLOOKUP(Tabela1[[#This Row],[Cliente]],'BASE DE CLIENTES'!A:D,4,0)</f>
        <v>SEM CLASSIFICAÇÃO</v>
      </c>
      <c r="L2156" s="1" t="str">
        <f>VLOOKUP(Tabela1[[#This Row],[Cliente]],'BASE DE CLIENTES'!A:E,5,0)</f>
        <v>NA</v>
      </c>
    </row>
    <row r="2157" spans="2:12" x14ac:dyDescent="0.3">
      <c r="B2157" s="1" t="s">
        <v>266</v>
      </c>
      <c r="C2157" s="4" t="str">
        <f>VLOOKUP(Tabela1[[#This Row],[Cliente]],'BASE DE CLIENTES'!A:E,2,0)</f>
        <v>MERCADO LIVRE</v>
      </c>
      <c r="D2157" s="1" t="str">
        <f>VLOOKUP(Tabela1[[#This Row],[Cliente]],'BASE DE CLIENTES'!A:C,3,0)</f>
        <v>MERCADO LIVRE</v>
      </c>
      <c r="E2157" s="4" t="str">
        <f>CONCATENATE(Tabela1[[#This Row],[CIDADE]],",",Tabela1[[#This Row],[UF]])</f>
        <v>MERCADO LIVRE,MERCADO LIVRE</v>
      </c>
      <c r="F2157" s="2">
        <v>45901</v>
      </c>
      <c r="G2157" s="17">
        <v>7.21</v>
      </c>
      <c r="H2157" s="17">
        <v>35</v>
      </c>
      <c r="I2157" s="6">
        <f>Tabela1[[#This Row],[Valor total]]-Tabela1[[#This Row],[Valor custo]]</f>
        <v>27.79</v>
      </c>
      <c r="J2157" s="7">
        <f>Tabela1[[#This Row],[MARGEM BRUTA]]/Tabela1[[#This Row],[Valor total]]</f>
        <v>0.79399999999999993</v>
      </c>
      <c r="K2157" s="1" t="str">
        <f>VLOOKUP(Tabela1[[#This Row],[Cliente]],'BASE DE CLIENTES'!A:D,4,0)</f>
        <v>OUTROS RAMOS</v>
      </c>
      <c r="L2157" s="1" t="str">
        <f>VLOOKUP(Tabela1[[#This Row],[Cliente]],'BASE DE CLIENTES'!A:E,5,0)</f>
        <v>MERCADO LIVRE</v>
      </c>
    </row>
    <row r="2158" spans="2:12" x14ac:dyDescent="0.3">
      <c r="B2158" s="1" t="s">
        <v>266</v>
      </c>
      <c r="C2158" s="4" t="str">
        <f>VLOOKUP(Tabela1[[#This Row],[Cliente]],'BASE DE CLIENTES'!A:E,2,0)</f>
        <v>MERCADO LIVRE</v>
      </c>
      <c r="D2158" s="1" t="str">
        <f>VLOOKUP(Tabela1[[#This Row],[Cliente]],'BASE DE CLIENTES'!A:C,3,0)</f>
        <v>MERCADO LIVRE</v>
      </c>
      <c r="E2158" s="4" t="str">
        <f>CONCATENATE(Tabela1[[#This Row],[CIDADE]],",",Tabela1[[#This Row],[UF]])</f>
        <v>MERCADO LIVRE,MERCADO LIVRE</v>
      </c>
      <c r="F2158" s="2">
        <v>45901</v>
      </c>
      <c r="G2158" s="17">
        <v>7.21</v>
      </c>
      <c r="H2158" s="17">
        <v>27.93</v>
      </c>
      <c r="I2158" s="6">
        <f>Tabela1[[#This Row],[Valor total]]-Tabela1[[#This Row],[Valor custo]]</f>
        <v>20.72</v>
      </c>
      <c r="J2158" s="7">
        <f>Tabela1[[#This Row],[MARGEM BRUTA]]/Tabela1[[#This Row],[Valor total]]</f>
        <v>0.74185463659147866</v>
      </c>
      <c r="K2158" s="1" t="str">
        <f>VLOOKUP(Tabela1[[#This Row],[Cliente]],'BASE DE CLIENTES'!A:D,4,0)</f>
        <v>OUTROS RAMOS</v>
      </c>
      <c r="L2158" s="1" t="str">
        <f>VLOOKUP(Tabela1[[#This Row],[Cliente]],'BASE DE CLIENTES'!A:E,5,0)</f>
        <v>MERCADO LIVRE</v>
      </c>
    </row>
    <row r="2159" spans="2:12" x14ac:dyDescent="0.3">
      <c r="B2159" s="1" t="s">
        <v>272</v>
      </c>
      <c r="C2159" s="4" t="str">
        <f>VLOOKUP(Tabela1[[#This Row],[Cliente]],'BASE DE CLIENTES'!A:E,2,0)</f>
        <v>Nova Santa Rosa</v>
      </c>
      <c r="D2159" s="1" t="str">
        <f>VLOOKUP(Tabela1[[#This Row],[Cliente]],'BASE DE CLIENTES'!A:C,3,0)</f>
        <v>PR</v>
      </c>
      <c r="E2159" s="4" t="str">
        <f>CONCATENATE(Tabela1[[#This Row],[CIDADE]],",",Tabela1[[#This Row],[UF]])</f>
        <v>Nova Santa Rosa,PR</v>
      </c>
      <c r="F2159" s="2">
        <v>45671</v>
      </c>
      <c r="G2159" s="17">
        <v>52.2</v>
      </c>
      <c r="H2159" s="17">
        <v>224.95</v>
      </c>
      <c r="I2159" s="6">
        <f>Tabela1[[#This Row],[Valor total]]-Tabela1[[#This Row],[Valor custo]]</f>
        <v>172.75</v>
      </c>
      <c r="J2159" s="7">
        <f>Tabela1[[#This Row],[MARGEM BRUTA]]/Tabela1[[#This Row],[Valor total]]</f>
        <v>0.76794843298510784</v>
      </c>
      <c r="K2159" s="1" t="str">
        <f>VLOOKUP(Tabela1[[#This Row],[Cliente]],'BASE DE CLIENTES'!A:D,4,0)</f>
        <v>SEM CLASSIFICAÇÃO</v>
      </c>
      <c r="L2159" s="1" t="str">
        <f>VLOOKUP(Tabela1[[#This Row],[Cliente]],'BASE DE CLIENTES'!A:E,5,0)</f>
        <v>Nova Santa Rosa</v>
      </c>
    </row>
    <row r="2160" spans="2:12" x14ac:dyDescent="0.3">
      <c r="B2160" s="1" t="s">
        <v>111</v>
      </c>
      <c r="C2160" s="4" t="str">
        <f>VLOOKUP(Tabela1[[#This Row],[Cliente]],'BASE DE CLIENTES'!A:E,2,0)</f>
        <v>Brasília</v>
      </c>
      <c r="D2160" s="1" t="str">
        <f>VLOOKUP(Tabela1[[#This Row],[Cliente]],'BASE DE CLIENTES'!A:C,3,0)</f>
        <v>DF</v>
      </c>
      <c r="E2160" s="4" t="str">
        <f>CONCATENATE(Tabela1[[#This Row],[CIDADE]],",",Tabela1[[#This Row],[UF]])</f>
        <v>Brasília,DF</v>
      </c>
      <c r="F2160" s="2">
        <v>45876</v>
      </c>
      <c r="G2160" s="17">
        <v>92.47</v>
      </c>
      <c r="H2160" s="17">
        <v>255</v>
      </c>
      <c r="I2160" s="6">
        <f>Tabela1[[#This Row],[Valor total]]-Tabela1[[#This Row],[Valor custo]]</f>
        <v>162.53</v>
      </c>
      <c r="J2160" s="7">
        <f>Tabela1[[#This Row],[MARGEM BRUTA]]/Tabela1[[#This Row],[Valor total]]</f>
        <v>0.63737254901960783</v>
      </c>
      <c r="K2160" s="1" t="str">
        <f>VLOOKUP(Tabela1[[#This Row],[Cliente]],'BASE DE CLIENTES'!A:D,4,0)</f>
        <v>EMPRESA SEM MAQUINA</v>
      </c>
      <c r="L2160" s="1" t="str">
        <f>VLOOKUP(Tabela1[[#This Row],[Cliente]],'BASE DE CLIENTES'!A:E,5,0)</f>
        <v>TAGUATINGA SUL (TAGUATINGA)</v>
      </c>
    </row>
    <row r="2161" spans="2:12" x14ac:dyDescent="0.3">
      <c r="B2161" s="1" t="s">
        <v>273</v>
      </c>
      <c r="C2161" s="4" t="str">
        <f>VLOOKUP(Tabela1[[#This Row],[Cliente]],'BASE DE CLIENTES'!A:E,2,0)</f>
        <v>Palmas</v>
      </c>
      <c r="D2161" s="1" t="str">
        <f>VLOOKUP(Tabela1[[#This Row],[Cliente]],'BASE DE CLIENTES'!A:C,3,0)</f>
        <v>TO</v>
      </c>
      <c r="E2161" s="4" t="str">
        <f>CONCATENATE(Tabela1[[#This Row],[CIDADE]],",",Tabela1[[#This Row],[UF]])</f>
        <v>Palmas,TO</v>
      </c>
      <c r="F2161" s="2">
        <v>45693</v>
      </c>
      <c r="G2161" s="17">
        <v>450.1</v>
      </c>
      <c r="H2161" s="17">
        <v>1800</v>
      </c>
      <c r="I2161" s="6">
        <f>Tabela1[[#This Row],[Valor total]]-Tabela1[[#This Row],[Valor custo]]</f>
        <v>1349.9</v>
      </c>
      <c r="J2161" s="7">
        <f>Tabela1[[#This Row],[MARGEM BRUTA]]/Tabela1[[#This Row],[Valor total]]</f>
        <v>0.74994444444444452</v>
      </c>
      <c r="K2161" s="1" t="str">
        <f>VLOOKUP(Tabela1[[#This Row],[Cliente]],'BASE DE CLIENTES'!A:D,4,0)</f>
        <v>EMPRESA COM MAQUINA</v>
      </c>
      <c r="L2161" s="1" t="str">
        <f>VLOOKUP(Tabela1[[#This Row],[Cliente]],'BASE DE CLIENTES'!A:E,5,0)</f>
        <v>Palmas</v>
      </c>
    </row>
    <row r="2162" spans="2:12" x14ac:dyDescent="0.3">
      <c r="B2162" s="1" t="s">
        <v>27</v>
      </c>
      <c r="C2162" s="4" t="str">
        <f>VLOOKUP(Tabela1[[#This Row],[Cliente]],'BASE DE CLIENTES'!A:E,2,0)</f>
        <v>Brasília</v>
      </c>
      <c r="D2162" s="1" t="str">
        <f>VLOOKUP(Tabela1[[#This Row],[Cliente]],'BASE DE CLIENTES'!A:C,3,0)</f>
        <v>DF</v>
      </c>
      <c r="E2162" s="4" t="str">
        <f>CONCATENATE(Tabela1[[#This Row],[CIDADE]],",",Tabela1[[#This Row],[UF]])</f>
        <v>Brasília,DF</v>
      </c>
      <c r="F2162" s="2">
        <v>45876</v>
      </c>
      <c r="G2162" s="17">
        <v>90</v>
      </c>
      <c r="H2162" s="17">
        <v>150</v>
      </c>
      <c r="I2162" s="6">
        <f>Tabela1[[#This Row],[Valor total]]-Tabela1[[#This Row],[Valor custo]]</f>
        <v>60</v>
      </c>
      <c r="J2162" s="7">
        <f>Tabela1[[#This Row],[MARGEM BRUTA]]/Tabela1[[#This Row],[Valor total]]</f>
        <v>0.4</v>
      </c>
      <c r="K2162" s="1" t="str">
        <f>VLOOKUP(Tabela1[[#This Row],[Cliente]],'BASE DE CLIENTES'!A:D,4,0)</f>
        <v>EMPRESA SEM MAQUINA</v>
      </c>
      <c r="L2162" s="1" t="str">
        <f>VLOOKUP(Tabela1[[#This Row],[Cliente]],'BASE DE CLIENTES'!A:E,5,0)</f>
        <v>RECANTO DAS EMAS</v>
      </c>
    </row>
    <row r="2163" spans="2:12" x14ac:dyDescent="0.3">
      <c r="B2163" s="1" t="s">
        <v>230</v>
      </c>
      <c r="C2163" s="4" t="str">
        <f>VLOOKUP(Tabela1[[#This Row],[Cliente]],'BASE DE CLIENTES'!A:E,2,0)</f>
        <v>Brasília</v>
      </c>
      <c r="D2163" s="1" t="str">
        <f>VLOOKUP(Tabela1[[#This Row],[Cliente]],'BASE DE CLIENTES'!A:C,3,0)</f>
        <v>DF</v>
      </c>
      <c r="E2163" s="4" t="str">
        <f>CONCATENATE(Tabela1[[#This Row],[CIDADE]],",",Tabela1[[#This Row],[UF]])</f>
        <v>Brasília,DF</v>
      </c>
      <c r="F2163" s="2">
        <v>45876</v>
      </c>
      <c r="G2163" s="17">
        <v>1529.2</v>
      </c>
      <c r="H2163" s="17">
        <v>2400</v>
      </c>
      <c r="I2163" s="6">
        <f>Tabela1[[#This Row],[Valor total]]-Tabela1[[#This Row],[Valor custo]]</f>
        <v>870.8</v>
      </c>
      <c r="J2163" s="7">
        <f>Tabela1[[#This Row],[MARGEM BRUTA]]/Tabela1[[#This Row],[Valor total]]</f>
        <v>0.36283333333333334</v>
      </c>
      <c r="K2163" s="1" t="str">
        <f>VLOOKUP(Tabela1[[#This Row],[Cliente]],'BASE DE CLIENTES'!A:D,4,0)</f>
        <v>SERRALHEIRO</v>
      </c>
      <c r="L2163" s="1" t="str">
        <f>VLOOKUP(Tabela1[[#This Row],[Cliente]],'BASE DE CLIENTES'!A:E,5,0)</f>
        <v>SETOR HABITACIONAL SAMAMBAIA (VICENTE PIRES)</v>
      </c>
    </row>
    <row r="2164" spans="2:12" x14ac:dyDescent="0.3">
      <c r="B2164" s="1" t="s">
        <v>161</v>
      </c>
      <c r="C2164" s="4" t="str">
        <f>VLOOKUP(Tabela1[[#This Row],[Cliente]],'BASE DE CLIENTES'!A:E,2,0)</f>
        <v>Brasília</v>
      </c>
      <c r="D2164" s="1" t="str">
        <f>VLOOKUP(Tabela1[[#This Row],[Cliente]],'BASE DE CLIENTES'!A:C,3,0)</f>
        <v>DF</v>
      </c>
      <c r="E2164" s="4" t="str">
        <f>CONCATENATE(Tabela1[[#This Row],[CIDADE]],",",Tabela1[[#This Row],[UF]])</f>
        <v>Brasília,DF</v>
      </c>
      <c r="F2164" s="2">
        <v>45876</v>
      </c>
      <c r="G2164" s="17">
        <v>33</v>
      </c>
      <c r="H2164" s="17">
        <v>150</v>
      </c>
      <c r="I2164" s="6">
        <f>Tabela1[[#This Row],[Valor total]]-Tabela1[[#This Row],[Valor custo]]</f>
        <v>117</v>
      </c>
      <c r="J2164" s="7">
        <f>Tabela1[[#This Row],[MARGEM BRUTA]]/Tabela1[[#This Row],[Valor total]]</f>
        <v>0.78</v>
      </c>
      <c r="K2164" s="1" t="str">
        <f>VLOOKUP(Tabela1[[#This Row],[Cliente]],'BASE DE CLIENTES'!A:D,4,0)</f>
        <v>EMPRESA COM MAQUINA</v>
      </c>
      <c r="L2164" s="1" t="str">
        <f>VLOOKUP(Tabela1[[#This Row],[Cliente]],'BASE DE CLIENTES'!A:E,5,0)</f>
        <v>RIACHO FUNDO II</v>
      </c>
    </row>
    <row r="2165" spans="2:12" x14ac:dyDescent="0.3">
      <c r="B2165" s="1" t="s">
        <v>68</v>
      </c>
      <c r="C2165" s="4" t="str">
        <f>VLOOKUP(Tabela1[[#This Row],[Cliente]],'BASE DE CLIENTES'!A:E,2,0)</f>
        <v>Brasília</v>
      </c>
      <c r="D2165" s="1" t="str">
        <f>VLOOKUP(Tabela1[[#This Row],[Cliente]],'BASE DE CLIENTES'!A:C,3,0)</f>
        <v>DF</v>
      </c>
      <c r="E2165" s="4" t="str">
        <f>CONCATENATE(Tabela1[[#This Row],[CIDADE]],",",Tabela1[[#This Row],[UF]])</f>
        <v>Brasília,DF</v>
      </c>
      <c r="F2165" s="2">
        <v>45876</v>
      </c>
      <c r="G2165" s="17">
        <v>469</v>
      </c>
      <c r="H2165" s="17">
        <v>850</v>
      </c>
      <c r="I2165" s="6">
        <f>Tabela1[[#This Row],[Valor total]]-Tabela1[[#This Row],[Valor custo]]</f>
        <v>381</v>
      </c>
      <c r="J2165" s="7">
        <f>Tabela1[[#This Row],[MARGEM BRUTA]]/Tabela1[[#This Row],[Valor total]]</f>
        <v>0.44823529411764707</v>
      </c>
      <c r="K2165" s="1" t="str">
        <f>VLOOKUP(Tabela1[[#This Row],[Cliente]],'BASE DE CLIENTES'!A:D,4,0)</f>
        <v>EMPRESA COM MAQUINA</v>
      </c>
      <c r="L2165" s="1" t="str">
        <f>VLOOKUP(Tabela1[[#This Row],[Cliente]],'BASE DE CLIENTES'!A:E,5,0)</f>
        <v>SAMAMBAIA SUL (SAMAMBAIA)</v>
      </c>
    </row>
    <row r="2166" spans="2:12" x14ac:dyDescent="0.3">
      <c r="B2166" s="1" t="s">
        <v>68</v>
      </c>
      <c r="C2166" s="4" t="str">
        <f>VLOOKUP(Tabela1[[#This Row],[Cliente]],'BASE DE CLIENTES'!A:E,2,0)</f>
        <v>Brasília</v>
      </c>
      <c r="D2166" s="1" t="str">
        <f>VLOOKUP(Tabela1[[#This Row],[Cliente]],'BASE DE CLIENTES'!A:C,3,0)</f>
        <v>DF</v>
      </c>
      <c r="E2166" s="4" t="str">
        <f>CONCATENATE(Tabela1[[#This Row],[CIDADE]],",",Tabela1[[#This Row],[UF]])</f>
        <v>Brasília,DF</v>
      </c>
      <c r="F2166" s="2">
        <v>45876</v>
      </c>
      <c r="G2166" s="17">
        <v>55</v>
      </c>
      <c r="H2166" s="17">
        <v>150</v>
      </c>
      <c r="I2166" s="6">
        <f>Tabela1[[#This Row],[Valor total]]-Tabela1[[#This Row],[Valor custo]]</f>
        <v>95</v>
      </c>
      <c r="J2166" s="7">
        <f>Tabela1[[#This Row],[MARGEM BRUTA]]/Tabela1[[#This Row],[Valor total]]</f>
        <v>0.6333333333333333</v>
      </c>
      <c r="K2166" s="1" t="str">
        <f>VLOOKUP(Tabela1[[#This Row],[Cliente]],'BASE DE CLIENTES'!A:D,4,0)</f>
        <v>EMPRESA COM MAQUINA</v>
      </c>
      <c r="L2166" s="1" t="str">
        <f>VLOOKUP(Tabela1[[#This Row],[Cliente]],'BASE DE CLIENTES'!A:E,5,0)</f>
        <v>SAMAMBAIA SUL (SAMAMBAIA)</v>
      </c>
    </row>
    <row r="2167" spans="2:12" x14ac:dyDescent="0.3">
      <c r="B2167" s="1" t="s">
        <v>68</v>
      </c>
      <c r="C2167" s="4" t="str">
        <f>VLOOKUP(Tabela1[[#This Row],[Cliente]],'BASE DE CLIENTES'!A:E,2,0)</f>
        <v>Brasília</v>
      </c>
      <c r="D2167" s="1" t="str">
        <f>VLOOKUP(Tabela1[[#This Row],[Cliente]],'BASE DE CLIENTES'!A:C,3,0)</f>
        <v>DF</v>
      </c>
      <c r="E2167" s="4" t="str">
        <f>CONCATENATE(Tabela1[[#This Row],[CIDADE]],",",Tabela1[[#This Row],[UF]])</f>
        <v>Brasília,DF</v>
      </c>
      <c r="F2167" s="2">
        <v>45876</v>
      </c>
      <c r="G2167" s="17">
        <v>836.7</v>
      </c>
      <c r="H2167" s="17">
        <v>1530</v>
      </c>
      <c r="I2167" s="6">
        <f>Tabela1[[#This Row],[Valor total]]-Tabela1[[#This Row],[Valor custo]]</f>
        <v>693.3</v>
      </c>
      <c r="J2167" s="7">
        <f>Tabela1[[#This Row],[MARGEM BRUTA]]/Tabela1[[#This Row],[Valor total]]</f>
        <v>0.45313725490196077</v>
      </c>
      <c r="K2167" s="1" t="str">
        <f>VLOOKUP(Tabela1[[#This Row],[Cliente]],'BASE DE CLIENTES'!A:D,4,0)</f>
        <v>EMPRESA COM MAQUINA</v>
      </c>
      <c r="L2167" s="1" t="str">
        <f>VLOOKUP(Tabela1[[#This Row],[Cliente]],'BASE DE CLIENTES'!A:E,5,0)</f>
        <v>SAMAMBAIA SUL (SAMAMBAIA)</v>
      </c>
    </row>
    <row r="2168" spans="2:12" x14ac:dyDescent="0.3">
      <c r="B2168" s="1" t="s">
        <v>106</v>
      </c>
      <c r="C2168" s="4" t="str">
        <f>VLOOKUP(Tabela1[[#This Row],[Cliente]],'BASE DE CLIENTES'!A:E,2,0)</f>
        <v>Brasília</v>
      </c>
      <c r="D2168" s="1" t="str">
        <f>VLOOKUP(Tabela1[[#This Row],[Cliente]],'BASE DE CLIENTES'!A:C,3,0)</f>
        <v>DF</v>
      </c>
      <c r="E2168" s="4" t="str">
        <f>CONCATENATE(Tabela1[[#This Row],[CIDADE]],",",Tabela1[[#This Row],[UF]])</f>
        <v>Brasília,DF</v>
      </c>
      <c r="F2168" s="2">
        <v>45876</v>
      </c>
      <c r="G2168" s="17">
        <v>3810.37</v>
      </c>
      <c r="H2168" s="17">
        <v>6075</v>
      </c>
      <c r="I2168" s="6">
        <f>Tabela1[[#This Row],[Valor total]]-Tabela1[[#This Row],[Valor custo]]</f>
        <v>2264.63</v>
      </c>
      <c r="J2168" s="7">
        <f>Tabela1[[#This Row],[MARGEM BRUTA]]/Tabela1[[#This Row],[Valor total]]</f>
        <v>0.37277860082304526</v>
      </c>
      <c r="K2168" s="1" t="str">
        <f>VLOOKUP(Tabela1[[#This Row],[Cliente]],'BASE DE CLIENTES'!A:D,4,0)</f>
        <v>EMPRESA COM MAQUINA</v>
      </c>
      <c r="L2168" s="1" t="str">
        <f>VLOOKUP(Tabela1[[#This Row],[Cliente]],'BASE DE CLIENTES'!A:E,5,0)</f>
        <v>26 DE SETEMBRO</v>
      </c>
    </row>
    <row r="2169" spans="2:12" x14ac:dyDescent="0.3">
      <c r="B2169" s="1" t="s">
        <v>161</v>
      </c>
      <c r="C2169" s="4" t="str">
        <f>VLOOKUP(Tabela1[[#This Row],[Cliente]],'BASE DE CLIENTES'!A:E,2,0)</f>
        <v>Brasília</v>
      </c>
      <c r="D2169" s="1" t="str">
        <f>VLOOKUP(Tabela1[[#This Row],[Cliente]],'BASE DE CLIENTES'!A:C,3,0)</f>
        <v>DF</v>
      </c>
      <c r="E2169" s="4" t="str">
        <f>CONCATENATE(Tabela1[[#This Row],[CIDADE]],",",Tabela1[[#This Row],[UF]])</f>
        <v>Brasília,DF</v>
      </c>
      <c r="F2169" s="2">
        <v>45876</v>
      </c>
      <c r="G2169" s="17">
        <v>3823</v>
      </c>
      <c r="H2169" s="17">
        <v>6000</v>
      </c>
      <c r="I2169" s="6">
        <f>Tabela1[[#This Row],[Valor total]]-Tabela1[[#This Row],[Valor custo]]</f>
        <v>2177</v>
      </c>
      <c r="J2169" s="7">
        <f>Tabela1[[#This Row],[MARGEM BRUTA]]/Tabela1[[#This Row],[Valor total]]</f>
        <v>0.36283333333333334</v>
      </c>
      <c r="K2169" s="1" t="str">
        <f>VLOOKUP(Tabela1[[#This Row],[Cliente]],'BASE DE CLIENTES'!A:D,4,0)</f>
        <v>EMPRESA COM MAQUINA</v>
      </c>
      <c r="L2169" s="1" t="str">
        <f>VLOOKUP(Tabela1[[#This Row],[Cliente]],'BASE DE CLIENTES'!A:E,5,0)</f>
        <v>RIACHO FUNDO II</v>
      </c>
    </row>
    <row r="2170" spans="2:12" x14ac:dyDescent="0.3">
      <c r="B2170" s="1" t="s">
        <v>274</v>
      </c>
      <c r="C2170" s="4" t="str">
        <f>VLOOKUP(Tabela1[[#This Row],[Cliente]],'BASE DE CLIENTES'!A:E,2,0)</f>
        <v>Palmas</v>
      </c>
      <c r="D2170" s="1" t="str">
        <f>VLOOKUP(Tabela1[[#This Row],[Cliente]],'BASE DE CLIENTES'!A:C,3,0)</f>
        <v>TO</v>
      </c>
      <c r="E2170" s="4" t="str">
        <f>CONCATENATE(Tabela1[[#This Row],[CIDADE]],",",Tabela1[[#This Row],[UF]])</f>
        <v>Palmas,TO</v>
      </c>
      <c r="F2170" s="2">
        <v>45737</v>
      </c>
      <c r="G2170" s="17">
        <v>5353.3</v>
      </c>
      <c r="H2170" s="17">
        <v>6550</v>
      </c>
      <c r="I2170" s="6">
        <f>Tabela1[[#This Row],[Valor total]]-Tabela1[[#This Row],[Valor custo]]</f>
        <v>1196.6999999999998</v>
      </c>
      <c r="J2170" s="7">
        <f>Tabela1[[#This Row],[MARGEM BRUTA]]/Tabela1[[#This Row],[Valor total]]</f>
        <v>0.18270229007633584</v>
      </c>
      <c r="K2170" s="1" t="str">
        <f>VLOOKUP(Tabela1[[#This Row],[Cliente]],'BASE DE CLIENTES'!A:D,4,0)</f>
        <v>EMPRESA COM MAQUINA</v>
      </c>
      <c r="L2170" s="1" t="str">
        <f>VLOOKUP(Tabela1[[#This Row],[Cliente]],'BASE DE CLIENTES'!A:E,5,0)</f>
        <v>Palmas</v>
      </c>
    </row>
    <row r="2171" spans="2:12" x14ac:dyDescent="0.3">
      <c r="B2171" s="1" t="s">
        <v>102</v>
      </c>
      <c r="C2171" s="4" t="str">
        <f>VLOOKUP(Tabela1[[#This Row],[Cliente]],'BASE DE CLIENTES'!A:E,2,0)</f>
        <v>Brasília</v>
      </c>
      <c r="D2171" s="1" t="str">
        <f>VLOOKUP(Tabela1[[#This Row],[Cliente]],'BASE DE CLIENTES'!A:C,3,0)</f>
        <v>DF</v>
      </c>
      <c r="E2171" s="4" t="str">
        <f>CONCATENATE(Tabela1[[#This Row],[CIDADE]],",",Tabela1[[#This Row],[UF]])</f>
        <v>Brasília,DF</v>
      </c>
      <c r="F2171" s="2">
        <v>45875</v>
      </c>
      <c r="G2171" s="17">
        <v>837.3</v>
      </c>
      <c r="H2171" s="17">
        <v>1400</v>
      </c>
      <c r="I2171" s="6">
        <f>Tabela1[[#This Row],[Valor total]]-Tabela1[[#This Row],[Valor custo]]</f>
        <v>562.70000000000005</v>
      </c>
      <c r="J2171" s="7">
        <f>Tabela1[[#This Row],[MARGEM BRUTA]]/Tabela1[[#This Row],[Valor total]]</f>
        <v>0.40192857142857147</v>
      </c>
      <c r="K2171" s="1" t="str">
        <f>VLOOKUP(Tabela1[[#This Row],[Cliente]],'BASE DE CLIENTES'!A:D,4,0)</f>
        <v>SERRALHEIRO</v>
      </c>
      <c r="L2171" s="1" t="str">
        <f>VLOOKUP(Tabela1[[#This Row],[Cliente]],'BASE DE CLIENTES'!A:E,5,0)</f>
        <v>Samambaia Norte (Samambaia)</v>
      </c>
    </row>
    <row r="2172" spans="2:12" x14ac:dyDescent="0.3">
      <c r="B2172" s="1" t="s">
        <v>275</v>
      </c>
      <c r="C2172" s="4" t="str">
        <f>VLOOKUP(Tabela1[[#This Row],[Cliente]],'BASE DE CLIENTES'!A:E,2,0)</f>
        <v>Palmeiras de Goiás</v>
      </c>
      <c r="D2172" s="1" t="str">
        <f>VLOOKUP(Tabela1[[#This Row],[Cliente]],'BASE DE CLIENTES'!A:C,3,0)</f>
        <v>GO</v>
      </c>
      <c r="E2172" s="4" t="str">
        <f>CONCATENATE(Tabela1[[#This Row],[CIDADE]],",",Tabela1[[#This Row],[UF]])</f>
        <v>Palmeiras de Goiás,GO</v>
      </c>
      <c r="F2172" s="2">
        <v>45709</v>
      </c>
      <c r="G2172" s="17">
        <v>563.66</v>
      </c>
      <c r="H2172" s="17">
        <v>790</v>
      </c>
      <c r="I2172" s="6">
        <f>Tabela1[[#This Row],[Valor total]]-Tabela1[[#This Row],[Valor custo]]</f>
        <v>226.34000000000003</v>
      </c>
      <c r="J2172" s="7">
        <f>Tabela1[[#This Row],[MARGEM BRUTA]]/Tabela1[[#This Row],[Valor total]]</f>
        <v>0.2865063291139241</v>
      </c>
      <c r="K2172" s="1" t="str">
        <f>VLOOKUP(Tabela1[[#This Row],[Cliente]],'BASE DE CLIENTES'!A:D,4,0)</f>
        <v>EMPRESA COM MAQUINA</v>
      </c>
      <c r="L2172" s="1" t="str">
        <f>VLOOKUP(Tabela1[[#This Row],[Cliente]],'BASE DE CLIENTES'!A:E,5,0)</f>
        <v>Palmeiras de Goiás</v>
      </c>
    </row>
    <row r="2173" spans="2:12" x14ac:dyDescent="0.3">
      <c r="B2173" s="1" t="s">
        <v>128</v>
      </c>
      <c r="C2173" s="4" t="str">
        <f>VLOOKUP(Tabela1[[#This Row],[Cliente]],'BASE DE CLIENTES'!A:E,2,0)</f>
        <v>Brasília</v>
      </c>
      <c r="D2173" s="1" t="str">
        <f>VLOOKUP(Tabela1[[#This Row],[Cliente]],'BASE DE CLIENTES'!A:C,3,0)</f>
        <v>DF</v>
      </c>
      <c r="E2173" s="4" t="str">
        <f>CONCATENATE(Tabela1[[#This Row],[CIDADE]],",",Tabela1[[#This Row],[UF]])</f>
        <v>Brasília,DF</v>
      </c>
      <c r="F2173" s="2">
        <v>45875</v>
      </c>
      <c r="G2173" s="17">
        <v>122.74</v>
      </c>
      <c r="H2173" s="17">
        <v>300</v>
      </c>
      <c r="I2173" s="6">
        <f>Tabela1[[#This Row],[Valor total]]-Tabela1[[#This Row],[Valor custo]]</f>
        <v>177.26</v>
      </c>
      <c r="J2173" s="7">
        <f>Tabela1[[#This Row],[MARGEM BRUTA]]/Tabela1[[#This Row],[Valor total]]</f>
        <v>0.59086666666666665</v>
      </c>
      <c r="K2173" s="1" t="str">
        <f>VLOOKUP(Tabela1[[#This Row],[Cliente]],'BASE DE CLIENTES'!A:D,4,0)</f>
        <v>SERRALHEIRO</v>
      </c>
      <c r="L2173" s="1" t="str">
        <f>VLOOKUP(Tabela1[[#This Row],[Cliente]],'BASE DE CLIENTES'!A:E,5,0)</f>
        <v>TAGUATINGA NORTE</v>
      </c>
    </row>
    <row r="2174" spans="2:12" x14ac:dyDescent="0.3">
      <c r="B2174" s="1" t="s">
        <v>275</v>
      </c>
      <c r="C2174" s="4" t="str">
        <f>VLOOKUP(Tabela1[[#This Row],[Cliente]],'BASE DE CLIENTES'!A:E,2,0)</f>
        <v>Palmeiras de Goiás</v>
      </c>
      <c r="D2174" s="1" t="str">
        <f>VLOOKUP(Tabela1[[#This Row],[Cliente]],'BASE DE CLIENTES'!A:C,3,0)</f>
        <v>GO</v>
      </c>
      <c r="E2174" s="4" t="str">
        <f>CONCATENATE(Tabela1[[#This Row],[CIDADE]],",",Tabela1[[#This Row],[UF]])</f>
        <v>Palmeiras de Goiás,GO</v>
      </c>
      <c r="F2174" s="2">
        <v>45693</v>
      </c>
      <c r="G2174" s="17">
        <v>1507.93</v>
      </c>
      <c r="H2174" s="17">
        <v>3030</v>
      </c>
      <c r="I2174" s="6">
        <f>Tabela1[[#This Row],[Valor total]]-Tabela1[[#This Row],[Valor custo]]</f>
        <v>1522.07</v>
      </c>
      <c r="J2174" s="7">
        <f>Tabela1[[#This Row],[MARGEM BRUTA]]/Tabela1[[#This Row],[Valor total]]</f>
        <v>0.5023333333333333</v>
      </c>
      <c r="K2174" s="1" t="str">
        <f>VLOOKUP(Tabela1[[#This Row],[Cliente]],'BASE DE CLIENTES'!A:D,4,0)</f>
        <v>EMPRESA COM MAQUINA</v>
      </c>
      <c r="L2174" s="1" t="str">
        <f>VLOOKUP(Tabela1[[#This Row],[Cliente]],'BASE DE CLIENTES'!A:E,5,0)</f>
        <v>Palmeiras de Goiás</v>
      </c>
    </row>
    <row r="2175" spans="2:12" x14ac:dyDescent="0.3">
      <c r="B2175" s="1" t="s">
        <v>275</v>
      </c>
      <c r="C2175" s="4" t="str">
        <f>VLOOKUP(Tabela1[[#This Row],[Cliente]],'BASE DE CLIENTES'!A:E,2,0)</f>
        <v>Palmeiras de Goiás</v>
      </c>
      <c r="D2175" s="1" t="str">
        <f>VLOOKUP(Tabela1[[#This Row],[Cliente]],'BASE DE CLIENTES'!A:C,3,0)</f>
        <v>GO</v>
      </c>
      <c r="E2175" s="4" t="str">
        <f>CONCATENATE(Tabela1[[#This Row],[CIDADE]],",",Tabela1[[#This Row],[UF]])</f>
        <v>Palmeiras de Goiás,GO</v>
      </c>
      <c r="F2175" s="2">
        <v>45693</v>
      </c>
      <c r="G2175" s="17">
        <v>25</v>
      </c>
      <c r="H2175" s="17">
        <v>30</v>
      </c>
      <c r="I2175" s="6">
        <f>Tabela1[[#This Row],[Valor total]]-Tabela1[[#This Row],[Valor custo]]</f>
        <v>5</v>
      </c>
      <c r="J2175" s="7">
        <f>Tabela1[[#This Row],[MARGEM BRUTA]]/Tabela1[[#This Row],[Valor total]]</f>
        <v>0.16666666666666666</v>
      </c>
      <c r="K2175" s="1" t="str">
        <f>VLOOKUP(Tabela1[[#This Row],[Cliente]],'BASE DE CLIENTES'!A:D,4,0)</f>
        <v>EMPRESA COM MAQUINA</v>
      </c>
      <c r="L2175" s="1" t="str">
        <f>VLOOKUP(Tabela1[[#This Row],[Cliente]],'BASE DE CLIENTES'!A:E,5,0)</f>
        <v>Palmeiras de Goiás</v>
      </c>
    </row>
    <row r="2176" spans="2:12" x14ac:dyDescent="0.3">
      <c r="B2176" s="1" t="s">
        <v>55</v>
      </c>
      <c r="C2176" s="4" t="str">
        <f>VLOOKUP(Tabela1[[#This Row],[Cliente]],'BASE DE CLIENTES'!A:E,2,0)</f>
        <v>Brasília</v>
      </c>
      <c r="D2176" s="1" t="str">
        <f>VLOOKUP(Tabela1[[#This Row],[Cliente]],'BASE DE CLIENTES'!A:C,3,0)</f>
        <v>DF</v>
      </c>
      <c r="E2176" s="4" t="str">
        <f>CONCATENATE(Tabela1[[#This Row],[CIDADE]],",",Tabela1[[#This Row],[UF]])</f>
        <v>Brasília,DF</v>
      </c>
      <c r="F2176" s="2">
        <v>45875</v>
      </c>
      <c r="G2176" s="17">
        <v>68.45</v>
      </c>
      <c r="H2176" s="17">
        <v>500</v>
      </c>
      <c r="I2176" s="6">
        <f>Tabela1[[#This Row],[Valor total]]-Tabela1[[#This Row],[Valor custo]]</f>
        <v>431.55</v>
      </c>
      <c r="J2176" s="7">
        <f>Tabela1[[#This Row],[MARGEM BRUTA]]/Tabela1[[#This Row],[Valor total]]</f>
        <v>0.86309999999999998</v>
      </c>
      <c r="K2176" s="1" t="str">
        <f>VLOOKUP(Tabela1[[#This Row],[Cliente]],'BASE DE CLIENTES'!A:D,4,0)</f>
        <v>EMPRESA SEM MAQUINA</v>
      </c>
      <c r="L2176" s="1" t="str">
        <f>VLOOKUP(Tabela1[[#This Row],[Cliente]],'BASE DE CLIENTES'!A:E,5,0)</f>
        <v>RECANTO DAS EMAS</v>
      </c>
    </row>
    <row r="2177" spans="2:12" x14ac:dyDescent="0.3">
      <c r="B2177" s="1" t="s">
        <v>55</v>
      </c>
      <c r="C2177" s="4" t="str">
        <f>VLOOKUP(Tabela1[[#This Row],[Cliente]],'BASE DE CLIENTES'!A:E,2,0)</f>
        <v>Brasília</v>
      </c>
      <c r="D2177" s="1" t="str">
        <f>VLOOKUP(Tabela1[[#This Row],[Cliente]],'BASE DE CLIENTES'!A:C,3,0)</f>
        <v>DF</v>
      </c>
      <c r="E2177" s="4" t="str">
        <f>CONCATENATE(Tabela1[[#This Row],[CIDADE]],",",Tabela1[[#This Row],[UF]])</f>
        <v>Brasília,DF</v>
      </c>
      <c r="F2177" s="2">
        <v>45875</v>
      </c>
      <c r="G2177" s="17">
        <v>1741.78</v>
      </c>
      <c r="H2177" s="17">
        <v>3230</v>
      </c>
      <c r="I2177" s="6">
        <f>Tabela1[[#This Row],[Valor total]]-Tabela1[[#This Row],[Valor custo]]</f>
        <v>1488.22</v>
      </c>
      <c r="J2177" s="7">
        <f>Tabela1[[#This Row],[MARGEM BRUTA]]/Tabela1[[#This Row],[Valor total]]</f>
        <v>0.46074922600619195</v>
      </c>
      <c r="K2177" s="1" t="str">
        <f>VLOOKUP(Tabela1[[#This Row],[Cliente]],'BASE DE CLIENTES'!A:D,4,0)</f>
        <v>EMPRESA SEM MAQUINA</v>
      </c>
      <c r="L2177" s="1" t="str">
        <f>VLOOKUP(Tabela1[[#This Row],[Cliente]],'BASE DE CLIENTES'!A:E,5,0)</f>
        <v>RECANTO DAS EMAS</v>
      </c>
    </row>
    <row r="2178" spans="2:12" x14ac:dyDescent="0.3">
      <c r="B2178" s="1" t="s">
        <v>25</v>
      </c>
      <c r="C2178" s="4" t="str">
        <f>VLOOKUP(Tabela1[[#This Row],[Cliente]],'BASE DE CLIENTES'!A:E,2,0)</f>
        <v>Brasília</v>
      </c>
      <c r="D2178" s="1" t="str">
        <f>VLOOKUP(Tabela1[[#This Row],[Cliente]],'BASE DE CLIENTES'!A:C,3,0)</f>
        <v>DF</v>
      </c>
      <c r="E2178" s="4" t="str">
        <f>CONCATENATE(Tabela1[[#This Row],[CIDADE]],",",Tabela1[[#This Row],[UF]])</f>
        <v>Brasília,DF</v>
      </c>
      <c r="F2178" s="2">
        <v>45875</v>
      </c>
      <c r="G2178" s="17">
        <v>1431</v>
      </c>
      <c r="H2178" s="17">
        <v>585</v>
      </c>
      <c r="I2178" s="6">
        <f>Tabela1[[#This Row],[Valor total]]-Tabela1[[#This Row],[Valor custo]]</f>
        <v>-846</v>
      </c>
      <c r="J2178" s="7">
        <f>Tabela1[[#This Row],[MARGEM BRUTA]]/Tabela1[[#This Row],[Valor total]]</f>
        <v>-1.4461538461538461</v>
      </c>
      <c r="K2178" s="1" t="str">
        <f>VLOOKUP(Tabela1[[#This Row],[Cliente]],'BASE DE CLIENTES'!A:D,4,0)</f>
        <v>EMPRESA COM MAQUINA</v>
      </c>
      <c r="L2178" s="1" t="str">
        <f>VLOOKUP(Tabela1[[#This Row],[Cliente]],'BASE DE CLIENTES'!A:E,5,0)</f>
        <v>CEILANDIA NORTE (CEILANDIA)</v>
      </c>
    </row>
    <row r="2179" spans="2:12" x14ac:dyDescent="0.3">
      <c r="B2179" s="1" t="s">
        <v>96</v>
      </c>
      <c r="C2179" s="4" t="str">
        <f>VLOOKUP(Tabela1[[#This Row],[Cliente]],'BASE DE CLIENTES'!A:E,2,0)</f>
        <v>Brasília</v>
      </c>
      <c r="D2179" s="1" t="str">
        <f>VLOOKUP(Tabela1[[#This Row],[Cliente]],'BASE DE CLIENTES'!A:C,3,0)</f>
        <v>DF</v>
      </c>
      <c r="E2179" s="4" t="str">
        <f>CONCATENATE(Tabela1[[#This Row],[CIDADE]],",",Tabela1[[#This Row],[UF]])</f>
        <v>Brasília,DF</v>
      </c>
      <c r="F2179" s="2">
        <v>45875</v>
      </c>
      <c r="G2179" s="17">
        <v>289</v>
      </c>
      <c r="H2179" s="17">
        <v>0</v>
      </c>
      <c r="I2179" s="6">
        <f>Tabela1[[#This Row],[Valor total]]-Tabela1[[#This Row],[Valor custo]]</f>
        <v>-289</v>
      </c>
      <c r="J2179" s="7" t="e">
        <f>Tabela1[[#This Row],[MARGEM BRUTA]]/Tabela1[[#This Row],[Valor total]]</f>
        <v>#DIV/0!</v>
      </c>
      <c r="K2179" s="1" t="str">
        <f>VLOOKUP(Tabela1[[#This Row],[Cliente]],'BASE DE CLIENTES'!A:D,4,0)</f>
        <v>EMPRESA SEM MAQUINA</v>
      </c>
      <c r="L2179" s="1" t="str">
        <f>VLOOKUP(Tabela1[[#This Row],[Cliente]],'BASE DE CLIENTES'!A:E,5,0)</f>
        <v>CEILANDIA NORTE (CEILANDIA)</v>
      </c>
    </row>
    <row r="2180" spans="2:12" x14ac:dyDescent="0.3">
      <c r="B2180" s="1" t="s">
        <v>52</v>
      </c>
      <c r="C2180" s="4" t="str">
        <f>VLOOKUP(Tabela1[[#This Row],[Cliente]],'BASE DE CLIENTES'!A:E,2,0)</f>
        <v>Brasília</v>
      </c>
      <c r="D2180" s="1" t="str">
        <f>VLOOKUP(Tabela1[[#This Row],[Cliente]],'BASE DE CLIENTES'!A:C,3,0)</f>
        <v>DF</v>
      </c>
      <c r="E2180" s="4" t="str">
        <f>CONCATENATE(Tabela1[[#This Row],[CIDADE]],",",Tabela1[[#This Row],[UF]])</f>
        <v>Brasília,DF</v>
      </c>
      <c r="F2180" s="2">
        <v>45875</v>
      </c>
      <c r="G2180" s="17">
        <v>874.96</v>
      </c>
      <c r="H2180" s="17">
        <v>1416</v>
      </c>
      <c r="I2180" s="6">
        <f>Tabela1[[#This Row],[Valor total]]-Tabela1[[#This Row],[Valor custo]]</f>
        <v>541.04</v>
      </c>
      <c r="J2180" s="7">
        <f>Tabela1[[#This Row],[MARGEM BRUTA]]/Tabela1[[#This Row],[Valor total]]</f>
        <v>0.38209039548022594</v>
      </c>
      <c r="K2180" s="1" t="str">
        <f>VLOOKUP(Tabela1[[#This Row],[Cliente]],'BASE DE CLIENTES'!A:D,4,0)</f>
        <v>SERRALHEIRO</v>
      </c>
      <c r="L2180" s="1" t="str">
        <f>VLOOKUP(Tabela1[[#This Row],[Cliente]],'BASE DE CLIENTES'!A:E,5,0)</f>
        <v>Ceilândia Sul (Ceilândia)</v>
      </c>
    </row>
    <row r="2181" spans="2:12" x14ac:dyDescent="0.3">
      <c r="B2181" s="1" t="s">
        <v>38</v>
      </c>
      <c r="C2181" s="4" t="str">
        <f>VLOOKUP(Tabela1[[#This Row],[Cliente]],'BASE DE CLIENTES'!A:E,2,0)</f>
        <v>Brasília</v>
      </c>
      <c r="D2181" s="1" t="str">
        <f>VLOOKUP(Tabela1[[#This Row],[Cliente]],'BASE DE CLIENTES'!A:C,3,0)</f>
        <v>DF</v>
      </c>
      <c r="E2181" s="4" t="str">
        <f>CONCATENATE(Tabela1[[#This Row],[CIDADE]],",",Tabela1[[#This Row],[UF]])</f>
        <v>Brasília,DF</v>
      </c>
      <c r="F2181" s="2">
        <v>45875</v>
      </c>
      <c r="G2181" s="17">
        <v>578</v>
      </c>
      <c r="H2181" s="17">
        <v>790</v>
      </c>
      <c r="I2181" s="6">
        <f>Tabela1[[#This Row],[Valor total]]-Tabela1[[#This Row],[Valor custo]]</f>
        <v>212</v>
      </c>
      <c r="J2181" s="7">
        <f>Tabela1[[#This Row],[MARGEM BRUTA]]/Tabela1[[#This Row],[Valor total]]</f>
        <v>0.26835443037974682</v>
      </c>
      <c r="K2181" s="1" t="str">
        <f>VLOOKUP(Tabela1[[#This Row],[Cliente]],'BASE DE CLIENTES'!A:D,4,0)</f>
        <v>EMPRESA SEM MAQUINA</v>
      </c>
      <c r="L2181" s="1" t="str">
        <f>VLOOKUP(Tabela1[[#This Row],[Cliente]],'BASE DE CLIENTES'!A:E,5,0)</f>
        <v>PONTE ALTA NORTE (GAMA)</v>
      </c>
    </row>
    <row r="2182" spans="2:12" x14ac:dyDescent="0.3">
      <c r="B2182" s="1" t="s">
        <v>123</v>
      </c>
      <c r="C2182" s="4" t="str">
        <f>VLOOKUP(Tabela1[[#This Row],[Cliente]],'BASE DE CLIENTES'!A:E,2,0)</f>
        <v>Brasília</v>
      </c>
      <c r="D2182" s="1" t="str">
        <f>VLOOKUP(Tabela1[[#This Row],[Cliente]],'BASE DE CLIENTES'!A:C,3,0)</f>
        <v>DF</v>
      </c>
      <c r="E2182" s="4" t="str">
        <f>CONCATENATE(Tabela1[[#This Row],[CIDADE]],",",Tabela1[[#This Row],[UF]])</f>
        <v>Brasília,DF</v>
      </c>
      <c r="F2182" s="2">
        <v>45875</v>
      </c>
      <c r="G2182" s="17">
        <v>477</v>
      </c>
      <c r="H2182" s="17">
        <v>800</v>
      </c>
      <c r="I2182" s="6">
        <f>Tabela1[[#This Row],[Valor total]]-Tabela1[[#This Row],[Valor custo]]</f>
        <v>323</v>
      </c>
      <c r="J2182" s="7">
        <f>Tabela1[[#This Row],[MARGEM BRUTA]]/Tabela1[[#This Row],[Valor total]]</f>
        <v>0.40375</v>
      </c>
      <c r="K2182" s="1" t="str">
        <f>VLOOKUP(Tabela1[[#This Row],[Cliente]],'BASE DE CLIENTES'!A:D,4,0)</f>
        <v>EMPRESA COM MAQUINA</v>
      </c>
      <c r="L2182" s="1" t="str">
        <f>VLOOKUP(Tabela1[[#This Row],[Cliente]],'BASE DE CLIENTES'!A:E,5,0)</f>
        <v>ADE CEILÂNDIA</v>
      </c>
    </row>
    <row r="2183" spans="2:12" x14ac:dyDescent="0.3">
      <c r="B2183" s="1" t="s">
        <v>68</v>
      </c>
      <c r="C2183" s="4" t="str">
        <f>VLOOKUP(Tabela1[[#This Row],[Cliente]],'BASE DE CLIENTES'!A:E,2,0)</f>
        <v>Brasília</v>
      </c>
      <c r="D2183" s="1" t="str">
        <f>VLOOKUP(Tabela1[[#This Row],[Cliente]],'BASE DE CLIENTES'!A:C,3,0)</f>
        <v>DF</v>
      </c>
      <c r="E2183" s="4" t="str">
        <f>CONCATENATE(Tabela1[[#This Row],[CIDADE]],",",Tabela1[[#This Row],[UF]])</f>
        <v>Brasília,DF</v>
      </c>
      <c r="F2183" s="2">
        <v>45874</v>
      </c>
      <c r="G2183" s="17">
        <v>469</v>
      </c>
      <c r="H2183" s="17">
        <v>850</v>
      </c>
      <c r="I2183" s="6">
        <f>Tabela1[[#This Row],[Valor total]]-Tabela1[[#This Row],[Valor custo]]</f>
        <v>381</v>
      </c>
      <c r="J2183" s="7">
        <f>Tabela1[[#This Row],[MARGEM BRUTA]]/Tabela1[[#This Row],[Valor total]]</f>
        <v>0.44823529411764707</v>
      </c>
      <c r="K2183" s="1" t="str">
        <f>VLOOKUP(Tabela1[[#This Row],[Cliente]],'BASE DE CLIENTES'!A:D,4,0)</f>
        <v>EMPRESA COM MAQUINA</v>
      </c>
      <c r="L2183" s="1" t="str">
        <f>VLOOKUP(Tabela1[[#This Row],[Cliente]],'BASE DE CLIENTES'!A:E,5,0)</f>
        <v>SAMAMBAIA SUL (SAMAMBAIA)</v>
      </c>
    </row>
    <row r="2184" spans="2:12" x14ac:dyDescent="0.3">
      <c r="B2184" s="1" t="s">
        <v>88</v>
      </c>
      <c r="C2184" s="4" t="str">
        <f>VLOOKUP(Tabela1[[#This Row],[Cliente]],'BASE DE CLIENTES'!A:E,2,0)</f>
        <v>Brasília</v>
      </c>
      <c r="D2184" s="1" t="str">
        <f>VLOOKUP(Tabela1[[#This Row],[Cliente]],'BASE DE CLIENTES'!A:C,3,0)</f>
        <v>DF</v>
      </c>
      <c r="E2184" s="4" t="str">
        <f>CONCATENATE(Tabela1[[#This Row],[CIDADE]],",",Tabela1[[#This Row],[UF]])</f>
        <v>Brasília,DF</v>
      </c>
      <c r="F2184" s="2">
        <v>45874</v>
      </c>
      <c r="G2184" s="17">
        <v>2887.58</v>
      </c>
      <c r="H2184" s="17">
        <v>5650</v>
      </c>
      <c r="I2184" s="6">
        <f>Tabela1[[#This Row],[Valor total]]-Tabela1[[#This Row],[Valor custo]]</f>
        <v>2762.42</v>
      </c>
      <c r="J2184" s="7">
        <f>Tabela1[[#This Row],[MARGEM BRUTA]]/Tabela1[[#This Row],[Valor total]]</f>
        <v>0.48892389380530976</v>
      </c>
      <c r="K2184" s="1" t="str">
        <f>VLOOKUP(Tabela1[[#This Row],[Cliente]],'BASE DE CLIENTES'!A:D,4,0)</f>
        <v>SERRALHEIRO</v>
      </c>
      <c r="L2184" s="1" t="str">
        <f>VLOOKUP(Tabela1[[#This Row],[Cliente]],'BASE DE CLIENTES'!A:E,5,0)</f>
        <v>RECANTO DAS EMAS</v>
      </c>
    </row>
    <row r="2185" spans="2:12" x14ac:dyDescent="0.3">
      <c r="B2185" s="1" t="s">
        <v>15</v>
      </c>
      <c r="C2185" s="4" t="str">
        <f>VLOOKUP(Tabela1[[#This Row],[Cliente]],'BASE DE CLIENTES'!A:E,2,0)</f>
        <v>Brasília</v>
      </c>
      <c r="D2185" s="1" t="str">
        <f>VLOOKUP(Tabela1[[#This Row],[Cliente]],'BASE DE CLIENTES'!A:C,3,0)</f>
        <v>DF</v>
      </c>
      <c r="E2185" s="4" t="str">
        <f>CONCATENATE(Tabela1[[#This Row],[CIDADE]],",",Tabela1[[#This Row],[UF]])</f>
        <v>Brasília,DF</v>
      </c>
      <c r="F2185" s="2">
        <v>45874</v>
      </c>
      <c r="G2185" s="17">
        <v>884.3</v>
      </c>
      <c r="H2185" s="17">
        <v>1672</v>
      </c>
      <c r="I2185" s="6">
        <f>Tabela1[[#This Row],[Valor total]]-Tabela1[[#This Row],[Valor custo]]</f>
        <v>787.7</v>
      </c>
      <c r="J2185" s="7">
        <f>Tabela1[[#This Row],[MARGEM BRUTA]]/Tabela1[[#This Row],[Valor total]]</f>
        <v>0.47111244019138759</v>
      </c>
      <c r="K2185" s="1" t="str">
        <f>VLOOKUP(Tabela1[[#This Row],[Cliente]],'BASE DE CLIENTES'!A:D,4,0)</f>
        <v>SERRALHEIRO</v>
      </c>
      <c r="L2185" s="1" t="str">
        <f>VLOOKUP(Tabela1[[#This Row],[Cliente]],'BASE DE CLIENTES'!A:E,5,0)</f>
        <v>SETOR HABITACIONAL VICENTE PIRES</v>
      </c>
    </row>
    <row r="2186" spans="2:12" x14ac:dyDescent="0.3">
      <c r="B2186" s="1" t="s">
        <v>161</v>
      </c>
      <c r="C2186" s="4" t="str">
        <f>VLOOKUP(Tabela1[[#This Row],[Cliente]],'BASE DE CLIENTES'!A:E,2,0)</f>
        <v>Brasília</v>
      </c>
      <c r="D2186" s="1" t="str">
        <f>VLOOKUP(Tabela1[[#This Row],[Cliente]],'BASE DE CLIENTES'!A:C,3,0)</f>
        <v>DF</v>
      </c>
      <c r="E2186" s="4" t="str">
        <f>CONCATENATE(Tabela1[[#This Row],[CIDADE]],",",Tabela1[[#This Row],[UF]])</f>
        <v>Brasília,DF</v>
      </c>
      <c r="F2186" s="2">
        <v>45874</v>
      </c>
      <c r="G2186" s="17">
        <v>4327.8999999999996</v>
      </c>
      <c r="H2186" s="17">
        <v>6550</v>
      </c>
      <c r="I2186" s="6">
        <f>Tabela1[[#This Row],[Valor total]]-Tabela1[[#This Row],[Valor custo]]</f>
        <v>2222.1000000000004</v>
      </c>
      <c r="J2186" s="7">
        <f>Tabela1[[#This Row],[MARGEM BRUTA]]/Tabela1[[#This Row],[Valor total]]</f>
        <v>0.33925190839694663</v>
      </c>
      <c r="K2186" s="1" t="str">
        <f>VLOOKUP(Tabela1[[#This Row],[Cliente]],'BASE DE CLIENTES'!A:D,4,0)</f>
        <v>EMPRESA COM MAQUINA</v>
      </c>
      <c r="L2186" s="1" t="str">
        <f>VLOOKUP(Tabela1[[#This Row],[Cliente]],'BASE DE CLIENTES'!A:E,5,0)</f>
        <v>RIACHO FUNDO II</v>
      </c>
    </row>
    <row r="2187" spans="2:12" x14ac:dyDescent="0.3">
      <c r="B2187" s="1" t="s">
        <v>228</v>
      </c>
      <c r="C2187" s="4" t="str">
        <f>VLOOKUP(Tabela1[[#This Row],[Cliente]],'BASE DE CLIENTES'!A:E,2,0)</f>
        <v>Brasília</v>
      </c>
      <c r="D2187" s="1" t="str">
        <f>VLOOKUP(Tabela1[[#This Row],[Cliente]],'BASE DE CLIENTES'!A:C,3,0)</f>
        <v>DF</v>
      </c>
      <c r="E2187" s="4" t="str">
        <f>CONCATENATE(Tabela1[[#This Row],[CIDADE]],",",Tabela1[[#This Row],[UF]])</f>
        <v>Brasília,DF</v>
      </c>
      <c r="F2187" s="2">
        <v>45874</v>
      </c>
      <c r="G2187" s="17">
        <v>41</v>
      </c>
      <c r="H2187" s="17">
        <v>60</v>
      </c>
      <c r="I2187" s="6">
        <f>Tabela1[[#This Row],[Valor total]]-Tabela1[[#This Row],[Valor custo]]</f>
        <v>19</v>
      </c>
      <c r="J2187" s="7">
        <f>Tabela1[[#This Row],[MARGEM BRUTA]]/Tabela1[[#This Row],[Valor total]]</f>
        <v>0.31666666666666665</v>
      </c>
      <c r="K2187" s="1" t="str">
        <f>VLOOKUP(Tabela1[[#This Row],[Cliente]],'BASE DE CLIENTES'!A:D,4,0)</f>
        <v>FUNCIONÁRIO</v>
      </c>
      <c r="L2187" s="1" t="str">
        <f>VLOOKUP(Tabela1[[#This Row],[Cliente]],'BASE DE CLIENTES'!A:E,5,0)</f>
        <v>Taguatinga Sul (Taguatinga)</v>
      </c>
    </row>
    <row r="2188" spans="2:12" x14ac:dyDescent="0.3">
      <c r="B2188" s="1" t="s">
        <v>78</v>
      </c>
      <c r="C2188" s="4" t="str">
        <f>VLOOKUP(Tabela1[[#This Row],[Cliente]],'BASE DE CLIENTES'!A:E,2,0)</f>
        <v>Brasília</v>
      </c>
      <c r="D2188" s="1" t="str">
        <f>VLOOKUP(Tabela1[[#This Row],[Cliente]],'BASE DE CLIENTES'!A:C,3,0)</f>
        <v>DF</v>
      </c>
      <c r="E2188" s="4" t="str">
        <f>CONCATENATE(Tabela1[[#This Row],[CIDADE]],",",Tabela1[[#This Row],[UF]])</f>
        <v>Brasília,DF</v>
      </c>
      <c r="F2188" s="2">
        <v>45874</v>
      </c>
      <c r="G2188" s="17">
        <v>1529.2</v>
      </c>
      <c r="H2188" s="17">
        <v>2580</v>
      </c>
      <c r="I2188" s="6">
        <f>Tabela1[[#This Row],[Valor total]]-Tabela1[[#This Row],[Valor custo]]</f>
        <v>1050.8</v>
      </c>
      <c r="J2188" s="7">
        <f>Tabela1[[#This Row],[MARGEM BRUTA]]/Tabela1[[#This Row],[Valor total]]</f>
        <v>0.40728682170542635</v>
      </c>
      <c r="K2188" s="1" t="str">
        <f>VLOOKUP(Tabela1[[#This Row],[Cliente]],'BASE DE CLIENTES'!A:D,4,0)</f>
        <v>SERRALHEIRO</v>
      </c>
      <c r="L2188" s="1" t="str">
        <f>VLOOKUP(Tabela1[[#This Row],[Cliente]],'BASE DE CLIENTES'!A:E,5,0)</f>
        <v>Vila do Boa (São Sebastião)</v>
      </c>
    </row>
    <row r="2189" spans="2:12" x14ac:dyDescent="0.3">
      <c r="B2189" s="1" t="s">
        <v>275</v>
      </c>
      <c r="C2189" s="4" t="str">
        <f>VLOOKUP(Tabela1[[#This Row],[Cliente]],'BASE DE CLIENTES'!A:E,2,0)</f>
        <v>Palmeiras de Goiás</v>
      </c>
      <c r="D2189" s="1" t="str">
        <f>VLOOKUP(Tabela1[[#This Row],[Cliente]],'BASE DE CLIENTES'!A:C,3,0)</f>
        <v>GO</v>
      </c>
      <c r="E2189" s="4" t="str">
        <f>CONCATENATE(Tabela1[[#This Row],[CIDADE]],",",Tabela1[[#This Row],[UF]])</f>
        <v>Palmeiras de Goiás,GO</v>
      </c>
      <c r="F2189" s="2">
        <v>45736</v>
      </c>
      <c r="G2189" s="17">
        <v>541.89</v>
      </c>
      <c r="H2189" s="17">
        <v>820</v>
      </c>
      <c r="I2189" s="6">
        <f>Tabela1[[#This Row],[Valor total]]-Tabela1[[#This Row],[Valor custo]]</f>
        <v>278.11</v>
      </c>
      <c r="J2189" s="7">
        <f>Tabela1[[#This Row],[MARGEM BRUTA]]/Tabela1[[#This Row],[Valor total]]</f>
        <v>0.33915853658536588</v>
      </c>
      <c r="K2189" s="1" t="str">
        <f>VLOOKUP(Tabela1[[#This Row],[Cliente]],'BASE DE CLIENTES'!A:D,4,0)</f>
        <v>EMPRESA COM MAQUINA</v>
      </c>
      <c r="L2189" s="1" t="str">
        <f>VLOOKUP(Tabela1[[#This Row],[Cliente]],'BASE DE CLIENTES'!A:E,5,0)</f>
        <v>Palmeiras de Goiás</v>
      </c>
    </row>
    <row r="2190" spans="2:12" x14ac:dyDescent="0.3">
      <c r="B2190" s="1" t="s">
        <v>106</v>
      </c>
      <c r="C2190" s="4" t="str">
        <f>VLOOKUP(Tabela1[[#This Row],[Cliente]],'BASE DE CLIENTES'!A:E,2,0)</f>
        <v>Brasília</v>
      </c>
      <c r="D2190" s="1" t="str">
        <f>VLOOKUP(Tabela1[[#This Row],[Cliente]],'BASE DE CLIENTES'!A:C,3,0)</f>
        <v>DF</v>
      </c>
      <c r="E2190" s="4" t="str">
        <f>CONCATENATE(Tabela1[[#This Row],[CIDADE]],",",Tabela1[[#This Row],[UF]])</f>
        <v>Brasília,DF</v>
      </c>
      <c r="F2190" s="2">
        <v>45874</v>
      </c>
      <c r="G2190" s="17">
        <v>764.6</v>
      </c>
      <c r="H2190" s="17">
        <v>1200</v>
      </c>
      <c r="I2190" s="6">
        <f>Tabela1[[#This Row],[Valor total]]-Tabela1[[#This Row],[Valor custo]]</f>
        <v>435.4</v>
      </c>
      <c r="J2190" s="7">
        <f>Tabela1[[#This Row],[MARGEM BRUTA]]/Tabela1[[#This Row],[Valor total]]</f>
        <v>0.36283333333333334</v>
      </c>
      <c r="K2190" s="1" t="str">
        <f>VLOOKUP(Tabela1[[#This Row],[Cliente]],'BASE DE CLIENTES'!A:D,4,0)</f>
        <v>EMPRESA COM MAQUINA</v>
      </c>
      <c r="L2190" s="1" t="str">
        <f>VLOOKUP(Tabela1[[#This Row],[Cliente]],'BASE DE CLIENTES'!A:E,5,0)</f>
        <v>26 DE SETEMBRO</v>
      </c>
    </row>
    <row r="2191" spans="2:12" x14ac:dyDescent="0.3">
      <c r="B2191" s="1" t="s">
        <v>275</v>
      </c>
      <c r="C2191" s="4" t="str">
        <f>VLOOKUP(Tabela1[[#This Row],[Cliente]],'BASE DE CLIENTES'!A:E,2,0)</f>
        <v>Palmeiras de Goiás</v>
      </c>
      <c r="D2191" s="1" t="str">
        <f>VLOOKUP(Tabela1[[#This Row],[Cliente]],'BASE DE CLIENTES'!A:C,3,0)</f>
        <v>GO</v>
      </c>
      <c r="E2191" s="4" t="str">
        <f>CONCATENATE(Tabela1[[#This Row],[CIDADE]],",",Tabela1[[#This Row],[UF]])</f>
        <v>Palmeiras de Goiás,GO</v>
      </c>
      <c r="F2191" s="2">
        <v>45758</v>
      </c>
      <c r="G2191" s="17">
        <v>1018</v>
      </c>
      <c r="H2191" s="17">
        <v>1600</v>
      </c>
      <c r="I2191" s="6">
        <f>Tabela1[[#This Row],[Valor total]]-Tabela1[[#This Row],[Valor custo]]</f>
        <v>582</v>
      </c>
      <c r="J2191" s="7">
        <f>Tabela1[[#This Row],[MARGEM BRUTA]]/Tabela1[[#This Row],[Valor total]]</f>
        <v>0.36375000000000002</v>
      </c>
      <c r="K2191" s="1" t="str">
        <f>VLOOKUP(Tabela1[[#This Row],[Cliente]],'BASE DE CLIENTES'!A:D,4,0)</f>
        <v>EMPRESA COM MAQUINA</v>
      </c>
      <c r="L2191" s="1" t="str">
        <f>VLOOKUP(Tabela1[[#This Row],[Cliente]],'BASE DE CLIENTES'!A:E,5,0)</f>
        <v>Palmeiras de Goiás</v>
      </c>
    </row>
    <row r="2192" spans="2:12" x14ac:dyDescent="0.3">
      <c r="B2192" s="1" t="s">
        <v>275</v>
      </c>
      <c r="C2192" s="4" t="str">
        <f>VLOOKUP(Tabela1[[#This Row],[Cliente]],'BASE DE CLIENTES'!A:E,2,0)</f>
        <v>Palmeiras de Goiás</v>
      </c>
      <c r="D2192" s="1" t="str">
        <f>VLOOKUP(Tabela1[[#This Row],[Cliente]],'BASE DE CLIENTES'!A:C,3,0)</f>
        <v>GO</v>
      </c>
      <c r="E2192" s="4" t="str">
        <f>CONCATENATE(Tabela1[[#This Row],[CIDADE]],",",Tabela1[[#This Row],[UF]])</f>
        <v>Palmeiras de Goiás,GO</v>
      </c>
      <c r="F2192" s="2">
        <v>45930</v>
      </c>
      <c r="G2192" s="17">
        <v>710</v>
      </c>
      <c r="H2192" s="17">
        <v>1900</v>
      </c>
      <c r="I2192" s="6">
        <f>Tabela1[[#This Row],[Valor total]]-Tabela1[[#This Row],[Valor custo]]</f>
        <v>1190</v>
      </c>
      <c r="J2192" s="7">
        <f>Tabela1[[#This Row],[MARGEM BRUTA]]/Tabela1[[#This Row],[Valor total]]</f>
        <v>0.62631578947368416</v>
      </c>
      <c r="K2192" s="1" t="str">
        <f>VLOOKUP(Tabela1[[#This Row],[Cliente]],'BASE DE CLIENTES'!A:D,4,0)</f>
        <v>EMPRESA COM MAQUINA</v>
      </c>
      <c r="L2192" s="1" t="str">
        <f>VLOOKUP(Tabela1[[#This Row],[Cliente]],'BASE DE CLIENTES'!A:E,5,0)</f>
        <v>Palmeiras de Goiás</v>
      </c>
    </row>
    <row r="2193" spans="1:12" x14ac:dyDescent="0.3">
      <c r="B2193" s="1" t="s">
        <v>230</v>
      </c>
      <c r="C2193" s="4" t="str">
        <f>VLOOKUP(Tabela1[[#This Row],[Cliente]],'BASE DE CLIENTES'!A:E,2,0)</f>
        <v>Brasília</v>
      </c>
      <c r="D2193" s="1" t="str">
        <f>VLOOKUP(Tabela1[[#This Row],[Cliente]],'BASE DE CLIENTES'!A:C,3,0)</f>
        <v>DF</v>
      </c>
      <c r="E2193" s="4" t="str">
        <f>CONCATENATE(Tabela1[[#This Row],[CIDADE]],",",Tabela1[[#This Row],[UF]])</f>
        <v>Brasília,DF</v>
      </c>
      <c r="F2193" s="2">
        <v>45874</v>
      </c>
      <c r="G2193" s="17">
        <v>1146.9000000000001</v>
      </c>
      <c r="H2193" s="17">
        <v>1900</v>
      </c>
      <c r="I2193" s="6">
        <f>Tabela1[[#This Row],[Valor total]]-Tabela1[[#This Row],[Valor custo]]</f>
        <v>753.09999999999991</v>
      </c>
      <c r="J2193" s="7">
        <f>Tabela1[[#This Row],[MARGEM BRUTA]]/Tabela1[[#This Row],[Valor total]]</f>
        <v>0.39636842105263154</v>
      </c>
      <c r="K2193" s="1" t="str">
        <f>VLOOKUP(Tabela1[[#This Row],[Cliente]],'BASE DE CLIENTES'!A:D,4,0)</f>
        <v>SERRALHEIRO</v>
      </c>
      <c r="L2193" s="1" t="str">
        <f>VLOOKUP(Tabela1[[#This Row],[Cliente]],'BASE DE CLIENTES'!A:E,5,0)</f>
        <v>SETOR HABITACIONAL SAMAMBAIA (VICENTE PIRES)</v>
      </c>
    </row>
    <row r="2194" spans="1:12" x14ac:dyDescent="0.3">
      <c r="B2194" s="1" t="s">
        <v>138</v>
      </c>
      <c r="C2194" s="4" t="str">
        <f>VLOOKUP(Tabela1[[#This Row],[Cliente]],'BASE DE CLIENTES'!A:E,2,0)</f>
        <v>Brasília</v>
      </c>
      <c r="D2194" s="1" t="str">
        <f>VLOOKUP(Tabela1[[#This Row],[Cliente]],'BASE DE CLIENTES'!A:C,3,0)</f>
        <v>DF</v>
      </c>
      <c r="E2194" s="4" t="str">
        <f>CONCATENATE(Tabela1[[#This Row],[CIDADE]],",",Tabela1[[#This Row],[UF]])</f>
        <v>Brasília,DF</v>
      </c>
      <c r="F2194" s="2">
        <v>45874</v>
      </c>
      <c r="G2194" s="17">
        <v>480</v>
      </c>
      <c r="H2194" s="17">
        <v>720</v>
      </c>
      <c r="I2194" s="6">
        <f>Tabela1[[#This Row],[Valor total]]-Tabela1[[#This Row],[Valor custo]]</f>
        <v>240</v>
      </c>
      <c r="J2194" s="7">
        <f>Tabela1[[#This Row],[MARGEM BRUTA]]/Tabela1[[#This Row],[Valor total]]</f>
        <v>0.33333333333333331</v>
      </c>
      <c r="K2194" s="1" t="str">
        <f>VLOOKUP(Tabela1[[#This Row],[Cliente]],'BASE DE CLIENTES'!A:D,4,0)</f>
        <v>OUTROS RAMOS</v>
      </c>
      <c r="L2194" s="1" t="str">
        <f>VLOOKUP(Tabela1[[#This Row],[Cliente]],'BASE DE CLIENTES'!A:E,5,0)</f>
        <v>CEILANDIA NORTE (CEILANDIA)</v>
      </c>
    </row>
    <row r="2195" spans="1:12" x14ac:dyDescent="0.3">
      <c r="B2195" s="1" t="s">
        <v>276</v>
      </c>
      <c r="C2195" s="4" t="str">
        <f>VLOOKUP(Tabela1[[#This Row],[Cliente]],'BASE DE CLIENTES'!A:E,2,0)</f>
        <v>Parauapebas</v>
      </c>
      <c r="D2195" s="1" t="str">
        <f>VLOOKUP(Tabela1[[#This Row],[Cliente]],'BASE DE CLIENTES'!A:C,3,0)</f>
        <v>PA</v>
      </c>
      <c r="E2195" s="4" t="str">
        <f>CONCATENATE(Tabela1[[#This Row],[CIDADE]],",",Tabela1[[#This Row],[UF]])</f>
        <v>Parauapebas,PA</v>
      </c>
      <c r="F2195" s="2">
        <v>45700</v>
      </c>
      <c r="G2195" s="17">
        <v>6419.41</v>
      </c>
      <c r="H2195" s="17">
        <v>10000</v>
      </c>
      <c r="I2195" s="6">
        <f>Tabela1[[#This Row],[Valor total]]-Tabela1[[#This Row],[Valor custo]]</f>
        <v>3580.59</v>
      </c>
      <c r="J2195" s="7">
        <f>Tabela1[[#This Row],[MARGEM BRUTA]]/Tabela1[[#This Row],[Valor total]]</f>
        <v>0.35805900000000002</v>
      </c>
      <c r="K2195" s="1" t="str">
        <f>VLOOKUP(Tabela1[[#This Row],[Cliente]],'BASE DE CLIENTES'!A:D,4,0)</f>
        <v>EMPRESA COM MAQUINA</v>
      </c>
      <c r="L2195" s="1" t="str">
        <f>VLOOKUP(Tabela1[[#This Row],[Cliente]],'BASE DE CLIENTES'!A:E,5,0)</f>
        <v>Parauapebas</v>
      </c>
    </row>
    <row r="2196" spans="1:12" x14ac:dyDescent="0.3">
      <c r="B2196" s="1" t="s">
        <v>49</v>
      </c>
      <c r="C2196" s="4" t="str">
        <f>VLOOKUP(Tabela1[[#This Row],[Cliente]],'BASE DE CLIENTES'!A:E,2,0)</f>
        <v>Brasília</v>
      </c>
      <c r="D2196" s="1" t="str">
        <f>VLOOKUP(Tabela1[[#This Row],[Cliente]],'BASE DE CLIENTES'!A:C,3,0)</f>
        <v>DF</v>
      </c>
      <c r="E2196" s="4" t="str">
        <f>CONCATENATE(Tabela1[[#This Row],[CIDADE]],",",Tabela1[[#This Row],[UF]])</f>
        <v>Brasília,DF</v>
      </c>
      <c r="F2196" s="2">
        <v>45874</v>
      </c>
      <c r="G2196" s="17">
        <v>2498</v>
      </c>
      <c r="H2196" s="17">
        <v>3700</v>
      </c>
      <c r="I2196" s="6">
        <f>Tabela1[[#This Row],[Valor total]]-Tabela1[[#This Row],[Valor custo]]</f>
        <v>1202</v>
      </c>
      <c r="J2196" s="7">
        <f>Tabela1[[#This Row],[MARGEM BRUTA]]/Tabela1[[#This Row],[Valor total]]</f>
        <v>0.32486486486486488</v>
      </c>
      <c r="K2196" s="1" t="str">
        <f>VLOOKUP(Tabela1[[#This Row],[Cliente]],'BASE DE CLIENTES'!A:D,4,0)</f>
        <v>EMPRESA COM MAQUINA</v>
      </c>
      <c r="L2196" s="1" t="str">
        <f>VLOOKUP(Tabela1[[#This Row],[Cliente]],'BASE DE CLIENTES'!A:E,5,0)</f>
        <v>TAGUATINGA</v>
      </c>
    </row>
    <row r="2197" spans="1:12" x14ac:dyDescent="0.3">
      <c r="B2197" s="1" t="s">
        <v>70</v>
      </c>
      <c r="C2197" s="4" t="str">
        <f>VLOOKUP(Tabela1[[#This Row],[Cliente]],'BASE DE CLIENTES'!A:E,2,0)</f>
        <v>Brasília</v>
      </c>
      <c r="D2197" s="1" t="str">
        <f>VLOOKUP(Tabela1[[#This Row],[Cliente]],'BASE DE CLIENTES'!A:C,3,0)</f>
        <v>DF</v>
      </c>
      <c r="E2197" s="4" t="str">
        <f>CONCATENATE(Tabela1[[#This Row],[CIDADE]],",",Tabela1[[#This Row],[UF]])</f>
        <v>Brasília,DF</v>
      </c>
      <c r="F2197" s="2">
        <v>45874</v>
      </c>
      <c r="G2197" s="17">
        <v>1747.09</v>
      </c>
      <c r="H2197" s="17">
        <v>2830</v>
      </c>
      <c r="I2197" s="6">
        <f>Tabela1[[#This Row],[Valor total]]-Tabela1[[#This Row],[Valor custo]]</f>
        <v>1082.9100000000001</v>
      </c>
      <c r="J2197" s="7">
        <f>Tabela1[[#This Row],[MARGEM BRUTA]]/Tabela1[[#This Row],[Valor total]]</f>
        <v>0.38265371024734984</v>
      </c>
      <c r="K2197" s="1" t="str">
        <f>VLOOKUP(Tabela1[[#This Row],[Cliente]],'BASE DE CLIENTES'!A:D,4,0)</f>
        <v>EMPRESA COM MAQUINA</v>
      </c>
      <c r="L2197" s="1" t="str">
        <f>VLOOKUP(Tabela1[[#This Row],[Cliente]],'BASE DE CLIENTES'!A:E,5,0)</f>
        <v>TAGUATINGA NORTE (TAGUATINGA)</v>
      </c>
    </row>
    <row r="2198" spans="1:12" x14ac:dyDescent="0.3">
      <c r="B2198" s="1" t="s">
        <v>42</v>
      </c>
      <c r="C2198" s="4" t="str">
        <f>VLOOKUP(Tabela1[[#This Row],[Cliente]],'BASE DE CLIENTES'!A:E,2,0)</f>
        <v>Brasília</v>
      </c>
      <c r="D2198" s="1" t="str">
        <f>VLOOKUP(Tabela1[[#This Row],[Cliente]],'BASE DE CLIENTES'!A:C,3,0)</f>
        <v>DF</v>
      </c>
      <c r="E2198" s="4" t="str">
        <f>CONCATENATE(Tabela1[[#This Row],[CIDADE]],",",Tabela1[[#This Row],[UF]])</f>
        <v>Brasília,DF</v>
      </c>
      <c r="F2198" s="2">
        <v>45874</v>
      </c>
      <c r="G2198" s="17">
        <v>815.09</v>
      </c>
      <c r="H2198" s="17">
        <v>1070</v>
      </c>
      <c r="I2198" s="6">
        <f>Tabela1[[#This Row],[Valor total]]-Tabela1[[#This Row],[Valor custo]]</f>
        <v>254.90999999999997</v>
      </c>
      <c r="J2198" s="7">
        <f>Tabela1[[#This Row],[MARGEM BRUTA]]/Tabela1[[#This Row],[Valor total]]</f>
        <v>0.23823364485981305</v>
      </c>
      <c r="K2198" s="1" t="str">
        <f>VLOOKUP(Tabela1[[#This Row],[Cliente]],'BASE DE CLIENTES'!A:D,4,0)</f>
        <v>EMPRESA SEM MAQUINA</v>
      </c>
      <c r="L2198" s="1" t="str">
        <f>VLOOKUP(Tabela1[[#This Row],[Cliente]],'BASE DE CLIENTES'!A:E,5,0)</f>
        <v>SAMAMBAIA</v>
      </c>
    </row>
    <row r="2199" spans="1:12" x14ac:dyDescent="0.3">
      <c r="B2199" s="1" t="s">
        <v>111</v>
      </c>
      <c r="C2199" s="4" t="str">
        <f>VLOOKUP(Tabela1[[#This Row],[Cliente]],'BASE DE CLIENTES'!A:E,2,0)</f>
        <v>Brasília</v>
      </c>
      <c r="D2199" s="1" t="str">
        <f>VLOOKUP(Tabela1[[#This Row],[Cliente]],'BASE DE CLIENTES'!A:C,3,0)</f>
        <v>DF</v>
      </c>
      <c r="E2199" s="4" t="str">
        <f>CONCATENATE(Tabela1[[#This Row],[CIDADE]],",",Tabela1[[#This Row],[UF]])</f>
        <v>Brasília,DF</v>
      </c>
      <c r="F2199" s="2">
        <v>45874</v>
      </c>
      <c r="G2199" s="17">
        <v>4170.34</v>
      </c>
      <c r="H2199" s="17">
        <v>7190</v>
      </c>
      <c r="I2199" s="6">
        <f>Tabela1[[#This Row],[Valor total]]-Tabela1[[#This Row],[Valor custo]]</f>
        <v>3019.66</v>
      </c>
      <c r="J2199" s="7">
        <f>Tabela1[[#This Row],[MARGEM BRUTA]]/Tabela1[[#This Row],[Valor total]]</f>
        <v>0.41998052851182194</v>
      </c>
      <c r="K2199" s="1" t="str">
        <f>VLOOKUP(Tabela1[[#This Row],[Cliente]],'BASE DE CLIENTES'!A:D,4,0)</f>
        <v>EMPRESA SEM MAQUINA</v>
      </c>
      <c r="L2199" s="1" t="str">
        <f>VLOOKUP(Tabela1[[#This Row],[Cliente]],'BASE DE CLIENTES'!A:E,5,0)</f>
        <v>TAGUATINGA SUL (TAGUATINGA)</v>
      </c>
    </row>
    <row r="2200" spans="1:12" x14ac:dyDescent="0.3">
      <c r="B2200" s="1" t="s">
        <v>276</v>
      </c>
      <c r="C2200" s="4" t="str">
        <f>VLOOKUP(Tabela1[[#This Row],[Cliente]],'BASE DE CLIENTES'!A:E,2,0)</f>
        <v>Parauapebas</v>
      </c>
      <c r="D2200" s="1" t="str">
        <f>VLOOKUP(Tabela1[[#This Row],[Cliente]],'BASE DE CLIENTES'!A:C,3,0)</f>
        <v>PA</v>
      </c>
      <c r="E2200" s="4" t="str">
        <f>CONCATENATE(Tabela1[[#This Row],[CIDADE]],",",Tabela1[[#This Row],[UF]])</f>
        <v>Parauapebas,PA</v>
      </c>
      <c r="F2200" s="2">
        <v>45694</v>
      </c>
      <c r="G2200" s="17">
        <v>16119.46</v>
      </c>
      <c r="H2200" s="17">
        <v>22770</v>
      </c>
      <c r="I2200" s="6">
        <f>Tabela1[[#This Row],[Valor total]]-Tabela1[[#This Row],[Valor custo]]</f>
        <v>6650.5400000000009</v>
      </c>
      <c r="J2200" s="7">
        <f>Tabela1[[#This Row],[MARGEM BRUTA]]/Tabela1[[#This Row],[Valor total]]</f>
        <v>0.29207465963987705</v>
      </c>
      <c r="K2200" s="1" t="str">
        <f>VLOOKUP(Tabela1[[#This Row],[Cliente]],'BASE DE CLIENTES'!A:D,4,0)</f>
        <v>EMPRESA COM MAQUINA</v>
      </c>
      <c r="L2200" s="1" t="str">
        <f>VLOOKUP(Tabela1[[#This Row],[Cliente]],'BASE DE CLIENTES'!A:E,5,0)</f>
        <v>Parauapebas</v>
      </c>
    </row>
    <row r="2201" spans="1:12" x14ac:dyDescent="0.3">
      <c r="B2201" s="1" t="s">
        <v>277</v>
      </c>
      <c r="C2201" s="4" t="str">
        <f>VLOOKUP(Tabela1[[#This Row],[Cliente]],'BASE DE CLIENTES'!A:E,2,0)</f>
        <v>Brasília</v>
      </c>
      <c r="D2201" s="1" t="str">
        <f>VLOOKUP(Tabela1[[#This Row],[Cliente]],'BASE DE CLIENTES'!A:C,3,0)</f>
        <v>DF</v>
      </c>
      <c r="E2201" s="4" t="str">
        <f>CONCATENATE(Tabela1[[#This Row],[CIDADE]],",",Tabela1[[#This Row],[UF]])</f>
        <v>Brasília,DF</v>
      </c>
      <c r="F2201" s="2">
        <v>45873</v>
      </c>
      <c r="G2201" s="17">
        <v>348.13</v>
      </c>
      <c r="H2201" s="17">
        <v>200</v>
      </c>
      <c r="I2201" s="6">
        <f>Tabela1[[#This Row],[Valor total]]-Tabela1[[#This Row],[Valor custo]]</f>
        <v>-148.13</v>
      </c>
      <c r="J2201" s="7">
        <f>Tabela1[[#This Row],[MARGEM BRUTA]]/Tabela1[[#This Row],[Valor total]]</f>
        <v>-0.74065000000000003</v>
      </c>
      <c r="K2201" s="1" t="str">
        <f>VLOOKUP(Tabela1[[#This Row],[Cliente]],'BASE DE CLIENTES'!A:D,4,0)</f>
        <v>OUTROS RAMOS</v>
      </c>
      <c r="L2201" s="1" t="str">
        <f>VLOOKUP(Tabela1[[#This Row],[Cliente]],'BASE DE CLIENTES'!A:E,5,0)</f>
        <v>SETOR DE INDUSTRIA E ABASTECIMENTO</v>
      </c>
    </row>
    <row r="2202" spans="1:12" x14ac:dyDescent="0.3">
      <c r="B2202" s="1" t="s">
        <v>52</v>
      </c>
      <c r="C2202" s="4" t="str">
        <f>VLOOKUP(Tabela1[[#This Row],[Cliente]],'BASE DE CLIENTES'!A:E,2,0)</f>
        <v>Brasília</v>
      </c>
      <c r="D2202" s="1" t="str">
        <f>VLOOKUP(Tabela1[[#This Row],[Cliente]],'BASE DE CLIENTES'!A:C,3,0)</f>
        <v>DF</v>
      </c>
      <c r="E2202" s="4" t="str">
        <f>CONCATENATE(Tabela1[[#This Row],[CIDADE]],",",Tabela1[[#This Row],[UF]])</f>
        <v>Brasília,DF</v>
      </c>
      <c r="F2202" s="2">
        <v>45873</v>
      </c>
      <c r="G2202" s="17">
        <v>583.09</v>
      </c>
      <c r="H2202" s="17">
        <v>890</v>
      </c>
      <c r="I2202" s="6">
        <f>Tabela1[[#This Row],[Valor total]]-Tabela1[[#This Row],[Valor custo]]</f>
        <v>306.90999999999997</v>
      </c>
      <c r="J2202" s="7">
        <f>Tabela1[[#This Row],[MARGEM BRUTA]]/Tabela1[[#This Row],[Valor total]]</f>
        <v>0.34484269662921346</v>
      </c>
      <c r="K2202" s="1" t="str">
        <f>VLOOKUP(Tabela1[[#This Row],[Cliente]],'BASE DE CLIENTES'!A:D,4,0)</f>
        <v>SERRALHEIRO</v>
      </c>
      <c r="L2202" s="1" t="str">
        <f>VLOOKUP(Tabela1[[#This Row],[Cliente]],'BASE DE CLIENTES'!A:E,5,0)</f>
        <v>Ceilândia Sul (Ceilândia)</v>
      </c>
    </row>
    <row r="2203" spans="1:12" x14ac:dyDescent="0.3">
      <c r="B2203" s="1" t="s">
        <v>276</v>
      </c>
      <c r="C2203" s="4" t="str">
        <f>VLOOKUP(Tabela1[[#This Row],[Cliente]],'BASE DE CLIENTES'!A:E,2,0)</f>
        <v>Parauapebas</v>
      </c>
      <c r="D2203" s="1" t="str">
        <f>VLOOKUP(Tabela1[[#This Row],[Cliente]],'BASE DE CLIENTES'!A:C,3,0)</f>
        <v>PA</v>
      </c>
      <c r="E2203" s="4" t="str">
        <f>CONCATENATE(Tabela1[[#This Row],[CIDADE]],",",Tabela1[[#This Row],[UF]])</f>
        <v>Parauapebas,PA</v>
      </c>
      <c r="F2203" s="2">
        <v>45743</v>
      </c>
      <c r="G2203" s="17">
        <v>13555.09</v>
      </c>
      <c r="H2203" s="17">
        <v>18779</v>
      </c>
      <c r="I2203" s="6">
        <f>Tabela1[[#This Row],[Valor total]]-Tabela1[[#This Row],[Valor custo]]</f>
        <v>5223.91</v>
      </c>
      <c r="J2203" s="7">
        <f>Tabela1[[#This Row],[MARGEM BRUTA]]/Tabela1[[#This Row],[Valor total]]</f>
        <v>0.27817828425368762</v>
      </c>
      <c r="K2203" s="1" t="str">
        <f>VLOOKUP(Tabela1[[#This Row],[Cliente]],'BASE DE CLIENTES'!A:D,4,0)</f>
        <v>EMPRESA COM MAQUINA</v>
      </c>
      <c r="L2203" s="1" t="str">
        <f>VLOOKUP(Tabela1[[#This Row],[Cliente]],'BASE DE CLIENTES'!A:E,5,0)</f>
        <v>Parauapebas</v>
      </c>
    </row>
    <row r="2204" spans="1:12" x14ac:dyDescent="0.3">
      <c r="B2204" s="1" t="s">
        <v>108</v>
      </c>
      <c r="C2204" s="4" t="str">
        <f>VLOOKUP(Tabela1[[#This Row],[Cliente]],'BASE DE CLIENTES'!A:E,2,0)</f>
        <v>Brasília</v>
      </c>
      <c r="D2204" s="1" t="str">
        <f>VLOOKUP(Tabela1[[#This Row],[Cliente]],'BASE DE CLIENTES'!A:C,3,0)</f>
        <v>DF</v>
      </c>
      <c r="E2204" s="4" t="str">
        <f>CONCATENATE(Tabela1[[#This Row],[CIDADE]],",",Tabela1[[#This Row],[UF]])</f>
        <v>Brasília,DF</v>
      </c>
      <c r="F2204" s="2">
        <v>45873</v>
      </c>
      <c r="G2204" s="17">
        <v>477</v>
      </c>
      <c r="H2204" s="17">
        <v>840</v>
      </c>
      <c r="I2204" s="6">
        <f>Tabela1[[#This Row],[Valor total]]-Tabela1[[#This Row],[Valor custo]]</f>
        <v>363</v>
      </c>
      <c r="J2204" s="7">
        <f>Tabela1[[#This Row],[MARGEM BRUTA]]/Tabela1[[#This Row],[Valor total]]</f>
        <v>0.43214285714285716</v>
      </c>
      <c r="K2204" s="1" t="str">
        <f>VLOOKUP(Tabela1[[#This Row],[Cliente]],'BASE DE CLIENTES'!A:D,4,0)</f>
        <v>SERRALHEIRO</v>
      </c>
      <c r="L2204" s="1" t="str">
        <f>VLOOKUP(Tabela1[[#This Row],[Cliente]],'BASE DE CLIENTES'!A:E,5,0)</f>
        <v>Vila Planalto</v>
      </c>
    </row>
    <row r="2205" spans="1:12" x14ac:dyDescent="0.3">
      <c r="A2205" s="1" t="s">
        <v>278</v>
      </c>
      <c r="B2205" s="1" t="s">
        <v>279</v>
      </c>
      <c r="C2205" s="4" t="str">
        <f>VLOOKUP(Tabela1[[#This Row],[Cliente]],'BASE DE CLIENTES'!A:E,2,0)</f>
        <v>Brasília</v>
      </c>
      <c r="D2205" s="1" t="str">
        <f>VLOOKUP(Tabela1[[#This Row],[Cliente]],'BASE DE CLIENTES'!A:C,3,0)</f>
        <v>DF</v>
      </c>
      <c r="E2205" s="4" t="str">
        <f>CONCATENATE(Tabela1[[#This Row],[CIDADE]],",",Tabela1[[#This Row],[UF]])</f>
        <v>Brasília,DF</v>
      </c>
      <c r="F2205" s="2">
        <v>45674</v>
      </c>
      <c r="G2205" s="17">
        <v>13.69</v>
      </c>
      <c r="H2205" s="17">
        <v>120</v>
      </c>
      <c r="I2205" s="6">
        <f>Tabela1[[#This Row],[Valor total]]-Tabela1[[#This Row],[Valor custo]]</f>
        <v>106.31</v>
      </c>
      <c r="J2205" s="7">
        <f>Tabela1[[#This Row],[MARGEM BRUTA]]/Tabela1[[#This Row],[Valor total]]</f>
        <v>0.88591666666666669</v>
      </c>
      <c r="K2205" s="1" t="str">
        <f>VLOOKUP(Tabela1[[#This Row],[Cliente]],'BASE DE CLIENTES'!A:D,4,0)</f>
        <v>SEM CLASSIFICAÇÃO</v>
      </c>
      <c r="L2205" s="1" t="str">
        <f>VLOOKUP(Tabela1[[#This Row],[Cliente]],'BASE DE CLIENTES'!A:E,5,0)</f>
        <v>RECANTO DAS EMAS</v>
      </c>
    </row>
    <row r="2206" spans="1:12" x14ac:dyDescent="0.3">
      <c r="B2206" s="1" t="s">
        <v>280</v>
      </c>
      <c r="C2206" s="4" t="str">
        <f>VLOOKUP(Tabela1[[#This Row],[Cliente]],'BASE DE CLIENTES'!A:E,2,0)</f>
        <v>Brasília</v>
      </c>
      <c r="D2206" s="1" t="str">
        <f>VLOOKUP(Tabela1[[#This Row],[Cliente]],'BASE DE CLIENTES'!A:C,3,0)</f>
        <v>DF</v>
      </c>
      <c r="E2206" s="4" t="str">
        <f>CONCATENATE(Tabela1[[#This Row],[CIDADE]],",",Tabela1[[#This Row],[UF]])</f>
        <v>Brasília,DF</v>
      </c>
      <c r="F2206" s="2">
        <v>45769</v>
      </c>
      <c r="G2206" s="17">
        <v>144.4</v>
      </c>
      <c r="H2206" s="17">
        <v>120</v>
      </c>
      <c r="I2206" s="6">
        <f>Tabela1[[#This Row],[Valor total]]-Tabela1[[#This Row],[Valor custo]]</f>
        <v>-24.400000000000006</v>
      </c>
      <c r="J2206" s="7">
        <f>Tabela1[[#This Row],[MARGEM BRUTA]]/Tabela1[[#This Row],[Valor total]]</f>
        <v>-0.20333333333333339</v>
      </c>
      <c r="K2206" s="1" t="str">
        <f>VLOOKUP(Tabela1[[#This Row],[Cliente]],'BASE DE CLIENTES'!A:D,4,0)</f>
        <v>SEM CLASSIFICAÇÃO</v>
      </c>
      <c r="L2206" s="1" t="str">
        <f>VLOOKUP(Tabela1[[#This Row],[Cliente]],'BASE DE CLIENTES'!A:E,5,0)</f>
        <v>Ceilândia Sul (Ceilândia)</v>
      </c>
    </row>
    <row r="2207" spans="1:12" x14ac:dyDescent="0.3">
      <c r="B2207" s="1" t="s">
        <v>276</v>
      </c>
      <c r="C2207" s="4" t="str">
        <f>VLOOKUP(Tabela1[[#This Row],[Cliente]],'BASE DE CLIENTES'!A:E,2,0)</f>
        <v>Parauapebas</v>
      </c>
      <c r="D2207" s="1" t="str">
        <f>VLOOKUP(Tabela1[[#This Row],[Cliente]],'BASE DE CLIENTES'!A:C,3,0)</f>
        <v>PA</v>
      </c>
      <c r="E2207" s="4" t="str">
        <f>CONCATENATE(Tabela1[[#This Row],[CIDADE]],",",Tabela1[[#This Row],[UF]])</f>
        <v>Parauapebas,PA</v>
      </c>
      <c r="F2207" s="2">
        <v>45785</v>
      </c>
      <c r="G2207" s="17">
        <v>6602</v>
      </c>
      <c r="H2207" s="17">
        <v>9870</v>
      </c>
      <c r="I2207" s="6">
        <f>Tabela1[[#This Row],[Valor total]]-Tabela1[[#This Row],[Valor custo]]</f>
        <v>3268</v>
      </c>
      <c r="J2207" s="7">
        <f>Tabela1[[#This Row],[MARGEM BRUTA]]/Tabela1[[#This Row],[Valor total]]</f>
        <v>0.33110435663627152</v>
      </c>
      <c r="K2207" s="1" t="str">
        <f>VLOOKUP(Tabela1[[#This Row],[Cliente]],'BASE DE CLIENTES'!A:D,4,0)</f>
        <v>EMPRESA COM MAQUINA</v>
      </c>
      <c r="L2207" s="1" t="str">
        <f>VLOOKUP(Tabela1[[#This Row],[Cliente]],'BASE DE CLIENTES'!A:E,5,0)</f>
        <v>Parauapebas</v>
      </c>
    </row>
    <row r="2208" spans="1:12" x14ac:dyDescent="0.3">
      <c r="B2208" s="1" t="s">
        <v>23</v>
      </c>
      <c r="C2208" s="4" t="str">
        <f>VLOOKUP(Tabela1[[#This Row],[Cliente]],'BASE DE CLIENTES'!A:E,2,0)</f>
        <v>Brasília</v>
      </c>
      <c r="D2208" s="1" t="str">
        <f>VLOOKUP(Tabela1[[#This Row],[Cliente]],'BASE DE CLIENTES'!A:C,3,0)</f>
        <v>DF</v>
      </c>
      <c r="E2208" s="4" t="str">
        <f>CONCATENATE(Tabela1[[#This Row],[CIDADE]],",",Tabela1[[#This Row],[UF]])</f>
        <v>Brasília,DF</v>
      </c>
      <c r="F2208" s="2">
        <v>45873</v>
      </c>
      <c r="G2208" s="17">
        <v>382.3</v>
      </c>
      <c r="H2208" s="17">
        <v>650</v>
      </c>
      <c r="I2208" s="6">
        <f>Tabela1[[#This Row],[Valor total]]-Tabela1[[#This Row],[Valor custo]]</f>
        <v>267.7</v>
      </c>
      <c r="J2208" s="7">
        <f>Tabela1[[#This Row],[MARGEM BRUTA]]/Tabela1[[#This Row],[Valor total]]</f>
        <v>0.41184615384615381</v>
      </c>
      <c r="K2208" s="1" t="str">
        <f>VLOOKUP(Tabela1[[#This Row],[Cliente]],'BASE DE CLIENTES'!A:D,4,0)</f>
        <v>EMPRESA SEM MAQUINA</v>
      </c>
      <c r="L2208" s="1" t="str">
        <f>VLOOKUP(Tabela1[[#This Row],[Cliente]],'BASE DE CLIENTES'!A:E,5,0)</f>
        <v>SETOR INDUSTRIAL (TAGUATINGA)</v>
      </c>
    </row>
    <row r="2209" spans="2:12" x14ac:dyDescent="0.3">
      <c r="B2209" s="1" t="s">
        <v>27</v>
      </c>
      <c r="C2209" s="4" t="str">
        <f>VLOOKUP(Tabela1[[#This Row],[Cliente]],'BASE DE CLIENTES'!A:E,2,0)</f>
        <v>Brasília</v>
      </c>
      <c r="D2209" s="1" t="str">
        <f>VLOOKUP(Tabela1[[#This Row],[Cliente]],'BASE DE CLIENTES'!A:C,3,0)</f>
        <v>DF</v>
      </c>
      <c r="E2209" s="4" t="str">
        <f>CONCATENATE(Tabela1[[#This Row],[CIDADE]],",",Tabela1[[#This Row],[UF]])</f>
        <v>Brasília,DF</v>
      </c>
      <c r="F2209" s="2">
        <v>45873</v>
      </c>
      <c r="G2209" s="17">
        <v>382.3</v>
      </c>
      <c r="H2209" s="17">
        <v>615</v>
      </c>
      <c r="I2209" s="6">
        <f>Tabela1[[#This Row],[Valor total]]-Tabela1[[#This Row],[Valor custo]]</f>
        <v>232.7</v>
      </c>
      <c r="J2209" s="7">
        <f>Tabela1[[#This Row],[MARGEM BRUTA]]/Tabela1[[#This Row],[Valor total]]</f>
        <v>0.37837398373983738</v>
      </c>
      <c r="K2209" s="1" t="str">
        <f>VLOOKUP(Tabela1[[#This Row],[Cliente]],'BASE DE CLIENTES'!A:D,4,0)</f>
        <v>EMPRESA SEM MAQUINA</v>
      </c>
      <c r="L2209" s="1" t="str">
        <f>VLOOKUP(Tabela1[[#This Row],[Cliente]],'BASE DE CLIENTES'!A:E,5,0)</f>
        <v>RECANTO DAS EMAS</v>
      </c>
    </row>
    <row r="2210" spans="2:12" x14ac:dyDescent="0.3">
      <c r="B2210" s="1" t="s">
        <v>276</v>
      </c>
      <c r="C2210" s="4" t="str">
        <f>VLOOKUP(Tabela1[[#This Row],[Cliente]],'BASE DE CLIENTES'!A:E,2,0)</f>
        <v>Parauapebas</v>
      </c>
      <c r="D2210" s="1" t="str">
        <f>VLOOKUP(Tabela1[[#This Row],[Cliente]],'BASE DE CLIENTES'!A:C,3,0)</f>
        <v>PA</v>
      </c>
      <c r="E2210" s="4" t="str">
        <f>CONCATENATE(Tabela1[[#This Row],[CIDADE]],",",Tabela1[[#This Row],[UF]])</f>
        <v>Parauapebas,PA</v>
      </c>
      <c r="F2210" s="2">
        <v>45820</v>
      </c>
      <c r="G2210" s="17">
        <v>4275</v>
      </c>
      <c r="H2210" s="17">
        <v>5965</v>
      </c>
      <c r="I2210" s="6">
        <f>Tabela1[[#This Row],[Valor total]]-Tabela1[[#This Row],[Valor custo]]</f>
        <v>1690</v>
      </c>
      <c r="J2210" s="7">
        <f>Tabela1[[#This Row],[MARGEM BRUTA]]/Tabela1[[#This Row],[Valor total]]</f>
        <v>0.28331936295054483</v>
      </c>
      <c r="K2210" s="1" t="str">
        <f>VLOOKUP(Tabela1[[#This Row],[Cliente]],'BASE DE CLIENTES'!A:D,4,0)</f>
        <v>EMPRESA COM MAQUINA</v>
      </c>
      <c r="L2210" s="1" t="str">
        <f>VLOOKUP(Tabela1[[#This Row],[Cliente]],'BASE DE CLIENTES'!A:E,5,0)</f>
        <v>Parauapebas</v>
      </c>
    </row>
    <row r="2211" spans="2:12" x14ac:dyDescent="0.3">
      <c r="B2211" s="1" t="s">
        <v>276</v>
      </c>
      <c r="C2211" s="4" t="str">
        <f>VLOOKUP(Tabela1[[#This Row],[Cliente]],'BASE DE CLIENTES'!A:E,2,0)</f>
        <v>Parauapebas</v>
      </c>
      <c r="D2211" s="1" t="str">
        <f>VLOOKUP(Tabela1[[#This Row],[Cliente]],'BASE DE CLIENTES'!A:C,3,0)</f>
        <v>PA</v>
      </c>
      <c r="E2211" s="4" t="str">
        <f>CONCATENATE(Tabela1[[#This Row],[CIDADE]],",",Tabela1[[#This Row],[UF]])</f>
        <v>Parauapebas,PA</v>
      </c>
      <c r="F2211" s="2">
        <v>45862</v>
      </c>
      <c r="G2211" s="17">
        <v>10716.69</v>
      </c>
      <c r="H2211" s="17">
        <v>18095</v>
      </c>
      <c r="I2211" s="6">
        <f>Tabela1[[#This Row],[Valor total]]-Tabela1[[#This Row],[Valor custo]]</f>
        <v>7378.3099999999995</v>
      </c>
      <c r="J2211" s="7">
        <f>Tabela1[[#This Row],[MARGEM BRUTA]]/Tabela1[[#This Row],[Valor total]]</f>
        <v>0.4077540757115225</v>
      </c>
      <c r="K2211" s="1" t="str">
        <f>VLOOKUP(Tabela1[[#This Row],[Cliente]],'BASE DE CLIENTES'!A:D,4,0)</f>
        <v>EMPRESA COM MAQUINA</v>
      </c>
      <c r="L2211" s="1" t="str">
        <f>VLOOKUP(Tabela1[[#This Row],[Cliente]],'BASE DE CLIENTES'!A:E,5,0)</f>
        <v>Parauapebas</v>
      </c>
    </row>
    <row r="2212" spans="2:12" x14ac:dyDescent="0.3">
      <c r="B2212" s="1" t="s">
        <v>97</v>
      </c>
      <c r="C2212" s="4" t="str">
        <f>VLOOKUP(Tabela1[[#This Row],[Cliente]],'BASE DE CLIENTES'!A:E,2,0)</f>
        <v>Brasília</v>
      </c>
      <c r="D2212" s="1" t="str">
        <f>VLOOKUP(Tabela1[[#This Row],[Cliente]],'BASE DE CLIENTES'!A:C,3,0)</f>
        <v>DF</v>
      </c>
      <c r="E2212" s="4" t="str">
        <f>CONCATENATE(Tabela1[[#This Row],[CIDADE]],",",Tabela1[[#This Row],[UF]])</f>
        <v>Brasília,DF</v>
      </c>
      <c r="F2212" s="2">
        <v>45873</v>
      </c>
      <c r="G2212" s="17">
        <v>1085.73</v>
      </c>
      <c r="H2212" s="17">
        <v>1965</v>
      </c>
      <c r="I2212" s="6">
        <f>Tabela1[[#This Row],[Valor total]]-Tabela1[[#This Row],[Valor custo]]</f>
        <v>879.27</v>
      </c>
      <c r="J2212" s="7">
        <f>Tabela1[[#This Row],[MARGEM BRUTA]]/Tabela1[[#This Row],[Valor total]]</f>
        <v>0.44746564885496182</v>
      </c>
      <c r="K2212" s="1" t="str">
        <f>VLOOKUP(Tabela1[[#This Row],[Cliente]],'BASE DE CLIENTES'!A:D,4,0)</f>
        <v>SERRALHEIRO</v>
      </c>
      <c r="L2212" s="1" t="str">
        <f>VLOOKUP(Tabela1[[#This Row],[Cliente]],'BASE DE CLIENTES'!A:E,5,0)</f>
        <v>CEILANDIA NORTE</v>
      </c>
    </row>
    <row r="2213" spans="2:12" x14ac:dyDescent="0.3">
      <c r="B2213" s="1" t="s">
        <v>68</v>
      </c>
      <c r="C2213" s="4" t="str">
        <f>VLOOKUP(Tabela1[[#This Row],[Cliente]],'BASE DE CLIENTES'!A:E,2,0)</f>
        <v>Brasília</v>
      </c>
      <c r="D2213" s="1" t="str">
        <f>VLOOKUP(Tabela1[[#This Row],[Cliente]],'BASE DE CLIENTES'!A:C,3,0)</f>
        <v>DF</v>
      </c>
      <c r="E2213" s="4" t="str">
        <f>CONCATENATE(Tabela1[[#This Row],[CIDADE]],",",Tabela1[[#This Row],[UF]])</f>
        <v>Brasília,DF</v>
      </c>
      <c r="F2213" s="2">
        <v>45873</v>
      </c>
      <c r="G2213" s="17">
        <v>2592.7600000000002</v>
      </c>
      <c r="H2213" s="17">
        <v>4080</v>
      </c>
      <c r="I2213" s="6">
        <f>Tabela1[[#This Row],[Valor total]]-Tabela1[[#This Row],[Valor custo]]</f>
        <v>1487.2399999999998</v>
      </c>
      <c r="J2213" s="7">
        <f>Tabela1[[#This Row],[MARGEM BRUTA]]/Tabela1[[#This Row],[Valor total]]</f>
        <v>0.36451960784313719</v>
      </c>
      <c r="K2213" s="1" t="str">
        <f>VLOOKUP(Tabela1[[#This Row],[Cliente]],'BASE DE CLIENTES'!A:D,4,0)</f>
        <v>EMPRESA COM MAQUINA</v>
      </c>
      <c r="L2213" s="1" t="str">
        <f>VLOOKUP(Tabela1[[#This Row],[Cliente]],'BASE DE CLIENTES'!A:E,5,0)</f>
        <v>SAMAMBAIA SUL (SAMAMBAIA)</v>
      </c>
    </row>
    <row r="2214" spans="2:12" x14ac:dyDescent="0.3">
      <c r="B2214" s="1" t="s">
        <v>276</v>
      </c>
      <c r="C2214" s="4" t="str">
        <f>VLOOKUP(Tabela1[[#This Row],[Cliente]],'BASE DE CLIENTES'!A:E,2,0)</f>
        <v>Parauapebas</v>
      </c>
      <c r="D2214" s="1" t="str">
        <f>VLOOKUP(Tabela1[[#This Row],[Cliente]],'BASE DE CLIENTES'!A:C,3,0)</f>
        <v>PA</v>
      </c>
      <c r="E2214" s="4" t="str">
        <f>CONCATENATE(Tabela1[[#This Row],[CIDADE]],",",Tabela1[[#This Row],[UF]])</f>
        <v>Parauapebas,PA</v>
      </c>
      <c r="F2214" s="2">
        <v>45904</v>
      </c>
      <c r="G2214" s="17">
        <v>165</v>
      </c>
      <c r="H2214" s="17">
        <v>540</v>
      </c>
      <c r="I2214" s="6">
        <f>Tabela1[[#This Row],[Valor total]]-Tabela1[[#This Row],[Valor custo]]</f>
        <v>375</v>
      </c>
      <c r="J2214" s="7">
        <f>Tabela1[[#This Row],[MARGEM BRUTA]]/Tabela1[[#This Row],[Valor total]]</f>
        <v>0.69444444444444442</v>
      </c>
      <c r="K2214" s="1" t="str">
        <f>VLOOKUP(Tabela1[[#This Row],[Cliente]],'BASE DE CLIENTES'!A:D,4,0)</f>
        <v>EMPRESA COM MAQUINA</v>
      </c>
      <c r="L2214" s="1" t="str">
        <f>VLOOKUP(Tabela1[[#This Row],[Cliente]],'BASE DE CLIENTES'!A:E,5,0)</f>
        <v>Parauapebas</v>
      </c>
    </row>
    <row r="2215" spans="2:12" x14ac:dyDescent="0.3">
      <c r="B2215" s="1" t="s">
        <v>38</v>
      </c>
      <c r="C2215" s="4" t="str">
        <f>VLOOKUP(Tabela1[[#This Row],[Cliente]],'BASE DE CLIENTES'!A:E,2,0)</f>
        <v>Brasília</v>
      </c>
      <c r="D2215" s="1" t="str">
        <f>VLOOKUP(Tabela1[[#This Row],[Cliente]],'BASE DE CLIENTES'!A:C,3,0)</f>
        <v>DF</v>
      </c>
      <c r="E2215" s="4" t="str">
        <f>CONCATENATE(Tabela1[[#This Row],[CIDADE]],",",Tabela1[[#This Row],[UF]])</f>
        <v>Brasília,DF</v>
      </c>
      <c r="F2215" s="2">
        <v>45871</v>
      </c>
      <c r="G2215" s="17">
        <v>1947</v>
      </c>
      <c r="H2215" s="17">
        <v>3540</v>
      </c>
      <c r="I2215" s="6">
        <f>Tabela1[[#This Row],[Valor total]]-Tabela1[[#This Row],[Valor custo]]</f>
        <v>1593</v>
      </c>
      <c r="J2215" s="7">
        <f>Tabela1[[#This Row],[MARGEM BRUTA]]/Tabela1[[#This Row],[Valor total]]</f>
        <v>0.45</v>
      </c>
      <c r="K2215" s="1" t="str">
        <f>VLOOKUP(Tabela1[[#This Row],[Cliente]],'BASE DE CLIENTES'!A:D,4,0)</f>
        <v>EMPRESA SEM MAQUINA</v>
      </c>
      <c r="L2215" s="1" t="str">
        <f>VLOOKUP(Tabela1[[#This Row],[Cliente]],'BASE DE CLIENTES'!A:E,5,0)</f>
        <v>PONTE ALTA NORTE (GAMA)</v>
      </c>
    </row>
    <row r="2216" spans="2:12" x14ac:dyDescent="0.3">
      <c r="B2216" s="1" t="s">
        <v>136</v>
      </c>
      <c r="C2216" s="4" t="str">
        <f>VLOOKUP(Tabela1[[#This Row],[Cliente]],'BASE DE CLIENTES'!A:E,2,0)</f>
        <v>Brasília</v>
      </c>
      <c r="D2216" s="1" t="str">
        <f>VLOOKUP(Tabela1[[#This Row],[Cliente]],'BASE DE CLIENTES'!A:C,3,0)</f>
        <v>DF</v>
      </c>
      <c r="E2216" s="4" t="str">
        <f>CONCATENATE(Tabela1[[#This Row],[CIDADE]],",",Tabela1[[#This Row],[UF]])</f>
        <v>Brasília,DF</v>
      </c>
      <c r="F2216" s="2">
        <v>45868</v>
      </c>
      <c r="G2216" s="17">
        <v>21.63</v>
      </c>
      <c r="H2216" s="17">
        <v>100</v>
      </c>
      <c r="I2216" s="6">
        <f>Tabela1[[#This Row],[Valor total]]-Tabela1[[#This Row],[Valor custo]]</f>
        <v>78.37</v>
      </c>
      <c r="J2216" s="7">
        <f>Tabela1[[#This Row],[MARGEM BRUTA]]/Tabela1[[#This Row],[Valor total]]</f>
        <v>0.78370000000000006</v>
      </c>
      <c r="K2216" s="1" t="str">
        <f>VLOOKUP(Tabela1[[#This Row],[Cliente]],'BASE DE CLIENTES'!A:D,4,0)</f>
        <v>SEM CLASSIFICAÇÃO</v>
      </c>
      <c r="L2216" s="1" t="str">
        <f>VLOOKUP(Tabela1[[#This Row],[Cliente]],'BASE DE CLIENTES'!A:E,5,0)</f>
        <v>SAMAMBAIA NORTE (SAMAMBAIA)</v>
      </c>
    </row>
    <row r="2217" spans="2:12" x14ac:dyDescent="0.3">
      <c r="B2217" s="1" t="s">
        <v>70</v>
      </c>
      <c r="C2217" s="4" t="str">
        <f>VLOOKUP(Tabela1[[#This Row],[Cliente]],'BASE DE CLIENTES'!A:E,2,0)</f>
        <v>Brasília</v>
      </c>
      <c r="D2217" s="1" t="str">
        <f>VLOOKUP(Tabela1[[#This Row],[Cliente]],'BASE DE CLIENTES'!A:C,3,0)</f>
        <v>DF</v>
      </c>
      <c r="E2217" s="4" t="str">
        <f>CONCATENATE(Tabela1[[#This Row],[CIDADE]],",",Tabela1[[#This Row],[UF]])</f>
        <v>Brasília,DF</v>
      </c>
      <c r="F2217" s="2">
        <v>45871</v>
      </c>
      <c r="G2217" s="17">
        <v>664</v>
      </c>
      <c r="H2217" s="17">
        <v>1300</v>
      </c>
      <c r="I2217" s="6">
        <f>Tabela1[[#This Row],[Valor total]]-Tabela1[[#This Row],[Valor custo]]</f>
        <v>636</v>
      </c>
      <c r="J2217" s="7">
        <f>Tabela1[[#This Row],[MARGEM BRUTA]]/Tabela1[[#This Row],[Valor total]]</f>
        <v>0.48923076923076925</v>
      </c>
      <c r="K2217" s="1" t="str">
        <f>VLOOKUP(Tabela1[[#This Row],[Cliente]],'BASE DE CLIENTES'!A:D,4,0)</f>
        <v>EMPRESA COM MAQUINA</v>
      </c>
      <c r="L2217" s="1" t="str">
        <f>VLOOKUP(Tabela1[[#This Row],[Cliente]],'BASE DE CLIENTES'!A:E,5,0)</f>
        <v>TAGUATINGA NORTE (TAGUATINGA)</v>
      </c>
    </row>
    <row r="2218" spans="2:12" x14ac:dyDescent="0.3">
      <c r="B2218" s="1" t="s">
        <v>230</v>
      </c>
      <c r="C2218" s="4" t="str">
        <f>VLOOKUP(Tabela1[[#This Row],[Cliente]],'BASE DE CLIENTES'!A:E,2,0)</f>
        <v>Brasília</v>
      </c>
      <c r="D2218" s="1" t="str">
        <f>VLOOKUP(Tabela1[[#This Row],[Cliente]],'BASE DE CLIENTES'!A:C,3,0)</f>
        <v>DF</v>
      </c>
      <c r="E2218" s="4" t="str">
        <f>CONCATENATE(Tabela1[[#This Row],[CIDADE]],",",Tabela1[[#This Row],[UF]])</f>
        <v>Brasília,DF</v>
      </c>
      <c r="F2218" s="2">
        <v>45870</v>
      </c>
      <c r="G2218" s="17">
        <v>865.58</v>
      </c>
      <c r="H2218" s="17">
        <v>1440</v>
      </c>
      <c r="I2218" s="6">
        <f>Tabela1[[#This Row],[Valor total]]-Tabela1[[#This Row],[Valor custo]]</f>
        <v>574.41999999999996</v>
      </c>
      <c r="J2218" s="7">
        <f>Tabela1[[#This Row],[MARGEM BRUTA]]/Tabela1[[#This Row],[Valor total]]</f>
        <v>0.39890277777777777</v>
      </c>
      <c r="K2218" s="1" t="str">
        <f>VLOOKUP(Tabela1[[#This Row],[Cliente]],'BASE DE CLIENTES'!A:D,4,0)</f>
        <v>SERRALHEIRO</v>
      </c>
      <c r="L2218" s="1" t="str">
        <f>VLOOKUP(Tabela1[[#This Row],[Cliente]],'BASE DE CLIENTES'!A:E,5,0)</f>
        <v>SETOR HABITACIONAL SAMAMBAIA (VICENTE PIRES)</v>
      </c>
    </row>
    <row r="2219" spans="2:12" x14ac:dyDescent="0.3">
      <c r="B2219" s="1" t="s">
        <v>281</v>
      </c>
      <c r="C2219" s="4" t="str">
        <f>VLOOKUP(Tabela1[[#This Row],[Cliente]],'BASE DE CLIENTES'!A:E,2,0)</f>
        <v>Brasília</v>
      </c>
      <c r="D2219" s="1" t="str">
        <f>VLOOKUP(Tabela1[[#This Row],[Cliente]],'BASE DE CLIENTES'!A:C,3,0)</f>
        <v>DF</v>
      </c>
      <c r="E2219" s="4" t="str">
        <f>CONCATENATE(Tabela1[[#This Row],[CIDADE]],",",Tabela1[[#This Row],[UF]])</f>
        <v>Brasília,DF</v>
      </c>
      <c r="F2219" s="2">
        <v>45870</v>
      </c>
      <c r="G2219" s="17">
        <v>293.13</v>
      </c>
      <c r="H2219" s="17">
        <v>700</v>
      </c>
      <c r="I2219" s="6">
        <f>Tabela1[[#This Row],[Valor total]]-Tabela1[[#This Row],[Valor custo]]</f>
        <v>406.87</v>
      </c>
      <c r="J2219" s="7">
        <f>Tabela1[[#This Row],[MARGEM BRUTA]]/Tabela1[[#This Row],[Valor total]]</f>
        <v>0.58124285714285717</v>
      </c>
      <c r="K2219" s="1" t="str">
        <f>VLOOKUP(Tabela1[[#This Row],[Cliente]],'BASE DE CLIENTES'!A:D,4,0)</f>
        <v>CLIENTE FECHADURA</v>
      </c>
      <c r="L2219" s="1" t="str">
        <f>VLOOKUP(Tabela1[[#This Row],[Cliente]],'BASE DE CLIENTES'!A:E,5,0)</f>
        <v>ÁGUAS CLARAS</v>
      </c>
    </row>
    <row r="2220" spans="2:12" x14ac:dyDescent="0.3">
      <c r="B2220" s="1" t="s">
        <v>276</v>
      </c>
      <c r="C2220" s="4" t="str">
        <f>VLOOKUP(Tabela1[[#This Row],[Cliente]],'BASE DE CLIENTES'!A:E,2,0)</f>
        <v>Parauapebas</v>
      </c>
      <c r="D2220" s="1" t="str">
        <f>VLOOKUP(Tabela1[[#This Row],[Cliente]],'BASE DE CLIENTES'!A:C,3,0)</f>
        <v>PA</v>
      </c>
      <c r="E2220" s="4" t="str">
        <f>CONCATENATE(Tabela1[[#This Row],[CIDADE]],",",Tabela1[[#This Row],[UF]])</f>
        <v>Parauapebas,PA</v>
      </c>
      <c r="F2220" s="2">
        <v>45903</v>
      </c>
      <c r="G2220" s="17">
        <v>12892.92</v>
      </c>
      <c r="H2220" s="17">
        <v>20486</v>
      </c>
      <c r="I2220" s="6">
        <f>Tabela1[[#This Row],[Valor total]]-Tabela1[[#This Row],[Valor custo]]</f>
        <v>7593.08</v>
      </c>
      <c r="J2220" s="7">
        <f>Tabela1[[#This Row],[MARGEM BRUTA]]/Tabela1[[#This Row],[Valor total]]</f>
        <v>0.37064727130723418</v>
      </c>
      <c r="K2220" s="1" t="str">
        <f>VLOOKUP(Tabela1[[#This Row],[Cliente]],'BASE DE CLIENTES'!A:D,4,0)</f>
        <v>EMPRESA COM MAQUINA</v>
      </c>
      <c r="L2220" s="1" t="str">
        <f>VLOOKUP(Tabela1[[#This Row],[Cliente]],'BASE DE CLIENTES'!A:E,5,0)</f>
        <v>Parauapebas</v>
      </c>
    </row>
    <row r="2221" spans="2:12" x14ac:dyDescent="0.3">
      <c r="B2221" s="1" t="s">
        <v>282</v>
      </c>
      <c r="C2221" s="4" t="str">
        <f>VLOOKUP(Tabela1[[#This Row],[Cliente]],'BASE DE CLIENTES'!A:E,2,0)</f>
        <v>Brasília</v>
      </c>
      <c r="D2221" s="1" t="str">
        <f>VLOOKUP(Tabela1[[#This Row],[Cliente]],'BASE DE CLIENTES'!A:C,3,0)</f>
        <v>DF</v>
      </c>
      <c r="E2221" s="4" t="str">
        <f>CONCATENATE(Tabela1[[#This Row],[CIDADE]],",",Tabela1[[#This Row],[UF]])</f>
        <v>Brasília,DF</v>
      </c>
      <c r="F2221" s="2">
        <v>45870</v>
      </c>
      <c r="G2221" s="17">
        <v>289</v>
      </c>
      <c r="H2221" s="17">
        <v>700</v>
      </c>
      <c r="I2221" s="6">
        <f>Tabela1[[#This Row],[Valor total]]-Tabela1[[#This Row],[Valor custo]]</f>
        <v>411</v>
      </c>
      <c r="J2221" s="7">
        <f>Tabela1[[#This Row],[MARGEM BRUTA]]/Tabela1[[#This Row],[Valor total]]</f>
        <v>0.58714285714285719</v>
      </c>
      <c r="K2221" s="1" t="str">
        <f>VLOOKUP(Tabela1[[#This Row],[Cliente]],'BASE DE CLIENTES'!A:D,4,0)</f>
        <v>CLIENTE FECHADURA</v>
      </c>
      <c r="L2221" s="1" t="str">
        <f>VLOOKUP(Tabela1[[#This Row],[Cliente]],'BASE DE CLIENTES'!A:E,5,0)</f>
        <v>Areal (Águas Claras)</v>
      </c>
    </row>
    <row r="2222" spans="2:12" x14ac:dyDescent="0.3">
      <c r="B2222" s="1" t="s">
        <v>283</v>
      </c>
      <c r="C2222" s="4" t="str">
        <f>VLOOKUP(Tabela1[[#This Row],[Cliente]],'BASE DE CLIENTES'!A:E,2,0)</f>
        <v>Planaltina</v>
      </c>
      <c r="D2222" s="1" t="str">
        <f>VLOOKUP(Tabela1[[#This Row],[Cliente]],'BASE DE CLIENTES'!A:C,3,0)</f>
        <v>GO</v>
      </c>
      <c r="E2222" s="4" t="str">
        <f>CONCATENATE(Tabela1[[#This Row],[CIDADE]],",",Tabela1[[#This Row],[UF]])</f>
        <v>Planaltina,GO</v>
      </c>
      <c r="F2222" s="2">
        <v>45891</v>
      </c>
      <c r="G2222" s="17">
        <v>1669.73</v>
      </c>
      <c r="H2222" s="17">
        <v>3600</v>
      </c>
      <c r="I2222" s="6">
        <f>Tabela1[[#This Row],[Valor total]]-Tabela1[[#This Row],[Valor custo]]</f>
        <v>1930.27</v>
      </c>
      <c r="J2222" s="7">
        <f>Tabela1[[#This Row],[MARGEM BRUTA]]/Tabela1[[#This Row],[Valor total]]</f>
        <v>0.53618611111111114</v>
      </c>
      <c r="K2222" s="1" t="str">
        <f>VLOOKUP(Tabela1[[#This Row],[Cliente]],'BASE DE CLIENTES'!A:D,4,0)</f>
        <v>SEM CLASSIFICAÇÃO</v>
      </c>
      <c r="L2222" s="1" t="str">
        <f>VLOOKUP(Tabela1[[#This Row],[Cliente]],'BASE DE CLIENTES'!A:E,5,0)</f>
        <v>Planaltina</v>
      </c>
    </row>
    <row r="2223" spans="2:12" x14ac:dyDescent="0.3">
      <c r="B2223" s="1" t="s">
        <v>283</v>
      </c>
      <c r="C2223" s="4" t="str">
        <f>VLOOKUP(Tabela1[[#This Row],[Cliente]],'BASE DE CLIENTES'!A:E,2,0)</f>
        <v>Planaltina</v>
      </c>
      <c r="D2223" s="1" t="str">
        <f>VLOOKUP(Tabela1[[#This Row],[Cliente]],'BASE DE CLIENTES'!A:C,3,0)</f>
        <v>GO</v>
      </c>
      <c r="E2223" s="4" t="str">
        <f>CONCATENATE(Tabela1[[#This Row],[CIDADE]],",",Tabela1[[#This Row],[UF]])</f>
        <v>Planaltina,GO</v>
      </c>
      <c r="F2223" s="2">
        <v>45916</v>
      </c>
      <c r="G2223" s="17">
        <v>1465.65</v>
      </c>
      <c r="H2223" s="17">
        <v>2225</v>
      </c>
      <c r="I2223" s="6">
        <f>Tabela1[[#This Row],[Valor total]]-Tabela1[[#This Row],[Valor custo]]</f>
        <v>759.34999999999991</v>
      </c>
      <c r="J2223" s="7">
        <f>Tabela1[[#This Row],[MARGEM BRUTA]]/Tabela1[[#This Row],[Valor total]]</f>
        <v>0.34128089887640445</v>
      </c>
      <c r="K2223" s="1" t="str">
        <f>VLOOKUP(Tabela1[[#This Row],[Cliente]],'BASE DE CLIENTES'!A:D,4,0)</f>
        <v>SEM CLASSIFICAÇÃO</v>
      </c>
      <c r="L2223" s="1" t="str">
        <f>VLOOKUP(Tabela1[[#This Row],[Cliente]],'BASE DE CLIENTES'!A:E,5,0)</f>
        <v>Planaltina</v>
      </c>
    </row>
    <row r="2224" spans="2:12" x14ac:dyDescent="0.3">
      <c r="B2224" s="1" t="s">
        <v>42</v>
      </c>
      <c r="C2224" s="4" t="str">
        <f>VLOOKUP(Tabela1[[#This Row],[Cliente]],'BASE DE CLIENTES'!A:E,2,0)</f>
        <v>Brasília</v>
      </c>
      <c r="D2224" s="1" t="str">
        <f>VLOOKUP(Tabela1[[#This Row],[Cliente]],'BASE DE CLIENTES'!A:C,3,0)</f>
        <v>DF</v>
      </c>
      <c r="E2224" s="4" t="str">
        <f>CONCATENATE(Tabela1[[#This Row],[CIDADE]],",",Tabela1[[#This Row],[UF]])</f>
        <v>Brasília,DF</v>
      </c>
      <c r="F2224" s="2">
        <v>45870</v>
      </c>
      <c r="G2224" s="17">
        <v>382.3</v>
      </c>
      <c r="H2224" s="17">
        <v>615</v>
      </c>
      <c r="I2224" s="6">
        <f>Tabela1[[#This Row],[Valor total]]-Tabela1[[#This Row],[Valor custo]]</f>
        <v>232.7</v>
      </c>
      <c r="J2224" s="7">
        <f>Tabela1[[#This Row],[MARGEM BRUTA]]/Tabela1[[#This Row],[Valor total]]</f>
        <v>0.37837398373983738</v>
      </c>
      <c r="K2224" s="1" t="str">
        <f>VLOOKUP(Tabela1[[#This Row],[Cliente]],'BASE DE CLIENTES'!A:D,4,0)</f>
        <v>EMPRESA SEM MAQUINA</v>
      </c>
      <c r="L2224" s="1" t="str">
        <f>VLOOKUP(Tabela1[[#This Row],[Cliente]],'BASE DE CLIENTES'!A:E,5,0)</f>
        <v>SAMAMBAIA</v>
      </c>
    </row>
    <row r="2225" spans="2:12" x14ac:dyDescent="0.3">
      <c r="B2225" s="1" t="s">
        <v>190</v>
      </c>
      <c r="C2225" s="4" t="str">
        <f>VLOOKUP(Tabela1[[#This Row],[Cliente]],'BASE DE CLIENTES'!A:E,2,0)</f>
        <v>Brasília</v>
      </c>
      <c r="D2225" s="1" t="str">
        <f>VLOOKUP(Tabela1[[#This Row],[Cliente]],'BASE DE CLIENTES'!A:C,3,0)</f>
        <v>DF</v>
      </c>
      <c r="E2225" s="4" t="str">
        <f>CONCATENATE(Tabela1[[#This Row],[CIDADE]],",",Tabela1[[#This Row],[UF]])</f>
        <v>Brasília,DF</v>
      </c>
      <c r="F2225" s="2">
        <v>45870</v>
      </c>
      <c r="G2225" s="17">
        <v>1207.1400000000001</v>
      </c>
      <c r="H2225" s="17">
        <v>2240</v>
      </c>
      <c r="I2225" s="6">
        <f>Tabela1[[#This Row],[Valor total]]-Tabela1[[#This Row],[Valor custo]]</f>
        <v>1032.8599999999999</v>
      </c>
      <c r="J2225" s="7">
        <f>Tabela1[[#This Row],[MARGEM BRUTA]]/Tabela1[[#This Row],[Valor total]]</f>
        <v>0.46109821428571424</v>
      </c>
      <c r="K2225" s="1" t="str">
        <f>VLOOKUP(Tabela1[[#This Row],[Cliente]],'BASE DE CLIENTES'!A:D,4,0)</f>
        <v>EMPRESA COM MAQUINA</v>
      </c>
      <c r="L2225" s="1" t="str">
        <f>VLOOKUP(Tabela1[[#This Row],[Cliente]],'BASE DE CLIENTES'!A:E,5,0)</f>
        <v>RIACHO FUNDO I</v>
      </c>
    </row>
    <row r="2226" spans="2:12" x14ac:dyDescent="0.3">
      <c r="B2226" s="1" t="s">
        <v>283</v>
      </c>
      <c r="C2226" s="4" t="str">
        <f>VLOOKUP(Tabela1[[#This Row],[Cliente]],'BASE DE CLIENTES'!A:E,2,0)</f>
        <v>Planaltina</v>
      </c>
      <c r="D2226" s="1" t="str">
        <f>VLOOKUP(Tabela1[[#This Row],[Cliente]],'BASE DE CLIENTES'!A:C,3,0)</f>
        <v>GO</v>
      </c>
      <c r="E2226" s="4" t="str">
        <f>CONCATENATE(Tabela1[[#This Row],[CIDADE]],",",Tabela1[[#This Row],[UF]])</f>
        <v>Planaltina,GO</v>
      </c>
      <c r="F2226" s="2">
        <v>45672</v>
      </c>
      <c r="G2226" s="17">
        <v>241.3</v>
      </c>
      <c r="H2226" s="17">
        <v>1350</v>
      </c>
      <c r="I2226" s="6">
        <f>Tabela1[[#This Row],[Valor total]]-Tabela1[[#This Row],[Valor custo]]</f>
        <v>1108.7</v>
      </c>
      <c r="J2226" s="7">
        <f>Tabela1[[#This Row],[MARGEM BRUTA]]/Tabela1[[#This Row],[Valor total]]</f>
        <v>0.82125925925925924</v>
      </c>
      <c r="K2226" s="1" t="str">
        <f>VLOOKUP(Tabela1[[#This Row],[Cliente]],'BASE DE CLIENTES'!A:D,4,0)</f>
        <v>SEM CLASSIFICAÇÃO</v>
      </c>
      <c r="L2226" s="1" t="str">
        <f>VLOOKUP(Tabela1[[#This Row],[Cliente]],'BASE DE CLIENTES'!A:E,5,0)</f>
        <v>Planaltina</v>
      </c>
    </row>
    <row r="2227" spans="2:12" x14ac:dyDescent="0.3">
      <c r="B2227" s="1" t="s">
        <v>239</v>
      </c>
      <c r="C2227" s="4" t="str">
        <f>VLOOKUP(Tabela1[[#This Row],[Cliente]],'BASE DE CLIENTES'!A:E,2,0)</f>
        <v>Brasília</v>
      </c>
      <c r="D2227" s="1" t="str">
        <f>VLOOKUP(Tabela1[[#This Row],[Cliente]],'BASE DE CLIENTES'!A:C,3,0)</f>
        <v>DF</v>
      </c>
      <c r="E2227" s="4" t="str">
        <f>CONCATENATE(Tabela1[[#This Row],[CIDADE]],",",Tabela1[[#This Row],[UF]])</f>
        <v>Brasília,DF</v>
      </c>
      <c r="F2227" s="2">
        <v>45870</v>
      </c>
      <c r="G2227" s="17">
        <v>114.43</v>
      </c>
      <c r="H2227" s="17">
        <v>258</v>
      </c>
      <c r="I2227" s="6">
        <f>Tabela1[[#This Row],[Valor total]]-Tabela1[[#This Row],[Valor custo]]</f>
        <v>143.57</v>
      </c>
      <c r="J2227" s="7">
        <f>Tabela1[[#This Row],[MARGEM BRUTA]]/Tabela1[[#This Row],[Valor total]]</f>
        <v>0.55647286821705422</v>
      </c>
      <c r="K2227" s="1" t="str">
        <f>VLOOKUP(Tabela1[[#This Row],[Cliente]],'BASE DE CLIENTES'!A:D,4,0)</f>
        <v>EMPRESA COM MAQUINA</v>
      </c>
      <c r="L2227" s="1" t="str">
        <f>VLOOKUP(Tabela1[[#This Row],[Cliente]],'BASE DE CLIENTES'!A:E,5,0)</f>
        <v>RIACHO FUNDO II</v>
      </c>
    </row>
    <row r="2228" spans="2:12" x14ac:dyDescent="0.3">
      <c r="B2228" s="1" t="s">
        <v>284</v>
      </c>
      <c r="C2228" s="4" t="str">
        <f>VLOOKUP(Tabela1[[#This Row],[Cliente]],'BASE DE CLIENTES'!A:E,2,0)</f>
        <v>Brasília</v>
      </c>
      <c r="D2228" s="1" t="str">
        <f>VLOOKUP(Tabela1[[#This Row],[Cliente]],'BASE DE CLIENTES'!A:C,3,0)</f>
        <v>DF</v>
      </c>
      <c r="E2228" s="4" t="str">
        <f>CONCATENATE(Tabela1[[#This Row],[CIDADE]],",",Tabela1[[#This Row],[UF]])</f>
        <v>Brasília,DF</v>
      </c>
      <c r="F2228" s="2">
        <v>45721</v>
      </c>
      <c r="G2228" s="17">
        <v>13.44</v>
      </c>
      <c r="H2228" s="17">
        <v>90</v>
      </c>
      <c r="I2228" s="6">
        <f>Tabela1[[#This Row],[Valor total]]-Tabela1[[#This Row],[Valor custo]]</f>
        <v>76.56</v>
      </c>
      <c r="J2228" s="7">
        <f>Tabela1[[#This Row],[MARGEM BRUTA]]/Tabela1[[#This Row],[Valor total]]</f>
        <v>0.85066666666666668</v>
      </c>
      <c r="K2228" s="1" t="str">
        <f>VLOOKUP(Tabela1[[#This Row],[Cliente]],'BASE DE CLIENTES'!A:D,4,0)</f>
        <v>SEM CLASSIFICAÇÃO</v>
      </c>
      <c r="L2228" s="1" t="str">
        <f>VLOOKUP(Tabela1[[#This Row],[Cliente]],'BASE DE CLIENTES'!A:E,5,0)</f>
        <v>PONTE ALTA NORTE (GAMA)</v>
      </c>
    </row>
    <row r="2229" spans="2:12" x14ac:dyDescent="0.3">
      <c r="B2229" s="1" t="s">
        <v>285</v>
      </c>
      <c r="C2229" s="4" t="str">
        <f>VLOOKUP(Tabela1[[#This Row],[Cliente]],'BASE DE CLIENTES'!A:E,2,0)</f>
        <v>Brasília</v>
      </c>
      <c r="D2229" s="1" t="str">
        <f>VLOOKUP(Tabela1[[#This Row],[Cliente]],'BASE DE CLIENTES'!A:C,3,0)</f>
        <v>DF</v>
      </c>
      <c r="E2229" s="4" t="str">
        <f>CONCATENATE(Tabela1[[#This Row],[CIDADE]],",",Tabela1[[#This Row],[UF]])</f>
        <v>Brasília,DF</v>
      </c>
      <c r="F2229" s="2">
        <v>45712</v>
      </c>
      <c r="G2229" s="17">
        <v>62.75</v>
      </c>
      <c r="H2229" s="17">
        <v>70</v>
      </c>
      <c r="I2229" s="6">
        <f>Tabela1[[#This Row],[Valor total]]-Tabela1[[#This Row],[Valor custo]]</f>
        <v>7.25</v>
      </c>
      <c r="J2229" s="7">
        <f>Tabela1[[#This Row],[MARGEM BRUTA]]/Tabela1[[#This Row],[Valor total]]</f>
        <v>0.10357142857142858</v>
      </c>
      <c r="K2229" s="1" t="str">
        <f>VLOOKUP(Tabela1[[#This Row],[Cliente]],'BASE DE CLIENTES'!A:D,4,0)</f>
        <v>SEM CLASSIFICAÇÃO</v>
      </c>
      <c r="L2229" s="1" t="str">
        <f>VLOOKUP(Tabela1[[#This Row],[Cliente]],'BASE DE CLIENTES'!A:E,5,0)</f>
        <v>NA</v>
      </c>
    </row>
    <row r="2230" spans="2:12" x14ac:dyDescent="0.3">
      <c r="B2230" s="1" t="s">
        <v>108</v>
      </c>
      <c r="C2230" s="4" t="str">
        <f>VLOOKUP(Tabela1[[#This Row],[Cliente]],'BASE DE CLIENTES'!A:E,2,0)</f>
        <v>Brasília</v>
      </c>
      <c r="D2230" s="1" t="str">
        <f>VLOOKUP(Tabela1[[#This Row],[Cliente]],'BASE DE CLIENTES'!A:C,3,0)</f>
        <v>DF</v>
      </c>
      <c r="E2230" s="4" t="str">
        <f>CONCATENATE(Tabela1[[#This Row],[CIDADE]],",",Tabela1[[#This Row],[UF]])</f>
        <v>Brasília,DF</v>
      </c>
      <c r="F2230" s="2">
        <v>45870</v>
      </c>
      <c r="G2230" s="17">
        <v>697</v>
      </c>
      <c r="H2230" s="17">
        <v>1500</v>
      </c>
      <c r="I2230" s="6">
        <f>Tabela1[[#This Row],[Valor total]]-Tabela1[[#This Row],[Valor custo]]</f>
        <v>803</v>
      </c>
      <c r="J2230" s="7">
        <f>Tabela1[[#This Row],[MARGEM BRUTA]]/Tabela1[[#This Row],[Valor total]]</f>
        <v>0.53533333333333333</v>
      </c>
      <c r="K2230" s="1" t="str">
        <f>VLOOKUP(Tabela1[[#This Row],[Cliente]],'BASE DE CLIENTES'!A:D,4,0)</f>
        <v>SERRALHEIRO</v>
      </c>
      <c r="L2230" s="1" t="str">
        <f>VLOOKUP(Tabela1[[#This Row],[Cliente]],'BASE DE CLIENTES'!A:E,5,0)</f>
        <v>Vila Planalto</v>
      </c>
    </row>
    <row r="2231" spans="2:12" x14ac:dyDescent="0.3">
      <c r="B2231" s="1" t="s">
        <v>27</v>
      </c>
      <c r="C2231" s="4" t="str">
        <f>VLOOKUP(Tabela1[[#This Row],[Cliente]],'BASE DE CLIENTES'!A:E,2,0)</f>
        <v>Brasília</v>
      </c>
      <c r="D2231" s="1" t="str">
        <f>VLOOKUP(Tabela1[[#This Row],[Cliente]],'BASE DE CLIENTES'!A:C,3,0)</f>
        <v>DF</v>
      </c>
      <c r="E2231" s="4" t="str">
        <f>CONCATENATE(Tabela1[[#This Row],[CIDADE]],",",Tabela1[[#This Row],[UF]])</f>
        <v>Brasília,DF</v>
      </c>
      <c r="F2231" s="2">
        <v>45870</v>
      </c>
      <c r="G2231" s="17">
        <v>2461.3000000000002</v>
      </c>
      <c r="H2231" s="17">
        <v>3085</v>
      </c>
      <c r="I2231" s="6">
        <f>Tabela1[[#This Row],[Valor total]]-Tabela1[[#This Row],[Valor custo]]</f>
        <v>623.69999999999982</v>
      </c>
      <c r="J2231" s="7">
        <f>Tabela1[[#This Row],[MARGEM BRUTA]]/Tabela1[[#This Row],[Valor total]]</f>
        <v>0.20217179902755261</v>
      </c>
      <c r="K2231" s="1" t="str">
        <f>VLOOKUP(Tabela1[[#This Row],[Cliente]],'BASE DE CLIENTES'!A:D,4,0)</f>
        <v>EMPRESA SEM MAQUINA</v>
      </c>
      <c r="L2231" s="1" t="str">
        <f>VLOOKUP(Tabela1[[#This Row],[Cliente]],'BASE DE CLIENTES'!A:E,5,0)</f>
        <v>RECANTO DAS EMAS</v>
      </c>
    </row>
    <row r="2232" spans="2:12" x14ac:dyDescent="0.3">
      <c r="B2232" s="1" t="s">
        <v>165</v>
      </c>
      <c r="C2232" s="4" t="str">
        <f>VLOOKUP(Tabela1[[#This Row],[Cliente]],'BASE DE CLIENTES'!A:E,2,0)</f>
        <v>Brasília</v>
      </c>
      <c r="D2232" s="1" t="str">
        <f>VLOOKUP(Tabela1[[#This Row],[Cliente]],'BASE DE CLIENTES'!A:C,3,0)</f>
        <v>DF</v>
      </c>
      <c r="E2232" s="4" t="str">
        <f>CONCATENATE(Tabela1[[#This Row],[CIDADE]],",",Tabela1[[#This Row],[UF]])</f>
        <v>Brasília,DF</v>
      </c>
      <c r="F2232" s="2">
        <v>45870</v>
      </c>
      <c r="G2232" s="17">
        <v>534</v>
      </c>
      <c r="H2232" s="17">
        <v>900</v>
      </c>
      <c r="I2232" s="6">
        <f>Tabela1[[#This Row],[Valor total]]-Tabela1[[#This Row],[Valor custo]]</f>
        <v>366</v>
      </c>
      <c r="J2232" s="7">
        <f>Tabela1[[#This Row],[MARGEM BRUTA]]/Tabela1[[#This Row],[Valor total]]</f>
        <v>0.40666666666666668</v>
      </c>
      <c r="K2232" s="1" t="str">
        <f>VLOOKUP(Tabela1[[#This Row],[Cliente]],'BASE DE CLIENTES'!A:D,4,0)</f>
        <v>EMPRESA SEM MAQUINA</v>
      </c>
      <c r="L2232" s="1" t="str">
        <f>VLOOKUP(Tabela1[[#This Row],[Cliente]],'BASE DE CLIENTES'!A:E,5,0)</f>
        <v>SETOR HABITACIONAL VICENTE PIRES</v>
      </c>
    </row>
    <row r="2233" spans="2:12" x14ac:dyDescent="0.3">
      <c r="B2233" s="1" t="s">
        <v>286</v>
      </c>
      <c r="C2233" s="4" t="str">
        <f>VLOOKUP(Tabela1[[#This Row],[Cliente]],'BASE DE CLIENTES'!A:E,2,0)</f>
        <v>Planaltina</v>
      </c>
      <c r="D2233" s="1" t="str">
        <f>VLOOKUP(Tabela1[[#This Row],[Cliente]],'BASE DE CLIENTES'!A:C,3,0)</f>
        <v>GO</v>
      </c>
      <c r="E2233" s="4" t="str">
        <f>CONCATENATE(Tabela1[[#This Row],[CIDADE]],",",Tabela1[[#This Row],[UF]])</f>
        <v>Planaltina,GO</v>
      </c>
      <c r="F2233" s="2">
        <v>45825</v>
      </c>
      <c r="G2233" s="17">
        <v>7430.14</v>
      </c>
      <c r="H2233" s="17">
        <v>11200</v>
      </c>
      <c r="I2233" s="6">
        <f>Tabela1[[#This Row],[Valor total]]-Tabela1[[#This Row],[Valor custo]]</f>
        <v>3769.8599999999997</v>
      </c>
      <c r="J2233" s="7">
        <f>Tabela1[[#This Row],[MARGEM BRUTA]]/Tabela1[[#This Row],[Valor total]]</f>
        <v>0.3365946428571428</v>
      </c>
      <c r="K2233" s="1" t="str">
        <f>VLOOKUP(Tabela1[[#This Row],[Cliente]],'BASE DE CLIENTES'!A:D,4,0)</f>
        <v>SERRALHEIRO</v>
      </c>
      <c r="L2233" s="1" t="str">
        <f>VLOOKUP(Tabela1[[#This Row],[Cliente]],'BASE DE CLIENTES'!A:E,5,0)</f>
        <v>Planaltina</v>
      </c>
    </row>
    <row r="2234" spans="2:12" x14ac:dyDescent="0.3">
      <c r="B2234" s="1" t="s">
        <v>96</v>
      </c>
      <c r="C2234" s="4" t="str">
        <f>VLOOKUP(Tabela1[[#This Row],[Cliente]],'BASE DE CLIENTES'!A:E,2,0)</f>
        <v>Brasília</v>
      </c>
      <c r="D2234" s="1" t="str">
        <f>VLOOKUP(Tabela1[[#This Row],[Cliente]],'BASE DE CLIENTES'!A:C,3,0)</f>
        <v>DF</v>
      </c>
      <c r="E2234" s="4" t="str">
        <f>CONCATENATE(Tabela1[[#This Row],[CIDADE]],",",Tabela1[[#This Row],[UF]])</f>
        <v>Brasília,DF</v>
      </c>
      <c r="F2234" s="2">
        <v>45870</v>
      </c>
      <c r="G2234" s="17">
        <v>125</v>
      </c>
      <c r="H2234" s="17">
        <v>165</v>
      </c>
      <c r="I2234" s="6">
        <f>Tabela1[[#This Row],[Valor total]]-Tabela1[[#This Row],[Valor custo]]</f>
        <v>40</v>
      </c>
      <c r="J2234" s="7">
        <f>Tabela1[[#This Row],[MARGEM BRUTA]]/Tabela1[[#This Row],[Valor total]]</f>
        <v>0.24242424242424243</v>
      </c>
      <c r="K2234" s="1" t="str">
        <f>VLOOKUP(Tabela1[[#This Row],[Cliente]],'BASE DE CLIENTES'!A:D,4,0)</f>
        <v>EMPRESA SEM MAQUINA</v>
      </c>
      <c r="L2234" s="1" t="str">
        <f>VLOOKUP(Tabela1[[#This Row],[Cliente]],'BASE DE CLIENTES'!A:E,5,0)</f>
        <v>CEILANDIA NORTE (CEILANDIA)</v>
      </c>
    </row>
    <row r="2235" spans="2:12" x14ac:dyDescent="0.3">
      <c r="B2235" s="1" t="s">
        <v>70</v>
      </c>
      <c r="C2235" s="4" t="str">
        <f>VLOOKUP(Tabela1[[#This Row],[Cliente]],'BASE DE CLIENTES'!A:E,2,0)</f>
        <v>Brasília</v>
      </c>
      <c r="D2235" s="1" t="str">
        <f>VLOOKUP(Tabela1[[#This Row],[Cliente]],'BASE DE CLIENTES'!A:C,3,0)</f>
        <v>DF</v>
      </c>
      <c r="E2235" s="4" t="str">
        <f>CONCATENATE(Tabela1[[#This Row],[CIDADE]],",",Tabela1[[#This Row],[UF]])</f>
        <v>Brasília,DF</v>
      </c>
      <c r="F2235" s="2">
        <v>45870</v>
      </c>
      <c r="G2235" s="17">
        <v>300</v>
      </c>
      <c r="H2235" s="17">
        <v>360</v>
      </c>
      <c r="I2235" s="6">
        <f>Tabela1[[#This Row],[Valor total]]-Tabela1[[#This Row],[Valor custo]]</f>
        <v>60</v>
      </c>
      <c r="J2235" s="7">
        <f>Tabela1[[#This Row],[MARGEM BRUTA]]/Tabela1[[#This Row],[Valor total]]</f>
        <v>0.16666666666666666</v>
      </c>
      <c r="K2235" s="1" t="str">
        <f>VLOOKUP(Tabela1[[#This Row],[Cliente]],'BASE DE CLIENTES'!A:D,4,0)</f>
        <v>EMPRESA COM MAQUINA</v>
      </c>
      <c r="L2235" s="1" t="str">
        <f>VLOOKUP(Tabela1[[#This Row],[Cliente]],'BASE DE CLIENTES'!A:E,5,0)</f>
        <v>TAGUATINGA NORTE (TAGUATINGA)</v>
      </c>
    </row>
    <row r="2236" spans="2:12" x14ac:dyDescent="0.3">
      <c r="B2236" s="1" t="s">
        <v>287</v>
      </c>
      <c r="C2236" s="4" t="str">
        <f>VLOOKUP(Tabela1[[#This Row],[Cliente]],'BASE DE CLIENTES'!A:E,2,0)</f>
        <v>Planaltina</v>
      </c>
      <c r="D2236" s="1" t="str">
        <f>VLOOKUP(Tabela1[[#This Row],[Cliente]],'BASE DE CLIENTES'!A:C,3,0)</f>
        <v>GO</v>
      </c>
      <c r="E2236" s="4" t="str">
        <f>CONCATENATE(Tabela1[[#This Row],[CIDADE]],",",Tabela1[[#This Row],[UF]])</f>
        <v>Planaltina,GO</v>
      </c>
      <c r="F2236" s="2">
        <v>45866</v>
      </c>
      <c r="G2236" s="17">
        <v>865.58</v>
      </c>
      <c r="H2236" s="17">
        <v>1440</v>
      </c>
      <c r="I2236" s="6">
        <f>Tabela1[[#This Row],[Valor total]]-Tabela1[[#This Row],[Valor custo]]</f>
        <v>574.41999999999996</v>
      </c>
      <c r="J2236" s="7">
        <f>Tabela1[[#This Row],[MARGEM BRUTA]]/Tabela1[[#This Row],[Valor total]]</f>
        <v>0.39890277777777777</v>
      </c>
      <c r="K2236" s="1" t="str">
        <f>VLOOKUP(Tabela1[[#This Row],[Cliente]],'BASE DE CLIENTES'!A:D,4,0)</f>
        <v>SERRALHEIRO</v>
      </c>
      <c r="L2236" s="1" t="str">
        <f>VLOOKUP(Tabela1[[#This Row],[Cliente]],'BASE DE CLIENTES'!A:E,5,0)</f>
        <v>Planaltina</v>
      </c>
    </row>
    <row r="2237" spans="2:12" x14ac:dyDescent="0.3">
      <c r="B2237" s="1" t="s">
        <v>286</v>
      </c>
      <c r="C2237" s="4" t="str">
        <f>VLOOKUP(Tabela1[[#This Row],[Cliente]],'BASE DE CLIENTES'!A:E,2,0)</f>
        <v>Planaltina</v>
      </c>
      <c r="D2237" s="1" t="str">
        <f>VLOOKUP(Tabela1[[#This Row],[Cliente]],'BASE DE CLIENTES'!A:C,3,0)</f>
        <v>GO</v>
      </c>
      <c r="E2237" s="4" t="str">
        <f>CONCATENATE(Tabela1[[#This Row],[CIDADE]],",",Tabela1[[#This Row],[UF]])</f>
        <v>Planaltina,GO</v>
      </c>
      <c r="F2237" s="2">
        <v>45891</v>
      </c>
      <c r="G2237" s="17">
        <v>168</v>
      </c>
      <c r="H2237" s="17">
        <v>220</v>
      </c>
      <c r="I2237" s="6">
        <f>Tabela1[[#This Row],[Valor total]]-Tabela1[[#This Row],[Valor custo]]</f>
        <v>52</v>
      </c>
      <c r="J2237" s="7">
        <f>Tabela1[[#This Row],[MARGEM BRUTA]]/Tabela1[[#This Row],[Valor total]]</f>
        <v>0.23636363636363636</v>
      </c>
      <c r="K2237" s="1" t="str">
        <f>VLOOKUP(Tabela1[[#This Row],[Cliente]],'BASE DE CLIENTES'!A:D,4,0)</f>
        <v>SERRALHEIRO</v>
      </c>
      <c r="L2237" s="1" t="str">
        <f>VLOOKUP(Tabela1[[#This Row],[Cliente]],'BASE DE CLIENTES'!A:E,5,0)</f>
        <v>Planaltina</v>
      </c>
    </row>
    <row r="2238" spans="2:12" x14ac:dyDescent="0.3">
      <c r="B2238" s="1" t="s">
        <v>286</v>
      </c>
      <c r="C2238" s="4" t="str">
        <f>VLOOKUP(Tabela1[[#This Row],[Cliente]],'BASE DE CLIENTES'!A:E,2,0)</f>
        <v>Planaltina</v>
      </c>
      <c r="D2238" s="1" t="str">
        <f>VLOOKUP(Tabela1[[#This Row],[Cliente]],'BASE DE CLIENTES'!A:C,3,0)</f>
        <v>GO</v>
      </c>
      <c r="E2238" s="4" t="str">
        <f>CONCATENATE(Tabela1[[#This Row],[CIDADE]],",",Tabela1[[#This Row],[UF]])</f>
        <v>Planaltina,GO</v>
      </c>
      <c r="F2238" s="2">
        <v>45891</v>
      </c>
      <c r="G2238" s="17">
        <v>4130.34</v>
      </c>
      <c r="H2238" s="17">
        <v>6530</v>
      </c>
      <c r="I2238" s="6">
        <f>Tabela1[[#This Row],[Valor total]]-Tabela1[[#This Row],[Valor custo]]</f>
        <v>2399.66</v>
      </c>
      <c r="J2238" s="7">
        <f>Tabela1[[#This Row],[MARGEM BRUTA]]/Tabela1[[#This Row],[Valor total]]</f>
        <v>0.36748238897396629</v>
      </c>
      <c r="K2238" s="1" t="str">
        <f>VLOOKUP(Tabela1[[#This Row],[Cliente]],'BASE DE CLIENTES'!A:D,4,0)</f>
        <v>SERRALHEIRO</v>
      </c>
      <c r="L2238" s="1" t="str">
        <f>VLOOKUP(Tabela1[[#This Row],[Cliente]],'BASE DE CLIENTES'!A:E,5,0)</f>
        <v>Planaltina</v>
      </c>
    </row>
    <row r="2239" spans="2:12" x14ac:dyDescent="0.3">
      <c r="B2239" s="1" t="s">
        <v>245</v>
      </c>
      <c r="C2239" s="4" t="str">
        <f>VLOOKUP(Tabela1[[#This Row],[Cliente]],'BASE DE CLIENTES'!A:E,2,0)</f>
        <v>Brasília</v>
      </c>
      <c r="D2239" s="1" t="str">
        <f>VLOOKUP(Tabela1[[#This Row],[Cliente]],'BASE DE CLIENTES'!A:C,3,0)</f>
        <v>DF</v>
      </c>
      <c r="E2239" s="4" t="str">
        <f>CONCATENATE(Tabela1[[#This Row],[CIDADE]],",",Tabela1[[#This Row],[UF]])</f>
        <v>Brasília,DF</v>
      </c>
      <c r="F2239" s="2">
        <v>45716</v>
      </c>
      <c r="G2239" s="17">
        <v>30.5</v>
      </c>
      <c r="H2239" s="17">
        <v>50</v>
      </c>
      <c r="I2239" s="6">
        <f>Tabela1[[#This Row],[Valor total]]-Tabela1[[#This Row],[Valor custo]]</f>
        <v>19.5</v>
      </c>
      <c r="J2239" s="7">
        <f>Tabela1[[#This Row],[MARGEM BRUTA]]/Tabela1[[#This Row],[Valor total]]</f>
        <v>0.39</v>
      </c>
      <c r="K2239" s="1" t="str">
        <f>VLOOKUP(Tabela1[[#This Row],[Cliente]],'BASE DE CLIENTES'!A:D,4,0)</f>
        <v>SEM CLASSIFICAÇÃO</v>
      </c>
      <c r="L2239" s="1" t="str">
        <f>VLOOKUP(Tabela1[[#This Row],[Cliente]],'BASE DE CLIENTES'!A:E,5,0)</f>
        <v>NA</v>
      </c>
    </row>
    <row r="2240" spans="2:12" x14ac:dyDescent="0.3">
      <c r="B2240" s="1" t="s">
        <v>137</v>
      </c>
      <c r="C2240" s="4" t="str">
        <f>VLOOKUP(Tabela1[[#This Row],[Cliente]],'BASE DE CLIENTES'!A:E,2,0)</f>
        <v>Brasília</v>
      </c>
      <c r="D2240" s="1" t="str">
        <f>VLOOKUP(Tabela1[[#This Row],[Cliente]],'BASE DE CLIENTES'!A:C,3,0)</f>
        <v>DF</v>
      </c>
      <c r="E2240" s="4" t="str">
        <f>CONCATENATE(Tabela1[[#This Row],[CIDADE]],",",Tabela1[[#This Row],[UF]])</f>
        <v>Brasília,DF</v>
      </c>
      <c r="F2240" s="2">
        <v>45930</v>
      </c>
      <c r="G2240" s="17">
        <v>35</v>
      </c>
      <c r="H2240" s="17">
        <v>30</v>
      </c>
      <c r="I2240" s="6">
        <f>Tabela1[[#This Row],[Valor total]]-Tabela1[[#This Row],[Valor custo]]</f>
        <v>-5</v>
      </c>
      <c r="J2240" s="7">
        <f>Tabela1[[#This Row],[MARGEM BRUTA]]/Tabela1[[#This Row],[Valor total]]</f>
        <v>-0.16666666666666666</v>
      </c>
      <c r="K2240" s="1" t="str">
        <f>VLOOKUP(Tabela1[[#This Row],[Cliente]],'BASE DE CLIENTES'!A:D,4,0)</f>
        <v>SÓCIO</v>
      </c>
      <c r="L2240" s="1" t="str">
        <f>VLOOKUP(Tabela1[[#This Row],[Cliente]],'BASE DE CLIENTES'!A:E,5,0)</f>
        <v>Taguatinga Sul (Taguatinga)</v>
      </c>
    </row>
    <row r="2241" spans="2:12" x14ac:dyDescent="0.3">
      <c r="B2241" s="1" t="s">
        <v>248</v>
      </c>
      <c r="C2241" s="4" t="str">
        <f>VLOOKUP(Tabela1[[#This Row],[Cliente]],'BASE DE CLIENTES'!A:E,2,0)</f>
        <v>Brasília</v>
      </c>
      <c r="D2241" s="1" t="str">
        <f>VLOOKUP(Tabela1[[#This Row],[Cliente]],'BASE DE CLIENTES'!A:C,3,0)</f>
        <v>DF</v>
      </c>
      <c r="E2241" s="4" t="str">
        <f>CONCATENATE(Tabela1[[#This Row],[CIDADE]],",",Tabela1[[#This Row],[UF]])</f>
        <v>Brasília,DF</v>
      </c>
      <c r="F2241" s="2">
        <v>45722</v>
      </c>
      <c r="G2241" s="17">
        <v>10.44</v>
      </c>
      <c r="H2241" s="17">
        <v>40</v>
      </c>
      <c r="I2241" s="6">
        <f>Tabela1[[#This Row],[Valor total]]-Tabela1[[#This Row],[Valor custo]]</f>
        <v>29.560000000000002</v>
      </c>
      <c r="J2241" s="7">
        <f>Tabela1[[#This Row],[MARGEM BRUTA]]/Tabela1[[#This Row],[Valor total]]</f>
        <v>0.7390000000000001</v>
      </c>
      <c r="K2241" s="1" t="str">
        <f>VLOOKUP(Tabela1[[#This Row],[Cliente]],'BASE DE CLIENTES'!A:D,4,0)</f>
        <v>SEM CLASSIFICAÇÃO</v>
      </c>
      <c r="L2241" s="1" t="str">
        <f>VLOOKUP(Tabela1[[#This Row],[Cliente]],'BASE DE CLIENTES'!A:E,5,0)</f>
        <v>NA</v>
      </c>
    </row>
    <row r="2242" spans="2:12" x14ac:dyDescent="0.3">
      <c r="B2242" s="1" t="s">
        <v>52</v>
      </c>
      <c r="C2242" s="4" t="str">
        <f>VLOOKUP(Tabela1[[#This Row],[Cliente]],'BASE DE CLIENTES'!A:E,2,0)</f>
        <v>Brasília</v>
      </c>
      <c r="D2242" s="1" t="str">
        <f>VLOOKUP(Tabela1[[#This Row],[Cliente]],'BASE DE CLIENTES'!A:C,3,0)</f>
        <v>DF</v>
      </c>
      <c r="E2242" s="4" t="str">
        <f>CONCATENATE(Tabela1[[#This Row],[CIDADE]],",",Tabela1[[#This Row],[UF]])</f>
        <v>Brasília,DF</v>
      </c>
      <c r="F2242" s="2">
        <v>45930</v>
      </c>
      <c r="G2242" s="17">
        <v>1159.0899999999999</v>
      </c>
      <c r="H2242" s="17">
        <v>1936.5</v>
      </c>
      <c r="I2242" s="6">
        <f>Tabela1[[#This Row],[Valor total]]-Tabela1[[#This Row],[Valor custo]]</f>
        <v>777.41000000000008</v>
      </c>
      <c r="J2242" s="7">
        <f>Tabela1[[#This Row],[MARGEM BRUTA]]/Tabela1[[#This Row],[Valor total]]</f>
        <v>0.40145107152078496</v>
      </c>
      <c r="K2242" s="1" t="str">
        <f>VLOOKUP(Tabela1[[#This Row],[Cliente]],'BASE DE CLIENTES'!A:D,4,0)</f>
        <v>SERRALHEIRO</v>
      </c>
      <c r="L2242" s="1" t="str">
        <f>VLOOKUP(Tabela1[[#This Row],[Cliente]],'BASE DE CLIENTES'!A:E,5,0)</f>
        <v>Ceilândia Sul (Ceilândia)</v>
      </c>
    </row>
    <row r="2243" spans="2:12" x14ac:dyDescent="0.3">
      <c r="B2243" s="1" t="s">
        <v>138</v>
      </c>
      <c r="C2243" s="4" t="str">
        <f>VLOOKUP(Tabela1[[#This Row],[Cliente]],'BASE DE CLIENTES'!A:E,2,0)</f>
        <v>Brasília</v>
      </c>
      <c r="D2243" s="1" t="str">
        <f>VLOOKUP(Tabela1[[#This Row],[Cliente]],'BASE DE CLIENTES'!A:C,3,0)</f>
        <v>DF</v>
      </c>
      <c r="E2243" s="4" t="str">
        <f>CONCATENATE(Tabela1[[#This Row],[CIDADE]],",",Tabela1[[#This Row],[UF]])</f>
        <v>Brasília,DF</v>
      </c>
      <c r="F2243" s="2">
        <v>45930</v>
      </c>
      <c r="G2243" s="17">
        <v>110</v>
      </c>
      <c r="H2243" s="17">
        <v>400</v>
      </c>
      <c r="I2243" s="6">
        <f>Tabela1[[#This Row],[Valor total]]-Tabela1[[#This Row],[Valor custo]]</f>
        <v>290</v>
      </c>
      <c r="J2243" s="7">
        <f>Tabela1[[#This Row],[MARGEM BRUTA]]/Tabela1[[#This Row],[Valor total]]</f>
        <v>0.72499999999999998</v>
      </c>
      <c r="K2243" s="1" t="str">
        <f>VLOOKUP(Tabela1[[#This Row],[Cliente]],'BASE DE CLIENTES'!A:D,4,0)</f>
        <v>OUTROS RAMOS</v>
      </c>
      <c r="L2243" s="1" t="str">
        <f>VLOOKUP(Tabela1[[#This Row],[Cliente]],'BASE DE CLIENTES'!A:E,5,0)</f>
        <v>CEILANDIA NORTE (CEILANDIA)</v>
      </c>
    </row>
    <row r="2244" spans="2:12" x14ac:dyDescent="0.3">
      <c r="B2244" s="1" t="s">
        <v>42</v>
      </c>
      <c r="C2244" s="4" t="str">
        <f>VLOOKUP(Tabela1[[#This Row],[Cliente]],'BASE DE CLIENTES'!A:E,2,0)</f>
        <v>Brasília</v>
      </c>
      <c r="D2244" s="1" t="str">
        <f>VLOOKUP(Tabela1[[#This Row],[Cliente]],'BASE DE CLIENTES'!A:C,3,0)</f>
        <v>DF</v>
      </c>
      <c r="E2244" s="4" t="str">
        <f>CONCATENATE(Tabela1[[#This Row],[CIDADE]],",",Tabela1[[#This Row],[UF]])</f>
        <v>Brasília,DF</v>
      </c>
      <c r="F2244" s="2">
        <v>45930</v>
      </c>
      <c r="G2244" s="17">
        <v>707.94</v>
      </c>
      <c r="H2244" s="17">
        <v>1000</v>
      </c>
      <c r="I2244" s="6">
        <f>Tabela1[[#This Row],[Valor total]]-Tabela1[[#This Row],[Valor custo]]</f>
        <v>292.05999999999995</v>
      </c>
      <c r="J2244" s="7">
        <f>Tabela1[[#This Row],[MARGEM BRUTA]]/Tabela1[[#This Row],[Valor total]]</f>
        <v>0.29205999999999993</v>
      </c>
      <c r="K2244" s="1" t="str">
        <f>VLOOKUP(Tabela1[[#This Row],[Cliente]],'BASE DE CLIENTES'!A:D,4,0)</f>
        <v>EMPRESA SEM MAQUINA</v>
      </c>
      <c r="L2244" s="1" t="str">
        <f>VLOOKUP(Tabela1[[#This Row],[Cliente]],'BASE DE CLIENTES'!A:E,5,0)</f>
        <v>SAMAMBAIA</v>
      </c>
    </row>
    <row r="2245" spans="2:12" x14ac:dyDescent="0.3">
      <c r="B2245" s="1" t="s">
        <v>27</v>
      </c>
      <c r="C2245" s="4" t="str">
        <f>VLOOKUP(Tabela1[[#This Row],[Cliente]],'BASE DE CLIENTES'!A:E,2,0)</f>
        <v>Brasília</v>
      </c>
      <c r="D2245" s="1" t="str">
        <f>VLOOKUP(Tabela1[[#This Row],[Cliente]],'BASE DE CLIENTES'!A:C,3,0)</f>
        <v>DF</v>
      </c>
      <c r="E2245" s="4" t="str">
        <f>CONCATENATE(Tabela1[[#This Row],[CIDADE]],",",Tabela1[[#This Row],[UF]])</f>
        <v>Brasília,DF</v>
      </c>
      <c r="F2245" s="2">
        <v>45930</v>
      </c>
      <c r="G2245" s="17">
        <v>1053.5999999999999</v>
      </c>
      <c r="H2245" s="17">
        <v>1600</v>
      </c>
      <c r="I2245" s="6">
        <f>Tabela1[[#This Row],[Valor total]]-Tabela1[[#This Row],[Valor custo]]</f>
        <v>546.40000000000009</v>
      </c>
      <c r="J2245" s="7">
        <f>Tabela1[[#This Row],[MARGEM BRUTA]]/Tabela1[[#This Row],[Valor total]]</f>
        <v>0.34150000000000008</v>
      </c>
      <c r="K2245" s="1" t="str">
        <f>VLOOKUP(Tabela1[[#This Row],[Cliente]],'BASE DE CLIENTES'!A:D,4,0)</f>
        <v>EMPRESA SEM MAQUINA</v>
      </c>
      <c r="L2245" s="1" t="str">
        <f>VLOOKUP(Tabela1[[#This Row],[Cliente]],'BASE DE CLIENTES'!A:E,5,0)</f>
        <v>RECANTO DAS EMAS</v>
      </c>
    </row>
    <row r="2246" spans="2:12" x14ac:dyDescent="0.3">
      <c r="B2246" s="1" t="s">
        <v>232</v>
      </c>
      <c r="C2246" s="4" t="str">
        <f>VLOOKUP(Tabela1[[#This Row],[Cliente]],'BASE DE CLIENTES'!A:E,2,0)</f>
        <v>Brasília</v>
      </c>
      <c r="D2246" s="1" t="str">
        <f>VLOOKUP(Tabela1[[#This Row],[Cliente]],'BASE DE CLIENTES'!A:C,3,0)</f>
        <v>DF</v>
      </c>
      <c r="E2246" s="4" t="str">
        <f>CONCATENATE(Tabela1[[#This Row],[CIDADE]],",",Tabela1[[#This Row],[UF]])</f>
        <v>Brasília,DF</v>
      </c>
      <c r="F2246" s="2">
        <v>45930</v>
      </c>
      <c r="G2246" s="17">
        <v>293.13</v>
      </c>
      <c r="H2246" s="17">
        <v>400</v>
      </c>
      <c r="I2246" s="6">
        <f>Tabela1[[#This Row],[Valor total]]-Tabela1[[#This Row],[Valor custo]]</f>
        <v>106.87</v>
      </c>
      <c r="J2246" s="7">
        <f>Tabela1[[#This Row],[MARGEM BRUTA]]/Tabela1[[#This Row],[Valor total]]</f>
        <v>0.267175</v>
      </c>
      <c r="K2246" s="1" t="str">
        <f>VLOOKUP(Tabela1[[#This Row],[Cliente]],'BASE DE CLIENTES'!A:D,4,0)</f>
        <v>CHAVEIRO</v>
      </c>
      <c r="L2246" s="1" t="str">
        <f>VLOOKUP(Tabela1[[#This Row],[Cliente]],'BASE DE CLIENTES'!A:E,5,0)</f>
        <v>Areal (Águas Claras)</v>
      </c>
    </row>
    <row r="2247" spans="2:12" x14ac:dyDescent="0.3">
      <c r="B2247" s="1" t="s">
        <v>123</v>
      </c>
      <c r="C2247" s="4" t="str">
        <f>VLOOKUP(Tabela1[[#This Row],[Cliente]],'BASE DE CLIENTES'!A:E,2,0)</f>
        <v>Brasília</v>
      </c>
      <c r="D2247" s="1" t="str">
        <f>VLOOKUP(Tabela1[[#This Row],[Cliente]],'BASE DE CLIENTES'!A:C,3,0)</f>
        <v>DF</v>
      </c>
      <c r="E2247" s="4" t="str">
        <f>CONCATENATE(Tabela1[[#This Row],[CIDADE]],",",Tabela1[[#This Row],[UF]])</f>
        <v>Brasília,DF</v>
      </c>
      <c r="F2247" s="2">
        <v>45930</v>
      </c>
      <c r="G2247" s="17">
        <v>534</v>
      </c>
      <c r="H2247" s="17">
        <v>870</v>
      </c>
      <c r="I2247" s="6">
        <f>Tabela1[[#This Row],[Valor total]]-Tabela1[[#This Row],[Valor custo]]</f>
        <v>336</v>
      </c>
      <c r="J2247" s="7">
        <f>Tabela1[[#This Row],[MARGEM BRUTA]]/Tabela1[[#This Row],[Valor total]]</f>
        <v>0.38620689655172413</v>
      </c>
      <c r="K2247" s="1" t="str">
        <f>VLOOKUP(Tabela1[[#This Row],[Cliente]],'BASE DE CLIENTES'!A:D,4,0)</f>
        <v>EMPRESA COM MAQUINA</v>
      </c>
      <c r="L2247" s="1" t="str">
        <f>VLOOKUP(Tabela1[[#This Row],[Cliente]],'BASE DE CLIENTES'!A:E,5,0)</f>
        <v>ADE CEILÂNDIA</v>
      </c>
    </row>
    <row r="2248" spans="2:12" x14ac:dyDescent="0.3">
      <c r="B2248" s="1" t="s">
        <v>70</v>
      </c>
      <c r="C2248" s="4" t="str">
        <f>VLOOKUP(Tabela1[[#This Row],[Cliente]],'BASE DE CLIENTES'!A:E,2,0)</f>
        <v>Brasília</v>
      </c>
      <c r="D2248" s="1" t="str">
        <f>VLOOKUP(Tabela1[[#This Row],[Cliente]],'BASE DE CLIENTES'!A:C,3,0)</f>
        <v>DF</v>
      </c>
      <c r="E2248" s="4" t="str">
        <f>CONCATENATE(Tabela1[[#This Row],[CIDADE]],",",Tabela1[[#This Row],[UF]])</f>
        <v>Brasília,DF</v>
      </c>
      <c r="F2248" s="2">
        <v>45930</v>
      </c>
      <c r="G2248" s="17">
        <v>125</v>
      </c>
      <c r="H2248" s="17">
        <v>150</v>
      </c>
      <c r="I2248" s="6">
        <f>Tabela1[[#This Row],[Valor total]]-Tabela1[[#This Row],[Valor custo]]</f>
        <v>25</v>
      </c>
      <c r="J2248" s="7">
        <f>Tabela1[[#This Row],[MARGEM BRUTA]]/Tabela1[[#This Row],[Valor total]]</f>
        <v>0.16666666666666666</v>
      </c>
      <c r="K2248" s="1" t="str">
        <f>VLOOKUP(Tabela1[[#This Row],[Cliente]],'BASE DE CLIENTES'!A:D,4,0)</f>
        <v>EMPRESA COM MAQUINA</v>
      </c>
      <c r="L2248" s="1" t="str">
        <f>VLOOKUP(Tabela1[[#This Row],[Cliente]],'BASE DE CLIENTES'!A:E,5,0)</f>
        <v>TAGUATINGA NORTE (TAGUATINGA)</v>
      </c>
    </row>
    <row r="2249" spans="2:12" x14ac:dyDescent="0.3">
      <c r="B2249" s="1" t="s">
        <v>85</v>
      </c>
      <c r="C2249" s="4" t="str">
        <f>VLOOKUP(Tabela1[[#This Row],[Cliente]],'BASE DE CLIENTES'!A:E,2,0)</f>
        <v>Brasília</v>
      </c>
      <c r="D2249" s="1" t="str">
        <f>VLOOKUP(Tabela1[[#This Row],[Cliente]],'BASE DE CLIENTES'!A:C,3,0)</f>
        <v>DF</v>
      </c>
      <c r="E2249" s="4" t="str">
        <f>CONCATENATE(Tabela1[[#This Row],[CIDADE]],",",Tabela1[[#This Row],[UF]])</f>
        <v>Brasília,DF</v>
      </c>
      <c r="F2249" s="2">
        <v>45930</v>
      </c>
      <c r="G2249" s="17">
        <v>360.5</v>
      </c>
      <c r="H2249" s="17">
        <v>1000</v>
      </c>
      <c r="I2249" s="6">
        <f>Tabela1[[#This Row],[Valor total]]-Tabela1[[#This Row],[Valor custo]]</f>
        <v>639.5</v>
      </c>
      <c r="J2249" s="7">
        <f>Tabela1[[#This Row],[MARGEM BRUTA]]/Tabela1[[#This Row],[Valor total]]</f>
        <v>0.63949999999999996</v>
      </c>
      <c r="K2249" s="1" t="str">
        <f>VLOOKUP(Tabela1[[#This Row],[Cliente]],'BASE DE CLIENTES'!A:D,4,0)</f>
        <v>SERRALHEIRO</v>
      </c>
      <c r="L2249" s="1" t="str">
        <f>VLOOKUP(Tabela1[[#This Row],[Cliente]],'BASE DE CLIENTES'!A:E,5,0)</f>
        <v>SAMAMBAIA NORTE (SAMAMBAIA)</v>
      </c>
    </row>
    <row r="2250" spans="2:12" x14ac:dyDescent="0.3">
      <c r="B2250" s="1" t="s">
        <v>262</v>
      </c>
      <c r="C2250" s="4" t="str">
        <f>VLOOKUP(Tabela1[[#This Row],[Cliente]],'BASE DE CLIENTES'!A:E,2,0)</f>
        <v>Brasília</v>
      </c>
      <c r="D2250" s="1" t="str">
        <f>VLOOKUP(Tabela1[[#This Row],[Cliente]],'BASE DE CLIENTES'!A:C,3,0)</f>
        <v>DF</v>
      </c>
      <c r="E2250" s="4" t="str">
        <f>CONCATENATE(Tabela1[[#This Row],[CIDADE]],",",Tabela1[[#This Row],[UF]])</f>
        <v>Brasília,DF</v>
      </c>
      <c r="F2250" s="2">
        <v>45930</v>
      </c>
      <c r="G2250" s="17">
        <v>36.049999999999997</v>
      </c>
      <c r="H2250" s="17">
        <v>175</v>
      </c>
      <c r="I2250" s="6">
        <f>Tabela1[[#This Row],[Valor total]]-Tabela1[[#This Row],[Valor custo]]</f>
        <v>138.94999999999999</v>
      </c>
      <c r="J2250" s="7">
        <f>Tabela1[[#This Row],[MARGEM BRUTA]]/Tabela1[[#This Row],[Valor total]]</f>
        <v>0.79399999999999993</v>
      </c>
      <c r="K2250" s="1" t="str">
        <f>VLOOKUP(Tabela1[[#This Row],[Cliente]],'BASE DE CLIENTES'!A:D,4,0)</f>
        <v>SERRALHEIRO</v>
      </c>
      <c r="L2250" s="1" t="str">
        <f>VLOOKUP(Tabela1[[#This Row],[Cliente]],'BASE DE CLIENTES'!A:E,5,0)</f>
        <v>SETOR INDUSTRIAL (TAGUATINGA)</v>
      </c>
    </row>
    <row r="2251" spans="2:12" x14ac:dyDescent="0.3">
      <c r="B2251" s="1" t="s">
        <v>76</v>
      </c>
      <c r="C2251" s="4" t="str">
        <f>VLOOKUP(Tabela1[[#This Row],[Cliente]],'BASE DE CLIENTES'!A:E,2,0)</f>
        <v>Brasília</v>
      </c>
      <c r="D2251" s="1" t="str">
        <f>VLOOKUP(Tabela1[[#This Row],[Cliente]],'BASE DE CLIENTES'!A:C,3,0)</f>
        <v>DF</v>
      </c>
      <c r="E2251" s="4" t="str">
        <f>CONCATENATE(Tabela1[[#This Row],[CIDADE]],",",Tabela1[[#This Row],[UF]])</f>
        <v>Brasília,DF</v>
      </c>
      <c r="F2251" s="2">
        <v>45930</v>
      </c>
      <c r="G2251" s="17">
        <v>5749.9</v>
      </c>
      <c r="H2251" s="17">
        <v>8730</v>
      </c>
      <c r="I2251" s="6">
        <f>Tabela1[[#This Row],[Valor total]]-Tabela1[[#This Row],[Valor custo]]</f>
        <v>2980.1000000000004</v>
      </c>
      <c r="J2251" s="7">
        <f>Tabela1[[#This Row],[MARGEM BRUTA]]/Tabela1[[#This Row],[Valor total]]</f>
        <v>0.34136311569301264</v>
      </c>
      <c r="K2251" s="1" t="str">
        <f>VLOOKUP(Tabela1[[#This Row],[Cliente]],'BASE DE CLIENTES'!A:D,4,0)</f>
        <v>EMPRESA COM MAQUINA</v>
      </c>
      <c r="L2251" s="1" t="str">
        <f>VLOOKUP(Tabela1[[#This Row],[Cliente]],'BASE DE CLIENTES'!A:E,5,0)</f>
        <v>Setor Placa da Mercedes (Núcleo Bandeirante)</v>
      </c>
    </row>
    <row r="2252" spans="2:12" x14ac:dyDescent="0.3">
      <c r="B2252" s="1" t="s">
        <v>286</v>
      </c>
      <c r="C2252" s="4" t="str">
        <f>VLOOKUP(Tabela1[[#This Row],[Cliente]],'BASE DE CLIENTES'!A:E,2,0)</f>
        <v>Planaltina</v>
      </c>
      <c r="D2252" s="1" t="str">
        <f>VLOOKUP(Tabela1[[#This Row],[Cliente]],'BASE DE CLIENTES'!A:C,3,0)</f>
        <v>GO</v>
      </c>
      <c r="E2252" s="4" t="str">
        <f>CONCATENATE(Tabela1[[#This Row],[CIDADE]],",",Tabela1[[#This Row],[UF]])</f>
        <v>Planaltina,GO</v>
      </c>
      <c r="F2252" s="2">
        <v>45924</v>
      </c>
      <c r="G2252" s="17">
        <v>2591.9</v>
      </c>
      <c r="H2252" s="17">
        <v>3445</v>
      </c>
      <c r="I2252" s="6">
        <f>Tabela1[[#This Row],[Valor total]]-Tabela1[[#This Row],[Valor custo]]</f>
        <v>853.09999999999991</v>
      </c>
      <c r="J2252" s="7">
        <f>Tabela1[[#This Row],[MARGEM BRUTA]]/Tabela1[[#This Row],[Valor total]]</f>
        <v>0.24763425253991289</v>
      </c>
      <c r="K2252" s="1" t="str">
        <f>VLOOKUP(Tabela1[[#This Row],[Cliente]],'BASE DE CLIENTES'!A:D,4,0)</f>
        <v>SERRALHEIRO</v>
      </c>
      <c r="L2252" s="1" t="str">
        <f>VLOOKUP(Tabela1[[#This Row],[Cliente]],'BASE DE CLIENTES'!A:E,5,0)</f>
        <v>Planaltina</v>
      </c>
    </row>
    <row r="2253" spans="2:12" x14ac:dyDescent="0.3">
      <c r="B2253" s="1" t="s">
        <v>96</v>
      </c>
      <c r="C2253" s="4" t="str">
        <f>VLOOKUP(Tabela1[[#This Row],[Cliente]],'BASE DE CLIENTES'!A:E,2,0)</f>
        <v>Brasília</v>
      </c>
      <c r="D2253" s="1" t="str">
        <f>VLOOKUP(Tabela1[[#This Row],[Cliente]],'BASE DE CLIENTES'!A:C,3,0)</f>
        <v>DF</v>
      </c>
      <c r="E2253" s="4" t="str">
        <f>CONCATENATE(Tabela1[[#This Row],[CIDADE]],",",Tabela1[[#This Row],[UF]])</f>
        <v>Brasília,DF</v>
      </c>
      <c r="F2253" s="2">
        <v>45930</v>
      </c>
      <c r="G2253" s="17">
        <v>764.6</v>
      </c>
      <c r="H2253" s="17">
        <v>1030</v>
      </c>
      <c r="I2253" s="6">
        <f>Tabela1[[#This Row],[Valor total]]-Tabela1[[#This Row],[Valor custo]]</f>
        <v>265.39999999999998</v>
      </c>
      <c r="J2253" s="7">
        <f>Tabela1[[#This Row],[MARGEM BRUTA]]/Tabela1[[#This Row],[Valor total]]</f>
        <v>0.25766990291262132</v>
      </c>
      <c r="K2253" s="1" t="str">
        <f>VLOOKUP(Tabela1[[#This Row],[Cliente]],'BASE DE CLIENTES'!A:D,4,0)</f>
        <v>EMPRESA SEM MAQUINA</v>
      </c>
      <c r="L2253" s="1" t="str">
        <f>VLOOKUP(Tabela1[[#This Row],[Cliente]],'BASE DE CLIENTES'!A:E,5,0)</f>
        <v>CEILANDIA NORTE (CEILANDIA)</v>
      </c>
    </row>
    <row r="2254" spans="2:12" x14ac:dyDescent="0.3">
      <c r="B2254" s="1" t="s">
        <v>286</v>
      </c>
      <c r="C2254" s="4" t="str">
        <f>VLOOKUP(Tabela1[[#This Row],[Cliente]],'BASE DE CLIENTES'!A:E,2,0)</f>
        <v>Planaltina</v>
      </c>
      <c r="D2254" s="1" t="str">
        <f>VLOOKUP(Tabela1[[#This Row],[Cliente]],'BASE DE CLIENTES'!A:C,3,0)</f>
        <v>GO</v>
      </c>
      <c r="E2254" s="4" t="str">
        <f>CONCATENATE(Tabela1[[#This Row],[CIDADE]],",",Tabela1[[#This Row],[UF]])</f>
        <v>Planaltina,GO</v>
      </c>
      <c r="F2254" s="2">
        <v>45910</v>
      </c>
      <c r="G2254" s="17">
        <v>1429</v>
      </c>
      <c r="H2254" s="17">
        <v>2300</v>
      </c>
      <c r="I2254" s="6">
        <f>Tabela1[[#This Row],[Valor total]]-Tabela1[[#This Row],[Valor custo]]</f>
        <v>871</v>
      </c>
      <c r="J2254" s="7">
        <f>Tabela1[[#This Row],[MARGEM BRUTA]]/Tabela1[[#This Row],[Valor total]]</f>
        <v>0.37869565217391304</v>
      </c>
      <c r="K2254" s="1" t="str">
        <f>VLOOKUP(Tabela1[[#This Row],[Cliente]],'BASE DE CLIENTES'!A:D,4,0)</f>
        <v>SERRALHEIRO</v>
      </c>
      <c r="L2254" s="1" t="str">
        <f>VLOOKUP(Tabela1[[#This Row],[Cliente]],'BASE DE CLIENTES'!A:E,5,0)</f>
        <v>Planaltina</v>
      </c>
    </row>
    <row r="2255" spans="2:12" x14ac:dyDescent="0.3">
      <c r="B2255" s="1" t="s">
        <v>230</v>
      </c>
      <c r="C2255" s="4" t="str">
        <f>VLOOKUP(Tabela1[[#This Row],[Cliente]],'BASE DE CLIENTES'!A:E,2,0)</f>
        <v>Brasília</v>
      </c>
      <c r="D2255" s="1" t="str">
        <f>VLOOKUP(Tabela1[[#This Row],[Cliente]],'BASE DE CLIENTES'!A:C,3,0)</f>
        <v>DF</v>
      </c>
      <c r="E2255" s="4" t="str">
        <f>CONCATENATE(Tabela1[[#This Row],[CIDADE]],",",Tabela1[[#This Row],[UF]])</f>
        <v>Brasília,DF</v>
      </c>
      <c r="F2255" s="2">
        <v>45930</v>
      </c>
      <c r="G2255" s="17">
        <v>1048</v>
      </c>
      <c r="H2255" s="17">
        <v>2000</v>
      </c>
      <c r="I2255" s="6">
        <f>Tabela1[[#This Row],[Valor total]]-Tabela1[[#This Row],[Valor custo]]</f>
        <v>952</v>
      </c>
      <c r="J2255" s="7">
        <f>Tabela1[[#This Row],[MARGEM BRUTA]]/Tabela1[[#This Row],[Valor total]]</f>
        <v>0.47599999999999998</v>
      </c>
      <c r="K2255" s="1" t="str">
        <f>VLOOKUP(Tabela1[[#This Row],[Cliente]],'BASE DE CLIENTES'!A:D,4,0)</f>
        <v>SERRALHEIRO</v>
      </c>
      <c r="L2255" s="1" t="str">
        <f>VLOOKUP(Tabela1[[#This Row],[Cliente]],'BASE DE CLIENTES'!A:E,5,0)</f>
        <v>SETOR HABITACIONAL SAMAMBAIA (VICENTE PIRES)</v>
      </c>
    </row>
    <row r="2256" spans="2:12" x14ac:dyDescent="0.3">
      <c r="B2256" s="1" t="s">
        <v>288</v>
      </c>
      <c r="C2256" s="4" t="str">
        <f>VLOOKUP(Tabela1[[#This Row],[Cliente]],'BASE DE CLIENTES'!A:E,2,0)</f>
        <v>Redenção</v>
      </c>
      <c r="D2256" s="1" t="str">
        <f>VLOOKUP(Tabela1[[#This Row],[Cliente]],'BASE DE CLIENTES'!A:C,3,0)</f>
        <v>PA</v>
      </c>
      <c r="E2256" s="4" t="str">
        <f>CONCATENATE(Tabela1[[#This Row],[CIDADE]],",",Tabela1[[#This Row],[UF]])</f>
        <v>Redenção,PA</v>
      </c>
      <c r="F2256" s="2">
        <v>45881</v>
      </c>
      <c r="G2256" s="17">
        <v>4431.67</v>
      </c>
      <c r="H2256" s="17">
        <v>6900</v>
      </c>
      <c r="I2256" s="6">
        <f>Tabela1[[#This Row],[Valor total]]-Tabela1[[#This Row],[Valor custo]]</f>
        <v>2468.33</v>
      </c>
      <c r="J2256" s="7">
        <f>Tabela1[[#This Row],[MARGEM BRUTA]]/Tabela1[[#This Row],[Valor total]]</f>
        <v>0.35772898550724636</v>
      </c>
      <c r="K2256" s="1" t="str">
        <f>VLOOKUP(Tabela1[[#This Row],[Cliente]],'BASE DE CLIENTES'!A:D,4,0)</f>
        <v>EMPRESA COM MAQUINA</v>
      </c>
      <c r="L2256" s="1" t="str">
        <f>VLOOKUP(Tabela1[[#This Row],[Cliente]],'BASE DE CLIENTES'!A:E,5,0)</f>
        <v>Redenção</v>
      </c>
    </row>
    <row r="2257" spans="1:12" x14ac:dyDescent="0.3">
      <c r="B2257" s="1" t="s">
        <v>245</v>
      </c>
      <c r="C2257" s="4" t="str">
        <f>VLOOKUP(Tabela1[[#This Row],[Cliente]],'BASE DE CLIENTES'!A:E,2,0)</f>
        <v>Brasília</v>
      </c>
      <c r="D2257" s="1" t="str">
        <f>VLOOKUP(Tabela1[[#This Row],[Cliente]],'BASE DE CLIENTES'!A:C,3,0)</f>
        <v>DF</v>
      </c>
      <c r="E2257" s="4" t="str">
        <f>CONCATENATE(Tabela1[[#This Row],[CIDADE]],",",Tabela1[[#This Row],[UF]])</f>
        <v>Brasília,DF</v>
      </c>
      <c r="F2257" s="2">
        <v>45709</v>
      </c>
      <c r="G2257" s="17">
        <v>6.52</v>
      </c>
      <c r="H2257" s="17">
        <v>10</v>
      </c>
      <c r="I2257" s="6">
        <f>Tabela1[[#This Row],[Valor total]]-Tabela1[[#This Row],[Valor custo]]</f>
        <v>3.4800000000000004</v>
      </c>
      <c r="J2257" s="7">
        <f>Tabela1[[#This Row],[MARGEM BRUTA]]/Tabela1[[#This Row],[Valor total]]</f>
        <v>0.34800000000000003</v>
      </c>
      <c r="K2257" s="1" t="str">
        <f>VLOOKUP(Tabela1[[#This Row],[Cliente]],'BASE DE CLIENTES'!A:D,4,0)</f>
        <v>SEM CLASSIFICAÇÃO</v>
      </c>
      <c r="L2257" s="1" t="str">
        <f>VLOOKUP(Tabela1[[#This Row],[Cliente]],'BASE DE CLIENTES'!A:E,5,0)</f>
        <v>NA</v>
      </c>
    </row>
    <row r="2258" spans="1:12" x14ac:dyDescent="0.3">
      <c r="B2258" s="1" t="s">
        <v>68</v>
      </c>
      <c r="C2258" s="4" t="str">
        <f>VLOOKUP(Tabela1[[#This Row],[Cliente]],'BASE DE CLIENTES'!A:E,2,0)</f>
        <v>Brasília</v>
      </c>
      <c r="D2258" s="1" t="str">
        <f>VLOOKUP(Tabela1[[#This Row],[Cliente]],'BASE DE CLIENTES'!A:C,3,0)</f>
        <v>DF</v>
      </c>
      <c r="E2258" s="4" t="str">
        <f>CONCATENATE(Tabela1[[#This Row],[CIDADE]],",",Tabela1[[#This Row],[UF]])</f>
        <v>Brasília,DF</v>
      </c>
      <c r="F2258" s="2">
        <v>45929</v>
      </c>
      <c r="G2258" s="17">
        <v>894.48</v>
      </c>
      <c r="H2258" s="17">
        <v>1420</v>
      </c>
      <c r="I2258" s="6">
        <f>Tabela1[[#This Row],[Valor total]]-Tabela1[[#This Row],[Valor custo]]</f>
        <v>525.52</v>
      </c>
      <c r="J2258" s="7">
        <f>Tabela1[[#This Row],[MARGEM BRUTA]]/Tabela1[[#This Row],[Valor total]]</f>
        <v>0.37008450704225349</v>
      </c>
      <c r="K2258" s="1" t="str">
        <f>VLOOKUP(Tabela1[[#This Row],[Cliente]],'BASE DE CLIENTES'!A:D,4,0)</f>
        <v>EMPRESA COM MAQUINA</v>
      </c>
      <c r="L2258" s="1" t="str">
        <f>VLOOKUP(Tabela1[[#This Row],[Cliente]],'BASE DE CLIENTES'!A:E,5,0)</f>
        <v>SAMAMBAIA SUL (SAMAMBAIA)</v>
      </c>
    </row>
    <row r="2259" spans="1:12" x14ac:dyDescent="0.3">
      <c r="B2259" s="1" t="s">
        <v>245</v>
      </c>
      <c r="C2259" s="4" t="str">
        <f>VLOOKUP(Tabela1[[#This Row],[Cliente]],'BASE DE CLIENTES'!A:E,2,0)</f>
        <v>Brasília</v>
      </c>
      <c r="D2259" s="1" t="str">
        <f>VLOOKUP(Tabela1[[#This Row],[Cliente]],'BASE DE CLIENTES'!A:C,3,0)</f>
        <v>DF</v>
      </c>
      <c r="E2259" s="4" t="str">
        <f>CONCATENATE(Tabela1[[#This Row],[CIDADE]],",",Tabela1[[#This Row],[UF]])</f>
        <v>Brasília,DF</v>
      </c>
      <c r="F2259" s="2">
        <v>45707</v>
      </c>
      <c r="G2259" s="17">
        <v>6.1</v>
      </c>
      <c r="H2259" s="17">
        <v>9</v>
      </c>
      <c r="I2259" s="6">
        <f>Tabela1[[#This Row],[Valor total]]-Tabela1[[#This Row],[Valor custo]]</f>
        <v>2.9000000000000004</v>
      </c>
      <c r="J2259" s="7">
        <f>Tabela1[[#This Row],[MARGEM BRUTA]]/Tabela1[[#This Row],[Valor total]]</f>
        <v>0.32222222222222224</v>
      </c>
      <c r="K2259" s="1" t="str">
        <f>VLOOKUP(Tabela1[[#This Row],[Cliente]],'BASE DE CLIENTES'!A:D,4,0)</f>
        <v>SEM CLASSIFICAÇÃO</v>
      </c>
      <c r="L2259" s="1" t="str">
        <f>VLOOKUP(Tabela1[[#This Row],[Cliente]],'BASE DE CLIENTES'!A:E,5,0)</f>
        <v>NA</v>
      </c>
    </row>
    <row r="2260" spans="1:12" x14ac:dyDescent="0.3">
      <c r="B2260" s="1" t="s">
        <v>27</v>
      </c>
      <c r="C2260" s="4" t="str">
        <f>VLOOKUP(Tabela1[[#This Row],[Cliente]],'BASE DE CLIENTES'!A:E,2,0)</f>
        <v>Brasília</v>
      </c>
      <c r="D2260" s="1" t="str">
        <f>VLOOKUP(Tabela1[[#This Row],[Cliente]],'BASE DE CLIENTES'!A:C,3,0)</f>
        <v>DF</v>
      </c>
      <c r="E2260" s="4" t="str">
        <f>CONCATENATE(Tabela1[[#This Row],[CIDADE]],",",Tabela1[[#This Row],[UF]])</f>
        <v>Brasília,DF</v>
      </c>
      <c r="F2260" s="2">
        <v>45929</v>
      </c>
      <c r="G2260" s="17">
        <v>28.84</v>
      </c>
      <c r="H2260" s="17">
        <v>140</v>
      </c>
      <c r="I2260" s="6">
        <f>Tabela1[[#This Row],[Valor total]]-Tabela1[[#This Row],[Valor custo]]</f>
        <v>111.16</v>
      </c>
      <c r="J2260" s="7">
        <f>Tabela1[[#This Row],[MARGEM BRUTA]]/Tabela1[[#This Row],[Valor total]]</f>
        <v>0.79399999999999993</v>
      </c>
      <c r="K2260" s="1" t="str">
        <f>VLOOKUP(Tabela1[[#This Row],[Cliente]],'BASE DE CLIENTES'!A:D,4,0)</f>
        <v>EMPRESA SEM MAQUINA</v>
      </c>
      <c r="L2260" s="1" t="str">
        <f>VLOOKUP(Tabela1[[#This Row],[Cliente]],'BASE DE CLIENTES'!A:E,5,0)</f>
        <v>RECANTO DAS EMAS</v>
      </c>
    </row>
    <row r="2261" spans="1:12" x14ac:dyDescent="0.3">
      <c r="B2261" s="1" t="s">
        <v>161</v>
      </c>
      <c r="C2261" s="4" t="str">
        <f>VLOOKUP(Tabela1[[#This Row],[Cliente]],'BASE DE CLIENTES'!A:E,2,0)</f>
        <v>Brasília</v>
      </c>
      <c r="D2261" s="1" t="str">
        <f>VLOOKUP(Tabela1[[#This Row],[Cliente]],'BASE DE CLIENTES'!A:C,3,0)</f>
        <v>DF</v>
      </c>
      <c r="E2261" s="4" t="str">
        <f>CONCATENATE(Tabela1[[#This Row],[CIDADE]],",",Tabela1[[#This Row],[UF]])</f>
        <v>Brasília,DF</v>
      </c>
      <c r="F2261" s="2">
        <v>45929</v>
      </c>
      <c r="G2261" s="17">
        <v>9957.1</v>
      </c>
      <c r="H2261" s="17">
        <v>16150</v>
      </c>
      <c r="I2261" s="6">
        <f>Tabela1[[#This Row],[Valor total]]-Tabela1[[#This Row],[Valor custo]]</f>
        <v>6192.9</v>
      </c>
      <c r="J2261" s="7">
        <f>Tabela1[[#This Row],[MARGEM BRUTA]]/Tabela1[[#This Row],[Valor total]]</f>
        <v>0.38346130030959752</v>
      </c>
      <c r="K2261" s="1" t="str">
        <f>VLOOKUP(Tabela1[[#This Row],[Cliente]],'BASE DE CLIENTES'!A:D,4,0)</f>
        <v>EMPRESA COM MAQUINA</v>
      </c>
      <c r="L2261" s="1" t="str">
        <f>VLOOKUP(Tabela1[[#This Row],[Cliente]],'BASE DE CLIENTES'!A:E,5,0)</f>
        <v>RIACHO FUNDO II</v>
      </c>
    </row>
    <row r="2262" spans="1:12" x14ac:dyDescent="0.3">
      <c r="B2262" s="1" t="s">
        <v>55</v>
      </c>
      <c r="C2262" s="4" t="str">
        <f>VLOOKUP(Tabela1[[#This Row],[Cliente]],'BASE DE CLIENTES'!A:E,2,0)</f>
        <v>Brasília</v>
      </c>
      <c r="D2262" s="1" t="str">
        <f>VLOOKUP(Tabela1[[#This Row],[Cliente]],'BASE DE CLIENTES'!A:C,3,0)</f>
        <v>DF</v>
      </c>
      <c r="E2262" s="4" t="str">
        <f>CONCATENATE(Tabela1[[#This Row],[CIDADE]],",",Tabela1[[#This Row],[UF]])</f>
        <v>Brasília,DF</v>
      </c>
      <c r="F2262" s="2">
        <v>45929</v>
      </c>
      <c r="G2262" s="17">
        <v>649</v>
      </c>
      <c r="H2262" s="17">
        <v>1200</v>
      </c>
      <c r="I2262" s="6">
        <f>Tabela1[[#This Row],[Valor total]]-Tabela1[[#This Row],[Valor custo]]</f>
        <v>551</v>
      </c>
      <c r="J2262" s="7">
        <f>Tabela1[[#This Row],[MARGEM BRUTA]]/Tabela1[[#This Row],[Valor total]]</f>
        <v>0.45916666666666667</v>
      </c>
      <c r="K2262" s="1" t="str">
        <f>VLOOKUP(Tabela1[[#This Row],[Cliente]],'BASE DE CLIENTES'!A:D,4,0)</f>
        <v>EMPRESA SEM MAQUINA</v>
      </c>
      <c r="L2262" s="1" t="str">
        <f>VLOOKUP(Tabela1[[#This Row],[Cliente]],'BASE DE CLIENTES'!A:E,5,0)</f>
        <v>RECANTO DAS EMAS</v>
      </c>
    </row>
    <row r="2263" spans="1:12" x14ac:dyDescent="0.3">
      <c r="B2263" s="1" t="s">
        <v>88</v>
      </c>
      <c r="C2263" s="4" t="str">
        <f>VLOOKUP(Tabela1[[#This Row],[Cliente]],'BASE DE CLIENTES'!A:E,2,0)</f>
        <v>Brasília</v>
      </c>
      <c r="D2263" s="1" t="str">
        <f>VLOOKUP(Tabela1[[#This Row],[Cliente]],'BASE DE CLIENTES'!A:C,3,0)</f>
        <v>DF</v>
      </c>
      <c r="E2263" s="4" t="str">
        <f>CONCATENATE(Tabela1[[#This Row],[CIDADE]],",",Tabela1[[#This Row],[UF]])</f>
        <v>Brasília,DF</v>
      </c>
      <c r="F2263" s="2">
        <v>45929</v>
      </c>
      <c r="G2263" s="17">
        <v>905.09</v>
      </c>
      <c r="H2263" s="17">
        <v>1510</v>
      </c>
      <c r="I2263" s="6">
        <f>Tabela1[[#This Row],[Valor total]]-Tabela1[[#This Row],[Valor custo]]</f>
        <v>604.91</v>
      </c>
      <c r="J2263" s="7">
        <f>Tabela1[[#This Row],[MARGEM BRUTA]]/Tabela1[[#This Row],[Valor total]]</f>
        <v>0.40060264900662251</v>
      </c>
      <c r="K2263" s="1" t="str">
        <f>VLOOKUP(Tabela1[[#This Row],[Cliente]],'BASE DE CLIENTES'!A:D,4,0)</f>
        <v>SERRALHEIRO</v>
      </c>
      <c r="L2263" s="1" t="str">
        <f>VLOOKUP(Tabela1[[#This Row],[Cliente]],'BASE DE CLIENTES'!A:E,5,0)</f>
        <v>RECANTO DAS EMAS</v>
      </c>
    </row>
    <row r="2264" spans="1:12" x14ac:dyDescent="0.3">
      <c r="A2264" s="1" t="s">
        <v>289</v>
      </c>
      <c r="B2264" s="1" t="s">
        <v>290</v>
      </c>
      <c r="C2264" s="4" t="str">
        <f>VLOOKUP(Tabela1[[#This Row],[Cliente]],'BASE DE CLIENTES'!A:E,2,0)</f>
        <v>Rio Verde</v>
      </c>
      <c r="D2264" s="1" t="str">
        <f>VLOOKUP(Tabela1[[#This Row],[Cliente]],'BASE DE CLIENTES'!A:C,3,0)</f>
        <v>GO</v>
      </c>
      <c r="E2264" s="4" t="str">
        <f>CONCATENATE(Tabela1[[#This Row],[CIDADE]],",",Tabela1[[#This Row],[UF]])</f>
        <v>Rio Verde,GO</v>
      </c>
      <c r="F2264" s="2">
        <v>45684</v>
      </c>
      <c r="G2264" s="17">
        <v>684.55</v>
      </c>
      <c r="H2264" s="17">
        <v>1100</v>
      </c>
      <c r="I2264" s="6">
        <f>Tabela1[[#This Row],[Valor total]]-Tabela1[[#This Row],[Valor custo]]</f>
        <v>415.45000000000005</v>
      </c>
      <c r="J2264" s="7">
        <f>Tabela1[[#This Row],[MARGEM BRUTA]]/Tabela1[[#This Row],[Valor total]]</f>
        <v>0.37768181818181823</v>
      </c>
      <c r="K2264" s="1" t="str">
        <f>VLOOKUP(Tabela1[[#This Row],[Cliente]],'BASE DE CLIENTES'!A:D,4,0)</f>
        <v>EMPRESA COM MAQUINA</v>
      </c>
      <c r="L2264" s="1" t="str">
        <f>VLOOKUP(Tabela1[[#This Row],[Cliente]],'BASE DE CLIENTES'!A:E,5,0)</f>
        <v>Rio Verde</v>
      </c>
    </row>
    <row r="2265" spans="1:12" x14ac:dyDescent="0.3">
      <c r="B2265" s="1" t="s">
        <v>106</v>
      </c>
      <c r="C2265" s="4" t="str">
        <f>VLOOKUP(Tabela1[[#This Row],[Cliente]],'BASE DE CLIENTES'!A:E,2,0)</f>
        <v>Brasília</v>
      </c>
      <c r="D2265" s="1" t="str">
        <f>VLOOKUP(Tabela1[[#This Row],[Cliente]],'BASE DE CLIENTES'!A:C,3,0)</f>
        <v>DF</v>
      </c>
      <c r="E2265" s="4" t="str">
        <f>CONCATENATE(Tabela1[[#This Row],[CIDADE]],",",Tabela1[[#This Row],[UF]])</f>
        <v>Brasília,DF</v>
      </c>
      <c r="F2265" s="2">
        <v>45929</v>
      </c>
      <c r="G2265" s="17">
        <v>865.58</v>
      </c>
      <c r="H2265" s="17">
        <v>1300</v>
      </c>
      <c r="I2265" s="6">
        <f>Tabela1[[#This Row],[Valor total]]-Tabela1[[#This Row],[Valor custo]]</f>
        <v>434.41999999999996</v>
      </c>
      <c r="J2265" s="7">
        <f>Tabela1[[#This Row],[MARGEM BRUTA]]/Tabela1[[#This Row],[Valor total]]</f>
        <v>0.33416923076923072</v>
      </c>
      <c r="K2265" s="1" t="str">
        <f>VLOOKUP(Tabela1[[#This Row],[Cliente]],'BASE DE CLIENTES'!A:D,4,0)</f>
        <v>EMPRESA COM MAQUINA</v>
      </c>
      <c r="L2265" s="1" t="str">
        <f>VLOOKUP(Tabela1[[#This Row],[Cliente]],'BASE DE CLIENTES'!A:E,5,0)</f>
        <v>26 DE SETEMBRO</v>
      </c>
    </row>
    <row r="2266" spans="1:12" x14ac:dyDescent="0.3">
      <c r="B2266" s="1" t="s">
        <v>217</v>
      </c>
      <c r="C2266" s="4" t="str">
        <f>VLOOKUP(Tabela1[[#This Row],[Cliente]],'BASE DE CLIENTES'!A:E,2,0)</f>
        <v>Brasília</v>
      </c>
      <c r="D2266" s="1" t="str">
        <f>VLOOKUP(Tabela1[[#This Row],[Cliente]],'BASE DE CLIENTES'!A:C,3,0)</f>
        <v>DF</v>
      </c>
      <c r="E2266" s="4" t="str">
        <f>CONCATENATE(Tabela1[[#This Row],[CIDADE]],",",Tabela1[[#This Row],[UF]])</f>
        <v>Brasília,DF</v>
      </c>
      <c r="F2266" s="2">
        <v>45929</v>
      </c>
      <c r="G2266" s="17">
        <v>382.3</v>
      </c>
      <c r="H2266" s="17">
        <v>679</v>
      </c>
      <c r="I2266" s="6">
        <f>Tabela1[[#This Row],[Valor total]]-Tabela1[[#This Row],[Valor custo]]</f>
        <v>296.7</v>
      </c>
      <c r="J2266" s="7">
        <f>Tabela1[[#This Row],[MARGEM BRUTA]]/Tabela1[[#This Row],[Valor total]]</f>
        <v>0.43696612665684831</v>
      </c>
      <c r="K2266" s="1" t="str">
        <f>VLOOKUP(Tabela1[[#This Row],[Cliente]],'BASE DE CLIENTES'!A:D,4,0)</f>
        <v>EMPRESA SEM MAQUINA</v>
      </c>
      <c r="L2266" s="1" t="str">
        <f>VLOOKUP(Tabela1[[#This Row],[Cliente]],'BASE DE CLIENTES'!A:E,5,0)</f>
        <v>SETOR HABITACIONAL VICENTE PIRES</v>
      </c>
    </row>
    <row r="2267" spans="1:12" x14ac:dyDescent="0.3">
      <c r="B2267" s="1" t="s">
        <v>290</v>
      </c>
      <c r="C2267" s="4" t="str">
        <f>VLOOKUP(Tabela1[[#This Row],[Cliente]],'BASE DE CLIENTES'!A:E,2,0)</f>
        <v>Rio Verde</v>
      </c>
      <c r="D2267" s="1" t="str">
        <f>VLOOKUP(Tabela1[[#This Row],[Cliente]],'BASE DE CLIENTES'!A:C,3,0)</f>
        <v>GO</v>
      </c>
      <c r="E2267" s="4" t="str">
        <f>CONCATENATE(Tabela1[[#This Row],[CIDADE]],",",Tabela1[[#This Row],[UF]])</f>
        <v>Rio Verde,GO</v>
      </c>
      <c r="F2267" s="2">
        <v>45673</v>
      </c>
      <c r="G2267" s="17">
        <v>4392</v>
      </c>
      <c r="H2267" s="17">
        <v>6100</v>
      </c>
      <c r="I2267" s="6">
        <f>Tabela1[[#This Row],[Valor total]]-Tabela1[[#This Row],[Valor custo]]</f>
        <v>1708</v>
      </c>
      <c r="J2267" s="7">
        <f>Tabela1[[#This Row],[MARGEM BRUTA]]/Tabela1[[#This Row],[Valor total]]</f>
        <v>0.28000000000000003</v>
      </c>
      <c r="K2267" s="1" t="str">
        <f>VLOOKUP(Tabela1[[#This Row],[Cliente]],'BASE DE CLIENTES'!A:D,4,0)</f>
        <v>EMPRESA COM MAQUINA</v>
      </c>
      <c r="L2267" s="1" t="str">
        <f>VLOOKUP(Tabela1[[#This Row],[Cliente]],'BASE DE CLIENTES'!A:E,5,0)</f>
        <v>Rio Verde</v>
      </c>
    </row>
    <row r="2268" spans="1:12" x14ac:dyDescent="0.3">
      <c r="B2268" s="1" t="s">
        <v>23</v>
      </c>
      <c r="C2268" s="4" t="str">
        <f>VLOOKUP(Tabela1[[#This Row],[Cliente]],'BASE DE CLIENTES'!A:E,2,0)</f>
        <v>Brasília</v>
      </c>
      <c r="D2268" s="1" t="str">
        <f>VLOOKUP(Tabela1[[#This Row],[Cliente]],'BASE DE CLIENTES'!A:C,3,0)</f>
        <v>DF</v>
      </c>
      <c r="E2268" s="4" t="str">
        <f>CONCATENATE(Tabela1[[#This Row],[CIDADE]],",",Tabela1[[#This Row],[UF]])</f>
        <v>Brasília,DF</v>
      </c>
      <c r="F2268" s="2">
        <v>45929</v>
      </c>
      <c r="G2268" s="17">
        <v>277.5</v>
      </c>
      <c r="H2268" s="17">
        <v>350</v>
      </c>
      <c r="I2268" s="6">
        <f>Tabela1[[#This Row],[Valor total]]-Tabela1[[#This Row],[Valor custo]]</f>
        <v>72.5</v>
      </c>
      <c r="J2268" s="7">
        <f>Tabela1[[#This Row],[MARGEM BRUTA]]/Tabela1[[#This Row],[Valor total]]</f>
        <v>0.20714285714285716</v>
      </c>
      <c r="K2268" s="1" t="str">
        <f>VLOOKUP(Tabela1[[#This Row],[Cliente]],'BASE DE CLIENTES'!A:D,4,0)</f>
        <v>EMPRESA SEM MAQUINA</v>
      </c>
      <c r="L2268" s="1" t="str">
        <f>VLOOKUP(Tabela1[[#This Row],[Cliente]],'BASE DE CLIENTES'!A:E,5,0)</f>
        <v>SETOR INDUSTRIAL (TAGUATINGA)</v>
      </c>
    </row>
    <row r="2269" spans="1:12" x14ac:dyDescent="0.3">
      <c r="B2269" s="1" t="s">
        <v>291</v>
      </c>
      <c r="C2269" s="4" t="str">
        <f>VLOOKUP(Tabela1[[#This Row],[Cliente]],'BASE DE CLIENTES'!A:E,2,0)</f>
        <v>Rio Verde</v>
      </c>
      <c r="D2269" s="1" t="str">
        <f>VLOOKUP(Tabela1[[#This Row],[Cliente]],'BASE DE CLIENTES'!A:C,3,0)</f>
        <v>GO</v>
      </c>
      <c r="E2269" s="4" t="str">
        <f>CONCATENATE(Tabela1[[#This Row],[CIDADE]],",",Tabela1[[#This Row],[UF]])</f>
        <v>Rio Verde,GO</v>
      </c>
      <c r="F2269" s="2">
        <v>45702</v>
      </c>
      <c r="G2269" s="17">
        <v>1096.94</v>
      </c>
      <c r="H2269" s="17">
        <v>1690</v>
      </c>
      <c r="I2269" s="6">
        <f>Tabela1[[#This Row],[Valor total]]-Tabela1[[#This Row],[Valor custo]]</f>
        <v>593.05999999999995</v>
      </c>
      <c r="J2269" s="7">
        <f>Tabela1[[#This Row],[MARGEM BRUTA]]/Tabela1[[#This Row],[Valor total]]</f>
        <v>0.35092307692307689</v>
      </c>
      <c r="K2269" s="1" t="str">
        <f>VLOOKUP(Tabela1[[#This Row],[Cliente]],'BASE DE CLIENTES'!A:D,4,0)</f>
        <v>EMPRESA COM MAQUINA</v>
      </c>
      <c r="L2269" s="1" t="str">
        <f>VLOOKUP(Tabela1[[#This Row],[Cliente]],'BASE DE CLIENTES'!A:E,5,0)</f>
        <v>Rio Verde</v>
      </c>
    </row>
    <row r="2270" spans="1:12" x14ac:dyDescent="0.3">
      <c r="B2270" s="1" t="s">
        <v>290</v>
      </c>
      <c r="C2270" s="4" t="str">
        <f>VLOOKUP(Tabela1[[#This Row],[Cliente]],'BASE DE CLIENTES'!A:E,2,0)</f>
        <v>Rio Verde</v>
      </c>
      <c r="D2270" s="1" t="str">
        <f>VLOOKUP(Tabela1[[#This Row],[Cliente]],'BASE DE CLIENTES'!A:C,3,0)</f>
        <v>GO</v>
      </c>
      <c r="E2270" s="4" t="str">
        <f>CONCATENATE(Tabela1[[#This Row],[CIDADE]],",",Tabela1[[#This Row],[UF]])</f>
        <v>Rio Verde,GO</v>
      </c>
      <c r="F2270" s="2">
        <v>45730</v>
      </c>
      <c r="G2270" s="17">
        <v>5914.28</v>
      </c>
      <c r="H2270" s="17">
        <v>9605</v>
      </c>
      <c r="I2270" s="6">
        <f>Tabela1[[#This Row],[Valor total]]-Tabela1[[#This Row],[Valor custo]]</f>
        <v>3690.7200000000003</v>
      </c>
      <c r="J2270" s="7">
        <f>Tabela1[[#This Row],[MARGEM BRUTA]]/Tabela1[[#This Row],[Valor total]]</f>
        <v>0.38424986985944826</v>
      </c>
      <c r="K2270" s="1" t="str">
        <f>VLOOKUP(Tabela1[[#This Row],[Cliente]],'BASE DE CLIENTES'!A:D,4,0)</f>
        <v>EMPRESA COM MAQUINA</v>
      </c>
      <c r="L2270" s="1" t="str">
        <f>VLOOKUP(Tabela1[[#This Row],[Cliente]],'BASE DE CLIENTES'!A:E,5,0)</f>
        <v>Rio Verde</v>
      </c>
    </row>
    <row r="2271" spans="1:12" x14ac:dyDescent="0.3">
      <c r="B2271" s="1" t="s">
        <v>96</v>
      </c>
      <c r="C2271" s="4" t="str">
        <f>VLOOKUP(Tabela1[[#This Row],[Cliente]],'BASE DE CLIENTES'!A:E,2,0)</f>
        <v>Brasília</v>
      </c>
      <c r="D2271" s="1" t="str">
        <f>VLOOKUP(Tabela1[[#This Row],[Cliente]],'BASE DE CLIENTES'!A:C,3,0)</f>
        <v>DF</v>
      </c>
      <c r="E2271" s="4" t="str">
        <f>CONCATENATE(Tabela1[[#This Row],[CIDADE]],",",Tabela1[[#This Row],[UF]])</f>
        <v>Brasília,DF</v>
      </c>
      <c r="F2271" s="2">
        <v>45927</v>
      </c>
      <c r="G2271" s="17">
        <v>534</v>
      </c>
      <c r="H2271" s="17">
        <v>770</v>
      </c>
      <c r="I2271" s="6">
        <f>Tabela1[[#This Row],[Valor total]]-Tabela1[[#This Row],[Valor custo]]</f>
        <v>236</v>
      </c>
      <c r="J2271" s="7">
        <f>Tabela1[[#This Row],[MARGEM BRUTA]]/Tabela1[[#This Row],[Valor total]]</f>
        <v>0.30649350649350648</v>
      </c>
      <c r="K2271" s="1" t="str">
        <f>VLOOKUP(Tabela1[[#This Row],[Cliente]],'BASE DE CLIENTES'!A:D,4,0)</f>
        <v>EMPRESA SEM MAQUINA</v>
      </c>
      <c r="L2271" s="1" t="str">
        <f>VLOOKUP(Tabela1[[#This Row],[Cliente]],'BASE DE CLIENTES'!A:E,5,0)</f>
        <v>CEILANDIA NORTE (CEILANDIA)</v>
      </c>
    </row>
    <row r="2272" spans="1:12" x14ac:dyDescent="0.3">
      <c r="B2272" s="1" t="s">
        <v>291</v>
      </c>
      <c r="C2272" s="4" t="str">
        <f>VLOOKUP(Tabela1[[#This Row],[Cliente]],'BASE DE CLIENTES'!A:E,2,0)</f>
        <v>Rio Verde</v>
      </c>
      <c r="D2272" s="1" t="str">
        <f>VLOOKUP(Tabela1[[#This Row],[Cliente]],'BASE DE CLIENTES'!A:C,3,0)</f>
        <v>GO</v>
      </c>
      <c r="E2272" s="4" t="str">
        <f>CONCATENATE(Tabela1[[#This Row],[CIDADE]],",",Tabela1[[#This Row],[UF]])</f>
        <v>Rio Verde,GO</v>
      </c>
      <c r="F2272" s="2">
        <v>45777</v>
      </c>
      <c r="G2272" s="17">
        <v>447</v>
      </c>
      <c r="H2272" s="17">
        <v>615</v>
      </c>
      <c r="I2272" s="6">
        <f>Tabela1[[#This Row],[Valor total]]-Tabela1[[#This Row],[Valor custo]]</f>
        <v>168</v>
      </c>
      <c r="J2272" s="7">
        <f>Tabela1[[#This Row],[MARGEM BRUTA]]/Tabela1[[#This Row],[Valor total]]</f>
        <v>0.27317073170731709</v>
      </c>
      <c r="K2272" s="1" t="str">
        <f>VLOOKUP(Tabela1[[#This Row],[Cliente]],'BASE DE CLIENTES'!A:D,4,0)</f>
        <v>EMPRESA COM MAQUINA</v>
      </c>
      <c r="L2272" s="1" t="str">
        <f>VLOOKUP(Tabela1[[#This Row],[Cliente]],'BASE DE CLIENTES'!A:E,5,0)</f>
        <v>Rio Verde</v>
      </c>
    </row>
    <row r="2273" spans="1:12" x14ac:dyDescent="0.3">
      <c r="B2273" s="1" t="s">
        <v>291</v>
      </c>
      <c r="C2273" s="4" t="str">
        <f>VLOOKUP(Tabela1[[#This Row],[Cliente]],'BASE DE CLIENTES'!A:E,2,0)</f>
        <v>Rio Verde</v>
      </c>
      <c r="D2273" s="1" t="str">
        <f>VLOOKUP(Tabela1[[#This Row],[Cliente]],'BASE DE CLIENTES'!A:C,3,0)</f>
        <v>GO</v>
      </c>
      <c r="E2273" s="4" t="str">
        <f>CONCATENATE(Tabela1[[#This Row],[CIDADE]],",",Tabela1[[#This Row],[UF]])</f>
        <v>Rio Verde,GO</v>
      </c>
      <c r="F2273" s="2">
        <v>45776</v>
      </c>
      <c r="G2273" s="17">
        <v>1031</v>
      </c>
      <c r="H2273" s="17">
        <v>1470</v>
      </c>
      <c r="I2273" s="6">
        <f>Tabela1[[#This Row],[Valor total]]-Tabela1[[#This Row],[Valor custo]]</f>
        <v>439</v>
      </c>
      <c r="J2273" s="7">
        <f>Tabela1[[#This Row],[MARGEM BRUTA]]/Tabela1[[#This Row],[Valor total]]</f>
        <v>0.29863945578231293</v>
      </c>
      <c r="K2273" s="1" t="str">
        <f>VLOOKUP(Tabela1[[#This Row],[Cliente]],'BASE DE CLIENTES'!A:D,4,0)</f>
        <v>EMPRESA COM MAQUINA</v>
      </c>
      <c r="L2273" s="1" t="str">
        <f>VLOOKUP(Tabela1[[#This Row],[Cliente]],'BASE DE CLIENTES'!A:E,5,0)</f>
        <v>Rio Verde</v>
      </c>
    </row>
    <row r="2274" spans="1:12" x14ac:dyDescent="0.3">
      <c r="B2274" s="1" t="s">
        <v>27</v>
      </c>
      <c r="C2274" s="4" t="str">
        <f>VLOOKUP(Tabela1[[#This Row],[Cliente]],'BASE DE CLIENTES'!A:E,2,0)</f>
        <v>Brasília</v>
      </c>
      <c r="D2274" s="1" t="str">
        <f>VLOOKUP(Tabela1[[#This Row],[Cliente]],'BASE DE CLIENTES'!A:C,3,0)</f>
        <v>DF</v>
      </c>
      <c r="E2274" s="4" t="str">
        <f>CONCATENATE(Tabela1[[#This Row],[CIDADE]],",",Tabela1[[#This Row],[UF]])</f>
        <v>Brasília,DF</v>
      </c>
      <c r="F2274" s="2">
        <v>45926</v>
      </c>
      <c r="G2274" s="17">
        <v>1312.39</v>
      </c>
      <c r="H2274" s="17">
        <v>2065</v>
      </c>
      <c r="I2274" s="6">
        <f>Tabela1[[#This Row],[Valor total]]-Tabela1[[#This Row],[Valor custo]]</f>
        <v>752.6099999999999</v>
      </c>
      <c r="J2274" s="7">
        <f>Tabela1[[#This Row],[MARGEM BRUTA]]/Tabela1[[#This Row],[Valor total]]</f>
        <v>0.3644600484261501</v>
      </c>
      <c r="K2274" s="1" t="str">
        <f>VLOOKUP(Tabela1[[#This Row],[Cliente]],'BASE DE CLIENTES'!A:D,4,0)</f>
        <v>EMPRESA SEM MAQUINA</v>
      </c>
      <c r="L2274" s="1" t="str">
        <f>VLOOKUP(Tabela1[[#This Row],[Cliente]],'BASE DE CLIENTES'!A:E,5,0)</f>
        <v>RECANTO DAS EMAS</v>
      </c>
    </row>
    <row r="2275" spans="1:12" x14ac:dyDescent="0.3">
      <c r="B2275" s="1" t="s">
        <v>290</v>
      </c>
      <c r="C2275" s="4" t="str">
        <f>VLOOKUP(Tabela1[[#This Row],[Cliente]],'BASE DE CLIENTES'!A:E,2,0)</f>
        <v>Rio Verde</v>
      </c>
      <c r="D2275" s="1" t="str">
        <f>VLOOKUP(Tabela1[[#This Row],[Cliente]],'BASE DE CLIENTES'!A:C,3,0)</f>
        <v>GO</v>
      </c>
      <c r="E2275" s="4" t="str">
        <f>CONCATENATE(Tabela1[[#This Row],[CIDADE]],",",Tabela1[[#This Row],[UF]])</f>
        <v>Rio Verde,GO</v>
      </c>
      <c r="F2275" s="2">
        <v>45756</v>
      </c>
      <c r="G2275" s="17">
        <v>196.84</v>
      </c>
      <c r="H2275" s="17">
        <v>320</v>
      </c>
      <c r="I2275" s="6">
        <f>Tabela1[[#This Row],[Valor total]]-Tabela1[[#This Row],[Valor custo]]</f>
        <v>123.16</v>
      </c>
      <c r="J2275" s="7">
        <f>Tabela1[[#This Row],[MARGEM BRUTA]]/Tabela1[[#This Row],[Valor total]]</f>
        <v>0.38487499999999997</v>
      </c>
      <c r="K2275" s="1" t="str">
        <f>VLOOKUP(Tabela1[[#This Row],[Cliente]],'BASE DE CLIENTES'!A:D,4,0)</f>
        <v>EMPRESA COM MAQUINA</v>
      </c>
      <c r="L2275" s="1" t="str">
        <f>VLOOKUP(Tabela1[[#This Row],[Cliente]],'BASE DE CLIENTES'!A:E,5,0)</f>
        <v>Rio Verde</v>
      </c>
    </row>
    <row r="2276" spans="1:12" x14ac:dyDescent="0.3">
      <c r="B2276" s="1" t="s">
        <v>142</v>
      </c>
      <c r="C2276" s="4" t="str">
        <f>VLOOKUP(Tabela1[[#This Row],[Cliente]],'BASE DE CLIENTES'!A:E,2,0)</f>
        <v>Brasília</v>
      </c>
      <c r="D2276" s="1" t="str">
        <f>VLOOKUP(Tabela1[[#This Row],[Cliente]],'BASE DE CLIENTES'!A:C,3,0)</f>
        <v>DF</v>
      </c>
      <c r="E2276" s="4" t="str">
        <f>CONCATENATE(Tabela1[[#This Row],[CIDADE]],",",Tabela1[[#This Row],[UF]])</f>
        <v>Brasília,DF</v>
      </c>
      <c r="F2276" s="2">
        <v>45926</v>
      </c>
      <c r="G2276" s="17">
        <v>55</v>
      </c>
      <c r="H2276" s="17">
        <v>200</v>
      </c>
      <c r="I2276" s="6">
        <f>Tabela1[[#This Row],[Valor total]]-Tabela1[[#This Row],[Valor custo]]</f>
        <v>145</v>
      </c>
      <c r="J2276" s="7">
        <f>Tabela1[[#This Row],[MARGEM BRUTA]]/Tabela1[[#This Row],[Valor total]]</f>
        <v>0.72499999999999998</v>
      </c>
      <c r="K2276" s="1" t="str">
        <f>VLOOKUP(Tabela1[[#This Row],[Cliente]],'BASE DE CLIENTES'!A:D,4,0)</f>
        <v>OUTROS RAMOS</v>
      </c>
      <c r="L2276" s="1" t="str">
        <f>VLOOKUP(Tabela1[[#This Row],[Cliente]],'BASE DE CLIENTES'!A:E,5,0)</f>
        <v>RIACHO FUNDO II</v>
      </c>
    </row>
    <row r="2277" spans="1:12" x14ac:dyDescent="0.3">
      <c r="A2277" s="1" t="s">
        <v>292</v>
      </c>
      <c r="B2277" s="1" t="s">
        <v>293</v>
      </c>
      <c r="C2277" s="4" t="str">
        <f>VLOOKUP(Tabela1[[#This Row],[Cliente]],'BASE DE CLIENTES'!A:E,2,0)</f>
        <v>Brasília</v>
      </c>
      <c r="D2277" s="1" t="str">
        <f>VLOOKUP(Tabela1[[#This Row],[Cliente]],'BASE DE CLIENTES'!A:C,3,0)</f>
        <v>DF</v>
      </c>
      <c r="E2277" s="4" t="str">
        <f>CONCATENATE(Tabela1[[#This Row],[CIDADE]],",",Tabela1[[#This Row],[UF]])</f>
        <v>Brasília,DF</v>
      </c>
      <c r="F2277" s="2">
        <v>45680</v>
      </c>
      <c r="G2277" s="17">
        <v>878.4</v>
      </c>
      <c r="H2277" s="17">
        <v>1290</v>
      </c>
      <c r="I2277" s="6">
        <f>Tabela1[[#This Row],[Valor total]]-Tabela1[[#This Row],[Valor custo]]</f>
        <v>411.6</v>
      </c>
      <c r="J2277" s="7">
        <f>Tabela1[[#This Row],[MARGEM BRUTA]]/Tabela1[[#This Row],[Valor total]]</f>
        <v>0.3190697674418605</v>
      </c>
      <c r="K2277" s="1" t="str">
        <f>VLOOKUP(Tabela1[[#This Row],[Cliente]],'BASE DE CLIENTES'!A:D,4,0)</f>
        <v>SERRALHEIRO</v>
      </c>
      <c r="L2277" s="1" t="str">
        <f>VLOOKUP(Tabela1[[#This Row],[Cliente]],'BASE DE CLIENTES'!A:E,5,0)</f>
        <v>NA</v>
      </c>
    </row>
    <row r="2278" spans="1:12" x14ac:dyDescent="0.3">
      <c r="B2278" s="1" t="s">
        <v>291</v>
      </c>
      <c r="C2278" s="4" t="str">
        <f>VLOOKUP(Tabela1[[#This Row],[Cliente]],'BASE DE CLIENTES'!A:E,2,0)</f>
        <v>Rio Verde</v>
      </c>
      <c r="D2278" s="1" t="str">
        <f>VLOOKUP(Tabela1[[#This Row],[Cliente]],'BASE DE CLIENTES'!A:C,3,0)</f>
        <v>GO</v>
      </c>
      <c r="E2278" s="4" t="str">
        <f>CONCATENATE(Tabela1[[#This Row],[CIDADE]],",",Tabela1[[#This Row],[UF]])</f>
        <v>Rio Verde,GO</v>
      </c>
      <c r="F2278" s="2">
        <v>45791</v>
      </c>
      <c r="G2278" s="17">
        <v>1031</v>
      </c>
      <c r="H2278" s="17">
        <v>1484</v>
      </c>
      <c r="I2278" s="6">
        <f>Tabela1[[#This Row],[Valor total]]-Tabela1[[#This Row],[Valor custo]]</f>
        <v>453</v>
      </c>
      <c r="J2278" s="7">
        <f>Tabela1[[#This Row],[MARGEM BRUTA]]/Tabela1[[#This Row],[Valor total]]</f>
        <v>0.30525606469002697</v>
      </c>
      <c r="K2278" s="1" t="str">
        <f>VLOOKUP(Tabela1[[#This Row],[Cliente]],'BASE DE CLIENTES'!A:D,4,0)</f>
        <v>EMPRESA COM MAQUINA</v>
      </c>
      <c r="L2278" s="1" t="str">
        <f>VLOOKUP(Tabela1[[#This Row],[Cliente]],'BASE DE CLIENTES'!A:E,5,0)</f>
        <v>Rio Verde</v>
      </c>
    </row>
    <row r="2279" spans="1:12" x14ac:dyDescent="0.3">
      <c r="B2279" s="1" t="s">
        <v>97</v>
      </c>
      <c r="C2279" s="4" t="str">
        <f>VLOOKUP(Tabela1[[#This Row],[Cliente]],'BASE DE CLIENTES'!A:E,2,0)</f>
        <v>Brasília</v>
      </c>
      <c r="D2279" s="1" t="str">
        <f>VLOOKUP(Tabela1[[#This Row],[Cliente]],'BASE DE CLIENTES'!A:C,3,0)</f>
        <v>DF</v>
      </c>
      <c r="E2279" s="4" t="str">
        <f>CONCATENATE(Tabela1[[#This Row],[CIDADE]],",",Tabela1[[#This Row],[UF]])</f>
        <v>Brasília,DF</v>
      </c>
      <c r="F2279" s="2">
        <v>45926</v>
      </c>
      <c r="G2279" s="17">
        <v>502</v>
      </c>
      <c r="H2279" s="17">
        <v>880</v>
      </c>
      <c r="I2279" s="6">
        <f>Tabela1[[#This Row],[Valor total]]-Tabela1[[#This Row],[Valor custo]]</f>
        <v>378</v>
      </c>
      <c r="J2279" s="7">
        <f>Tabela1[[#This Row],[MARGEM BRUTA]]/Tabela1[[#This Row],[Valor total]]</f>
        <v>0.42954545454545456</v>
      </c>
      <c r="K2279" s="1" t="str">
        <f>VLOOKUP(Tabela1[[#This Row],[Cliente]],'BASE DE CLIENTES'!A:D,4,0)</f>
        <v>SERRALHEIRO</v>
      </c>
      <c r="L2279" s="1" t="str">
        <f>VLOOKUP(Tabela1[[#This Row],[Cliente]],'BASE DE CLIENTES'!A:E,5,0)</f>
        <v>CEILANDIA NORTE</v>
      </c>
    </row>
    <row r="2280" spans="1:12" x14ac:dyDescent="0.3">
      <c r="B2280" s="1" t="s">
        <v>38</v>
      </c>
      <c r="C2280" s="4" t="str">
        <f>VLOOKUP(Tabela1[[#This Row],[Cliente]],'BASE DE CLIENTES'!A:E,2,0)</f>
        <v>Brasília</v>
      </c>
      <c r="D2280" s="1" t="str">
        <f>VLOOKUP(Tabela1[[#This Row],[Cliente]],'BASE DE CLIENTES'!A:C,3,0)</f>
        <v>DF</v>
      </c>
      <c r="E2280" s="4" t="str">
        <f>CONCATENATE(Tabela1[[#This Row],[CIDADE]],",",Tabela1[[#This Row],[UF]])</f>
        <v>Brasília,DF</v>
      </c>
      <c r="F2280" s="2">
        <v>45926</v>
      </c>
      <c r="G2280" s="17">
        <v>4985.45</v>
      </c>
      <c r="H2280" s="17">
        <v>7850</v>
      </c>
      <c r="I2280" s="6">
        <f>Tabela1[[#This Row],[Valor total]]-Tabela1[[#This Row],[Valor custo]]</f>
        <v>2864.55</v>
      </c>
      <c r="J2280" s="7">
        <f>Tabela1[[#This Row],[MARGEM BRUTA]]/Tabela1[[#This Row],[Valor total]]</f>
        <v>0.36491082802547775</v>
      </c>
      <c r="K2280" s="1" t="str">
        <f>VLOOKUP(Tabela1[[#This Row],[Cliente]],'BASE DE CLIENTES'!A:D,4,0)</f>
        <v>EMPRESA SEM MAQUINA</v>
      </c>
      <c r="L2280" s="1" t="str">
        <f>VLOOKUP(Tabela1[[#This Row],[Cliente]],'BASE DE CLIENTES'!A:E,5,0)</f>
        <v>PONTE ALTA NORTE (GAMA)</v>
      </c>
    </row>
    <row r="2281" spans="1:12" x14ac:dyDescent="0.3">
      <c r="B2281" s="1" t="s">
        <v>96</v>
      </c>
      <c r="C2281" s="4" t="str">
        <f>VLOOKUP(Tabela1[[#This Row],[Cliente]],'BASE DE CLIENTES'!A:E,2,0)</f>
        <v>Brasília</v>
      </c>
      <c r="D2281" s="1" t="str">
        <f>VLOOKUP(Tabela1[[#This Row],[Cliente]],'BASE DE CLIENTES'!A:C,3,0)</f>
        <v>DF</v>
      </c>
      <c r="E2281" s="4" t="str">
        <f>CONCATENATE(Tabela1[[#This Row],[CIDADE]],",",Tabela1[[#This Row],[UF]])</f>
        <v>Brasília,DF</v>
      </c>
      <c r="F2281" s="2">
        <v>45926</v>
      </c>
      <c r="G2281" s="17">
        <v>382.3</v>
      </c>
      <c r="H2281" s="17">
        <v>515</v>
      </c>
      <c r="I2281" s="6">
        <f>Tabela1[[#This Row],[Valor total]]-Tabela1[[#This Row],[Valor custo]]</f>
        <v>132.69999999999999</v>
      </c>
      <c r="J2281" s="7">
        <f>Tabela1[[#This Row],[MARGEM BRUTA]]/Tabela1[[#This Row],[Valor total]]</f>
        <v>0.25766990291262132</v>
      </c>
      <c r="K2281" s="1" t="str">
        <f>VLOOKUP(Tabela1[[#This Row],[Cliente]],'BASE DE CLIENTES'!A:D,4,0)</f>
        <v>EMPRESA SEM MAQUINA</v>
      </c>
      <c r="L2281" s="1" t="str">
        <f>VLOOKUP(Tabela1[[#This Row],[Cliente]],'BASE DE CLIENTES'!A:E,5,0)</f>
        <v>CEILANDIA NORTE (CEILANDIA)</v>
      </c>
    </row>
    <row r="2282" spans="1:12" x14ac:dyDescent="0.3">
      <c r="B2282" s="1" t="s">
        <v>291</v>
      </c>
      <c r="C2282" s="4" t="str">
        <f>VLOOKUP(Tabela1[[#This Row],[Cliente]],'BASE DE CLIENTES'!A:E,2,0)</f>
        <v>Rio Verde</v>
      </c>
      <c r="D2282" s="1" t="str">
        <f>VLOOKUP(Tabela1[[#This Row],[Cliente]],'BASE DE CLIENTES'!A:C,3,0)</f>
        <v>GO</v>
      </c>
      <c r="E2282" s="4" t="str">
        <f>CONCATENATE(Tabela1[[#This Row],[CIDADE]],",",Tabela1[[#This Row],[UF]])</f>
        <v>Rio Verde,GO</v>
      </c>
      <c r="F2282" s="2">
        <v>45784</v>
      </c>
      <c r="G2282" s="17">
        <v>584</v>
      </c>
      <c r="H2282" s="17">
        <v>869</v>
      </c>
      <c r="I2282" s="6">
        <f>Tabela1[[#This Row],[Valor total]]-Tabela1[[#This Row],[Valor custo]]</f>
        <v>285</v>
      </c>
      <c r="J2282" s="7">
        <f>Tabela1[[#This Row],[MARGEM BRUTA]]/Tabela1[[#This Row],[Valor total]]</f>
        <v>0.32796317606444186</v>
      </c>
      <c r="K2282" s="1" t="str">
        <f>VLOOKUP(Tabela1[[#This Row],[Cliente]],'BASE DE CLIENTES'!A:D,4,0)</f>
        <v>EMPRESA COM MAQUINA</v>
      </c>
      <c r="L2282" s="1" t="str">
        <f>VLOOKUP(Tabela1[[#This Row],[Cliente]],'BASE DE CLIENTES'!A:E,5,0)</f>
        <v>Rio Verde</v>
      </c>
    </row>
    <row r="2283" spans="1:12" x14ac:dyDescent="0.3">
      <c r="B2283" s="1" t="s">
        <v>117</v>
      </c>
      <c r="C2283" s="4" t="str">
        <f>VLOOKUP(Tabela1[[#This Row],[Cliente]],'BASE DE CLIENTES'!A:E,2,0)</f>
        <v>Brasília</v>
      </c>
      <c r="D2283" s="1" t="str">
        <f>VLOOKUP(Tabela1[[#This Row],[Cliente]],'BASE DE CLIENTES'!A:C,3,0)</f>
        <v>DF</v>
      </c>
      <c r="E2283" s="4" t="str">
        <f>CONCATENATE(Tabela1[[#This Row],[CIDADE]],",",Tabela1[[#This Row],[UF]])</f>
        <v>Brasília,DF</v>
      </c>
      <c r="F2283" s="2">
        <v>45926</v>
      </c>
      <c r="G2283" s="17">
        <v>3226.57</v>
      </c>
      <c r="H2283" s="17">
        <v>5150</v>
      </c>
      <c r="I2283" s="6">
        <f>Tabela1[[#This Row],[Valor total]]-Tabela1[[#This Row],[Valor custo]]</f>
        <v>1923.4299999999998</v>
      </c>
      <c r="J2283" s="7">
        <f>Tabela1[[#This Row],[MARGEM BRUTA]]/Tabela1[[#This Row],[Valor total]]</f>
        <v>0.37348155339805822</v>
      </c>
      <c r="K2283" s="1" t="str">
        <f>VLOOKUP(Tabela1[[#This Row],[Cliente]],'BASE DE CLIENTES'!A:D,4,0)</f>
        <v>EMPRESA COM MAQUINA</v>
      </c>
      <c r="L2283" s="1" t="str">
        <f>VLOOKUP(Tabela1[[#This Row],[Cliente]],'BASE DE CLIENTES'!A:E,5,0)</f>
        <v>SETOR HABITACIONAL ARNIQUEIRA (AGUAS CLARAS)</v>
      </c>
    </row>
    <row r="2284" spans="1:12" x14ac:dyDescent="0.3">
      <c r="B2284" s="1" t="s">
        <v>216</v>
      </c>
      <c r="C2284" s="4" t="str">
        <f>VLOOKUP(Tabela1[[#This Row],[Cliente]],'BASE DE CLIENTES'!A:E,2,0)</f>
        <v>Brasília</v>
      </c>
      <c r="D2284" s="1" t="str">
        <f>VLOOKUP(Tabela1[[#This Row],[Cliente]],'BASE DE CLIENTES'!A:C,3,0)</f>
        <v>DF</v>
      </c>
      <c r="E2284" s="4" t="str">
        <f>CONCATENATE(Tabela1[[#This Row],[CIDADE]],",",Tabela1[[#This Row],[UF]])</f>
        <v>Brasília,DF</v>
      </c>
      <c r="F2284" s="2">
        <v>45926</v>
      </c>
      <c r="G2284" s="17">
        <v>7368.74</v>
      </c>
      <c r="H2284" s="17">
        <v>11200</v>
      </c>
      <c r="I2284" s="6">
        <f>Tabela1[[#This Row],[Valor total]]-Tabela1[[#This Row],[Valor custo]]</f>
        <v>3831.26</v>
      </c>
      <c r="J2284" s="7">
        <f>Tabela1[[#This Row],[MARGEM BRUTA]]/Tabela1[[#This Row],[Valor total]]</f>
        <v>0.34207678571428574</v>
      </c>
      <c r="K2284" s="1" t="str">
        <f>VLOOKUP(Tabela1[[#This Row],[Cliente]],'BASE DE CLIENTES'!A:D,4,0)</f>
        <v>EMPRESA COM MAQUINA</v>
      </c>
      <c r="L2284" s="1" t="str">
        <f>VLOOKUP(Tabela1[[#This Row],[Cliente]],'BASE DE CLIENTES'!A:E,5,0)</f>
        <v>RIACHO FUNDO II</v>
      </c>
    </row>
    <row r="2285" spans="1:12" x14ac:dyDescent="0.3">
      <c r="B2285" s="1" t="s">
        <v>141</v>
      </c>
      <c r="C2285" s="4" t="str">
        <f>VLOOKUP(Tabela1[[#This Row],[Cliente]],'BASE DE CLIENTES'!A:E,2,0)</f>
        <v>Brasília</v>
      </c>
      <c r="D2285" s="1" t="str">
        <f>VLOOKUP(Tabela1[[#This Row],[Cliente]],'BASE DE CLIENTES'!A:C,3,0)</f>
        <v>DF</v>
      </c>
      <c r="E2285" s="4" t="str">
        <f>CONCATENATE(Tabela1[[#This Row],[CIDADE]],",",Tabela1[[#This Row],[UF]])</f>
        <v>Brasília,DF</v>
      </c>
      <c r="F2285" s="2">
        <v>45926</v>
      </c>
      <c r="G2285" s="17">
        <v>3643</v>
      </c>
      <c r="H2285" s="17">
        <v>4530</v>
      </c>
      <c r="I2285" s="6">
        <f>Tabela1[[#This Row],[Valor total]]-Tabela1[[#This Row],[Valor custo]]</f>
        <v>887</v>
      </c>
      <c r="J2285" s="7">
        <f>Tabela1[[#This Row],[MARGEM BRUTA]]/Tabela1[[#This Row],[Valor total]]</f>
        <v>0.19580573951434879</v>
      </c>
      <c r="K2285" s="1" t="str">
        <f>VLOOKUP(Tabela1[[#This Row],[Cliente]],'BASE DE CLIENTES'!A:D,4,0)</f>
        <v>EMPRESA COM MAQUINA</v>
      </c>
      <c r="L2285" s="1" t="str">
        <f>VLOOKUP(Tabela1[[#This Row],[Cliente]],'BASE DE CLIENTES'!A:E,5,0)</f>
        <v>TAGUATINGA</v>
      </c>
    </row>
    <row r="2286" spans="1:12" x14ac:dyDescent="0.3">
      <c r="B2286" s="1" t="s">
        <v>68</v>
      </c>
      <c r="C2286" s="4" t="str">
        <f>VLOOKUP(Tabela1[[#This Row],[Cliente]],'BASE DE CLIENTES'!A:E,2,0)</f>
        <v>Brasília</v>
      </c>
      <c r="D2286" s="1" t="str">
        <f>VLOOKUP(Tabela1[[#This Row],[Cliente]],'BASE DE CLIENTES'!A:C,3,0)</f>
        <v>DF</v>
      </c>
      <c r="E2286" s="4" t="str">
        <f>CONCATENATE(Tabela1[[#This Row],[CIDADE]],",",Tabela1[[#This Row],[UF]])</f>
        <v>Brasília,DF</v>
      </c>
      <c r="F2286" s="2">
        <v>45926</v>
      </c>
      <c r="G2286" s="17">
        <v>938</v>
      </c>
      <c r="H2286" s="17">
        <v>1600</v>
      </c>
      <c r="I2286" s="6">
        <f>Tabela1[[#This Row],[Valor total]]-Tabela1[[#This Row],[Valor custo]]</f>
        <v>662</v>
      </c>
      <c r="J2286" s="7">
        <f>Tabela1[[#This Row],[MARGEM BRUTA]]/Tabela1[[#This Row],[Valor total]]</f>
        <v>0.41375000000000001</v>
      </c>
      <c r="K2286" s="1" t="str">
        <f>VLOOKUP(Tabela1[[#This Row],[Cliente]],'BASE DE CLIENTES'!A:D,4,0)</f>
        <v>EMPRESA COM MAQUINA</v>
      </c>
      <c r="L2286" s="1" t="str">
        <f>VLOOKUP(Tabela1[[#This Row],[Cliente]],'BASE DE CLIENTES'!A:E,5,0)</f>
        <v>SAMAMBAIA SUL (SAMAMBAIA)</v>
      </c>
    </row>
    <row r="2287" spans="1:12" x14ac:dyDescent="0.3">
      <c r="B2287" s="1" t="s">
        <v>291</v>
      </c>
      <c r="C2287" s="4" t="str">
        <f>VLOOKUP(Tabela1[[#This Row],[Cliente]],'BASE DE CLIENTES'!A:E,2,0)</f>
        <v>Rio Verde</v>
      </c>
      <c r="D2287" s="1" t="str">
        <f>VLOOKUP(Tabela1[[#This Row],[Cliente]],'BASE DE CLIENTES'!A:C,3,0)</f>
        <v>GO</v>
      </c>
      <c r="E2287" s="4" t="str">
        <f>CONCATENATE(Tabela1[[#This Row],[CIDADE]],",",Tabela1[[#This Row],[UF]])</f>
        <v>Rio Verde,GO</v>
      </c>
      <c r="F2287" s="2">
        <v>45810</v>
      </c>
      <c r="G2287" s="17">
        <v>473</v>
      </c>
      <c r="H2287" s="17">
        <v>655</v>
      </c>
      <c r="I2287" s="6">
        <f>Tabela1[[#This Row],[Valor total]]-Tabela1[[#This Row],[Valor custo]]</f>
        <v>182</v>
      </c>
      <c r="J2287" s="7">
        <f>Tabela1[[#This Row],[MARGEM BRUTA]]/Tabela1[[#This Row],[Valor total]]</f>
        <v>0.27786259541984731</v>
      </c>
      <c r="K2287" s="1" t="str">
        <f>VLOOKUP(Tabela1[[#This Row],[Cliente]],'BASE DE CLIENTES'!A:D,4,0)</f>
        <v>EMPRESA COM MAQUINA</v>
      </c>
      <c r="L2287" s="1" t="str">
        <f>VLOOKUP(Tabela1[[#This Row],[Cliente]],'BASE DE CLIENTES'!A:E,5,0)</f>
        <v>Rio Verde</v>
      </c>
    </row>
    <row r="2288" spans="1:12" x14ac:dyDescent="0.3">
      <c r="B2288" s="1" t="s">
        <v>291</v>
      </c>
      <c r="C2288" s="4" t="str">
        <f>VLOOKUP(Tabela1[[#This Row],[Cliente]],'BASE DE CLIENTES'!A:E,2,0)</f>
        <v>Rio Verde</v>
      </c>
      <c r="D2288" s="1" t="str">
        <f>VLOOKUP(Tabela1[[#This Row],[Cliente]],'BASE DE CLIENTES'!A:C,3,0)</f>
        <v>GO</v>
      </c>
      <c r="E2288" s="4" t="str">
        <f>CONCATENATE(Tabela1[[#This Row],[CIDADE]],",",Tabela1[[#This Row],[UF]])</f>
        <v>Rio Verde,GO</v>
      </c>
      <c r="F2288" s="2">
        <v>45848</v>
      </c>
      <c r="G2288" s="17">
        <v>1478</v>
      </c>
      <c r="H2288" s="17">
        <v>2099</v>
      </c>
      <c r="I2288" s="6">
        <f>Tabela1[[#This Row],[Valor total]]-Tabela1[[#This Row],[Valor custo]]</f>
        <v>621</v>
      </c>
      <c r="J2288" s="7">
        <f>Tabela1[[#This Row],[MARGEM BRUTA]]/Tabela1[[#This Row],[Valor total]]</f>
        <v>0.29585516912815629</v>
      </c>
      <c r="K2288" s="1" t="str">
        <f>VLOOKUP(Tabela1[[#This Row],[Cliente]],'BASE DE CLIENTES'!A:D,4,0)</f>
        <v>EMPRESA COM MAQUINA</v>
      </c>
      <c r="L2288" s="1" t="str">
        <f>VLOOKUP(Tabela1[[#This Row],[Cliente]],'BASE DE CLIENTES'!A:E,5,0)</f>
        <v>Rio Verde</v>
      </c>
    </row>
    <row r="2289" spans="2:12" x14ac:dyDescent="0.3">
      <c r="B2289" s="1" t="s">
        <v>291</v>
      </c>
      <c r="C2289" s="4" t="str">
        <f>VLOOKUP(Tabela1[[#This Row],[Cliente]],'BASE DE CLIENTES'!A:E,2,0)</f>
        <v>Rio Verde</v>
      </c>
      <c r="D2289" s="1" t="str">
        <f>VLOOKUP(Tabela1[[#This Row],[Cliente]],'BASE DE CLIENTES'!A:C,3,0)</f>
        <v>GO</v>
      </c>
      <c r="E2289" s="4" t="str">
        <f>CONCATENATE(Tabela1[[#This Row],[CIDADE]],",",Tabela1[[#This Row],[UF]])</f>
        <v>Rio Verde,GO</v>
      </c>
      <c r="F2289" s="2">
        <v>45839</v>
      </c>
      <c r="G2289" s="17">
        <v>716.9</v>
      </c>
      <c r="H2289" s="17">
        <v>1019</v>
      </c>
      <c r="I2289" s="6">
        <f>Tabela1[[#This Row],[Valor total]]-Tabela1[[#This Row],[Valor custo]]</f>
        <v>302.10000000000002</v>
      </c>
      <c r="J2289" s="7">
        <f>Tabela1[[#This Row],[MARGEM BRUTA]]/Tabela1[[#This Row],[Valor total]]</f>
        <v>0.29646712463199215</v>
      </c>
      <c r="K2289" s="1" t="str">
        <f>VLOOKUP(Tabela1[[#This Row],[Cliente]],'BASE DE CLIENTES'!A:D,4,0)</f>
        <v>EMPRESA COM MAQUINA</v>
      </c>
      <c r="L2289" s="1" t="str">
        <f>VLOOKUP(Tabela1[[#This Row],[Cliente]],'BASE DE CLIENTES'!A:E,5,0)</f>
        <v>Rio Verde</v>
      </c>
    </row>
    <row r="2290" spans="2:12" x14ac:dyDescent="0.3">
      <c r="B2290" s="1" t="s">
        <v>165</v>
      </c>
      <c r="C2290" s="4" t="str">
        <f>VLOOKUP(Tabela1[[#This Row],[Cliente]],'BASE DE CLIENTES'!A:E,2,0)</f>
        <v>Brasília</v>
      </c>
      <c r="D2290" s="1" t="str">
        <f>VLOOKUP(Tabela1[[#This Row],[Cliente]],'BASE DE CLIENTES'!A:C,3,0)</f>
        <v>DF</v>
      </c>
      <c r="E2290" s="4" t="str">
        <f>CONCATENATE(Tabela1[[#This Row],[CIDADE]],",",Tabela1[[#This Row],[UF]])</f>
        <v>Brasília,DF</v>
      </c>
      <c r="F2290" s="2">
        <v>45925</v>
      </c>
      <c r="G2290" s="17">
        <v>432.79</v>
      </c>
      <c r="H2290" s="17">
        <v>550</v>
      </c>
      <c r="I2290" s="6">
        <f>Tabela1[[#This Row],[Valor total]]-Tabela1[[#This Row],[Valor custo]]</f>
        <v>117.20999999999998</v>
      </c>
      <c r="J2290" s="7">
        <f>Tabela1[[#This Row],[MARGEM BRUTA]]/Tabela1[[#This Row],[Valor total]]</f>
        <v>0.21310909090909086</v>
      </c>
      <c r="K2290" s="1" t="str">
        <f>VLOOKUP(Tabela1[[#This Row],[Cliente]],'BASE DE CLIENTES'!A:D,4,0)</f>
        <v>EMPRESA SEM MAQUINA</v>
      </c>
      <c r="L2290" s="1" t="str">
        <f>VLOOKUP(Tabela1[[#This Row],[Cliente]],'BASE DE CLIENTES'!A:E,5,0)</f>
        <v>SETOR HABITACIONAL VICENTE PIRES</v>
      </c>
    </row>
    <row r="2291" spans="2:12" x14ac:dyDescent="0.3">
      <c r="B2291" s="1" t="s">
        <v>294</v>
      </c>
      <c r="C2291" s="4" t="str">
        <f>VLOOKUP(Tabela1[[#This Row],[Cliente]],'BASE DE CLIENTES'!A:E,2,0)</f>
        <v>Rio Verde</v>
      </c>
      <c r="D2291" s="1" t="str">
        <f>VLOOKUP(Tabela1[[#This Row],[Cliente]],'BASE DE CLIENTES'!A:C,3,0)</f>
        <v>GO</v>
      </c>
      <c r="E2291" s="4" t="str">
        <f>CONCATENATE(Tabela1[[#This Row],[CIDADE]],",",Tabela1[[#This Row],[UF]])</f>
        <v>Rio Verde,GO</v>
      </c>
      <c r="F2291" s="2">
        <v>45897</v>
      </c>
      <c r="G2291" s="17">
        <v>1625</v>
      </c>
      <c r="H2291" s="17">
        <v>2280</v>
      </c>
      <c r="I2291" s="6">
        <f>Tabela1[[#This Row],[Valor total]]-Tabela1[[#This Row],[Valor custo]]</f>
        <v>655</v>
      </c>
      <c r="J2291" s="7">
        <f>Tabela1[[#This Row],[MARGEM BRUTA]]/Tabela1[[#This Row],[Valor total]]</f>
        <v>0.28728070175438597</v>
      </c>
      <c r="K2291" s="1" t="str">
        <f>VLOOKUP(Tabela1[[#This Row],[Cliente]],'BASE DE CLIENTES'!A:D,4,0)</f>
        <v>SERRALHEIRO</v>
      </c>
      <c r="L2291" s="1" t="str">
        <f>VLOOKUP(Tabela1[[#This Row],[Cliente]],'BASE DE CLIENTES'!A:E,5,0)</f>
        <v>Rio Verde</v>
      </c>
    </row>
    <row r="2292" spans="2:12" x14ac:dyDescent="0.3">
      <c r="B2292" s="1" t="s">
        <v>291</v>
      </c>
      <c r="C2292" s="4" t="str">
        <f>VLOOKUP(Tabela1[[#This Row],[Cliente]],'BASE DE CLIENTES'!A:E,2,0)</f>
        <v>Rio Verde</v>
      </c>
      <c r="D2292" s="1" t="str">
        <f>VLOOKUP(Tabela1[[#This Row],[Cliente]],'BASE DE CLIENTES'!A:C,3,0)</f>
        <v>GO</v>
      </c>
      <c r="E2292" s="4" t="str">
        <f>CONCATENATE(Tabela1[[#This Row],[CIDADE]],",",Tabela1[[#This Row],[UF]])</f>
        <v>Rio Verde,GO</v>
      </c>
      <c r="F2292" s="2">
        <v>45890</v>
      </c>
      <c r="G2292" s="17">
        <v>659</v>
      </c>
      <c r="H2292" s="17">
        <v>1019</v>
      </c>
      <c r="I2292" s="6">
        <f>Tabela1[[#This Row],[Valor total]]-Tabela1[[#This Row],[Valor custo]]</f>
        <v>360</v>
      </c>
      <c r="J2292" s="7">
        <f>Tabela1[[#This Row],[MARGEM BRUTA]]/Tabela1[[#This Row],[Valor total]]</f>
        <v>0.35328753680078506</v>
      </c>
      <c r="K2292" s="1" t="str">
        <f>VLOOKUP(Tabela1[[#This Row],[Cliente]],'BASE DE CLIENTES'!A:D,4,0)</f>
        <v>EMPRESA COM MAQUINA</v>
      </c>
      <c r="L2292" s="1" t="str">
        <f>VLOOKUP(Tabela1[[#This Row],[Cliente]],'BASE DE CLIENTES'!A:E,5,0)</f>
        <v>Rio Verde</v>
      </c>
    </row>
    <row r="2293" spans="2:12" x14ac:dyDescent="0.3">
      <c r="B2293" s="1" t="s">
        <v>291</v>
      </c>
      <c r="C2293" s="4" t="str">
        <f>VLOOKUP(Tabela1[[#This Row],[Cliente]],'BASE DE CLIENTES'!A:E,2,0)</f>
        <v>Rio Verde</v>
      </c>
      <c r="D2293" s="1" t="str">
        <f>VLOOKUP(Tabela1[[#This Row],[Cliente]],'BASE DE CLIENTES'!A:C,3,0)</f>
        <v>GO</v>
      </c>
      <c r="E2293" s="4" t="str">
        <f>CONCATENATE(Tabela1[[#This Row],[CIDADE]],",",Tabela1[[#This Row],[UF]])</f>
        <v>Rio Verde,GO</v>
      </c>
      <c r="F2293" s="2">
        <v>45884</v>
      </c>
      <c r="G2293" s="17">
        <v>534</v>
      </c>
      <c r="H2293" s="17">
        <v>869</v>
      </c>
      <c r="I2293" s="6">
        <f>Tabela1[[#This Row],[Valor total]]-Tabela1[[#This Row],[Valor custo]]</f>
        <v>335</v>
      </c>
      <c r="J2293" s="7">
        <f>Tabela1[[#This Row],[MARGEM BRUTA]]/Tabela1[[#This Row],[Valor total]]</f>
        <v>0.38550057537399307</v>
      </c>
      <c r="K2293" s="1" t="str">
        <f>VLOOKUP(Tabela1[[#This Row],[Cliente]],'BASE DE CLIENTES'!A:D,4,0)</f>
        <v>EMPRESA COM MAQUINA</v>
      </c>
      <c r="L2293" s="1" t="str">
        <f>VLOOKUP(Tabela1[[#This Row],[Cliente]],'BASE DE CLIENTES'!A:E,5,0)</f>
        <v>Rio Verde</v>
      </c>
    </row>
    <row r="2294" spans="2:12" x14ac:dyDescent="0.3">
      <c r="B2294" s="1" t="s">
        <v>290</v>
      </c>
      <c r="C2294" s="4" t="str">
        <f>VLOOKUP(Tabela1[[#This Row],[Cliente]],'BASE DE CLIENTES'!A:E,2,0)</f>
        <v>Rio Verde</v>
      </c>
      <c r="D2294" s="1" t="str">
        <f>VLOOKUP(Tabela1[[#This Row],[Cliente]],'BASE DE CLIENTES'!A:C,3,0)</f>
        <v>GO</v>
      </c>
      <c r="E2294" s="4" t="str">
        <f>CONCATENATE(Tabela1[[#This Row],[CIDADE]],",",Tabela1[[#This Row],[UF]])</f>
        <v>Rio Verde,GO</v>
      </c>
      <c r="F2294" s="2">
        <v>45929</v>
      </c>
      <c r="G2294" s="17">
        <v>9882.0499999999993</v>
      </c>
      <c r="H2294" s="17">
        <v>13600</v>
      </c>
      <c r="I2294" s="6">
        <f>Tabela1[[#This Row],[Valor total]]-Tabela1[[#This Row],[Valor custo]]</f>
        <v>3717.9500000000007</v>
      </c>
      <c r="J2294" s="7">
        <f>Tabela1[[#This Row],[MARGEM BRUTA]]/Tabela1[[#This Row],[Valor total]]</f>
        <v>0.27337867647058828</v>
      </c>
      <c r="K2294" s="1" t="str">
        <f>VLOOKUP(Tabela1[[#This Row],[Cliente]],'BASE DE CLIENTES'!A:D,4,0)</f>
        <v>EMPRESA COM MAQUINA</v>
      </c>
      <c r="L2294" s="1" t="str">
        <f>VLOOKUP(Tabela1[[#This Row],[Cliente]],'BASE DE CLIENTES'!A:E,5,0)</f>
        <v>Rio Verde</v>
      </c>
    </row>
    <row r="2295" spans="2:12" x14ac:dyDescent="0.3">
      <c r="B2295" s="1" t="s">
        <v>138</v>
      </c>
      <c r="C2295" s="4" t="str">
        <f>VLOOKUP(Tabela1[[#This Row],[Cliente]],'BASE DE CLIENTES'!A:E,2,0)</f>
        <v>Brasília</v>
      </c>
      <c r="D2295" s="1" t="str">
        <f>VLOOKUP(Tabela1[[#This Row],[Cliente]],'BASE DE CLIENTES'!A:C,3,0)</f>
        <v>DF</v>
      </c>
      <c r="E2295" s="4" t="str">
        <f>CONCATENATE(Tabela1[[#This Row],[CIDADE]],",",Tabela1[[#This Row],[UF]])</f>
        <v>Brasília,DF</v>
      </c>
      <c r="F2295" s="2">
        <v>45925</v>
      </c>
      <c r="G2295" s="17">
        <v>0</v>
      </c>
      <c r="H2295" s="17">
        <v>30</v>
      </c>
      <c r="I2295" s="6">
        <f>Tabela1[[#This Row],[Valor total]]-Tabela1[[#This Row],[Valor custo]]</f>
        <v>30</v>
      </c>
      <c r="J2295" s="7">
        <f>Tabela1[[#This Row],[MARGEM BRUTA]]/Tabela1[[#This Row],[Valor total]]</f>
        <v>1</v>
      </c>
      <c r="K2295" s="1" t="str">
        <f>VLOOKUP(Tabela1[[#This Row],[Cliente]],'BASE DE CLIENTES'!A:D,4,0)</f>
        <v>OUTROS RAMOS</v>
      </c>
      <c r="L2295" s="1" t="str">
        <f>VLOOKUP(Tabela1[[#This Row],[Cliente]],'BASE DE CLIENTES'!A:E,5,0)</f>
        <v>CEILANDIA NORTE (CEILANDIA)</v>
      </c>
    </row>
    <row r="2296" spans="2:12" x14ac:dyDescent="0.3">
      <c r="B2296" s="1" t="s">
        <v>99</v>
      </c>
      <c r="C2296" s="4" t="str">
        <f>VLOOKUP(Tabela1[[#This Row],[Cliente]],'BASE DE CLIENTES'!A:E,2,0)</f>
        <v>Brasília</v>
      </c>
      <c r="D2296" s="1" t="str">
        <f>VLOOKUP(Tabela1[[#This Row],[Cliente]],'BASE DE CLIENTES'!A:C,3,0)</f>
        <v>DF</v>
      </c>
      <c r="E2296" s="4" t="str">
        <f>CONCATENATE(Tabela1[[#This Row],[CIDADE]],",",Tabela1[[#This Row],[UF]])</f>
        <v>Brasília,DF</v>
      </c>
      <c r="F2296" s="2">
        <v>45925</v>
      </c>
      <c r="G2296" s="17">
        <v>5548.9</v>
      </c>
      <c r="H2296" s="17">
        <v>8828</v>
      </c>
      <c r="I2296" s="6">
        <f>Tabela1[[#This Row],[Valor total]]-Tabela1[[#This Row],[Valor custo]]</f>
        <v>3279.1000000000004</v>
      </c>
      <c r="J2296" s="7">
        <f>Tabela1[[#This Row],[MARGEM BRUTA]]/Tabela1[[#This Row],[Valor total]]</f>
        <v>0.37144313547802449</v>
      </c>
      <c r="K2296" s="1" t="str">
        <f>VLOOKUP(Tabela1[[#This Row],[Cliente]],'BASE DE CLIENTES'!A:D,4,0)</f>
        <v>EMPRESA COM MAQUINA</v>
      </c>
      <c r="L2296" s="1" t="str">
        <f>VLOOKUP(Tabela1[[#This Row],[Cliente]],'BASE DE CLIENTES'!A:E,5,0)</f>
        <v>ARAPOANGA (PLANALTINA)</v>
      </c>
    </row>
    <row r="2297" spans="2:12" x14ac:dyDescent="0.3">
      <c r="B2297" s="1" t="s">
        <v>123</v>
      </c>
      <c r="C2297" s="4" t="str">
        <f>VLOOKUP(Tabela1[[#This Row],[Cliente]],'BASE DE CLIENTES'!A:E,2,0)</f>
        <v>Brasília</v>
      </c>
      <c r="D2297" s="1" t="str">
        <f>VLOOKUP(Tabela1[[#This Row],[Cliente]],'BASE DE CLIENTES'!A:C,3,0)</f>
        <v>DF</v>
      </c>
      <c r="E2297" s="4" t="str">
        <f>CONCATENATE(Tabela1[[#This Row],[CIDADE]],",",Tabela1[[#This Row],[UF]])</f>
        <v>Brasília,DF</v>
      </c>
      <c r="F2297" s="2">
        <v>45925</v>
      </c>
      <c r="G2297" s="17">
        <v>555.92999999999995</v>
      </c>
      <c r="H2297" s="17">
        <v>960</v>
      </c>
      <c r="I2297" s="6">
        <f>Tabela1[[#This Row],[Valor total]]-Tabela1[[#This Row],[Valor custo]]</f>
        <v>404.07000000000005</v>
      </c>
      <c r="J2297" s="7">
        <f>Tabela1[[#This Row],[MARGEM BRUTA]]/Tabela1[[#This Row],[Valor total]]</f>
        <v>0.42090625000000004</v>
      </c>
      <c r="K2297" s="1" t="str">
        <f>VLOOKUP(Tabela1[[#This Row],[Cliente]],'BASE DE CLIENTES'!A:D,4,0)</f>
        <v>EMPRESA COM MAQUINA</v>
      </c>
      <c r="L2297" s="1" t="str">
        <f>VLOOKUP(Tabela1[[#This Row],[Cliente]],'BASE DE CLIENTES'!A:E,5,0)</f>
        <v>ADE CEILÂNDIA</v>
      </c>
    </row>
    <row r="2298" spans="2:12" x14ac:dyDescent="0.3">
      <c r="B2298" s="1" t="s">
        <v>133</v>
      </c>
      <c r="C2298" s="4" t="str">
        <f>VLOOKUP(Tabela1[[#This Row],[Cliente]],'BASE DE CLIENTES'!A:E,2,0)</f>
        <v>Brasília</v>
      </c>
      <c r="D2298" s="1" t="str">
        <f>VLOOKUP(Tabela1[[#This Row],[Cliente]],'BASE DE CLIENTES'!A:C,3,0)</f>
        <v>DF</v>
      </c>
      <c r="E2298" s="4" t="str">
        <f>CONCATENATE(Tabela1[[#This Row],[CIDADE]],",",Tabela1[[#This Row],[UF]])</f>
        <v>Brasília,DF</v>
      </c>
      <c r="F2298" s="2">
        <v>45925</v>
      </c>
      <c r="G2298" s="17">
        <v>432.79</v>
      </c>
      <c r="H2298" s="17">
        <v>750</v>
      </c>
      <c r="I2298" s="6">
        <f>Tabela1[[#This Row],[Valor total]]-Tabela1[[#This Row],[Valor custo]]</f>
        <v>317.20999999999998</v>
      </c>
      <c r="J2298" s="7">
        <f>Tabela1[[#This Row],[MARGEM BRUTA]]/Tabela1[[#This Row],[Valor total]]</f>
        <v>0.42294666666666664</v>
      </c>
      <c r="K2298" s="1" t="str">
        <f>VLOOKUP(Tabela1[[#This Row],[Cliente]],'BASE DE CLIENTES'!A:D,4,0)</f>
        <v>SERRALHEIRO</v>
      </c>
      <c r="L2298" s="1" t="str">
        <f>VLOOKUP(Tabela1[[#This Row],[Cliente]],'BASE DE CLIENTES'!A:E,5,0)</f>
        <v>RECANTO DAS EMAS</v>
      </c>
    </row>
    <row r="2299" spans="2:12" x14ac:dyDescent="0.3">
      <c r="B2299" s="1" t="s">
        <v>291</v>
      </c>
      <c r="C2299" s="4" t="str">
        <f>VLOOKUP(Tabela1[[#This Row],[Cliente]],'BASE DE CLIENTES'!A:E,2,0)</f>
        <v>Rio Verde</v>
      </c>
      <c r="D2299" s="1" t="str">
        <f>VLOOKUP(Tabela1[[#This Row],[Cliente]],'BASE DE CLIENTES'!A:C,3,0)</f>
        <v>GO</v>
      </c>
      <c r="E2299" s="4" t="str">
        <f>CONCATENATE(Tabela1[[#This Row],[CIDADE]],",",Tabela1[[#This Row],[UF]])</f>
        <v>Rio Verde,GO</v>
      </c>
      <c r="F2299" s="2">
        <v>45925</v>
      </c>
      <c r="G2299" s="17">
        <v>432.79</v>
      </c>
      <c r="H2299" s="17">
        <v>655</v>
      </c>
      <c r="I2299" s="6">
        <f>Tabela1[[#This Row],[Valor total]]-Tabela1[[#This Row],[Valor custo]]</f>
        <v>222.20999999999998</v>
      </c>
      <c r="J2299" s="7">
        <f>Tabela1[[#This Row],[MARGEM BRUTA]]/Tabela1[[#This Row],[Valor total]]</f>
        <v>0.33925190839694652</v>
      </c>
      <c r="K2299" s="1" t="str">
        <f>VLOOKUP(Tabela1[[#This Row],[Cliente]],'BASE DE CLIENTES'!A:D,4,0)</f>
        <v>EMPRESA COM MAQUINA</v>
      </c>
      <c r="L2299" s="1" t="str">
        <f>VLOOKUP(Tabela1[[#This Row],[Cliente]],'BASE DE CLIENTES'!A:E,5,0)</f>
        <v>Rio Verde</v>
      </c>
    </row>
    <row r="2300" spans="2:12" x14ac:dyDescent="0.3">
      <c r="B2300" s="1" t="s">
        <v>98</v>
      </c>
      <c r="C2300" s="4" t="str">
        <f>VLOOKUP(Tabela1[[#This Row],[Cliente]],'BASE DE CLIENTES'!A:E,2,0)</f>
        <v>Brasília</v>
      </c>
      <c r="D2300" s="1" t="str">
        <f>VLOOKUP(Tabela1[[#This Row],[Cliente]],'BASE DE CLIENTES'!A:C,3,0)</f>
        <v>DF</v>
      </c>
      <c r="E2300" s="4" t="str">
        <f>CONCATENATE(Tabela1[[#This Row],[CIDADE]],",",Tabela1[[#This Row],[UF]])</f>
        <v>Brasília,DF</v>
      </c>
      <c r="F2300" s="2">
        <v>45924</v>
      </c>
      <c r="G2300" s="17">
        <v>477</v>
      </c>
      <c r="H2300" s="17">
        <v>750</v>
      </c>
      <c r="I2300" s="6">
        <f>Tabela1[[#This Row],[Valor total]]-Tabela1[[#This Row],[Valor custo]]</f>
        <v>273</v>
      </c>
      <c r="J2300" s="7">
        <f>Tabela1[[#This Row],[MARGEM BRUTA]]/Tabela1[[#This Row],[Valor total]]</f>
        <v>0.36399999999999999</v>
      </c>
      <c r="K2300" s="1" t="str">
        <f>VLOOKUP(Tabela1[[#This Row],[Cliente]],'BASE DE CLIENTES'!A:D,4,0)</f>
        <v>SERRALHEIRO</v>
      </c>
      <c r="L2300" s="1" t="str">
        <f>VLOOKUP(Tabela1[[#This Row],[Cliente]],'BASE DE CLIENTES'!A:E,5,0)</f>
        <v>SANTA MARIA</v>
      </c>
    </row>
    <row r="2301" spans="2:12" x14ac:dyDescent="0.3">
      <c r="B2301" s="1" t="s">
        <v>142</v>
      </c>
      <c r="C2301" s="4" t="str">
        <f>VLOOKUP(Tabela1[[#This Row],[Cliente]],'BASE DE CLIENTES'!A:E,2,0)</f>
        <v>Brasília</v>
      </c>
      <c r="D2301" s="1" t="str">
        <f>VLOOKUP(Tabela1[[#This Row],[Cliente]],'BASE DE CLIENTES'!A:C,3,0)</f>
        <v>DF</v>
      </c>
      <c r="E2301" s="4" t="str">
        <f>CONCATENATE(Tabela1[[#This Row],[CIDADE]],",",Tabela1[[#This Row],[UF]])</f>
        <v>Brasília,DF</v>
      </c>
      <c r="F2301" s="2">
        <v>45924</v>
      </c>
      <c r="G2301" s="17">
        <v>55</v>
      </c>
      <c r="H2301" s="17">
        <v>200</v>
      </c>
      <c r="I2301" s="6">
        <f>Tabela1[[#This Row],[Valor total]]-Tabela1[[#This Row],[Valor custo]]</f>
        <v>145</v>
      </c>
      <c r="J2301" s="7">
        <f>Tabela1[[#This Row],[MARGEM BRUTA]]/Tabela1[[#This Row],[Valor total]]</f>
        <v>0.72499999999999998</v>
      </c>
      <c r="K2301" s="1" t="str">
        <f>VLOOKUP(Tabela1[[#This Row],[Cliente]],'BASE DE CLIENTES'!A:D,4,0)</f>
        <v>OUTROS RAMOS</v>
      </c>
      <c r="L2301" s="1" t="str">
        <f>VLOOKUP(Tabela1[[#This Row],[Cliente]],'BASE DE CLIENTES'!A:E,5,0)</f>
        <v>RIACHO FUNDO II</v>
      </c>
    </row>
    <row r="2302" spans="2:12" x14ac:dyDescent="0.3">
      <c r="B2302" s="1" t="s">
        <v>106</v>
      </c>
      <c r="C2302" s="4" t="str">
        <f>VLOOKUP(Tabela1[[#This Row],[Cliente]],'BASE DE CLIENTES'!A:E,2,0)</f>
        <v>Brasília</v>
      </c>
      <c r="D2302" s="1" t="str">
        <f>VLOOKUP(Tabela1[[#This Row],[Cliente]],'BASE DE CLIENTES'!A:C,3,0)</f>
        <v>DF</v>
      </c>
      <c r="E2302" s="4" t="str">
        <f>CONCATENATE(Tabela1[[#This Row],[CIDADE]],",",Tabela1[[#This Row],[UF]])</f>
        <v>Brasília,DF</v>
      </c>
      <c r="F2302" s="2">
        <v>45924</v>
      </c>
      <c r="G2302" s="17">
        <v>764.6</v>
      </c>
      <c r="H2302" s="17">
        <v>1200</v>
      </c>
      <c r="I2302" s="6">
        <f>Tabela1[[#This Row],[Valor total]]-Tabela1[[#This Row],[Valor custo]]</f>
        <v>435.4</v>
      </c>
      <c r="J2302" s="7">
        <f>Tabela1[[#This Row],[MARGEM BRUTA]]/Tabela1[[#This Row],[Valor total]]</f>
        <v>0.36283333333333334</v>
      </c>
      <c r="K2302" s="1" t="str">
        <f>VLOOKUP(Tabela1[[#This Row],[Cliente]],'BASE DE CLIENTES'!A:D,4,0)</f>
        <v>EMPRESA COM MAQUINA</v>
      </c>
      <c r="L2302" s="1" t="str">
        <f>VLOOKUP(Tabela1[[#This Row],[Cliente]],'BASE DE CLIENTES'!A:E,5,0)</f>
        <v>26 DE SETEMBRO</v>
      </c>
    </row>
    <row r="2303" spans="2:12" x14ac:dyDescent="0.3">
      <c r="B2303" s="1" t="s">
        <v>85</v>
      </c>
      <c r="C2303" s="4" t="str">
        <f>VLOOKUP(Tabela1[[#This Row],[Cliente]],'BASE DE CLIENTES'!A:E,2,0)</f>
        <v>Brasília</v>
      </c>
      <c r="D2303" s="1" t="str">
        <f>VLOOKUP(Tabela1[[#This Row],[Cliente]],'BASE DE CLIENTES'!A:C,3,0)</f>
        <v>DF</v>
      </c>
      <c r="E2303" s="4" t="str">
        <f>CONCATENATE(Tabela1[[#This Row],[CIDADE]],",",Tabela1[[#This Row],[UF]])</f>
        <v>Brasília,DF</v>
      </c>
      <c r="F2303" s="2">
        <v>45924</v>
      </c>
      <c r="G2303" s="17">
        <v>491</v>
      </c>
      <c r="H2303" s="17">
        <v>800</v>
      </c>
      <c r="I2303" s="6">
        <f>Tabela1[[#This Row],[Valor total]]-Tabela1[[#This Row],[Valor custo]]</f>
        <v>309</v>
      </c>
      <c r="J2303" s="7">
        <f>Tabela1[[#This Row],[MARGEM BRUTA]]/Tabela1[[#This Row],[Valor total]]</f>
        <v>0.38624999999999998</v>
      </c>
      <c r="K2303" s="1" t="str">
        <f>VLOOKUP(Tabela1[[#This Row],[Cliente]],'BASE DE CLIENTES'!A:D,4,0)</f>
        <v>SERRALHEIRO</v>
      </c>
      <c r="L2303" s="1" t="str">
        <f>VLOOKUP(Tabela1[[#This Row],[Cliente]],'BASE DE CLIENTES'!A:E,5,0)</f>
        <v>SAMAMBAIA NORTE (SAMAMBAIA)</v>
      </c>
    </row>
    <row r="2304" spans="2:12" x14ac:dyDescent="0.3">
      <c r="B2304" s="1" t="s">
        <v>117</v>
      </c>
      <c r="C2304" s="4" t="str">
        <f>VLOOKUP(Tabela1[[#This Row],[Cliente]],'BASE DE CLIENTES'!A:E,2,0)</f>
        <v>Brasília</v>
      </c>
      <c r="D2304" s="1" t="str">
        <f>VLOOKUP(Tabela1[[#This Row],[Cliente]],'BASE DE CLIENTES'!A:C,3,0)</f>
        <v>DF</v>
      </c>
      <c r="E2304" s="4" t="str">
        <f>CONCATENATE(Tabela1[[#This Row],[CIDADE]],",",Tabela1[[#This Row],[UF]])</f>
        <v>Brasília,DF</v>
      </c>
      <c r="F2304" s="2">
        <v>45924</v>
      </c>
      <c r="G2304" s="17">
        <v>1312.42</v>
      </c>
      <c r="H2304" s="17">
        <v>2150</v>
      </c>
      <c r="I2304" s="6">
        <f>Tabela1[[#This Row],[Valor total]]-Tabela1[[#This Row],[Valor custo]]</f>
        <v>837.57999999999993</v>
      </c>
      <c r="J2304" s="7">
        <f>Tabela1[[#This Row],[MARGEM BRUTA]]/Tabela1[[#This Row],[Valor total]]</f>
        <v>0.38957209302325579</v>
      </c>
      <c r="K2304" s="1" t="str">
        <f>VLOOKUP(Tabela1[[#This Row],[Cliente]],'BASE DE CLIENTES'!A:D,4,0)</f>
        <v>EMPRESA COM MAQUINA</v>
      </c>
      <c r="L2304" s="1" t="str">
        <f>VLOOKUP(Tabela1[[#This Row],[Cliente]],'BASE DE CLIENTES'!A:E,5,0)</f>
        <v>SETOR HABITACIONAL ARNIQUEIRA (AGUAS CLARAS)</v>
      </c>
    </row>
    <row r="2305" spans="2:12" x14ac:dyDescent="0.3">
      <c r="B2305" s="1" t="s">
        <v>291</v>
      </c>
      <c r="C2305" s="4" t="str">
        <f>VLOOKUP(Tabela1[[#This Row],[Cliente]],'BASE DE CLIENTES'!A:E,2,0)</f>
        <v>Rio Verde</v>
      </c>
      <c r="D2305" s="1" t="str">
        <f>VLOOKUP(Tabela1[[#This Row],[Cliente]],'BASE DE CLIENTES'!A:C,3,0)</f>
        <v>GO</v>
      </c>
      <c r="E2305" s="4" t="str">
        <f>CONCATENATE(Tabela1[[#This Row],[CIDADE]],",",Tabela1[[#This Row],[UF]])</f>
        <v>Rio Verde,GO</v>
      </c>
      <c r="F2305" s="2">
        <v>45922</v>
      </c>
      <c r="G2305" s="17">
        <v>462.21</v>
      </c>
      <c r="H2305" s="17">
        <v>750</v>
      </c>
      <c r="I2305" s="6">
        <f>Tabela1[[#This Row],[Valor total]]-Tabela1[[#This Row],[Valor custo]]</f>
        <v>287.79000000000002</v>
      </c>
      <c r="J2305" s="7">
        <f>Tabela1[[#This Row],[MARGEM BRUTA]]/Tabela1[[#This Row],[Valor total]]</f>
        <v>0.38372000000000001</v>
      </c>
      <c r="K2305" s="1" t="str">
        <f>VLOOKUP(Tabela1[[#This Row],[Cliente]],'BASE DE CLIENTES'!A:D,4,0)</f>
        <v>EMPRESA COM MAQUINA</v>
      </c>
      <c r="L2305" s="1" t="str">
        <f>VLOOKUP(Tabela1[[#This Row],[Cliente]],'BASE DE CLIENTES'!A:E,5,0)</f>
        <v>Rio Verde</v>
      </c>
    </row>
    <row r="2306" spans="2:12" x14ac:dyDescent="0.3">
      <c r="B2306" s="1" t="s">
        <v>55</v>
      </c>
      <c r="C2306" s="4" t="str">
        <f>VLOOKUP(Tabela1[[#This Row],[Cliente]],'BASE DE CLIENTES'!A:E,2,0)</f>
        <v>Brasília</v>
      </c>
      <c r="D2306" s="1" t="str">
        <f>VLOOKUP(Tabela1[[#This Row],[Cliente]],'BASE DE CLIENTES'!A:C,3,0)</f>
        <v>DF</v>
      </c>
      <c r="E2306" s="4" t="str">
        <f>CONCATENATE(Tabela1[[#This Row],[CIDADE]],",",Tabela1[[#This Row],[UF]])</f>
        <v>Brasília,DF</v>
      </c>
      <c r="F2306" s="2">
        <v>45924</v>
      </c>
      <c r="G2306" s="17">
        <v>4907.72</v>
      </c>
      <c r="H2306" s="17">
        <v>8612</v>
      </c>
      <c r="I2306" s="6">
        <f>Tabela1[[#This Row],[Valor total]]-Tabela1[[#This Row],[Valor custo]]</f>
        <v>3704.2799999999997</v>
      </c>
      <c r="J2306" s="7">
        <f>Tabela1[[#This Row],[MARGEM BRUTA]]/Tabela1[[#This Row],[Valor total]]</f>
        <v>0.43013005109150021</v>
      </c>
      <c r="K2306" s="1" t="str">
        <f>VLOOKUP(Tabela1[[#This Row],[Cliente]],'BASE DE CLIENTES'!A:D,4,0)</f>
        <v>EMPRESA SEM MAQUINA</v>
      </c>
      <c r="L2306" s="1" t="str">
        <f>VLOOKUP(Tabela1[[#This Row],[Cliente]],'BASE DE CLIENTES'!A:E,5,0)</f>
        <v>RECANTO DAS EMAS</v>
      </c>
    </row>
    <row r="2307" spans="2:12" x14ac:dyDescent="0.3">
      <c r="B2307" s="1" t="s">
        <v>290</v>
      </c>
      <c r="C2307" s="4" t="str">
        <f>VLOOKUP(Tabela1[[#This Row],[Cliente]],'BASE DE CLIENTES'!A:E,2,0)</f>
        <v>Rio Verde</v>
      </c>
      <c r="D2307" s="1" t="str">
        <f>VLOOKUP(Tabela1[[#This Row],[Cliente]],'BASE DE CLIENTES'!A:C,3,0)</f>
        <v>GO</v>
      </c>
      <c r="E2307" s="4" t="str">
        <f>CONCATENATE(Tabela1[[#This Row],[CIDADE]],",",Tabela1[[#This Row],[UF]])</f>
        <v>Rio Verde,GO</v>
      </c>
      <c r="F2307" s="2">
        <v>45911</v>
      </c>
      <c r="G2307" s="17">
        <v>1298</v>
      </c>
      <c r="H2307" s="17">
        <v>2200</v>
      </c>
      <c r="I2307" s="6">
        <f>Tabela1[[#This Row],[Valor total]]-Tabela1[[#This Row],[Valor custo]]</f>
        <v>902</v>
      </c>
      <c r="J2307" s="7">
        <f>Tabela1[[#This Row],[MARGEM BRUTA]]/Tabela1[[#This Row],[Valor total]]</f>
        <v>0.41</v>
      </c>
      <c r="K2307" s="1" t="str">
        <f>VLOOKUP(Tabela1[[#This Row],[Cliente]],'BASE DE CLIENTES'!A:D,4,0)</f>
        <v>EMPRESA COM MAQUINA</v>
      </c>
      <c r="L2307" s="1" t="str">
        <f>VLOOKUP(Tabela1[[#This Row],[Cliente]],'BASE DE CLIENTES'!A:E,5,0)</f>
        <v>Rio Verde</v>
      </c>
    </row>
    <row r="2308" spans="2:12" x14ac:dyDescent="0.3">
      <c r="B2308" s="1" t="s">
        <v>106</v>
      </c>
      <c r="C2308" s="4" t="str">
        <f>VLOOKUP(Tabela1[[#This Row],[Cliente]],'BASE DE CLIENTES'!A:E,2,0)</f>
        <v>Brasília</v>
      </c>
      <c r="D2308" s="1" t="str">
        <f>VLOOKUP(Tabela1[[#This Row],[Cliente]],'BASE DE CLIENTES'!A:C,3,0)</f>
        <v>DF</v>
      </c>
      <c r="E2308" s="4" t="str">
        <f>CONCATENATE(Tabela1[[#This Row],[CIDADE]],",",Tabela1[[#This Row],[UF]])</f>
        <v>Brasília,DF</v>
      </c>
      <c r="F2308" s="2">
        <v>45924</v>
      </c>
      <c r="G2308" s="17">
        <v>887.79</v>
      </c>
      <c r="H2308" s="17">
        <v>1400</v>
      </c>
      <c r="I2308" s="6">
        <f>Tabela1[[#This Row],[Valor total]]-Tabela1[[#This Row],[Valor custo]]</f>
        <v>512.21</v>
      </c>
      <c r="J2308" s="7">
        <f>Tabela1[[#This Row],[MARGEM BRUTA]]/Tabela1[[#This Row],[Valor total]]</f>
        <v>0.36586428571428575</v>
      </c>
      <c r="K2308" s="1" t="str">
        <f>VLOOKUP(Tabela1[[#This Row],[Cliente]],'BASE DE CLIENTES'!A:D,4,0)</f>
        <v>EMPRESA COM MAQUINA</v>
      </c>
      <c r="L2308" s="1" t="str">
        <f>VLOOKUP(Tabela1[[#This Row],[Cliente]],'BASE DE CLIENTES'!A:E,5,0)</f>
        <v>26 DE SETEMBRO</v>
      </c>
    </row>
    <row r="2309" spans="2:12" x14ac:dyDescent="0.3">
      <c r="B2309" s="1" t="s">
        <v>290</v>
      </c>
      <c r="C2309" s="4" t="str">
        <f>VLOOKUP(Tabela1[[#This Row],[Cliente]],'BASE DE CLIENTES'!A:E,2,0)</f>
        <v>Rio Verde</v>
      </c>
      <c r="D2309" s="1" t="str">
        <f>VLOOKUP(Tabela1[[#This Row],[Cliente]],'BASE DE CLIENTES'!A:C,3,0)</f>
        <v>GO</v>
      </c>
      <c r="E2309" s="4" t="str">
        <f>CONCATENATE(Tabela1[[#This Row],[CIDADE]],",",Tabela1[[#This Row],[UF]])</f>
        <v>Rio Verde,GO</v>
      </c>
      <c r="F2309" s="2">
        <v>45905</v>
      </c>
      <c r="G2309" s="17">
        <v>3823</v>
      </c>
      <c r="H2309" s="17">
        <v>5500</v>
      </c>
      <c r="I2309" s="6">
        <f>Tabela1[[#This Row],[Valor total]]-Tabela1[[#This Row],[Valor custo]]</f>
        <v>1677</v>
      </c>
      <c r="J2309" s="7">
        <f>Tabela1[[#This Row],[MARGEM BRUTA]]/Tabela1[[#This Row],[Valor total]]</f>
        <v>0.30490909090909091</v>
      </c>
      <c r="K2309" s="1" t="str">
        <f>VLOOKUP(Tabela1[[#This Row],[Cliente]],'BASE DE CLIENTES'!A:D,4,0)</f>
        <v>EMPRESA COM MAQUINA</v>
      </c>
      <c r="L2309" s="1" t="str">
        <f>VLOOKUP(Tabela1[[#This Row],[Cliente]],'BASE DE CLIENTES'!A:E,5,0)</f>
        <v>Rio Verde</v>
      </c>
    </row>
    <row r="2310" spans="2:12" x14ac:dyDescent="0.3">
      <c r="B2310" s="1" t="s">
        <v>294</v>
      </c>
      <c r="C2310" s="4" t="str">
        <f>VLOOKUP(Tabela1[[#This Row],[Cliente]],'BASE DE CLIENTES'!A:E,2,0)</f>
        <v>Rio Verde</v>
      </c>
      <c r="D2310" s="1" t="str">
        <f>VLOOKUP(Tabela1[[#This Row],[Cliente]],'BASE DE CLIENTES'!A:C,3,0)</f>
        <v>GO</v>
      </c>
      <c r="E2310" s="4" t="str">
        <f>CONCATENATE(Tabela1[[#This Row],[CIDADE]],",",Tabela1[[#This Row],[UF]])</f>
        <v>Rio Verde,GO</v>
      </c>
      <c r="F2310" s="2">
        <v>45904</v>
      </c>
      <c r="G2310" s="17">
        <v>3272.5</v>
      </c>
      <c r="H2310" s="17">
        <v>4839.1000000000004</v>
      </c>
      <c r="I2310" s="6">
        <f>Tabela1[[#This Row],[Valor total]]-Tabela1[[#This Row],[Valor custo]]</f>
        <v>1566.6000000000004</v>
      </c>
      <c r="J2310" s="7">
        <f>Tabela1[[#This Row],[MARGEM BRUTA]]/Tabela1[[#This Row],[Valor total]]</f>
        <v>0.32373788514393176</v>
      </c>
      <c r="K2310" s="1" t="str">
        <f>VLOOKUP(Tabela1[[#This Row],[Cliente]],'BASE DE CLIENTES'!A:D,4,0)</f>
        <v>SERRALHEIRO</v>
      </c>
      <c r="L2310" s="1" t="str">
        <f>VLOOKUP(Tabela1[[#This Row],[Cliente]],'BASE DE CLIENTES'!A:E,5,0)</f>
        <v>Rio Verde</v>
      </c>
    </row>
    <row r="2311" spans="2:12" x14ac:dyDescent="0.3">
      <c r="B2311" s="1" t="s">
        <v>291</v>
      </c>
      <c r="C2311" s="4" t="str">
        <f>VLOOKUP(Tabela1[[#This Row],[Cliente]],'BASE DE CLIENTES'!A:E,2,0)</f>
        <v>Rio Verde</v>
      </c>
      <c r="D2311" s="1" t="str">
        <f>VLOOKUP(Tabela1[[#This Row],[Cliente]],'BASE DE CLIENTES'!A:C,3,0)</f>
        <v>GO</v>
      </c>
      <c r="E2311" s="4" t="str">
        <f>CONCATENATE(Tabela1[[#This Row],[CIDADE]],",",Tabela1[[#This Row],[UF]])</f>
        <v>Rio Verde,GO</v>
      </c>
      <c r="F2311" s="2">
        <v>45901</v>
      </c>
      <c r="G2311" s="17">
        <v>382.3</v>
      </c>
      <c r="H2311" s="17">
        <v>615</v>
      </c>
      <c r="I2311" s="6">
        <f>Tabela1[[#This Row],[Valor total]]-Tabela1[[#This Row],[Valor custo]]</f>
        <v>232.7</v>
      </c>
      <c r="J2311" s="7">
        <f>Tabela1[[#This Row],[MARGEM BRUTA]]/Tabela1[[#This Row],[Valor total]]</f>
        <v>0.37837398373983738</v>
      </c>
      <c r="K2311" s="1" t="str">
        <f>VLOOKUP(Tabela1[[#This Row],[Cliente]],'BASE DE CLIENTES'!A:D,4,0)</f>
        <v>EMPRESA COM MAQUINA</v>
      </c>
      <c r="L2311" s="1" t="str">
        <f>VLOOKUP(Tabela1[[#This Row],[Cliente]],'BASE DE CLIENTES'!A:E,5,0)</f>
        <v>Rio Verde</v>
      </c>
    </row>
    <row r="2312" spans="2:12" x14ac:dyDescent="0.3">
      <c r="B2312" s="1" t="s">
        <v>293</v>
      </c>
      <c r="C2312" s="4" t="str">
        <f>VLOOKUP(Tabela1[[#This Row],[Cliente]],'BASE DE CLIENTES'!A:E,2,0)</f>
        <v>Brasília</v>
      </c>
      <c r="D2312" s="1" t="str">
        <f>VLOOKUP(Tabela1[[#This Row],[Cliente]],'BASE DE CLIENTES'!A:C,3,0)</f>
        <v>DF</v>
      </c>
      <c r="E2312" s="4" t="str">
        <f>CONCATENATE(Tabela1[[#This Row],[CIDADE]],",",Tabela1[[#This Row],[UF]])</f>
        <v>Brasília,DF</v>
      </c>
      <c r="F2312" s="2">
        <v>45678</v>
      </c>
      <c r="G2312" s="17">
        <v>1062.9000000000001</v>
      </c>
      <c r="H2312" s="17">
        <v>1570</v>
      </c>
      <c r="I2312" s="6">
        <f>Tabela1[[#This Row],[Valor total]]-Tabela1[[#This Row],[Valor custo]]</f>
        <v>507.09999999999991</v>
      </c>
      <c r="J2312" s="7">
        <f>Tabela1[[#This Row],[MARGEM BRUTA]]/Tabela1[[#This Row],[Valor total]]</f>
        <v>0.32299363057324837</v>
      </c>
      <c r="K2312" s="1" t="str">
        <f>VLOOKUP(Tabela1[[#This Row],[Cliente]],'BASE DE CLIENTES'!A:D,4,0)</f>
        <v>SERRALHEIRO</v>
      </c>
      <c r="L2312" s="1" t="str">
        <f>VLOOKUP(Tabela1[[#This Row],[Cliente]],'BASE DE CLIENTES'!A:E,5,0)</f>
        <v>NA</v>
      </c>
    </row>
    <row r="2313" spans="2:12" x14ac:dyDescent="0.3">
      <c r="B2313" s="1" t="s">
        <v>27</v>
      </c>
      <c r="C2313" s="4" t="str">
        <f>VLOOKUP(Tabela1[[#This Row],[Cliente]],'BASE DE CLIENTES'!A:E,2,0)</f>
        <v>Brasília</v>
      </c>
      <c r="D2313" s="1" t="str">
        <f>VLOOKUP(Tabela1[[#This Row],[Cliente]],'BASE DE CLIENTES'!A:C,3,0)</f>
        <v>DF</v>
      </c>
      <c r="E2313" s="4" t="str">
        <f>CONCATENATE(Tabela1[[#This Row],[CIDADE]],",",Tabela1[[#This Row],[UF]])</f>
        <v>Brasília,DF</v>
      </c>
      <c r="F2313" s="2">
        <v>45924</v>
      </c>
      <c r="G2313" s="17">
        <v>1146.9000000000001</v>
      </c>
      <c r="H2313" s="17">
        <v>1695</v>
      </c>
      <c r="I2313" s="6">
        <f>Tabela1[[#This Row],[Valor total]]-Tabela1[[#This Row],[Valor custo]]</f>
        <v>548.09999999999991</v>
      </c>
      <c r="J2313" s="7">
        <f>Tabela1[[#This Row],[MARGEM BRUTA]]/Tabela1[[#This Row],[Valor total]]</f>
        <v>0.32336283185840703</v>
      </c>
      <c r="K2313" s="1" t="str">
        <f>VLOOKUP(Tabela1[[#This Row],[Cliente]],'BASE DE CLIENTES'!A:D,4,0)</f>
        <v>EMPRESA SEM MAQUINA</v>
      </c>
      <c r="L2313" s="1" t="str">
        <f>VLOOKUP(Tabela1[[#This Row],[Cliente]],'BASE DE CLIENTES'!A:E,5,0)</f>
        <v>RECANTO DAS EMAS</v>
      </c>
    </row>
    <row r="2314" spans="2:12" x14ac:dyDescent="0.3">
      <c r="B2314" s="1" t="s">
        <v>140</v>
      </c>
      <c r="C2314" s="4" t="str">
        <f>VLOOKUP(Tabela1[[#This Row],[Cliente]],'BASE DE CLIENTES'!A:E,2,0)</f>
        <v>Brasília</v>
      </c>
      <c r="D2314" s="1" t="str">
        <f>VLOOKUP(Tabela1[[#This Row],[Cliente]],'BASE DE CLIENTES'!A:C,3,0)</f>
        <v>DF</v>
      </c>
      <c r="E2314" s="4" t="str">
        <f>CONCATENATE(Tabela1[[#This Row],[CIDADE]],",",Tabela1[[#This Row],[UF]])</f>
        <v>Brasília,DF</v>
      </c>
      <c r="F2314" s="2">
        <v>45924</v>
      </c>
      <c r="G2314" s="17">
        <v>3054.8</v>
      </c>
      <c r="H2314" s="17">
        <v>7180</v>
      </c>
      <c r="I2314" s="6">
        <f>Tabela1[[#This Row],[Valor total]]-Tabela1[[#This Row],[Valor custo]]</f>
        <v>4125.2</v>
      </c>
      <c r="J2314" s="7">
        <f>Tabela1[[#This Row],[MARGEM BRUTA]]/Tabela1[[#This Row],[Valor total]]</f>
        <v>0.57454038997214485</v>
      </c>
      <c r="K2314" s="1" t="str">
        <f>VLOOKUP(Tabela1[[#This Row],[Cliente]],'BASE DE CLIENTES'!A:D,4,0)</f>
        <v>EMPRESA COM MAQUINA</v>
      </c>
      <c r="L2314" s="1" t="str">
        <f>VLOOKUP(Tabela1[[#This Row],[Cliente]],'BASE DE CLIENTES'!A:E,5,0)</f>
        <v>RECANTO DAS EMAS</v>
      </c>
    </row>
    <row r="2315" spans="2:12" x14ac:dyDescent="0.3">
      <c r="B2315" s="1" t="s">
        <v>295</v>
      </c>
      <c r="C2315" s="4" t="str">
        <f>VLOOKUP(Tabela1[[#This Row],[Cliente]],'BASE DE CLIENTES'!A:E,2,0)</f>
        <v>Santarém</v>
      </c>
      <c r="D2315" s="1" t="str">
        <f>VLOOKUP(Tabela1[[#This Row],[Cliente]],'BASE DE CLIENTES'!A:C,3,0)</f>
        <v>PA</v>
      </c>
      <c r="E2315" s="4" t="str">
        <f>CONCATENATE(Tabela1[[#This Row],[CIDADE]],",",Tabela1[[#This Row],[UF]])</f>
        <v>Santarém,PA</v>
      </c>
      <c r="F2315" s="2">
        <v>45726</v>
      </c>
      <c r="G2315" s="17">
        <v>10713.75</v>
      </c>
      <c r="H2315" s="17">
        <v>13520</v>
      </c>
      <c r="I2315" s="6">
        <f>Tabela1[[#This Row],[Valor total]]-Tabela1[[#This Row],[Valor custo]]</f>
        <v>2806.25</v>
      </c>
      <c r="J2315" s="7">
        <f>Tabela1[[#This Row],[MARGEM BRUTA]]/Tabela1[[#This Row],[Valor total]]</f>
        <v>0.2075628698224852</v>
      </c>
      <c r="K2315" s="1" t="str">
        <f>VLOOKUP(Tabela1[[#This Row],[Cliente]],'BASE DE CLIENTES'!A:D,4,0)</f>
        <v>EMPRESA COM MAQUINA</v>
      </c>
      <c r="L2315" s="1" t="str">
        <f>VLOOKUP(Tabela1[[#This Row],[Cliente]],'BASE DE CLIENTES'!A:E,5,0)</f>
        <v>Santarém</v>
      </c>
    </row>
    <row r="2316" spans="2:12" x14ac:dyDescent="0.3">
      <c r="B2316" s="1" t="s">
        <v>296</v>
      </c>
      <c r="C2316" s="4" t="str">
        <f>VLOOKUP(Tabela1[[#This Row],[Cliente]],'BASE DE CLIENTES'!A:E,2,0)</f>
        <v>Santo Antônio Descoberto</v>
      </c>
      <c r="D2316" s="1" t="str">
        <f>VLOOKUP(Tabela1[[#This Row],[Cliente]],'BASE DE CLIENTES'!A:C,3,0)</f>
        <v>GO</v>
      </c>
      <c r="E2316" s="4" t="str">
        <f>CONCATENATE(Tabela1[[#This Row],[CIDADE]],",",Tabela1[[#This Row],[UF]])</f>
        <v>Santo Antônio Descoberto,GO</v>
      </c>
      <c r="F2316" s="2">
        <v>45769</v>
      </c>
      <c r="G2316" s="17">
        <v>65</v>
      </c>
      <c r="H2316" s="17">
        <v>100</v>
      </c>
      <c r="I2316" s="6">
        <f>Tabela1[[#This Row],[Valor total]]-Tabela1[[#This Row],[Valor custo]]</f>
        <v>35</v>
      </c>
      <c r="J2316" s="7">
        <f>Tabela1[[#This Row],[MARGEM BRUTA]]/Tabela1[[#This Row],[Valor total]]</f>
        <v>0.35</v>
      </c>
      <c r="K2316" s="1" t="str">
        <f>VLOOKUP(Tabela1[[#This Row],[Cliente]],'BASE DE CLIENTES'!A:D,4,0)</f>
        <v>EMPRESA COM MAQUINA</v>
      </c>
      <c r="L2316" s="1" t="str">
        <f>VLOOKUP(Tabela1[[#This Row],[Cliente]],'BASE DE CLIENTES'!A:E,5,0)</f>
        <v>Santo Antônio Descoberto</v>
      </c>
    </row>
    <row r="2317" spans="2:12" x14ac:dyDescent="0.3">
      <c r="B2317" s="1" t="s">
        <v>297</v>
      </c>
      <c r="C2317" s="4" t="str">
        <f>VLOOKUP(Tabela1[[#This Row],[Cliente]],'BASE DE CLIENTES'!A:E,2,0)</f>
        <v>Brasília</v>
      </c>
      <c r="D2317" s="1" t="str">
        <f>VLOOKUP(Tabela1[[#This Row],[Cliente]],'BASE DE CLIENTES'!A:C,3,0)</f>
        <v>DF</v>
      </c>
      <c r="E2317" s="4" t="str">
        <f>CONCATENATE(Tabela1[[#This Row],[CIDADE]],",",Tabela1[[#This Row],[UF]])</f>
        <v>Brasília,DF</v>
      </c>
      <c r="F2317" s="2">
        <v>45744</v>
      </c>
      <c r="G2317" s="17">
        <v>521</v>
      </c>
      <c r="H2317" s="17">
        <v>840</v>
      </c>
      <c r="I2317" s="6">
        <f>Tabela1[[#This Row],[Valor total]]-Tabela1[[#This Row],[Valor custo]]</f>
        <v>319</v>
      </c>
      <c r="J2317" s="7">
        <f>Tabela1[[#This Row],[MARGEM BRUTA]]/Tabela1[[#This Row],[Valor total]]</f>
        <v>0.37976190476190474</v>
      </c>
      <c r="K2317" s="1" t="str">
        <f>VLOOKUP(Tabela1[[#This Row],[Cliente]],'BASE DE CLIENTES'!A:D,4,0)</f>
        <v>SERRALHEIRO</v>
      </c>
      <c r="L2317" s="1" t="str">
        <f>VLOOKUP(Tabela1[[#This Row],[Cliente]],'BASE DE CLIENTES'!A:E,5,0)</f>
        <v>NA</v>
      </c>
    </row>
    <row r="2318" spans="2:12" x14ac:dyDescent="0.3">
      <c r="B2318" s="1" t="s">
        <v>96</v>
      </c>
      <c r="C2318" s="4" t="str">
        <f>VLOOKUP(Tabela1[[#This Row],[Cliente]],'BASE DE CLIENTES'!A:E,2,0)</f>
        <v>Brasília</v>
      </c>
      <c r="D2318" s="1" t="str">
        <f>VLOOKUP(Tabela1[[#This Row],[Cliente]],'BASE DE CLIENTES'!A:C,3,0)</f>
        <v>DF</v>
      </c>
      <c r="E2318" s="4" t="str">
        <f>CONCATENATE(Tabela1[[#This Row],[CIDADE]],",",Tabela1[[#This Row],[UF]])</f>
        <v>Brasília,DF</v>
      </c>
      <c r="F2318" s="2">
        <v>45923</v>
      </c>
      <c r="G2318" s="17">
        <v>477</v>
      </c>
      <c r="H2318" s="17">
        <v>660</v>
      </c>
      <c r="I2318" s="6">
        <f>Tabela1[[#This Row],[Valor total]]-Tabela1[[#This Row],[Valor custo]]</f>
        <v>183</v>
      </c>
      <c r="J2318" s="7">
        <f>Tabela1[[#This Row],[MARGEM BRUTA]]/Tabela1[[#This Row],[Valor total]]</f>
        <v>0.27727272727272728</v>
      </c>
      <c r="K2318" s="1" t="str">
        <f>VLOOKUP(Tabela1[[#This Row],[Cliente]],'BASE DE CLIENTES'!A:D,4,0)</f>
        <v>EMPRESA SEM MAQUINA</v>
      </c>
      <c r="L2318" s="1" t="str">
        <f>VLOOKUP(Tabela1[[#This Row],[Cliente]],'BASE DE CLIENTES'!A:E,5,0)</f>
        <v>CEILANDIA NORTE (CEILANDIA)</v>
      </c>
    </row>
    <row r="2319" spans="2:12" x14ac:dyDescent="0.3">
      <c r="B2319" s="1" t="s">
        <v>298</v>
      </c>
      <c r="C2319" s="4" t="str">
        <f>VLOOKUP(Tabela1[[#This Row],[Cliente]],'BASE DE CLIENTES'!A:E,2,0)</f>
        <v>Brasília</v>
      </c>
      <c r="D2319" s="1" t="str">
        <f>VLOOKUP(Tabela1[[#This Row],[Cliente]],'BASE DE CLIENTES'!A:C,3,0)</f>
        <v>DF</v>
      </c>
      <c r="E2319" s="4" t="str">
        <f>CONCATENATE(Tabela1[[#This Row],[CIDADE]],",",Tabela1[[#This Row],[UF]])</f>
        <v>Brasília,DF</v>
      </c>
      <c r="F2319" s="2">
        <v>45923</v>
      </c>
      <c r="G2319" s="17">
        <v>477</v>
      </c>
      <c r="H2319" s="17">
        <v>700</v>
      </c>
      <c r="I2319" s="6">
        <f>Tabela1[[#This Row],[Valor total]]-Tabela1[[#This Row],[Valor custo]]</f>
        <v>223</v>
      </c>
      <c r="J2319" s="7">
        <f>Tabela1[[#This Row],[MARGEM BRUTA]]/Tabela1[[#This Row],[Valor total]]</f>
        <v>0.31857142857142856</v>
      </c>
      <c r="K2319" s="1" t="str">
        <f>VLOOKUP(Tabela1[[#This Row],[Cliente]],'BASE DE CLIENTES'!A:D,4,0)</f>
        <v>SERRALHEIRO</v>
      </c>
      <c r="L2319" s="1" t="str">
        <f>VLOOKUP(Tabela1[[#This Row],[Cliente]],'BASE DE CLIENTES'!A:E,5,0)</f>
        <v>SETOR DE MANSOES DE SOBRADINHO</v>
      </c>
    </row>
    <row r="2320" spans="2:12" x14ac:dyDescent="0.3">
      <c r="B2320" s="1" t="s">
        <v>97</v>
      </c>
      <c r="C2320" s="4" t="str">
        <f>VLOOKUP(Tabela1[[#This Row],[Cliente]],'BASE DE CLIENTES'!A:E,2,0)</f>
        <v>Brasília</v>
      </c>
      <c r="D2320" s="1" t="str">
        <f>VLOOKUP(Tabela1[[#This Row],[Cliente]],'BASE DE CLIENTES'!A:C,3,0)</f>
        <v>DF</v>
      </c>
      <c r="E2320" s="4" t="str">
        <f>CONCATENATE(Tabela1[[#This Row],[CIDADE]],",",Tabela1[[#This Row],[UF]])</f>
        <v>Brasília,DF</v>
      </c>
      <c r="F2320" s="2">
        <v>45923</v>
      </c>
      <c r="G2320" s="17">
        <v>382.3</v>
      </c>
      <c r="H2320" s="17">
        <v>650</v>
      </c>
      <c r="I2320" s="6">
        <f>Tabela1[[#This Row],[Valor total]]-Tabela1[[#This Row],[Valor custo]]</f>
        <v>267.7</v>
      </c>
      <c r="J2320" s="7">
        <f>Tabela1[[#This Row],[MARGEM BRUTA]]/Tabela1[[#This Row],[Valor total]]</f>
        <v>0.41184615384615381</v>
      </c>
      <c r="K2320" s="1" t="str">
        <f>VLOOKUP(Tabela1[[#This Row],[Cliente]],'BASE DE CLIENTES'!A:D,4,0)</f>
        <v>SERRALHEIRO</v>
      </c>
      <c r="L2320" s="1" t="str">
        <f>VLOOKUP(Tabela1[[#This Row],[Cliente]],'BASE DE CLIENTES'!A:E,5,0)</f>
        <v>CEILANDIA NORTE</v>
      </c>
    </row>
    <row r="2321" spans="2:12" x14ac:dyDescent="0.3">
      <c r="B2321" s="1" t="s">
        <v>106</v>
      </c>
      <c r="C2321" s="4" t="str">
        <f>VLOOKUP(Tabela1[[#This Row],[Cliente]],'BASE DE CLIENTES'!A:E,2,0)</f>
        <v>Brasília</v>
      </c>
      <c r="D2321" s="1" t="str">
        <f>VLOOKUP(Tabela1[[#This Row],[Cliente]],'BASE DE CLIENTES'!A:C,3,0)</f>
        <v>DF</v>
      </c>
      <c r="E2321" s="4" t="str">
        <f>CONCATENATE(Tabela1[[#This Row],[CIDADE]],",",Tabela1[[#This Row],[UF]])</f>
        <v>Brasília,DF</v>
      </c>
      <c r="F2321" s="2">
        <v>45923</v>
      </c>
      <c r="G2321" s="17">
        <v>764.6</v>
      </c>
      <c r="H2321" s="17">
        <v>1200</v>
      </c>
      <c r="I2321" s="6">
        <f>Tabela1[[#This Row],[Valor total]]-Tabela1[[#This Row],[Valor custo]]</f>
        <v>435.4</v>
      </c>
      <c r="J2321" s="7">
        <f>Tabela1[[#This Row],[MARGEM BRUTA]]/Tabela1[[#This Row],[Valor total]]</f>
        <v>0.36283333333333334</v>
      </c>
      <c r="K2321" s="1" t="str">
        <f>VLOOKUP(Tabela1[[#This Row],[Cliente]],'BASE DE CLIENTES'!A:D,4,0)</f>
        <v>EMPRESA COM MAQUINA</v>
      </c>
      <c r="L2321" s="1" t="str">
        <f>VLOOKUP(Tabela1[[#This Row],[Cliente]],'BASE DE CLIENTES'!A:E,5,0)</f>
        <v>26 DE SETEMBRO</v>
      </c>
    </row>
    <row r="2322" spans="2:12" x14ac:dyDescent="0.3">
      <c r="B2322" s="1" t="s">
        <v>128</v>
      </c>
      <c r="C2322" s="4" t="str">
        <f>VLOOKUP(Tabela1[[#This Row],[Cliente]],'BASE DE CLIENTES'!A:E,2,0)</f>
        <v>Brasília</v>
      </c>
      <c r="D2322" s="1" t="str">
        <f>VLOOKUP(Tabela1[[#This Row],[Cliente]],'BASE DE CLIENTES'!A:C,3,0)</f>
        <v>DF</v>
      </c>
      <c r="E2322" s="4" t="str">
        <f>CONCATENATE(Tabela1[[#This Row],[CIDADE]],",",Tabela1[[#This Row],[UF]])</f>
        <v>Brasília,DF</v>
      </c>
      <c r="F2322" s="2">
        <v>45923</v>
      </c>
      <c r="G2322" s="17">
        <v>1610.63</v>
      </c>
      <c r="H2322" s="17">
        <v>3100</v>
      </c>
      <c r="I2322" s="6">
        <f>Tabela1[[#This Row],[Valor total]]-Tabela1[[#This Row],[Valor custo]]</f>
        <v>1489.37</v>
      </c>
      <c r="J2322" s="7">
        <f>Tabela1[[#This Row],[MARGEM BRUTA]]/Tabela1[[#This Row],[Valor total]]</f>
        <v>0.48044193548387093</v>
      </c>
      <c r="K2322" s="1" t="str">
        <f>VLOOKUP(Tabela1[[#This Row],[Cliente]],'BASE DE CLIENTES'!A:D,4,0)</f>
        <v>SERRALHEIRO</v>
      </c>
      <c r="L2322" s="1" t="str">
        <f>VLOOKUP(Tabela1[[#This Row],[Cliente]],'BASE DE CLIENTES'!A:E,5,0)</f>
        <v>TAGUATINGA NORTE</v>
      </c>
    </row>
    <row r="2323" spans="2:12" x14ac:dyDescent="0.3">
      <c r="B2323" s="1" t="s">
        <v>111</v>
      </c>
      <c r="C2323" s="4" t="str">
        <f>VLOOKUP(Tabela1[[#This Row],[Cliente]],'BASE DE CLIENTES'!A:E,2,0)</f>
        <v>Brasília</v>
      </c>
      <c r="D2323" s="1" t="str">
        <f>VLOOKUP(Tabela1[[#This Row],[Cliente]],'BASE DE CLIENTES'!A:C,3,0)</f>
        <v>DF</v>
      </c>
      <c r="E2323" s="4" t="str">
        <f>CONCATENATE(Tabela1[[#This Row],[CIDADE]],",",Tabela1[[#This Row],[UF]])</f>
        <v>Brasília,DF</v>
      </c>
      <c r="F2323" s="2">
        <v>45923</v>
      </c>
      <c r="G2323" s="17">
        <v>3819.3</v>
      </c>
      <c r="H2323" s="17">
        <v>6700</v>
      </c>
      <c r="I2323" s="6">
        <f>Tabela1[[#This Row],[Valor total]]-Tabela1[[#This Row],[Valor custo]]</f>
        <v>2880.7</v>
      </c>
      <c r="J2323" s="7">
        <f>Tabela1[[#This Row],[MARGEM BRUTA]]/Tabela1[[#This Row],[Valor total]]</f>
        <v>0.42995522388059698</v>
      </c>
      <c r="K2323" s="1" t="str">
        <f>VLOOKUP(Tabela1[[#This Row],[Cliente]],'BASE DE CLIENTES'!A:D,4,0)</f>
        <v>EMPRESA SEM MAQUINA</v>
      </c>
      <c r="L2323" s="1" t="str">
        <f>VLOOKUP(Tabela1[[#This Row],[Cliente]],'BASE DE CLIENTES'!A:E,5,0)</f>
        <v>TAGUATINGA SUL (TAGUATINGA)</v>
      </c>
    </row>
    <row r="2324" spans="2:12" x14ac:dyDescent="0.3">
      <c r="B2324" s="1" t="s">
        <v>296</v>
      </c>
      <c r="C2324" s="4" t="str">
        <f>VLOOKUP(Tabela1[[#This Row],[Cliente]],'BASE DE CLIENTES'!A:E,2,0)</f>
        <v>Santo Antônio Descoberto</v>
      </c>
      <c r="D2324" s="1" t="str">
        <f>VLOOKUP(Tabela1[[#This Row],[Cliente]],'BASE DE CLIENTES'!A:C,3,0)</f>
        <v>GO</v>
      </c>
      <c r="E2324" s="4" t="str">
        <f>CONCATENATE(Tabela1[[#This Row],[CIDADE]],",",Tabela1[[#This Row],[UF]])</f>
        <v>Santo Antônio Descoberto,GO</v>
      </c>
      <c r="F2324" s="2">
        <v>45769</v>
      </c>
      <c r="G2324" s="17">
        <v>1731</v>
      </c>
      <c r="H2324" s="17">
        <v>2470</v>
      </c>
      <c r="I2324" s="6">
        <f>Tabela1[[#This Row],[Valor total]]-Tabela1[[#This Row],[Valor custo]]</f>
        <v>739</v>
      </c>
      <c r="J2324" s="7">
        <f>Tabela1[[#This Row],[MARGEM BRUTA]]/Tabela1[[#This Row],[Valor total]]</f>
        <v>0.29919028340080972</v>
      </c>
      <c r="K2324" s="1" t="str">
        <f>VLOOKUP(Tabela1[[#This Row],[Cliente]],'BASE DE CLIENTES'!A:D,4,0)</f>
        <v>EMPRESA COM MAQUINA</v>
      </c>
      <c r="L2324" s="1" t="str">
        <f>VLOOKUP(Tabela1[[#This Row],[Cliente]],'BASE DE CLIENTES'!A:E,5,0)</f>
        <v>Santo Antônio Descoberto</v>
      </c>
    </row>
    <row r="2325" spans="2:12" x14ac:dyDescent="0.3">
      <c r="B2325" s="1" t="s">
        <v>165</v>
      </c>
      <c r="C2325" s="4" t="str">
        <f>VLOOKUP(Tabela1[[#This Row],[Cliente]],'BASE DE CLIENTES'!A:E,2,0)</f>
        <v>Brasília</v>
      </c>
      <c r="D2325" s="1" t="str">
        <f>VLOOKUP(Tabela1[[#This Row],[Cliente]],'BASE DE CLIENTES'!A:C,3,0)</f>
        <v>DF</v>
      </c>
      <c r="E2325" s="4" t="str">
        <f>CONCATENATE(Tabela1[[#This Row],[CIDADE]],",",Tabela1[[#This Row],[UF]])</f>
        <v>Brasília,DF</v>
      </c>
      <c r="F2325" s="2">
        <v>45923</v>
      </c>
      <c r="G2325" s="17">
        <v>432.79</v>
      </c>
      <c r="H2325" s="17">
        <v>550</v>
      </c>
      <c r="I2325" s="6">
        <f>Tabela1[[#This Row],[Valor total]]-Tabela1[[#This Row],[Valor custo]]</f>
        <v>117.20999999999998</v>
      </c>
      <c r="J2325" s="7">
        <f>Tabela1[[#This Row],[MARGEM BRUTA]]/Tabela1[[#This Row],[Valor total]]</f>
        <v>0.21310909090909086</v>
      </c>
      <c r="K2325" s="1" t="str">
        <f>VLOOKUP(Tabela1[[#This Row],[Cliente]],'BASE DE CLIENTES'!A:D,4,0)</f>
        <v>EMPRESA SEM MAQUINA</v>
      </c>
      <c r="L2325" s="1" t="str">
        <f>VLOOKUP(Tabela1[[#This Row],[Cliente]],'BASE DE CLIENTES'!A:E,5,0)</f>
        <v>SETOR HABITACIONAL VICENTE PIRES</v>
      </c>
    </row>
    <row r="2326" spans="2:12" x14ac:dyDescent="0.3">
      <c r="B2326" s="1" t="s">
        <v>27</v>
      </c>
      <c r="C2326" s="4" t="str">
        <f>VLOOKUP(Tabela1[[#This Row],[Cliente]],'BASE DE CLIENTES'!A:E,2,0)</f>
        <v>Brasília</v>
      </c>
      <c r="D2326" s="1" t="str">
        <f>VLOOKUP(Tabela1[[#This Row],[Cliente]],'BASE DE CLIENTES'!A:C,3,0)</f>
        <v>DF</v>
      </c>
      <c r="E2326" s="4" t="str">
        <f>CONCATENATE(Tabela1[[#This Row],[CIDADE]],",",Tabela1[[#This Row],[UF]])</f>
        <v>Brasília,DF</v>
      </c>
      <c r="F2326" s="2">
        <v>45923</v>
      </c>
      <c r="G2326" s="17">
        <v>739</v>
      </c>
      <c r="H2326" s="17">
        <v>1300</v>
      </c>
      <c r="I2326" s="6">
        <f>Tabela1[[#This Row],[Valor total]]-Tabela1[[#This Row],[Valor custo]]</f>
        <v>561</v>
      </c>
      <c r="J2326" s="7">
        <f>Tabela1[[#This Row],[MARGEM BRUTA]]/Tabela1[[#This Row],[Valor total]]</f>
        <v>0.43153846153846154</v>
      </c>
      <c r="K2326" s="1" t="str">
        <f>VLOOKUP(Tabela1[[#This Row],[Cliente]],'BASE DE CLIENTES'!A:D,4,0)</f>
        <v>EMPRESA SEM MAQUINA</v>
      </c>
      <c r="L2326" s="1" t="str">
        <f>VLOOKUP(Tabela1[[#This Row],[Cliente]],'BASE DE CLIENTES'!A:E,5,0)</f>
        <v>RECANTO DAS EMAS</v>
      </c>
    </row>
    <row r="2327" spans="2:12" x14ac:dyDescent="0.3">
      <c r="B2327" s="1" t="s">
        <v>296</v>
      </c>
      <c r="C2327" s="4" t="str">
        <f>VLOOKUP(Tabela1[[#This Row],[Cliente]],'BASE DE CLIENTES'!A:E,2,0)</f>
        <v>Santo Antônio Descoberto</v>
      </c>
      <c r="D2327" s="1" t="str">
        <f>VLOOKUP(Tabela1[[#This Row],[Cliente]],'BASE DE CLIENTES'!A:C,3,0)</f>
        <v>GO</v>
      </c>
      <c r="E2327" s="4" t="str">
        <f>CONCATENATE(Tabela1[[#This Row],[CIDADE]],",",Tabela1[[#This Row],[UF]])</f>
        <v>Santo Antônio Descoberto,GO</v>
      </c>
      <c r="F2327" s="2">
        <v>45756</v>
      </c>
      <c r="G2327" s="17">
        <v>2170.7399999999998</v>
      </c>
      <c r="H2327" s="17">
        <v>3470</v>
      </c>
      <c r="I2327" s="6">
        <f>Tabela1[[#This Row],[Valor total]]-Tabela1[[#This Row],[Valor custo]]</f>
        <v>1299.2600000000002</v>
      </c>
      <c r="J2327" s="7">
        <f>Tabela1[[#This Row],[MARGEM BRUTA]]/Tabela1[[#This Row],[Valor total]]</f>
        <v>0.37442651296829976</v>
      </c>
      <c r="K2327" s="1" t="str">
        <f>VLOOKUP(Tabela1[[#This Row],[Cliente]],'BASE DE CLIENTES'!A:D,4,0)</f>
        <v>EMPRESA COM MAQUINA</v>
      </c>
      <c r="L2327" s="1" t="str">
        <f>VLOOKUP(Tabela1[[#This Row],[Cliente]],'BASE DE CLIENTES'!A:E,5,0)</f>
        <v>Santo Antônio Descoberto</v>
      </c>
    </row>
    <row r="2328" spans="2:12" x14ac:dyDescent="0.3">
      <c r="B2328" s="1" t="s">
        <v>106</v>
      </c>
      <c r="C2328" s="4" t="str">
        <f>VLOOKUP(Tabela1[[#This Row],[Cliente]],'BASE DE CLIENTES'!A:E,2,0)</f>
        <v>Brasília</v>
      </c>
      <c r="D2328" s="1" t="str">
        <f>VLOOKUP(Tabela1[[#This Row],[Cliente]],'BASE DE CLIENTES'!A:C,3,0)</f>
        <v>DF</v>
      </c>
      <c r="E2328" s="4" t="str">
        <f>CONCATENATE(Tabela1[[#This Row],[CIDADE]],",",Tabela1[[#This Row],[UF]])</f>
        <v>Brasília,DF</v>
      </c>
      <c r="F2328" s="2">
        <v>45923</v>
      </c>
      <c r="G2328" s="17">
        <v>693</v>
      </c>
      <c r="H2328" s="17">
        <v>1450</v>
      </c>
      <c r="I2328" s="6">
        <f>Tabela1[[#This Row],[Valor total]]-Tabela1[[#This Row],[Valor custo]]</f>
        <v>757</v>
      </c>
      <c r="J2328" s="7">
        <f>Tabela1[[#This Row],[MARGEM BRUTA]]/Tabela1[[#This Row],[Valor total]]</f>
        <v>0.52206896551724136</v>
      </c>
      <c r="K2328" s="1" t="str">
        <f>VLOOKUP(Tabela1[[#This Row],[Cliente]],'BASE DE CLIENTES'!A:D,4,0)</f>
        <v>EMPRESA COM MAQUINA</v>
      </c>
      <c r="L2328" s="1" t="str">
        <f>VLOOKUP(Tabela1[[#This Row],[Cliente]],'BASE DE CLIENTES'!A:E,5,0)</f>
        <v>26 DE SETEMBRO</v>
      </c>
    </row>
    <row r="2329" spans="2:12" x14ac:dyDescent="0.3">
      <c r="B2329" s="1" t="s">
        <v>78</v>
      </c>
      <c r="C2329" s="4" t="str">
        <f>VLOOKUP(Tabela1[[#This Row],[Cliente]],'BASE DE CLIENTES'!A:E,2,0)</f>
        <v>Brasília</v>
      </c>
      <c r="D2329" s="1" t="str">
        <f>VLOOKUP(Tabela1[[#This Row],[Cliente]],'BASE DE CLIENTES'!A:C,3,0)</f>
        <v>DF</v>
      </c>
      <c r="E2329" s="4" t="str">
        <f>CONCATENATE(Tabela1[[#This Row],[CIDADE]],",",Tabela1[[#This Row],[UF]])</f>
        <v>Brasília,DF</v>
      </c>
      <c r="F2329" s="2">
        <v>45923</v>
      </c>
      <c r="G2329" s="17">
        <v>382.3</v>
      </c>
      <c r="H2329" s="17">
        <v>700</v>
      </c>
      <c r="I2329" s="6">
        <f>Tabela1[[#This Row],[Valor total]]-Tabela1[[#This Row],[Valor custo]]</f>
        <v>317.7</v>
      </c>
      <c r="J2329" s="7">
        <f>Tabela1[[#This Row],[MARGEM BRUTA]]/Tabela1[[#This Row],[Valor total]]</f>
        <v>0.45385714285714285</v>
      </c>
      <c r="K2329" s="1" t="str">
        <f>VLOOKUP(Tabela1[[#This Row],[Cliente]],'BASE DE CLIENTES'!A:D,4,0)</f>
        <v>SERRALHEIRO</v>
      </c>
      <c r="L2329" s="1" t="str">
        <f>VLOOKUP(Tabela1[[#This Row],[Cliente]],'BASE DE CLIENTES'!A:E,5,0)</f>
        <v>Vila do Boa (São Sebastião)</v>
      </c>
    </row>
    <row r="2330" spans="2:12" x14ac:dyDescent="0.3">
      <c r="B2330" s="1" t="s">
        <v>296</v>
      </c>
      <c r="C2330" s="4" t="str">
        <f>VLOOKUP(Tabela1[[#This Row],[Cliente]],'BASE DE CLIENTES'!A:E,2,0)</f>
        <v>Santo Antônio Descoberto</v>
      </c>
      <c r="D2330" s="1" t="str">
        <f>VLOOKUP(Tabela1[[#This Row],[Cliente]],'BASE DE CLIENTES'!A:C,3,0)</f>
        <v>GO</v>
      </c>
      <c r="E2330" s="4" t="str">
        <f>CONCATENATE(Tabela1[[#This Row],[CIDADE]],",",Tabela1[[#This Row],[UF]])</f>
        <v>Santo Antônio Descoberto,GO</v>
      </c>
      <c r="F2330" s="2">
        <v>45786</v>
      </c>
      <c r="G2330" s="17">
        <v>13.69</v>
      </c>
      <c r="H2330" s="17">
        <v>100</v>
      </c>
      <c r="I2330" s="6">
        <f>Tabela1[[#This Row],[Valor total]]-Tabela1[[#This Row],[Valor custo]]</f>
        <v>86.31</v>
      </c>
      <c r="J2330" s="7">
        <f>Tabela1[[#This Row],[MARGEM BRUTA]]/Tabela1[[#This Row],[Valor total]]</f>
        <v>0.86309999999999998</v>
      </c>
      <c r="K2330" s="1" t="str">
        <f>VLOOKUP(Tabela1[[#This Row],[Cliente]],'BASE DE CLIENTES'!A:D,4,0)</f>
        <v>EMPRESA COM MAQUINA</v>
      </c>
      <c r="L2330" s="1" t="str">
        <f>VLOOKUP(Tabela1[[#This Row],[Cliente]],'BASE DE CLIENTES'!A:E,5,0)</f>
        <v>Santo Antônio Descoberto</v>
      </c>
    </row>
    <row r="2331" spans="2:12" x14ac:dyDescent="0.3">
      <c r="B2331" s="1" t="s">
        <v>296</v>
      </c>
      <c r="C2331" s="4" t="str">
        <f>VLOOKUP(Tabela1[[#This Row],[Cliente]],'BASE DE CLIENTES'!A:E,2,0)</f>
        <v>Santo Antônio Descoberto</v>
      </c>
      <c r="D2331" s="1" t="str">
        <f>VLOOKUP(Tabela1[[#This Row],[Cliente]],'BASE DE CLIENTES'!A:C,3,0)</f>
        <v>GO</v>
      </c>
      <c r="E2331" s="4" t="str">
        <f>CONCATENATE(Tabela1[[#This Row],[CIDADE]],",",Tabela1[[#This Row],[UF]])</f>
        <v>Santo Antônio Descoberto,GO</v>
      </c>
      <c r="F2331" s="2">
        <v>45784</v>
      </c>
      <c r="G2331" s="17">
        <v>2497.6999999999998</v>
      </c>
      <c r="H2331" s="17">
        <v>3545</v>
      </c>
      <c r="I2331" s="6">
        <f>Tabela1[[#This Row],[Valor total]]-Tabela1[[#This Row],[Valor custo]]</f>
        <v>1047.3000000000002</v>
      </c>
      <c r="J2331" s="7">
        <f>Tabela1[[#This Row],[MARGEM BRUTA]]/Tabela1[[#This Row],[Valor total]]</f>
        <v>0.29543018335684068</v>
      </c>
      <c r="K2331" s="1" t="str">
        <f>VLOOKUP(Tabela1[[#This Row],[Cliente]],'BASE DE CLIENTES'!A:D,4,0)</f>
        <v>EMPRESA COM MAQUINA</v>
      </c>
      <c r="L2331" s="1" t="str">
        <f>VLOOKUP(Tabela1[[#This Row],[Cliente]],'BASE DE CLIENTES'!A:E,5,0)</f>
        <v>Santo Antônio Descoberto</v>
      </c>
    </row>
    <row r="2332" spans="2:12" x14ac:dyDescent="0.3">
      <c r="B2332" s="1" t="s">
        <v>230</v>
      </c>
      <c r="C2332" s="4" t="str">
        <f>VLOOKUP(Tabela1[[#This Row],[Cliente]],'BASE DE CLIENTES'!A:E,2,0)</f>
        <v>Brasília</v>
      </c>
      <c r="D2332" s="1" t="str">
        <f>VLOOKUP(Tabela1[[#This Row],[Cliente]],'BASE DE CLIENTES'!A:C,3,0)</f>
        <v>DF</v>
      </c>
      <c r="E2332" s="4" t="str">
        <f>CONCATENATE(Tabela1[[#This Row],[CIDADE]],",",Tabela1[[#This Row],[UF]])</f>
        <v>Brasília,DF</v>
      </c>
      <c r="F2332" s="2">
        <v>45922</v>
      </c>
      <c r="G2332" s="17">
        <v>382.3</v>
      </c>
      <c r="H2332" s="17">
        <v>650</v>
      </c>
      <c r="I2332" s="6">
        <f>Tabela1[[#This Row],[Valor total]]-Tabela1[[#This Row],[Valor custo]]</f>
        <v>267.7</v>
      </c>
      <c r="J2332" s="7">
        <f>Tabela1[[#This Row],[MARGEM BRUTA]]/Tabela1[[#This Row],[Valor total]]</f>
        <v>0.41184615384615381</v>
      </c>
      <c r="K2332" s="1" t="str">
        <f>VLOOKUP(Tabela1[[#This Row],[Cliente]],'BASE DE CLIENTES'!A:D,4,0)</f>
        <v>SERRALHEIRO</v>
      </c>
      <c r="L2332" s="1" t="str">
        <f>VLOOKUP(Tabela1[[#This Row],[Cliente]],'BASE DE CLIENTES'!A:E,5,0)</f>
        <v>SETOR HABITACIONAL SAMAMBAIA (VICENTE PIRES)</v>
      </c>
    </row>
    <row r="2333" spans="2:12" x14ac:dyDescent="0.3">
      <c r="B2333" s="1" t="s">
        <v>296</v>
      </c>
      <c r="C2333" s="4" t="str">
        <f>VLOOKUP(Tabela1[[#This Row],[Cliente]],'BASE DE CLIENTES'!A:E,2,0)</f>
        <v>Santo Antônio Descoberto</v>
      </c>
      <c r="D2333" s="1" t="str">
        <f>VLOOKUP(Tabela1[[#This Row],[Cliente]],'BASE DE CLIENTES'!A:C,3,0)</f>
        <v>GO</v>
      </c>
      <c r="E2333" s="4" t="str">
        <f>CONCATENATE(Tabela1[[#This Row],[CIDADE]],",",Tabela1[[#This Row],[UF]])</f>
        <v>Santo Antônio Descoberto,GO</v>
      </c>
      <c r="F2333" s="2">
        <v>45834</v>
      </c>
      <c r="G2333" s="17">
        <v>5337.13</v>
      </c>
      <c r="H2333" s="17">
        <v>7900</v>
      </c>
      <c r="I2333" s="6">
        <f>Tabela1[[#This Row],[Valor total]]-Tabela1[[#This Row],[Valor custo]]</f>
        <v>2562.87</v>
      </c>
      <c r="J2333" s="7">
        <f>Tabela1[[#This Row],[MARGEM BRUTA]]/Tabela1[[#This Row],[Valor total]]</f>
        <v>0.32441392405063291</v>
      </c>
      <c r="K2333" s="1" t="str">
        <f>VLOOKUP(Tabela1[[#This Row],[Cliente]],'BASE DE CLIENTES'!A:D,4,0)</f>
        <v>EMPRESA COM MAQUINA</v>
      </c>
      <c r="L2333" s="1" t="str">
        <f>VLOOKUP(Tabela1[[#This Row],[Cliente]],'BASE DE CLIENTES'!A:E,5,0)</f>
        <v>Santo Antônio Descoberto</v>
      </c>
    </row>
    <row r="2334" spans="2:12" x14ac:dyDescent="0.3">
      <c r="B2334" s="1" t="s">
        <v>296</v>
      </c>
      <c r="C2334" s="4" t="str">
        <f>VLOOKUP(Tabela1[[#This Row],[Cliente]],'BASE DE CLIENTES'!A:E,2,0)</f>
        <v>Santo Antônio Descoberto</v>
      </c>
      <c r="D2334" s="1" t="str">
        <f>VLOOKUP(Tabela1[[#This Row],[Cliente]],'BASE DE CLIENTES'!A:C,3,0)</f>
        <v>GO</v>
      </c>
      <c r="E2334" s="4" t="str">
        <f>CONCATENATE(Tabela1[[#This Row],[CIDADE]],",",Tabela1[[#This Row],[UF]])</f>
        <v>Santo Antônio Descoberto,GO</v>
      </c>
      <c r="F2334" s="2">
        <v>45826</v>
      </c>
      <c r="G2334" s="17">
        <v>1420</v>
      </c>
      <c r="H2334" s="17">
        <v>2450</v>
      </c>
      <c r="I2334" s="6">
        <f>Tabela1[[#This Row],[Valor total]]-Tabela1[[#This Row],[Valor custo]]</f>
        <v>1030</v>
      </c>
      <c r="J2334" s="7">
        <f>Tabela1[[#This Row],[MARGEM BRUTA]]/Tabela1[[#This Row],[Valor total]]</f>
        <v>0.42040816326530611</v>
      </c>
      <c r="K2334" s="1" t="str">
        <f>VLOOKUP(Tabela1[[#This Row],[Cliente]],'BASE DE CLIENTES'!A:D,4,0)</f>
        <v>EMPRESA COM MAQUINA</v>
      </c>
      <c r="L2334" s="1" t="str">
        <f>VLOOKUP(Tabela1[[#This Row],[Cliente]],'BASE DE CLIENTES'!A:E,5,0)</f>
        <v>Santo Antônio Descoberto</v>
      </c>
    </row>
    <row r="2335" spans="2:12" x14ac:dyDescent="0.3">
      <c r="B2335" s="1" t="s">
        <v>27</v>
      </c>
      <c r="C2335" s="4" t="str">
        <f>VLOOKUP(Tabela1[[#This Row],[Cliente]],'BASE DE CLIENTES'!A:E,2,0)</f>
        <v>Brasília</v>
      </c>
      <c r="D2335" s="1" t="str">
        <f>VLOOKUP(Tabela1[[#This Row],[Cliente]],'BASE DE CLIENTES'!A:C,3,0)</f>
        <v>DF</v>
      </c>
      <c r="E2335" s="4" t="str">
        <f>CONCATENATE(Tabela1[[#This Row],[CIDADE]],",",Tabela1[[#This Row],[UF]])</f>
        <v>Brasília,DF</v>
      </c>
      <c r="F2335" s="2">
        <v>45922</v>
      </c>
      <c r="G2335" s="17">
        <v>382.3</v>
      </c>
      <c r="H2335" s="17">
        <v>465</v>
      </c>
      <c r="I2335" s="6">
        <f>Tabela1[[#This Row],[Valor total]]-Tabela1[[#This Row],[Valor custo]]</f>
        <v>82.699999999999989</v>
      </c>
      <c r="J2335" s="7">
        <f>Tabela1[[#This Row],[MARGEM BRUTA]]/Tabela1[[#This Row],[Valor total]]</f>
        <v>0.17784946236559138</v>
      </c>
      <c r="K2335" s="1" t="str">
        <f>VLOOKUP(Tabela1[[#This Row],[Cliente]],'BASE DE CLIENTES'!A:D,4,0)</f>
        <v>EMPRESA SEM MAQUINA</v>
      </c>
      <c r="L2335" s="1" t="str">
        <f>VLOOKUP(Tabela1[[#This Row],[Cliente]],'BASE DE CLIENTES'!A:E,5,0)</f>
        <v>RECANTO DAS EMAS</v>
      </c>
    </row>
    <row r="2336" spans="2:12" x14ac:dyDescent="0.3">
      <c r="B2336" s="1" t="s">
        <v>296</v>
      </c>
      <c r="C2336" s="4" t="str">
        <f>VLOOKUP(Tabela1[[#This Row],[Cliente]],'BASE DE CLIENTES'!A:E,2,0)</f>
        <v>Santo Antônio Descoberto</v>
      </c>
      <c r="D2336" s="1" t="str">
        <f>VLOOKUP(Tabela1[[#This Row],[Cliente]],'BASE DE CLIENTES'!A:C,3,0)</f>
        <v>GO</v>
      </c>
      <c r="E2336" s="4" t="str">
        <f>CONCATENATE(Tabela1[[#This Row],[CIDADE]],",",Tabela1[[#This Row],[UF]])</f>
        <v>Santo Antônio Descoberto,GO</v>
      </c>
      <c r="F2336" s="2">
        <v>45867</v>
      </c>
      <c r="G2336" s="17">
        <v>1692.39</v>
      </c>
      <c r="H2336" s="17">
        <v>2740</v>
      </c>
      <c r="I2336" s="6">
        <f>Tabela1[[#This Row],[Valor total]]-Tabela1[[#This Row],[Valor custo]]</f>
        <v>1047.6099999999999</v>
      </c>
      <c r="J2336" s="7">
        <f>Tabela1[[#This Row],[MARGEM BRUTA]]/Tabela1[[#This Row],[Valor total]]</f>
        <v>0.38233941605839411</v>
      </c>
      <c r="K2336" s="1" t="str">
        <f>VLOOKUP(Tabela1[[#This Row],[Cliente]],'BASE DE CLIENTES'!A:D,4,0)</f>
        <v>EMPRESA COM MAQUINA</v>
      </c>
      <c r="L2336" s="1" t="str">
        <f>VLOOKUP(Tabela1[[#This Row],[Cliente]],'BASE DE CLIENTES'!A:E,5,0)</f>
        <v>Santo Antônio Descoberto</v>
      </c>
    </row>
    <row r="2337" spans="1:12" x14ac:dyDescent="0.3">
      <c r="B2337" s="1" t="s">
        <v>296</v>
      </c>
      <c r="C2337" s="4" t="str">
        <f>VLOOKUP(Tabela1[[#This Row],[Cliente]],'BASE DE CLIENTES'!A:E,2,0)</f>
        <v>Santo Antônio Descoberto</v>
      </c>
      <c r="D2337" s="1" t="str">
        <f>VLOOKUP(Tabela1[[#This Row],[Cliente]],'BASE DE CLIENTES'!A:C,3,0)</f>
        <v>GO</v>
      </c>
      <c r="E2337" s="4" t="str">
        <f>CONCATENATE(Tabela1[[#This Row],[CIDADE]],",",Tabela1[[#This Row],[UF]])</f>
        <v>Santo Antônio Descoberto,GO</v>
      </c>
      <c r="F2337" s="2">
        <v>45840</v>
      </c>
      <c r="G2337" s="17">
        <v>1020.48</v>
      </c>
      <c r="H2337" s="17">
        <v>1700</v>
      </c>
      <c r="I2337" s="6">
        <f>Tabela1[[#This Row],[Valor total]]-Tabela1[[#This Row],[Valor custo]]</f>
        <v>679.52</v>
      </c>
      <c r="J2337" s="7">
        <f>Tabela1[[#This Row],[MARGEM BRUTA]]/Tabela1[[#This Row],[Valor total]]</f>
        <v>0.39971764705882351</v>
      </c>
      <c r="K2337" s="1" t="str">
        <f>VLOOKUP(Tabela1[[#This Row],[Cliente]],'BASE DE CLIENTES'!A:D,4,0)</f>
        <v>EMPRESA COM MAQUINA</v>
      </c>
      <c r="L2337" s="1" t="str">
        <f>VLOOKUP(Tabela1[[#This Row],[Cliente]],'BASE DE CLIENTES'!A:E,5,0)</f>
        <v>Santo Antônio Descoberto</v>
      </c>
    </row>
    <row r="2338" spans="1:12" x14ac:dyDescent="0.3">
      <c r="B2338" s="1" t="s">
        <v>296</v>
      </c>
      <c r="C2338" s="4" t="str">
        <f>VLOOKUP(Tabela1[[#This Row],[Cliente]],'BASE DE CLIENTES'!A:E,2,0)</f>
        <v>Santo Antônio Descoberto</v>
      </c>
      <c r="D2338" s="1" t="str">
        <f>VLOOKUP(Tabela1[[#This Row],[Cliente]],'BASE DE CLIENTES'!A:C,3,0)</f>
        <v>GO</v>
      </c>
      <c r="E2338" s="4" t="str">
        <f>CONCATENATE(Tabela1[[#This Row],[CIDADE]],",",Tabela1[[#This Row],[UF]])</f>
        <v>Santo Antônio Descoberto,GO</v>
      </c>
      <c r="F2338" s="2">
        <v>45897</v>
      </c>
      <c r="G2338" s="17">
        <v>3251.02</v>
      </c>
      <c r="H2338" s="17">
        <v>5695</v>
      </c>
      <c r="I2338" s="6">
        <f>Tabela1[[#This Row],[Valor total]]-Tabela1[[#This Row],[Valor custo]]</f>
        <v>2443.98</v>
      </c>
      <c r="J2338" s="7">
        <f>Tabela1[[#This Row],[MARGEM BRUTA]]/Tabela1[[#This Row],[Valor total]]</f>
        <v>0.42914486391571555</v>
      </c>
      <c r="K2338" s="1" t="str">
        <f>VLOOKUP(Tabela1[[#This Row],[Cliente]],'BASE DE CLIENTES'!A:D,4,0)</f>
        <v>EMPRESA COM MAQUINA</v>
      </c>
      <c r="L2338" s="1" t="str">
        <f>VLOOKUP(Tabela1[[#This Row],[Cliente]],'BASE DE CLIENTES'!A:E,5,0)</f>
        <v>Santo Antônio Descoberto</v>
      </c>
    </row>
    <row r="2339" spans="1:12" x14ac:dyDescent="0.3">
      <c r="B2339" s="1" t="s">
        <v>296</v>
      </c>
      <c r="C2339" s="4" t="str">
        <f>VLOOKUP(Tabela1[[#This Row],[Cliente]],'BASE DE CLIENTES'!A:E,2,0)</f>
        <v>Santo Antônio Descoberto</v>
      </c>
      <c r="D2339" s="1" t="str">
        <f>VLOOKUP(Tabela1[[#This Row],[Cliente]],'BASE DE CLIENTES'!A:C,3,0)</f>
        <v>GO</v>
      </c>
      <c r="E2339" s="4" t="str">
        <f>CONCATENATE(Tabela1[[#This Row],[CIDADE]],",",Tabela1[[#This Row],[UF]])</f>
        <v>Santo Antônio Descoberto,GO</v>
      </c>
      <c r="F2339" s="2">
        <v>45888</v>
      </c>
      <c r="G2339" s="17">
        <v>2425.17</v>
      </c>
      <c r="H2339" s="17">
        <v>3980</v>
      </c>
      <c r="I2339" s="6">
        <f>Tabela1[[#This Row],[Valor total]]-Tabela1[[#This Row],[Valor custo]]</f>
        <v>1554.83</v>
      </c>
      <c r="J2339" s="7">
        <f>Tabela1[[#This Row],[MARGEM BRUTA]]/Tabela1[[#This Row],[Valor total]]</f>
        <v>0.3906608040201005</v>
      </c>
      <c r="K2339" s="1" t="str">
        <f>VLOOKUP(Tabela1[[#This Row],[Cliente]],'BASE DE CLIENTES'!A:D,4,0)</f>
        <v>EMPRESA COM MAQUINA</v>
      </c>
      <c r="L2339" s="1" t="str">
        <f>VLOOKUP(Tabela1[[#This Row],[Cliente]],'BASE DE CLIENTES'!A:E,5,0)</f>
        <v>Santo Antônio Descoberto</v>
      </c>
    </row>
    <row r="2340" spans="1:12" x14ac:dyDescent="0.3">
      <c r="B2340" s="1" t="s">
        <v>296</v>
      </c>
      <c r="C2340" s="4" t="str">
        <f>VLOOKUP(Tabela1[[#This Row],[Cliente]],'BASE DE CLIENTES'!A:E,2,0)</f>
        <v>Santo Antônio Descoberto</v>
      </c>
      <c r="D2340" s="1" t="str">
        <f>VLOOKUP(Tabela1[[#This Row],[Cliente]],'BASE DE CLIENTES'!A:C,3,0)</f>
        <v>GO</v>
      </c>
      <c r="E2340" s="4" t="str">
        <f>CONCATENATE(Tabela1[[#This Row],[CIDADE]],",",Tabela1[[#This Row],[UF]])</f>
        <v>Santo Antônio Descoberto,GO</v>
      </c>
      <c r="F2340" s="2">
        <v>45883</v>
      </c>
      <c r="G2340" s="17">
        <v>1437.19</v>
      </c>
      <c r="H2340" s="17">
        <v>2800</v>
      </c>
      <c r="I2340" s="6">
        <f>Tabela1[[#This Row],[Valor total]]-Tabela1[[#This Row],[Valor custo]]</f>
        <v>1362.81</v>
      </c>
      <c r="J2340" s="7">
        <f>Tabela1[[#This Row],[MARGEM BRUTA]]/Tabela1[[#This Row],[Valor total]]</f>
        <v>0.48671785714285715</v>
      </c>
      <c r="K2340" s="1" t="str">
        <f>VLOOKUP(Tabela1[[#This Row],[Cliente]],'BASE DE CLIENTES'!A:D,4,0)</f>
        <v>EMPRESA COM MAQUINA</v>
      </c>
      <c r="L2340" s="1" t="str">
        <f>VLOOKUP(Tabela1[[#This Row],[Cliente]],'BASE DE CLIENTES'!A:E,5,0)</f>
        <v>Santo Antônio Descoberto</v>
      </c>
    </row>
    <row r="2341" spans="1:12" x14ac:dyDescent="0.3">
      <c r="B2341" s="1" t="s">
        <v>296</v>
      </c>
      <c r="C2341" s="4" t="str">
        <f>VLOOKUP(Tabela1[[#This Row],[Cliente]],'BASE DE CLIENTES'!A:E,2,0)</f>
        <v>Santo Antônio Descoberto</v>
      </c>
      <c r="D2341" s="1" t="str">
        <f>VLOOKUP(Tabela1[[#This Row],[Cliente]],'BASE DE CLIENTES'!A:C,3,0)</f>
        <v>GO</v>
      </c>
      <c r="E2341" s="4" t="str">
        <f>CONCATENATE(Tabela1[[#This Row],[CIDADE]],",",Tabela1[[#This Row],[UF]])</f>
        <v>Santo Antônio Descoberto,GO</v>
      </c>
      <c r="F2341" s="2">
        <v>45876</v>
      </c>
      <c r="G2341" s="17">
        <v>30.5</v>
      </c>
      <c r="H2341" s="17">
        <v>40</v>
      </c>
      <c r="I2341" s="6">
        <f>Tabela1[[#This Row],[Valor total]]-Tabela1[[#This Row],[Valor custo]]</f>
        <v>9.5</v>
      </c>
      <c r="J2341" s="7">
        <f>Tabela1[[#This Row],[MARGEM BRUTA]]/Tabela1[[#This Row],[Valor total]]</f>
        <v>0.23749999999999999</v>
      </c>
      <c r="K2341" s="1" t="str">
        <f>VLOOKUP(Tabela1[[#This Row],[Cliente]],'BASE DE CLIENTES'!A:D,4,0)</f>
        <v>EMPRESA COM MAQUINA</v>
      </c>
      <c r="L2341" s="1" t="str">
        <f>VLOOKUP(Tabela1[[#This Row],[Cliente]],'BASE DE CLIENTES'!A:E,5,0)</f>
        <v>Santo Antônio Descoberto</v>
      </c>
    </row>
    <row r="2342" spans="1:12" x14ac:dyDescent="0.3">
      <c r="B2342" s="1" t="s">
        <v>296</v>
      </c>
      <c r="C2342" s="4" t="str">
        <f>VLOOKUP(Tabela1[[#This Row],[Cliente]],'BASE DE CLIENTES'!A:E,2,0)</f>
        <v>Santo Antônio Descoberto</v>
      </c>
      <c r="D2342" s="1" t="str">
        <f>VLOOKUP(Tabela1[[#This Row],[Cliente]],'BASE DE CLIENTES'!A:C,3,0)</f>
        <v>GO</v>
      </c>
      <c r="E2342" s="4" t="str">
        <f>CONCATENATE(Tabela1[[#This Row],[CIDADE]],",",Tabela1[[#This Row],[UF]])</f>
        <v>Santo Antônio Descoberto,GO</v>
      </c>
      <c r="F2342" s="2">
        <v>45876</v>
      </c>
      <c r="G2342" s="17">
        <v>469</v>
      </c>
      <c r="H2342" s="17">
        <v>811</v>
      </c>
      <c r="I2342" s="6">
        <f>Tabela1[[#This Row],[Valor total]]-Tabela1[[#This Row],[Valor custo]]</f>
        <v>342</v>
      </c>
      <c r="J2342" s="7">
        <f>Tabela1[[#This Row],[MARGEM BRUTA]]/Tabela1[[#This Row],[Valor total]]</f>
        <v>0.42170160295930947</v>
      </c>
      <c r="K2342" s="1" t="str">
        <f>VLOOKUP(Tabela1[[#This Row],[Cliente]],'BASE DE CLIENTES'!A:D,4,0)</f>
        <v>EMPRESA COM MAQUINA</v>
      </c>
      <c r="L2342" s="1" t="str">
        <f>VLOOKUP(Tabela1[[#This Row],[Cliente]],'BASE DE CLIENTES'!A:E,5,0)</f>
        <v>Santo Antônio Descoberto</v>
      </c>
    </row>
    <row r="2343" spans="1:12" x14ac:dyDescent="0.3">
      <c r="B2343" s="1" t="s">
        <v>296</v>
      </c>
      <c r="C2343" s="4" t="str">
        <f>VLOOKUP(Tabela1[[#This Row],[Cliente]],'BASE DE CLIENTES'!A:E,2,0)</f>
        <v>Santo Antônio Descoberto</v>
      </c>
      <c r="D2343" s="1" t="str">
        <f>VLOOKUP(Tabela1[[#This Row],[Cliente]],'BASE DE CLIENTES'!A:C,3,0)</f>
        <v>GO</v>
      </c>
      <c r="E2343" s="4" t="str">
        <f>CONCATENATE(Tabela1[[#This Row],[CIDADE]],",",Tabela1[[#This Row],[UF]])</f>
        <v>Santo Antônio Descoberto,GO</v>
      </c>
      <c r="F2343" s="2">
        <v>45925</v>
      </c>
      <c r="G2343" s="17">
        <v>3662.69</v>
      </c>
      <c r="H2343" s="17">
        <v>6110</v>
      </c>
      <c r="I2343" s="6">
        <f>Tabela1[[#This Row],[Valor total]]-Tabela1[[#This Row],[Valor custo]]</f>
        <v>2447.31</v>
      </c>
      <c r="J2343" s="7">
        <f>Tabela1[[#This Row],[MARGEM BRUTA]]/Tabela1[[#This Row],[Valor total]]</f>
        <v>0.40054173486088379</v>
      </c>
      <c r="K2343" s="1" t="str">
        <f>VLOOKUP(Tabela1[[#This Row],[Cliente]],'BASE DE CLIENTES'!A:D,4,0)</f>
        <v>EMPRESA COM MAQUINA</v>
      </c>
      <c r="L2343" s="1" t="str">
        <f>VLOOKUP(Tabela1[[#This Row],[Cliente]],'BASE DE CLIENTES'!A:E,5,0)</f>
        <v>Santo Antônio Descoberto</v>
      </c>
    </row>
    <row r="2344" spans="1:12" x14ac:dyDescent="0.3">
      <c r="B2344" s="1" t="s">
        <v>299</v>
      </c>
      <c r="C2344" s="4" t="str">
        <f>VLOOKUP(Tabela1[[#This Row],[Cliente]],'BASE DE CLIENTES'!A:E,2,0)</f>
        <v>Santo Antônio Descoberto</v>
      </c>
      <c r="D2344" s="1" t="str">
        <f>VLOOKUP(Tabela1[[#This Row],[Cliente]],'BASE DE CLIENTES'!A:C,3,0)</f>
        <v>GO</v>
      </c>
      <c r="E2344" s="4" t="str">
        <f>CONCATENATE(Tabela1[[#This Row],[CIDADE]],",",Tabela1[[#This Row],[UF]])</f>
        <v>Santo Antônio Descoberto,GO</v>
      </c>
      <c r="F2344" s="2">
        <v>45916</v>
      </c>
      <c r="G2344" s="17">
        <v>28.84</v>
      </c>
      <c r="H2344" s="17">
        <v>160</v>
      </c>
      <c r="I2344" s="6">
        <f>Tabela1[[#This Row],[Valor total]]-Tabela1[[#This Row],[Valor custo]]</f>
        <v>131.16</v>
      </c>
      <c r="J2344" s="7">
        <f>Tabela1[[#This Row],[MARGEM BRUTA]]/Tabela1[[#This Row],[Valor total]]</f>
        <v>0.81974999999999998</v>
      </c>
      <c r="K2344" s="1" t="str">
        <f>VLOOKUP(Tabela1[[#This Row],[Cliente]],'BASE DE CLIENTES'!A:D,4,0)</f>
        <v>SERRALHEIRO</v>
      </c>
      <c r="L2344" s="1" t="str">
        <f>VLOOKUP(Tabela1[[#This Row],[Cliente]],'BASE DE CLIENTES'!A:E,5,0)</f>
        <v>Santo Antônio Descoberto</v>
      </c>
    </row>
    <row r="2345" spans="1:12" x14ac:dyDescent="0.3">
      <c r="B2345" s="1" t="s">
        <v>299</v>
      </c>
      <c r="C2345" s="4" t="str">
        <f>VLOOKUP(Tabela1[[#This Row],[Cliente]],'BASE DE CLIENTES'!A:E,2,0)</f>
        <v>Santo Antônio Descoberto</v>
      </c>
      <c r="D2345" s="1" t="str">
        <f>VLOOKUP(Tabela1[[#This Row],[Cliente]],'BASE DE CLIENTES'!A:C,3,0)</f>
        <v>GO</v>
      </c>
      <c r="E2345" s="4" t="str">
        <f>CONCATENATE(Tabela1[[#This Row],[CIDADE]],",",Tabela1[[#This Row],[UF]])</f>
        <v>Santo Antônio Descoberto,GO</v>
      </c>
      <c r="F2345" s="2">
        <v>45905</v>
      </c>
      <c r="G2345" s="17">
        <v>36.049999999999997</v>
      </c>
      <c r="H2345" s="17">
        <v>200</v>
      </c>
      <c r="I2345" s="6">
        <f>Tabela1[[#This Row],[Valor total]]-Tabela1[[#This Row],[Valor custo]]</f>
        <v>163.95</v>
      </c>
      <c r="J2345" s="7">
        <f>Tabela1[[#This Row],[MARGEM BRUTA]]/Tabela1[[#This Row],[Valor total]]</f>
        <v>0.81974999999999998</v>
      </c>
      <c r="K2345" s="1" t="str">
        <f>VLOOKUP(Tabela1[[#This Row],[Cliente]],'BASE DE CLIENTES'!A:D,4,0)</f>
        <v>SERRALHEIRO</v>
      </c>
      <c r="L2345" s="1" t="str">
        <f>VLOOKUP(Tabela1[[#This Row],[Cliente]],'BASE DE CLIENTES'!A:E,5,0)</f>
        <v>Santo Antônio Descoberto</v>
      </c>
    </row>
    <row r="2346" spans="1:12" x14ac:dyDescent="0.3">
      <c r="A2346" s="1" t="s">
        <v>300</v>
      </c>
      <c r="B2346" s="1" t="s">
        <v>301</v>
      </c>
      <c r="C2346" s="4" t="str">
        <f>VLOOKUP(Tabela1[[#This Row],[Cliente]],'BASE DE CLIENTES'!A:E,2,0)</f>
        <v>São Paulo</v>
      </c>
      <c r="D2346" s="1" t="str">
        <f>VLOOKUP(Tabela1[[#This Row],[Cliente]],'BASE DE CLIENTES'!A:C,3,0)</f>
        <v>SP</v>
      </c>
      <c r="E2346" s="4" t="str">
        <f>CONCATENATE(Tabela1[[#This Row],[CIDADE]],",",Tabela1[[#This Row],[UF]])</f>
        <v>São Paulo,SP</v>
      </c>
      <c r="F2346" s="2">
        <v>45679</v>
      </c>
      <c r="G2346" s="17">
        <v>10.44</v>
      </c>
      <c r="H2346" s="17">
        <v>105.61</v>
      </c>
      <c r="I2346" s="6">
        <f>Tabela1[[#This Row],[Valor total]]-Tabela1[[#This Row],[Valor custo]]</f>
        <v>95.17</v>
      </c>
      <c r="J2346" s="7">
        <f>Tabela1[[#This Row],[MARGEM BRUTA]]/Tabela1[[#This Row],[Valor total]]</f>
        <v>0.90114572483666322</v>
      </c>
      <c r="K2346" s="1" t="str">
        <f>VLOOKUP(Tabela1[[#This Row],[Cliente]],'BASE DE CLIENTES'!A:D,4,0)</f>
        <v>SEM CLASSIFICAÇÃO</v>
      </c>
      <c r="L2346" s="1" t="str">
        <f>VLOOKUP(Tabela1[[#This Row],[Cliente]],'BASE DE CLIENTES'!A:E,5,0)</f>
        <v>São Paulo</v>
      </c>
    </row>
    <row r="2347" spans="1:12" x14ac:dyDescent="0.3">
      <c r="A2347" s="1" t="s">
        <v>302</v>
      </c>
      <c r="B2347" s="1" t="s">
        <v>303</v>
      </c>
      <c r="C2347" s="4" t="str">
        <f>VLOOKUP(Tabela1[[#This Row],[Cliente]],'BASE DE CLIENTES'!A:E,2,0)</f>
        <v>Trindade</v>
      </c>
      <c r="D2347" s="1" t="str">
        <f>VLOOKUP(Tabela1[[#This Row],[Cliente]],'BASE DE CLIENTES'!A:C,3,0)</f>
        <v>GO</v>
      </c>
      <c r="E2347" s="4" t="str">
        <f>CONCATENATE(Tabela1[[#This Row],[CIDADE]],",",Tabela1[[#This Row],[UF]])</f>
        <v>Trindade,GO</v>
      </c>
      <c r="F2347" s="2">
        <v>45688</v>
      </c>
      <c r="G2347" s="17">
        <v>3429.02</v>
      </c>
      <c r="H2347" s="17">
        <v>4990</v>
      </c>
      <c r="I2347" s="6">
        <f>Tabela1[[#This Row],[Valor total]]-Tabela1[[#This Row],[Valor custo]]</f>
        <v>1560.98</v>
      </c>
      <c r="J2347" s="7">
        <f>Tabela1[[#This Row],[MARGEM BRUTA]]/Tabela1[[#This Row],[Valor total]]</f>
        <v>0.31282164328657314</v>
      </c>
      <c r="K2347" s="1" t="str">
        <f>VLOOKUP(Tabela1[[#This Row],[Cliente]],'BASE DE CLIENTES'!A:D,4,0)</f>
        <v>EMPRESA COM MAQUINA</v>
      </c>
      <c r="L2347" s="1" t="str">
        <f>VLOOKUP(Tabela1[[#This Row],[Cliente]],'BASE DE CLIENTES'!A:E,5,0)</f>
        <v>Trindade</v>
      </c>
    </row>
    <row r="2348" spans="1:12" x14ac:dyDescent="0.3">
      <c r="A2348" s="1" t="s">
        <v>304</v>
      </c>
      <c r="B2348" s="1" t="s">
        <v>303</v>
      </c>
      <c r="C2348" s="4" t="str">
        <f>VLOOKUP(Tabela1[[#This Row],[Cliente]],'BASE DE CLIENTES'!A:E,2,0)</f>
        <v>Trindade</v>
      </c>
      <c r="D2348" s="1" t="str">
        <f>VLOOKUP(Tabela1[[#This Row],[Cliente]],'BASE DE CLIENTES'!A:C,3,0)</f>
        <v>GO</v>
      </c>
      <c r="E2348" s="4" t="str">
        <f>CONCATENATE(Tabela1[[#This Row],[CIDADE]],",",Tabela1[[#This Row],[UF]])</f>
        <v>Trindade,GO</v>
      </c>
      <c r="F2348" s="2">
        <v>45679</v>
      </c>
      <c r="G2348" s="17">
        <v>5433.66</v>
      </c>
      <c r="H2348" s="17">
        <v>7610</v>
      </c>
      <c r="I2348" s="6">
        <f>Tabela1[[#This Row],[Valor total]]-Tabela1[[#This Row],[Valor custo]]</f>
        <v>2176.34</v>
      </c>
      <c r="J2348" s="7">
        <f>Tabela1[[#This Row],[MARGEM BRUTA]]/Tabela1[[#This Row],[Valor total]]</f>
        <v>0.28598423127463868</v>
      </c>
      <c r="K2348" s="1" t="str">
        <f>VLOOKUP(Tabela1[[#This Row],[Cliente]],'BASE DE CLIENTES'!A:D,4,0)</f>
        <v>EMPRESA COM MAQUINA</v>
      </c>
      <c r="L2348" s="1" t="str">
        <f>VLOOKUP(Tabela1[[#This Row],[Cliente]],'BASE DE CLIENTES'!A:E,5,0)</f>
        <v>Trindade</v>
      </c>
    </row>
    <row r="2349" spans="1:12" x14ac:dyDescent="0.3">
      <c r="B2349" s="1" t="s">
        <v>303</v>
      </c>
      <c r="C2349" s="4" t="str">
        <f>VLOOKUP(Tabela1[[#This Row],[Cliente]],'BASE DE CLIENTES'!A:E,2,0)</f>
        <v>Trindade</v>
      </c>
      <c r="D2349" s="1" t="str">
        <f>VLOOKUP(Tabela1[[#This Row],[Cliente]],'BASE DE CLIENTES'!A:C,3,0)</f>
        <v>GO</v>
      </c>
      <c r="E2349" s="4" t="str">
        <f>CONCATENATE(Tabela1[[#This Row],[CIDADE]],",",Tabela1[[#This Row],[UF]])</f>
        <v>Trindade,GO</v>
      </c>
      <c r="F2349" s="2">
        <v>45664</v>
      </c>
      <c r="G2349" s="17">
        <v>718.57</v>
      </c>
      <c r="H2349" s="17">
        <v>1200</v>
      </c>
      <c r="I2349" s="6">
        <f>Tabela1[[#This Row],[Valor total]]-Tabela1[[#This Row],[Valor custo]]</f>
        <v>481.42999999999995</v>
      </c>
      <c r="J2349" s="7">
        <f>Tabela1[[#This Row],[MARGEM BRUTA]]/Tabela1[[#This Row],[Valor total]]</f>
        <v>0.40119166666666661</v>
      </c>
      <c r="K2349" s="1" t="str">
        <f>VLOOKUP(Tabela1[[#This Row],[Cliente]],'BASE DE CLIENTES'!A:D,4,0)</f>
        <v>EMPRESA COM MAQUINA</v>
      </c>
      <c r="L2349" s="1" t="str">
        <f>VLOOKUP(Tabela1[[#This Row],[Cliente]],'BASE DE CLIENTES'!A:E,5,0)</f>
        <v>Trindade</v>
      </c>
    </row>
    <row r="2350" spans="1:12" x14ac:dyDescent="0.3">
      <c r="B2350" s="1" t="s">
        <v>303</v>
      </c>
      <c r="C2350" s="4" t="str">
        <f>VLOOKUP(Tabela1[[#This Row],[Cliente]],'BASE DE CLIENTES'!A:E,2,0)</f>
        <v>Trindade</v>
      </c>
      <c r="D2350" s="1" t="str">
        <f>VLOOKUP(Tabela1[[#This Row],[Cliente]],'BASE DE CLIENTES'!A:C,3,0)</f>
        <v>GO</v>
      </c>
      <c r="E2350" s="4" t="str">
        <f>CONCATENATE(Tabela1[[#This Row],[CIDADE]],",",Tabela1[[#This Row],[UF]])</f>
        <v>Trindade,GO</v>
      </c>
      <c r="F2350" s="2">
        <v>45698</v>
      </c>
      <c r="G2350" s="17">
        <v>5047.62</v>
      </c>
      <c r="H2350" s="17">
        <v>7030</v>
      </c>
      <c r="I2350" s="6">
        <f>Tabela1[[#This Row],[Valor total]]-Tabela1[[#This Row],[Valor custo]]</f>
        <v>1982.38</v>
      </c>
      <c r="J2350" s="7">
        <f>Tabela1[[#This Row],[MARGEM BRUTA]]/Tabela1[[#This Row],[Valor total]]</f>
        <v>0.28198862019914656</v>
      </c>
      <c r="K2350" s="1" t="str">
        <f>VLOOKUP(Tabela1[[#This Row],[Cliente]],'BASE DE CLIENTES'!A:D,4,0)</f>
        <v>EMPRESA COM MAQUINA</v>
      </c>
      <c r="L2350" s="1" t="str">
        <f>VLOOKUP(Tabela1[[#This Row],[Cliente]],'BASE DE CLIENTES'!A:E,5,0)</f>
        <v>Trindade</v>
      </c>
    </row>
    <row r="2351" spans="1:12" x14ac:dyDescent="0.3">
      <c r="B2351" s="1" t="s">
        <v>303</v>
      </c>
      <c r="C2351" s="4" t="str">
        <f>VLOOKUP(Tabela1[[#This Row],[Cliente]],'BASE DE CLIENTES'!A:E,2,0)</f>
        <v>Trindade</v>
      </c>
      <c r="D2351" s="1" t="str">
        <f>VLOOKUP(Tabela1[[#This Row],[Cliente]],'BASE DE CLIENTES'!A:C,3,0)</f>
        <v>GO</v>
      </c>
      <c r="E2351" s="4" t="str">
        <f>CONCATENATE(Tabela1[[#This Row],[CIDADE]],",",Tabela1[[#This Row],[UF]])</f>
        <v>Trindade,GO</v>
      </c>
      <c r="F2351" s="2">
        <v>45733</v>
      </c>
      <c r="G2351" s="17">
        <v>6928.09</v>
      </c>
      <c r="H2351" s="17">
        <v>9670</v>
      </c>
      <c r="I2351" s="6">
        <f>Tabela1[[#This Row],[Valor total]]-Tabela1[[#This Row],[Valor custo]]</f>
        <v>2741.91</v>
      </c>
      <c r="J2351" s="7">
        <f>Tabela1[[#This Row],[MARGEM BRUTA]]/Tabela1[[#This Row],[Valor total]]</f>
        <v>0.28354808686659771</v>
      </c>
      <c r="K2351" s="1" t="str">
        <f>VLOOKUP(Tabela1[[#This Row],[Cliente]],'BASE DE CLIENTES'!A:D,4,0)</f>
        <v>EMPRESA COM MAQUINA</v>
      </c>
      <c r="L2351" s="1" t="str">
        <f>VLOOKUP(Tabela1[[#This Row],[Cliente]],'BASE DE CLIENTES'!A:E,5,0)</f>
        <v>Trindade</v>
      </c>
    </row>
    <row r="2352" spans="1:12" x14ac:dyDescent="0.3">
      <c r="B2352" s="1" t="s">
        <v>303</v>
      </c>
      <c r="C2352" s="4" t="str">
        <f>VLOOKUP(Tabela1[[#This Row],[Cliente]],'BASE DE CLIENTES'!A:E,2,0)</f>
        <v>Trindade</v>
      </c>
      <c r="D2352" s="1" t="str">
        <f>VLOOKUP(Tabela1[[#This Row],[Cliente]],'BASE DE CLIENTES'!A:C,3,0)</f>
        <v>GO</v>
      </c>
      <c r="E2352" s="4" t="str">
        <f>CONCATENATE(Tabela1[[#This Row],[CIDADE]],",",Tabela1[[#This Row],[UF]])</f>
        <v>Trindade,GO</v>
      </c>
      <c r="F2352" s="2">
        <v>45763</v>
      </c>
      <c r="G2352" s="17">
        <v>4846</v>
      </c>
      <c r="H2352" s="17">
        <v>7180</v>
      </c>
      <c r="I2352" s="6">
        <f>Tabela1[[#This Row],[Valor total]]-Tabela1[[#This Row],[Valor custo]]</f>
        <v>2334</v>
      </c>
      <c r="J2352" s="7">
        <f>Tabela1[[#This Row],[MARGEM BRUTA]]/Tabela1[[#This Row],[Valor total]]</f>
        <v>0.32506963788300836</v>
      </c>
      <c r="K2352" s="1" t="str">
        <f>VLOOKUP(Tabela1[[#This Row],[Cliente]],'BASE DE CLIENTES'!A:D,4,0)</f>
        <v>EMPRESA COM MAQUINA</v>
      </c>
      <c r="L2352" s="1" t="str">
        <f>VLOOKUP(Tabela1[[#This Row],[Cliente]],'BASE DE CLIENTES'!A:E,5,0)</f>
        <v>Trindade</v>
      </c>
    </row>
    <row r="2353" spans="1:12" x14ac:dyDescent="0.3">
      <c r="B2353" s="1" t="s">
        <v>303</v>
      </c>
      <c r="C2353" s="4" t="str">
        <f>VLOOKUP(Tabela1[[#This Row],[Cliente]],'BASE DE CLIENTES'!A:E,2,0)</f>
        <v>Trindade</v>
      </c>
      <c r="D2353" s="1" t="str">
        <f>VLOOKUP(Tabela1[[#This Row],[Cliente]],'BASE DE CLIENTES'!A:C,3,0)</f>
        <v>GO</v>
      </c>
      <c r="E2353" s="4" t="str">
        <f>CONCATENATE(Tabela1[[#This Row],[CIDADE]],",",Tabela1[[#This Row],[UF]])</f>
        <v>Trindade,GO</v>
      </c>
      <c r="F2353" s="2">
        <v>45805</v>
      </c>
      <c r="G2353" s="17">
        <v>946</v>
      </c>
      <c r="H2353" s="17">
        <v>1310</v>
      </c>
      <c r="I2353" s="6">
        <f>Tabela1[[#This Row],[Valor total]]-Tabela1[[#This Row],[Valor custo]]</f>
        <v>364</v>
      </c>
      <c r="J2353" s="7">
        <f>Tabela1[[#This Row],[MARGEM BRUTA]]/Tabela1[[#This Row],[Valor total]]</f>
        <v>0.27786259541984731</v>
      </c>
      <c r="K2353" s="1" t="str">
        <f>VLOOKUP(Tabela1[[#This Row],[Cliente]],'BASE DE CLIENTES'!A:D,4,0)</f>
        <v>EMPRESA COM MAQUINA</v>
      </c>
      <c r="L2353" s="1" t="str">
        <f>VLOOKUP(Tabela1[[#This Row],[Cliente]],'BASE DE CLIENTES'!A:E,5,0)</f>
        <v>Trindade</v>
      </c>
    </row>
    <row r="2354" spans="1:12" x14ac:dyDescent="0.3">
      <c r="B2354" s="1" t="s">
        <v>303</v>
      </c>
      <c r="C2354" s="4" t="str">
        <f>VLOOKUP(Tabela1[[#This Row],[Cliente]],'BASE DE CLIENTES'!A:E,2,0)</f>
        <v>Trindade</v>
      </c>
      <c r="D2354" s="1" t="str">
        <f>VLOOKUP(Tabela1[[#This Row],[Cliente]],'BASE DE CLIENTES'!A:C,3,0)</f>
        <v>GO</v>
      </c>
      <c r="E2354" s="4" t="str">
        <f>CONCATENATE(Tabela1[[#This Row],[CIDADE]],",",Tabela1[[#This Row],[UF]])</f>
        <v>Trindade,GO</v>
      </c>
      <c r="F2354" s="2">
        <v>45792</v>
      </c>
      <c r="G2354" s="17">
        <v>7113</v>
      </c>
      <c r="H2354" s="17">
        <v>10010</v>
      </c>
      <c r="I2354" s="6">
        <f>Tabela1[[#This Row],[Valor total]]-Tabela1[[#This Row],[Valor custo]]</f>
        <v>2897</v>
      </c>
      <c r="J2354" s="7">
        <f>Tabela1[[#This Row],[MARGEM BRUTA]]/Tabela1[[#This Row],[Valor total]]</f>
        <v>0.28941058941058939</v>
      </c>
      <c r="K2354" s="1" t="str">
        <f>VLOOKUP(Tabela1[[#This Row],[Cliente]],'BASE DE CLIENTES'!A:D,4,0)</f>
        <v>EMPRESA COM MAQUINA</v>
      </c>
      <c r="L2354" s="1" t="str">
        <f>VLOOKUP(Tabela1[[#This Row],[Cliente]],'BASE DE CLIENTES'!A:E,5,0)</f>
        <v>Trindade</v>
      </c>
    </row>
    <row r="2355" spans="1:12" x14ac:dyDescent="0.3">
      <c r="B2355" s="1" t="s">
        <v>303</v>
      </c>
      <c r="C2355" s="4" t="str">
        <f>VLOOKUP(Tabela1[[#This Row],[Cliente]],'BASE DE CLIENTES'!A:E,2,0)</f>
        <v>Trindade</v>
      </c>
      <c r="D2355" s="1" t="str">
        <f>VLOOKUP(Tabela1[[#This Row],[Cliente]],'BASE DE CLIENTES'!A:C,3,0)</f>
        <v>GO</v>
      </c>
      <c r="E2355" s="4" t="str">
        <f>CONCATENATE(Tabela1[[#This Row],[CIDADE]],",",Tabela1[[#This Row],[UF]])</f>
        <v>Trindade,GO</v>
      </c>
      <c r="F2355" s="2">
        <v>45779</v>
      </c>
      <c r="G2355" s="17">
        <v>100.68</v>
      </c>
      <c r="H2355" s="17">
        <v>250</v>
      </c>
      <c r="I2355" s="6">
        <f>Tabela1[[#This Row],[Valor total]]-Tabela1[[#This Row],[Valor custo]]</f>
        <v>149.32</v>
      </c>
      <c r="J2355" s="7">
        <f>Tabela1[[#This Row],[MARGEM BRUTA]]/Tabela1[[#This Row],[Valor total]]</f>
        <v>0.59727999999999992</v>
      </c>
      <c r="K2355" s="1" t="str">
        <f>VLOOKUP(Tabela1[[#This Row],[Cliente]],'BASE DE CLIENTES'!A:D,4,0)</f>
        <v>EMPRESA COM MAQUINA</v>
      </c>
      <c r="L2355" s="1" t="str">
        <f>VLOOKUP(Tabela1[[#This Row],[Cliente]],'BASE DE CLIENTES'!A:E,5,0)</f>
        <v>Trindade</v>
      </c>
    </row>
    <row r="2356" spans="1:12" x14ac:dyDescent="0.3">
      <c r="B2356" s="1" t="s">
        <v>303</v>
      </c>
      <c r="C2356" s="4" t="str">
        <f>VLOOKUP(Tabela1[[#This Row],[Cliente]],'BASE DE CLIENTES'!A:E,2,0)</f>
        <v>Trindade</v>
      </c>
      <c r="D2356" s="1" t="str">
        <f>VLOOKUP(Tabela1[[#This Row],[Cliente]],'BASE DE CLIENTES'!A:C,3,0)</f>
        <v>GO</v>
      </c>
      <c r="E2356" s="4" t="str">
        <f>CONCATENATE(Tabela1[[#This Row],[CIDADE]],",",Tabela1[[#This Row],[UF]])</f>
        <v>Trindade,GO</v>
      </c>
      <c r="F2356" s="2">
        <v>45826</v>
      </c>
      <c r="G2356" s="17">
        <v>1719</v>
      </c>
      <c r="H2356" s="17">
        <v>2750</v>
      </c>
      <c r="I2356" s="6">
        <f>Tabela1[[#This Row],[Valor total]]-Tabela1[[#This Row],[Valor custo]]</f>
        <v>1031</v>
      </c>
      <c r="J2356" s="7">
        <f>Tabela1[[#This Row],[MARGEM BRUTA]]/Tabela1[[#This Row],[Valor total]]</f>
        <v>0.37490909090909091</v>
      </c>
      <c r="K2356" s="1" t="str">
        <f>VLOOKUP(Tabela1[[#This Row],[Cliente]],'BASE DE CLIENTES'!A:D,4,0)</f>
        <v>EMPRESA COM MAQUINA</v>
      </c>
      <c r="L2356" s="1" t="str">
        <f>VLOOKUP(Tabela1[[#This Row],[Cliente]],'BASE DE CLIENTES'!A:E,5,0)</f>
        <v>Trindade</v>
      </c>
    </row>
    <row r="2357" spans="1:12" x14ac:dyDescent="0.3">
      <c r="B2357" s="1" t="s">
        <v>305</v>
      </c>
      <c r="C2357" s="4" t="str">
        <f>VLOOKUP(Tabela1[[#This Row],[Cliente]],'BASE DE CLIENTES'!A:E,2,0)</f>
        <v>Brasília</v>
      </c>
      <c r="D2357" s="1" t="str">
        <f>VLOOKUP(Tabela1[[#This Row],[Cliente]],'BASE DE CLIENTES'!A:C,3,0)</f>
        <v>DF</v>
      </c>
      <c r="E2357" s="4" t="str">
        <f>CONCATENATE(Tabela1[[#This Row],[CIDADE]],",",Tabela1[[#This Row],[UF]])</f>
        <v>Brasília,DF</v>
      </c>
      <c r="F2357" s="2">
        <v>45922</v>
      </c>
      <c r="G2357" s="17">
        <v>764.6</v>
      </c>
      <c r="H2357" s="17">
        <v>1400</v>
      </c>
      <c r="I2357" s="6">
        <f>Tabela1[[#This Row],[Valor total]]-Tabela1[[#This Row],[Valor custo]]</f>
        <v>635.4</v>
      </c>
      <c r="J2357" s="7">
        <f>Tabela1[[#This Row],[MARGEM BRUTA]]/Tabela1[[#This Row],[Valor total]]</f>
        <v>0.45385714285714285</v>
      </c>
      <c r="K2357" s="1" t="str">
        <f>VLOOKUP(Tabela1[[#This Row],[Cliente]],'BASE DE CLIENTES'!A:D,4,0)</f>
        <v>SERRALHEIRO</v>
      </c>
      <c r="L2357" s="1" t="str">
        <f>VLOOKUP(Tabela1[[#This Row],[Cliente]],'BASE DE CLIENTES'!A:E,5,0)</f>
        <v>RIACHO FUNDO I</v>
      </c>
    </row>
    <row r="2358" spans="1:12" x14ac:dyDescent="0.3">
      <c r="B2358" s="1" t="s">
        <v>303</v>
      </c>
      <c r="C2358" s="4" t="str">
        <f>VLOOKUP(Tabela1[[#This Row],[Cliente]],'BASE DE CLIENTES'!A:E,2,0)</f>
        <v>Trindade</v>
      </c>
      <c r="D2358" s="1" t="str">
        <f>VLOOKUP(Tabela1[[#This Row],[Cliente]],'BASE DE CLIENTES'!A:C,3,0)</f>
        <v>GO</v>
      </c>
      <c r="E2358" s="4" t="str">
        <f>CONCATENATE(Tabela1[[#This Row],[CIDADE]],",",Tabela1[[#This Row],[UF]])</f>
        <v>Trindade,GO</v>
      </c>
      <c r="F2358" s="2">
        <v>45824</v>
      </c>
      <c r="G2358" s="17">
        <v>5159</v>
      </c>
      <c r="H2358" s="17">
        <v>7382</v>
      </c>
      <c r="I2358" s="6">
        <f>Tabela1[[#This Row],[Valor total]]-Tabela1[[#This Row],[Valor custo]]</f>
        <v>2223</v>
      </c>
      <c r="J2358" s="7">
        <f>Tabela1[[#This Row],[MARGEM BRUTA]]/Tabela1[[#This Row],[Valor total]]</f>
        <v>0.30113790300731508</v>
      </c>
      <c r="K2358" s="1" t="str">
        <f>VLOOKUP(Tabela1[[#This Row],[Cliente]],'BASE DE CLIENTES'!A:D,4,0)</f>
        <v>EMPRESA COM MAQUINA</v>
      </c>
      <c r="L2358" s="1" t="str">
        <f>VLOOKUP(Tabela1[[#This Row],[Cliente]],'BASE DE CLIENTES'!A:E,5,0)</f>
        <v>Trindade</v>
      </c>
    </row>
    <row r="2359" spans="1:12" x14ac:dyDescent="0.3">
      <c r="B2359" s="1" t="s">
        <v>303</v>
      </c>
      <c r="C2359" s="4" t="str">
        <f>VLOOKUP(Tabela1[[#This Row],[Cliente]],'BASE DE CLIENTES'!A:E,2,0)</f>
        <v>Trindade</v>
      </c>
      <c r="D2359" s="1" t="str">
        <f>VLOOKUP(Tabela1[[#This Row],[Cliente]],'BASE DE CLIENTES'!A:C,3,0)</f>
        <v>GO</v>
      </c>
      <c r="E2359" s="4" t="str">
        <f>CONCATENATE(Tabela1[[#This Row],[CIDADE]],",",Tabela1[[#This Row],[UF]])</f>
        <v>Trindade,GO</v>
      </c>
      <c r="F2359" s="2">
        <v>45852</v>
      </c>
      <c r="G2359" s="17">
        <v>5964</v>
      </c>
      <c r="H2359" s="17">
        <v>8668</v>
      </c>
      <c r="I2359" s="6">
        <f>Tabela1[[#This Row],[Valor total]]-Tabela1[[#This Row],[Valor custo]]</f>
        <v>2704</v>
      </c>
      <c r="J2359" s="7">
        <f>Tabela1[[#This Row],[MARGEM BRUTA]]/Tabela1[[#This Row],[Valor total]]</f>
        <v>0.31195200738347945</v>
      </c>
      <c r="K2359" s="1" t="str">
        <f>VLOOKUP(Tabela1[[#This Row],[Cliente]],'BASE DE CLIENTES'!A:D,4,0)</f>
        <v>EMPRESA COM MAQUINA</v>
      </c>
      <c r="L2359" s="1" t="str">
        <f>VLOOKUP(Tabela1[[#This Row],[Cliente]],'BASE DE CLIENTES'!A:E,5,0)</f>
        <v>Trindade</v>
      </c>
    </row>
    <row r="2360" spans="1:12" x14ac:dyDescent="0.3">
      <c r="B2360" s="1" t="s">
        <v>100</v>
      </c>
      <c r="C2360" s="4" t="str">
        <f>VLOOKUP(Tabela1[[#This Row],[Cliente]],'BASE DE CLIENTES'!A:E,2,0)</f>
        <v>Águas Lindas de Goiás</v>
      </c>
      <c r="D2360" s="1" t="str">
        <f>VLOOKUP(Tabela1[[#This Row],[Cliente]],'BASE DE CLIENTES'!A:C,3,0)</f>
        <v>GO</v>
      </c>
      <c r="E2360" s="4" t="str">
        <f>CONCATENATE(Tabela1[[#This Row],[CIDADE]],",",Tabela1[[#This Row],[UF]])</f>
        <v>Águas Lindas de Goiás,GO</v>
      </c>
      <c r="F2360" s="2">
        <v>45922</v>
      </c>
      <c r="G2360" s="17">
        <v>616</v>
      </c>
      <c r="H2360" s="17">
        <v>900</v>
      </c>
      <c r="I2360" s="6">
        <f>Tabela1[[#This Row],[Valor total]]-Tabela1[[#This Row],[Valor custo]]</f>
        <v>284</v>
      </c>
      <c r="J2360" s="7">
        <f>Tabela1[[#This Row],[MARGEM BRUTA]]/Tabela1[[#This Row],[Valor total]]</f>
        <v>0.31555555555555553</v>
      </c>
      <c r="K2360" s="1" t="str">
        <f>VLOOKUP(Tabela1[[#This Row],[Cliente]],'BASE DE CLIENTES'!A:D,4,0)</f>
        <v>EMPRESA SEM MAQUINA</v>
      </c>
      <c r="L2360" s="1" t="str">
        <f>VLOOKUP(Tabela1[[#This Row],[Cliente]],'BASE DE CLIENTES'!A:E,5,0)</f>
        <v>Águas Lindas de Goiás</v>
      </c>
    </row>
    <row r="2361" spans="1:12" x14ac:dyDescent="0.3">
      <c r="B2361" s="1" t="s">
        <v>127</v>
      </c>
      <c r="C2361" s="4" t="str">
        <f>VLOOKUP(Tabela1[[#This Row],[Cliente]],'BASE DE CLIENTES'!A:E,2,0)</f>
        <v>Brasília</v>
      </c>
      <c r="D2361" s="1" t="str">
        <f>VLOOKUP(Tabela1[[#This Row],[Cliente]],'BASE DE CLIENTES'!A:C,3,0)</f>
        <v>DF</v>
      </c>
      <c r="E2361" s="4" t="str">
        <f>CONCATENATE(Tabela1[[#This Row],[CIDADE]],",",Tabela1[[#This Row],[UF]])</f>
        <v>Brasília,DF</v>
      </c>
      <c r="F2361" s="2">
        <v>45922</v>
      </c>
      <c r="G2361" s="17">
        <v>2085.79</v>
      </c>
      <c r="H2361" s="17">
        <v>3524</v>
      </c>
      <c r="I2361" s="6">
        <f>Tabela1[[#This Row],[Valor total]]-Tabela1[[#This Row],[Valor custo]]</f>
        <v>1438.21</v>
      </c>
      <c r="J2361" s="7">
        <f>Tabela1[[#This Row],[MARGEM BRUTA]]/Tabela1[[#This Row],[Valor total]]</f>
        <v>0.40811861520998866</v>
      </c>
      <c r="K2361" s="1" t="str">
        <f>VLOOKUP(Tabela1[[#This Row],[Cliente]],'BASE DE CLIENTES'!A:D,4,0)</f>
        <v>EMPRESA COM MAQUINA</v>
      </c>
      <c r="L2361" s="1" t="str">
        <f>VLOOKUP(Tabela1[[#This Row],[Cliente]],'BASE DE CLIENTES'!A:E,5,0)</f>
        <v>CEILANDIA SUL (CEILANDIA)</v>
      </c>
    </row>
    <row r="2362" spans="1:12" x14ac:dyDescent="0.3">
      <c r="B2362" s="1" t="s">
        <v>59</v>
      </c>
      <c r="C2362" s="4" t="str">
        <f>VLOOKUP(Tabela1[[#This Row],[Cliente]],'BASE DE CLIENTES'!A:E,2,0)</f>
        <v>Brasília</v>
      </c>
      <c r="D2362" s="1" t="str">
        <f>VLOOKUP(Tabela1[[#This Row],[Cliente]],'BASE DE CLIENTES'!A:C,3,0)</f>
        <v>DF</v>
      </c>
      <c r="E2362" s="4" t="str">
        <f>CONCATENATE(Tabela1[[#This Row],[CIDADE]],",",Tabela1[[#This Row],[UF]])</f>
        <v>Brasília,DF</v>
      </c>
      <c r="F2362" s="2">
        <v>45922</v>
      </c>
      <c r="G2362" s="17">
        <v>10820.9</v>
      </c>
      <c r="H2362" s="17">
        <v>15950</v>
      </c>
      <c r="I2362" s="6">
        <f>Tabela1[[#This Row],[Valor total]]-Tabela1[[#This Row],[Valor custo]]</f>
        <v>5129.1000000000004</v>
      </c>
      <c r="J2362" s="7">
        <f>Tabela1[[#This Row],[MARGEM BRUTA]]/Tabela1[[#This Row],[Valor total]]</f>
        <v>0.32157366771159879</v>
      </c>
      <c r="K2362" s="1" t="str">
        <f>VLOOKUP(Tabela1[[#This Row],[Cliente]],'BASE DE CLIENTES'!A:D,4,0)</f>
        <v>EMPRESA COM MAQUINA</v>
      </c>
      <c r="L2362" s="1" t="str">
        <f>VLOOKUP(Tabela1[[#This Row],[Cliente]],'BASE DE CLIENTES'!A:E,5,0)</f>
        <v>SETOR HABITACIONAL VICENTE PIRES</v>
      </c>
    </row>
    <row r="2363" spans="1:12" x14ac:dyDescent="0.3">
      <c r="B2363" s="1" t="s">
        <v>303</v>
      </c>
      <c r="C2363" s="4" t="str">
        <f>VLOOKUP(Tabela1[[#This Row],[Cliente]],'BASE DE CLIENTES'!A:E,2,0)</f>
        <v>Trindade</v>
      </c>
      <c r="D2363" s="1" t="str">
        <f>VLOOKUP(Tabela1[[#This Row],[Cliente]],'BASE DE CLIENTES'!A:C,3,0)</f>
        <v>GO</v>
      </c>
      <c r="E2363" s="4" t="str">
        <f>CONCATENATE(Tabela1[[#This Row],[CIDADE]],",",Tabela1[[#This Row],[UF]])</f>
        <v>Trindade,GO</v>
      </c>
      <c r="F2363" s="2">
        <v>45898</v>
      </c>
      <c r="G2363" s="17">
        <v>3709.08</v>
      </c>
      <c r="H2363" s="17">
        <v>5945</v>
      </c>
      <c r="I2363" s="6">
        <f>Tabela1[[#This Row],[Valor total]]-Tabela1[[#This Row],[Valor custo]]</f>
        <v>2235.92</v>
      </c>
      <c r="J2363" s="7">
        <f>Tabela1[[#This Row],[MARGEM BRUTA]]/Tabela1[[#This Row],[Valor total]]</f>
        <v>0.37610092514718252</v>
      </c>
      <c r="K2363" s="1" t="str">
        <f>VLOOKUP(Tabela1[[#This Row],[Cliente]],'BASE DE CLIENTES'!A:D,4,0)</f>
        <v>EMPRESA COM MAQUINA</v>
      </c>
      <c r="L2363" s="1" t="str">
        <f>VLOOKUP(Tabela1[[#This Row],[Cliente]],'BASE DE CLIENTES'!A:E,5,0)</f>
        <v>Trindade</v>
      </c>
    </row>
    <row r="2364" spans="1:12" x14ac:dyDescent="0.3">
      <c r="B2364" s="1" t="s">
        <v>303</v>
      </c>
      <c r="C2364" s="4" t="str">
        <f>VLOOKUP(Tabela1[[#This Row],[Cliente]],'BASE DE CLIENTES'!A:E,2,0)</f>
        <v>Trindade</v>
      </c>
      <c r="D2364" s="1" t="str">
        <f>VLOOKUP(Tabela1[[#This Row],[Cliente]],'BASE DE CLIENTES'!A:C,3,0)</f>
        <v>GO</v>
      </c>
      <c r="E2364" s="4" t="str">
        <f>CONCATENATE(Tabela1[[#This Row],[CIDADE]],",",Tabela1[[#This Row],[UF]])</f>
        <v>Trindade,GO</v>
      </c>
      <c r="F2364" s="2">
        <v>45896</v>
      </c>
      <c r="G2364" s="17">
        <v>491</v>
      </c>
      <c r="H2364" s="17">
        <v>700</v>
      </c>
      <c r="I2364" s="6">
        <f>Tabela1[[#This Row],[Valor total]]-Tabela1[[#This Row],[Valor custo]]</f>
        <v>209</v>
      </c>
      <c r="J2364" s="7">
        <f>Tabela1[[#This Row],[MARGEM BRUTA]]/Tabela1[[#This Row],[Valor total]]</f>
        <v>0.2985714285714286</v>
      </c>
      <c r="K2364" s="1" t="str">
        <f>VLOOKUP(Tabela1[[#This Row],[Cliente]],'BASE DE CLIENTES'!A:D,4,0)</f>
        <v>EMPRESA COM MAQUINA</v>
      </c>
      <c r="L2364" s="1" t="str">
        <f>VLOOKUP(Tabela1[[#This Row],[Cliente]],'BASE DE CLIENTES'!A:E,5,0)</f>
        <v>Trindade</v>
      </c>
    </row>
    <row r="2365" spans="1:12" x14ac:dyDescent="0.3">
      <c r="B2365" s="1" t="s">
        <v>303</v>
      </c>
      <c r="C2365" s="4" t="str">
        <f>VLOOKUP(Tabela1[[#This Row],[Cliente]],'BASE DE CLIENTES'!A:E,2,0)</f>
        <v>Trindade</v>
      </c>
      <c r="D2365" s="1" t="str">
        <f>VLOOKUP(Tabela1[[#This Row],[Cliente]],'BASE DE CLIENTES'!A:C,3,0)</f>
        <v>GO</v>
      </c>
      <c r="E2365" s="4" t="str">
        <f>CONCATENATE(Tabela1[[#This Row],[CIDADE]],",",Tabela1[[#This Row],[UF]])</f>
        <v>Trindade,GO</v>
      </c>
      <c r="F2365" s="2">
        <v>45890</v>
      </c>
      <c r="G2365" s="17">
        <v>2715</v>
      </c>
      <c r="H2365" s="17">
        <v>5400</v>
      </c>
      <c r="I2365" s="6">
        <f>Tabela1[[#This Row],[Valor total]]-Tabela1[[#This Row],[Valor custo]]</f>
        <v>2685</v>
      </c>
      <c r="J2365" s="7">
        <f>Tabela1[[#This Row],[MARGEM BRUTA]]/Tabela1[[#This Row],[Valor total]]</f>
        <v>0.49722222222222223</v>
      </c>
      <c r="K2365" s="1" t="str">
        <f>VLOOKUP(Tabela1[[#This Row],[Cliente]],'BASE DE CLIENTES'!A:D,4,0)</f>
        <v>EMPRESA COM MAQUINA</v>
      </c>
      <c r="L2365" s="1" t="str">
        <f>VLOOKUP(Tabela1[[#This Row],[Cliente]],'BASE DE CLIENTES'!A:E,5,0)</f>
        <v>Trindade</v>
      </c>
    </row>
    <row r="2366" spans="1:12" x14ac:dyDescent="0.3">
      <c r="B2366" s="1" t="s">
        <v>303</v>
      </c>
      <c r="C2366" s="4" t="str">
        <f>VLOOKUP(Tabela1[[#This Row],[Cliente]],'BASE DE CLIENTES'!A:E,2,0)</f>
        <v>Trindade</v>
      </c>
      <c r="D2366" s="1" t="str">
        <f>VLOOKUP(Tabela1[[#This Row],[Cliente]],'BASE DE CLIENTES'!A:C,3,0)</f>
        <v>GO</v>
      </c>
      <c r="E2366" s="4" t="str">
        <f>CONCATENATE(Tabela1[[#This Row],[CIDADE]],",",Tabela1[[#This Row],[UF]])</f>
        <v>Trindade,GO</v>
      </c>
      <c r="F2366" s="2">
        <v>45881</v>
      </c>
      <c r="G2366" s="17">
        <v>5362.6</v>
      </c>
      <c r="H2366" s="17">
        <v>8494</v>
      </c>
      <c r="I2366" s="6">
        <f>Tabela1[[#This Row],[Valor total]]-Tabela1[[#This Row],[Valor custo]]</f>
        <v>3131.3999999999996</v>
      </c>
      <c r="J2366" s="7">
        <f>Tabela1[[#This Row],[MARGEM BRUTA]]/Tabela1[[#This Row],[Valor total]]</f>
        <v>0.36866023075111837</v>
      </c>
      <c r="K2366" s="1" t="str">
        <f>VLOOKUP(Tabela1[[#This Row],[Cliente]],'BASE DE CLIENTES'!A:D,4,0)</f>
        <v>EMPRESA COM MAQUINA</v>
      </c>
      <c r="L2366" s="1" t="str">
        <f>VLOOKUP(Tabela1[[#This Row],[Cliente]],'BASE DE CLIENTES'!A:E,5,0)</f>
        <v>Trindade</v>
      </c>
    </row>
    <row r="2367" spans="1:12" x14ac:dyDescent="0.3">
      <c r="B2367" s="1" t="s">
        <v>303</v>
      </c>
      <c r="C2367" s="4" t="str">
        <f>VLOOKUP(Tabela1[[#This Row],[Cliente]],'BASE DE CLIENTES'!A:E,2,0)</f>
        <v>Trindade</v>
      </c>
      <c r="D2367" s="1" t="str">
        <f>VLOOKUP(Tabela1[[#This Row],[Cliente]],'BASE DE CLIENTES'!A:C,3,0)</f>
        <v>GO</v>
      </c>
      <c r="E2367" s="4" t="str">
        <f>CONCATENATE(Tabela1[[#This Row],[CIDADE]],",",Tabela1[[#This Row],[UF]])</f>
        <v>Trindade,GO</v>
      </c>
      <c r="F2367" s="2">
        <v>45922</v>
      </c>
      <c r="G2367" s="17">
        <v>4741.32</v>
      </c>
      <c r="H2367" s="17">
        <v>7840</v>
      </c>
      <c r="I2367" s="6">
        <f>Tabela1[[#This Row],[Valor total]]-Tabela1[[#This Row],[Valor custo]]</f>
        <v>3098.6800000000003</v>
      </c>
      <c r="J2367" s="7">
        <f>Tabela1[[#This Row],[MARGEM BRUTA]]/Tabela1[[#This Row],[Valor total]]</f>
        <v>0.39523979591836739</v>
      </c>
      <c r="K2367" s="1" t="str">
        <f>VLOOKUP(Tabela1[[#This Row],[Cliente]],'BASE DE CLIENTES'!A:D,4,0)</f>
        <v>EMPRESA COM MAQUINA</v>
      </c>
      <c r="L2367" s="1" t="str">
        <f>VLOOKUP(Tabela1[[#This Row],[Cliente]],'BASE DE CLIENTES'!A:E,5,0)</f>
        <v>Trindade</v>
      </c>
    </row>
    <row r="2368" spans="1:12" x14ac:dyDescent="0.3">
      <c r="A2368" s="1" t="s">
        <v>306</v>
      </c>
      <c r="B2368" s="1" t="s">
        <v>307</v>
      </c>
      <c r="C2368" s="4" t="str">
        <f>VLOOKUP(Tabela1[[#This Row],[Cliente]],'BASE DE CLIENTES'!A:E,2,0)</f>
        <v>Uberaba</v>
      </c>
      <c r="D2368" s="1" t="str">
        <f>VLOOKUP(Tabela1[[#This Row],[Cliente]],'BASE DE CLIENTES'!A:C,3,0)</f>
        <v>MG</v>
      </c>
      <c r="E2368" s="4" t="str">
        <f>CONCATENATE(Tabela1[[#This Row],[CIDADE]],",",Tabela1[[#This Row],[UF]])</f>
        <v>Uberaba,MG</v>
      </c>
      <c r="F2368" s="2">
        <v>45686</v>
      </c>
      <c r="G2368" s="17">
        <v>15181.5</v>
      </c>
      <c r="H2368" s="17">
        <v>21700</v>
      </c>
      <c r="I2368" s="6">
        <f>Tabela1[[#This Row],[Valor total]]-Tabela1[[#This Row],[Valor custo]]</f>
        <v>6518.5</v>
      </c>
      <c r="J2368" s="7">
        <f>Tabela1[[#This Row],[MARGEM BRUTA]]/Tabela1[[#This Row],[Valor total]]</f>
        <v>0.30039170506912444</v>
      </c>
      <c r="K2368" s="1" t="str">
        <f>VLOOKUP(Tabela1[[#This Row],[Cliente]],'BASE DE CLIENTES'!A:D,4,0)</f>
        <v>EMPRESA COM MAQUINA</v>
      </c>
      <c r="L2368" s="1" t="str">
        <f>VLOOKUP(Tabela1[[#This Row],[Cliente]],'BASE DE CLIENTES'!A:E,5,0)</f>
        <v>Uberaba</v>
      </c>
    </row>
    <row r="2369" spans="2:12" x14ac:dyDescent="0.3">
      <c r="B2369" s="1" t="s">
        <v>307</v>
      </c>
      <c r="C2369" s="4" t="str">
        <f>VLOOKUP(Tabela1[[#This Row],[Cliente]],'BASE DE CLIENTES'!A:E,2,0)</f>
        <v>Uberaba</v>
      </c>
      <c r="D2369" s="1" t="str">
        <f>VLOOKUP(Tabela1[[#This Row],[Cliente]],'BASE DE CLIENTES'!A:C,3,0)</f>
        <v>MG</v>
      </c>
      <c r="E2369" s="4" t="str">
        <f>CONCATENATE(Tabela1[[#This Row],[CIDADE]],",",Tabela1[[#This Row],[UF]])</f>
        <v>Uberaba,MG</v>
      </c>
      <c r="F2369" s="2">
        <v>45665</v>
      </c>
      <c r="G2369" s="17">
        <v>9000.9599999999991</v>
      </c>
      <c r="H2369" s="17">
        <v>13850</v>
      </c>
      <c r="I2369" s="6">
        <f>Tabela1[[#This Row],[Valor total]]-Tabela1[[#This Row],[Valor custo]]</f>
        <v>4849.0400000000009</v>
      </c>
      <c r="J2369" s="7">
        <f>Tabela1[[#This Row],[MARGEM BRUTA]]/Tabela1[[#This Row],[Valor total]]</f>
        <v>0.35011119133574015</v>
      </c>
      <c r="K2369" s="1" t="str">
        <f>VLOOKUP(Tabela1[[#This Row],[Cliente]],'BASE DE CLIENTES'!A:D,4,0)</f>
        <v>EMPRESA COM MAQUINA</v>
      </c>
      <c r="L2369" s="1" t="str">
        <f>VLOOKUP(Tabela1[[#This Row],[Cliente]],'BASE DE CLIENTES'!A:E,5,0)</f>
        <v>Uberaba</v>
      </c>
    </row>
    <row r="2370" spans="2:12" x14ac:dyDescent="0.3">
      <c r="B2370" s="1" t="s">
        <v>307</v>
      </c>
      <c r="C2370" s="4" t="str">
        <f>VLOOKUP(Tabela1[[#This Row],[Cliente]],'BASE DE CLIENTES'!A:E,2,0)</f>
        <v>Uberaba</v>
      </c>
      <c r="D2370" s="1" t="str">
        <f>VLOOKUP(Tabela1[[#This Row],[Cliente]],'BASE DE CLIENTES'!A:C,3,0)</f>
        <v>MG</v>
      </c>
      <c r="E2370" s="4" t="str">
        <f>CONCATENATE(Tabela1[[#This Row],[CIDADE]],",",Tabela1[[#This Row],[UF]])</f>
        <v>Uberaba,MG</v>
      </c>
      <c r="F2370" s="2">
        <v>45709</v>
      </c>
      <c r="G2370" s="17">
        <v>1200</v>
      </c>
      <c r="H2370" s="17">
        <v>6400</v>
      </c>
      <c r="I2370" s="6">
        <f>Tabela1[[#This Row],[Valor total]]-Tabela1[[#This Row],[Valor custo]]</f>
        <v>5200</v>
      </c>
      <c r="J2370" s="7">
        <f>Tabela1[[#This Row],[MARGEM BRUTA]]/Tabela1[[#This Row],[Valor total]]</f>
        <v>0.8125</v>
      </c>
      <c r="K2370" s="1" t="str">
        <f>VLOOKUP(Tabela1[[#This Row],[Cliente]],'BASE DE CLIENTES'!A:D,4,0)</f>
        <v>EMPRESA COM MAQUINA</v>
      </c>
      <c r="L2370" s="1" t="str">
        <f>VLOOKUP(Tabela1[[#This Row],[Cliente]],'BASE DE CLIENTES'!A:E,5,0)</f>
        <v>Uberaba</v>
      </c>
    </row>
    <row r="2371" spans="2:12" x14ac:dyDescent="0.3">
      <c r="B2371" s="1" t="s">
        <v>111</v>
      </c>
      <c r="C2371" s="4" t="str">
        <f>VLOOKUP(Tabela1[[#This Row],[Cliente]],'BASE DE CLIENTES'!A:E,2,0)</f>
        <v>Brasília</v>
      </c>
      <c r="D2371" s="1" t="str">
        <f>VLOOKUP(Tabela1[[#This Row],[Cliente]],'BASE DE CLIENTES'!A:C,3,0)</f>
        <v>DF</v>
      </c>
      <c r="E2371" s="4" t="str">
        <f>CONCATENATE(Tabela1[[#This Row],[CIDADE]],",",Tabela1[[#This Row],[UF]])</f>
        <v>Brasília,DF</v>
      </c>
      <c r="F2371" s="2">
        <v>45922</v>
      </c>
      <c r="G2371" s="17">
        <v>455</v>
      </c>
      <c r="H2371" s="17">
        <v>600</v>
      </c>
      <c r="I2371" s="6">
        <f>Tabela1[[#This Row],[Valor total]]-Tabela1[[#This Row],[Valor custo]]</f>
        <v>145</v>
      </c>
      <c r="J2371" s="7">
        <f>Tabela1[[#This Row],[MARGEM BRUTA]]/Tabela1[[#This Row],[Valor total]]</f>
        <v>0.24166666666666667</v>
      </c>
      <c r="K2371" s="1" t="str">
        <f>VLOOKUP(Tabela1[[#This Row],[Cliente]],'BASE DE CLIENTES'!A:D,4,0)</f>
        <v>EMPRESA SEM MAQUINA</v>
      </c>
      <c r="L2371" s="1" t="str">
        <f>VLOOKUP(Tabela1[[#This Row],[Cliente]],'BASE DE CLIENTES'!A:E,5,0)</f>
        <v>TAGUATINGA SUL (TAGUATINGA)</v>
      </c>
    </row>
    <row r="2372" spans="2:12" x14ac:dyDescent="0.3">
      <c r="B2372" s="1" t="s">
        <v>307</v>
      </c>
      <c r="C2372" s="4" t="str">
        <f>VLOOKUP(Tabela1[[#This Row],[Cliente]],'BASE DE CLIENTES'!A:E,2,0)</f>
        <v>Uberaba</v>
      </c>
      <c r="D2372" s="1" t="str">
        <f>VLOOKUP(Tabela1[[#This Row],[Cliente]],'BASE DE CLIENTES'!A:C,3,0)</f>
        <v>MG</v>
      </c>
      <c r="E2372" s="4" t="str">
        <f>CONCATENATE(Tabela1[[#This Row],[CIDADE]],",",Tabela1[[#This Row],[UF]])</f>
        <v>Uberaba,MG</v>
      </c>
      <c r="F2372" s="2">
        <v>45762</v>
      </c>
      <c r="G2372" s="17">
        <v>9383.7000000000007</v>
      </c>
      <c r="H2372" s="17">
        <v>13470</v>
      </c>
      <c r="I2372" s="6">
        <f>Tabela1[[#This Row],[Valor total]]-Tabela1[[#This Row],[Valor custo]]</f>
        <v>4086.2999999999993</v>
      </c>
      <c r="J2372" s="7">
        <f>Tabela1[[#This Row],[MARGEM BRUTA]]/Tabela1[[#This Row],[Valor total]]</f>
        <v>0.30336302895322936</v>
      </c>
      <c r="K2372" s="1" t="str">
        <f>VLOOKUP(Tabela1[[#This Row],[Cliente]],'BASE DE CLIENTES'!A:D,4,0)</f>
        <v>EMPRESA COM MAQUINA</v>
      </c>
      <c r="L2372" s="1" t="str">
        <f>VLOOKUP(Tabela1[[#This Row],[Cliente]],'BASE DE CLIENTES'!A:E,5,0)</f>
        <v>Uberaba</v>
      </c>
    </row>
    <row r="2373" spans="2:12" x14ac:dyDescent="0.3">
      <c r="B2373" s="1" t="s">
        <v>307</v>
      </c>
      <c r="C2373" s="4" t="str">
        <f>VLOOKUP(Tabela1[[#This Row],[Cliente]],'BASE DE CLIENTES'!A:E,2,0)</f>
        <v>Uberaba</v>
      </c>
      <c r="D2373" s="1" t="str">
        <f>VLOOKUP(Tabela1[[#This Row],[Cliente]],'BASE DE CLIENTES'!A:C,3,0)</f>
        <v>MG</v>
      </c>
      <c r="E2373" s="4" t="str">
        <f>CONCATENATE(Tabela1[[#This Row],[CIDADE]],",",Tabela1[[#This Row],[UF]])</f>
        <v>Uberaba,MG</v>
      </c>
      <c r="F2373" s="2">
        <v>45798</v>
      </c>
      <c r="G2373" s="17">
        <v>17026.099999999999</v>
      </c>
      <c r="H2373" s="17">
        <v>23400</v>
      </c>
      <c r="I2373" s="6">
        <f>Tabela1[[#This Row],[Valor total]]-Tabela1[[#This Row],[Valor custo]]</f>
        <v>6373.9000000000015</v>
      </c>
      <c r="J2373" s="7">
        <f>Tabela1[[#This Row],[MARGEM BRUTA]]/Tabela1[[#This Row],[Valor total]]</f>
        <v>0.27238888888888896</v>
      </c>
      <c r="K2373" s="1" t="str">
        <f>VLOOKUP(Tabela1[[#This Row],[Cliente]],'BASE DE CLIENTES'!A:D,4,0)</f>
        <v>EMPRESA COM MAQUINA</v>
      </c>
      <c r="L2373" s="1" t="str">
        <f>VLOOKUP(Tabela1[[#This Row],[Cliente]],'BASE DE CLIENTES'!A:E,5,0)</f>
        <v>Uberaba</v>
      </c>
    </row>
    <row r="2374" spans="2:12" x14ac:dyDescent="0.3">
      <c r="B2374" s="1" t="s">
        <v>307</v>
      </c>
      <c r="C2374" s="4" t="str">
        <f>VLOOKUP(Tabela1[[#This Row],[Cliente]],'BASE DE CLIENTES'!A:E,2,0)</f>
        <v>Uberaba</v>
      </c>
      <c r="D2374" s="1" t="str">
        <f>VLOOKUP(Tabela1[[#This Row],[Cliente]],'BASE DE CLIENTES'!A:C,3,0)</f>
        <v>MG</v>
      </c>
      <c r="E2374" s="4" t="str">
        <f>CONCATENATE(Tabela1[[#This Row],[CIDADE]],",",Tabela1[[#This Row],[UF]])</f>
        <v>Uberaba,MG</v>
      </c>
      <c r="F2374" s="2">
        <v>45859</v>
      </c>
      <c r="G2374" s="17">
        <v>14860.76</v>
      </c>
      <c r="H2374" s="17">
        <v>20025</v>
      </c>
      <c r="I2374" s="6">
        <f>Tabela1[[#This Row],[Valor total]]-Tabela1[[#This Row],[Valor custo]]</f>
        <v>5164.24</v>
      </c>
      <c r="J2374" s="7">
        <f>Tabela1[[#This Row],[MARGEM BRUTA]]/Tabela1[[#This Row],[Valor total]]</f>
        <v>0.25788963795255931</v>
      </c>
      <c r="K2374" s="1" t="str">
        <f>VLOOKUP(Tabela1[[#This Row],[Cliente]],'BASE DE CLIENTES'!A:D,4,0)</f>
        <v>EMPRESA COM MAQUINA</v>
      </c>
      <c r="L2374" s="1" t="str">
        <f>VLOOKUP(Tabela1[[#This Row],[Cliente]],'BASE DE CLIENTES'!A:E,5,0)</f>
        <v>Uberaba</v>
      </c>
    </row>
    <row r="2375" spans="2:12" x14ac:dyDescent="0.3">
      <c r="B2375" s="1" t="s">
        <v>308</v>
      </c>
      <c r="C2375" s="4" t="str">
        <f>VLOOKUP(Tabela1[[#This Row],[Cliente]],'BASE DE CLIENTES'!A:E,2,0)</f>
        <v>Uberaba</v>
      </c>
      <c r="D2375" s="1" t="str">
        <f>VLOOKUP(Tabela1[[#This Row],[Cliente]],'BASE DE CLIENTES'!A:C,3,0)</f>
        <v>MG</v>
      </c>
      <c r="E2375" s="4" t="str">
        <f>CONCATENATE(Tabela1[[#This Row],[CIDADE]],",",Tabela1[[#This Row],[UF]])</f>
        <v>Uberaba,MG</v>
      </c>
      <c r="F2375" s="2">
        <v>45852</v>
      </c>
      <c r="G2375" s="17">
        <v>27372</v>
      </c>
      <c r="H2375" s="17">
        <v>37300</v>
      </c>
      <c r="I2375" s="6">
        <f>Tabela1[[#This Row],[Valor total]]-Tabela1[[#This Row],[Valor custo]]</f>
        <v>9928</v>
      </c>
      <c r="J2375" s="7">
        <f>Tabela1[[#This Row],[MARGEM BRUTA]]/Tabela1[[#This Row],[Valor total]]</f>
        <v>0.26616621983914207</v>
      </c>
      <c r="K2375" s="1" t="str">
        <f>VLOOKUP(Tabela1[[#This Row],[Cliente]],'BASE DE CLIENTES'!A:D,4,0)</f>
        <v>EMPRESA COM MAQUINA</v>
      </c>
      <c r="L2375" s="1" t="str">
        <f>VLOOKUP(Tabela1[[#This Row],[Cliente]],'BASE DE CLIENTES'!A:E,5,0)</f>
        <v>Uberaba</v>
      </c>
    </row>
    <row r="2376" spans="2:12" x14ac:dyDescent="0.3">
      <c r="B2376" s="1" t="s">
        <v>307</v>
      </c>
      <c r="C2376" s="4" t="str">
        <f>VLOOKUP(Tabela1[[#This Row],[Cliente]],'BASE DE CLIENTES'!A:E,2,0)</f>
        <v>Uberaba</v>
      </c>
      <c r="D2376" s="1" t="str">
        <f>VLOOKUP(Tabela1[[#This Row],[Cliente]],'BASE DE CLIENTES'!A:C,3,0)</f>
        <v>MG</v>
      </c>
      <c r="E2376" s="4" t="str">
        <f>CONCATENATE(Tabela1[[#This Row],[CIDADE]],",",Tabela1[[#This Row],[UF]])</f>
        <v>Uberaba,MG</v>
      </c>
      <c r="F2376" s="2">
        <v>45845</v>
      </c>
      <c r="G2376" s="17">
        <v>13670</v>
      </c>
      <c r="H2376" s="17">
        <v>17750</v>
      </c>
      <c r="I2376" s="6">
        <f>Tabela1[[#This Row],[Valor total]]-Tabela1[[#This Row],[Valor custo]]</f>
        <v>4080</v>
      </c>
      <c r="J2376" s="7">
        <f>Tabela1[[#This Row],[MARGEM BRUTA]]/Tabela1[[#This Row],[Valor total]]</f>
        <v>0.22985915492957745</v>
      </c>
      <c r="K2376" s="1" t="str">
        <f>VLOOKUP(Tabela1[[#This Row],[Cliente]],'BASE DE CLIENTES'!A:D,4,0)</f>
        <v>EMPRESA COM MAQUINA</v>
      </c>
      <c r="L2376" s="1" t="str">
        <f>VLOOKUP(Tabela1[[#This Row],[Cliente]],'BASE DE CLIENTES'!A:E,5,0)</f>
        <v>Uberaba</v>
      </c>
    </row>
    <row r="2377" spans="2:12" x14ac:dyDescent="0.3">
      <c r="B2377" s="1" t="s">
        <v>307</v>
      </c>
      <c r="C2377" s="4" t="str">
        <f>VLOOKUP(Tabela1[[#This Row],[Cliente]],'BASE DE CLIENTES'!A:E,2,0)</f>
        <v>Uberaba</v>
      </c>
      <c r="D2377" s="1" t="str">
        <f>VLOOKUP(Tabela1[[#This Row],[Cliente]],'BASE DE CLIENTES'!A:C,3,0)</f>
        <v>MG</v>
      </c>
      <c r="E2377" s="4" t="str">
        <f>CONCATENATE(Tabela1[[#This Row],[CIDADE]],",",Tabela1[[#This Row],[UF]])</f>
        <v>Uberaba,MG</v>
      </c>
      <c r="F2377" s="2">
        <v>45891</v>
      </c>
      <c r="G2377" s="17">
        <v>14665.4</v>
      </c>
      <c r="H2377" s="17">
        <v>21700</v>
      </c>
      <c r="I2377" s="6">
        <f>Tabela1[[#This Row],[Valor total]]-Tabela1[[#This Row],[Valor custo]]</f>
        <v>7034.6</v>
      </c>
      <c r="J2377" s="7">
        <f>Tabela1[[#This Row],[MARGEM BRUTA]]/Tabela1[[#This Row],[Valor total]]</f>
        <v>0.3241751152073733</v>
      </c>
      <c r="K2377" s="1" t="str">
        <f>VLOOKUP(Tabela1[[#This Row],[Cliente]],'BASE DE CLIENTES'!A:D,4,0)</f>
        <v>EMPRESA COM MAQUINA</v>
      </c>
      <c r="L2377" s="1" t="str">
        <f>VLOOKUP(Tabela1[[#This Row],[Cliente]],'BASE DE CLIENTES'!A:E,5,0)</f>
        <v>Uberaba</v>
      </c>
    </row>
    <row r="2378" spans="2:12" x14ac:dyDescent="0.3">
      <c r="B2378" s="1" t="s">
        <v>307</v>
      </c>
      <c r="C2378" s="4" t="str">
        <f>VLOOKUP(Tabela1[[#This Row],[Cliente]],'BASE DE CLIENTES'!A:E,2,0)</f>
        <v>Uberaba</v>
      </c>
      <c r="D2378" s="1" t="str">
        <f>VLOOKUP(Tabela1[[#This Row],[Cliente]],'BASE DE CLIENTES'!A:C,3,0)</f>
        <v>MG</v>
      </c>
      <c r="E2378" s="4" t="str">
        <f>CONCATENATE(Tabela1[[#This Row],[CIDADE]],",",Tabela1[[#This Row],[UF]])</f>
        <v>Uberaba,MG</v>
      </c>
      <c r="F2378" s="2">
        <v>45873</v>
      </c>
      <c r="G2378" s="17">
        <v>12742.97</v>
      </c>
      <c r="H2378" s="17">
        <v>18865</v>
      </c>
      <c r="I2378" s="6">
        <f>Tabela1[[#This Row],[Valor total]]-Tabela1[[#This Row],[Valor custo]]</f>
        <v>6122.0300000000007</v>
      </c>
      <c r="J2378" s="7">
        <f>Tabela1[[#This Row],[MARGEM BRUTA]]/Tabela1[[#This Row],[Valor total]]</f>
        <v>0.32451789027299233</v>
      </c>
      <c r="K2378" s="1" t="str">
        <f>VLOOKUP(Tabela1[[#This Row],[Cliente]],'BASE DE CLIENTES'!A:D,4,0)</f>
        <v>EMPRESA COM MAQUINA</v>
      </c>
      <c r="L2378" s="1" t="str">
        <f>VLOOKUP(Tabela1[[#This Row],[Cliente]],'BASE DE CLIENTES'!A:E,5,0)</f>
        <v>Uberaba</v>
      </c>
    </row>
    <row r="2379" spans="2:12" x14ac:dyDescent="0.3">
      <c r="B2379" s="1" t="s">
        <v>307</v>
      </c>
      <c r="C2379" s="4" t="str">
        <f>VLOOKUP(Tabela1[[#This Row],[Cliente]],'BASE DE CLIENTES'!A:E,2,0)</f>
        <v>Uberaba</v>
      </c>
      <c r="D2379" s="1" t="str">
        <f>VLOOKUP(Tabela1[[#This Row],[Cliente]],'BASE DE CLIENTES'!A:C,3,0)</f>
        <v>MG</v>
      </c>
      <c r="E2379" s="4" t="str">
        <f>CONCATENATE(Tabela1[[#This Row],[CIDADE]],",",Tabela1[[#This Row],[UF]])</f>
        <v>Uberaba,MG</v>
      </c>
      <c r="F2379" s="2">
        <v>45909</v>
      </c>
      <c r="G2379" s="17">
        <v>14354.95</v>
      </c>
      <c r="H2379" s="17">
        <v>20925</v>
      </c>
      <c r="I2379" s="6">
        <f>Tabela1[[#This Row],[Valor total]]-Tabela1[[#This Row],[Valor custo]]</f>
        <v>6570.0499999999993</v>
      </c>
      <c r="J2379" s="7">
        <f>Tabela1[[#This Row],[MARGEM BRUTA]]/Tabela1[[#This Row],[Valor total]]</f>
        <v>0.31398088410991631</v>
      </c>
      <c r="K2379" s="1" t="str">
        <f>VLOOKUP(Tabela1[[#This Row],[Cliente]],'BASE DE CLIENTES'!A:D,4,0)</f>
        <v>EMPRESA COM MAQUINA</v>
      </c>
      <c r="L2379" s="1" t="str">
        <f>VLOOKUP(Tabela1[[#This Row],[Cliente]],'BASE DE CLIENTES'!A:E,5,0)</f>
        <v>Uberaba</v>
      </c>
    </row>
    <row r="2380" spans="2:12" x14ac:dyDescent="0.3">
      <c r="B2380" s="1" t="s">
        <v>308</v>
      </c>
      <c r="C2380" s="4" t="str">
        <f>VLOOKUP(Tabela1[[#This Row],[Cliente]],'BASE DE CLIENTES'!A:E,2,0)</f>
        <v>Uberaba</v>
      </c>
      <c r="D2380" s="1" t="str">
        <f>VLOOKUP(Tabela1[[#This Row],[Cliente]],'BASE DE CLIENTES'!A:C,3,0)</f>
        <v>MG</v>
      </c>
      <c r="E2380" s="4" t="str">
        <f>CONCATENATE(Tabela1[[#This Row],[CIDADE]],",",Tabela1[[#This Row],[UF]])</f>
        <v>Uberaba,MG</v>
      </c>
      <c r="F2380" s="2">
        <v>45902</v>
      </c>
      <c r="G2380" s="17">
        <v>19585.599999999999</v>
      </c>
      <c r="H2380" s="17">
        <v>30000</v>
      </c>
      <c r="I2380" s="6">
        <f>Tabela1[[#This Row],[Valor total]]-Tabela1[[#This Row],[Valor custo]]</f>
        <v>10414.400000000001</v>
      </c>
      <c r="J2380" s="7">
        <f>Tabela1[[#This Row],[MARGEM BRUTA]]/Tabela1[[#This Row],[Valor total]]</f>
        <v>0.34714666666666671</v>
      </c>
      <c r="K2380" s="1" t="str">
        <f>VLOOKUP(Tabela1[[#This Row],[Cliente]],'BASE DE CLIENTES'!A:D,4,0)</f>
        <v>EMPRESA COM MAQUINA</v>
      </c>
      <c r="L2380" s="1" t="str">
        <f>VLOOKUP(Tabela1[[#This Row],[Cliente]],'BASE DE CLIENTES'!A:E,5,0)</f>
        <v>Uberaba</v>
      </c>
    </row>
    <row r="2381" spans="2:12" x14ac:dyDescent="0.3">
      <c r="B2381" s="1" t="s">
        <v>309</v>
      </c>
      <c r="C2381" s="4" t="str">
        <f>VLOOKUP(Tabela1[[#This Row],[Cliente]],'BASE DE CLIENTES'!A:E,2,0)</f>
        <v>Uberlândia</v>
      </c>
      <c r="D2381" s="1" t="str">
        <f>VLOOKUP(Tabela1[[#This Row],[Cliente]],'BASE DE CLIENTES'!A:C,3,0)</f>
        <v>MG</v>
      </c>
      <c r="E2381" s="4" t="str">
        <f>CONCATENATE(Tabela1[[#This Row],[CIDADE]],",",Tabela1[[#This Row],[UF]])</f>
        <v>Uberlândia,MG</v>
      </c>
      <c r="F2381" s="2">
        <v>45665</v>
      </c>
      <c r="G2381" s="17">
        <v>5303.26</v>
      </c>
      <c r="H2381" s="17">
        <v>7320</v>
      </c>
      <c r="I2381" s="6">
        <f>Tabela1[[#This Row],[Valor total]]-Tabela1[[#This Row],[Valor custo]]</f>
        <v>2016.7399999999998</v>
      </c>
      <c r="J2381" s="7">
        <f>Tabela1[[#This Row],[MARGEM BRUTA]]/Tabela1[[#This Row],[Valor total]]</f>
        <v>0.27551092896174861</v>
      </c>
      <c r="K2381" s="1" t="str">
        <f>VLOOKUP(Tabela1[[#This Row],[Cliente]],'BASE DE CLIENTES'!A:D,4,0)</f>
        <v>EMPRESA COM MAQUINA</v>
      </c>
      <c r="L2381" s="1" t="str">
        <f>VLOOKUP(Tabela1[[#This Row],[Cliente]],'BASE DE CLIENTES'!A:E,5,0)</f>
        <v>Uberlândia</v>
      </c>
    </row>
    <row r="2382" spans="2:12" x14ac:dyDescent="0.3">
      <c r="B2382" s="1" t="s">
        <v>309</v>
      </c>
      <c r="C2382" s="4" t="str">
        <f>VLOOKUP(Tabela1[[#This Row],[Cliente]],'BASE DE CLIENTES'!A:E,2,0)</f>
        <v>Uberlândia</v>
      </c>
      <c r="D2382" s="1" t="str">
        <f>VLOOKUP(Tabela1[[#This Row],[Cliente]],'BASE DE CLIENTES'!A:C,3,0)</f>
        <v>MG</v>
      </c>
      <c r="E2382" s="4" t="str">
        <f>CONCATENATE(Tabela1[[#This Row],[CIDADE]],",",Tabela1[[#This Row],[UF]])</f>
        <v>Uberlândia,MG</v>
      </c>
      <c r="F2382" s="2">
        <v>45709</v>
      </c>
      <c r="G2382" s="17">
        <v>3086.7</v>
      </c>
      <c r="H2382" s="17">
        <v>4140</v>
      </c>
      <c r="I2382" s="6">
        <f>Tabela1[[#This Row],[Valor total]]-Tabela1[[#This Row],[Valor custo]]</f>
        <v>1053.3000000000002</v>
      </c>
      <c r="J2382" s="7">
        <f>Tabela1[[#This Row],[MARGEM BRUTA]]/Tabela1[[#This Row],[Valor total]]</f>
        <v>0.25442028985507253</v>
      </c>
      <c r="K2382" s="1" t="str">
        <f>VLOOKUP(Tabela1[[#This Row],[Cliente]],'BASE DE CLIENTES'!A:D,4,0)</f>
        <v>EMPRESA COM MAQUINA</v>
      </c>
      <c r="L2382" s="1" t="str">
        <f>VLOOKUP(Tabela1[[#This Row],[Cliente]],'BASE DE CLIENTES'!A:E,5,0)</f>
        <v>Uberlândia</v>
      </c>
    </row>
    <row r="2383" spans="2:12" x14ac:dyDescent="0.3">
      <c r="B2383" s="1" t="s">
        <v>309</v>
      </c>
      <c r="C2383" s="4" t="str">
        <f>VLOOKUP(Tabela1[[#This Row],[Cliente]],'BASE DE CLIENTES'!A:E,2,0)</f>
        <v>Uberlândia</v>
      </c>
      <c r="D2383" s="1" t="str">
        <f>VLOOKUP(Tabela1[[#This Row],[Cliente]],'BASE DE CLIENTES'!A:C,3,0)</f>
        <v>MG</v>
      </c>
      <c r="E2383" s="4" t="str">
        <f>CONCATENATE(Tabela1[[#This Row],[CIDADE]],",",Tabela1[[#This Row],[UF]])</f>
        <v>Uberlândia,MG</v>
      </c>
      <c r="F2383" s="2">
        <v>45741</v>
      </c>
      <c r="G2383" s="17">
        <v>213.26</v>
      </c>
      <c r="H2383" s="17">
        <v>890</v>
      </c>
      <c r="I2383" s="6">
        <f>Tabela1[[#This Row],[Valor total]]-Tabela1[[#This Row],[Valor custo]]</f>
        <v>676.74</v>
      </c>
      <c r="J2383" s="7">
        <f>Tabela1[[#This Row],[MARGEM BRUTA]]/Tabela1[[#This Row],[Valor total]]</f>
        <v>0.76038202247191011</v>
      </c>
      <c r="K2383" s="1" t="str">
        <f>VLOOKUP(Tabela1[[#This Row],[Cliente]],'BASE DE CLIENTES'!A:D,4,0)</f>
        <v>EMPRESA COM MAQUINA</v>
      </c>
      <c r="L2383" s="1" t="str">
        <f>VLOOKUP(Tabela1[[#This Row],[Cliente]],'BASE DE CLIENTES'!A:E,5,0)</f>
        <v>Uberlândia</v>
      </c>
    </row>
    <row r="2384" spans="2:12" x14ac:dyDescent="0.3">
      <c r="B2384" s="1" t="s">
        <v>310</v>
      </c>
      <c r="C2384" s="4" t="str">
        <f>VLOOKUP(Tabela1[[#This Row],[Cliente]],'BASE DE CLIENTES'!A:E,2,0)</f>
        <v>Uberlândia</v>
      </c>
      <c r="D2384" s="1" t="str">
        <f>VLOOKUP(Tabela1[[#This Row],[Cliente]],'BASE DE CLIENTES'!A:C,3,0)</f>
        <v>MG</v>
      </c>
      <c r="E2384" s="4" t="str">
        <f>CONCATENATE(Tabela1[[#This Row],[CIDADE]],",",Tabela1[[#This Row],[UF]])</f>
        <v>Uberlândia,MG</v>
      </c>
      <c r="F2384" s="2">
        <v>45730</v>
      </c>
      <c r="G2384" s="17">
        <v>5144.5</v>
      </c>
      <c r="H2384" s="17">
        <v>5670</v>
      </c>
      <c r="I2384" s="6">
        <f>Tabela1[[#This Row],[Valor total]]-Tabela1[[#This Row],[Valor custo]]</f>
        <v>525.5</v>
      </c>
      <c r="J2384" s="7">
        <f>Tabela1[[#This Row],[MARGEM BRUTA]]/Tabela1[[#This Row],[Valor total]]</f>
        <v>9.2680776014109345E-2</v>
      </c>
      <c r="K2384" s="1" t="str">
        <f>VLOOKUP(Tabela1[[#This Row],[Cliente]],'BASE DE CLIENTES'!A:D,4,0)</f>
        <v>EMPRESA COM MAQUINA</v>
      </c>
      <c r="L2384" s="1" t="str">
        <f>VLOOKUP(Tabela1[[#This Row],[Cliente]],'BASE DE CLIENTES'!A:E,5,0)</f>
        <v>Uberlândia</v>
      </c>
    </row>
    <row r="2385" spans="2:12" x14ac:dyDescent="0.3">
      <c r="B2385" s="1" t="s">
        <v>309</v>
      </c>
      <c r="C2385" s="4" t="str">
        <f>VLOOKUP(Tabela1[[#This Row],[Cliente]],'BASE DE CLIENTES'!A:E,2,0)</f>
        <v>Uberlândia</v>
      </c>
      <c r="D2385" s="1" t="str">
        <f>VLOOKUP(Tabela1[[#This Row],[Cliente]],'BASE DE CLIENTES'!A:C,3,0)</f>
        <v>MG</v>
      </c>
      <c r="E2385" s="4" t="str">
        <f>CONCATENATE(Tabela1[[#This Row],[CIDADE]],",",Tabela1[[#This Row],[UF]])</f>
        <v>Uberlândia,MG</v>
      </c>
      <c r="F2385" s="2">
        <v>45729</v>
      </c>
      <c r="G2385" s="17">
        <v>1187.6600000000001</v>
      </c>
      <c r="H2385" s="17">
        <v>1800</v>
      </c>
      <c r="I2385" s="6">
        <f>Tabela1[[#This Row],[Valor total]]-Tabela1[[#This Row],[Valor custo]]</f>
        <v>612.33999999999992</v>
      </c>
      <c r="J2385" s="7">
        <f>Tabela1[[#This Row],[MARGEM BRUTA]]/Tabela1[[#This Row],[Valor total]]</f>
        <v>0.34018888888888882</v>
      </c>
      <c r="K2385" s="1" t="str">
        <f>VLOOKUP(Tabela1[[#This Row],[Cliente]],'BASE DE CLIENTES'!A:D,4,0)</f>
        <v>EMPRESA COM MAQUINA</v>
      </c>
      <c r="L2385" s="1" t="str">
        <f>VLOOKUP(Tabela1[[#This Row],[Cliente]],'BASE DE CLIENTES'!A:E,5,0)</f>
        <v>Uberlândia</v>
      </c>
    </row>
    <row r="2386" spans="2:12" x14ac:dyDescent="0.3">
      <c r="B2386" s="1" t="s">
        <v>311</v>
      </c>
      <c r="C2386" s="4" t="str">
        <f>VLOOKUP(Tabela1[[#This Row],[Cliente]],'BASE DE CLIENTES'!A:E,2,0)</f>
        <v>Uberlândia</v>
      </c>
      <c r="D2386" s="1" t="str">
        <f>VLOOKUP(Tabela1[[#This Row],[Cliente]],'BASE DE CLIENTES'!A:C,3,0)</f>
        <v>MG</v>
      </c>
      <c r="E2386" s="4" t="str">
        <f>CONCATENATE(Tabela1[[#This Row],[CIDADE]],",",Tabela1[[#This Row],[UF]])</f>
        <v>Uberlândia,MG</v>
      </c>
      <c r="F2386" s="2">
        <v>45729</v>
      </c>
      <c r="G2386" s="17">
        <v>12353.23</v>
      </c>
      <c r="H2386" s="17">
        <v>16200</v>
      </c>
      <c r="I2386" s="6">
        <f>Tabela1[[#This Row],[Valor total]]-Tabela1[[#This Row],[Valor custo]]</f>
        <v>3846.7700000000004</v>
      </c>
      <c r="J2386" s="7">
        <f>Tabela1[[#This Row],[MARGEM BRUTA]]/Tabela1[[#This Row],[Valor total]]</f>
        <v>0.23745493827160497</v>
      </c>
      <c r="K2386" s="1" t="str">
        <f>VLOOKUP(Tabela1[[#This Row],[Cliente]],'BASE DE CLIENTES'!A:D,4,0)</f>
        <v>EMPRESA COM MAQUINA</v>
      </c>
      <c r="L2386" s="1" t="str">
        <f>VLOOKUP(Tabela1[[#This Row],[Cliente]],'BASE DE CLIENTES'!A:E,5,0)</f>
        <v>Uberlândia</v>
      </c>
    </row>
    <row r="2387" spans="2:12" x14ac:dyDescent="0.3">
      <c r="B2387" s="1" t="s">
        <v>216</v>
      </c>
      <c r="C2387" s="4" t="str">
        <f>VLOOKUP(Tabela1[[#This Row],[Cliente]],'BASE DE CLIENTES'!A:E,2,0)</f>
        <v>Brasília</v>
      </c>
      <c r="D2387" s="1" t="str">
        <f>VLOOKUP(Tabela1[[#This Row],[Cliente]],'BASE DE CLIENTES'!A:C,3,0)</f>
        <v>DF</v>
      </c>
      <c r="E2387" s="4" t="str">
        <f>CONCATENATE(Tabela1[[#This Row],[CIDADE]],",",Tabela1[[#This Row],[UF]])</f>
        <v>Brasília,DF</v>
      </c>
      <c r="F2387" s="2">
        <v>45922</v>
      </c>
      <c r="G2387" s="17">
        <v>649</v>
      </c>
      <c r="H2387" s="17">
        <v>1150</v>
      </c>
      <c r="I2387" s="6">
        <f>Tabela1[[#This Row],[Valor total]]-Tabela1[[#This Row],[Valor custo]]</f>
        <v>501</v>
      </c>
      <c r="J2387" s="7">
        <f>Tabela1[[#This Row],[MARGEM BRUTA]]/Tabela1[[#This Row],[Valor total]]</f>
        <v>0.43565217391304351</v>
      </c>
      <c r="K2387" s="1" t="str">
        <f>VLOOKUP(Tabela1[[#This Row],[Cliente]],'BASE DE CLIENTES'!A:D,4,0)</f>
        <v>EMPRESA COM MAQUINA</v>
      </c>
      <c r="L2387" s="1" t="str">
        <f>VLOOKUP(Tabela1[[#This Row],[Cliente]],'BASE DE CLIENTES'!A:E,5,0)</f>
        <v>RIACHO FUNDO II</v>
      </c>
    </row>
    <row r="2388" spans="2:12" x14ac:dyDescent="0.3">
      <c r="B2388" s="1" t="s">
        <v>161</v>
      </c>
      <c r="C2388" s="4" t="str">
        <f>VLOOKUP(Tabela1[[#This Row],[Cliente]],'BASE DE CLIENTES'!A:E,2,0)</f>
        <v>Brasília</v>
      </c>
      <c r="D2388" s="1" t="str">
        <f>VLOOKUP(Tabela1[[#This Row],[Cliente]],'BASE DE CLIENTES'!A:C,3,0)</f>
        <v>DF</v>
      </c>
      <c r="E2388" s="4" t="str">
        <f>CONCATENATE(Tabela1[[#This Row],[CIDADE]],",",Tabela1[[#This Row],[UF]])</f>
        <v>Brasília,DF</v>
      </c>
      <c r="F2388" s="2">
        <v>45922</v>
      </c>
      <c r="G2388" s="17">
        <v>2730</v>
      </c>
      <c r="H2388" s="17">
        <v>5200</v>
      </c>
      <c r="I2388" s="6">
        <f>Tabela1[[#This Row],[Valor total]]-Tabela1[[#This Row],[Valor custo]]</f>
        <v>2470</v>
      </c>
      <c r="J2388" s="7">
        <f>Tabela1[[#This Row],[MARGEM BRUTA]]/Tabela1[[#This Row],[Valor total]]</f>
        <v>0.47499999999999998</v>
      </c>
      <c r="K2388" s="1" t="str">
        <f>VLOOKUP(Tabela1[[#This Row],[Cliente]],'BASE DE CLIENTES'!A:D,4,0)</f>
        <v>EMPRESA COM MAQUINA</v>
      </c>
      <c r="L2388" s="1" t="str">
        <f>VLOOKUP(Tabela1[[#This Row],[Cliente]],'BASE DE CLIENTES'!A:E,5,0)</f>
        <v>RIACHO FUNDO II</v>
      </c>
    </row>
    <row r="2389" spans="2:12" x14ac:dyDescent="0.3">
      <c r="B2389" s="1" t="s">
        <v>262</v>
      </c>
      <c r="C2389" s="4" t="str">
        <f>VLOOKUP(Tabela1[[#This Row],[Cliente]],'BASE DE CLIENTES'!A:E,2,0)</f>
        <v>Brasília</v>
      </c>
      <c r="D2389" s="1" t="str">
        <f>VLOOKUP(Tabela1[[#This Row],[Cliente]],'BASE DE CLIENTES'!A:C,3,0)</f>
        <v>DF</v>
      </c>
      <c r="E2389" s="4" t="str">
        <f>CONCATENATE(Tabela1[[#This Row],[CIDADE]],",",Tabela1[[#This Row],[UF]])</f>
        <v>Brasília,DF</v>
      </c>
      <c r="F2389" s="2">
        <v>45919</v>
      </c>
      <c r="G2389" s="17">
        <v>34.75</v>
      </c>
      <c r="H2389" s="17">
        <v>48</v>
      </c>
      <c r="I2389" s="6">
        <f>Tabela1[[#This Row],[Valor total]]-Tabela1[[#This Row],[Valor custo]]</f>
        <v>13.25</v>
      </c>
      <c r="J2389" s="7">
        <f>Tabela1[[#This Row],[MARGEM BRUTA]]/Tabela1[[#This Row],[Valor total]]</f>
        <v>0.27604166666666669</v>
      </c>
      <c r="K2389" s="1" t="str">
        <f>VLOOKUP(Tabela1[[#This Row],[Cliente]],'BASE DE CLIENTES'!A:D,4,0)</f>
        <v>SERRALHEIRO</v>
      </c>
      <c r="L2389" s="1" t="str">
        <f>VLOOKUP(Tabela1[[#This Row],[Cliente]],'BASE DE CLIENTES'!A:E,5,0)</f>
        <v>SETOR INDUSTRIAL (TAGUATINGA)</v>
      </c>
    </row>
    <row r="2390" spans="2:12" x14ac:dyDescent="0.3">
      <c r="B2390" s="1" t="s">
        <v>161</v>
      </c>
      <c r="C2390" s="4" t="str">
        <f>VLOOKUP(Tabela1[[#This Row],[Cliente]],'BASE DE CLIENTES'!A:E,2,0)</f>
        <v>Brasília</v>
      </c>
      <c r="D2390" s="1" t="str">
        <f>VLOOKUP(Tabela1[[#This Row],[Cliente]],'BASE DE CLIENTES'!A:C,3,0)</f>
        <v>DF</v>
      </c>
      <c r="E2390" s="4" t="str">
        <f>CONCATENATE(Tabela1[[#This Row],[CIDADE]],",",Tabela1[[#This Row],[UF]])</f>
        <v>Brasília,DF</v>
      </c>
      <c r="F2390" s="2">
        <v>45919</v>
      </c>
      <c r="G2390" s="17">
        <v>3245</v>
      </c>
      <c r="H2390" s="17">
        <v>5500</v>
      </c>
      <c r="I2390" s="6">
        <f>Tabela1[[#This Row],[Valor total]]-Tabela1[[#This Row],[Valor custo]]</f>
        <v>2255</v>
      </c>
      <c r="J2390" s="7">
        <f>Tabela1[[#This Row],[MARGEM BRUTA]]/Tabela1[[#This Row],[Valor total]]</f>
        <v>0.41</v>
      </c>
      <c r="K2390" s="1" t="str">
        <f>VLOOKUP(Tabela1[[#This Row],[Cliente]],'BASE DE CLIENTES'!A:D,4,0)</f>
        <v>EMPRESA COM MAQUINA</v>
      </c>
      <c r="L2390" s="1" t="str">
        <f>VLOOKUP(Tabela1[[#This Row],[Cliente]],'BASE DE CLIENTES'!A:E,5,0)</f>
        <v>RIACHO FUNDO II</v>
      </c>
    </row>
    <row r="2391" spans="2:12" x14ac:dyDescent="0.3">
      <c r="B2391" s="1" t="s">
        <v>187</v>
      </c>
      <c r="C2391" s="4" t="str">
        <f>VLOOKUP(Tabela1[[#This Row],[Cliente]],'BASE DE CLIENTES'!A:E,2,0)</f>
        <v>Brasília</v>
      </c>
      <c r="D2391" s="1" t="str">
        <f>VLOOKUP(Tabela1[[#This Row],[Cliente]],'BASE DE CLIENTES'!A:C,3,0)</f>
        <v>DF</v>
      </c>
      <c r="E2391" s="4" t="str">
        <f>CONCATENATE(Tabela1[[#This Row],[CIDADE]],",",Tabela1[[#This Row],[UF]])</f>
        <v>Brasília,DF</v>
      </c>
      <c r="F2391" s="2">
        <v>45919</v>
      </c>
      <c r="G2391" s="17">
        <v>1328</v>
      </c>
      <c r="H2391" s="17">
        <v>2750</v>
      </c>
      <c r="I2391" s="6">
        <f>Tabela1[[#This Row],[Valor total]]-Tabela1[[#This Row],[Valor custo]]</f>
        <v>1422</v>
      </c>
      <c r="J2391" s="7">
        <f>Tabela1[[#This Row],[MARGEM BRUTA]]/Tabela1[[#This Row],[Valor total]]</f>
        <v>0.51709090909090905</v>
      </c>
      <c r="K2391" s="1" t="str">
        <f>VLOOKUP(Tabela1[[#This Row],[Cliente]],'BASE DE CLIENTES'!A:D,4,0)</f>
        <v>SERRALHEIRO</v>
      </c>
      <c r="L2391" s="1" t="str">
        <f>VLOOKUP(Tabela1[[#This Row],[Cliente]],'BASE DE CLIENTES'!A:E,5,0)</f>
        <v>CEILANDIA SUL (CEILANDIA)</v>
      </c>
    </row>
    <row r="2392" spans="2:12" x14ac:dyDescent="0.3">
      <c r="B2392" s="1" t="s">
        <v>217</v>
      </c>
      <c r="C2392" s="4" t="str">
        <f>VLOOKUP(Tabela1[[#This Row],[Cliente]],'BASE DE CLIENTES'!A:E,2,0)</f>
        <v>Brasília</v>
      </c>
      <c r="D2392" s="1" t="str">
        <f>VLOOKUP(Tabela1[[#This Row],[Cliente]],'BASE DE CLIENTES'!A:C,3,0)</f>
        <v>DF</v>
      </c>
      <c r="E2392" s="4" t="str">
        <f>CONCATENATE(Tabela1[[#This Row],[CIDADE]],",",Tabela1[[#This Row],[UF]])</f>
        <v>Brasília,DF</v>
      </c>
      <c r="F2392" s="2">
        <v>45919</v>
      </c>
      <c r="G2392" s="17">
        <v>664</v>
      </c>
      <c r="H2392" s="17">
        <v>1400</v>
      </c>
      <c r="I2392" s="6">
        <f>Tabela1[[#This Row],[Valor total]]-Tabela1[[#This Row],[Valor custo]]</f>
        <v>736</v>
      </c>
      <c r="J2392" s="7">
        <f>Tabela1[[#This Row],[MARGEM BRUTA]]/Tabela1[[#This Row],[Valor total]]</f>
        <v>0.52571428571428569</v>
      </c>
      <c r="K2392" s="1" t="str">
        <f>VLOOKUP(Tabela1[[#This Row],[Cliente]],'BASE DE CLIENTES'!A:D,4,0)</f>
        <v>EMPRESA SEM MAQUINA</v>
      </c>
      <c r="L2392" s="1" t="str">
        <f>VLOOKUP(Tabela1[[#This Row],[Cliente]],'BASE DE CLIENTES'!A:E,5,0)</f>
        <v>SETOR HABITACIONAL VICENTE PIRES</v>
      </c>
    </row>
    <row r="2393" spans="2:12" x14ac:dyDescent="0.3">
      <c r="B2393" s="1" t="s">
        <v>52</v>
      </c>
      <c r="C2393" s="4" t="str">
        <f>VLOOKUP(Tabela1[[#This Row],[Cliente]],'BASE DE CLIENTES'!A:E,2,0)</f>
        <v>Brasília</v>
      </c>
      <c r="D2393" s="1" t="str">
        <f>VLOOKUP(Tabela1[[#This Row],[Cliente]],'BASE DE CLIENTES'!A:C,3,0)</f>
        <v>DF</v>
      </c>
      <c r="E2393" s="4" t="str">
        <f>CONCATENATE(Tabela1[[#This Row],[CIDADE]],",",Tabela1[[#This Row],[UF]])</f>
        <v>Brasília,DF</v>
      </c>
      <c r="F2393" s="2">
        <v>45919</v>
      </c>
      <c r="G2393" s="17">
        <v>432.79</v>
      </c>
      <c r="H2393" s="17">
        <v>550</v>
      </c>
      <c r="I2393" s="6">
        <f>Tabela1[[#This Row],[Valor total]]-Tabela1[[#This Row],[Valor custo]]</f>
        <v>117.20999999999998</v>
      </c>
      <c r="J2393" s="7">
        <f>Tabela1[[#This Row],[MARGEM BRUTA]]/Tabela1[[#This Row],[Valor total]]</f>
        <v>0.21310909090909086</v>
      </c>
      <c r="K2393" s="1" t="str">
        <f>VLOOKUP(Tabela1[[#This Row],[Cliente]],'BASE DE CLIENTES'!A:D,4,0)</f>
        <v>SERRALHEIRO</v>
      </c>
      <c r="L2393" s="1" t="str">
        <f>VLOOKUP(Tabela1[[#This Row],[Cliente]],'BASE DE CLIENTES'!A:E,5,0)</f>
        <v>Ceilândia Sul (Ceilândia)</v>
      </c>
    </row>
    <row r="2394" spans="2:12" x14ac:dyDescent="0.3">
      <c r="B2394" s="1" t="s">
        <v>27</v>
      </c>
      <c r="C2394" s="4" t="str">
        <f>VLOOKUP(Tabela1[[#This Row],[Cliente]],'BASE DE CLIENTES'!A:E,2,0)</f>
        <v>Brasília</v>
      </c>
      <c r="D2394" s="1" t="str">
        <f>VLOOKUP(Tabela1[[#This Row],[Cliente]],'BASE DE CLIENTES'!A:C,3,0)</f>
        <v>DF</v>
      </c>
      <c r="E2394" s="4" t="str">
        <f>CONCATENATE(Tabela1[[#This Row],[CIDADE]],",",Tabela1[[#This Row],[UF]])</f>
        <v>Brasília,DF</v>
      </c>
      <c r="F2394" s="2">
        <v>45919</v>
      </c>
      <c r="G2394" s="17">
        <v>1146.9000000000001</v>
      </c>
      <c r="H2394" s="17">
        <v>1395</v>
      </c>
      <c r="I2394" s="6">
        <f>Tabela1[[#This Row],[Valor total]]-Tabela1[[#This Row],[Valor custo]]</f>
        <v>248.09999999999991</v>
      </c>
      <c r="J2394" s="7">
        <f>Tabela1[[#This Row],[MARGEM BRUTA]]/Tabela1[[#This Row],[Valor total]]</f>
        <v>0.17784946236559132</v>
      </c>
      <c r="K2394" s="1" t="str">
        <f>VLOOKUP(Tabela1[[#This Row],[Cliente]],'BASE DE CLIENTES'!A:D,4,0)</f>
        <v>EMPRESA SEM MAQUINA</v>
      </c>
      <c r="L2394" s="1" t="str">
        <f>VLOOKUP(Tabela1[[#This Row],[Cliente]],'BASE DE CLIENTES'!A:E,5,0)</f>
        <v>RECANTO DAS EMAS</v>
      </c>
    </row>
    <row r="2395" spans="2:12" x14ac:dyDescent="0.3">
      <c r="B2395" s="1" t="s">
        <v>96</v>
      </c>
      <c r="C2395" s="4" t="str">
        <f>VLOOKUP(Tabela1[[#This Row],[Cliente]],'BASE DE CLIENTES'!A:E,2,0)</f>
        <v>Brasília</v>
      </c>
      <c r="D2395" s="1" t="str">
        <f>VLOOKUP(Tabela1[[#This Row],[Cliente]],'BASE DE CLIENTES'!A:C,3,0)</f>
        <v>DF</v>
      </c>
      <c r="E2395" s="4" t="str">
        <f>CONCATENATE(Tabela1[[#This Row],[CIDADE]],",",Tabela1[[#This Row],[UF]])</f>
        <v>Brasília,DF</v>
      </c>
      <c r="F2395" s="2">
        <v>45919</v>
      </c>
      <c r="G2395" s="17">
        <v>293.13</v>
      </c>
      <c r="H2395" s="17">
        <v>385</v>
      </c>
      <c r="I2395" s="6">
        <f>Tabela1[[#This Row],[Valor total]]-Tabela1[[#This Row],[Valor custo]]</f>
        <v>91.87</v>
      </c>
      <c r="J2395" s="7">
        <f>Tabela1[[#This Row],[MARGEM BRUTA]]/Tabela1[[#This Row],[Valor total]]</f>
        <v>0.23862337662337663</v>
      </c>
      <c r="K2395" s="1" t="str">
        <f>VLOOKUP(Tabela1[[#This Row],[Cliente]],'BASE DE CLIENTES'!A:D,4,0)</f>
        <v>EMPRESA SEM MAQUINA</v>
      </c>
      <c r="L2395" s="1" t="str">
        <f>VLOOKUP(Tabela1[[#This Row],[Cliente]],'BASE DE CLIENTES'!A:E,5,0)</f>
        <v>CEILANDIA NORTE (CEILANDIA)</v>
      </c>
    </row>
    <row r="2396" spans="2:12" x14ac:dyDescent="0.3">
      <c r="B2396" s="1" t="s">
        <v>309</v>
      </c>
      <c r="C2396" s="4" t="str">
        <f>VLOOKUP(Tabela1[[#This Row],[Cliente]],'BASE DE CLIENTES'!A:E,2,0)</f>
        <v>Uberlândia</v>
      </c>
      <c r="D2396" s="1" t="str">
        <f>VLOOKUP(Tabela1[[#This Row],[Cliente]],'BASE DE CLIENTES'!A:C,3,0)</f>
        <v>MG</v>
      </c>
      <c r="E2396" s="4" t="str">
        <f>CONCATENATE(Tabela1[[#This Row],[CIDADE]],",",Tabela1[[#This Row],[UF]])</f>
        <v>Uberlândia,MG</v>
      </c>
      <c r="F2396" s="2">
        <v>45771</v>
      </c>
      <c r="G2396" s="17">
        <v>4267.5</v>
      </c>
      <c r="H2396" s="17">
        <v>6300</v>
      </c>
      <c r="I2396" s="6">
        <f>Tabela1[[#This Row],[Valor total]]-Tabela1[[#This Row],[Valor custo]]</f>
        <v>2032.5</v>
      </c>
      <c r="J2396" s="7">
        <f>Tabela1[[#This Row],[MARGEM BRUTA]]/Tabela1[[#This Row],[Valor total]]</f>
        <v>0.32261904761904764</v>
      </c>
      <c r="K2396" s="1" t="str">
        <f>VLOOKUP(Tabela1[[#This Row],[Cliente]],'BASE DE CLIENTES'!A:D,4,0)</f>
        <v>EMPRESA COM MAQUINA</v>
      </c>
      <c r="L2396" s="1" t="str">
        <f>VLOOKUP(Tabela1[[#This Row],[Cliente]],'BASE DE CLIENTES'!A:E,5,0)</f>
        <v>Uberlândia</v>
      </c>
    </row>
    <row r="2397" spans="2:12" x14ac:dyDescent="0.3">
      <c r="B2397" s="1" t="s">
        <v>311</v>
      </c>
      <c r="C2397" s="4" t="str">
        <f>VLOOKUP(Tabela1[[#This Row],[Cliente]],'BASE DE CLIENTES'!A:E,2,0)</f>
        <v>Uberlândia</v>
      </c>
      <c r="D2397" s="1" t="str">
        <f>VLOOKUP(Tabela1[[#This Row],[Cliente]],'BASE DE CLIENTES'!A:C,3,0)</f>
        <v>MG</v>
      </c>
      <c r="E2397" s="4" t="str">
        <f>CONCATENATE(Tabela1[[#This Row],[CIDADE]],",",Tabela1[[#This Row],[UF]])</f>
        <v>Uberlândia,MG</v>
      </c>
      <c r="F2397" s="2">
        <v>45748</v>
      </c>
      <c r="G2397" s="17">
        <v>16235.76</v>
      </c>
      <c r="H2397" s="17">
        <v>27300</v>
      </c>
      <c r="I2397" s="6">
        <f>Tabela1[[#This Row],[Valor total]]-Tabela1[[#This Row],[Valor custo]]</f>
        <v>11064.24</v>
      </c>
      <c r="J2397" s="7">
        <f>Tabela1[[#This Row],[MARGEM BRUTA]]/Tabela1[[#This Row],[Valor total]]</f>
        <v>0.40528351648351646</v>
      </c>
      <c r="K2397" s="1" t="str">
        <f>VLOOKUP(Tabela1[[#This Row],[Cliente]],'BASE DE CLIENTES'!A:D,4,0)</f>
        <v>EMPRESA COM MAQUINA</v>
      </c>
      <c r="L2397" s="1" t="str">
        <f>VLOOKUP(Tabela1[[#This Row],[Cliente]],'BASE DE CLIENTES'!A:E,5,0)</f>
        <v>Uberlândia</v>
      </c>
    </row>
    <row r="2398" spans="2:12" x14ac:dyDescent="0.3">
      <c r="B2398" s="1" t="s">
        <v>311</v>
      </c>
      <c r="C2398" s="4" t="str">
        <f>VLOOKUP(Tabela1[[#This Row],[Cliente]],'BASE DE CLIENTES'!A:E,2,0)</f>
        <v>Uberlândia</v>
      </c>
      <c r="D2398" s="1" t="str">
        <f>VLOOKUP(Tabela1[[#This Row],[Cliente]],'BASE DE CLIENTES'!A:C,3,0)</f>
        <v>MG</v>
      </c>
      <c r="E2398" s="4" t="str">
        <f>CONCATENATE(Tabela1[[#This Row],[CIDADE]],",",Tabela1[[#This Row],[UF]])</f>
        <v>Uberlândia,MG</v>
      </c>
      <c r="F2398" s="2">
        <v>45798</v>
      </c>
      <c r="G2398" s="17">
        <v>8197.4</v>
      </c>
      <c r="H2398" s="17">
        <v>10700</v>
      </c>
      <c r="I2398" s="6">
        <f>Tabela1[[#This Row],[Valor total]]-Tabela1[[#This Row],[Valor custo]]</f>
        <v>2502.6000000000004</v>
      </c>
      <c r="J2398" s="7">
        <f>Tabela1[[#This Row],[MARGEM BRUTA]]/Tabela1[[#This Row],[Valor total]]</f>
        <v>0.23388785046728974</v>
      </c>
      <c r="K2398" s="1" t="str">
        <f>VLOOKUP(Tabela1[[#This Row],[Cliente]],'BASE DE CLIENTES'!A:D,4,0)</f>
        <v>EMPRESA COM MAQUINA</v>
      </c>
      <c r="L2398" s="1" t="str">
        <f>VLOOKUP(Tabela1[[#This Row],[Cliente]],'BASE DE CLIENTES'!A:E,5,0)</f>
        <v>Uberlândia</v>
      </c>
    </row>
    <row r="2399" spans="2:12" x14ac:dyDescent="0.3">
      <c r="B2399" s="1" t="s">
        <v>309</v>
      </c>
      <c r="C2399" s="4" t="str">
        <f>VLOOKUP(Tabela1[[#This Row],[Cliente]],'BASE DE CLIENTES'!A:E,2,0)</f>
        <v>Uberlândia</v>
      </c>
      <c r="D2399" s="1" t="str">
        <f>VLOOKUP(Tabela1[[#This Row],[Cliente]],'BASE DE CLIENTES'!A:C,3,0)</f>
        <v>MG</v>
      </c>
      <c r="E2399" s="4" t="str">
        <f>CONCATENATE(Tabela1[[#This Row],[CIDADE]],",",Tabela1[[#This Row],[UF]])</f>
        <v>Uberlândia,MG</v>
      </c>
      <c r="F2399" s="2">
        <v>45833</v>
      </c>
      <c r="G2399" s="17">
        <v>1704.65</v>
      </c>
      <c r="H2399" s="17">
        <v>3125</v>
      </c>
      <c r="I2399" s="6">
        <f>Tabela1[[#This Row],[Valor total]]-Tabela1[[#This Row],[Valor custo]]</f>
        <v>1420.35</v>
      </c>
      <c r="J2399" s="7">
        <f>Tabela1[[#This Row],[MARGEM BRUTA]]/Tabela1[[#This Row],[Valor total]]</f>
        <v>0.45451199999999997</v>
      </c>
      <c r="K2399" s="1" t="str">
        <f>VLOOKUP(Tabela1[[#This Row],[Cliente]],'BASE DE CLIENTES'!A:D,4,0)</f>
        <v>EMPRESA COM MAQUINA</v>
      </c>
      <c r="L2399" s="1" t="str">
        <f>VLOOKUP(Tabela1[[#This Row],[Cliente]],'BASE DE CLIENTES'!A:E,5,0)</f>
        <v>Uberlândia</v>
      </c>
    </row>
    <row r="2400" spans="2:12" x14ac:dyDescent="0.3">
      <c r="B2400" s="1" t="s">
        <v>311</v>
      </c>
      <c r="C2400" s="4" t="str">
        <f>VLOOKUP(Tabela1[[#This Row],[Cliente]],'BASE DE CLIENTES'!A:E,2,0)</f>
        <v>Uberlândia</v>
      </c>
      <c r="D2400" s="1" t="str">
        <f>VLOOKUP(Tabela1[[#This Row],[Cliente]],'BASE DE CLIENTES'!A:C,3,0)</f>
        <v>MG</v>
      </c>
      <c r="E2400" s="4" t="str">
        <f>CONCATENATE(Tabela1[[#This Row],[CIDADE]],",",Tabela1[[#This Row],[UF]])</f>
        <v>Uberlândia,MG</v>
      </c>
      <c r="F2400" s="2">
        <v>45852</v>
      </c>
      <c r="G2400" s="17">
        <v>293.13</v>
      </c>
      <c r="H2400" s="17">
        <v>1220</v>
      </c>
      <c r="I2400" s="6">
        <f>Tabela1[[#This Row],[Valor total]]-Tabela1[[#This Row],[Valor custo]]</f>
        <v>926.87</v>
      </c>
      <c r="J2400" s="7">
        <f>Tabela1[[#This Row],[MARGEM BRUTA]]/Tabela1[[#This Row],[Valor total]]</f>
        <v>0.75972950819672136</v>
      </c>
      <c r="K2400" s="1" t="str">
        <f>VLOOKUP(Tabela1[[#This Row],[Cliente]],'BASE DE CLIENTES'!A:D,4,0)</f>
        <v>EMPRESA COM MAQUINA</v>
      </c>
      <c r="L2400" s="1" t="str">
        <f>VLOOKUP(Tabela1[[#This Row],[Cliente]],'BASE DE CLIENTES'!A:E,5,0)</f>
        <v>Uberlândia</v>
      </c>
    </row>
    <row r="2401" spans="2:12" x14ac:dyDescent="0.3">
      <c r="B2401" s="1" t="s">
        <v>312</v>
      </c>
      <c r="C2401" s="4" t="str">
        <f>VLOOKUP(Tabela1[[#This Row],[Cliente]],'BASE DE CLIENTES'!A:E,2,0)</f>
        <v>Uberlândia</v>
      </c>
      <c r="D2401" s="1" t="str">
        <f>VLOOKUP(Tabela1[[#This Row],[Cliente]],'BASE DE CLIENTES'!A:C,3,0)</f>
        <v>MG</v>
      </c>
      <c r="E2401" s="4" t="str">
        <f>CONCATENATE(Tabela1[[#This Row],[CIDADE]],",",Tabela1[[#This Row],[UF]])</f>
        <v>Uberlândia,MG</v>
      </c>
      <c r="F2401" s="2">
        <v>45852</v>
      </c>
      <c r="G2401" s="17">
        <v>14142.32</v>
      </c>
      <c r="H2401" s="17">
        <v>20400</v>
      </c>
      <c r="I2401" s="6">
        <f>Tabela1[[#This Row],[Valor total]]-Tabela1[[#This Row],[Valor custo]]</f>
        <v>6257.68</v>
      </c>
      <c r="J2401" s="7">
        <f>Tabela1[[#This Row],[MARGEM BRUTA]]/Tabela1[[#This Row],[Valor total]]</f>
        <v>0.30674901960784318</v>
      </c>
      <c r="K2401" s="1" t="str">
        <f>VLOOKUP(Tabela1[[#This Row],[Cliente]],'BASE DE CLIENTES'!A:D,4,0)</f>
        <v>EMPRESA COM MAQUINA</v>
      </c>
      <c r="L2401" s="1" t="str">
        <f>VLOOKUP(Tabela1[[#This Row],[Cliente]],'BASE DE CLIENTES'!A:E,5,0)</f>
        <v>Uberlândia</v>
      </c>
    </row>
    <row r="2402" spans="2:12" x14ac:dyDescent="0.3">
      <c r="B2402" s="1" t="s">
        <v>311</v>
      </c>
      <c r="C2402" s="4" t="str">
        <f>VLOOKUP(Tabela1[[#This Row],[Cliente]],'BASE DE CLIENTES'!A:E,2,0)</f>
        <v>Uberlândia</v>
      </c>
      <c r="D2402" s="1" t="str">
        <f>VLOOKUP(Tabela1[[#This Row],[Cliente]],'BASE DE CLIENTES'!A:C,3,0)</f>
        <v>MG</v>
      </c>
      <c r="E2402" s="4" t="str">
        <f>CONCATENATE(Tabela1[[#This Row],[CIDADE]],",",Tabela1[[#This Row],[UF]])</f>
        <v>Uberlândia,MG</v>
      </c>
      <c r="F2402" s="2">
        <v>45845</v>
      </c>
      <c r="G2402" s="17">
        <v>47212</v>
      </c>
      <c r="H2402" s="17">
        <v>63500</v>
      </c>
      <c r="I2402" s="6">
        <f>Tabela1[[#This Row],[Valor total]]-Tabela1[[#This Row],[Valor custo]]</f>
        <v>16288</v>
      </c>
      <c r="J2402" s="7">
        <f>Tabela1[[#This Row],[MARGEM BRUTA]]/Tabela1[[#This Row],[Valor total]]</f>
        <v>0.25650393700787399</v>
      </c>
      <c r="K2402" s="1" t="str">
        <f>VLOOKUP(Tabela1[[#This Row],[Cliente]],'BASE DE CLIENTES'!A:D,4,0)</f>
        <v>EMPRESA COM MAQUINA</v>
      </c>
      <c r="L2402" s="1" t="str">
        <f>VLOOKUP(Tabela1[[#This Row],[Cliente]],'BASE DE CLIENTES'!A:E,5,0)</f>
        <v>Uberlândia</v>
      </c>
    </row>
    <row r="2403" spans="2:12" x14ac:dyDescent="0.3">
      <c r="B2403" s="1" t="s">
        <v>68</v>
      </c>
      <c r="C2403" s="4" t="str">
        <f>VLOOKUP(Tabela1[[#This Row],[Cliente]],'BASE DE CLIENTES'!A:E,2,0)</f>
        <v>Brasília</v>
      </c>
      <c r="D2403" s="1" t="str">
        <f>VLOOKUP(Tabela1[[#This Row],[Cliente]],'BASE DE CLIENTES'!A:C,3,0)</f>
        <v>DF</v>
      </c>
      <c r="E2403" s="4" t="str">
        <f>CONCATENATE(Tabela1[[#This Row],[CIDADE]],",",Tabela1[[#This Row],[UF]])</f>
        <v>Brasília,DF</v>
      </c>
      <c r="F2403" s="2">
        <v>45919</v>
      </c>
      <c r="G2403" s="17">
        <v>1386.8</v>
      </c>
      <c r="H2403" s="17">
        <v>1710</v>
      </c>
      <c r="I2403" s="6">
        <f>Tabela1[[#This Row],[Valor total]]-Tabela1[[#This Row],[Valor custo]]</f>
        <v>323.20000000000005</v>
      </c>
      <c r="J2403" s="7">
        <f>Tabela1[[#This Row],[MARGEM BRUTA]]/Tabela1[[#This Row],[Valor total]]</f>
        <v>0.1890058479532164</v>
      </c>
      <c r="K2403" s="1" t="str">
        <f>VLOOKUP(Tabela1[[#This Row],[Cliente]],'BASE DE CLIENTES'!A:D,4,0)</f>
        <v>EMPRESA COM MAQUINA</v>
      </c>
      <c r="L2403" s="1" t="str">
        <f>VLOOKUP(Tabela1[[#This Row],[Cliente]],'BASE DE CLIENTES'!A:E,5,0)</f>
        <v>SAMAMBAIA SUL (SAMAMBAIA)</v>
      </c>
    </row>
    <row r="2404" spans="2:12" x14ac:dyDescent="0.3">
      <c r="B2404" s="1" t="s">
        <v>309</v>
      </c>
      <c r="C2404" s="4" t="str">
        <f>VLOOKUP(Tabela1[[#This Row],[Cliente]],'BASE DE CLIENTES'!A:E,2,0)</f>
        <v>Uberlândia</v>
      </c>
      <c r="D2404" s="1" t="str">
        <f>VLOOKUP(Tabela1[[#This Row],[Cliente]],'BASE DE CLIENTES'!A:C,3,0)</f>
        <v>MG</v>
      </c>
      <c r="E2404" s="4" t="str">
        <f>CONCATENATE(Tabela1[[#This Row],[CIDADE]],",",Tabela1[[#This Row],[UF]])</f>
        <v>Uberlândia,MG</v>
      </c>
      <c r="F2404" s="2">
        <v>45891</v>
      </c>
      <c r="G2404" s="17">
        <v>2835.21</v>
      </c>
      <c r="H2404" s="17">
        <v>4280</v>
      </c>
      <c r="I2404" s="6">
        <f>Tabela1[[#This Row],[Valor total]]-Tabela1[[#This Row],[Valor custo]]</f>
        <v>1444.79</v>
      </c>
      <c r="J2404" s="7">
        <f>Tabela1[[#This Row],[MARGEM BRUTA]]/Tabela1[[#This Row],[Valor total]]</f>
        <v>0.33756775700934577</v>
      </c>
      <c r="K2404" s="1" t="str">
        <f>VLOOKUP(Tabela1[[#This Row],[Cliente]],'BASE DE CLIENTES'!A:D,4,0)</f>
        <v>EMPRESA COM MAQUINA</v>
      </c>
      <c r="L2404" s="1" t="str">
        <f>VLOOKUP(Tabela1[[#This Row],[Cliente]],'BASE DE CLIENTES'!A:E,5,0)</f>
        <v>Uberlândia</v>
      </c>
    </row>
    <row r="2405" spans="2:12" x14ac:dyDescent="0.3">
      <c r="B2405" s="1" t="s">
        <v>311</v>
      </c>
      <c r="C2405" s="4" t="str">
        <f>VLOOKUP(Tabela1[[#This Row],[Cliente]],'BASE DE CLIENTES'!A:E,2,0)</f>
        <v>Uberlândia</v>
      </c>
      <c r="D2405" s="1" t="str">
        <f>VLOOKUP(Tabela1[[#This Row],[Cliente]],'BASE DE CLIENTES'!A:C,3,0)</f>
        <v>MG</v>
      </c>
      <c r="E2405" s="4" t="str">
        <f>CONCATENATE(Tabela1[[#This Row],[CIDADE]],",",Tabela1[[#This Row],[UF]])</f>
        <v>Uberlândia,MG</v>
      </c>
      <c r="F2405" s="2">
        <v>45890</v>
      </c>
      <c r="G2405" s="17">
        <v>23638.400000000001</v>
      </c>
      <c r="H2405" s="17">
        <v>34876</v>
      </c>
      <c r="I2405" s="6">
        <f>Tabela1[[#This Row],[Valor total]]-Tabela1[[#This Row],[Valor custo]]</f>
        <v>11237.599999999999</v>
      </c>
      <c r="J2405" s="7">
        <f>Tabela1[[#This Row],[MARGEM BRUTA]]/Tabela1[[#This Row],[Valor total]]</f>
        <v>0.32221585044156437</v>
      </c>
      <c r="K2405" s="1" t="str">
        <f>VLOOKUP(Tabela1[[#This Row],[Cliente]],'BASE DE CLIENTES'!A:D,4,0)</f>
        <v>EMPRESA COM MAQUINA</v>
      </c>
      <c r="L2405" s="1" t="str">
        <f>VLOOKUP(Tabela1[[#This Row],[Cliente]],'BASE DE CLIENTES'!A:E,5,0)</f>
        <v>Uberlândia</v>
      </c>
    </row>
    <row r="2406" spans="2:12" x14ac:dyDescent="0.3">
      <c r="B2406" s="1" t="s">
        <v>209</v>
      </c>
      <c r="C2406" s="4" t="str">
        <f>VLOOKUP(Tabela1[[#This Row],[Cliente]],'BASE DE CLIENTES'!A:E,2,0)</f>
        <v>Brasília</v>
      </c>
      <c r="D2406" s="1" t="str">
        <f>VLOOKUP(Tabela1[[#This Row],[Cliente]],'BASE DE CLIENTES'!A:C,3,0)</f>
        <v>DF</v>
      </c>
      <c r="E2406" s="4" t="str">
        <f>CONCATENATE(Tabela1[[#This Row],[CIDADE]],",",Tabela1[[#This Row],[UF]])</f>
        <v>Brasília,DF</v>
      </c>
      <c r="F2406" s="2">
        <v>45919</v>
      </c>
      <c r="G2406" s="17">
        <v>303.13</v>
      </c>
      <c r="H2406" s="17">
        <v>481</v>
      </c>
      <c r="I2406" s="6">
        <f>Tabela1[[#This Row],[Valor total]]-Tabela1[[#This Row],[Valor custo]]</f>
        <v>177.87</v>
      </c>
      <c r="J2406" s="7">
        <f>Tabela1[[#This Row],[MARGEM BRUTA]]/Tabela1[[#This Row],[Valor total]]</f>
        <v>0.36979209979209982</v>
      </c>
      <c r="K2406" s="1" t="str">
        <f>VLOOKUP(Tabela1[[#This Row],[Cliente]],'BASE DE CLIENTES'!A:D,4,0)</f>
        <v>OUTROS RAMOS</v>
      </c>
      <c r="L2406" s="1" t="str">
        <f>VLOOKUP(Tabela1[[#This Row],[Cliente]],'BASE DE CLIENTES'!A:E,5,0)</f>
        <v>TAGUATINGA NORTE (TAGUATINGA)</v>
      </c>
    </row>
    <row r="2407" spans="2:12" x14ac:dyDescent="0.3">
      <c r="B2407" s="1" t="s">
        <v>123</v>
      </c>
      <c r="C2407" s="4" t="str">
        <f>VLOOKUP(Tabela1[[#This Row],[Cliente]],'BASE DE CLIENTES'!A:E,2,0)</f>
        <v>Brasília</v>
      </c>
      <c r="D2407" s="1" t="str">
        <f>VLOOKUP(Tabela1[[#This Row],[Cliente]],'BASE DE CLIENTES'!A:C,3,0)</f>
        <v>DF</v>
      </c>
      <c r="E2407" s="4" t="str">
        <f>CONCATENATE(Tabela1[[#This Row],[CIDADE]],",",Tabela1[[#This Row],[UF]])</f>
        <v>Brasília,DF</v>
      </c>
      <c r="F2407" s="2">
        <v>45919</v>
      </c>
      <c r="G2407" s="17">
        <v>1655.6</v>
      </c>
      <c r="H2407" s="17">
        <v>2670</v>
      </c>
      <c r="I2407" s="6">
        <f>Tabela1[[#This Row],[Valor total]]-Tabela1[[#This Row],[Valor custo]]</f>
        <v>1014.4000000000001</v>
      </c>
      <c r="J2407" s="7">
        <f>Tabela1[[#This Row],[MARGEM BRUTA]]/Tabela1[[#This Row],[Valor total]]</f>
        <v>0.37992509363295884</v>
      </c>
      <c r="K2407" s="1" t="str">
        <f>VLOOKUP(Tabela1[[#This Row],[Cliente]],'BASE DE CLIENTES'!A:D,4,0)</f>
        <v>EMPRESA COM MAQUINA</v>
      </c>
      <c r="L2407" s="1" t="str">
        <f>VLOOKUP(Tabela1[[#This Row],[Cliente]],'BASE DE CLIENTES'!A:E,5,0)</f>
        <v>ADE CEILÂNDIA</v>
      </c>
    </row>
    <row r="2408" spans="2:12" x14ac:dyDescent="0.3">
      <c r="B2408" s="1" t="s">
        <v>311</v>
      </c>
      <c r="C2408" s="4" t="str">
        <f>VLOOKUP(Tabela1[[#This Row],[Cliente]],'BASE DE CLIENTES'!A:E,2,0)</f>
        <v>Uberlândia</v>
      </c>
      <c r="D2408" s="1" t="str">
        <f>VLOOKUP(Tabela1[[#This Row],[Cliente]],'BASE DE CLIENTES'!A:C,3,0)</f>
        <v>MG</v>
      </c>
      <c r="E2408" s="4" t="str">
        <f>CONCATENATE(Tabela1[[#This Row],[CIDADE]],",",Tabela1[[#This Row],[UF]])</f>
        <v>Uberlândia,MG</v>
      </c>
      <c r="F2408" s="2">
        <v>45877</v>
      </c>
      <c r="G2408" s="17">
        <v>25631.09</v>
      </c>
      <c r="H2408" s="17">
        <v>39480</v>
      </c>
      <c r="I2408" s="6">
        <f>Tabela1[[#This Row],[Valor total]]-Tabela1[[#This Row],[Valor custo]]</f>
        <v>13848.91</v>
      </c>
      <c r="J2408" s="7">
        <f>Tabela1[[#This Row],[MARGEM BRUTA]]/Tabela1[[#This Row],[Valor total]]</f>
        <v>0.35078292806484296</v>
      </c>
      <c r="K2408" s="1" t="str">
        <f>VLOOKUP(Tabela1[[#This Row],[Cliente]],'BASE DE CLIENTES'!A:D,4,0)</f>
        <v>EMPRESA COM MAQUINA</v>
      </c>
      <c r="L2408" s="1" t="str">
        <f>VLOOKUP(Tabela1[[#This Row],[Cliente]],'BASE DE CLIENTES'!A:E,5,0)</f>
        <v>Uberlândia</v>
      </c>
    </row>
    <row r="2409" spans="2:12" x14ac:dyDescent="0.3">
      <c r="B2409" s="1" t="s">
        <v>312</v>
      </c>
      <c r="C2409" s="4" t="str">
        <f>VLOOKUP(Tabela1[[#This Row],[Cliente]],'BASE DE CLIENTES'!A:E,2,0)</f>
        <v>Uberlândia</v>
      </c>
      <c r="D2409" s="1" t="str">
        <f>VLOOKUP(Tabela1[[#This Row],[Cliente]],'BASE DE CLIENTES'!A:C,3,0)</f>
        <v>MG</v>
      </c>
      <c r="E2409" s="4" t="str">
        <f>CONCATENATE(Tabela1[[#This Row],[CIDADE]],",",Tabela1[[#This Row],[UF]])</f>
        <v>Uberlândia,MG</v>
      </c>
      <c r="F2409" s="2">
        <v>45922</v>
      </c>
      <c r="G2409" s="17">
        <v>10428.700000000001</v>
      </c>
      <c r="H2409" s="17">
        <v>14650</v>
      </c>
      <c r="I2409" s="6">
        <f>Tabela1[[#This Row],[Valor total]]-Tabela1[[#This Row],[Valor custo]]</f>
        <v>4221.2999999999993</v>
      </c>
      <c r="J2409" s="7">
        <f>Tabela1[[#This Row],[MARGEM BRUTA]]/Tabela1[[#This Row],[Valor total]]</f>
        <v>0.28814334470989755</v>
      </c>
      <c r="K2409" s="1" t="str">
        <f>VLOOKUP(Tabela1[[#This Row],[Cliente]],'BASE DE CLIENTES'!A:D,4,0)</f>
        <v>EMPRESA COM MAQUINA</v>
      </c>
      <c r="L2409" s="1" t="str">
        <f>VLOOKUP(Tabela1[[#This Row],[Cliente]],'BASE DE CLIENTES'!A:E,5,0)</f>
        <v>Uberlândia</v>
      </c>
    </row>
    <row r="2410" spans="2:12" x14ac:dyDescent="0.3">
      <c r="B2410" s="1" t="s">
        <v>309</v>
      </c>
      <c r="C2410" s="4" t="str">
        <f>VLOOKUP(Tabela1[[#This Row],[Cliente]],'BASE DE CLIENTES'!A:E,2,0)</f>
        <v>Uberlândia</v>
      </c>
      <c r="D2410" s="1" t="str">
        <f>VLOOKUP(Tabela1[[#This Row],[Cliente]],'BASE DE CLIENTES'!A:C,3,0)</f>
        <v>MG</v>
      </c>
      <c r="E2410" s="4" t="str">
        <f>CONCATENATE(Tabela1[[#This Row],[CIDADE]],",",Tabela1[[#This Row],[UF]])</f>
        <v>Uberlândia,MG</v>
      </c>
      <c r="F2410" s="2">
        <v>45910</v>
      </c>
      <c r="G2410" s="17">
        <v>1602</v>
      </c>
      <c r="H2410" s="17">
        <v>1300</v>
      </c>
      <c r="I2410" s="6">
        <f>Tabela1[[#This Row],[Valor total]]-Tabela1[[#This Row],[Valor custo]]</f>
        <v>-302</v>
      </c>
      <c r="J2410" s="7">
        <f>Tabela1[[#This Row],[MARGEM BRUTA]]/Tabela1[[#This Row],[Valor total]]</f>
        <v>-0.2323076923076923</v>
      </c>
      <c r="K2410" s="1" t="str">
        <f>VLOOKUP(Tabela1[[#This Row],[Cliente]],'BASE DE CLIENTES'!A:D,4,0)</f>
        <v>EMPRESA COM MAQUINA</v>
      </c>
      <c r="L2410" s="1" t="str">
        <f>VLOOKUP(Tabela1[[#This Row],[Cliente]],'BASE DE CLIENTES'!A:E,5,0)</f>
        <v>Uberlândia</v>
      </c>
    </row>
    <row r="2411" spans="2:12" x14ac:dyDescent="0.3">
      <c r="B2411" s="1" t="s">
        <v>311</v>
      </c>
      <c r="C2411" s="4" t="str">
        <f>VLOOKUP(Tabela1[[#This Row],[Cliente]],'BASE DE CLIENTES'!A:E,2,0)</f>
        <v>Uberlândia</v>
      </c>
      <c r="D2411" s="1" t="str">
        <f>VLOOKUP(Tabela1[[#This Row],[Cliente]],'BASE DE CLIENTES'!A:C,3,0)</f>
        <v>MG</v>
      </c>
      <c r="E2411" s="4" t="str">
        <f>CONCATENATE(Tabela1[[#This Row],[CIDADE]],",",Tabela1[[#This Row],[UF]])</f>
        <v>Uberlândia,MG</v>
      </c>
      <c r="F2411" s="2">
        <v>45904</v>
      </c>
      <c r="G2411" s="17">
        <v>21846</v>
      </c>
      <c r="H2411" s="17">
        <v>33000</v>
      </c>
      <c r="I2411" s="6">
        <f>Tabela1[[#This Row],[Valor total]]-Tabela1[[#This Row],[Valor custo]]</f>
        <v>11154</v>
      </c>
      <c r="J2411" s="7">
        <f>Tabela1[[#This Row],[MARGEM BRUTA]]/Tabela1[[#This Row],[Valor total]]</f>
        <v>0.33800000000000002</v>
      </c>
      <c r="K2411" s="1" t="str">
        <f>VLOOKUP(Tabela1[[#This Row],[Cliente]],'BASE DE CLIENTES'!A:D,4,0)</f>
        <v>EMPRESA COM MAQUINA</v>
      </c>
      <c r="L2411" s="1" t="str">
        <f>VLOOKUP(Tabela1[[#This Row],[Cliente]],'BASE DE CLIENTES'!A:E,5,0)</f>
        <v>Uberlândia</v>
      </c>
    </row>
    <row r="2412" spans="2:12" x14ac:dyDescent="0.3">
      <c r="B2412" s="1" t="s">
        <v>52</v>
      </c>
      <c r="C2412" s="4" t="str">
        <f>VLOOKUP(Tabela1[[#This Row],[Cliente]],'BASE DE CLIENTES'!A:E,2,0)</f>
        <v>Brasília</v>
      </c>
      <c r="D2412" s="1" t="str">
        <f>VLOOKUP(Tabela1[[#This Row],[Cliente]],'BASE DE CLIENTES'!A:C,3,0)</f>
        <v>DF</v>
      </c>
      <c r="E2412" s="4" t="str">
        <f>CONCATENATE(Tabela1[[#This Row],[CIDADE]],",",Tabela1[[#This Row],[UF]])</f>
        <v>Brasília,DF</v>
      </c>
      <c r="F2412" s="2">
        <v>45918</v>
      </c>
      <c r="G2412" s="17">
        <v>432.79</v>
      </c>
      <c r="H2412" s="17">
        <v>700</v>
      </c>
      <c r="I2412" s="6">
        <f>Tabela1[[#This Row],[Valor total]]-Tabela1[[#This Row],[Valor custo]]</f>
        <v>267.20999999999998</v>
      </c>
      <c r="J2412" s="7">
        <f>Tabela1[[#This Row],[MARGEM BRUTA]]/Tabela1[[#This Row],[Valor total]]</f>
        <v>0.38172857142857142</v>
      </c>
      <c r="K2412" s="1" t="str">
        <f>VLOOKUP(Tabela1[[#This Row],[Cliente]],'BASE DE CLIENTES'!A:D,4,0)</f>
        <v>SERRALHEIRO</v>
      </c>
      <c r="L2412" s="1" t="str">
        <f>VLOOKUP(Tabela1[[#This Row],[Cliente]],'BASE DE CLIENTES'!A:E,5,0)</f>
        <v>Ceilândia Sul (Ceilândia)</v>
      </c>
    </row>
    <row r="2413" spans="2:12" x14ac:dyDescent="0.3">
      <c r="B2413" s="1" t="s">
        <v>239</v>
      </c>
      <c r="C2413" s="4" t="str">
        <f>VLOOKUP(Tabela1[[#This Row],[Cliente]],'BASE DE CLIENTES'!A:E,2,0)</f>
        <v>Brasília</v>
      </c>
      <c r="D2413" s="1" t="str">
        <f>VLOOKUP(Tabela1[[#This Row],[Cliente]],'BASE DE CLIENTES'!A:C,3,0)</f>
        <v>DF</v>
      </c>
      <c r="E2413" s="4" t="str">
        <f>CONCATENATE(Tabela1[[#This Row],[CIDADE]],",",Tabela1[[#This Row],[UF]])</f>
        <v>Brasília,DF</v>
      </c>
      <c r="F2413" s="2">
        <v>45918</v>
      </c>
      <c r="G2413" s="17">
        <v>1602</v>
      </c>
      <c r="H2413" s="17">
        <v>3200</v>
      </c>
      <c r="I2413" s="6">
        <f>Tabela1[[#This Row],[Valor total]]-Tabela1[[#This Row],[Valor custo]]</f>
        <v>1598</v>
      </c>
      <c r="J2413" s="7">
        <f>Tabela1[[#This Row],[MARGEM BRUTA]]/Tabela1[[#This Row],[Valor total]]</f>
        <v>0.49937500000000001</v>
      </c>
      <c r="K2413" s="1" t="str">
        <f>VLOOKUP(Tabela1[[#This Row],[Cliente]],'BASE DE CLIENTES'!A:D,4,0)</f>
        <v>EMPRESA COM MAQUINA</v>
      </c>
      <c r="L2413" s="1" t="str">
        <f>VLOOKUP(Tabela1[[#This Row],[Cliente]],'BASE DE CLIENTES'!A:E,5,0)</f>
        <v>RIACHO FUNDO II</v>
      </c>
    </row>
    <row r="2414" spans="2:12" x14ac:dyDescent="0.3">
      <c r="B2414" s="1" t="s">
        <v>88</v>
      </c>
      <c r="C2414" s="4" t="str">
        <f>VLOOKUP(Tabela1[[#This Row],[Cliente]],'BASE DE CLIENTES'!A:E,2,0)</f>
        <v>Brasília</v>
      </c>
      <c r="D2414" s="1" t="str">
        <f>VLOOKUP(Tabela1[[#This Row],[Cliente]],'BASE DE CLIENTES'!A:C,3,0)</f>
        <v>DF</v>
      </c>
      <c r="E2414" s="4" t="str">
        <f>CONCATENATE(Tabela1[[#This Row],[CIDADE]],",",Tabela1[[#This Row],[UF]])</f>
        <v>Brasília,DF</v>
      </c>
      <c r="F2414" s="2">
        <v>45918</v>
      </c>
      <c r="G2414" s="17">
        <v>122.74</v>
      </c>
      <c r="H2414" s="17">
        <v>170</v>
      </c>
      <c r="I2414" s="6">
        <f>Tabela1[[#This Row],[Valor total]]-Tabela1[[#This Row],[Valor custo]]</f>
        <v>47.260000000000005</v>
      </c>
      <c r="J2414" s="7">
        <f>Tabela1[[#This Row],[MARGEM BRUTA]]/Tabela1[[#This Row],[Valor total]]</f>
        <v>0.27800000000000002</v>
      </c>
      <c r="K2414" s="1" t="str">
        <f>VLOOKUP(Tabela1[[#This Row],[Cliente]],'BASE DE CLIENTES'!A:D,4,0)</f>
        <v>SERRALHEIRO</v>
      </c>
      <c r="L2414" s="1" t="str">
        <f>VLOOKUP(Tabela1[[#This Row],[Cliente]],'BASE DE CLIENTES'!A:E,5,0)</f>
        <v>RECANTO DAS EMAS</v>
      </c>
    </row>
    <row r="2415" spans="2:12" x14ac:dyDescent="0.3">
      <c r="B2415" s="1" t="s">
        <v>161</v>
      </c>
      <c r="C2415" s="4" t="str">
        <f>VLOOKUP(Tabela1[[#This Row],[Cliente]],'BASE DE CLIENTES'!A:E,2,0)</f>
        <v>Brasília</v>
      </c>
      <c r="D2415" s="1" t="str">
        <f>VLOOKUP(Tabela1[[#This Row],[Cliente]],'BASE DE CLIENTES'!A:C,3,0)</f>
        <v>DF</v>
      </c>
      <c r="E2415" s="4" t="str">
        <f>CONCATENATE(Tabela1[[#This Row],[CIDADE]],",",Tabela1[[#This Row],[UF]])</f>
        <v>Brasília,DF</v>
      </c>
      <c r="F2415" s="2">
        <v>45918</v>
      </c>
      <c r="G2415" s="17">
        <v>675</v>
      </c>
      <c r="H2415" s="17">
        <v>840</v>
      </c>
      <c r="I2415" s="6">
        <f>Tabela1[[#This Row],[Valor total]]-Tabela1[[#This Row],[Valor custo]]</f>
        <v>165</v>
      </c>
      <c r="J2415" s="7">
        <f>Tabela1[[#This Row],[MARGEM BRUTA]]/Tabela1[[#This Row],[Valor total]]</f>
        <v>0.19642857142857142</v>
      </c>
      <c r="K2415" s="1" t="str">
        <f>VLOOKUP(Tabela1[[#This Row],[Cliente]],'BASE DE CLIENTES'!A:D,4,0)</f>
        <v>EMPRESA COM MAQUINA</v>
      </c>
      <c r="L2415" s="1" t="str">
        <f>VLOOKUP(Tabela1[[#This Row],[Cliente]],'BASE DE CLIENTES'!A:E,5,0)</f>
        <v>RIACHO FUNDO II</v>
      </c>
    </row>
    <row r="2416" spans="2:12" x14ac:dyDescent="0.3">
      <c r="B2416" s="1" t="s">
        <v>42</v>
      </c>
      <c r="C2416" s="4" t="str">
        <f>VLOOKUP(Tabela1[[#This Row],[Cliente]],'BASE DE CLIENTES'!A:E,2,0)</f>
        <v>Brasília</v>
      </c>
      <c r="D2416" s="1" t="str">
        <f>VLOOKUP(Tabela1[[#This Row],[Cliente]],'BASE DE CLIENTES'!A:C,3,0)</f>
        <v>DF</v>
      </c>
      <c r="E2416" s="4" t="str">
        <f>CONCATENATE(Tabela1[[#This Row],[CIDADE]],",",Tabela1[[#This Row],[UF]])</f>
        <v>Brasília,DF</v>
      </c>
      <c r="F2416" s="2">
        <v>45918</v>
      </c>
      <c r="G2416" s="17">
        <v>73.14</v>
      </c>
      <c r="H2416" s="17">
        <v>90</v>
      </c>
      <c r="I2416" s="6">
        <f>Tabela1[[#This Row],[Valor total]]-Tabela1[[#This Row],[Valor custo]]</f>
        <v>16.86</v>
      </c>
      <c r="J2416" s="7">
        <f>Tabela1[[#This Row],[MARGEM BRUTA]]/Tabela1[[#This Row],[Valor total]]</f>
        <v>0.18733333333333332</v>
      </c>
      <c r="K2416" s="1" t="str">
        <f>VLOOKUP(Tabela1[[#This Row],[Cliente]],'BASE DE CLIENTES'!A:D,4,0)</f>
        <v>EMPRESA SEM MAQUINA</v>
      </c>
      <c r="L2416" s="1" t="str">
        <f>VLOOKUP(Tabela1[[#This Row],[Cliente]],'BASE DE CLIENTES'!A:E,5,0)</f>
        <v>SAMAMBAIA</v>
      </c>
    </row>
    <row r="2417" spans="1:12" x14ac:dyDescent="0.3">
      <c r="B2417" s="1" t="s">
        <v>293</v>
      </c>
      <c r="C2417" s="4" t="str">
        <f>VLOOKUP(Tabela1[[#This Row],[Cliente]],'BASE DE CLIENTES'!A:E,2,0)</f>
        <v>Brasília</v>
      </c>
      <c r="D2417" s="1" t="str">
        <f>VLOOKUP(Tabela1[[#This Row],[Cliente]],'BASE DE CLIENTES'!A:C,3,0)</f>
        <v>DF</v>
      </c>
      <c r="E2417" s="4" t="str">
        <f>CONCATENATE(Tabela1[[#This Row],[CIDADE]],",",Tabela1[[#This Row],[UF]])</f>
        <v>Brasília,DF</v>
      </c>
      <c r="F2417" s="2">
        <v>45722</v>
      </c>
      <c r="G2417" s="17">
        <v>890.6</v>
      </c>
      <c r="H2417" s="17">
        <v>1308</v>
      </c>
      <c r="I2417" s="6">
        <f>Tabela1[[#This Row],[Valor total]]-Tabela1[[#This Row],[Valor custo]]</f>
        <v>417.4</v>
      </c>
      <c r="J2417" s="7">
        <f>Tabela1[[#This Row],[MARGEM BRUTA]]/Tabela1[[#This Row],[Valor total]]</f>
        <v>0.31911314984709477</v>
      </c>
      <c r="K2417" s="1" t="str">
        <f>VLOOKUP(Tabela1[[#This Row],[Cliente]],'BASE DE CLIENTES'!A:D,4,0)</f>
        <v>SERRALHEIRO</v>
      </c>
      <c r="L2417" s="1" t="str">
        <f>VLOOKUP(Tabela1[[#This Row],[Cliente]],'BASE DE CLIENTES'!A:E,5,0)</f>
        <v>NA</v>
      </c>
    </row>
    <row r="2418" spans="1:12" x14ac:dyDescent="0.3">
      <c r="B2418" s="1" t="s">
        <v>313</v>
      </c>
      <c r="C2418" s="4" t="str">
        <f>VLOOKUP(Tabela1[[#This Row],[Cliente]],'BASE DE CLIENTES'!A:E,2,0)</f>
        <v>Unaí</v>
      </c>
      <c r="D2418" s="1" t="str">
        <f>VLOOKUP(Tabela1[[#This Row],[Cliente]],'BASE DE CLIENTES'!A:C,3,0)</f>
        <v>MG</v>
      </c>
      <c r="E2418" s="4" t="str">
        <f>CONCATENATE(Tabela1[[#This Row],[CIDADE]],",",Tabela1[[#This Row],[UF]])</f>
        <v>Unaí,MG</v>
      </c>
      <c r="F2418" s="2">
        <v>45708</v>
      </c>
      <c r="G2418" s="17">
        <v>33.56</v>
      </c>
      <c r="H2418" s="17">
        <v>85</v>
      </c>
      <c r="I2418" s="6">
        <f>Tabela1[[#This Row],[Valor total]]-Tabela1[[#This Row],[Valor custo]]</f>
        <v>51.44</v>
      </c>
      <c r="J2418" s="7">
        <f>Tabela1[[#This Row],[MARGEM BRUTA]]/Tabela1[[#This Row],[Valor total]]</f>
        <v>0.60517647058823532</v>
      </c>
      <c r="K2418" s="1" t="str">
        <f>VLOOKUP(Tabela1[[#This Row],[Cliente]],'BASE DE CLIENTES'!A:D,4,0)</f>
        <v>SEM CLASSIFICAÇÃO</v>
      </c>
      <c r="L2418" s="1" t="str">
        <f>VLOOKUP(Tabela1[[#This Row],[Cliente]],'BASE DE CLIENTES'!A:E,5,0)</f>
        <v>Unaí</v>
      </c>
    </row>
    <row r="2419" spans="1:12" x14ac:dyDescent="0.3">
      <c r="B2419" s="1" t="s">
        <v>313</v>
      </c>
      <c r="C2419" s="4" t="str">
        <f>VLOOKUP(Tabela1[[#This Row],[Cliente]],'BASE DE CLIENTES'!A:E,2,0)</f>
        <v>Unaí</v>
      </c>
      <c r="D2419" s="1" t="str">
        <f>VLOOKUP(Tabela1[[#This Row],[Cliente]],'BASE DE CLIENTES'!A:C,3,0)</f>
        <v>MG</v>
      </c>
      <c r="E2419" s="4" t="str">
        <f>CONCATENATE(Tabela1[[#This Row],[CIDADE]],",",Tabela1[[#This Row],[UF]])</f>
        <v>Unaí,MG</v>
      </c>
      <c r="F2419" s="2">
        <v>45757</v>
      </c>
      <c r="G2419" s="17">
        <v>521</v>
      </c>
      <c r="H2419" s="17">
        <v>865.2</v>
      </c>
      <c r="I2419" s="6">
        <f>Tabela1[[#This Row],[Valor total]]-Tabela1[[#This Row],[Valor custo]]</f>
        <v>344.20000000000005</v>
      </c>
      <c r="J2419" s="7">
        <f>Tabela1[[#This Row],[MARGEM BRUTA]]/Tabela1[[#This Row],[Valor total]]</f>
        <v>0.39782709200184929</v>
      </c>
      <c r="K2419" s="1" t="str">
        <f>VLOOKUP(Tabela1[[#This Row],[Cliente]],'BASE DE CLIENTES'!A:D,4,0)</f>
        <v>SEM CLASSIFICAÇÃO</v>
      </c>
      <c r="L2419" s="1" t="str">
        <f>VLOOKUP(Tabela1[[#This Row],[Cliente]],'BASE DE CLIENTES'!A:E,5,0)</f>
        <v>Unaí</v>
      </c>
    </row>
    <row r="2420" spans="1:12" x14ac:dyDescent="0.3">
      <c r="B2420" s="1" t="s">
        <v>314</v>
      </c>
      <c r="C2420" s="4" t="str">
        <f>VLOOKUP(Tabela1[[#This Row],[Cliente]],'BASE DE CLIENTES'!A:E,2,0)</f>
        <v xml:space="preserve">Valparaíso </v>
      </c>
      <c r="D2420" s="1" t="str">
        <f>VLOOKUP(Tabela1[[#This Row],[Cliente]],'BASE DE CLIENTES'!A:C,3,0)</f>
        <v>GO</v>
      </c>
      <c r="E2420" s="4" t="str">
        <f>CONCATENATE(Tabela1[[#This Row],[CIDADE]],",",Tabela1[[#This Row],[UF]])</f>
        <v>Valparaíso ,GO</v>
      </c>
      <c r="F2420" s="2">
        <v>45762</v>
      </c>
      <c r="G2420" s="17">
        <v>489</v>
      </c>
      <c r="H2420" s="17">
        <v>700</v>
      </c>
      <c r="I2420" s="6">
        <f>Tabela1[[#This Row],[Valor total]]-Tabela1[[#This Row],[Valor custo]]</f>
        <v>211</v>
      </c>
      <c r="J2420" s="7">
        <f>Tabela1[[#This Row],[MARGEM BRUTA]]/Tabela1[[#This Row],[Valor total]]</f>
        <v>0.30142857142857143</v>
      </c>
      <c r="K2420" s="1" t="str">
        <f>VLOOKUP(Tabela1[[#This Row],[Cliente]],'BASE DE CLIENTES'!A:D,4,0)</f>
        <v>SERRALHEIRO</v>
      </c>
      <c r="L2420" s="1" t="str">
        <f>VLOOKUP(Tabela1[[#This Row],[Cliente]],'BASE DE CLIENTES'!A:E,5,0)</f>
        <v xml:space="preserve">Valparaíso </v>
      </c>
    </row>
    <row r="2421" spans="1:12" x14ac:dyDescent="0.3">
      <c r="B2421" s="1" t="s">
        <v>314</v>
      </c>
      <c r="C2421" s="4" t="str">
        <f>VLOOKUP(Tabela1[[#This Row],[Cliente]],'BASE DE CLIENTES'!A:E,2,0)</f>
        <v xml:space="preserve">Valparaíso </v>
      </c>
      <c r="D2421" s="1" t="str">
        <f>VLOOKUP(Tabela1[[#This Row],[Cliente]],'BASE DE CLIENTES'!A:C,3,0)</f>
        <v>GO</v>
      </c>
      <c r="E2421" s="4" t="str">
        <f>CONCATENATE(Tabela1[[#This Row],[CIDADE]],",",Tabela1[[#This Row],[UF]])</f>
        <v>Valparaíso ,GO</v>
      </c>
      <c r="F2421" s="2">
        <v>45897</v>
      </c>
      <c r="G2421" s="17">
        <v>764.6</v>
      </c>
      <c r="H2421" s="17">
        <v>1340</v>
      </c>
      <c r="I2421" s="6">
        <f>Tabela1[[#This Row],[Valor total]]-Tabela1[[#This Row],[Valor custo]]</f>
        <v>575.4</v>
      </c>
      <c r="J2421" s="7">
        <f>Tabela1[[#This Row],[MARGEM BRUTA]]/Tabela1[[#This Row],[Valor total]]</f>
        <v>0.42940298507462688</v>
      </c>
      <c r="K2421" s="1" t="str">
        <f>VLOOKUP(Tabela1[[#This Row],[Cliente]],'BASE DE CLIENTES'!A:D,4,0)</f>
        <v>SERRALHEIRO</v>
      </c>
      <c r="L2421" s="1" t="str">
        <f>VLOOKUP(Tabela1[[#This Row],[Cliente]],'BASE DE CLIENTES'!A:E,5,0)</f>
        <v xml:space="preserve">Valparaíso </v>
      </c>
    </row>
    <row r="2422" spans="1:12" x14ac:dyDescent="0.3">
      <c r="B2422" s="1" t="s">
        <v>314</v>
      </c>
      <c r="C2422" s="4" t="str">
        <f>VLOOKUP(Tabela1[[#This Row],[Cliente]],'BASE DE CLIENTES'!A:E,2,0)</f>
        <v xml:space="preserve">Valparaíso </v>
      </c>
      <c r="D2422" s="1" t="str">
        <f>VLOOKUP(Tabela1[[#This Row],[Cliente]],'BASE DE CLIENTES'!A:C,3,0)</f>
        <v>GO</v>
      </c>
      <c r="E2422" s="4" t="str">
        <f>CONCATENATE(Tabela1[[#This Row],[CIDADE]],",",Tabela1[[#This Row],[UF]])</f>
        <v>Valparaíso ,GO</v>
      </c>
      <c r="F2422" s="2">
        <v>45887</v>
      </c>
      <c r="G2422" s="17">
        <v>1031.3</v>
      </c>
      <c r="H2422" s="17">
        <v>1895</v>
      </c>
      <c r="I2422" s="6">
        <f>Tabela1[[#This Row],[Valor total]]-Tabela1[[#This Row],[Valor custo]]</f>
        <v>863.7</v>
      </c>
      <c r="J2422" s="7">
        <f>Tabela1[[#This Row],[MARGEM BRUTA]]/Tabela1[[#This Row],[Valor total]]</f>
        <v>0.45577836411609501</v>
      </c>
      <c r="K2422" s="1" t="str">
        <f>VLOOKUP(Tabela1[[#This Row],[Cliente]],'BASE DE CLIENTES'!A:D,4,0)</f>
        <v>SERRALHEIRO</v>
      </c>
      <c r="L2422" s="1" t="str">
        <f>VLOOKUP(Tabela1[[#This Row],[Cliente]],'BASE DE CLIENTES'!A:E,5,0)</f>
        <v xml:space="preserve">Valparaíso </v>
      </c>
    </row>
    <row r="2423" spans="1:12" x14ac:dyDescent="0.3">
      <c r="B2423" s="1" t="s">
        <v>314</v>
      </c>
      <c r="C2423" s="4" t="str">
        <f>VLOOKUP(Tabela1[[#This Row],[Cliente]],'BASE DE CLIENTES'!A:E,2,0)</f>
        <v xml:space="preserve">Valparaíso </v>
      </c>
      <c r="D2423" s="1" t="str">
        <f>VLOOKUP(Tabela1[[#This Row],[Cliente]],'BASE DE CLIENTES'!A:C,3,0)</f>
        <v>GO</v>
      </c>
      <c r="E2423" s="4" t="str">
        <f>CONCATENATE(Tabela1[[#This Row],[CIDADE]],",",Tabela1[[#This Row],[UF]])</f>
        <v>Valparaíso ,GO</v>
      </c>
      <c r="F2423" s="2">
        <v>45919</v>
      </c>
      <c r="G2423" s="17">
        <v>1911.5</v>
      </c>
      <c r="H2423" s="17">
        <v>3250</v>
      </c>
      <c r="I2423" s="6">
        <f>Tabela1[[#This Row],[Valor total]]-Tabela1[[#This Row],[Valor custo]]</f>
        <v>1338.5</v>
      </c>
      <c r="J2423" s="7">
        <f>Tabela1[[#This Row],[MARGEM BRUTA]]/Tabela1[[#This Row],[Valor total]]</f>
        <v>0.41184615384615386</v>
      </c>
      <c r="K2423" s="1" t="str">
        <f>VLOOKUP(Tabela1[[#This Row],[Cliente]],'BASE DE CLIENTES'!A:D,4,0)</f>
        <v>SERRALHEIRO</v>
      </c>
      <c r="L2423" s="1" t="str">
        <f>VLOOKUP(Tabela1[[#This Row],[Cliente]],'BASE DE CLIENTES'!A:E,5,0)</f>
        <v xml:space="preserve">Valparaíso </v>
      </c>
    </row>
    <row r="2424" spans="1:12" x14ac:dyDescent="0.3">
      <c r="A2424" s="1" t="s">
        <v>315</v>
      </c>
      <c r="B2424" s="1" t="s">
        <v>316</v>
      </c>
      <c r="C2424" s="4" t="str">
        <f>VLOOKUP(Tabela1[[#This Row],[Cliente]],'BASE DE CLIENTES'!A:E,2,0)</f>
        <v>Valparaíso de Goiás</v>
      </c>
      <c r="D2424" s="1" t="str">
        <f>VLOOKUP(Tabela1[[#This Row],[Cliente]],'BASE DE CLIENTES'!A:C,3,0)</f>
        <v>GO</v>
      </c>
      <c r="E2424" s="4" t="str">
        <f>CONCATENATE(Tabela1[[#This Row],[CIDADE]],",",Tabela1[[#This Row],[UF]])</f>
        <v>Valparaíso de Goiás,GO</v>
      </c>
      <c r="F2424" s="2">
        <v>45688</v>
      </c>
      <c r="G2424" s="17">
        <v>548.47</v>
      </c>
      <c r="H2424" s="17">
        <v>907.97</v>
      </c>
      <c r="I2424" s="6">
        <f>Tabela1[[#This Row],[Valor total]]-Tabela1[[#This Row],[Valor custo]]</f>
        <v>359.5</v>
      </c>
      <c r="J2424" s="7">
        <f>Tabela1[[#This Row],[MARGEM BRUTA]]/Tabela1[[#This Row],[Valor total]]</f>
        <v>0.39593819179047762</v>
      </c>
      <c r="K2424" s="1" t="str">
        <f>VLOOKUP(Tabela1[[#This Row],[Cliente]],'BASE DE CLIENTES'!A:D,4,0)</f>
        <v>SERRALHEIRO</v>
      </c>
      <c r="L2424" s="1" t="str">
        <f>VLOOKUP(Tabela1[[#This Row],[Cliente]],'BASE DE CLIENTES'!A:E,5,0)</f>
        <v>Valparaíso de Goiás</v>
      </c>
    </row>
    <row r="2425" spans="1:12" x14ac:dyDescent="0.3">
      <c r="A2425" s="1" t="s">
        <v>317</v>
      </c>
      <c r="B2425" s="1" t="s">
        <v>316</v>
      </c>
      <c r="C2425" s="4" t="str">
        <f>VLOOKUP(Tabela1[[#This Row],[Cliente]],'BASE DE CLIENTES'!A:E,2,0)</f>
        <v>Valparaíso de Goiás</v>
      </c>
      <c r="D2425" s="1" t="str">
        <f>VLOOKUP(Tabela1[[#This Row],[Cliente]],'BASE DE CLIENTES'!A:C,3,0)</f>
        <v>GO</v>
      </c>
      <c r="E2425" s="4" t="str">
        <f>CONCATENATE(Tabela1[[#This Row],[CIDADE]],",",Tabela1[[#This Row],[UF]])</f>
        <v>Valparaíso de Goiás,GO</v>
      </c>
      <c r="F2425" s="2">
        <v>45686</v>
      </c>
      <c r="G2425" s="17">
        <v>1562.95</v>
      </c>
      <c r="H2425" s="17">
        <v>2540</v>
      </c>
      <c r="I2425" s="6">
        <f>Tabela1[[#This Row],[Valor total]]-Tabela1[[#This Row],[Valor custo]]</f>
        <v>977.05</v>
      </c>
      <c r="J2425" s="7">
        <f>Tabela1[[#This Row],[MARGEM BRUTA]]/Tabela1[[#This Row],[Valor total]]</f>
        <v>0.38466535433070864</v>
      </c>
      <c r="K2425" s="1" t="str">
        <f>VLOOKUP(Tabela1[[#This Row],[Cliente]],'BASE DE CLIENTES'!A:D,4,0)</f>
        <v>SERRALHEIRO</v>
      </c>
      <c r="L2425" s="1" t="str">
        <f>VLOOKUP(Tabela1[[#This Row],[Cliente]],'BASE DE CLIENTES'!A:E,5,0)</f>
        <v>Valparaíso de Goiás</v>
      </c>
    </row>
    <row r="2426" spans="1:12" x14ac:dyDescent="0.3">
      <c r="A2426" s="1" t="s">
        <v>318</v>
      </c>
      <c r="B2426" s="1" t="s">
        <v>319</v>
      </c>
      <c r="C2426" s="4" t="str">
        <f>VLOOKUP(Tabela1[[#This Row],[Cliente]],'BASE DE CLIENTES'!A:E,2,0)</f>
        <v>Valparaíso de Goiás</v>
      </c>
      <c r="D2426" s="1" t="str">
        <f>VLOOKUP(Tabela1[[#This Row],[Cliente]],'BASE DE CLIENTES'!A:C,3,0)</f>
        <v>GO</v>
      </c>
      <c r="E2426" s="4" t="str">
        <f>CONCATENATE(Tabela1[[#This Row],[CIDADE]],",",Tabela1[[#This Row],[UF]])</f>
        <v>Valparaíso de Goiás,GO</v>
      </c>
      <c r="F2426" s="2">
        <v>45685</v>
      </c>
      <c r="G2426" s="17">
        <v>2091.8000000000002</v>
      </c>
      <c r="H2426" s="17">
        <v>2920</v>
      </c>
      <c r="I2426" s="6">
        <f>Tabela1[[#This Row],[Valor total]]-Tabela1[[#This Row],[Valor custo]]</f>
        <v>828.19999999999982</v>
      </c>
      <c r="J2426" s="7">
        <f>Tabela1[[#This Row],[MARGEM BRUTA]]/Tabela1[[#This Row],[Valor total]]</f>
        <v>0.2836301369863013</v>
      </c>
      <c r="K2426" s="1" t="str">
        <f>VLOOKUP(Tabela1[[#This Row],[Cliente]],'BASE DE CLIENTES'!A:D,4,0)</f>
        <v>EMPRESA COM MAQUINA</v>
      </c>
      <c r="L2426" s="1" t="str">
        <f>VLOOKUP(Tabela1[[#This Row],[Cliente]],'BASE DE CLIENTES'!A:E,5,0)</f>
        <v>Valparaíso de Goiás</v>
      </c>
    </row>
    <row r="2427" spans="1:12" x14ac:dyDescent="0.3">
      <c r="B2427" s="1" t="s">
        <v>320</v>
      </c>
      <c r="C2427" s="4" t="str">
        <f>VLOOKUP(Tabela1[[#This Row],[Cliente]],'BASE DE CLIENTES'!A:E,2,0)</f>
        <v>Valparaíso de Goiás</v>
      </c>
      <c r="D2427" s="1" t="str">
        <f>VLOOKUP(Tabela1[[#This Row],[Cliente]],'BASE DE CLIENTES'!A:C,3,0)</f>
        <v>GO</v>
      </c>
      <c r="E2427" s="4" t="str">
        <f>CONCATENATE(Tabela1[[#This Row],[CIDADE]],",",Tabela1[[#This Row],[UF]])</f>
        <v>Valparaíso de Goiás,GO</v>
      </c>
      <c r="F2427" s="2">
        <v>45678</v>
      </c>
      <c r="G2427" s="17">
        <v>439.2</v>
      </c>
      <c r="H2427" s="17">
        <v>595</v>
      </c>
      <c r="I2427" s="6">
        <f>Tabela1[[#This Row],[Valor total]]-Tabela1[[#This Row],[Valor custo]]</f>
        <v>155.80000000000001</v>
      </c>
      <c r="J2427" s="7">
        <f>Tabela1[[#This Row],[MARGEM BRUTA]]/Tabela1[[#This Row],[Valor total]]</f>
        <v>0.26184873949579834</v>
      </c>
      <c r="K2427" s="1" t="str">
        <f>VLOOKUP(Tabela1[[#This Row],[Cliente]],'BASE DE CLIENTES'!A:D,4,0)</f>
        <v>SERRALHEIRO</v>
      </c>
      <c r="L2427" s="1" t="str">
        <f>VLOOKUP(Tabela1[[#This Row],[Cliente]],'BASE DE CLIENTES'!A:E,5,0)</f>
        <v>Valparaíso de Goiás</v>
      </c>
    </row>
    <row r="2428" spans="1:12" x14ac:dyDescent="0.3">
      <c r="B2428" s="1" t="s">
        <v>316</v>
      </c>
      <c r="C2428" s="4" t="str">
        <f>VLOOKUP(Tabela1[[#This Row],[Cliente]],'BASE DE CLIENTES'!A:E,2,0)</f>
        <v>Valparaíso de Goiás</v>
      </c>
      <c r="D2428" s="1" t="str">
        <f>VLOOKUP(Tabela1[[#This Row],[Cliente]],'BASE DE CLIENTES'!A:C,3,0)</f>
        <v>GO</v>
      </c>
      <c r="E2428" s="4" t="str">
        <f>CONCATENATE(Tabela1[[#This Row],[CIDADE]],",",Tabela1[[#This Row],[UF]])</f>
        <v>Valparaíso de Goiás,GO</v>
      </c>
      <c r="F2428" s="2">
        <v>45674</v>
      </c>
      <c r="G2428" s="17">
        <v>2053.65</v>
      </c>
      <c r="H2428" s="17">
        <v>3750</v>
      </c>
      <c r="I2428" s="6">
        <f>Tabela1[[#This Row],[Valor total]]-Tabela1[[#This Row],[Valor custo]]</f>
        <v>1696.35</v>
      </c>
      <c r="J2428" s="7">
        <f>Tabela1[[#This Row],[MARGEM BRUTA]]/Tabela1[[#This Row],[Valor total]]</f>
        <v>0.45235999999999998</v>
      </c>
      <c r="K2428" s="1" t="str">
        <f>VLOOKUP(Tabela1[[#This Row],[Cliente]],'BASE DE CLIENTES'!A:D,4,0)</f>
        <v>SERRALHEIRO</v>
      </c>
      <c r="L2428" s="1" t="str">
        <f>VLOOKUP(Tabela1[[#This Row],[Cliente]],'BASE DE CLIENTES'!A:E,5,0)</f>
        <v>Valparaíso de Goiás</v>
      </c>
    </row>
    <row r="2429" spans="1:12" x14ac:dyDescent="0.3">
      <c r="B2429" s="1" t="s">
        <v>319</v>
      </c>
      <c r="C2429" s="4" t="str">
        <f>VLOOKUP(Tabela1[[#This Row],[Cliente]],'BASE DE CLIENTES'!A:E,2,0)</f>
        <v>Valparaíso de Goiás</v>
      </c>
      <c r="D2429" s="1" t="str">
        <f>VLOOKUP(Tabela1[[#This Row],[Cliente]],'BASE DE CLIENTES'!A:C,3,0)</f>
        <v>GO</v>
      </c>
      <c r="E2429" s="4" t="str">
        <f>CONCATENATE(Tabela1[[#This Row],[CIDADE]],",",Tabela1[[#This Row],[UF]])</f>
        <v>Valparaíso de Goiás,GO</v>
      </c>
      <c r="F2429" s="2">
        <v>45674</v>
      </c>
      <c r="G2429" s="17">
        <v>789.23</v>
      </c>
      <c r="H2429" s="17">
        <v>1600</v>
      </c>
      <c r="I2429" s="6">
        <f>Tabela1[[#This Row],[Valor total]]-Tabela1[[#This Row],[Valor custo]]</f>
        <v>810.77</v>
      </c>
      <c r="J2429" s="7">
        <f>Tabela1[[#This Row],[MARGEM BRUTA]]/Tabela1[[#This Row],[Valor total]]</f>
        <v>0.50673124999999997</v>
      </c>
      <c r="K2429" s="1" t="str">
        <f>VLOOKUP(Tabela1[[#This Row],[Cliente]],'BASE DE CLIENTES'!A:D,4,0)</f>
        <v>EMPRESA COM MAQUINA</v>
      </c>
      <c r="L2429" s="1" t="str">
        <f>VLOOKUP(Tabela1[[#This Row],[Cliente]],'BASE DE CLIENTES'!A:E,5,0)</f>
        <v>Valparaíso de Goiás</v>
      </c>
    </row>
    <row r="2430" spans="1:12" x14ac:dyDescent="0.3">
      <c r="B2430" s="1" t="s">
        <v>27</v>
      </c>
      <c r="C2430" s="4" t="str">
        <f>VLOOKUP(Tabela1[[#This Row],[Cliente]],'BASE DE CLIENTES'!A:E,2,0)</f>
        <v>Brasília</v>
      </c>
      <c r="D2430" s="1" t="str">
        <f>VLOOKUP(Tabela1[[#This Row],[Cliente]],'BASE DE CLIENTES'!A:C,3,0)</f>
        <v>DF</v>
      </c>
      <c r="E2430" s="4" t="str">
        <f>CONCATENATE(Tabela1[[#This Row],[CIDADE]],",",Tabela1[[#This Row],[UF]])</f>
        <v>Brasília,DF</v>
      </c>
      <c r="F2430" s="2">
        <v>45918</v>
      </c>
      <c r="G2430" s="17">
        <v>432.79</v>
      </c>
      <c r="H2430" s="17">
        <v>505</v>
      </c>
      <c r="I2430" s="6">
        <f>Tabela1[[#This Row],[Valor total]]-Tabela1[[#This Row],[Valor custo]]</f>
        <v>72.20999999999998</v>
      </c>
      <c r="J2430" s="7">
        <f>Tabela1[[#This Row],[MARGEM BRUTA]]/Tabela1[[#This Row],[Valor total]]</f>
        <v>0.14299009900990095</v>
      </c>
      <c r="K2430" s="1" t="str">
        <f>VLOOKUP(Tabela1[[#This Row],[Cliente]],'BASE DE CLIENTES'!A:D,4,0)</f>
        <v>EMPRESA SEM MAQUINA</v>
      </c>
      <c r="L2430" s="1" t="str">
        <f>VLOOKUP(Tabela1[[#This Row],[Cliente]],'BASE DE CLIENTES'!A:E,5,0)</f>
        <v>RECANTO DAS EMAS</v>
      </c>
    </row>
    <row r="2431" spans="1:12" x14ac:dyDescent="0.3">
      <c r="B2431" s="1" t="s">
        <v>321</v>
      </c>
      <c r="C2431" s="4" t="str">
        <f>VLOOKUP(Tabela1[[#This Row],[Cliente]],'BASE DE CLIENTES'!A:E,2,0)</f>
        <v>Valparaíso de Goiás</v>
      </c>
      <c r="D2431" s="1" t="str">
        <f>VLOOKUP(Tabela1[[#This Row],[Cliente]],'BASE DE CLIENTES'!A:C,3,0)</f>
        <v>GO</v>
      </c>
      <c r="E2431" s="4" t="str">
        <f>CONCATENATE(Tabela1[[#This Row],[CIDADE]],",",Tabela1[[#This Row],[UF]])</f>
        <v>Valparaíso de Goiás,GO</v>
      </c>
      <c r="F2431" s="2">
        <v>45670</v>
      </c>
      <c r="G2431" s="17">
        <v>268.45999999999998</v>
      </c>
      <c r="H2431" s="17">
        <v>625</v>
      </c>
      <c r="I2431" s="6">
        <f>Tabela1[[#This Row],[Valor total]]-Tabela1[[#This Row],[Valor custo]]</f>
        <v>356.54</v>
      </c>
      <c r="J2431" s="7">
        <f>Tabela1[[#This Row],[MARGEM BRUTA]]/Tabela1[[#This Row],[Valor total]]</f>
        <v>0.57046400000000008</v>
      </c>
      <c r="K2431" s="1" t="str">
        <f>VLOOKUP(Tabela1[[#This Row],[Cliente]],'BASE DE CLIENTES'!A:D,4,0)</f>
        <v>EMPRESA COM MAQUINA</v>
      </c>
      <c r="L2431" s="1" t="str">
        <f>VLOOKUP(Tabela1[[#This Row],[Cliente]],'BASE DE CLIENTES'!A:E,5,0)</f>
        <v>Valparaíso de Goiás</v>
      </c>
    </row>
    <row r="2432" spans="1:12" x14ac:dyDescent="0.3">
      <c r="B2432" s="1" t="s">
        <v>25</v>
      </c>
      <c r="C2432" s="4" t="str">
        <f>VLOOKUP(Tabela1[[#This Row],[Cliente]],'BASE DE CLIENTES'!A:E,2,0)</f>
        <v>Brasília</v>
      </c>
      <c r="D2432" s="1" t="str">
        <f>VLOOKUP(Tabela1[[#This Row],[Cliente]],'BASE DE CLIENTES'!A:C,3,0)</f>
        <v>DF</v>
      </c>
      <c r="E2432" s="4" t="str">
        <f>CONCATENATE(Tabela1[[#This Row],[CIDADE]],",",Tabela1[[#This Row],[UF]])</f>
        <v>Brasília,DF</v>
      </c>
      <c r="F2432" s="2">
        <v>45918</v>
      </c>
      <c r="G2432" s="17">
        <v>250</v>
      </c>
      <c r="H2432" s="17">
        <v>300</v>
      </c>
      <c r="I2432" s="6">
        <f>Tabela1[[#This Row],[Valor total]]-Tabela1[[#This Row],[Valor custo]]</f>
        <v>50</v>
      </c>
      <c r="J2432" s="7">
        <f>Tabela1[[#This Row],[MARGEM BRUTA]]/Tabela1[[#This Row],[Valor total]]</f>
        <v>0.16666666666666666</v>
      </c>
      <c r="K2432" s="1" t="str">
        <f>VLOOKUP(Tabela1[[#This Row],[Cliente]],'BASE DE CLIENTES'!A:D,4,0)</f>
        <v>EMPRESA COM MAQUINA</v>
      </c>
      <c r="L2432" s="1" t="str">
        <f>VLOOKUP(Tabela1[[#This Row],[Cliente]],'BASE DE CLIENTES'!A:E,5,0)</f>
        <v>CEILANDIA NORTE (CEILANDIA)</v>
      </c>
    </row>
    <row r="2433" spans="2:12" x14ac:dyDescent="0.3">
      <c r="B2433" s="1" t="s">
        <v>55</v>
      </c>
      <c r="C2433" s="4" t="str">
        <f>VLOOKUP(Tabela1[[#This Row],[Cliente]],'BASE DE CLIENTES'!A:E,2,0)</f>
        <v>Brasília</v>
      </c>
      <c r="D2433" s="1" t="str">
        <f>VLOOKUP(Tabela1[[#This Row],[Cliente]],'BASE DE CLIENTES'!A:C,3,0)</f>
        <v>DF</v>
      </c>
      <c r="E2433" s="4" t="str">
        <f>CONCATENATE(Tabela1[[#This Row],[CIDADE]],",",Tabela1[[#This Row],[UF]])</f>
        <v>Brasília,DF</v>
      </c>
      <c r="F2433" s="2">
        <v>45918</v>
      </c>
      <c r="G2433" s="17">
        <v>3224.88</v>
      </c>
      <c r="H2433" s="17">
        <v>5885</v>
      </c>
      <c r="I2433" s="6">
        <f>Tabela1[[#This Row],[Valor total]]-Tabela1[[#This Row],[Valor custo]]</f>
        <v>2660.12</v>
      </c>
      <c r="J2433" s="7">
        <f>Tabela1[[#This Row],[MARGEM BRUTA]]/Tabela1[[#This Row],[Valor total]]</f>
        <v>0.45201699235344095</v>
      </c>
      <c r="K2433" s="1" t="str">
        <f>VLOOKUP(Tabela1[[#This Row],[Cliente]],'BASE DE CLIENTES'!A:D,4,0)</f>
        <v>EMPRESA SEM MAQUINA</v>
      </c>
      <c r="L2433" s="1" t="str">
        <f>VLOOKUP(Tabela1[[#This Row],[Cliente]],'BASE DE CLIENTES'!A:E,5,0)</f>
        <v>RECANTO DAS EMAS</v>
      </c>
    </row>
    <row r="2434" spans="2:12" x14ac:dyDescent="0.3">
      <c r="B2434" s="1" t="s">
        <v>319</v>
      </c>
      <c r="C2434" s="4" t="str">
        <f>VLOOKUP(Tabela1[[#This Row],[Cliente]],'BASE DE CLIENTES'!A:E,2,0)</f>
        <v>Valparaíso de Goiás</v>
      </c>
      <c r="D2434" s="1" t="str">
        <f>VLOOKUP(Tabela1[[#This Row],[Cliente]],'BASE DE CLIENTES'!A:C,3,0)</f>
        <v>GO</v>
      </c>
      <c r="E2434" s="4" t="str">
        <f>CONCATENATE(Tabela1[[#This Row],[CIDADE]],",",Tabela1[[#This Row],[UF]])</f>
        <v>Valparaíso de Goiás,GO</v>
      </c>
      <c r="F2434" s="2">
        <v>45664</v>
      </c>
      <c r="G2434" s="17">
        <v>935.53</v>
      </c>
      <c r="H2434" s="17">
        <v>1470</v>
      </c>
      <c r="I2434" s="6">
        <f>Tabela1[[#This Row],[Valor total]]-Tabela1[[#This Row],[Valor custo]]</f>
        <v>534.47</v>
      </c>
      <c r="J2434" s="7">
        <f>Tabela1[[#This Row],[MARGEM BRUTA]]/Tabela1[[#This Row],[Valor total]]</f>
        <v>0.36358503401360548</v>
      </c>
      <c r="K2434" s="1" t="str">
        <f>VLOOKUP(Tabela1[[#This Row],[Cliente]],'BASE DE CLIENTES'!A:D,4,0)</f>
        <v>EMPRESA COM MAQUINA</v>
      </c>
      <c r="L2434" s="1" t="str">
        <f>VLOOKUP(Tabela1[[#This Row],[Cliente]],'BASE DE CLIENTES'!A:E,5,0)</f>
        <v>Valparaíso de Goiás</v>
      </c>
    </row>
    <row r="2435" spans="2:12" x14ac:dyDescent="0.3">
      <c r="B2435" s="1" t="s">
        <v>316</v>
      </c>
      <c r="C2435" s="4" t="str">
        <f>VLOOKUP(Tabela1[[#This Row],[Cliente]],'BASE DE CLIENTES'!A:E,2,0)</f>
        <v>Valparaíso de Goiás</v>
      </c>
      <c r="D2435" s="1" t="str">
        <f>VLOOKUP(Tabela1[[#This Row],[Cliente]],'BASE DE CLIENTES'!A:C,3,0)</f>
        <v>GO</v>
      </c>
      <c r="E2435" s="4" t="str">
        <f>CONCATENATE(Tabela1[[#This Row],[CIDADE]],",",Tabela1[[#This Row],[UF]])</f>
        <v>Valparaíso de Goiás,GO</v>
      </c>
      <c r="F2435" s="2">
        <v>45714</v>
      </c>
      <c r="G2435" s="17">
        <v>1045.9000000000001</v>
      </c>
      <c r="H2435" s="17">
        <v>1545</v>
      </c>
      <c r="I2435" s="6">
        <f>Tabela1[[#This Row],[Valor total]]-Tabela1[[#This Row],[Valor custo]]</f>
        <v>499.09999999999991</v>
      </c>
      <c r="J2435" s="7">
        <f>Tabela1[[#This Row],[MARGEM BRUTA]]/Tabela1[[#This Row],[Valor total]]</f>
        <v>0.32304207119741096</v>
      </c>
      <c r="K2435" s="1" t="str">
        <f>VLOOKUP(Tabela1[[#This Row],[Cliente]],'BASE DE CLIENTES'!A:D,4,0)</f>
        <v>SERRALHEIRO</v>
      </c>
      <c r="L2435" s="1" t="str">
        <f>VLOOKUP(Tabela1[[#This Row],[Cliente]],'BASE DE CLIENTES'!A:E,5,0)</f>
        <v>Valparaíso de Goiás</v>
      </c>
    </row>
    <row r="2436" spans="2:12" x14ac:dyDescent="0.3">
      <c r="B2436" s="1" t="s">
        <v>321</v>
      </c>
      <c r="C2436" s="4" t="str">
        <f>VLOOKUP(Tabela1[[#This Row],[Cliente]],'BASE DE CLIENTES'!A:E,2,0)</f>
        <v>Valparaíso de Goiás</v>
      </c>
      <c r="D2436" s="1" t="str">
        <f>VLOOKUP(Tabela1[[#This Row],[Cliente]],'BASE DE CLIENTES'!A:C,3,0)</f>
        <v>GO</v>
      </c>
      <c r="E2436" s="4" t="str">
        <f>CONCATENATE(Tabela1[[#This Row],[CIDADE]],",",Tabela1[[#This Row],[UF]])</f>
        <v>Valparaíso de Goiás,GO</v>
      </c>
      <c r="F2436" s="2">
        <v>45713</v>
      </c>
      <c r="G2436" s="17">
        <v>707.23</v>
      </c>
      <c r="H2436" s="17">
        <v>160</v>
      </c>
      <c r="I2436" s="6">
        <f>Tabela1[[#This Row],[Valor total]]-Tabela1[[#This Row],[Valor custo]]</f>
        <v>-547.23</v>
      </c>
      <c r="J2436" s="7">
        <f>Tabela1[[#This Row],[MARGEM BRUTA]]/Tabela1[[#This Row],[Valor total]]</f>
        <v>-3.4201874999999999</v>
      </c>
      <c r="K2436" s="1" t="str">
        <f>VLOOKUP(Tabela1[[#This Row],[Cliente]],'BASE DE CLIENTES'!A:D,4,0)</f>
        <v>EMPRESA COM MAQUINA</v>
      </c>
      <c r="L2436" s="1" t="str">
        <f>VLOOKUP(Tabela1[[#This Row],[Cliente]],'BASE DE CLIENTES'!A:E,5,0)</f>
        <v>Valparaíso de Goiás</v>
      </c>
    </row>
    <row r="2437" spans="2:12" x14ac:dyDescent="0.3">
      <c r="B2437" s="1" t="s">
        <v>101</v>
      </c>
      <c r="C2437" s="4" t="str">
        <f>VLOOKUP(Tabela1[[#This Row],[Cliente]],'BASE DE CLIENTES'!A:E,2,0)</f>
        <v>Brasília</v>
      </c>
      <c r="D2437" s="1" t="str">
        <f>VLOOKUP(Tabela1[[#This Row],[Cliente]],'BASE DE CLIENTES'!A:C,3,0)</f>
        <v>DF</v>
      </c>
      <c r="E2437" s="4" t="str">
        <f>CONCATENATE(Tabela1[[#This Row],[CIDADE]],",",Tabela1[[#This Row],[UF]])</f>
        <v>Brasília,DF</v>
      </c>
      <c r="F2437" s="2">
        <v>45917</v>
      </c>
      <c r="G2437" s="17">
        <v>70.599999999999994</v>
      </c>
      <c r="H2437" s="17">
        <v>100</v>
      </c>
      <c r="I2437" s="6">
        <f>Tabela1[[#This Row],[Valor total]]-Tabela1[[#This Row],[Valor custo]]</f>
        <v>29.400000000000006</v>
      </c>
      <c r="J2437" s="7">
        <f>Tabela1[[#This Row],[MARGEM BRUTA]]/Tabela1[[#This Row],[Valor total]]</f>
        <v>0.29400000000000004</v>
      </c>
      <c r="K2437" s="1" t="str">
        <f>VLOOKUP(Tabela1[[#This Row],[Cliente]],'BASE DE CLIENTES'!A:D,4,0)</f>
        <v>SERRALHEIRO</v>
      </c>
      <c r="L2437" s="1" t="str">
        <f>VLOOKUP(Tabela1[[#This Row],[Cliente]],'BASE DE CLIENTES'!A:E,5,0)</f>
        <v>TAGUATINGA SUL (TAGUATINGA)</v>
      </c>
    </row>
    <row r="2438" spans="2:12" x14ac:dyDescent="0.3">
      <c r="B2438" s="1" t="s">
        <v>101</v>
      </c>
      <c r="C2438" s="4" t="str">
        <f>VLOOKUP(Tabela1[[#This Row],[Cliente]],'BASE DE CLIENTES'!A:E,2,0)</f>
        <v>Brasília</v>
      </c>
      <c r="D2438" s="1" t="str">
        <f>VLOOKUP(Tabela1[[#This Row],[Cliente]],'BASE DE CLIENTES'!A:C,3,0)</f>
        <v>DF</v>
      </c>
      <c r="E2438" s="4" t="str">
        <f>CONCATENATE(Tabela1[[#This Row],[CIDADE]],",",Tabela1[[#This Row],[UF]])</f>
        <v>Brasília,DF</v>
      </c>
      <c r="F2438" s="2">
        <v>45917</v>
      </c>
      <c r="G2438" s="17">
        <v>679</v>
      </c>
      <c r="H2438" s="17">
        <v>1300</v>
      </c>
      <c r="I2438" s="6">
        <f>Tabela1[[#This Row],[Valor total]]-Tabela1[[#This Row],[Valor custo]]</f>
        <v>621</v>
      </c>
      <c r="J2438" s="7">
        <f>Tabela1[[#This Row],[MARGEM BRUTA]]/Tabela1[[#This Row],[Valor total]]</f>
        <v>0.47769230769230769</v>
      </c>
      <c r="K2438" s="1" t="str">
        <f>VLOOKUP(Tabela1[[#This Row],[Cliente]],'BASE DE CLIENTES'!A:D,4,0)</f>
        <v>SERRALHEIRO</v>
      </c>
      <c r="L2438" s="1" t="str">
        <f>VLOOKUP(Tabela1[[#This Row],[Cliente]],'BASE DE CLIENTES'!A:E,5,0)</f>
        <v>TAGUATINGA SUL (TAGUATINGA)</v>
      </c>
    </row>
    <row r="2439" spans="2:12" x14ac:dyDescent="0.3">
      <c r="B2439" s="1" t="s">
        <v>161</v>
      </c>
      <c r="C2439" s="4" t="str">
        <f>VLOOKUP(Tabela1[[#This Row],[Cliente]],'BASE DE CLIENTES'!A:E,2,0)</f>
        <v>Brasília</v>
      </c>
      <c r="D2439" s="1" t="str">
        <f>VLOOKUP(Tabela1[[#This Row],[Cliente]],'BASE DE CLIENTES'!A:C,3,0)</f>
        <v>DF</v>
      </c>
      <c r="E2439" s="4" t="str">
        <f>CONCATENATE(Tabela1[[#This Row],[CIDADE]],",",Tabela1[[#This Row],[UF]])</f>
        <v>Brasília,DF</v>
      </c>
      <c r="F2439" s="2">
        <v>45917</v>
      </c>
      <c r="G2439" s="17">
        <v>3204</v>
      </c>
      <c r="H2439" s="17">
        <v>4980</v>
      </c>
      <c r="I2439" s="6">
        <f>Tabela1[[#This Row],[Valor total]]-Tabela1[[#This Row],[Valor custo]]</f>
        <v>1776</v>
      </c>
      <c r="J2439" s="7">
        <f>Tabela1[[#This Row],[MARGEM BRUTA]]/Tabela1[[#This Row],[Valor total]]</f>
        <v>0.3566265060240964</v>
      </c>
      <c r="K2439" s="1" t="str">
        <f>VLOOKUP(Tabela1[[#This Row],[Cliente]],'BASE DE CLIENTES'!A:D,4,0)</f>
        <v>EMPRESA COM MAQUINA</v>
      </c>
      <c r="L2439" s="1" t="str">
        <f>VLOOKUP(Tabela1[[#This Row],[Cliente]],'BASE DE CLIENTES'!A:E,5,0)</f>
        <v>RIACHO FUNDO II</v>
      </c>
    </row>
    <row r="2440" spans="2:12" x14ac:dyDescent="0.3">
      <c r="B2440" s="1" t="s">
        <v>111</v>
      </c>
      <c r="C2440" s="4" t="str">
        <f>VLOOKUP(Tabela1[[#This Row],[Cliente]],'BASE DE CLIENTES'!A:E,2,0)</f>
        <v>Brasília</v>
      </c>
      <c r="D2440" s="1" t="str">
        <f>VLOOKUP(Tabela1[[#This Row],[Cliente]],'BASE DE CLIENTES'!A:C,3,0)</f>
        <v>DF</v>
      </c>
      <c r="E2440" s="4" t="str">
        <f>CONCATENATE(Tabela1[[#This Row],[CIDADE]],",",Tabela1[[#This Row],[UF]])</f>
        <v>Brasília,DF</v>
      </c>
      <c r="F2440" s="2">
        <v>45917</v>
      </c>
      <c r="G2440" s="17">
        <v>5499.09</v>
      </c>
      <c r="H2440" s="17">
        <v>9079</v>
      </c>
      <c r="I2440" s="6">
        <f>Tabela1[[#This Row],[Valor total]]-Tabela1[[#This Row],[Valor custo]]</f>
        <v>3579.91</v>
      </c>
      <c r="J2440" s="7">
        <f>Tabela1[[#This Row],[MARGEM BRUTA]]/Tabela1[[#This Row],[Valor total]]</f>
        <v>0.39430664170062779</v>
      </c>
      <c r="K2440" s="1" t="str">
        <f>VLOOKUP(Tabela1[[#This Row],[Cliente]],'BASE DE CLIENTES'!A:D,4,0)</f>
        <v>EMPRESA SEM MAQUINA</v>
      </c>
      <c r="L2440" s="1" t="str">
        <f>VLOOKUP(Tabela1[[#This Row],[Cliente]],'BASE DE CLIENTES'!A:E,5,0)</f>
        <v>TAGUATINGA SUL (TAGUATINGA)</v>
      </c>
    </row>
    <row r="2441" spans="2:12" x14ac:dyDescent="0.3">
      <c r="B2441" s="1" t="s">
        <v>320</v>
      </c>
      <c r="C2441" s="4" t="str">
        <f>VLOOKUP(Tabela1[[#This Row],[Cliente]],'BASE DE CLIENTES'!A:E,2,0)</f>
        <v>Valparaíso de Goiás</v>
      </c>
      <c r="D2441" s="1" t="str">
        <f>VLOOKUP(Tabela1[[#This Row],[Cliente]],'BASE DE CLIENTES'!A:C,3,0)</f>
        <v>GO</v>
      </c>
      <c r="E2441" s="4" t="str">
        <f>CONCATENATE(Tabela1[[#This Row],[CIDADE]],",",Tabela1[[#This Row],[UF]])</f>
        <v>Valparaíso de Goiás,GO</v>
      </c>
      <c r="F2441" s="2">
        <v>45707</v>
      </c>
      <c r="G2441" s="17">
        <v>57.13</v>
      </c>
      <c r="H2441" s="17">
        <v>200</v>
      </c>
      <c r="I2441" s="6">
        <f>Tabela1[[#This Row],[Valor total]]-Tabela1[[#This Row],[Valor custo]]</f>
        <v>142.87</v>
      </c>
      <c r="J2441" s="7">
        <f>Tabela1[[#This Row],[MARGEM BRUTA]]/Tabela1[[#This Row],[Valor total]]</f>
        <v>0.71435000000000004</v>
      </c>
      <c r="K2441" s="1" t="str">
        <f>VLOOKUP(Tabela1[[#This Row],[Cliente]],'BASE DE CLIENTES'!A:D,4,0)</f>
        <v>SERRALHEIRO</v>
      </c>
      <c r="L2441" s="1" t="str">
        <f>VLOOKUP(Tabela1[[#This Row],[Cliente]],'BASE DE CLIENTES'!A:E,5,0)</f>
        <v>Valparaíso de Goiás</v>
      </c>
    </row>
    <row r="2442" spans="2:12" x14ac:dyDescent="0.3">
      <c r="B2442" s="1" t="s">
        <v>319</v>
      </c>
      <c r="C2442" s="4" t="str">
        <f>VLOOKUP(Tabela1[[#This Row],[Cliente]],'BASE DE CLIENTES'!A:E,2,0)</f>
        <v>Valparaíso de Goiás</v>
      </c>
      <c r="D2442" s="1" t="str">
        <f>VLOOKUP(Tabela1[[#This Row],[Cliente]],'BASE DE CLIENTES'!A:C,3,0)</f>
        <v>GO</v>
      </c>
      <c r="E2442" s="4" t="str">
        <f>CONCATENATE(Tabela1[[#This Row],[CIDADE]],",",Tabela1[[#This Row],[UF]])</f>
        <v>Valparaíso de Goiás,GO</v>
      </c>
      <c r="F2442" s="2">
        <v>45706</v>
      </c>
      <c r="G2442" s="17">
        <v>0</v>
      </c>
      <c r="H2442" s="17">
        <v>450</v>
      </c>
      <c r="I2442" s="6">
        <f>Tabela1[[#This Row],[Valor total]]-Tabela1[[#This Row],[Valor custo]]</f>
        <v>450</v>
      </c>
      <c r="J2442" s="7">
        <f>Tabela1[[#This Row],[MARGEM BRUTA]]/Tabela1[[#This Row],[Valor total]]</f>
        <v>1</v>
      </c>
      <c r="K2442" s="1" t="str">
        <f>VLOOKUP(Tabela1[[#This Row],[Cliente]],'BASE DE CLIENTES'!A:D,4,0)</f>
        <v>EMPRESA COM MAQUINA</v>
      </c>
      <c r="L2442" s="1" t="str">
        <f>VLOOKUP(Tabela1[[#This Row],[Cliente]],'BASE DE CLIENTES'!A:E,5,0)</f>
        <v>Valparaíso de Goiás</v>
      </c>
    </row>
    <row r="2443" spans="2:12" x14ac:dyDescent="0.3">
      <c r="B2443" s="1" t="s">
        <v>85</v>
      </c>
      <c r="C2443" s="4" t="str">
        <f>VLOOKUP(Tabela1[[#This Row],[Cliente]],'BASE DE CLIENTES'!A:E,2,0)</f>
        <v>Brasília</v>
      </c>
      <c r="D2443" s="1" t="str">
        <f>VLOOKUP(Tabela1[[#This Row],[Cliente]],'BASE DE CLIENTES'!A:C,3,0)</f>
        <v>DF</v>
      </c>
      <c r="E2443" s="4" t="str">
        <f>CONCATENATE(Tabela1[[#This Row],[CIDADE]],",",Tabela1[[#This Row],[UF]])</f>
        <v>Brasília,DF</v>
      </c>
      <c r="F2443" s="2">
        <v>45917</v>
      </c>
      <c r="G2443" s="17">
        <v>14.42</v>
      </c>
      <c r="H2443" s="17">
        <v>80</v>
      </c>
      <c r="I2443" s="6">
        <f>Tabela1[[#This Row],[Valor total]]-Tabela1[[#This Row],[Valor custo]]</f>
        <v>65.58</v>
      </c>
      <c r="J2443" s="7">
        <f>Tabela1[[#This Row],[MARGEM BRUTA]]/Tabela1[[#This Row],[Valor total]]</f>
        <v>0.81974999999999998</v>
      </c>
      <c r="K2443" s="1" t="str">
        <f>VLOOKUP(Tabela1[[#This Row],[Cliente]],'BASE DE CLIENTES'!A:D,4,0)</f>
        <v>SERRALHEIRO</v>
      </c>
      <c r="L2443" s="1" t="str">
        <f>VLOOKUP(Tabela1[[#This Row],[Cliente]],'BASE DE CLIENTES'!A:E,5,0)</f>
        <v>SAMAMBAIA NORTE (SAMAMBAIA)</v>
      </c>
    </row>
    <row r="2444" spans="2:12" x14ac:dyDescent="0.3">
      <c r="B2444" s="1" t="s">
        <v>97</v>
      </c>
      <c r="C2444" s="4" t="str">
        <f>VLOOKUP(Tabela1[[#This Row],[Cliente]],'BASE DE CLIENTES'!A:E,2,0)</f>
        <v>Brasília</v>
      </c>
      <c r="D2444" s="1" t="str">
        <f>VLOOKUP(Tabela1[[#This Row],[Cliente]],'BASE DE CLIENTES'!A:C,3,0)</f>
        <v>DF</v>
      </c>
      <c r="E2444" s="4" t="str">
        <f>CONCATENATE(Tabela1[[#This Row],[CIDADE]],",",Tabela1[[#This Row],[UF]])</f>
        <v>Brasília,DF</v>
      </c>
      <c r="F2444" s="2">
        <v>45917</v>
      </c>
      <c r="G2444" s="17">
        <v>664</v>
      </c>
      <c r="H2444" s="17">
        <v>1350</v>
      </c>
      <c r="I2444" s="6">
        <f>Tabela1[[#This Row],[Valor total]]-Tabela1[[#This Row],[Valor custo]]</f>
        <v>686</v>
      </c>
      <c r="J2444" s="7">
        <f>Tabela1[[#This Row],[MARGEM BRUTA]]/Tabela1[[#This Row],[Valor total]]</f>
        <v>0.50814814814814813</v>
      </c>
      <c r="K2444" s="1" t="str">
        <f>VLOOKUP(Tabela1[[#This Row],[Cliente]],'BASE DE CLIENTES'!A:D,4,0)</f>
        <v>SERRALHEIRO</v>
      </c>
      <c r="L2444" s="1" t="str">
        <f>VLOOKUP(Tabela1[[#This Row],[Cliente]],'BASE DE CLIENTES'!A:E,5,0)</f>
        <v>CEILANDIA NORTE</v>
      </c>
    </row>
    <row r="2445" spans="2:12" x14ac:dyDescent="0.3">
      <c r="B2445" s="1" t="s">
        <v>27</v>
      </c>
      <c r="C2445" s="4" t="str">
        <f>VLOOKUP(Tabela1[[#This Row],[Cliente]],'BASE DE CLIENTES'!A:E,2,0)</f>
        <v>Brasília</v>
      </c>
      <c r="D2445" s="1" t="str">
        <f>VLOOKUP(Tabela1[[#This Row],[Cliente]],'BASE DE CLIENTES'!A:C,3,0)</f>
        <v>DF</v>
      </c>
      <c r="E2445" s="4" t="str">
        <f>CONCATENATE(Tabela1[[#This Row],[CIDADE]],",",Tabela1[[#This Row],[UF]])</f>
        <v>Brasília,DF</v>
      </c>
      <c r="F2445" s="2">
        <v>45917</v>
      </c>
      <c r="G2445" s="17">
        <v>652.29999999999995</v>
      </c>
      <c r="H2445" s="17">
        <v>914</v>
      </c>
      <c r="I2445" s="6">
        <f>Tabela1[[#This Row],[Valor total]]-Tabela1[[#This Row],[Valor custo]]</f>
        <v>261.70000000000005</v>
      </c>
      <c r="J2445" s="7">
        <f>Tabela1[[#This Row],[MARGEM BRUTA]]/Tabela1[[#This Row],[Valor total]]</f>
        <v>0.28632385120350112</v>
      </c>
      <c r="K2445" s="1" t="str">
        <f>VLOOKUP(Tabela1[[#This Row],[Cliente]],'BASE DE CLIENTES'!A:D,4,0)</f>
        <v>EMPRESA SEM MAQUINA</v>
      </c>
      <c r="L2445" s="1" t="str">
        <f>VLOOKUP(Tabela1[[#This Row],[Cliente]],'BASE DE CLIENTES'!A:E,5,0)</f>
        <v>RECANTO DAS EMAS</v>
      </c>
    </row>
    <row r="2446" spans="2:12" x14ac:dyDescent="0.3">
      <c r="B2446" s="1" t="s">
        <v>239</v>
      </c>
      <c r="C2446" s="4" t="str">
        <f>VLOOKUP(Tabela1[[#This Row],[Cliente]],'BASE DE CLIENTES'!A:E,2,0)</f>
        <v>Brasília</v>
      </c>
      <c r="D2446" s="1" t="str">
        <f>VLOOKUP(Tabela1[[#This Row],[Cliente]],'BASE DE CLIENTES'!A:C,3,0)</f>
        <v>DF</v>
      </c>
      <c r="E2446" s="4" t="str">
        <f>CONCATENATE(Tabela1[[#This Row],[CIDADE]],",",Tabela1[[#This Row],[UF]])</f>
        <v>Brasília,DF</v>
      </c>
      <c r="F2446" s="2">
        <v>45917</v>
      </c>
      <c r="G2446" s="17">
        <v>1820</v>
      </c>
      <c r="H2446" s="17">
        <v>2850</v>
      </c>
      <c r="I2446" s="6">
        <f>Tabela1[[#This Row],[Valor total]]-Tabela1[[#This Row],[Valor custo]]</f>
        <v>1030</v>
      </c>
      <c r="J2446" s="7">
        <f>Tabela1[[#This Row],[MARGEM BRUTA]]/Tabela1[[#This Row],[Valor total]]</f>
        <v>0.36140350877192984</v>
      </c>
      <c r="K2446" s="1" t="str">
        <f>VLOOKUP(Tabela1[[#This Row],[Cliente]],'BASE DE CLIENTES'!A:D,4,0)</f>
        <v>EMPRESA COM MAQUINA</v>
      </c>
      <c r="L2446" s="1" t="str">
        <f>VLOOKUP(Tabela1[[#This Row],[Cliente]],'BASE DE CLIENTES'!A:E,5,0)</f>
        <v>RIACHO FUNDO II</v>
      </c>
    </row>
    <row r="2447" spans="2:12" x14ac:dyDescent="0.3">
      <c r="B2447" s="1" t="s">
        <v>319</v>
      </c>
      <c r="C2447" s="4" t="str">
        <f>VLOOKUP(Tabela1[[#This Row],[Cliente]],'BASE DE CLIENTES'!A:E,2,0)</f>
        <v>Valparaíso de Goiás</v>
      </c>
      <c r="D2447" s="1" t="str">
        <f>VLOOKUP(Tabela1[[#This Row],[Cliente]],'BASE DE CLIENTES'!A:C,3,0)</f>
        <v>GO</v>
      </c>
      <c r="E2447" s="4" t="str">
        <f>CONCATENATE(Tabela1[[#This Row],[CIDADE]],",",Tabela1[[#This Row],[UF]])</f>
        <v>Valparaíso de Goiás,GO</v>
      </c>
      <c r="F2447" s="2">
        <v>45706</v>
      </c>
      <c r="G2447" s="17">
        <v>707.23</v>
      </c>
      <c r="H2447" s="17">
        <v>1350</v>
      </c>
      <c r="I2447" s="6">
        <f>Tabela1[[#This Row],[Valor total]]-Tabela1[[#This Row],[Valor custo]]</f>
        <v>642.77</v>
      </c>
      <c r="J2447" s="7">
        <f>Tabela1[[#This Row],[MARGEM BRUTA]]/Tabela1[[#This Row],[Valor total]]</f>
        <v>0.4761259259259259</v>
      </c>
      <c r="K2447" s="1" t="str">
        <f>VLOOKUP(Tabela1[[#This Row],[Cliente]],'BASE DE CLIENTES'!A:D,4,0)</f>
        <v>EMPRESA COM MAQUINA</v>
      </c>
      <c r="L2447" s="1" t="str">
        <f>VLOOKUP(Tabela1[[#This Row],[Cliente]],'BASE DE CLIENTES'!A:E,5,0)</f>
        <v>Valparaíso de Goiás</v>
      </c>
    </row>
    <row r="2448" spans="2:12" x14ac:dyDescent="0.3">
      <c r="B2448" s="1" t="s">
        <v>297</v>
      </c>
      <c r="C2448" s="4" t="str">
        <f>VLOOKUP(Tabela1[[#This Row],[Cliente]],'BASE DE CLIENTES'!A:E,2,0)</f>
        <v>Brasília</v>
      </c>
      <c r="D2448" s="1" t="str">
        <f>VLOOKUP(Tabela1[[#This Row],[Cliente]],'BASE DE CLIENTES'!A:C,3,0)</f>
        <v>DF</v>
      </c>
      <c r="E2448" s="4" t="str">
        <f>CONCATENATE(Tabela1[[#This Row],[CIDADE]],",",Tabela1[[#This Row],[UF]])</f>
        <v>Brasília,DF</v>
      </c>
      <c r="F2448" s="2">
        <v>45772</v>
      </c>
      <c r="G2448" s="17">
        <v>90</v>
      </c>
      <c r="H2448" s="17">
        <v>250</v>
      </c>
      <c r="I2448" s="6">
        <f>Tabela1[[#This Row],[Valor total]]-Tabela1[[#This Row],[Valor custo]]</f>
        <v>160</v>
      </c>
      <c r="J2448" s="7">
        <f>Tabela1[[#This Row],[MARGEM BRUTA]]/Tabela1[[#This Row],[Valor total]]</f>
        <v>0.64</v>
      </c>
      <c r="K2448" s="1" t="str">
        <f>VLOOKUP(Tabela1[[#This Row],[Cliente]],'BASE DE CLIENTES'!A:D,4,0)</f>
        <v>SERRALHEIRO</v>
      </c>
      <c r="L2448" s="1" t="str">
        <f>VLOOKUP(Tabela1[[#This Row],[Cliente]],'BASE DE CLIENTES'!A:E,5,0)</f>
        <v>NA</v>
      </c>
    </row>
    <row r="2449" spans="2:12" x14ac:dyDescent="0.3">
      <c r="B2449" s="1" t="s">
        <v>55</v>
      </c>
      <c r="C2449" s="4" t="str">
        <f>VLOOKUP(Tabela1[[#This Row],[Cliente]],'BASE DE CLIENTES'!A:E,2,0)</f>
        <v>Brasília</v>
      </c>
      <c r="D2449" s="1" t="str">
        <f>VLOOKUP(Tabela1[[#This Row],[Cliente]],'BASE DE CLIENTES'!A:C,3,0)</f>
        <v>DF</v>
      </c>
      <c r="E2449" s="4" t="str">
        <f>CONCATENATE(Tabela1[[#This Row],[CIDADE]],",",Tabela1[[#This Row],[UF]])</f>
        <v>Brasília,DF</v>
      </c>
      <c r="F2449" s="2">
        <v>45917</v>
      </c>
      <c r="G2449" s="17">
        <v>455</v>
      </c>
      <c r="H2449" s="17">
        <v>685</v>
      </c>
      <c r="I2449" s="6">
        <f>Tabela1[[#This Row],[Valor total]]-Tabela1[[#This Row],[Valor custo]]</f>
        <v>230</v>
      </c>
      <c r="J2449" s="7">
        <f>Tabela1[[#This Row],[MARGEM BRUTA]]/Tabela1[[#This Row],[Valor total]]</f>
        <v>0.33576642335766421</v>
      </c>
      <c r="K2449" s="1" t="str">
        <f>VLOOKUP(Tabela1[[#This Row],[Cliente]],'BASE DE CLIENTES'!A:D,4,0)</f>
        <v>EMPRESA SEM MAQUINA</v>
      </c>
      <c r="L2449" s="1" t="str">
        <f>VLOOKUP(Tabela1[[#This Row],[Cliente]],'BASE DE CLIENTES'!A:E,5,0)</f>
        <v>RECANTO DAS EMAS</v>
      </c>
    </row>
    <row r="2450" spans="2:12" x14ac:dyDescent="0.3">
      <c r="B2450" s="1" t="s">
        <v>230</v>
      </c>
      <c r="C2450" s="4" t="str">
        <f>VLOOKUP(Tabela1[[#This Row],[Cliente]],'BASE DE CLIENTES'!A:E,2,0)</f>
        <v>Brasília</v>
      </c>
      <c r="D2450" s="1" t="str">
        <f>VLOOKUP(Tabela1[[#This Row],[Cliente]],'BASE DE CLIENTES'!A:C,3,0)</f>
        <v>DF</v>
      </c>
      <c r="E2450" s="4" t="str">
        <f>CONCATENATE(Tabela1[[#This Row],[CIDADE]],",",Tabela1[[#This Row],[UF]])</f>
        <v>Brasília,DF</v>
      </c>
      <c r="F2450" s="2">
        <v>45916</v>
      </c>
      <c r="G2450" s="17">
        <v>382.3</v>
      </c>
      <c r="H2450" s="17">
        <v>650</v>
      </c>
      <c r="I2450" s="6">
        <f>Tabela1[[#This Row],[Valor total]]-Tabela1[[#This Row],[Valor custo]]</f>
        <v>267.7</v>
      </c>
      <c r="J2450" s="7">
        <f>Tabela1[[#This Row],[MARGEM BRUTA]]/Tabela1[[#This Row],[Valor total]]</f>
        <v>0.41184615384615381</v>
      </c>
      <c r="K2450" s="1" t="str">
        <f>VLOOKUP(Tabela1[[#This Row],[Cliente]],'BASE DE CLIENTES'!A:D,4,0)</f>
        <v>SERRALHEIRO</v>
      </c>
      <c r="L2450" s="1" t="str">
        <f>VLOOKUP(Tabela1[[#This Row],[Cliente]],'BASE DE CLIENTES'!A:E,5,0)</f>
        <v>SETOR HABITACIONAL SAMAMBAIA (VICENTE PIRES)</v>
      </c>
    </row>
    <row r="2451" spans="2:12" x14ac:dyDescent="0.3">
      <c r="B2451" s="1" t="s">
        <v>320</v>
      </c>
      <c r="C2451" s="4" t="str">
        <f>VLOOKUP(Tabela1[[#This Row],[Cliente]],'BASE DE CLIENTES'!A:E,2,0)</f>
        <v>Valparaíso de Goiás</v>
      </c>
      <c r="D2451" s="1" t="str">
        <f>VLOOKUP(Tabela1[[#This Row],[Cliente]],'BASE DE CLIENTES'!A:C,3,0)</f>
        <v>GO</v>
      </c>
      <c r="E2451" s="4" t="str">
        <f>CONCATENATE(Tabela1[[#This Row],[CIDADE]],",",Tabela1[[#This Row],[UF]])</f>
        <v>Valparaíso de Goiás,GO</v>
      </c>
      <c r="F2451" s="2">
        <v>45705</v>
      </c>
      <c r="G2451" s="17">
        <v>136.19999999999999</v>
      </c>
      <c r="H2451" s="17">
        <v>295</v>
      </c>
      <c r="I2451" s="6">
        <f>Tabela1[[#This Row],[Valor total]]-Tabela1[[#This Row],[Valor custo]]</f>
        <v>158.80000000000001</v>
      </c>
      <c r="J2451" s="7">
        <f>Tabela1[[#This Row],[MARGEM BRUTA]]/Tabela1[[#This Row],[Valor total]]</f>
        <v>0.53830508474576277</v>
      </c>
      <c r="K2451" s="1" t="str">
        <f>VLOOKUP(Tabela1[[#This Row],[Cliente]],'BASE DE CLIENTES'!A:D,4,0)</f>
        <v>SERRALHEIRO</v>
      </c>
      <c r="L2451" s="1" t="str">
        <f>VLOOKUP(Tabela1[[#This Row],[Cliente]],'BASE DE CLIENTES'!A:E,5,0)</f>
        <v>Valparaíso de Goiás</v>
      </c>
    </row>
    <row r="2452" spans="2:12" x14ac:dyDescent="0.3">
      <c r="B2452" s="1" t="s">
        <v>322</v>
      </c>
      <c r="C2452" s="4" t="str">
        <f>VLOOKUP(Tabela1[[#This Row],[Cliente]],'BASE DE CLIENTES'!A:E,2,0)</f>
        <v>Brasília</v>
      </c>
      <c r="D2452" s="1" t="str">
        <f>VLOOKUP(Tabela1[[#This Row],[Cliente]],'BASE DE CLIENTES'!A:C,3,0)</f>
        <v>DF</v>
      </c>
      <c r="E2452" s="4" t="str">
        <f>CONCATENATE(Tabela1[[#This Row],[CIDADE]],",",Tabela1[[#This Row],[UF]])</f>
        <v>Brasília,DF</v>
      </c>
      <c r="F2452" s="2">
        <v>45916</v>
      </c>
      <c r="G2452" s="17">
        <v>293.13</v>
      </c>
      <c r="H2452" s="17">
        <v>450</v>
      </c>
      <c r="I2452" s="6">
        <f>Tabela1[[#This Row],[Valor total]]-Tabela1[[#This Row],[Valor custo]]</f>
        <v>156.87</v>
      </c>
      <c r="J2452" s="7">
        <f>Tabela1[[#This Row],[MARGEM BRUTA]]/Tabela1[[#This Row],[Valor total]]</f>
        <v>0.34860000000000002</v>
      </c>
      <c r="K2452" s="1" t="str">
        <f>VLOOKUP(Tabela1[[#This Row],[Cliente]],'BASE DE CLIENTES'!A:D,4,0)</f>
        <v>SERRALHEIRO</v>
      </c>
      <c r="L2452" s="1" t="str">
        <f>VLOOKUP(Tabela1[[#This Row],[Cliente]],'BASE DE CLIENTES'!A:E,5,0)</f>
        <v>RIACHO FUNDO I</v>
      </c>
    </row>
    <row r="2453" spans="2:12" x14ac:dyDescent="0.3">
      <c r="B2453" s="1" t="s">
        <v>320</v>
      </c>
      <c r="C2453" s="4" t="str">
        <f>VLOOKUP(Tabela1[[#This Row],[Cliente]],'BASE DE CLIENTES'!A:E,2,0)</f>
        <v>Valparaíso de Goiás</v>
      </c>
      <c r="D2453" s="1" t="str">
        <f>VLOOKUP(Tabela1[[#This Row],[Cliente]],'BASE DE CLIENTES'!A:C,3,0)</f>
        <v>GO</v>
      </c>
      <c r="E2453" s="4" t="str">
        <f>CONCATENATE(Tabela1[[#This Row],[CIDADE]],",",Tabela1[[#This Row],[UF]])</f>
        <v>Valparaíso de Goiás,GO</v>
      </c>
      <c r="F2453" s="2">
        <v>45702</v>
      </c>
      <c r="G2453" s="17">
        <v>439.2</v>
      </c>
      <c r="H2453" s="17">
        <v>650</v>
      </c>
      <c r="I2453" s="6">
        <f>Tabela1[[#This Row],[Valor total]]-Tabela1[[#This Row],[Valor custo]]</f>
        <v>210.8</v>
      </c>
      <c r="J2453" s="7">
        <f>Tabela1[[#This Row],[MARGEM BRUTA]]/Tabela1[[#This Row],[Valor total]]</f>
        <v>0.32430769230769235</v>
      </c>
      <c r="K2453" s="1" t="str">
        <f>VLOOKUP(Tabela1[[#This Row],[Cliente]],'BASE DE CLIENTES'!A:D,4,0)</f>
        <v>SERRALHEIRO</v>
      </c>
      <c r="L2453" s="1" t="str">
        <f>VLOOKUP(Tabela1[[#This Row],[Cliente]],'BASE DE CLIENTES'!A:E,5,0)</f>
        <v>Valparaíso de Goiás</v>
      </c>
    </row>
    <row r="2454" spans="2:12" x14ac:dyDescent="0.3">
      <c r="B2454" s="1" t="s">
        <v>316</v>
      </c>
      <c r="C2454" s="4" t="str">
        <f>VLOOKUP(Tabela1[[#This Row],[Cliente]],'BASE DE CLIENTES'!A:E,2,0)</f>
        <v>Valparaíso de Goiás</v>
      </c>
      <c r="D2454" s="1" t="str">
        <f>VLOOKUP(Tabela1[[#This Row],[Cliente]],'BASE DE CLIENTES'!A:C,3,0)</f>
        <v>GO</v>
      </c>
      <c r="E2454" s="4" t="str">
        <f>CONCATENATE(Tabela1[[#This Row],[CIDADE]],",",Tabela1[[#This Row],[UF]])</f>
        <v>Valparaíso de Goiás,GO</v>
      </c>
      <c r="F2454" s="2">
        <v>45700</v>
      </c>
      <c r="G2454" s="17">
        <v>1358.67</v>
      </c>
      <c r="H2454" s="17">
        <v>2264.9899999999998</v>
      </c>
      <c r="I2454" s="6">
        <f>Tabela1[[#This Row],[Valor total]]-Tabela1[[#This Row],[Valor custo]]</f>
        <v>906.31999999999971</v>
      </c>
      <c r="J2454" s="7">
        <f>Tabela1[[#This Row],[MARGEM BRUTA]]/Tabela1[[#This Row],[Valor total]]</f>
        <v>0.40014304698916986</v>
      </c>
      <c r="K2454" s="1" t="str">
        <f>VLOOKUP(Tabela1[[#This Row],[Cliente]],'BASE DE CLIENTES'!A:D,4,0)</f>
        <v>SERRALHEIRO</v>
      </c>
      <c r="L2454" s="1" t="str">
        <f>VLOOKUP(Tabela1[[#This Row],[Cliente]],'BASE DE CLIENTES'!A:E,5,0)</f>
        <v>Valparaíso de Goiás</v>
      </c>
    </row>
    <row r="2455" spans="2:12" x14ac:dyDescent="0.3">
      <c r="B2455" s="1" t="s">
        <v>96</v>
      </c>
      <c r="C2455" s="4" t="str">
        <f>VLOOKUP(Tabela1[[#This Row],[Cliente]],'BASE DE CLIENTES'!A:E,2,0)</f>
        <v>Brasília</v>
      </c>
      <c r="D2455" s="1" t="str">
        <f>VLOOKUP(Tabela1[[#This Row],[Cliente]],'BASE DE CLIENTES'!A:C,3,0)</f>
        <v>DF</v>
      </c>
      <c r="E2455" s="4" t="str">
        <f>CONCATENATE(Tabela1[[#This Row],[CIDADE]],",",Tabela1[[#This Row],[UF]])</f>
        <v>Brasília,DF</v>
      </c>
      <c r="F2455" s="2">
        <v>45916</v>
      </c>
      <c r="G2455" s="17">
        <v>293.13</v>
      </c>
      <c r="H2455" s="17">
        <v>350</v>
      </c>
      <c r="I2455" s="6">
        <f>Tabela1[[#This Row],[Valor total]]-Tabela1[[#This Row],[Valor custo]]</f>
        <v>56.870000000000005</v>
      </c>
      <c r="J2455" s="7">
        <f>Tabela1[[#This Row],[MARGEM BRUTA]]/Tabela1[[#This Row],[Valor total]]</f>
        <v>0.16248571428571429</v>
      </c>
      <c r="K2455" s="1" t="str">
        <f>VLOOKUP(Tabela1[[#This Row],[Cliente]],'BASE DE CLIENTES'!A:D,4,0)</f>
        <v>EMPRESA SEM MAQUINA</v>
      </c>
      <c r="L2455" s="1" t="str">
        <f>VLOOKUP(Tabela1[[#This Row],[Cliente]],'BASE DE CLIENTES'!A:E,5,0)</f>
        <v>CEILANDIA NORTE (CEILANDIA)</v>
      </c>
    </row>
    <row r="2456" spans="2:12" x14ac:dyDescent="0.3">
      <c r="B2456" s="1" t="s">
        <v>107</v>
      </c>
      <c r="C2456" s="4" t="str">
        <f>VLOOKUP(Tabela1[[#This Row],[Cliente]],'BASE DE CLIENTES'!A:E,2,0)</f>
        <v>Planaltina</v>
      </c>
      <c r="D2456" s="1" t="str">
        <f>VLOOKUP(Tabela1[[#This Row],[Cliente]],'BASE DE CLIENTES'!A:C,3,0)</f>
        <v>DF</v>
      </c>
      <c r="E2456" s="4" t="str">
        <f>CONCATENATE(Tabela1[[#This Row],[CIDADE]],",",Tabela1[[#This Row],[UF]])</f>
        <v>Planaltina,DF</v>
      </c>
      <c r="F2456" s="2">
        <v>45916</v>
      </c>
      <c r="G2456" s="17">
        <v>1630.18</v>
      </c>
      <c r="H2456" s="17">
        <v>2500</v>
      </c>
      <c r="I2456" s="6">
        <f>Tabela1[[#This Row],[Valor total]]-Tabela1[[#This Row],[Valor custo]]</f>
        <v>869.81999999999994</v>
      </c>
      <c r="J2456" s="7">
        <f>Tabela1[[#This Row],[MARGEM BRUTA]]/Tabela1[[#This Row],[Valor total]]</f>
        <v>0.34792799999999996</v>
      </c>
      <c r="K2456" s="1" t="str">
        <f>VLOOKUP(Tabela1[[#This Row],[Cliente]],'BASE DE CLIENTES'!A:D,4,0)</f>
        <v>EMPRESA COM MAQUINA</v>
      </c>
      <c r="L2456" s="1" t="str">
        <f>VLOOKUP(Tabela1[[#This Row],[Cliente]],'BASE DE CLIENTES'!A:E,5,0)</f>
        <v>SETOR LESTE</v>
      </c>
    </row>
    <row r="2457" spans="2:12" x14ac:dyDescent="0.3">
      <c r="B2457" s="1" t="s">
        <v>70</v>
      </c>
      <c r="C2457" s="4" t="str">
        <f>VLOOKUP(Tabela1[[#This Row],[Cliente]],'BASE DE CLIENTES'!A:E,2,0)</f>
        <v>Brasília</v>
      </c>
      <c r="D2457" s="1" t="str">
        <f>VLOOKUP(Tabela1[[#This Row],[Cliente]],'BASE DE CLIENTES'!A:C,3,0)</f>
        <v>DF</v>
      </c>
      <c r="E2457" s="4" t="str">
        <f>CONCATENATE(Tabela1[[#This Row],[CIDADE]],",",Tabela1[[#This Row],[UF]])</f>
        <v>Brasília,DF</v>
      </c>
      <c r="F2457" s="2">
        <v>45916</v>
      </c>
      <c r="G2457" s="17">
        <v>65</v>
      </c>
      <c r="H2457" s="17">
        <v>100</v>
      </c>
      <c r="I2457" s="6">
        <f>Tabela1[[#This Row],[Valor total]]-Tabela1[[#This Row],[Valor custo]]</f>
        <v>35</v>
      </c>
      <c r="J2457" s="7">
        <f>Tabela1[[#This Row],[MARGEM BRUTA]]/Tabela1[[#This Row],[Valor total]]</f>
        <v>0.35</v>
      </c>
      <c r="K2457" s="1" t="str">
        <f>VLOOKUP(Tabela1[[#This Row],[Cliente]],'BASE DE CLIENTES'!A:D,4,0)</f>
        <v>EMPRESA COM MAQUINA</v>
      </c>
      <c r="L2457" s="1" t="str">
        <f>VLOOKUP(Tabela1[[#This Row],[Cliente]],'BASE DE CLIENTES'!A:E,5,0)</f>
        <v>TAGUATINGA NORTE (TAGUATINGA)</v>
      </c>
    </row>
    <row r="2458" spans="2:12" x14ac:dyDescent="0.3">
      <c r="B2458" s="1" t="s">
        <v>297</v>
      </c>
      <c r="C2458" s="4" t="str">
        <f>VLOOKUP(Tabela1[[#This Row],[Cliente]],'BASE DE CLIENTES'!A:E,2,0)</f>
        <v>Brasília</v>
      </c>
      <c r="D2458" s="1" t="str">
        <f>VLOOKUP(Tabela1[[#This Row],[Cliente]],'BASE DE CLIENTES'!A:C,3,0)</f>
        <v>DF</v>
      </c>
      <c r="E2458" s="4" t="str">
        <f>CONCATENATE(Tabela1[[#This Row],[CIDADE]],",",Tabela1[[#This Row],[UF]])</f>
        <v>Brasília,DF</v>
      </c>
      <c r="F2458" s="2">
        <v>45756</v>
      </c>
      <c r="G2458" s="17">
        <v>122.74</v>
      </c>
      <c r="H2458" s="17">
        <v>170</v>
      </c>
      <c r="I2458" s="6">
        <f>Tabela1[[#This Row],[Valor total]]-Tabela1[[#This Row],[Valor custo]]</f>
        <v>47.260000000000005</v>
      </c>
      <c r="J2458" s="7">
        <f>Tabela1[[#This Row],[MARGEM BRUTA]]/Tabela1[[#This Row],[Valor total]]</f>
        <v>0.27800000000000002</v>
      </c>
      <c r="K2458" s="1" t="str">
        <f>VLOOKUP(Tabela1[[#This Row],[Cliente]],'BASE DE CLIENTES'!A:D,4,0)</f>
        <v>SERRALHEIRO</v>
      </c>
      <c r="L2458" s="1" t="str">
        <f>VLOOKUP(Tabela1[[#This Row],[Cliente]],'BASE DE CLIENTES'!A:E,5,0)</f>
        <v>NA</v>
      </c>
    </row>
    <row r="2459" spans="2:12" x14ac:dyDescent="0.3">
      <c r="B2459" s="1" t="s">
        <v>68</v>
      </c>
      <c r="C2459" s="4" t="str">
        <f>VLOOKUP(Tabela1[[#This Row],[Cliente]],'BASE DE CLIENTES'!A:E,2,0)</f>
        <v>Brasília</v>
      </c>
      <c r="D2459" s="1" t="str">
        <f>VLOOKUP(Tabela1[[#This Row],[Cliente]],'BASE DE CLIENTES'!A:C,3,0)</f>
        <v>DF</v>
      </c>
      <c r="E2459" s="4" t="str">
        <f>CONCATENATE(Tabela1[[#This Row],[CIDADE]],",",Tabela1[[#This Row],[UF]])</f>
        <v>Brasília,DF</v>
      </c>
      <c r="F2459" s="2">
        <v>45916</v>
      </c>
      <c r="G2459" s="17">
        <v>12482.85</v>
      </c>
      <c r="H2459" s="17">
        <v>20400</v>
      </c>
      <c r="I2459" s="6">
        <f>Tabela1[[#This Row],[Valor total]]-Tabela1[[#This Row],[Valor custo]]</f>
        <v>7917.15</v>
      </c>
      <c r="J2459" s="7">
        <f>Tabela1[[#This Row],[MARGEM BRUTA]]/Tabela1[[#This Row],[Valor total]]</f>
        <v>0.38809558823529411</v>
      </c>
      <c r="K2459" s="1" t="str">
        <f>VLOOKUP(Tabela1[[#This Row],[Cliente]],'BASE DE CLIENTES'!A:D,4,0)</f>
        <v>EMPRESA COM MAQUINA</v>
      </c>
      <c r="L2459" s="1" t="str">
        <f>VLOOKUP(Tabela1[[#This Row],[Cliente]],'BASE DE CLIENTES'!A:E,5,0)</f>
        <v>SAMAMBAIA SUL (SAMAMBAIA)</v>
      </c>
    </row>
    <row r="2460" spans="2:12" x14ac:dyDescent="0.3">
      <c r="B2460" s="1" t="s">
        <v>230</v>
      </c>
      <c r="C2460" s="4" t="str">
        <f>VLOOKUP(Tabela1[[#This Row],[Cliente]],'BASE DE CLIENTES'!A:E,2,0)</f>
        <v>Brasília</v>
      </c>
      <c r="D2460" s="1" t="str">
        <f>VLOOKUP(Tabela1[[#This Row],[Cliente]],'BASE DE CLIENTES'!A:C,3,0)</f>
        <v>DF</v>
      </c>
      <c r="E2460" s="4" t="str">
        <f>CONCATENATE(Tabela1[[#This Row],[CIDADE]],",",Tabela1[[#This Row],[UF]])</f>
        <v>Brasília,DF</v>
      </c>
      <c r="F2460" s="2">
        <v>45916</v>
      </c>
      <c r="G2460" s="17">
        <v>1048</v>
      </c>
      <c r="H2460" s="17">
        <v>1900</v>
      </c>
      <c r="I2460" s="6">
        <f>Tabela1[[#This Row],[Valor total]]-Tabela1[[#This Row],[Valor custo]]</f>
        <v>852</v>
      </c>
      <c r="J2460" s="7">
        <f>Tabela1[[#This Row],[MARGEM BRUTA]]/Tabela1[[#This Row],[Valor total]]</f>
        <v>0.44842105263157894</v>
      </c>
      <c r="K2460" s="1" t="str">
        <f>VLOOKUP(Tabela1[[#This Row],[Cliente]],'BASE DE CLIENTES'!A:D,4,0)</f>
        <v>SERRALHEIRO</v>
      </c>
      <c r="L2460" s="1" t="str">
        <f>VLOOKUP(Tabela1[[#This Row],[Cliente]],'BASE DE CLIENTES'!A:E,5,0)</f>
        <v>SETOR HABITACIONAL SAMAMBAIA (VICENTE PIRES)</v>
      </c>
    </row>
    <row r="2461" spans="2:12" x14ac:dyDescent="0.3">
      <c r="B2461" s="1" t="s">
        <v>102</v>
      </c>
      <c r="C2461" s="4" t="str">
        <f>VLOOKUP(Tabela1[[#This Row],[Cliente]],'BASE DE CLIENTES'!A:E,2,0)</f>
        <v>Brasília</v>
      </c>
      <c r="D2461" s="1" t="str">
        <f>VLOOKUP(Tabela1[[#This Row],[Cliente]],'BASE DE CLIENTES'!A:C,3,0)</f>
        <v>DF</v>
      </c>
      <c r="E2461" s="4" t="str">
        <f>CONCATENATE(Tabela1[[#This Row],[CIDADE]],",",Tabela1[[#This Row],[UF]])</f>
        <v>Brasília,DF</v>
      </c>
      <c r="F2461" s="2">
        <v>45916</v>
      </c>
      <c r="G2461" s="17">
        <v>7.21</v>
      </c>
      <c r="H2461" s="17">
        <v>40</v>
      </c>
      <c r="I2461" s="6">
        <f>Tabela1[[#This Row],[Valor total]]-Tabela1[[#This Row],[Valor custo]]</f>
        <v>32.79</v>
      </c>
      <c r="J2461" s="7">
        <f>Tabela1[[#This Row],[MARGEM BRUTA]]/Tabela1[[#This Row],[Valor total]]</f>
        <v>0.81974999999999998</v>
      </c>
      <c r="K2461" s="1" t="str">
        <f>VLOOKUP(Tabela1[[#This Row],[Cliente]],'BASE DE CLIENTES'!A:D,4,0)</f>
        <v>SERRALHEIRO</v>
      </c>
      <c r="L2461" s="1" t="str">
        <f>VLOOKUP(Tabela1[[#This Row],[Cliente]],'BASE DE CLIENTES'!A:E,5,0)</f>
        <v>Samambaia Norte (Samambaia)</v>
      </c>
    </row>
    <row r="2462" spans="2:12" x14ac:dyDescent="0.3">
      <c r="B2462" s="1" t="s">
        <v>108</v>
      </c>
      <c r="C2462" s="4" t="str">
        <f>VLOOKUP(Tabela1[[#This Row],[Cliente]],'BASE DE CLIENTES'!A:E,2,0)</f>
        <v>Brasília</v>
      </c>
      <c r="D2462" s="1" t="str">
        <f>VLOOKUP(Tabela1[[#This Row],[Cliente]],'BASE DE CLIENTES'!A:C,3,0)</f>
        <v>DF</v>
      </c>
      <c r="E2462" s="4" t="str">
        <f>CONCATENATE(Tabela1[[#This Row],[CIDADE]],",",Tabela1[[#This Row],[UF]])</f>
        <v>Brasília,DF</v>
      </c>
      <c r="F2462" s="2">
        <v>45916</v>
      </c>
      <c r="G2462" s="17">
        <v>295.24</v>
      </c>
      <c r="H2462" s="17">
        <v>570</v>
      </c>
      <c r="I2462" s="6">
        <f>Tabela1[[#This Row],[Valor total]]-Tabela1[[#This Row],[Valor custo]]</f>
        <v>274.76</v>
      </c>
      <c r="J2462" s="7">
        <f>Tabela1[[#This Row],[MARGEM BRUTA]]/Tabela1[[#This Row],[Valor total]]</f>
        <v>0.48203508771929821</v>
      </c>
      <c r="K2462" s="1" t="str">
        <f>VLOOKUP(Tabela1[[#This Row],[Cliente]],'BASE DE CLIENTES'!A:D,4,0)</f>
        <v>SERRALHEIRO</v>
      </c>
      <c r="L2462" s="1" t="str">
        <f>VLOOKUP(Tabela1[[#This Row],[Cliente]],'BASE DE CLIENTES'!A:E,5,0)</f>
        <v>Vila Planalto</v>
      </c>
    </row>
    <row r="2463" spans="2:12" x14ac:dyDescent="0.3">
      <c r="B2463" s="1" t="s">
        <v>102</v>
      </c>
      <c r="C2463" s="4" t="str">
        <f>VLOOKUP(Tabela1[[#This Row],[Cliente]],'BASE DE CLIENTES'!A:E,2,0)</f>
        <v>Brasília</v>
      </c>
      <c r="D2463" s="1" t="str">
        <f>VLOOKUP(Tabela1[[#This Row],[Cliente]],'BASE DE CLIENTES'!A:C,3,0)</f>
        <v>DF</v>
      </c>
      <c r="E2463" s="4" t="str">
        <f>CONCATENATE(Tabela1[[#This Row],[CIDADE]],",",Tabela1[[#This Row],[UF]])</f>
        <v>Brasília,DF</v>
      </c>
      <c r="F2463" s="2">
        <v>45916</v>
      </c>
      <c r="G2463" s="17">
        <v>7.21</v>
      </c>
      <c r="H2463" s="17">
        <v>40</v>
      </c>
      <c r="I2463" s="6">
        <f>Tabela1[[#This Row],[Valor total]]-Tabela1[[#This Row],[Valor custo]]</f>
        <v>32.79</v>
      </c>
      <c r="J2463" s="7">
        <f>Tabela1[[#This Row],[MARGEM BRUTA]]/Tabela1[[#This Row],[Valor total]]</f>
        <v>0.81974999999999998</v>
      </c>
      <c r="K2463" s="1" t="str">
        <f>VLOOKUP(Tabela1[[#This Row],[Cliente]],'BASE DE CLIENTES'!A:D,4,0)</f>
        <v>SERRALHEIRO</v>
      </c>
      <c r="L2463" s="1" t="str">
        <f>VLOOKUP(Tabela1[[#This Row],[Cliente]],'BASE DE CLIENTES'!A:E,5,0)</f>
        <v>Samambaia Norte (Samambaia)</v>
      </c>
    </row>
    <row r="2464" spans="2:12" x14ac:dyDescent="0.3">
      <c r="B2464" s="1" t="s">
        <v>319</v>
      </c>
      <c r="C2464" s="4" t="str">
        <f>VLOOKUP(Tabela1[[#This Row],[Cliente]],'BASE DE CLIENTES'!A:E,2,0)</f>
        <v>Valparaíso de Goiás</v>
      </c>
      <c r="D2464" s="1" t="str">
        <f>VLOOKUP(Tabela1[[#This Row],[Cliente]],'BASE DE CLIENTES'!A:C,3,0)</f>
        <v>GO</v>
      </c>
      <c r="E2464" s="4" t="str">
        <f>CONCATENATE(Tabela1[[#This Row],[CIDADE]],",",Tabela1[[#This Row],[UF]])</f>
        <v>Valparaíso de Goiás,GO</v>
      </c>
      <c r="F2464" s="2">
        <v>45699</v>
      </c>
      <c r="G2464" s="17">
        <v>268.45999999999998</v>
      </c>
      <c r="H2464" s="17">
        <v>550</v>
      </c>
      <c r="I2464" s="6">
        <f>Tabela1[[#This Row],[Valor total]]-Tabela1[[#This Row],[Valor custo]]</f>
        <v>281.54000000000002</v>
      </c>
      <c r="J2464" s="7">
        <f>Tabela1[[#This Row],[MARGEM BRUTA]]/Tabela1[[#This Row],[Valor total]]</f>
        <v>0.51189090909090917</v>
      </c>
      <c r="K2464" s="1" t="str">
        <f>VLOOKUP(Tabela1[[#This Row],[Cliente]],'BASE DE CLIENTES'!A:D,4,0)</f>
        <v>EMPRESA COM MAQUINA</v>
      </c>
      <c r="L2464" s="1" t="str">
        <f>VLOOKUP(Tabela1[[#This Row],[Cliente]],'BASE DE CLIENTES'!A:E,5,0)</f>
        <v>Valparaíso de Goiás</v>
      </c>
    </row>
    <row r="2465" spans="2:12" x14ac:dyDescent="0.3">
      <c r="B2465" s="1" t="s">
        <v>320</v>
      </c>
      <c r="C2465" s="4" t="str">
        <f>VLOOKUP(Tabela1[[#This Row],[Cliente]],'BASE DE CLIENTES'!A:E,2,0)</f>
        <v>Valparaíso de Goiás</v>
      </c>
      <c r="D2465" s="1" t="str">
        <f>VLOOKUP(Tabela1[[#This Row],[Cliente]],'BASE DE CLIENTES'!A:C,3,0)</f>
        <v>GO</v>
      </c>
      <c r="E2465" s="4" t="str">
        <f>CONCATENATE(Tabela1[[#This Row],[CIDADE]],",",Tabela1[[#This Row],[UF]])</f>
        <v>Valparaíso de Goiás,GO</v>
      </c>
      <c r="F2465" s="2">
        <v>45695</v>
      </c>
      <c r="G2465" s="17">
        <v>30.38</v>
      </c>
      <c r="H2465" s="17">
        <v>260</v>
      </c>
      <c r="I2465" s="6">
        <f>Tabela1[[#This Row],[Valor total]]-Tabela1[[#This Row],[Valor custo]]</f>
        <v>229.62</v>
      </c>
      <c r="J2465" s="7">
        <f>Tabela1[[#This Row],[MARGEM BRUTA]]/Tabela1[[#This Row],[Valor total]]</f>
        <v>0.88315384615384618</v>
      </c>
      <c r="K2465" s="1" t="str">
        <f>VLOOKUP(Tabela1[[#This Row],[Cliente]],'BASE DE CLIENTES'!A:D,4,0)</f>
        <v>SERRALHEIRO</v>
      </c>
      <c r="L2465" s="1" t="str">
        <f>VLOOKUP(Tabela1[[#This Row],[Cliente]],'BASE DE CLIENTES'!A:E,5,0)</f>
        <v>Valparaíso de Goiás</v>
      </c>
    </row>
    <row r="2466" spans="2:12" x14ac:dyDescent="0.3">
      <c r="B2466" s="1" t="s">
        <v>316</v>
      </c>
      <c r="C2466" s="4" t="str">
        <f>VLOOKUP(Tabela1[[#This Row],[Cliente]],'BASE DE CLIENTES'!A:E,2,0)</f>
        <v>Valparaíso de Goiás</v>
      </c>
      <c r="D2466" s="1" t="str">
        <f>VLOOKUP(Tabela1[[#This Row],[Cliente]],'BASE DE CLIENTES'!A:C,3,0)</f>
        <v>GO</v>
      </c>
      <c r="E2466" s="4" t="str">
        <f>CONCATENATE(Tabela1[[#This Row],[CIDADE]],",",Tabela1[[#This Row],[UF]])</f>
        <v>Valparaíso de Goiás,GO</v>
      </c>
      <c r="F2466" s="2">
        <v>45691</v>
      </c>
      <c r="G2466" s="17">
        <v>1494.51</v>
      </c>
      <c r="H2466" s="17">
        <v>2332</v>
      </c>
      <c r="I2466" s="6">
        <f>Tabela1[[#This Row],[Valor total]]-Tabela1[[#This Row],[Valor custo]]</f>
        <v>837.49</v>
      </c>
      <c r="J2466" s="7">
        <f>Tabela1[[#This Row],[MARGEM BRUTA]]/Tabela1[[#This Row],[Valor total]]</f>
        <v>0.35912950257289883</v>
      </c>
      <c r="K2466" s="1" t="str">
        <f>VLOOKUP(Tabela1[[#This Row],[Cliente]],'BASE DE CLIENTES'!A:D,4,0)</f>
        <v>SERRALHEIRO</v>
      </c>
      <c r="L2466" s="1" t="str">
        <f>VLOOKUP(Tabela1[[#This Row],[Cliente]],'BASE DE CLIENTES'!A:E,5,0)</f>
        <v>Valparaíso de Goiás</v>
      </c>
    </row>
    <row r="2467" spans="2:12" x14ac:dyDescent="0.3">
      <c r="B2467" s="1" t="s">
        <v>127</v>
      </c>
      <c r="C2467" s="4" t="str">
        <f>VLOOKUP(Tabela1[[#This Row],[Cliente]],'BASE DE CLIENTES'!A:E,2,0)</f>
        <v>Brasília</v>
      </c>
      <c r="D2467" s="1" t="str">
        <f>VLOOKUP(Tabela1[[#This Row],[Cliente]],'BASE DE CLIENTES'!A:C,3,0)</f>
        <v>DF</v>
      </c>
      <c r="E2467" s="4" t="str">
        <f>CONCATENATE(Tabela1[[#This Row],[CIDADE]],",",Tabela1[[#This Row],[UF]])</f>
        <v>Brasília,DF</v>
      </c>
      <c r="F2467" s="2">
        <v>45916</v>
      </c>
      <c r="G2467" s="17">
        <v>664</v>
      </c>
      <c r="H2467" s="17">
        <v>1300</v>
      </c>
      <c r="I2467" s="6">
        <f>Tabela1[[#This Row],[Valor total]]-Tabela1[[#This Row],[Valor custo]]</f>
        <v>636</v>
      </c>
      <c r="J2467" s="7">
        <f>Tabela1[[#This Row],[MARGEM BRUTA]]/Tabela1[[#This Row],[Valor total]]</f>
        <v>0.48923076923076925</v>
      </c>
      <c r="K2467" s="1" t="str">
        <f>VLOOKUP(Tabela1[[#This Row],[Cliente]],'BASE DE CLIENTES'!A:D,4,0)</f>
        <v>EMPRESA COM MAQUINA</v>
      </c>
      <c r="L2467" s="1" t="str">
        <f>VLOOKUP(Tabela1[[#This Row],[Cliente]],'BASE DE CLIENTES'!A:E,5,0)</f>
        <v>CEILANDIA SUL (CEILANDIA)</v>
      </c>
    </row>
    <row r="2468" spans="2:12" x14ac:dyDescent="0.3">
      <c r="B2468" s="1" t="s">
        <v>55</v>
      </c>
      <c r="C2468" s="4" t="str">
        <f>VLOOKUP(Tabela1[[#This Row],[Cliente]],'BASE DE CLIENTES'!A:E,2,0)</f>
        <v>Brasília</v>
      </c>
      <c r="D2468" s="1" t="str">
        <f>VLOOKUP(Tabela1[[#This Row],[Cliente]],'BASE DE CLIENTES'!A:C,3,0)</f>
        <v>DF</v>
      </c>
      <c r="E2468" s="4" t="str">
        <f>CONCATENATE(Tabela1[[#This Row],[CIDADE]],",",Tabela1[[#This Row],[UF]])</f>
        <v>Brasília,DF</v>
      </c>
      <c r="F2468" s="2">
        <v>45916</v>
      </c>
      <c r="G2468" s="17">
        <v>477</v>
      </c>
      <c r="H2468" s="17">
        <v>840</v>
      </c>
      <c r="I2468" s="6">
        <f>Tabela1[[#This Row],[Valor total]]-Tabela1[[#This Row],[Valor custo]]</f>
        <v>363</v>
      </c>
      <c r="J2468" s="7">
        <f>Tabela1[[#This Row],[MARGEM BRUTA]]/Tabela1[[#This Row],[Valor total]]</f>
        <v>0.43214285714285716</v>
      </c>
      <c r="K2468" s="1" t="str">
        <f>VLOOKUP(Tabela1[[#This Row],[Cliente]],'BASE DE CLIENTES'!A:D,4,0)</f>
        <v>EMPRESA SEM MAQUINA</v>
      </c>
      <c r="L2468" s="1" t="str">
        <f>VLOOKUP(Tabela1[[#This Row],[Cliente]],'BASE DE CLIENTES'!A:E,5,0)</f>
        <v>RECANTO DAS EMAS</v>
      </c>
    </row>
    <row r="2469" spans="2:12" x14ac:dyDescent="0.3">
      <c r="B2469" s="1" t="s">
        <v>106</v>
      </c>
      <c r="C2469" s="4" t="str">
        <f>VLOOKUP(Tabela1[[#This Row],[Cliente]],'BASE DE CLIENTES'!A:E,2,0)</f>
        <v>Brasília</v>
      </c>
      <c r="D2469" s="1" t="str">
        <f>VLOOKUP(Tabela1[[#This Row],[Cliente]],'BASE DE CLIENTES'!A:C,3,0)</f>
        <v>DF</v>
      </c>
      <c r="E2469" s="4" t="str">
        <f>CONCATENATE(Tabela1[[#This Row],[CIDADE]],",",Tabela1[[#This Row],[UF]])</f>
        <v>Brasília,DF</v>
      </c>
      <c r="F2469" s="2">
        <v>45916</v>
      </c>
      <c r="G2469" s="17">
        <v>1601.9</v>
      </c>
      <c r="H2469" s="17">
        <v>2550</v>
      </c>
      <c r="I2469" s="6">
        <f>Tabela1[[#This Row],[Valor total]]-Tabela1[[#This Row],[Valor custo]]</f>
        <v>948.09999999999991</v>
      </c>
      <c r="J2469" s="7">
        <f>Tabela1[[#This Row],[MARGEM BRUTA]]/Tabela1[[#This Row],[Valor total]]</f>
        <v>0.3718039215686274</v>
      </c>
      <c r="K2469" s="1" t="str">
        <f>VLOOKUP(Tabela1[[#This Row],[Cliente]],'BASE DE CLIENTES'!A:D,4,0)</f>
        <v>EMPRESA COM MAQUINA</v>
      </c>
      <c r="L2469" s="1" t="str">
        <f>VLOOKUP(Tabela1[[#This Row],[Cliente]],'BASE DE CLIENTES'!A:E,5,0)</f>
        <v>26 DE SETEMBRO</v>
      </c>
    </row>
    <row r="2470" spans="2:12" x14ac:dyDescent="0.3">
      <c r="B2470" s="1" t="s">
        <v>267</v>
      </c>
      <c r="C2470" s="4" t="str">
        <f>VLOOKUP(Tabela1[[#This Row],[Cliente]],'BASE DE CLIENTES'!A:E,2,0)</f>
        <v>Brasília</v>
      </c>
      <c r="D2470" s="1" t="str">
        <f>VLOOKUP(Tabela1[[#This Row],[Cliente]],'BASE DE CLIENTES'!A:C,3,0)</f>
        <v>DF</v>
      </c>
      <c r="E2470" s="4" t="str">
        <f>CONCATENATE(Tabela1[[#This Row],[CIDADE]],",",Tabela1[[#This Row],[UF]])</f>
        <v>Brasília,DF</v>
      </c>
      <c r="F2470" s="2">
        <v>45917</v>
      </c>
      <c r="G2470" s="17">
        <v>45.6</v>
      </c>
      <c r="H2470" s="17">
        <v>70</v>
      </c>
      <c r="I2470" s="6">
        <f>Tabela1[[#This Row],[Valor total]]-Tabela1[[#This Row],[Valor custo]]</f>
        <v>24.4</v>
      </c>
      <c r="J2470" s="7">
        <f>Tabela1[[#This Row],[MARGEM BRUTA]]/Tabela1[[#This Row],[Valor total]]</f>
        <v>0.34857142857142853</v>
      </c>
      <c r="K2470" s="1" t="str">
        <f>VLOOKUP(Tabela1[[#This Row],[Cliente]],'BASE DE CLIENTES'!A:D,4,0)</f>
        <v>SEM CLASSIFICAÇÃO</v>
      </c>
      <c r="L2470" s="1" t="str">
        <f>VLOOKUP(Tabela1[[#This Row],[Cliente]],'BASE DE CLIENTES'!A:E,5,0)</f>
        <v>TAGUATINGA NORTE</v>
      </c>
    </row>
    <row r="2471" spans="2:12" x14ac:dyDescent="0.3">
      <c r="B2471" s="1" t="s">
        <v>99</v>
      </c>
      <c r="C2471" s="4" t="str">
        <f>VLOOKUP(Tabela1[[#This Row],[Cliente]],'BASE DE CLIENTES'!A:E,2,0)</f>
        <v>Brasília</v>
      </c>
      <c r="D2471" s="1" t="str">
        <f>VLOOKUP(Tabela1[[#This Row],[Cliente]],'BASE DE CLIENTES'!A:C,3,0)</f>
        <v>DF</v>
      </c>
      <c r="E2471" s="4" t="str">
        <f>CONCATENATE(Tabela1[[#This Row],[CIDADE]],",",Tabela1[[#This Row],[UF]])</f>
        <v>Brasília,DF</v>
      </c>
      <c r="F2471" s="2">
        <v>45916</v>
      </c>
      <c r="G2471" s="17">
        <v>4983.57</v>
      </c>
      <c r="H2471" s="17">
        <v>7685</v>
      </c>
      <c r="I2471" s="6">
        <f>Tabela1[[#This Row],[Valor total]]-Tabela1[[#This Row],[Valor custo]]</f>
        <v>2701.4300000000003</v>
      </c>
      <c r="J2471" s="7">
        <f>Tabela1[[#This Row],[MARGEM BRUTA]]/Tabela1[[#This Row],[Valor total]]</f>
        <v>0.35151984385165913</v>
      </c>
      <c r="K2471" s="1" t="str">
        <f>VLOOKUP(Tabela1[[#This Row],[Cliente]],'BASE DE CLIENTES'!A:D,4,0)</f>
        <v>EMPRESA COM MAQUINA</v>
      </c>
      <c r="L2471" s="1" t="str">
        <f>VLOOKUP(Tabela1[[#This Row],[Cliente]],'BASE DE CLIENTES'!A:E,5,0)</f>
        <v>ARAPOANGA (PLANALTINA)</v>
      </c>
    </row>
    <row r="2472" spans="2:12" x14ac:dyDescent="0.3">
      <c r="B2472" s="1" t="s">
        <v>297</v>
      </c>
      <c r="C2472" s="4" t="str">
        <f>VLOOKUP(Tabela1[[#This Row],[Cliente]],'BASE DE CLIENTES'!A:E,2,0)</f>
        <v>Brasília</v>
      </c>
      <c r="D2472" s="1" t="str">
        <f>VLOOKUP(Tabela1[[#This Row],[Cliente]],'BASE DE CLIENTES'!A:C,3,0)</f>
        <v>DF</v>
      </c>
      <c r="E2472" s="4" t="str">
        <f>CONCATENATE(Tabela1[[#This Row],[CIDADE]],",",Tabela1[[#This Row],[UF]])</f>
        <v>Brasília,DF</v>
      </c>
      <c r="F2472" s="2">
        <v>45749</v>
      </c>
      <c r="G2472" s="17">
        <v>946</v>
      </c>
      <c r="H2472" s="17">
        <v>1440</v>
      </c>
      <c r="I2472" s="6">
        <f>Tabela1[[#This Row],[Valor total]]-Tabela1[[#This Row],[Valor custo]]</f>
        <v>494</v>
      </c>
      <c r="J2472" s="7">
        <f>Tabela1[[#This Row],[MARGEM BRUTA]]/Tabela1[[#This Row],[Valor total]]</f>
        <v>0.34305555555555556</v>
      </c>
      <c r="K2472" s="1" t="str">
        <f>VLOOKUP(Tabela1[[#This Row],[Cliente]],'BASE DE CLIENTES'!A:D,4,0)</f>
        <v>SERRALHEIRO</v>
      </c>
      <c r="L2472" s="1" t="str">
        <f>VLOOKUP(Tabela1[[#This Row],[Cliente]],'BASE DE CLIENTES'!A:E,5,0)</f>
        <v>NA</v>
      </c>
    </row>
    <row r="2473" spans="2:12" x14ac:dyDescent="0.3">
      <c r="B2473" s="1" t="s">
        <v>323</v>
      </c>
      <c r="C2473" s="4" t="str">
        <f>VLOOKUP(Tabela1[[#This Row],[Cliente]],'BASE DE CLIENTES'!A:E,2,0)</f>
        <v>Brasília</v>
      </c>
      <c r="D2473" s="1" t="str">
        <f>VLOOKUP(Tabela1[[#This Row],[Cliente]],'BASE DE CLIENTES'!A:C,3,0)</f>
        <v>DF</v>
      </c>
      <c r="E2473" s="4" t="str">
        <f>CONCATENATE(Tabela1[[#This Row],[CIDADE]],",",Tabela1[[#This Row],[UF]])</f>
        <v>Brasília,DF</v>
      </c>
      <c r="F2473" s="2">
        <v>45714</v>
      </c>
      <c r="G2473" s="17">
        <v>24</v>
      </c>
      <c r="H2473" s="17">
        <v>40</v>
      </c>
      <c r="I2473" s="6">
        <f>Tabela1[[#This Row],[Valor total]]-Tabela1[[#This Row],[Valor custo]]</f>
        <v>16</v>
      </c>
      <c r="J2473" s="7">
        <f>Tabela1[[#This Row],[MARGEM BRUTA]]/Tabela1[[#This Row],[Valor total]]</f>
        <v>0.4</v>
      </c>
      <c r="K2473" s="1" t="str">
        <f>VLOOKUP(Tabela1[[#This Row],[Cliente]],'BASE DE CLIENTES'!A:D,4,0)</f>
        <v>SEM CLASSIFICAÇÃO</v>
      </c>
      <c r="L2473" s="1" t="str">
        <f>VLOOKUP(Tabela1[[#This Row],[Cliente]],'BASE DE CLIENTES'!A:E,5,0)</f>
        <v>Samambaia Norte (Samambaia)</v>
      </c>
    </row>
    <row r="2474" spans="2:12" x14ac:dyDescent="0.3">
      <c r="B2474" s="1" t="s">
        <v>42</v>
      </c>
      <c r="C2474" s="4" t="str">
        <f>VLOOKUP(Tabela1[[#This Row],[Cliente]],'BASE DE CLIENTES'!A:E,2,0)</f>
        <v>Brasília</v>
      </c>
      <c r="D2474" s="1" t="str">
        <f>VLOOKUP(Tabela1[[#This Row],[Cliente]],'BASE DE CLIENTES'!A:C,3,0)</f>
        <v>DF</v>
      </c>
      <c r="E2474" s="4" t="str">
        <f>CONCATENATE(Tabela1[[#This Row],[CIDADE]],",",Tabela1[[#This Row],[UF]])</f>
        <v>Brasília,DF</v>
      </c>
      <c r="F2474" s="2">
        <v>45915</v>
      </c>
      <c r="G2474" s="17">
        <v>122.74</v>
      </c>
      <c r="H2474" s="17">
        <v>170</v>
      </c>
      <c r="I2474" s="6">
        <f>Tabela1[[#This Row],[Valor total]]-Tabela1[[#This Row],[Valor custo]]</f>
        <v>47.260000000000005</v>
      </c>
      <c r="J2474" s="7">
        <f>Tabela1[[#This Row],[MARGEM BRUTA]]/Tabela1[[#This Row],[Valor total]]</f>
        <v>0.27800000000000002</v>
      </c>
      <c r="K2474" s="1" t="str">
        <f>VLOOKUP(Tabela1[[#This Row],[Cliente]],'BASE DE CLIENTES'!A:D,4,0)</f>
        <v>EMPRESA SEM MAQUINA</v>
      </c>
      <c r="L2474" s="1" t="str">
        <f>VLOOKUP(Tabela1[[#This Row],[Cliente]],'BASE DE CLIENTES'!A:E,5,0)</f>
        <v>SAMAMBAIA</v>
      </c>
    </row>
    <row r="2475" spans="2:12" x14ac:dyDescent="0.3">
      <c r="B2475" s="1" t="s">
        <v>321</v>
      </c>
      <c r="C2475" s="4" t="str">
        <f>VLOOKUP(Tabela1[[#This Row],[Cliente]],'BASE DE CLIENTES'!A:E,2,0)</f>
        <v>Valparaíso de Goiás</v>
      </c>
      <c r="D2475" s="1" t="str">
        <f>VLOOKUP(Tabela1[[#This Row],[Cliente]],'BASE DE CLIENTES'!A:C,3,0)</f>
        <v>GO</v>
      </c>
      <c r="E2475" s="4" t="str">
        <f>CONCATENATE(Tabela1[[#This Row],[CIDADE]],",",Tabela1[[#This Row],[UF]])</f>
        <v>Valparaíso de Goiás,GO</v>
      </c>
      <c r="F2475" s="2">
        <v>45691</v>
      </c>
      <c r="G2475" s="17">
        <v>2914.57</v>
      </c>
      <c r="H2475" s="17">
        <v>4475</v>
      </c>
      <c r="I2475" s="6">
        <f>Tabela1[[#This Row],[Valor total]]-Tabela1[[#This Row],[Valor custo]]</f>
        <v>1560.4299999999998</v>
      </c>
      <c r="J2475" s="7">
        <f>Tabela1[[#This Row],[MARGEM BRUTA]]/Tabela1[[#This Row],[Valor total]]</f>
        <v>0.34869944134078207</v>
      </c>
      <c r="K2475" s="1" t="str">
        <f>VLOOKUP(Tabela1[[#This Row],[Cliente]],'BASE DE CLIENTES'!A:D,4,0)</f>
        <v>EMPRESA COM MAQUINA</v>
      </c>
      <c r="L2475" s="1" t="str">
        <f>VLOOKUP(Tabela1[[#This Row],[Cliente]],'BASE DE CLIENTES'!A:E,5,0)</f>
        <v>Valparaíso de Goiás</v>
      </c>
    </row>
    <row r="2476" spans="2:12" x14ac:dyDescent="0.3">
      <c r="B2476" s="1" t="s">
        <v>319</v>
      </c>
      <c r="C2476" s="4" t="str">
        <f>VLOOKUP(Tabela1[[#This Row],[Cliente]],'BASE DE CLIENTES'!A:E,2,0)</f>
        <v>Valparaíso de Goiás</v>
      </c>
      <c r="D2476" s="1" t="str">
        <f>VLOOKUP(Tabela1[[#This Row],[Cliente]],'BASE DE CLIENTES'!A:C,3,0)</f>
        <v>GO</v>
      </c>
      <c r="E2476" s="4" t="str">
        <f>CONCATENATE(Tabela1[[#This Row],[CIDADE]],",",Tabela1[[#This Row],[UF]])</f>
        <v>Valparaíso de Goiás,GO</v>
      </c>
      <c r="F2476" s="2">
        <v>45743</v>
      </c>
      <c r="G2476" s="17">
        <v>993</v>
      </c>
      <c r="H2476" s="17">
        <v>1400</v>
      </c>
      <c r="I2476" s="6">
        <f>Tabela1[[#This Row],[Valor total]]-Tabela1[[#This Row],[Valor custo]]</f>
        <v>407</v>
      </c>
      <c r="J2476" s="7">
        <f>Tabela1[[#This Row],[MARGEM BRUTA]]/Tabela1[[#This Row],[Valor total]]</f>
        <v>0.2907142857142857</v>
      </c>
      <c r="K2476" s="1" t="str">
        <f>VLOOKUP(Tabela1[[#This Row],[Cliente]],'BASE DE CLIENTES'!A:D,4,0)</f>
        <v>EMPRESA COM MAQUINA</v>
      </c>
      <c r="L2476" s="1" t="str">
        <f>VLOOKUP(Tabela1[[#This Row],[Cliente]],'BASE DE CLIENTES'!A:E,5,0)</f>
        <v>Valparaíso de Goiás</v>
      </c>
    </row>
    <row r="2477" spans="2:12" x14ac:dyDescent="0.3">
      <c r="B2477" s="1" t="s">
        <v>117</v>
      </c>
      <c r="C2477" s="4" t="str">
        <f>VLOOKUP(Tabela1[[#This Row],[Cliente]],'BASE DE CLIENTES'!A:E,2,0)</f>
        <v>Brasília</v>
      </c>
      <c r="D2477" s="1" t="str">
        <f>VLOOKUP(Tabela1[[#This Row],[Cliente]],'BASE DE CLIENTES'!A:C,3,0)</f>
        <v>DF</v>
      </c>
      <c r="E2477" s="4" t="str">
        <f>CONCATENATE(Tabela1[[#This Row],[CIDADE]],",",Tabela1[[#This Row],[UF]])</f>
        <v>Brasília,DF</v>
      </c>
      <c r="F2477" s="2">
        <v>45915</v>
      </c>
      <c r="G2477" s="17">
        <v>1342.42</v>
      </c>
      <c r="H2477" s="17">
        <v>2400</v>
      </c>
      <c r="I2477" s="6">
        <f>Tabela1[[#This Row],[Valor total]]-Tabela1[[#This Row],[Valor custo]]</f>
        <v>1057.58</v>
      </c>
      <c r="J2477" s="7">
        <f>Tabela1[[#This Row],[MARGEM BRUTA]]/Tabela1[[#This Row],[Valor total]]</f>
        <v>0.44065833333333332</v>
      </c>
      <c r="K2477" s="1" t="str">
        <f>VLOOKUP(Tabela1[[#This Row],[Cliente]],'BASE DE CLIENTES'!A:D,4,0)</f>
        <v>EMPRESA COM MAQUINA</v>
      </c>
      <c r="L2477" s="1" t="str">
        <f>VLOOKUP(Tabela1[[#This Row],[Cliente]],'BASE DE CLIENTES'!A:E,5,0)</f>
        <v>SETOR HABITACIONAL ARNIQUEIRA (AGUAS CLARAS)</v>
      </c>
    </row>
    <row r="2478" spans="2:12" x14ac:dyDescent="0.3">
      <c r="B2478" s="1" t="s">
        <v>25</v>
      </c>
      <c r="C2478" s="4" t="str">
        <f>VLOOKUP(Tabela1[[#This Row],[Cliente]],'BASE DE CLIENTES'!A:E,2,0)</f>
        <v>Brasília</v>
      </c>
      <c r="D2478" s="1" t="str">
        <f>VLOOKUP(Tabela1[[#This Row],[Cliente]],'BASE DE CLIENTES'!A:C,3,0)</f>
        <v>DF</v>
      </c>
      <c r="E2478" s="4" t="str">
        <f>CONCATENATE(Tabela1[[#This Row],[CIDADE]],",",Tabela1[[#This Row],[UF]])</f>
        <v>Brasília,DF</v>
      </c>
      <c r="F2478" s="2">
        <v>45915</v>
      </c>
      <c r="G2478" s="17">
        <v>20</v>
      </c>
      <c r="H2478" s="17">
        <v>50</v>
      </c>
      <c r="I2478" s="6">
        <f>Tabela1[[#This Row],[Valor total]]-Tabela1[[#This Row],[Valor custo]]</f>
        <v>30</v>
      </c>
      <c r="J2478" s="7">
        <f>Tabela1[[#This Row],[MARGEM BRUTA]]/Tabela1[[#This Row],[Valor total]]</f>
        <v>0.6</v>
      </c>
      <c r="K2478" s="1" t="str">
        <f>VLOOKUP(Tabela1[[#This Row],[Cliente]],'BASE DE CLIENTES'!A:D,4,0)</f>
        <v>EMPRESA COM MAQUINA</v>
      </c>
      <c r="L2478" s="1" t="str">
        <f>VLOOKUP(Tabela1[[#This Row],[Cliente]],'BASE DE CLIENTES'!A:E,5,0)</f>
        <v>CEILANDIA NORTE (CEILANDIA)</v>
      </c>
    </row>
    <row r="2479" spans="2:12" x14ac:dyDescent="0.3">
      <c r="B2479" s="1" t="s">
        <v>25</v>
      </c>
      <c r="C2479" s="4" t="str">
        <f>VLOOKUP(Tabela1[[#This Row],[Cliente]],'BASE DE CLIENTES'!A:E,2,0)</f>
        <v>Brasília</v>
      </c>
      <c r="D2479" s="1" t="str">
        <f>VLOOKUP(Tabela1[[#This Row],[Cliente]],'BASE DE CLIENTES'!A:C,3,0)</f>
        <v>DF</v>
      </c>
      <c r="E2479" s="4" t="str">
        <f>CONCATENATE(Tabela1[[#This Row],[CIDADE]],",",Tabela1[[#This Row],[UF]])</f>
        <v>Brasília,DF</v>
      </c>
      <c r="F2479" s="2">
        <v>45915</v>
      </c>
      <c r="G2479" s="17">
        <v>477</v>
      </c>
      <c r="H2479" s="17">
        <v>195</v>
      </c>
      <c r="I2479" s="6">
        <f>Tabela1[[#This Row],[Valor total]]-Tabela1[[#This Row],[Valor custo]]</f>
        <v>-282</v>
      </c>
      <c r="J2479" s="7">
        <f>Tabela1[[#This Row],[MARGEM BRUTA]]/Tabela1[[#This Row],[Valor total]]</f>
        <v>-1.4461538461538461</v>
      </c>
      <c r="K2479" s="1" t="str">
        <f>VLOOKUP(Tabela1[[#This Row],[Cliente]],'BASE DE CLIENTES'!A:D,4,0)</f>
        <v>EMPRESA COM MAQUINA</v>
      </c>
      <c r="L2479" s="1" t="str">
        <f>VLOOKUP(Tabela1[[#This Row],[Cliente]],'BASE DE CLIENTES'!A:E,5,0)</f>
        <v>CEILANDIA NORTE (CEILANDIA)</v>
      </c>
    </row>
    <row r="2480" spans="2:12" x14ac:dyDescent="0.3">
      <c r="B2480" s="1" t="s">
        <v>297</v>
      </c>
      <c r="C2480" s="4" t="str">
        <f>VLOOKUP(Tabela1[[#This Row],[Cliente]],'BASE DE CLIENTES'!A:E,2,0)</f>
        <v>Brasília</v>
      </c>
      <c r="D2480" s="1" t="str">
        <f>VLOOKUP(Tabela1[[#This Row],[Cliente]],'BASE DE CLIENTES'!A:C,3,0)</f>
        <v>DF</v>
      </c>
      <c r="E2480" s="4" t="str">
        <f>CONCATENATE(Tabela1[[#This Row],[CIDADE]],",",Tabela1[[#This Row],[UF]])</f>
        <v>Brasília,DF</v>
      </c>
      <c r="F2480" s="2">
        <v>45807</v>
      </c>
      <c r="G2480" s="17">
        <v>79</v>
      </c>
      <c r="H2480" s="17">
        <v>350</v>
      </c>
      <c r="I2480" s="6">
        <f>Tabela1[[#This Row],[Valor total]]-Tabela1[[#This Row],[Valor custo]]</f>
        <v>271</v>
      </c>
      <c r="J2480" s="7">
        <f>Tabela1[[#This Row],[MARGEM BRUTA]]/Tabela1[[#This Row],[Valor total]]</f>
        <v>0.77428571428571424</v>
      </c>
      <c r="K2480" s="1" t="str">
        <f>VLOOKUP(Tabela1[[#This Row],[Cliente]],'BASE DE CLIENTES'!A:D,4,0)</f>
        <v>SERRALHEIRO</v>
      </c>
      <c r="L2480" s="1" t="str">
        <f>VLOOKUP(Tabela1[[#This Row],[Cliente]],'BASE DE CLIENTES'!A:E,5,0)</f>
        <v>NA</v>
      </c>
    </row>
    <row r="2481" spans="2:12" x14ac:dyDescent="0.3">
      <c r="B2481" s="1" t="s">
        <v>316</v>
      </c>
      <c r="C2481" s="4" t="str">
        <f>VLOOKUP(Tabela1[[#This Row],[Cliente]],'BASE DE CLIENTES'!A:E,2,0)</f>
        <v>Valparaíso de Goiás</v>
      </c>
      <c r="D2481" s="1" t="str">
        <f>VLOOKUP(Tabela1[[#This Row],[Cliente]],'BASE DE CLIENTES'!A:C,3,0)</f>
        <v>GO</v>
      </c>
      <c r="E2481" s="4" t="str">
        <f>CONCATENATE(Tabela1[[#This Row],[CIDADE]],",",Tabela1[[#This Row],[UF]])</f>
        <v>Valparaíso de Goiás,GO</v>
      </c>
      <c r="F2481" s="2">
        <v>45740</v>
      </c>
      <c r="G2481" s="17">
        <v>758.83</v>
      </c>
      <c r="H2481" s="17">
        <v>1340</v>
      </c>
      <c r="I2481" s="6">
        <f>Tabela1[[#This Row],[Valor total]]-Tabela1[[#This Row],[Valor custo]]</f>
        <v>581.16999999999996</v>
      </c>
      <c r="J2481" s="7">
        <f>Tabela1[[#This Row],[MARGEM BRUTA]]/Tabela1[[#This Row],[Valor total]]</f>
        <v>0.43370895522388059</v>
      </c>
      <c r="K2481" s="1" t="str">
        <f>VLOOKUP(Tabela1[[#This Row],[Cliente]],'BASE DE CLIENTES'!A:D,4,0)</f>
        <v>SERRALHEIRO</v>
      </c>
      <c r="L2481" s="1" t="str">
        <f>VLOOKUP(Tabela1[[#This Row],[Cliente]],'BASE DE CLIENTES'!A:E,5,0)</f>
        <v>Valparaíso de Goiás</v>
      </c>
    </row>
    <row r="2482" spans="2:12" x14ac:dyDescent="0.3">
      <c r="B2482" s="1" t="s">
        <v>239</v>
      </c>
      <c r="C2482" s="4" t="str">
        <f>VLOOKUP(Tabela1[[#This Row],[Cliente]],'BASE DE CLIENTES'!A:E,2,0)</f>
        <v>Brasília</v>
      </c>
      <c r="D2482" s="1" t="str">
        <f>VLOOKUP(Tabela1[[#This Row],[Cliente]],'BASE DE CLIENTES'!A:C,3,0)</f>
        <v>DF</v>
      </c>
      <c r="E2482" s="4" t="str">
        <f>CONCATENATE(Tabela1[[#This Row],[CIDADE]],",",Tabela1[[#This Row],[UF]])</f>
        <v>Brasília,DF</v>
      </c>
      <c r="F2482" s="2">
        <v>45915</v>
      </c>
      <c r="G2482" s="17">
        <v>0</v>
      </c>
      <c r="H2482" s="17">
        <v>180</v>
      </c>
      <c r="I2482" s="6">
        <f>Tabela1[[#This Row],[Valor total]]-Tabela1[[#This Row],[Valor custo]]</f>
        <v>180</v>
      </c>
      <c r="J2482" s="7">
        <f>Tabela1[[#This Row],[MARGEM BRUTA]]/Tabela1[[#This Row],[Valor total]]</f>
        <v>1</v>
      </c>
      <c r="K2482" s="1" t="str">
        <f>VLOOKUP(Tabela1[[#This Row],[Cliente]],'BASE DE CLIENTES'!A:D,4,0)</f>
        <v>EMPRESA COM MAQUINA</v>
      </c>
      <c r="L2482" s="1" t="str">
        <f>VLOOKUP(Tabela1[[#This Row],[Cliente]],'BASE DE CLIENTES'!A:E,5,0)</f>
        <v>RIACHO FUNDO II</v>
      </c>
    </row>
    <row r="2483" spans="2:12" x14ac:dyDescent="0.3">
      <c r="B2483" s="1" t="s">
        <v>27</v>
      </c>
      <c r="C2483" s="4" t="str">
        <f>VLOOKUP(Tabela1[[#This Row],[Cliente]],'BASE DE CLIENTES'!A:E,2,0)</f>
        <v>Brasília</v>
      </c>
      <c r="D2483" s="1" t="str">
        <f>VLOOKUP(Tabela1[[#This Row],[Cliente]],'BASE DE CLIENTES'!A:C,3,0)</f>
        <v>DF</v>
      </c>
      <c r="E2483" s="4" t="str">
        <f>CONCATENATE(Tabela1[[#This Row],[CIDADE]],",",Tabela1[[#This Row],[UF]])</f>
        <v>Brasília,DF</v>
      </c>
      <c r="F2483" s="2">
        <v>45915</v>
      </c>
      <c r="G2483" s="17">
        <v>1174.28</v>
      </c>
      <c r="H2483" s="17">
        <v>2130</v>
      </c>
      <c r="I2483" s="6">
        <f>Tabela1[[#This Row],[Valor total]]-Tabela1[[#This Row],[Valor custo]]</f>
        <v>955.72</v>
      </c>
      <c r="J2483" s="7">
        <f>Tabela1[[#This Row],[MARGEM BRUTA]]/Tabela1[[#This Row],[Valor total]]</f>
        <v>0.44869483568075119</v>
      </c>
      <c r="K2483" s="1" t="str">
        <f>VLOOKUP(Tabela1[[#This Row],[Cliente]],'BASE DE CLIENTES'!A:D,4,0)</f>
        <v>EMPRESA SEM MAQUINA</v>
      </c>
      <c r="L2483" s="1" t="str">
        <f>VLOOKUP(Tabela1[[#This Row],[Cliente]],'BASE DE CLIENTES'!A:E,5,0)</f>
        <v>RECANTO DAS EMAS</v>
      </c>
    </row>
    <row r="2484" spans="2:12" x14ac:dyDescent="0.3">
      <c r="B2484" s="1" t="s">
        <v>319</v>
      </c>
      <c r="C2484" s="4" t="str">
        <f>VLOOKUP(Tabela1[[#This Row],[Cliente]],'BASE DE CLIENTES'!A:E,2,0)</f>
        <v>Valparaíso de Goiás</v>
      </c>
      <c r="D2484" s="1" t="str">
        <f>VLOOKUP(Tabela1[[#This Row],[Cliente]],'BASE DE CLIENTES'!A:C,3,0)</f>
        <v>GO</v>
      </c>
      <c r="E2484" s="4" t="str">
        <f>CONCATENATE(Tabela1[[#This Row],[CIDADE]],",",Tabela1[[#This Row],[UF]])</f>
        <v>Valparaíso de Goiás,GO</v>
      </c>
      <c r="F2484" s="2">
        <v>45736</v>
      </c>
      <c r="G2484" s="17">
        <v>1747.45</v>
      </c>
      <c r="H2484" s="17">
        <v>2700</v>
      </c>
      <c r="I2484" s="6">
        <f>Tabela1[[#This Row],[Valor total]]-Tabela1[[#This Row],[Valor custo]]</f>
        <v>952.55</v>
      </c>
      <c r="J2484" s="7">
        <f>Tabela1[[#This Row],[MARGEM BRUTA]]/Tabela1[[#This Row],[Valor total]]</f>
        <v>0.35279629629629627</v>
      </c>
      <c r="K2484" s="1" t="str">
        <f>VLOOKUP(Tabela1[[#This Row],[Cliente]],'BASE DE CLIENTES'!A:D,4,0)</f>
        <v>EMPRESA COM MAQUINA</v>
      </c>
      <c r="L2484" s="1" t="str">
        <f>VLOOKUP(Tabela1[[#This Row],[Cliente]],'BASE DE CLIENTES'!A:E,5,0)</f>
        <v>Valparaíso de Goiás</v>
      </c>
    </row>
    <row r="2485" spans="2:12" x14ac:dyDescent="0.3">
      <c r="B2485" s="1" t="s">
        <v>128</v>
      </c>
      <c r="C2485" s="4" t="str">
        <f>VLOOKUP(Tabela1[[#This Row],[Cliente]],'BASE DE CLIENTES'!A:E,2,0)</f>
        <v>Brasília</v>
      </c>
      <c r="D2485" s="1" t="str">
        <f>VLOOKUP(Tabela1[[#This Row],[Cliente]],'BASE DE CLIENTES'!A:C,3,0)</f>
        <v>DF</v>
      </c>
      <c r="E2485" s="4" t="str">
        <f>CONCATENATE(Tabela1[[#This Row],[CIDADE]],",",Tabela1[[#This Row],[UF]])</f>
        <v>Brasília,DF</v>
      </c>
      <c r="F2485" s="2">
        <v>45915</v>
      </c>
      <c r="G2485" s="17">
        <v>491.42</v>
      </c>
      <c r="H2485" s="17">
        <v>850</v>
      </c>
      <c r="I2485" s="6">
        <f>Tabela1[[#This Row],[Valor total]]-Tabela1[[#This Row],[Valor custo]]</f>
        <v>358.58</v>
      </c>
      <c r="J2485" s="7">
        <f>Tabela1[[#This Row],[MARGEM BRUTA]]/Tabela1[[#This Row],[Valor total]]</f>
        <v>0.42185882352941173</v>
      </c>
      <c r="K2485" s="1" t="str">
        <f>VLOOKUP(Tabela1[[#This Row],[Cliente]],'BASE DE CLIENTES'!A:D,4,0)</f>
        <v>SERRALHEIRO</v>
      </c>
      <c r="L2485" s="1" t="str">
        <f>VLOOKUP(Tabela1[[#This Row],[Cliente]],'BASE DE CLIENTES'!A:E,5,0)</f>
        <v>TAGUATINGA NORTE</v>
      </c>
    </row>
    <row r="2486" spans="2:12" x14ac:dyDescent="0.3">
      <c r="B2486" s="1" t="s">
        <v>324</v>
      </c>
      <c r="C2486" s="4" t="str">
        <f>VLOOKUP(Tabela1[[#This Row],[Cliente]],'BASE DE CLIENTES'!A:E,2,0)</f>
        <v>Valparaíso de Goiás</v>
      </c>
      <c r="D2486" s="1" t="str">
        <f>VLOOKUP(Tabela1[[#This Row],[Cliente]],'BASE DE CLIENTES'!A:C,3,0)</f>
        <v>GO</v>
      </c>
      <c r="E2486" s="4" t="str">
        <f>CONCATENATE(Tabela1[[#This Row],[CIDADE]],",",Tabela1[[#This Row],[UF]])</f>
        <v>Valparaíso de Goiás,GO</v>
      </c>
      <c r="F2486" s="2">
        <v>45735</v>
      </c>
      <c r="G2486" s="17">
        <v>1123.75</v>
      </c>
      <c r="H2486" s="17">
        <v>1895</v>
      </c>
      <c r="I2486" s="6">
        <f>Tabela1[[#This Row],[Valor total]]-Tabela1[[#This Row],[Valor custo]]</f>
        <v>771.25</v>
      </c>
      <c r="J2486" s="7">
        <f>Tabela1[[#This Row],[MARGEM BRUTA]]/Tabela1[[#This Row],[Valor total]]</f>
        <v>0.40699208443271767</v>
      </c>
      <c r="K2486" s="1" t="str">
        <f>VLOOKUP(Tabela1[[#This Row],[Cliente]],'BASE DE CLIENTES'!A:D,4,0)</f>
        <v>SEM CLASSIFICAÇÃO</v>
      </c>
      <c r="L2486" s="1" t="str">
        <f>VLOOKUP(Tabela1[[#This Row],[Cliente]],'BASE DE CLIENTES'!A:E,5,0)</f>
        <v>Valparaíso de Goiás</v>
      </c>
    </row>
    <row r="2487" spans="2:12" x14ac:dyDescent="0.3">
      <c r="B2487" s="1" t="s">
        <v>239</v>
      </c>
      <c r="C2487" s="4" t="str">
        <f>VLOOKUP(Tabela1[[#This Row],[Cliente]],'BASE DE CLIENTES'!A:E,2,0)</f>
        <v>Brasília</v>
      </c>
      <c r="D2487" s="1" t="str">
        <f>VLOOKUP(Tabela1[[#This Row],[Cliente]],'BASE DE CLIENTES'!A:C,3,0)</f>
        <v>DF</v>
      </c>
      <c r="E2487" s="4" t="str">
        <f>CONCATENATE(Tabela1[[#This Row],[CIDADE]],",",Tabela1[[#This Row],[UF]])</f>
        <v>Brasília,DF</v>
      </c>
      <c r="F2487" s="2">
        <v>45915</v>
      </c>
      <c r="G2487" s="17">
        <v>916.3</v>
      </c>
      <c r="H2487" s="17">
        <v>826.5</v>
      </c>
      <c r="I2487" s="6">
        <f>Tabela1[[#This Row],[Valor total]]-Tabela1[[#This Row],[Valor custo]]</f>
        <v>-89.799999999999955</v>
      </c>
      <c r="J2487" s="7">
        <f>Tabela1[[#This Row],[MARGEM BRUTA]]/Tabela1[[#This Row],[Valor total]]</f>
        <v>-0.10865093768905015</v>
      </c>
      <c r="K2487" s="1" t="str">
        <f>VLOOKUP(Tabela1[[#This Row],[Cliente]],'BASE DE CLIENTES'!A:D,4,0)</f>
        <v>EMPRESA COM MAQUINA</v>
      </c>
      <c r="L2487" s="1" t="str">
        <f>VLOOKUP(Tabela1[[#This Row],[Cliente]],'BASE DE CLIENTES'!A:E,5,0)</f>
        <v>RIACHO FUNDO II</v>
      </c>
    </row>
    <row r="2488" spans="2:12" x14ac:dyDescent="0.3">
      <c r="B2488" s="1" t="s">
        <v>97</v>
      </c>
      <c r="C2488" s="4" t="str">
        <f>VLOOKUP(Tabela1[[#This Row],[Cliente]],'BASE DE CLIENTES'!A:E,2,0)</f>
        <v>Brasília</v>
      </c>
      <c r="D2488" s="1" t="str">
        <f>VLOOKUP(Tabela1[[#This Row],[Cliente]],'BASE DE CLIENTES'!A:C,3,0)</f>
        <v>DF</v>
      </c>
      <c r="E2488" s="4" t="str">
        <f>CONCATENATE(Tabela1[[#This Row],[CIDADE]],",",Tabela1[[#This Row],[UF]])</f>
        <v>Brasília,DF</v>
      </c>
      <c r="F2488" s="2">
        <v>45915</v>
      </c>
      <c r="G2488" s="17">
        <v>498.25</v>
      </c>
      <c r="H2488" s="17">
        <v>920</v>
      </c>
      <c r="I2488" s="6">
        <f>Tabela1[[#This Row],[Valor total]]-Tabela1[[#This Row],[Valor custo]]</f>
        <v>421.75</v>
      </c>
      <c r="J2488" s="7">
        <f>Tabela1[[#This Row],[MARGEM BRUTA]]/Tabela1[[#This Row],[Valor total]]</f>
        <v>0.45842391304347824</v>
      </c>
      <c r="K2488" s="1" t="str">
        <f>VLOOKUP(Tabela1[[#This Row],[Cliente]],'BASE DE CLIENTES'!A:D,4,0)</f>
        <v>SERRALHEIRO</v>
      </c>
      <c r="L2488" s="1" t="str">
        <f>VLOOKUP(Tabela1[[#This Row],[Cliente]],'BASE DE CLIENTES'!A:E,5,0)</f>
        <v>CEILANDIA NORTE</v>
      </c>
    </row>
    <row r="2489" spans="2:12" x14ac:dyDescent="0.3">
      <c r="B2489" s="1" t="s">
        <v>106</v>
      </c>
      <c r="C2489" s="4" t="str">
        <f>VLOOKUP(Tabela1[[#This Row],[Cliente]],'BASE DE CLIENTES'!A:E,2,0)</f>
        <v>Brasília</v>
      </c>
      <c r="D2489" s="1" t="str">
        <f>VLOOKUP(Tabela1[[#This Row],[Cliente]],'BASE DE CLIENTES'!A:C,3,0)</f>
        <v>DF</v>
      </c>
      <c r="E2489" s="4" t="str">
        <f>CONCATENATE(Tabela1[[#This Row],[CIDADE]],",",Tabela1[[#This Row],[UF]])</f>
        <v>Brasília,DF</v>
      </c>
      <c r="F2489" s="2">
        <v>45915</v>
      </c>
      <c r="G2489" s="17">
        <v>432.79</v>
      </c>
      <c r="H2489" s="17">
        <v>650</v>
      </c>
      <c r="I2489" s="6">
        <f>Tabela1[[#This Row],[Valor total]]-Tabela1[[#This Row],[Valor custo]]</f>
        <v>217.20999999999998</v>
      </c>
      <c r="J2489" s="7">
        <f>Tabela1[[#This Row],[MARGEM BRUTA]]/Tabela1[[#This Row],[Valor total]]</f>
        <v>0.33416923076923072</v>
      </c>
      <c r="K2489" s="1" t="str">
        <f>VLOOKUP(Tabela1[[#This Row],[Cliente]],'BASE DE CLIENTES'!A:D,4,0)</f>
        <v>EMPRESA COM MAQUINA</v>
      </c>
      <c r="L2489" s="1" t="str">
        <f>VLOOKUP(Tabela1[[#This Row],[Cliente]],'BASE DE CLIENTES'!A:E,5,0)</f>
        <v>26 DE SETEMBRO</v>
      </c>
    </row>
    <row r="2490" spans="2:12" x14ac:dyDescent="0.3">
      <c r="B2490" s="1" t="s">
        <v>320</v>
      </c>
      <c r="C2490" s="4" t="str">
        <f>VLOOKUP(Tabela1[[#This Row],[Cliente]],'BASE DE CLIENTES'!A:E,2,0)</f>
        <v>Valparaíso de Goiás</v>
      </c>
      <c r="D2490" s="1" t="str">
        <f>VLOOKUP(Tabela1[[#This Row],[Cliente]],'BASE DE CLIENTES'!A:C,3,0)</f>
        <v>GO</v>
      </c>
      <c r="E2490" s="4" t="str">
        <f>CONCATENATE(Tabela1[[#This Row],[CIDADE]],",",Tabela1[[#This Row],[UF]])</f>
        <v>Valparaíso de Goiás,GO</v>
      </c>
      <c r="F2490" s="2">
        <v>45735</v>
      </c>
      <c r="G2490" s="17">
        <v>118.09</v>
      </c>
      <c r="H2490" s="17">
        <v>460</v>
      </c>
      <c r="I2490" s="6">
        <f>Tabela1[[#This Row],[Valor total]]-Tabela1[[#This Row],[Valor custo]]</f>
        <v>341.90999999999997</v>
      </c>
      <c r="J2490" s="7">
        <f>Tabela1[[#This Row],[MARGEM BRUTA]]/Tabela1[[#This Row],[Valor total]]</f>
        <v>0.7432826086956521</v>
      </c>
      <c r="K2490" s="1" t="str">
        <f>VLOOKUP(Tabela1[[#This Row],[Cliente]],'BASE DE CLIENTES'!A:D,4,0)</f>
        <v>SERRALHEIRO</v>
      </c>
      <c r="L2490" s="1" t="str">
        <f>VLOOKUP(Tabela1[[#This Row],[Cliente]],'BASE DE CLIENTES'!A:E,5,0)</f>
        <v>Valparaíso de Goiás</v>
      </c>
    </row>
    <row r="2491" spans="2:12" x14ac:dyDescent="0.3">
      <c r="B2491" s="1" t="s">
        <v>321</v>
      </c>
      <c r="C2491" s="4" t="str">
        <f>VLOOKUP(Tabela1[[#This Row],[Cliente]],'BASE DE CLIENTES'!A:E,2,0)</f>
        <v>Valparaíso de Goiás</v>
      </c>
      <c r="D2491" s="1" t="str">
        <f>VLOOKUP(Tabela1[[#This Row],[Cliente]],'BASE DE CLIENTES'!A:C,3,0)</f>
        <v>GO</v>
      </c>
      <c r="E2491" s="4" t="str">
        <f>CONCATENATE(Tabela1[[#This Row],[CIDADE]],",",Tabela1[[#This Row],[UF]])</f>
        <v>Valparaíso de Goiás,GO</v>
      </c>
      <c r="F2491" s="2">
        <v>45734</v>
      </c>
      <c r="G2491" s="17">
        <v>268.45999999999998</v>
      </c>
      <c r="H2491" s="17">
        <v>550</v>
      </c>
      <c r="I2491" s="6">
        <f>Tabela1[[#This Row],[Valor total]]-Tabela1[[#This Row],[Valor custo]]</f>
        <v>281.54000000000002</v>
      </c>
      <c r="J2491" s="7">
        <f>Tabela1[[#This Row],[MARGEM BRUTA]]/Tabela1[[#This Row],[Valor total]]</f>
        <v>0.51189090909090917</v>
      </c>
      <c r="K2491" s="1" t="str">
        <f>VLOOKUP(Tabela1[[#This Row],[Cliente]],'BASE DE CLIENTES'!A:D,4,0)</f>
        <v>EMPRESA COM MAQUINA</v>
      </c>
      <c r="L2491" s="1" t="str">
        <f>VLOOKUP(Tabela1[[#This Row],[Cliente]],'BASE DE CLIENTES'!A:E,5,0)</f>
        <v>Valparaíso de Goiás</v>
      </c>
    </row>
    <row r="2492" spans="2:12" x14ac:dyDescent="0.3">
      <c r="B2492" s="1" t="s">
        <v>85</v>
      </c>
      <c r="C2492" s="4" t="str">
        <f>VLOOKUP(Tabela1[[#This Row],[Cliente]],'BASE DE CLIENTES'!A:E,2,0)</f>
        <v>Brasília</v>
      </c>
      <c r="D2492" s="1" t="str">
        <f>VLOOKUP(Tabela1[[#This Row],[Cliente]],'BASE DE CLIENTES'!A:C,3,0)</f>
        <v>DF</v>
      </c>
      <c r="E2492" s="4" t="str">
        <f>CONCATENATE(Tabela1[[#This Row],[CIDADE]],",",Tabela1[[#This Row],[UF]])</f>
        <v>Brasília,DF</v>
      </c>
      <c r="F2492" s="2">
        <v>45912</v>
      </c>
      <c r="G2492" s="17">
        <v>42</v>
      </c>
      <c r="H2492" s="17">
        <v>55</v>
      </c>
      <c r="I2492" s="6">
        <f>Tabela1[[#This Row],[Valor total]]-Tabela1[[#This Row],[Valor custo]]</f>
        <v>13</v>
      </c>
      <c r="J2492" s="7">
        <f>Tabela1[[#This Row],[MARGEM BRUTA]]/Tabela1[[#This Row],[Valor total]]</f>
        <v>0.23636363636363636</v>
      </c>
      <c r="K2492" s="1" t="str">
        <f>VLOOKUP(Tabela1[[#This Row],[Cliente]],'BASE DE CLIENTES'!A:D,4,0)</f>
        <v>SERRALHEIRO</v>
      </c>
      <c r="L2492" s="1" t="str">
        <f>VLOOKUP(Tabela1[[#This Row],[Cliente]],'BASE DE CLIENTES'!A:E,5,0)</f>
        <v>SAMAMBAIA NORTE (SAMAMBAIA)</v>
      </c>
    </row>
    <row r="2493" spans="2:12" x14ac:dyDescent="0.3">
      <c r="B2493" s="1" t="s">
        <v>187</v>
      </c>
      <c r="C2493" s="4" t="str">
        <f>VLOOKUP(Tabela1[[#This Row],[Cliente]],'BASE DE CLIENTES'!A:E,2,0)</f>
        <v>Brasília</v>
      </c>
      <c r="D2493" s="1" t="str">
        <f>VLOOKUP(Tabela1[[#This Row],[Cliente]],'BASE DE CLIENTES'!A:C,3,0)</f>
        <v>DF</v>
      </c>
      <c r="E2493" s="4" t="str">
        <f>CONCATENATE(Tabela1[[#This Row],[CIDADE]],",",Tabela1[[#This Row],[UF]])</f>
        <v>Brasília,DF</v>
      </c>
      <c r="F2493" s="2">
        <v>45912</v>
      </c>
      <c r="G2493" s="17">
        <v>534</v>
      </c>
      <c r="H2493" s="17">
        <v>1045</v>
      </c>
      <c r="I2493" s="6">
        <f>Tabela1[[#This Row],[Valor total]]-Tabela1[[#This Row],[Valor custo]]</f>
        <v>511</v>
      </c>
      <c r="J2493" s="7">
        <f>Tabela1[[#This Row],[MARGEM BRUTA]]/Tabela1[[#This Row],[Valor total]]</f>
        <v>0.48899521531100476</v>
      </c>
      <c r="K2493" s="1" t="str">
        <f>VLOOKUP(Tabela1[[#This Row],[Cliente]],'BASE DE CLIENTES'!A:D,4,0)</f>
        <v>SERRALHEIRO</v>
      </c>
      <c r="L2493" s="1" t="str">
        <f>VLOOKUP(Tabela1[[#This Row],[Cliente]],'BASE DE CLIENTES'!A:E,5,0)</f>
        <v>CEILANDIA SUL (CEILANDIA)</v>
      </c>
    </row>
    <row r="2494" spans="2:12" x14ac:dyDescent="0.3">
      <c r="B2494" s="1" t="s">
        <v>55</v>
      </c>
      <c r="C2494" s="4" t="str">
        <f>VLOOKUP(Tabela1[[#This Row],[Cliente]],'BASE DE CLIENTES'!A:E,2,0)</f>
        <v>Brasília</v>
      </c>
      <c r="D2494" s="1" t="str">
        <f>VLOOKUP(Tabela1[[#This Row],[Cliente]],'BASE DE CLIENTES'!A:C,3,0)</f>
        <v>DF</v>
      </c>
      <c r="E2494" s="4" t="str">
        <f>CONCATENATE(Tabela1[[#This Row],[CIDADE]],",",Tabela1[[#This Row],[UF]])</f>
        <v>Brasília,DF</v>
      </c>
      <c r="F2494" s="2">
        <v>45912</v>
      </c>
      <c r="G2494" s="17">
        <v>420</v>
      </c>
      <c r="H2494" s="17">
        <v>500</v>
      </c>
      <c r="I2494" s="6">
        <f>Tabela1[[#This Row],[Valor total]]-Tabela1[[#This Row],[Valor custo]]</f>
        <v>80</v>
      </c>
      <c r="J2494" s="7">
        <f>Tabela1[[#This Row],[MARGEM BRUTA]]/Tabela1[[#This Row],[Valor total]]</f>
        <v>0.16</v>
      </c>
      <c r="K2494" s="1" t="str">
        <f>VLOOKUP(Tabela1[[#This Row],[Cliente]],'BASE DE CLIENTES'!A:D,4,0)</f>
        <v>EMPRESA SEM MAQUINA</v>
      </c>
      <c r="L2494" s="1" t="str">
        <f>VLOOKUP(Tabela1[[#This Row],[Cliente]],'BASE DE CLIENTES'!A:E,5,0)</f>
        <v>RECANTO DAS EMAS</v>
      </c>
    </row>
    <row r="2495" spans="2:12" x14ac:dyDescent="0.3">
      <c r="B2495" s="1" t="s">
        <v>319</v>
      </c>
      <c r="C2495" s="4" t="str">
        <f>VLOOKUP(Tabela1[[#This Row],[Cliente]],'BASE DE CLIENTES'!A:E,2,0)</f>
        <v>Valparaíso de Goiás</v>
      </c>
      <c r="D2495" s="1" t="str">
        <f>VLOOKUP(Tabela1[[#This Row],[Cliente]],'BASE DE CLIENTES'!A:C,3,0)</f>
        <v>GO</v>
      </c>
      <c r="E2495" s="4" t="str">
        <f>CONCATENATE(Tabela1[[#This Row],[CIDADE]],",",Tabela1[[#This Row],[UF]])</f>
        <v>Valparaíso de Goiás,GO</v>
      </c>
      <c r="F2495" s="2">
        <v>45733</v>
      </c>
      <c r="G2495" s="17">
        <v>548.47</v>
      </c>
      <c r="H2495" s="17">
        <v>810</v>
      </c>
      <c r="I2495" s="6">
        <f>Tabela1[[#This Row],[Valor total]]-Tabela1[[#This Row],[Valor custo]]</f>
        <v>261.52999999999997</v>
      </c>
      <c r="J2495" s="7">
        <f>Tabela1[[#This Row],[MARGEM BRUTA]]/Tabela1[[#This Row],[Valor total]]</f>
        <v>0.32287654320987652</v>
      </c>
      <c r="K2495" s="1" t="str">
        <f>VLOOKUP(Tabela1[[#This Row],[Cliente]],'BASE DE CLIENTES'!A:D,4,0)</f>
        <v>EMPRESA COM MAQUINA</v>
      </c>
      <c r="L2495" s="1" t="str">
        <f>VLOOKUP(Tabela1[[#This Row],[Cliente]],'BASE DE CLIENTES'!A:E,5,0)</f>
        <v>Valparaíso de Goiás</v>
      </c>
    </row>
    <row r="2496" spans="2:12" x14ac:dyDescent="0.3">
      <c r="B2496" s="1" t="s">
        <v>320</v>
      </c>
      <c r="C2496" s="4" t="str">
        <f>VLOOKUP(Tabela1[[#This Row],[Cliente]],'BASE DE CLIENTES'!A:E,2,0)</f>
        <v>Valparaíso de Goiás</v>
      </c>
      <c r="D2496" s="1" t="str">
        <f>VLOOKUP(Tabela1[[#This Row],[Cliente]],'BASE DE CLIENTES'!A:C,3,0)</f>
        <v>GO</v>
      </c>
      <c r="E2496" s="4" t="str">
        <f>CONCATENATE(Tabela1[[#This Row],[CIDADE]],",",Tabela1[[#This Row],[UF]])</f>
        <v>Valparaíso de Goiás,GO</v>
      </c>
      <c r="F2496" s="2">
        <v>45730</v>
      </c>
      <c r="G2496" s="17">
        <v>20.88</v>
      </c>
      <c r="H2496" s="17">
        <v>80</v>
      </c>
      <c r="I2496" s="6">
        <f>Tabela1[[#This Row],[Valor total]]-Tabela1[[#This Row],[Valor custo]]</f>
        <v>59.120000000000005</v>
      </c>
      <c r="J2496" s="7">
        <f>Tabela1[[#This Row],[MARGEM BRUTA]]/Tabela1[[#This Row],[Valor total]]</f>
        <v>0.7390000000000001</v>
      </c>
      <c r="K2496" s="1" t="str">
        <f>VLOOKUP(Tabela1[[#This Row],[Cliente]],'BASE DE CLIENTES'!A:D,4,0)</f>
        <v>SERRALHEIRO</v>
      </c>
      <c r="L2496" s="1" t="str">
        <f>VLOOKUP(Tabela1[[#This Row],[Cliente]],'BASE DE CLIENTES'!A:E,5,0)</f>
        <v>Valparaíso de Goiás</v>
      </c>
    </row>
    <row r="2497" spans="2:12" x14ac:dyDescent="0.3">
      <c r="B2497" s="1" t="s">
        <v>38</v>
      </c>
      <c r="C2497" s="4" t="str">
        <f>VLOOKUP(Tabela1[[#This Row],[Cliente]],'BASE DE CLIENTES'!A:E,2,0)</f>
        <v>Brasília</v>
      </c>
      <c r="D2497" s="1" t="str">
        <f>VLOOKUP(Tabela1[[#This Row],[Cliente]],'BASE DE CLIENTES'!A:C,3,0)</f>
        <v>DF</v>
      </c>
      <c r="E2497" s="4" t="str">
        <f>CONCATENATE(Tabela1[[#This Row],[CIDADE]],",",Tabela1[[#This Row],[UF]])</f>
        <v>Brasília,DF</v>
      </c>
      <c r="F2497" s="2">
        <v>45912</v>
      </c>
      <c r="G2497" s="17">
        <v>740.2</v>
      </c>
      <c r="H2497" s="17">
        <v>1340</v>
      </c>
      <c r="I2497" s="6">
        <f>Tabela1[[#This Row],[Valor total]]-Tabela1[[#This Row],[Valor custo]]</f>
        <v>599.79999999999995</v>
      </c>
      <c r="J2497" s="7">
        <f>Tabela1[[#This Row],[MARGEM BRUTA]]/Tabela1[[#This Row],[Valor total]]</f>
        <v>0.44761194029850743</v>
      </c>
      <c r="K2497" s="1" t="str">
        <f>VLOOKUP(Tabela1[[#This Row],[Cliente]],'BASE DE CLIENTES'!A:D,4,0)</f>
        <v>EMPRESA SEM MAQUINA</v>
      </c>
      <c r="L2497" s="1" t="str">
        <f>VLOOKUP(Tabela1[[#This Row],[Cliente]],'BASE DE CLIENTES'!A:E,5,0)</f>
        <v>PONTE ALTA NORTE (GAMA)</v>
      </c>
    </row>
    <row r="2498" spans="2:12" x14ac:dyDescent="0.3">
      <c r="B2498" s="1" t="s">
        <v>52</v>
      </c>
      <c r="C2498" s="4" t="str">
        <f>VLOOKUP(Tabela1[[#This Row],[Cliente]],'BASE DE CLIENTES'!A:E,2,0)</f>
        <v>Brasília</v>
      </c>
      <c r="D2498" s="1" t="str">
        <f>VLOOKUP(Tabela1[[#This Row],[Cliente]],'BASE DE CLIENTES'!A:C,3,0)</f>
        <v>DF</v>
      </c>
      <c r="E2498" s="4" t="str">
        <f>CONCATENATE(Tabela1[[#This Row],[CIDADE]],",",Tabela1[[#This Row],[UF]])</f>
        <v>Brasília,DF</v>
      </c>
      <c r="F2498" s="2">
        <v>45912</v>
      </c>
      <c r="G2498" s="17">
        <v>84</v>
      </c>
      <c r="H2498" s="17">
        <v>110</v>
      </c>
      <c r="I2498" s="6">
        <f>Tabela1[[#This Row],[Valor total]]-Tabela1[[#This Row],[Valor custo]]</f>
        <v>26</v>
      </c>
      <c r="J2498" s="7">
        <f>Tabela1[[#This Row],[MARGEM BRUTA]]/Tabela1[[#This Row],[Valor total]]</f>
        <v>0.23636363636363636</v>
      </c>
      <c r="K2498" s="1" t="str">
        <f>VLOOKUP(Tabela1[[#This Row],[Cliente]],'BASE DE CLIENTES'!A:D,4,0)</f>
        <v>SERRALHEIRO</v>
      </c>
      <c r="L2498" s="1" t="str">
        <f>VLOOKUP(Tabela1[[#This Row],[Cliente]],'BASE DE CLIENTES'!A:E,5,0)</f>
        <v>Ceilândia Sul (Ceilândia)</v>
      </c>
    </row>
    <row r="2499" spans="2:12" x14ac:dyDescent="0.3">
      <c r="B2499" s="1" t="s">
        <v>52</v>
      </c>
      <c r="C2499" s="4" t="str">
        <f>VLOOKUP(Tabela1[[#This Row],[Cliente]],'BASE DE CLIENTES'!A:E,2,0)</f>
        <v>Brasília</v>
      </c>
      <c r="D2499" s="1" t="str">
        <f>VLOOKUP(Tabela1[[#This Row],[Cliente]],'BASE DE CLIENTES'!A:C,3,0)</f>
        <v>DF</v>
      </c>
      <c r="E2499" s="4" t="str">
        <f>CONCATENATE(Tabela1[[#This Row],[CIDADE]],",",Tabela1[[#This Row],[UF]])</f>
        <v>Brasília,DF</v>
      </c>
      <c r="F2499" s="2">
        <v>45912</v>
      </c>
      <c r="G2499" s="17">
        <v>1630.18</v>
      </c>
      <c r="H2499" s="17">
        <v>2680</v>
      </c>
      <c r="I2499" s="6">
        <f>Tabela1[[#This Row],[Valor total]]-Tabela1[[#This Row],[Valor custo]]</f>
        <v>1049.82</v>
      </c>
      <c r="J2499" s="7">
        <f>Tabela1[[#This Row],[MARGEM BRUTA]]/Tabela1[[#This Row],[Valor total]]</f>
        <v>0.39172388059701491</v>
      </c>
      <c r="K2499" s="1" t="str">
        <f>VLOOKUP(Tabela1[[#This Row],[Cliente]],'BASE DE CLIENTES'!A:D,4,0)</f>
        <v>SERRALHEIRO</v>
      </c>
      <c r="L2499" s="1" t="str">
        <f>VLOOKUP(Tabela1[[#This Row],[Cliente]],'BASE DE CLIENTES'!A:E,5,0)</f>
        <v>Ceilândia Sul (Ceilândia)</v>
      </c>
    </row>
    <row r="2500" spans="2:12" x14ac:dyDescent="0.3">
      <c r="B2500" s="1" t="s">
        <v>85</v>
      </c>
      <c r="C2500" s="4" t="str">
        <f>VLOOKUP(Tabela1[[#This Row],[Cliente]],'BASE DE CLIENTES'!A:E,2,0)</f>
        <v>Brasília</v>
      </c>
      <c r="D2500" s="1" t="str">
        <f>VLOOKUP(Tabela1[[#This Row],[Cliente]],'BASE DE CLIENTES'!A:C,3,0)</f>
        <v>DF</v>
      </c>
      <c r="E2500" s="4" t="str">
        <f>CONCATENATE(Tabela1[[#This Row],[CIDADE]],",",Tabela1[[#This Row],[UF]])</f>
        <v>Brasília,DF</v>
      </c>
      <c r="F2500" s="2">
        <v>45912</v>
      </c>
      <c r="G2500" s="17">
        <v>14.42</v>
      </c>
      <c r="H2500" s="17">
        <v>70</v>
      </c>
      <c r="I2500" s="6">
        <f>Tabela1[[#This Row],[Valor total]]-Tabela1[[#This Row],[Valor custo]]</f>
        <v>55.58</v>
      </c>
      <c r="J2500" s="7">
        <f>Tabela1[[#This Row],[MARGEM BRUTA]]/Tabela1[[#This Row],[Valor total]]</f>
        <v>0.79399999999999993</v>
      </c>
      <c r="K2500" s="1" t="str">
        <f>VLOOKUP(Tabela1[[#This Row],[Cliente]],'BASE DE CLIENTES'!A:D,4,0)</f>
        <v>SERRALHEIRO</v>
      </c>
      <c r="L2500" s="1" t="str">
        <f>VLOOKUP(Tabela1[[#This Row],[Cliente]],'BASE DE CLIENTES'!A:E,5,0)</f>
        <v>SAMAMBAIA NORTE (SAMAMBAIA)</v>
      </c>
    </row>
    <row r="2501" spans="2:12" x14ac:dyDescent="0.3">
      <c r="B2501" s="1" t="s">
        <v>98</v>
      </c>
      <c r="C2501" s="4" t="str">
        <f>VLOOKUP(Tabela1[[#This Row],[Cliente]],'BASE DE CLIENTES'!A:E,2,0)</f>
        <v>Brasília</v>
      </c>
      <c r="D2501" s="1" t="str">
        <f>VLOOKUP(Tabela1[[#This Row],[Cliente]],'BASE DE CLIENTES'!A:C,3,0)</f>
        <v>DF</v>
      </c>
      <c r="E2501" s="4" t="str">
        <f>CONCATENATE(Tabela1[[#This Row],[CIDADE]],",",Tabela1[[#This Row],[UF]])</f>
        <v>Brasília,DF</v>
      </c>
      <c r="F2501" s="2">
        <v>45912</v>
      </c>
      <c r="G2501" s="17">
        <v>13.69</v>
      </c>
      <c r="H2501" s="17">
        <v>110</v>
      </c>
      <c r="I2501" s="6">
        <f>Tabela1[[#This Row],[Valor total]]-Tabela1[[#This Row],[Valor custo]]</f>
        <v>96.31</v>
      </c>
      <c r="J2501" s="7">
        <f>Tabela1[[#This Row],[MARGEM BRUTA]]/Tabela1[[#This Row],[Valor total]]</f>
        <v>0.87554545454545452</v>
      </c>
      <c r="K2501" s="1" t="str">
        <f>VLOOKUP(Tabela1[[#This Row],[Cliente]],'BASE DE CLIENTES'!A:D,4,0)</f>
        <v>SERRALHEIRO</v>
      </c>
      <c r="L2501" s="1" t="str">
        <f>VLOOKUP(Tabela1[[#This Row],[Cliente]],'BASE DE CLIENTES'!A:E,5,0)</f>
        <v>SANTA MARIA</v>
      </c>
    </row>
    <row r="2502" spans="2:12" x14ac:dyDescent="0.3">
      <c r="B2502" s="1" t="s">
        <v>161</v>
      </c>
      <c r="C2502" s="4" t="str">
        <f>VLOOKUP(Tabela1[[#This Row],[Cliente]],'BASE DE CLIENTES'!A:E,2,0)</f>
        <v>Brasília</v>
      </c>
      <c r="D2502" s="1" t="str">
        <f>VLOOKUP(Tabela1[[#This Row],[Cliente]],'BASE DE CLIENTES'!A:C,3,0)</f>
        <v>DF</v>
      </c>
      <c r="E2502" s="4" t="str">
        <f>CONCATENATE(Tabela1[[#This Row],[CIDADE]],",",Tabela1[[#This Row],[UF]])</f>
        <v>Brasília,DF</v>
      </c>
      <c r="F2502" s="2">
        <v>45912</v>
      </c>
      <c r="G2502" s="17">
        <v>3528.88</v>
      </c>
      <c r="H2502" s="17">
        <v>5700</v>
      </c>
      <c r="I2502" s="6">
        <f>Tabela1[[#This Row],[Valor total]]-Tabela1[[#This Row],[Valor custo]]</f>
        <v>2171.12</v>
      </c>
      <c r="J2502" s="7">
        <f>Tabela1[[#This Row],[MARGEM BRUTA]]/Tabela1[[#This Row],[Valor total]]</f>
        <v>0.38089824561403507</v>
      </c>
      <c r="K2502" s="1" t="str">
        <f>VLOOKUP(Tabela1[[#This Row],[Cliente]],'BASE DE CLIENTES'!A:D,4,0)</f>
        <v>EMPRESA COM MAQUINA</v>
      </c>
      <c r="L2502" s="1" t="str">
        <f>VLOOKUP(Tabela1[[#This Row],[Cliente]],'BASE DE CLIENTES'!A:E,5,0)</f>
        <v>RIACHO FUNDO II</v>
      </c>
    </row>
    <row r="2503" spans="2:12" x14ac:dyDescent="0.3">
      <c r="B2503" s="1" t="s">
        <v>319</v>
      </c>
      <c r="C2503" s="4" t="str">
        <f>VLOOKUP(Tabela1[[#This Row],[Cliente]],'BASE DE CLIENTES'!A:E,2,0)</f>
        <v>Valparaíso de Goiás</v>
      </c>
      <c r="D2503" s="1" t="str">
        <f>VLOOKUP(Tabela1[[#This Row],[Cliente]],'BASE DE CLIENTES'!A:C,3,0)</f>
        <v>GO</v>
      </c>
      <c r="E2503" s="4" t="str">
        <f>CONCATENATE(Tabela1[[#This Row],[CIDADE]],",",Tabela1[[#This Row],[UF]])</f>
        <v>Valparaíso de Goiás,GO</v>
      </c>
      <c r="F2503" s="2">
        <v>45726</v>
      </c>
      <c r="G2503" s="17">
        <v>4882.51</v>
      </c>
      <c r="H2503" s="17">
        <v>6650</v>
      </c>
      <c r="I2503" s="6">
        <f>Tabela1[[#This Row],[Valor total]]-Tabela1[[#This Row],[Valor custo]]</f>
        <v>1767.4899999999998</v>
      </c>
      <c r="J2503" s="7">
        <f>Tabela1[[#This Row],[MARGEM BRUTA]]/Tabela1[[#This Row],[Valor total]]</f>
        <v>0.26578796992481202</v>
      </c>
      <c r="K2503" s="1" t="str">
        <f>VLOOKUP(Tabela1[[#This Row],[Cliente]],'BASE DE CLIENTES'!A:D,4,0)</f>
        <v>EMPRESA COM MAQUINA</v>
      </c>
      <c r="L2503" s="1" t="str">
        <f>VLOOKUP(Tabela1[[#This Row],[Cliente]],'BASE DE CLIENTES'!A:E,5,0)</f>
        <v>Valparaíso de Goiás</v>
      </c>
    </row>
    <row r="2504" spans="2:12" x14ac:dyDescent="0.3">
      <c r="B2504" s="1" t="s">
        <v>316</v>
      </c>
      <c r="C2504" s="4" t="str">
        <f>VLOOKUP(Tabela1[[#This Row],[Cliente]],'BASE DE CLIENTES'!A:E,2,0)</f>
        <v>Valparaíso de Goiás</v>
      </c>
      <c r="D2504" s="1" t="str">
        <f>VLOOKUP(Tabela1[[#This Row],[Cliente]],'BASE DE CLIENTES'!A:C,3,0)</f>
        <v>GO</v>
      </c>
      <c r="E2504" s="4" t="str">
        <f>CONCATENATE(Tabela1[[#This Row],[CIDADE]],",",Tabela1[[#This Row],[UF]])</f>
        <v>Valparaíso de Goiás,GO</v>
      </c>
      <c r="F2504" s="2">
        <v>45726</v>
      </c>
      <c r="G2504" s="17">
        <v>4542.5</v>
      </c>
      <c r="H2504" s="17">
        <v>6250</v>
      </c>
      <c r="I2504" s="6">
        <f>Tabela1[[#This Row],[Valor total]]-Tabela1[[#This Row],[Valor custo]]</f>
        <v>1707.5</v>
      </c>
      <c r="J2504" s="7">
        <f>Tabela1[[#This Row],[MARGEM BRUTA]]/Tabela1[[#This Row],[Valor total]]</f>
        <v>0.2732</v>
      </c>
      <c r="K2504" s="1" t="str">
        <f>VLOOKUP(Tabela1[[#This Row],[Cliente]],'BASE DE CLIENTES'!A:D,4,0)</f>
        <v>SERRALHEIRO</v>
      </c>
      <c r="L2504" s="1" t="str">
        <f>VLOOKUP(Tabela1[[#This Row],[Cliente]],'BASE DE CLIENTES'!A:E,5,0)</f>
        <v>Valparaíso de Goiás</v>
      </c>
    </row>
    <row r="2505" spans="2:12" x14ac:dyDescent="0.3">
      <c r="B2505" s="1" t="s">
        <v>111</v>
      </c>
      <c r="C2505" s="4" t="str">
        <f>VLOOKUP(Tabela1[[#This Row],[Cliente]],'BASE DE CLIENTES'!A:E,2,0)</f>
        <v>Brasília</v>
      </c>
      <c r="D2505" s="1" t="str">
        <f>VLOOKUP(Tabela1[[#This Row],[Cliente]],'BASE DE CLIENTES'!A:C,3,0)</f>
        <v>DF</v>
      </c>
      <c r="E2505" s="4" t="str">
        <f>CONCATENATE(Tabela1[[#This Row],[CIDADE]],",",Tabela1[[#This Row],[UF]])</f>
        <v>Brasília,DF</v>
      </c>
      <c r="F2505" s="2">
        <v>45912</v>
      </c>
      <c r="G2505" s="17">
        <v>2435.21</v>
      </c>
      <c r="H2505" s="17">
        <v>4190</v>
      </c>
      <c r="I2505" s="6">
        <f>Tabela1[[#This Row],[Valor total]]-Tabela1[[#This Row],[Valor custo]]</f>
        <v>1754.79</v>
      </c>
      <c r="J2505" s="7">
        <f>Tabela1[[#This Row],[MARGEM BRUTA]]/Tabela1[[#This Row],[Valor total]]</f>
        <v>0.41880429594272073</v>
      </c>
      <c r="K2505" s="1" t="str">
        <f>VLOOKUP(Tabela1[[#This Row],[Cliente]],'BASE DE CLIENTES'!A:D,4,0)</f>
        <v>EMPRESA SEM MAQUINA</v>
      </c>
      <c r="L2505" s="1" t="str">
        <f>VLOOKUP(Tabela1[[#This Row],[Cliente]],'BASE DE CLIENTES'!A:E,5,0)</f>
        <v>TAGUATINGA SUL (TAGUATINGA)</v>
      </c>
    </row>
    <row r="2506" spans="2:12" x14ac:dyDescent="0.3">
      <c r="B2506" s="1" t="s">
        <v>52</v>
      </c>
      <c r="C2506" s="4" t="str">
        <f>VLOOKUP(Tabela1[[#This Row],[Cliente]],'BASE DE CLIENTES'!A:E,2,0)</f>
        <v>Brasília</v>
      </c>
      <c r="D2506" s="1" t="str">
        <f>VLOOKUP(Tabela1[[#This Row],[Cliente]],'BASE DE CLIENTES'!A:C,3,0)</f>
        <v>DF</v>
      </c>
      <c r="E2506" s="4" t="str">
        <f>CONCATENATE(Tabela1[[#This Row],[CIDADE]],",",Tabela1[[#This Row],[UF]])</f>
        <v>Brasília,DF</v>
      </c>
      <c r="F2506" s="2">
        <v>45912</v>
      </c>
      <c r="G2506" s="17">
        <v>20</v>
      </c>
      <c r="H2506" s="17">
        <v>50</v>
      </c>
      <c r="I2506" s="6">
        <f>Tabela1[[#This Row],[Valor total]]-Tabela1[[#This Row],[Valor custo]]</f>
        <v>30</v>
      </c>
      <c r="J2506" s="7">
        <f>Tabela1[[#This Row],[MARGEM BRUTA]]/Tabela1[[#This Row],[Valor total]]</f>
        <v>0.6</v>
      </c>
      <c r="K2506" s="1" t="str">
        <f>VLOOKUP(Tabela1[[#This Row],[Cliente]],'BASE DE CLIENTES'!A:D,4,0)</f>
        <v>SERRALHEIRO</v>
      </c>
      <c r="L2506" s="1" t="str">
        <f>VLOOKUP(Tabela1[[#This Row],[Cliente]],'BASE DE CLIENTES'!A:E,5,0)</f>
        <v>Ceilândia Sul (Ceilândia)</v>
      </c>
    </row>
    <row r="2507" spans="2:12" x14ac:dyDescent="0.3">
      <c r="B2507" s="1" t="s">
        <v>316</v>
      </c>
      <c r="C2507" s="4" t="str">
        <f>VLOOKUP(Tabela1[[#This Row],[Cliente]],'BASE DE CLIENTES'!A:E,2,0)</f>
        <v>Valparaíso de Goiás</v>
      </c>
      <c r="D2507" s="1" t="str">
        <f>VLOOKUP(Tabela1[[#This Row],[Cliente]],'BASE DE CLIENTES'!A:C,3,0)</f>
        <v>GO</v>
      </c>
      <c r="E2507" s="4" t="str">
        <f>CONCATENATE(Tabela1[[#This Row],[CIDADE]],",",Tabela1[[#This Row],[UF]])</f>
        <v>Valparaíso de Goiás,GO</v>
      </c>
      <c r="F2507" s="2">
        <v>45726</v>
      </c>
      <c r="G2507" s="17">
        <v>268.45999999999998</v>
      </c>
      <c r="H2507" s="17">
        <v>567.75</v>
      </c>
      <c r="I2507" s="6">
        <f>Tabela1[[#This Row],[Valor total]]-Tabela1[[#This Row],[Valor custo]]</f>
        <v>299.29000000000002</v>
      </c>
      <c r="J2507" s="7">
        <f>Tabela1[[#This Row],[MARGEM BRUTA]]/Tabela1[[#This Row],[Valor total]]</f>
        <v>0.52715103478643777</v>
      </c>
      <c r="K2507" s="1" t="str">
        <f>VLOOKUP(Tabela1[[#This Row],[Cliente]],'BASE DE CLIENTES'!A:D,4,0)</f>
        <v>SERRALHEIRO</v>
      </c>
      <c r="L2507" s="1" t="str">
        <f>VLOOKUP(Tabela1[[#This Row],[Cliente]],'BASE DE CLIENTES'!A:E,5,0)</f>
        <v>Valparaíso de Goiás</v>
      </c>
    </row>
    <row r="2508" spans="2:12" x14ac:dyDescent="0.3">
      <c r="B2508" s="1" t="s">
        <v>142</v>
      </c>
      <c r="C2508" s="4" t="str">
        <f>VLOOKUP(Tabela1[[#This Row],[Cliente]],'BASE DE CLIENTES'!A:E,2,0)</f>
        <v>Brasília</v>
      </c>
      <c r="D2508" s="1" t="str">
        <f>VLOOKUP(Tabela1[[#This Row],[Cliente]],'BASE DE CLIENTES'!A:C,3,0)</f>
        <v>DF</v>
      </c>
      <c r="E2508" s="4" t="str">
        <f>CONCATENATE(Tabela1[[#This Row],[CIDADE]],",",Tabela1[[#This Row],[UF]])</f>
        <v>Brasília,DF</v>
      </c>
      <c r="F2508" s="2">
        <v>45912</v>
      </c>
      <c r="G2508" s="17">
        <v>55</v>
      </c>
      <c r="H2508" s="17">
        <v>200</v>
      </c>
      <c r="I2508" s="6">
        <f>Tabela1[[#This Row],[Valor total]]-Tabela1[[#This Row],[Valor custo]]</f>
        <v>145</v>
      </c>
      <c r="J2508" s="7">
        <f>Tabela1[[#This Row],[MARGEM BRUTA]]/Tabela1[[#This Row],[Valor total]]</f>
        <v>0.72499999999999998</v>
      </c>
      <c r="K2508" s="1" t="str">
        <f>VLOOKUP(Tabela1[[#This Row],[Cliente]],'BASE DE CLIENTES'!A:D,4,0)</f>
        <v>OUTROS RAMOS</v>
      </c>
      <c r="L2508" s="1" t="str">
        <f>VLOOKUP(Tabela1[[#This Row],[Cliente]],'BASE DE CLIENTES'!A:E,5,0)</f>
        <v>RIACHO FUNDO II</v>
      </c>
    </row>
    <row r="2509" spans="2:12" x14ac:dyDescent="0.3">
      <c r="B2509" s="1" t="s">
        <v>161</v>
      </c>
      <c r="C2509" s="4" t="str">
        <f>VLOOKUP(Tabela1[[#This Row],[Cliente]],'BASE DE CLIENTES'!A:E,2,0)</f>
        <v>Brasília</v>
      </c>
      <c r="D2509" s="1" t="str">
        <f>VLOOKUP(Tabela1[[#This Row],[Cliente]],'BASE DE CLIENTES'!A:C,3,0)</f>
        <v>DF</v>
      </c>
      <c r="E2509" s="4" t="str">
        <f>CONCATENATE(Tabela1[[#This Row],[CIDADE]],",",Tabela1[[#This Row],[UF]])</f>
        <v>Brasília,DF</v>
      </c>
      <c r="F2509" s="2">
        <v>45912</v>
      </c>
      <c r="G2509" s="17">
        <v>2385</v>
      </c>
      <c r="H2509" s="17">
        <v>4000</v>
      </c>
      <c r="I2509" s="6">
        <f>Tabela1[[#This Row],[Valor total]]-Tabela1[[#This Row],[Valor custo]]</f>
        <v>1615</v>
      </c>
      <c r="J2509" s="7">
        <f>Tabela1[[#This Row],[MARGEM BRUTA]]/Tabela1[[#This Row],[Valor total]]</f>
        <v>0.40375</v>
      </c>
      <c r="K2509" s="1" t="str">
        <f>VLOOKUP(Tabela1[[#This Row],[Cliente]],'BASE DE CLIENTES'!A:D,4,0)</f>
        <v>EMPRESA COM MAQUINA</v>
      </c>
      <c r="L2509" s="1" t="str">
        <f>VLOOKUP(Tabela1[[#This Row],[Cliente]],'BASE DE CLIENTES'!A:E,5,0)</f>
        <v>RIACHO FUNDO II</v>
      </c>
    </row>
    <row r="2510" spans="2:12" x14ac:dyDescent="0.3">
      <c r="B2510" s="1" t="s">
        <v>165</v>
      </c>
      <c r="C2510" s="4" t="str">
        <f>VLOOKUP(Tabela1[[#This Row],[Cliente]],'BASE DE CLIENTES'!A:E,2,0)</f>
        <v>Brasília</v>
      </c>
      <c r="D2510" s="1" t="str">
        <f>VLOOKUP(Tabela1[[#This Row],[Cliente]],'BASE DE CLIENTES'!A:C,3,0)</f>
        <v>DF</v>
      </c>
      <c r="E2510" s="4" t="str">
        <f>CONCATENATE(Tabela1[[#This Row],[CIDADE]],",",Tabela1[[#This Row],[UF]])</f>
        <v>Brasília,DF</v>
      </c>
      <c r="F2510" s="2">
        <v>45912</v>
      </c>
      <c r="G2510" s="17">
        <v>661.2</v>
      </c>
      <c r="H2510" s="17">
        <v>1265</v>
      </c>
      <c r="I2510" s="6">
        <f>Tabela1[[#This Row],[Valor total]]-Tabela1[[#This Row],[Valor custo]]</f>
        <v>603.79999999999995</v>
      </c>
      <c r="J2510" s="7">
        <f>Tabela1[[#This Row],[MARGEM BRUTA]]/Tabela1[[#This Row],[Valor total]]</f>
        <v>0.47731225296442686</v>
      </c>
      <c r="K2510" s="1" t="str">
        <f>VLOOKUP(Tabela1[[#This Row],[Cliente]],'BASE DE CLIENTES'!A:D,4,0)</f>
        <v>EMPRESA SEM MAQUINA</v>
      </c>
      <c r="L2510" s="1" t="str">
        <f>VLOOKUP(Tabela1[[#This Row],[Cliente]],'BASE DE CLIENTES'!A:E,5,0)</f>
        <v>SETOR HABITACIONAL VICENTE PIRES</v>
      </c>
    </row>
    <row r="2511" spans="2:12" x14ac:dyDescent="0.3">
      <c r="B2511" s="1" t="s">
        <v>321</v>
      </c>
      <c r="C2511" s="4" t="str">
        <f>VLOOKUP(Tabela1[[#This Row],[Cliente]],'BASE DE CLIENTES'!A:E,2,0)</f>
        <v>Valparaíso de Goiás</v>
      </c>
      <c r="D2511" s="1" t="str">
        <f>VLOOKUP(Tabela1[[#This Row],[Cliente]],'BASE DE CLIENTES'!A:C,3,0)</f>
        <v>GO</v>
      </c>
      <c r="E2511" s="4" t="str">
        <f>CONCATENATE(Tabela1[[#This Row],[CIDADE]],",",Tabela1[[#This Row],[UF]])</f>
        <v>Valparaíso de Goiás,GO</v>
      </c>
      <c r="F2511" s="2">
        <v>45722</v>
      </c>
      <c r="G2511" s="17">
        <v>1317.6</v>
      </c>
      <c r="H2511" s="17">
        <v>1935</v>
      </c>
      <c r="I2511" s="6">
        <f>Tabela1[[#This Row],[Valor total]]-Tabela1[[#This Row],[Valor custo]]</f>
        <v>617.40000000000009</v>
      </c>
      <c r="J2511" s="7">
        <f>Tabela1[[#This Row],[MARGEM BRUTA]]/Tabela1[[#This Row],[Valor total]]</f>
        <v>0.3190697674418605</v>
      </c>
      <c r="K2511" s="1" t="str">
        <f>VLOOKUP(Tabela1[[#This Row],[Cliente]],'BASE DE CLIENTES'!A:D,4,0)</f>
        <v>EMPRESA COM MAQUINA</v>
      </c>
      <c r="L2511" s="1" t="str">
        <f>VLOOKUP(Tabela1[[#This Row],[Cliente]],'BASE DE CLIENTES'!A:E,5,0)</f>
        <v>Valparaíso de Goiás</v>
      </c>
    </row>
    <row r="2512" spans="2:12" x14ac:dyDescent="0.3">
      <c r="B2512" s="1" t="s">
        <v>68</v>
      </c>
      <c r="C2512" s="4" t="str">
        <f>VLOOKUP(Tabela1[[#This Row],[Cliente]],'BASE DE CLIENTES'!A:E,2,0)</f>
        <v>Brasília</v>
      </c>
      <c r="D2512" s="1" t="str">
        <f>VLOOKUP(Tabela1[[#This Row],[Cliente]],'BASE DE CLIENTES'!A:C,3,0)</f>
        <v>DF</v>
      </c>
      <c r="E2512" s="4" t="str">
        <f>CONCATENATE(Tabela1[[#This Row],[CIDADE]],",",Tabela1[[#This Row],[UF]])</f>
        <v>Brasília,DF</v>
      </c>
      <c r="F2512" s="2">
        <v>45911</v>
      </c>
      <c r="G2512" s="17">
        <v>7077.09</v>
      </c>
      <c r="H2512" s="17">
        <v>11495</v>
      </c>
      <c r="I2512" s="6">
        <f>Tabela1[[#This Row],[Valor total]]-Tabela1[[#This Row],[Valor custo]]</f>
        <v>4417.91</v>
      </c>
      <c r="J2512" s="7">
        <f>Tabela1[[#This Row],[MARGEM BRUTA]]/Tabela1[[#This Row],[Valor total]]</f>
        <v>0.3843331883427577</v>
      </c>
      <c r="K2512" s="1" t="str">
        <f>VLOOKUP(Tabela1[[#This Row],[Cliente]],'BASE DE CLIENTES'!A:D,4,0)</f>
        <v>EMPRESA COM MAQUINA</v>
      </c>
      <c r="L2512" s="1" t="str">
        <f>VLOOKUP(Tabela1[[#This Row],[Cliente]],'BASE DE CLIENTES'!A:E,5,0)</f>
        <v>SAMAMBAIA SUL (SAMAMBAIA)</v>
      </c>
    </row>
    <row r="2513" spans="2:12" x14ac:dyDescent="0.3">
      <c r="B2513" s="1" t="s">
        <v>85</v>
      </c>
      <c r="C2513" s="4" t="str">
        <f>VLOOKUP(Tabela1[[#This Row],[Cliente]],'BASE DE CLIENTES'!A:E,2,0)</f>
        <v>Brasília</v>
      </c>
      <c r="D2513" s="1" t="str">
        <f>VLOOKUP(Tabela1[[#This Row],[Cliente]],'BASE DE CLIENTES'!A:C,3,0)</f>
        <v>DF</v>
      </c>
      <c r="E2513" s="4" t="str">
        <f>CONCATENATE(Tabela1[[#This Row],[CIDADE]],",",Tabela1[[#This Row],[UF]])</f>
        <v>Brasília,DF</v>
      </c>
      <c r="F2513" s="2">
        <v>45911</v>
      </c>
      <c r="G2513" s="17">
        <v>289</v>
      </c>
      <c r="H2513" s="17">
        <v>669.5</v>
      </c>
      <c r="I2513" s="6">
        <f>Tabela1[[#This Row],[Valor total]]-Tabela1[[#This Row],[Valor custo]]</f>
        <v>380.5</v>
      </c>
      <c r="J2513" s="7">
        <f>Tabela1[[#This Row],[MARGEM BRUTA]]/Tabela1[[#This Row],[Valor total]]</f>
        <v>0.56833457804331589</v>
      </c>
      <c r="K2513" s="1" t="str">
        <f>VLOOKUP(Tabela1[[#This Row],[Cliente]],'BASE DE CLIENTES'!A:D,4,0)</f>
        <v>SERRALHEIRO</v>
      </c>
      <c r="L2513" s="1" t="str">
        <f>VLOOKUP(Tabela1[[#This Row],[Cliente]],'BASE DE CLIENTES'!A:E,5,0)</f>
        <v>SAMAMBAIA NORTE (SAMAMBAIA)</v>
      </c>
    </row>
    <row r="2514" spans="2:12" x14ac:dyDescent="0.3">
      <c r="B2514" s="1" t="s">
        <v>316</v>
      </c>
      <c r="C2514" s="4" t="str">
        <f>VLOOKUP(Tabela1[[#This Row],[Cliente]],'BASE DE CLIENTES'!A:E,2,0)</f>
        <v>Valparaíso de Goiás</v>
      </c>
      <c r="D2514" s="1" t="str">
        <f>VLOOKUP(Tabela1[[#This Row],[Cliente]],'BASE DE CLIENTES'!A:C,3,0)</f>
        <v>GO</v>
      </c>
      <c r="E2514" s="4" t="str">
        <f>CONCATENATE(Tabela1[[#This Row],[CIDADE]],",",Tabela1[[#This Row],[UF]])</f>
        <v>Valparaíso de Goiás,GO</v>
      </c>
      <c r="F2514" s="2">
        <v>45777</v>
      </c>
      <c r="G2514" s="17">
        <v>268.45999999999998</v>
      </c>
      <c r="H2514" s="17">
        <v>550</v>
      </c>
      <c r="I2514" s="6">
        <f>Tabela1[[#This Row],[Valor total]]-Tabela1[[#This Row],[Valor custo]]</f>
        <v>281.54000000000002</v>
      </c>
      <c r="J2514" s="7">
        <f>Tabela1[[#This Row],[MARGEM BRUTA]]/Tabela1[[#This Row],[Valor total]]</f>
        <v>0.51189090909090917</v>
      </c>
      <c r="K2514" s="1" t="str">
        <f>VLOOKUP(Tabela1[[#This Row],[Cliente]],'BASE DE CLIENTES'!A:D,4,0)</f>
        <v>SERRALHEIRO</v>
      </c>
      <c r="L2514" s="1" t="str">
        <f>VLOOKUP(Tabela1[[#This Row],[Cliente]],'BASE DE CLIENTES'!A:E,5,0)</f>
        <v>Valparaíso de Goiás</v>
      </c>
    </row>
    <row r="2515" spans="2:12" x14ac:dyDescent="0.3">
      <c r="B2515" s="1" t="s">
        <v>52</v>
      </c>
      <c r="C2515" s="4" t="str">
        <f>VLOOKUP(Tabela1[[#This Row],[Cliente]],'BASE DE CLIENTES'!A:E,2,0)</f>
        <v>Brasília</v>
      </c>
      <c r="D2515" s="1" t="str">
        <f>VLOOKUP(Tabela1[[#This Row],[Cliente]],'BASE DE CLIENTES'!A:C,3,0)</f>
        <v>DF</v>
      </c>
      <c r="E2515" s="4" t="str">
        <f>CONCATENATE(Tabela1[[#This Row],[CIDADE]],",",Tabela1[[#This Row],[UF]])</f>
        <v>Brasília,DF</v>
      </c>
      <c r="F2515" s="2">
        <v>45911</v>
      </c>
      <c r="G2515" s="17">
        <v>969.27</v>
      </c>
      <c r="H2515" s="17">
        <v>1540</v>
      </c>
      <c r="I2515" s="6">
        <f>Tabela1[[#This Row],[Valor total]]-Tabela1[[#This Row],[Valor custo]]</f>
        <v>570.73</v>
      </c>
      <c r="J2515" s="7">
        <f>Tabela1[[#This Row],[MARGEM BRUTA]]/Tabela1[[#This Row],[Valor total]]</f>
        <v>0.3706038961038961</v>
      </c>
      <c r="K2515" s="1" t="str">
        <f>VLOOKUP(Tabela1[[#This Row],[Cliente]],'BASE DE CLIENTES'!A:D,4,0)</f>
        <v>SERRALHEIRO</v>
      </c>
      <c r="L2515" s="1" t="str">
        <f>VLOOKUP(Tabela1[[#This Row],[Cliente]],'BASE DE CLIENTES'!A:E,5,0)</f>
        <v>Ceilândia Sul (Ceilândia)</v>
      </c>
    </row>
    <row r="2516" spans="2:12" x14ac:dyDescent="0.3">
      <c r="B2516" s="1" t="s">
        <v>230</v>
      </c>
      <c r="C2516" s="4" t="str">
        <f>VLOOKUP(Tabela1[[#This Row],[Cliente]],'BASE DE CLIENTES'!A:E,2,0)</f>
        <v>Brasília</v>
      </c>
      <c r="D2516" s="1" t="str">
        <f>VLOOKUP(Tabela1[[#This Row],[Cliente]],'BASE DE CLIENTES'!A:C,3,0)</f>
        <v>DF</v>
      </c>
      <c r="E2516" s="4" t="str">
        <f>CONCATENATE(Tabela1[[#This Row],[CIDADE]],",",Tabela1[[#This Row],[UF]])</f>
        <v>Brasília,DF</v>
      </c>
      <c r="F2516" s="2">
        <v>45911</v>
      </c>
      <c r="G2516" s="17">
        <v>437.3</v>
      </c>
      <c r="H2516" s="17">
        <v>705</v>
      </c>
      <c r="I2516" s="6">
        <f>Tabela1[[#This Row],[Valor total]]-Tabela1[[#This Row],[Valor custo]]</f>
        <v>267.7</v>
      </c>
      <c r="J2516" s="7">
        <f>Tabela1[[#This Row],[MARGEM BRUTA]]/Tabela1[[#This Row],[Valor total]]</f>
        <v>0.37971631205673756</v>
      </c>
      <c r="K2516" s="1" t="str">
        <f>VLOOKUP(Tabela1[[#This Row],[Cliente]],'BASE DE CLIENTES'!A:D,4,0)</f>
        <v>SERRALHEIRO</v>
      </c>
      <c r="L2516" s="1" t="str">
        <f>VLOOKUP(Tabela1[[#This Row],[Cliente]],'BASE DE CLIENTES'!A:E,5,0)</f>
        <v>SETOR HABITACIONAL SAMAMBAIA (VICENTE PIRES)</v>
      </c>
    </row>
    <row r="2517" spans="2:12" x14ac:dyDescent="0.3">
      <c r="B2517" s="1" t="s">
        <v>319</v>
      </c>
      <c r="C2517" s="4" t="str">
        <f>VLOOKUP(Tabela1[[#This Row],[Cliente]],'BASE DE CLIENTES'!A:E,2,0)</f>
        <v>Valparaíso de Goiás</v>
      </c>
      <c r="D2517" s="1" t="str">
        <f>VLOOKUP(Tabela1[[#This Row],[Cliente]],'BASE DE CLIENTES'!A:C,3,0)</f>
        <v>GO</v>
      </c>
      <c r="E2517" s="4" t="str">
        <f>CONCATENATE(Tabela1[[#This Row],[CIDADE]],",",Tabela1[[#This Row],[UF]])</f>
        <v>Valparaíso de Goiás,GO</v>
      </c>
      <c r="F2517" s="2">
        <v>45775</v>
      </c>
      <c r="G2517" s="17">
        <v>823</v>
      </c>
      <c r="H2517" s="17">
        <v>1075</v>
      </c>
      <c r="I2517" s="6">
        <f>Tabela1[[#This Row],[Valor total]]-Tabela1[[#This Row],[Valor custo]]</f>
        <v>252</v>
      </c>
      <c r="J2517" s="7">
        <f>Tabela1[[#This Row],[MARGEM BRUTA]]/Tabela1[[#This Row],[Valor total]]</f>
        <v>0.23441860465116279</v>
      </c>
      <c r="K2517" s="1" t="str">
        <f>VLOOKUP(Tabela1[[#This Row],[Cliente]],'BASE DE CLIENTES'!A:D,4,0)</f>
        <v>EMPRESA COM MAQUINA</v>
      </c>
      <c r="L2517" s="1" t="str">
        <f>VLOOKUP(Tabela1[[#This Row],[Cliente]],'BASE DE CLIENTES'!A:E,5,0)</f>
        <v>Valparaíso de Goiás</v>
      </c>
    </row>
    <row r="2518" spans="2:12" x14ac:dyDescent="0.3">
      <c r="B2518" s="1" t="s">
        <v>106</v>
      </c>
      <c r="C2518" s="4" t="str">
        <f>VLOOKUP(Tabela1[[#This Row],[Cliente]],'BASE DE CLIENTES'!A:E,2,0)</f>
        <v>Brasília</v>
      </c>
      <c r="D2518" s="1" t="str">
        <f>VLOOKUP(Tabela1[[#This Row],[Cliente]],'BASE DE CLIENTES'!A:C,3,0)</f>
        <v>DF</v>
      </c>
      <c r="E2518" s="4" t="str">
        <f>CONCATENATE(Tabela1[[#This Row],[CIDADE]],",",Tabela1[[#This Row],[UF]])</f>
        <v>Brasília,DF</v>
      </c>
      <c r="F2518" s="2">
        <v>45911</v>
      </c>
      <c r="G2518" s="17">
        <v>1247.8800000000001</v>
      </c>
      <c r="H2518" s="17">
        <v>1900</v>
      </c>
      <c r="I2518" s="6">
        <f>Tabela1[[#This Row],[Valor total]]-Tabela1[[#This Row],[Valor custo]]</f>
        <v>652.11999999999989</v>
      </c>
      <c r="J2518" s="7">
        <f>Tabela1[[#This Row],[MARGEM BRUTA]]/Tabela1[[#This Row],[Valor total]]</f>
        <v>0.34322105263157887</v>
      </c>
      <c r="K2518" s="1" t="str">
        <f>VLOOKUP(Tabela1[[#This Row],[Cliente]],'BASE DE CLIENTES'!A:D,4,0)</f>
        <v>EMPRESA COM MAQUINA</v>
      </c>
      <c r="L2518" s="1" t="str">
        <f>VLOOKUP(Tabela1[[#This Row],[Cliente]],'BASE DE CLIENTES'!A:E,5,0)</f>
        <v>26 DE SETEMBRO</v>
      </c>
    </row>
    <row r="2519" spans="2:12" x14ac:dyDescent="0.3">
      <c r="B2519" s="1" t="s">
        <v>27</v>
      </c>
      <c r="C2519" s="4" t="str">
        <f>VLOOKUP(Tabela1[[#This Row],[Cliente]],'BASE DE CLIENTES'!A:E,2,0)</f>
        <v>Brasília</v>
      </c>
      <c r="D2519" s="1" t="str">
        <f>VLOOKUP(Tabela1[[#This Row],[Cliente]],'BASE DE CLIENTES'!A:C,3,0)</f>
        <v>DF</v>
      </c>
      <c r="E2519" s="4" t="str">
        <f>CONCATENATE(Tabela1[[#This Row],[CIDADE]],",",Tabela1[[#This Row],[UF]])</f>
        <v>Brasília,DF</v>
      </c>
      <c r="F2519" s="2">
        <v>45911</v>
      </c>
      <c r="G2519" s="17">
        <v>108.15</v>
      </c>
      <c r="H2519" s="17">
        <v>420</v>
      </c>
      <c r="I2519" s="6">
        <f>Tabela1[[#This Row],[Valor total]]-Tabela1[[#This Row],[Valor custo]]</f>
        <v>311.85000000000002</v>
      </c>
      <c r="J2519" s="7">
        <f>Tabela1[[#This Row],[MARGEM BRUTA]]/Tabela1[[#This Row],[Valor total]]</f>
        <v>0.74250000000000005</v>
      </c>
      <c r="K2519" s="1" t="str">
        <f>VLOOKUP(Tabela1[[#This Row],[Cliente]],'BASE DE CLIENTES'!A:D,4,0)</f>
        <v>EMPRESA SEM MAQUINA</v>
      </c>
      <c r="L2519" s="1" t="str">
        <f>VLOOKUP(Tabela1[[#This Row],[Cliente]],'BASE DE CLIENTES'!A:E,5,0)</f>
        <v>RECANTO DAS EMAS</v>
      </c>
    </row>
    <row r="2520" spans="2:12" x14ac:dyDescent="0.3">
      <c r="B2520" s="1" t="s">
        <v>68</v>
      </c>
      <c r="C2520" s="4" t="str">
        <f>VLOOKUP(Tabela1[[#This Row],[Cliente]],'BASE DE CLIENTES'!A:E,2,0)</f>
        <v>Brasília</v>
      </c>
      <c r="D2520" s="1" t="str">
        <f>VLOOKUP(Tabela1[[#This Row],[Cliente]],'BASE DE CLIENTES'!A:C,3,0)</f>
        <v>DF</v>
      </c>
      <c r="E2520" s="4" t="str">
        <f>CONCATENATE(Tabela1[[#This Row],[CIDADE]],",",Tabela1[[#This Row],[UF]])</f>
        <v>Brasília,DF</v>
      </c>
      <c r="F2520" s="2">
        <v>45911</v>
      </c>
      <c r="G2520" s="17">
        <v>4446.57</v>
      </c>
      <c r="H2520" s="17">
        <v>7075</v>
      </c>
      <c r="I2520" s="6">
        <f>Tabela1[[#This Row],[Valor total]]-Tabela1[[#This Row],[Valor custo]]</f>
        <v>2628.4300000000003</v>
      </c>
      <c r="J2520" s="7">
        <f>Tabela1[[#This Row],[MARGEM BRUTA]]/Tabela1[[#This Row],[Valor total]]</f>
        <v>0.37150954063604247</v>
      </c>
      <c r="K2520" s="1" t="str">
        <f>VLOOKUP(Tabela1[[#This Row],[Cliente]],'BASE DE CLIENTES'!A:D,4,0)</f>
        <v>EMPRESA COM MAQUINA</v>
      </c>
      <c r="L2520" s="1" t="str">
        <f>VLOOKUP(Tabela1[[#This Row],[Cliente]],'BASE DE CLIENTES'!A:E,5,0)</f>
        <v>SAMAMBAIA SUL (SAMAMBAIA)</v>
      </c>
    </row>
    <row r="2521" spans="2:12" x14ac:dyDescent="0.3">
      <c r="B2521" s="1" t="s">
        <v>316</v>
      </c>
      <c r="C2521" s="4" t="str">
        <f>VLOOKUP(Tabela1[[#This Row],[Cliente]],'BASE DE CLIENTES'!A:E,2,0)</f>
        <v>Valparaíso de Goiás</v>
      </c>
      <c r="D2521" s="1" t="str">
        <f>VLOOKUP(Tabela1[[#This Row],[Cliente]],'BASE DE CLIENTES'!A:C,3,0)</f>
        <v>GO</v>
      </c>
      <c r="E2521" s="4" t="str">
        <f>CONCATENATE(Tabela1[[#This Row],[CIDADE]],",",Tabela1[[#This Row],[UF]])</f>
        <v>Valparaíso de Goiás,GO</v>
      </c>
      <c r="F2521" s="2">
        <v>45769</v>
      </c>
      <c r="G2521" s="17">
        <v>521</v>
      </c>
      <c r="H2521" s="17">
        <v>840</v>
      </c>
      <c r="I2521" s="6">
        <f>Tabela1[[#This Row],[Valor total]]-Tabela1[[#This Row],[Valor custo]]</f>
        <v>319</v>
      </c>
      <c r="J2521" s="7">
        <f>Tabela1[[#This Row],[MARGEM BRUTA]]/Tabela1[[#This Row],[Valor total]]</f>
        <v>0.37976190476190474</v>
      </c>
      <c r="K2521" s="1" t="str">
        <f>VLOOKUP(Tabela1[[#This Row],[Cliente]],'BASE DE CLIENTES'!A:D,4,0)</f>
        <v>SERRALHEIRO</v>
      </c>
      <c r="L2521" s="1" t="str">
        <f>VLOOKUP(Tabela1[[#This Row],[Cliente]],'BASE DE CLIENTES'!A:E,5,0)</f>
        <v>Valparaíso de Goiás</v>
      </c>
    </row>
    <row r="2522" spans="2:12" x14ac:dyDescent="0.3">
      <c r="B2522" s="1" t="s">
        <v>316</v>
      </c>
      <c r="C2522" s="4" t="str">
        <f>VLOOKUP(Tabela1[[#This Row],[Cliente]],'BASE DE CLIENTES'!A:E,2,0)</f>
        <v>Valparaíso de Goiás</v>
      </c>
      <c r="D2522" s="1" t="str">
        <f>VLOOKUP(Tabela1[[#This Row],[Cliente]],'BASE DE CLIENTES'!A:C,3,0)</f>
        <v>GO</v>
      </c>
      <c r="E2522" s="4" t="str">
        <f>CONCATENATE(Tabela1[[#This Row],[CIDADE]],",",Tabela1[[#This Row],[UF]])</f>
        <v>Valparaíso de Goiás,GO</v>
      </c>
      <c r="F2522" s="2">
        <v>45769</v>
      </c>
      <c r="G2522" s="17">
        <v>39.5</v>
      </c>
      <c r="H2522" s="17">
        <v>175</v>
      </c>
      <c r="I2522" s="6">
        <f>Tabela1[[#This Row],[Valor total]]-Tabela1[[#This Row],[Valor custo]]</f>
        <v>135.5</v>
      </c>
      <c r="J2522" s="7">
        <f>Tabela1[[#This Row],[MARGEM BRUTA]]/Tabela1[[#This Row],[Valor total]]</f>
        <v>0.77428571428571424</v>
      </c>
      <c r="K2522" s="1" t="str">
        <f>VLOOKUP(Tabela1[[#This Row],[Cliente]],'BASE DE CLIENTES'!A:D,4,0)</f>
        <v>SERRALHEIRO</v>
      </c>
      <c r="L2522" s="1" t="str">
        <f>VLOOKUP(Tabela1[[#This Row],[Cliente]],'BASE DE CLIENTES'!A:E,5,0)</f>
        <v>Valparaíso de Goiás</v>
      </c>
    </row>
    <row r="2523" spans="2:12" x14ac:dyDescent="0.3">
      <c r="B2523" s="1" t="s">
        <v>97</v>
      </c>
      <c r="C2523" s="4" t="str">
        <f>VLOOKUP(Tabela1[[#This Row],[Cliente]],'BASE DE CLIENTES'!A:E,2,0)</f>
        <v>Brasília</v>
      </c>
      <c r="D2523" s="1" t="str">
        <f>VLOOKUP(Tabela1[[#This Row],[Cliente]],'BASE DE CLIENTES'!A:C,3,0)</f>
        <v>DF</v>
      </c>
      <c r="E2523" s="4" t="str">
        <f>CONCATENATE(Tabela1[[#This Row],[CIDADE]],",",Tabela1[[#This Row],[UF]])</f>
        <v>Brasília,DF</v>
      </c>
      <c r="F2523" s="2">
        <v>45911</v>
      </c>
      <c r="G2523" s="17">
        <v>1081.79</v>
      </c>
      <c r="H2523" s="17">
        <v>1970</v>
      </c>
      <c r="I2523" s="6">
        <f>Tabela1[[#This Row],[Valor total]]-Tabela1[[#This Row],[Valor custo]]</f>
        <v>888.21</v>
      </c>
      <c r="J2523" s="7">
        <f>Tabela1[[#This Row],[MARGEM BRUTA]]/Tabela1[[#This Row],[Valor total]]</f>
        <v>0.45086802030456857</v>
      </c>
      <c r="K2523" s="1" t="str">
        <f>VLOOKUP(Tabela1[[#This Row],[Cliente]],'BASE DE CLIENTES'!A:D,4,0)</f>
        <v>SERRALHEIRO</v>
      </c>
      <c r="L2523" s="1" t="str">
        <f>VLOOKUP(Tabela1[[#This Row],[Cliente]],'BASE DE CLIENTES'!A:E,5,0)</f>
        <v>CEILANDIA NORTE</v>
      </c>
    </row>
    <row r="2524" spans="2:12" x14ac:dyDescent="0.3">
      <c r="B2524" s="1" t="s">
        <v>230</v>
      </c>
      <c r="C2524" s="4" t="str">
        <f>VLOOKUP(Tabela1[[#This Row],[Cliente]],'BASE DE CLIENTES'!A:E,2,0)</f>
        <v>Brasília</v>
      </c>
      <c r="D2524" s="1" t="str">
        <f>VLOOKUP(Tabela1[[#This Row],[Cliente]],'BASE DE CLIENTES'!A:C,3,0)</f>
        <v>DF</v>
      </c>
      <c r="E2524" s="4" t="str">
        <f>CONCATENATE(Tabela1[[#This Row],[CIDADE]],",",Tabela1[[#This Row],[UF]])</f>
        <v>Brasília,DF</v>
      </c>
      <c r="F2524" s="2">
        <v>45910</v>
      </c>
      <c r="G2524" s="17">
        <v>14.42</v>
      </c>
      <c r="H2524" s="17">
        <v>80</v>
      </c>
      <c r="I2524" s="6">
        <f>Tabela1[[#This Row],[Valor total]]-Tabela1[[#This Row],[Valor custo]]</f>
        <v>65.58</v>
      </c>
      <c r="J2524" s="7">
        <f>Tabela1[[#This Row],[MARGEM BRUTA]]/Tabela1[[#This Row],[Valor total]]</f>
        <v>0.81974999999999998</v>
      </c>
      <c r="K2524" s="1" t="str">
        <f>VLOOKUP(Tabela1[[#This Row],[Cliente]],'BASE DE CLIENTES'!A:D,4,0)</f>
        <v>SERRALHEIRO</v>
      </c>
      <c r="L2524" s="1" t="str">
        <f>VLOOKUP(Tabela1[[#This Row],[Cliente]],'BASE DE CLIENTES'!A:E,5,0)</f>
        <v>SETOR HABITACIONAL SAMAMBAIA (VICENTE PIRES)</v>
      </c>
    </row>
    <row r="2525" spans="2:12" x14ac:dyDescent="0.3">
      <c r="B2525" s="1" t="s">
        <v>316</v>
      </c>
      <c r="C2525" s="4" t="str">
        <f>VLOOKUP(Tabela1[[#This Row],[Cliente]],'BASE DE CLIENTES'!A:E,2,0)</f>
        <v>Valparaíso de Goiás</v>
      </c>
      <c r="D2525" s="1" t="str">
        <f>VLOOKUP(Tabela1[[#This Row],[Cliente]],'BASE DE CLIENTES'!A:C,3,0)</f>
        <v>GO</v>
      </c>
      <c r="E2525" s="4" t="str">
        <f>CONCATENATE(Tabela1[[#This Row],[CIDADE]],",",Tabela1[[#This Row],[UF]])</f>
        <v>Valparaíso de Goiás,GO</v>
      </c>
      <c r="F2525" s="2">
        <v>45761</v>
      </c>
      <c r="G2525" s="17">
        <v>740</v>
      </c>
      <c r="H2525" s="17">
        <v>1450</v>
      </c>
      <c r="I2525" s="6">
        <f>Tabela1[[#This Row],[Valor total]]-Tabela1[[#This Row],[Valor custo]]</f>
        <v>710</v>
      </c>
      <c r="J2525" s="7">
        <f>Tabela1[[#This Row],[MARGEM BRUTA]]/Tabela1[[#This Row],[Valor total]]</f>
        <v>0.48965517241379308</v>
      </c>
      <c r="K2525" s="1" t="str">
        <f>VLOOKUP(Tabela1[[#This Row],[Cliente]],'BASE DE CLIENTES'!A:D,4,0)</f>
        <v>SERRALHEIRO</v>
      </c>
      <c r="L2525" s="1" t="str">
        <f>VLOOKUP(Tabela1[[#This Row],[Cliente]],'BASE DE CLIENTES'!A:E,5,0)</f>
        <v>Valparaíso de Goiás</v>
      </c>
    </row>
    <row r="2526" spans="2:12" x14ac:dyDescent="0.3">
      <c r="B2526" s="1" t="s">
        <v>88</v>
      </c>
      <c r="C2526" s="4" t="str">
        <f>VLOOKUP(Tabela1[[#This Row],[Cliente]],'BASE DE CLIENTES'!A:E,2,0)</f>
        <v>Brasília</v>
      </c>
      <c r="D2526" s="1" t="str">
        <f>VLOOKUP(Tabela1[[#This Row],[Cliente]],'BASE DE CLIENTES'!A:C,3,0)</f>
        <v>DF</v>
      </c>
      <c r="E2526" s="4" t="str">
        <f>CONCATENATE(Tabela1[[#This Row],[CIDADE]],",",Tabela1[[#This Row],[UF]])</f>
        <v>Brasília,DF</v>
      </c>
      <c r="F2526" s="2">
        <v>45910</v>
      </c>
      <c r="G2526" s="17">
        <v>2358.7199999999998</v>
      </c>
      <c r="H2526" s="17">
        <v>4300</v>
      </c>
      <c r="I2526" s="6">
        <f>Tabela1[[#This Row],[Valor total]]-Tabela1[[#This Row],[Valor custo]]</f>
        <v>1941.2800000000002</v>
      </c>
      <c r="J2526" s="7">
        <f>Tabela1[[#This Row],[MARGEM BRUTA]]/Tabela1[[#This Row],[Valor total]]</f>
        <v>0.45146046511627913</v>
      </c>
      <c r="K2526" s="1" t="str">
        <f>VLOOKUP(Tabela1[[#This Row],[Cliente]],'BASE DE CLIENTES'!A:D,4,0)</f>
        <v>SERRALHEIRO</v>
      </c>
      <c r="L2526" s="1" t="str">
        <f>VLOOKUP(Tabela1[[#This Row],[Cliente]],'BASE DE CLIENTES'!A:E,5,0)</f>
        <v>RECANTO DAS EMAS</v>
      </c>
    </row>
    <row r="2527" spans="2:12" x14ac:dyDescent="0.3">
      <c r="B2527" s="1" t="s">
        <v>106</v>
      </c>
      <c r="C2527" s="4" t="str">
        <f>VLOOKUP(Tabela1[[#This Row],[Cliente]],'BASE DE CLIENTES'!A:E,2,0)</f>
        <v>Brasília</v>
      </c>
      <c r="D2527" s="1" t="str">
        <f>VLOOKUP(Tabela1[[#This Row],[Cliente]],'BASE DE CLIENTES'!A:C,3,0)</f>
        <v>DF</v>
      </c>
      <c r="E2527" s="4" t="str">
        <f>CONCATENATE(Tabela1[[#This Row],[CIDADE]],",",Tabela1[[#This Row],[UF]])</f>
        <v>Brasília,DF</v>
      </c>
      <c r="F2527" s="2">
        <v>45910</v>
      </c>
      <c r="G2527" s="17">
        <v>432.79</v>
      </c>
      <c r="H2527" s="17">
        <v>650</v>
      </c>
      <c r="I2527" s="6">
        <f>Tabela1[[#This Row],[Valor total]]-Tabela1[[#This Row],[Valor custo]]</f>
        <v>217.20999999999998</v>
      </c>
      <c r="J2527" s="7">
        <f>Tabela1[[#This Row],[MARGEM BRUTA]]/Tabela1[[#This Row],[Valor total]]</f>
        <v>0.33416923076923072</v>
      </c>
      <c r="K2527" s="1" t="str">
        <f>VLOOKUP(Tabela1[[#This Row],[Cliente]],'BASE DE CLIENTES'!A:D,4,0)</f>
        <v>EMPRESA COM MAQUINA</v>
      </c>
      <c r="L2527" s="1" t="str">
        <f>VLOOKUP(Tabela1[[#This Row],[Cliente]],'BASE DE CLIENTES'!A:E,5,0)</f>
        <v>26 DE SETEMBRO</v>
      </c>
    </row>
    <row r="2528" spans="2:12" x14ac:dyDescent="0.3">
      <c r="B2528" s="1" t="s">
        <v>319</v>
      </c>
      <c r="C2528" s="4" t="str">
        <f>VLOOKUP(Tabela1[[#This Row],[Cliente]],'BASE DE CLIENTES'!A:E,2,0)</f>
        <v>Valparaíso de Goiás</v>
      </c>
      <c r="D2528" s="1" t="str">
        <f>VLOOKUP(Tabela1[[#This Row],[Cliente]],'BASE DE CLIENTES'!A:C,3,0)</f>
        <v>GO</v>
      </c>
      <c r="E2528" s="4" t="str">
        <f>CONCATENATE(Tabela1[[#This Row],[CIDADE]],",",Tabela1[[#This Row],[UF]])</f>
        <v>Valparaíso de Goiás,GO</v>
      </c>
      <c r="F2528" s="2">
        <v>45758</v>
      </c>
      <c r="G2528" s="17">
        <v>1099</v>
      </c>
      <c r="H2528" s="17">
        <v>1505</v>
      </c>
      <c r="I2528" s="6">
        <f>Tabela1[[#This Row],[Valor total]]-Tabela1[[#This Row],[Valor custo]]</f>
        <v>406</v>
      </c>
      <c r="J2528" s="7">
        <f>Tabela1[[#This Row],[MARGEM BRUTA]]/Tabela1[[#This Row],[Valor total]]</f>
        <v>0.26976744186046514</v>
      </c>
      <c r="K2528" s="1" t="str">
        <f>VLOOKUP(Tabela1[[#This Row],[Cliente]],'BASE DE CLIENTES'!A:D,4,0)</f>
        <v>EMPRESA COM MAQUINA</v>
      </c>
      <c r="L2528" s="1" t="str">
        <f>VLOOKUP(Tabela1[[#This Row],[Cliente]],'BASE DE CLIENTES'!A:E,5,0)</f>
        <v>Valparaíso de Goiás</v>
      </c>
    </row>
    <row r="2529" spans="2:12" x14ac:dyDescent="0.3">
      <c r="B2529" s="1" t="s">
        <v>319</v>
      </c>
      <c r="C2529" s="4" t="str">
        <f>VLOOKUP(Tabela1[[#This Row],[Cliente]],'BASE DE CLIENTES'!A:E,2,0)</f>
        <v>Valparaíso de Goiás</v>
      </c>
      <c r="D2529" s="1" t="str">
        <f>VLOOKUP(Tabela1[[#This Row],[Cliente]],'BASE DE CLIENTES'!A:C,3,0)</f>
        <v>GO</v>
      </c>
      <c r="E2529" s="4" t="str">
        <f>CONCATENATE(Tabela1[[#This Row],[CIDADE]],",",Tabela1[[#This Row],[UF]])</f>
        <v>Valparaíso de Goiás,GO</v>
      </c>
      <c r="F2529" s="2">
        <v>45751</v>
      </c>
      <c r="G2529" s="17">
        <v>148.69999999999999</v>
      </c>
      <c r="H2529" s="17">
        <v>270</v>
      </c>
      <c r="I2529" s="6">
        <f>Tabela1[[#This Row],[Valor total]]-Tabela1[[#This Row],[Valor custo]]</f>
        <v>121.30000000000001</v>
      </c>
      <c r="J2529" s="7">
        <f>Tabela1[[#This Row],[MARGEM BRUTA]]/Tabela1[[#This Row],[Valor total]]</f>
        <v>0.4492592592592593</v>
      </c>
      <c r="K2529" s="1" t="str">
        <f>VLOOKUP(Tabela1[[#This Row],[Cliente]],'BASE DE CLIENTES'!A:D,4,0)</f>
        <v>EMPRESA COM MAQUINA</v>
      </c>
      <c r="L2529" s="1" t="str">
        <f>VLOOKUP(Tabela1[[#This Row],[Cliente]],'BASE DE CLIENTES'!A:E,5,0)</f>
        <v>Valparaíso de Goiás</v>
      </c>
    </row>
    <row r="2530" spans="2:12" x14ac:dyDescent="0.3">
      <c r="B2530" s="1" t="s">
        <v>325</v>
      </c>
      <c r="C2530" s="4" t="str">
        <f>VLOOKUP(Tabela1[[#This Row],[Cliente]],'BASE DE CLIENTES'!A:E,2,0)</f>
        <v>Valparaíso de Goiás</v>
      </c>
      <c r="D2530" s="1" t="str">
        <f>VLOOKUP(Tabela1[[#This Row],[Cliente]],'BASE DE CLIENTES'!A:C,3,0)</f>
        <v>GO</v>
      </c>
      <c r="E2530" s="4" t="str">
        <f>CONCATENATE(Tabela1[[#This Row],[CIDADE]],",",Tabela1[[#This Row],[UF]])</f>
        <v>Valparaíso de Goiás,GO</v>
      </c>
      <c r="F2530" s="2">
        <v>45750</v>
      </c>
      <c r="G2530" s="17">
        <v>49.21</v>
      </c>
      <c r="H2530" s="17">
        <v>80</v>
      </c>
      <c r="I2530" s="6">
        <f>Tabela1[[#This Row],[Valor total]]-Tabela1[[#This Row],[Valor custo]]</f>
        <v>30.79</v>
      </c>
      <c r="J2530" s="7">
        <f>Tabela1[[#This Row],[MARGEM BRUTA]]/Tabela1[[#This Row],[Valor total]]</f>
        <v>0.38487499999999997</v>
      </c>
      <c r="K2530" s="1" t="str">
        <f>VLOOKUP(Tabela1[[#This Row],[Cliente]],'BASE DE CLIENTES'!A:D,4,0)</f>
        <v>SERRALHEIRO</v>
      </c>
      <c r="L2530" s="1" t="str">
        <f>VLOOKUP(Tabela1[[#This Row],[Cliente]],'BASE DE CLIENTES'!A:E,5,0)</f>
        <v>Valparaíso de Goiás</v>
      </c>
    </row>
    <row r="2531" spans="2:12" x14ac:dyDescent="0.3">
      <c r="B2531" s="1" t="s">
        <v>325</v>
      </c>
      <c r="C2531" s="4" t="str">
        <f>VLOOKUP(Tabela1[[#This Row],[Cliente]],'BASE DE CLIENTES'!A:E,2,0)</f>
        <v>Valparaíso de Goiás</v>
      </c>
      <c r="D2531" s="1" t="str">
        <f>VLOOKUP(Tabela1[[#This Row],[Cliente]],'BASE DE CLIENTES'!A:C,3,0)</f>
        <v>GO</v>
      </c>
      <c r="E2531" s="4" t="str">
        <f>CONCATENATE(Tabela1[[#This Row],[CIDADE]],",",Tabela1[[#This Row],[UF]])</f>
        <v>Valparaíso de Goiás,GO</v>
      </c>
      <c r="F2531" s="2">
        <v>45750</v>
      </c>
      <c r="G2531" s="17">
        <v>1122.21</v>
      </c>
      <c r="H2531" s="17">
        <v>2000</v>
      </c>
      <c r="I2531" s="6">
        <f>Tabela1[[#This Row],[Valor total]]-Tabela1[[#This Row],[Valor custo]]</f>
        <v>877.79</v>
      </c>
      <c r="J2531" s="7">
        <f>Tabela1[[#This Row],[MARGEM BRUTA]]/Tabela1[[#This Row],[Valor total]]</f>
        <v>0.43889499999999998</v>
      </c>
      <c r="K2531" s="1" t="str">
        <f>VLOOKUP(Tabela1[[#This Row],[Cliente]],'BASE DE CLIENTES'!A:D,4,0)</f>
        <v>SERRALHEIRO</v>
      </c>
      <c r="L2531" s="1" t="str">
        <f>VLOOKUP(Tabela1[[#This Row],[Cliente]],'BASE DE CLIENTES'!A:E,5,0)</f>
        <v>Valparaíso de Goiás</v>
      </c>
    </row>
    <row r="2532" spans="2:12" x14ac:dyDescent="0.3">
      <c r="B2532" s="1" t="s">
        <v>70</v>
      </c>
      <c r="C2532" s="4" t="str">
        <f>VLOOKUP(Tabela1[[#This Row],[Cliente]],'BASE DE CLIENTES'!A:E,2,0)</f>
        <v>Brasília</v>
      </c>
      <c r="D2532" s="1" t="str">
        <f>VLOOKUP(Tabela1[[#This Row],[Cliente]],'BASE DE CLIENTES'!A:C,3,0)</f>
        <v>DF</v>
      </c>
      <c r="E2532" s="4" t="str">
        <f>CONCATENATE(Tabela1[[#This Row],[CIDADE]],",",Tabela1[[#This Row],[UF]])</f>
        <v>Brasília,DF</v>
      </c>
      <c r="F2532" s="2">
        <v>45910</v>
      </c>
      <c r="G2532" s="17">
        <v>5388.45</v>
      </c>
      <c r="H2532" s="17">
        <v>8850</v>
      </c>
      <c r="I2532" s="6">
        <f>Tabela1[[#This Row],[Valor total]]-Tabela1[[#This Row],[Valor custo]]</f>
        <v>3461.55</v>
      </c>
      <c r="J2532" s="7">
        <f>Tabela1[[#This Row],[MARGEM BRUTA]]/Tabela1[[#This Row],[Valor total]]</f>
        <v>0.39113559322033903</v>
      </c>
      <c r="K2532" s="1" t="str">
        <f>VLOOKUP(Tabela1[[#This Row],[Cliente]],'BASE DE CLIENTES'!A:D,4,0)</f>
        <v>EMPRESA COM MAQUINA</v>
      </c>
      <c r="L2532" s="1" t="str">
        <f>VLOOKUP(Tabela1[[#This Row],[Cliente]],'BASE DE CLIENTES'!A:E,5,0)</f>
        <v>TAGUATINGA NORTE (TAGUATINGA)</v>
      </c>
    </row>
    <row r="2533" spans="2:12" x14ac:dyDescent="0.3">
      <c r="B2533" s="1" t="s">
        <v>319</v>
      </c>
      <c r="C2533" s="4" t="str">
        <f>VLOOKUP(Tabela1[[#This Row],[Cliente]],'BASE DE CLIENTES'!A:E,2,0)</f>
        <v>Valparaíso de Goiás</v>
      </c>
      <c r="D2533" s="1" t="str">
        <f>VLOOKUP(Tabela1[[#This Row],[Cliente]],'BASE DE CLIENTES'!A:C,3,0)</f>
        <v>GO</v>
      </c>
      <c r="E2533" s="4" t="str">
        <f>CONCATENATE(Tabela1[[#This Row],[CIDADE]],",",Tabela1[[#This Row],[UF]])</f>
        <v>Valparaíso de Goiás,GO</v>
      </c>
      <c r="F2533" s="2">
        <v>45750</v>
      </c>
      <c r="G2533" s="17">
        <v>2365</v>
      </c>
      <c r="H2533" s="17">
        <v>3275</v>
      </c>
      <c r="I2533" s="6">
        <f>Tabela1[[#This Row],[Valor total]]-Tabela1[[#This Row],[Valor custo]]</f>
        <v>910</v>
      </c>
      <c r="J2533" s="7">
        <f>Tabela1[[#This Row],[MARGEM BRUTA]]/Tabela1[[#This Row],[Valor total]]</f>
        <v>0.27786259541984731</v>
      </c>
      <c r="K2533" s="1" t="str">
        <f>VLOOKUP(Tabela1[[#This Row],[Cliente]],'BASE DE CLIENTES'!A:D,4,0)</f>
        <v>EMPRESA COM MAQUINA</v>
      </c>
      <c r="L2533" s="1" t="str">
        <f>VLOOKUP(Tabela1[[#This Row],[Cliente]],'BASE DE CLIENTES'!A:E,5,0)</f>
        <v>Valparaíso de Goiás</v>
      </c>
    </row>
    <row r="2534" spans="2:12" x14ac:dyDescent="0.3">
      <c r="B2534" s="1" t="s">
        <v>111</v>
      </c>
      <c r="C2534" s="4" t="str">
        <f>VLOOKUP(Tabela1[[#This Row],[Cliente]],'BASE DE CLIENTES'!A:E,2,0)</f>
        <v>Brasília</v>
      </c>
      <c r="D2534" s="1" t="str">
        <f>VLOOKUP(Tabela1[[#This Row],[Cliente]],'BASE DE CLIENTES'!A:C,3,0)</f>
        <v>DF</v>
      </c>
      <c r="E2534" s="4" t="str">
        <f>CONCATENATE(Tabela1[[#This Row],[CIDADE]],",",Tabela1[[#This Row],[UF]])</f>
        <v>Brasília,DF</v>
      </c>
      <c r="F2534" s="2">
        <v>45910</v>
      </c>
      <c r="G2534" s="17">
        <v>661.78</v>
      </c>
      <c r="H2534" s="17">
        <v>1945</v>
      </c>
      <c r="I2534" s="6">
        <f>Tabela1[[#This Row],[Valor total]]-Tabela1[[#This Row],[Valor custo]]</f>
        <v>1283.22</v>
      </c>
      <c r="J2534" s="7">
        <f>Tabela1[[#This Row],[MARGEM BRUTA]]/Tabela1[[#This Row],[Valor total]]</f>
        <v>0.65975321336760928</v>
      </c>
      <c r="K2534" s="1" t="str">
        <f>VLOOKUP(Tabela1[[#This Row],[Cliente]],'BASE DE CLIENTES'!A:D,4,0)</f>
        <v>EMPRESA SEM MAQUINA</v>
      </c>
      <c r="L2534" s="1" t="str">
        <f>VLOOKUP(Tabela1[[#This Row],[Cliente]],'BASE DE CLIENTES'!A:E,5,0)</f>
        <v>TAGUATINGA SUL (TAGUATINGA)</v>
      </c>
    </row>
    <row r="2535" spans="2:12" x14ac:dyDescent="0.3">
      <c r="B2535" s="1" t="s">
        <v>117</v>
      </c>
      <c r="C2535" s="4" t="str">
        <f>VLOOKUP(Tabela1[[#This Row],[Cliente]],'BASE DE CLIENTES'!A:E,2,0)</f>
        <v>Brasília</v>
      </c>
      <c r="D2535" s="1" t="str">
        <f>VLOOKUP(Tabela1[[#This Row],[Cliente]],'BASE DE CLIENTES'!A:C,3,0)</f>
        <v>DF</v>
      </c>
      <c r="E2535" s="4" t="str">
        <f>CONCATENATE(Tabela1[[#This Row],[CIDADE]],",",Tabela1[[#This Row],[UF]])</f>
        <v>Brasília,DF</v>
      </c>
      <c r="F2535" s="2">
        <v>45910</v>
      </c>
      <c r="G2535" s="17">
        <v>1984</v>
      </c>
      <c r="H2535" s="17">
        <v>3000</v>
      </c>
      <c r="I2535" s="6">
        <f>Tabela1[[#This Row],[Valor total]]-Tabela1[[#This Row],[Valor custo]]</f>
        <v>1016</v>
      </c>
      <c r="J2535" s="7">
        <f>Tabela1[[#This Row],[MARGEM BRUTA]]/Tabela1[[#This Row],[Valor total]]</f>
        <v>0.33866666666666667</v>
      </c>
      <c r="K2535" s="1" t="str">
        <f>VLOOKUP(Tabela1[[#This Row],[Cliente]],'BASE DE CLIENTES'!A:D,4,0)</f>
        <v>EMPRESA COM MAQUINA</v>
      </c>
      <c r="L2535" s="1" t="str">
        <f>VLOOKUP(Tabela1[[#This Row],[Cliente]],'BASE DE CLIENTES'!A:E,5,0)</f>
        <v>SETOR HABITACIONAL ARNIQUEIRA (AGUAS CLARAS)</v>
      </c>
    </row>
    <row r="2536" spans="2:12" x14ac:dyDescent="0.3">
      <c r="B2536" s="1" t="s">
        <v>165</v>
      </c>
      <c r="C2536" s="4" t="str">
        <f>VLOOKUP(Tabela1[[#This Row],[Cliente]],'BASE DE CLIENTES'!A:E,2,0)</f>
        <v>Brasília</v>
      </c>
      <c r="D2536" s="1" t="str">
        <f>VLOOKUP(Tabela1[[#This Row],[Cliente]],'BASE DE CLIENTES'!A:C,3,0)</f>
        <v>DF</v>
      </c>
      <c r="E2536" s="4" t="str">
        <f>CONCATENATE(Tabela1[[#This Row],[CIDADE]],",",Tabela1[[#This Row],[UF]])</f>
        <v>Brasília,DF</v>
      </c>
      <c r="F2536" s="2">
        <v>45910</v>
      </c>
      <c r="G2536" s="17">
        <v>150</v>
      </c>
      <c r="H2536" s="17">
        <v>180</v>
      </c>
      <c r="I2536" s="6">
        <f>Tabela1[[#This Row],[Valor total]]-Tabela1[[#This Row],[Valor custo]]</f>
        <v>30</v>
      </c>
      <c r="J2536" s="7">
        <f>Tabela1[[#This Row],[MARGEM BRUTA]]/Tabela1[[#This Row],[Valor total]]</f>
        <v>0.16666666666666666</v>
      </c>
      <c r="K2536" s="1" t="str">
        <f>VLOOKUP(Tabela1[[#This Row],[Cliente]],'BASE DE CLIENTES'!A:D,4,0)</f>
        <v>EMPRESA SEM MAQUINA</v>
      </c>
      <c r="L2536" s="1" t="str">
        <f>VLOOKUP(Tabela1[[#This Row],[Cliente]],'BASE DE CLIENTES'!A:E,5,0)</f>
        <v>SETOR HABITACIONAL VICENTE PIRES</v>
      </c>
    </row>
    <row r="2537" spans="2:12" x14ac:dyDescent="0.3">
      <c r="B2537" s="1" t="s">
        <v>165</v>
      </c>
      <c r="C2537" s="4" t="str">
        <f>VLOOKUP(Tabela1[[#This Row],[Cliente]],'BASE DE CLIENTES'!A:E,2,0)</f>
        <v>Brasília</v>
      </c>
      <c r="D2537" s="1" t="str">
        <f>VLOOKUP(Tabela1[[#This Row],[Cliente]],'BASE DE CLIENTES'!A:C,3,0)</f>
        <v>DF</v>
      </c>
      <c r="E2537" s="4" t="str">
        <f>CONCATENATE(Tabela1[[#This Row],[CIDADE]],",",Tabela1[[#This Row],[UF]])</f>
        <v>Brasília,DF</v>
      </c>
      <c r="F2537" s="2">
        <v>45910</v>
      </c>
      <c r="G2537" s="17">
        <v>432.79</v>
      </c>
      <c r="H2537" s="17">
        <v>620</v>
      </c>
      <c r="I2537" s="6">
        <f>Tabela1[[#This Row],[Valor total]]-Tabela1[[#This Row],[Valor custo]]</f>
        <v>187.20999999999998</v>
      </c>
      <c r="J2537" s="7">
        <f>Tabela1[[#This Row],[MARGEM BRUTA]]/Tabela1[[#This Row],[Valor total]]</f>
        <v>0.30195161290322575</v>
      </c>
      <c r="K2537" s="1" t="str">
        <f>VLOOKUP(Tabela1[[#This Row],[Cliente]],'BASE DE CLIENTES'!A:D,4,0)</f>
        <v>EMPRESA SEM MAQUINA</v>
      </c>
      <c r="L2537" s="1" t="str">
        <f>VLOOKUP(Tabela1[[#This Row],[Cliente]],'BASE DE CLIENTES'!A:E,5,0)</f>
        <v>SETOR HABITACIONAL VICENTE PIRES</v>
      </c>
    </row>
    <row r="2538" spans="2:12" x14ac:dyDescent="0.3">
      <c r="B2538" s="1" t="s">
        <v>161</v>
      </c>
      <c r="C2538" s="4" t="str">
        <f>VLOOKUP(Tabela1[[#This Row],[Cliente]],'BASE DE CLIENTES'!A:E,2,0)</f>
        <v>Brasília</v>
      </c>
      <c r="D2538" s="1" t="str">
        <f>VLOOKUP(Tabela1[[#This Row],[Cliente]],'BASE DE CLIENTES'!A:C,3,0)</f>
        <v>DF</v>
      </c>
      <c r="E2538" s="4" t="str">
        <f>CONCATENATE(Tabela1[[#This Row],[CIDADE]],",",Tabela1[[#This Row],[UF]])</f>
        <v>Brasília,DF</v>
      </c>
      <c r="F2538" s="2">
        <v>45910</v>
      </c>
      <c r="G2538" s="17">
        <v>18293.8</v>
      </c>
      <c r="H2538" s="17">
        <v>27600</v>
      </c>
      <c r="I2538" s="6">
        <f>Tabela1[[#This Row],[Valor total]]-Tabela1[[#This Row],[Valor custo]]</f>
        <v>9306.2000000000007</v>
      </c>
      <c r="J2538" s="7">
        <f>Tabela1[[#This Row],[MARGEM BRUTA]]/Tabela1[[#This Row],[Valor total]]</f>
        <v>0.33718115942028987</v>
      </c>
      <c r="K2538" s="1" t="str">
        <f>VLOOKUP(Tabela1[[#This Row],[Cliente]],'BASE DE CLIENTES'!A:D,4,0)</f>
        <v>EMPRESA COM MAQUINA</v>
      </c>
      <c r="L2538" s="1" t="str">
        <f>VLOOKUP(Tabela1[[#This Row],[Cliente]],'BASE DE CLIENTES'!A:E,5,0)</f>
        <v>RIACHO FUNDO II</v>
      </c>
    </row>
    <row r="2539" spans="2:12" x14ac:dyDescent="0.3">
      <c r="B2539" s="1" t="s">
        <v>321</v>
      </c>
      <c r="C2539" s="4" t="str">
        <f>VLOOKUP(Tabela1[[#This Row],[Cliente]],'BASE DE CLIENTES'!A:E,2,0)</f>
        <v>Valparaíso de Goiás</v>
      </c>
      <c r="D2539" s="1" t="str">
        <f>VLOOKUP(Tabela1[[#This Row],[Cliente]],'BASE DE CLIENTES'!A:C,3,0)</f>
        <v>GO</v>
      </c>
      <c r="E2539" s="4" t="str">
        <f>CONCATENATE(Tabela1[[#This Row],[CIDADE]],",",Tabela1[[#This Row],[UF]])</f>
        <v>Valparaíso de Goiás,GO</v>
      </c>
      <c r="F2539" s="2">
        <v>45748</v>
      </c>
      <c r="G2539" s="17">
        <v>2130</v>
      </c>
      <c r="H2539" s="17">
        <v>3750</v>
      </c>
      <c r="I2539" s="6">
        <f>Tabela1[[#This Row],[Valor total]]-Tabela1[[#This Row],[Valor custo]]</f>
        <v>1620</v>
      </c>
      <c r="J2539" s="7">
        <f>Tabela1[[#This Row],[MARGEM BRUTA]]/Tabela1[[#This Row],[Valor total]]</f>
        <v>0.432</v>
      </c>
      <c r="K2539" s="1" t="str">
        <f>VLOOKUP(Tabela1[[#This Row],[Cliente]],'BASE DE CLIENTES'!A:D,4,0)</f>
        <v>EMPRESA COM MAQUINA</v>
      </c>
      <c r="L2539" s="1" t="str">
        <f>VLOOKUP(Tabela1[[#This Row],[Cliente]],'BASE DE CLIENTES'!A:E,5,0)</f>
        <v>Valparaíso de Goiás</v>
      </c>
    </row>
    <row r="2540" spans="2:12" x14ac:dyDescent="0.3">
      <c r="B2540" s="1" t="s">
        <v>23</v>
      </c>
      <c r="C2540" s="4" t="str">
        <f>VLOOKUP(Tabela1[[#This Row],[Cliente]],'BASE DE CLIENTES'!A:E,2,0)</f>
        <v>Brasília</v>
      </c>
      <c r="D2540" s="1" t="str">
        <f>VLOOKUP(Tabela1[[#This Row],[Cliente]],'BASE DE CLIENTES'!A:C,3,0)</f>
        <v>DF</v>
      </c>
      <c r="E2540" s="4" t="str">
        <f>CONCATENATE(Tabela1[[#This Row],[CIDADE]],",",Tabela1[[#This Row],[UF]])</f>
        <v>Brasília,DF</v>
      </c>
      <c r="F2540" s="2">
        <v>45909</v>
      </c>
      <c r="G2540" s="17">
        <v>491</v>
      </c>
      <c r="H2540" s="17">
        <v>750</v>
      </c>
      <c r="I2540" s="6">
        <f>Tabela1[[#This Row],[Valor total]]-Tabela1[[#This Row],[Valor custo]]</f>
        <v>259</v>
      </c>
      <c r="J2540" s="7">
        <f>Tabela1[[#This Row],[MARGEM BRUTA]]/Tabela1[[#This Row],[Valor total]]</f>
        <v>0.34533333333333333</v>
      </c>
      <c r="K2540" s="1" t="str">
        <f>VLOOKUP(Tabela1[[#This Row],[Cliente]],'BASE DE CLIENTES'!A:D,4,0)</f>
        <v>EMPRESA SEM MAQUINA</v>
      </c>
      <c r="L2540" s="1" t="str">
        <f>VLOOKUP(Tabela1[[#This Row],[Cliente]],'BASE DE CLIENTES'!A:E,5,0)</f>
        <v>SETOR INDUSTRIAL (TAGUATINGA)</v>
      </c>
    </row>
    <row r="2541" spans="2:12" x14ac:dyDescent="0.3">
      <c r="B2541" s="1" t="s">
        <v>316</v>
      </c>
      <c r="C2541" s="4" t="str">
        <f>VLOOKUP(Tabela1[[#This Row],[Cliente]],'BASE DE CLIENTES'!A:E,2,0)</f>
        <v>Valparaíso de Goiás</v>
      </c>
      <c r="D2541" s="1" t="str">
        <f>VLOOKUP(Tabela1[[#This Row],[Cliente]],'BASE DE CLIENTES'!A:C,3,0)</f>
        <v>GO</v>
      </c>
      <c r="E2541" s="4" t="str">
        <f>CONCATENATE(Tabela1[[#This Row],[CIDADE]],",",Tabela1[[#This Row],[UF]])</f>
        <v>Valparaíso de Goiás,GO</v>
      </c>
      <c r="F2541" s="2">
        <v>45807</v>
      </c>
      <c r="G2541" s="17">
        <v>106.38</v>
      </c>
      <c r="H2541" s="17">
        <v>570</v>
      </c>
      <c r="I2541" s="6">
        <f>Tabela1[[#This Row],[Valor total]]-Tabela1[[#This Row],[Valor custo]]</f>
        <v>463.62</v>
      </c>
      <c r="J2541" s="7">
        <f>Tabela1[[#This Row],[MARGEM BRUTA]]/Tabela1[[#This Row],[Valor total]]</f>
        <v>0.81336842105263163</v>
      </c>
      <c r="K2541" s="1" t="str">
        <f>VLOOKUP(Tabela1[[#This Row],[Cliente]],'BASE DE CLIENTES'!A:D,4,0)</f>
        <v>SERRALHEIRO</v>
      </c>
      <c r="L2541" s="1" t="str">
        <f>VLOOKUP(Tabela1[[#This Row],[Cliente]],'BASE DE CLIENTES'!A:E,5,0)</f>
        <v>Valparaíso de Goiás</v>
      </c>
    </row>
    <row r="2542" spans="2:12" x14ac:dyDescent="0.3">
      <c r="B2542" s="1" t="s">
        <v>68</v>
      </c>
      <c r="C2542" s="4" t="str">
        <f>VLOOKUP(Tabela1[[#This Row],[Cliente]],'BASE DE CLIENTES'!A:E,2,0)</f>
        <v>Brasília</v>
      </c>
      <c r="D2542" s="1" t="str">
        <f>VLOOKUP(Tabela1[[#This Row],[Cliente]],'BASE DE CLIENTES'!A:C,3,0)</f>
        <v>DF</v>
      </c>
      <c r="E2542" s="4" t="str">
        <f>CONCATENATE(Tabela1[[#This Row],[CIDADE]],",",Tabela1[[#This Row],[UF]])</f>
        <v>Brasília,DF</v>
      </c>
      <c r="F2542" s="2">
        <v>45909</v>
      </c>
      <c r="G2542" s="17">
        <v>1031.3</v>
      </c>
      <c r="H2542" s="17">
        <v>1815</v>
      </c>
      <c r="I2542" s="6">
        <f>Tabela1[[#This Row],[Valor total]]-Tabela1[[#This Row],[Valor custo]]</f>
        <v>783.7</v>
      </c>
      <c r="J2542" s="7">
        <f>Tabela1[[#This Row],[MARGEM BRUTA]]/Tabela1[[#This Row],[Valor total]]</f>
        <v>0.43179063360881548</v>
      </c>
      <c r="K2542" s="1" t="str">
        <f>VLOOKUP(Tabela1[[#This Row],[Cliente]],'BASE DE CLIENTES'!A:D,4,0)</f>
        <v>EMPRESA COM MAQUINA</v>
      </c>
      <c r="L2542" s="1" t="str">
        <f>VLOOKUP(Tabela1[[#This Row],[Cliente]],'BASE DE CLIENTES'!A:E,5,0)</f>
        <v>SAMAMBAIA SUL (SAMAMBAIA)</v>
      </c>
    </row>
    <row r="2543" spans="2:12" x14ac:dyDescent="0.3">
      <c r="B2543" s="1" t="s">
        <v>42</v>
      </c>
      <c r="C2543" s="4" t="str">
        <f>VLOOKUP(Tabela1[[#This Row],[Cliente]],'BASE DE CLIENTES'!A:E,2,0)</f>
        <v>Brasília</v>
      </c>
      <c r="D2543" s="1" t="str">
        <f>VLOOKUP(Tabela1[[#This Row],[Cliente]],'BASE DE CLIENTES'!A:C,3,0)</f>
        <v>DF</v>
      </c>
      <c r="E2543" s="4" t="str">
        <f>CONCATENATE(Tabela1[[#This Row],[CIDADE]],",",Tabela1[[#This Row],[UF]])</f>
        <v>Brasília,DF</v>
      </c>
      <c r="F2543" s="2">
        <v>45909</v>
      </c>
      <c r="G2543" s="17">
        <v>382.3</v>
      </c>
      <c r="H2543" s="17">
        <v>615</v>
      </c>
      <c r="I2543" s="6">
        <f>Tabela1[[#This Row],[Valor total]]-Tabela1[[#This Row],[Valor custo]]</f>
        <v>232.7</v>
      </c>
      <c r="J2543" s="7">
        <f>Tabela1[[#This Row],[MARGEM BRUTA]]/Tabela1[[#This Row],[Valor total]]</f>
        <v>0.37837398373983738</v>
      </c>
      <c r="K2543" s="1" t="str">
        <f>VLOOKUP(Tabela1[[#This Row],[Cliente]],'BASE DE CLIENTES'!A:D,4,0)</f>
        <v>EMPRESA SEM MAQUINA</v>
      </c>
      <c r="L2543" s="1" t="str">
        <f>VLOOKUP(Tabela1[[#This Row],[Cliente]],'BASE DE CLIENTES'!A:E,5,0)</f>
        <v>SAMAMBAIA</v>
      </c>
    </row>
    <row r="2544" spans="2:12" x14ac:dyDescent="0.3">
      <c r="B2544" s="1" t="s">
        <v>297</v>
      </c>
      <c r="C2544" s="4" t="str">
        <f>VLOOKUP(Tabela1[[#This Row],[Cliente]],'BASE DE CLIENTES'!A:E,2,0)</f>
        <v>Brasília</v>
      </c>
      <c r="D2544" s="1" t="str">
        <f>VLOOKUP(Tabela1[[#This Row],[Cliente]],'BASE DE CLIENTES'!A:C,3,0)</f>
        <v>DF</v>
      </c>
      <c r="E2544" s="4" t="str">
        <f>CONCATENATE(Tabela1[[#This Row],[CIDADE]],",",Tabela1[[#This Row],[UF]])</f>
        <v>Brasília,DF</v>
      </c>
      <c r="F2544" s="2">
        <v>45791</v>
      </c>
      <c r="G2544" s="17">
        <v>946</v>
      </c>
      <c r="H2544" s="17">
        <v>1400</v>
      </c>
      <c r="I2544" s="6">
        <f>Tabela1[[#This Row],[Valor total]]-Tabela1[[#This Row],[Valor custo]]</f>
        <v>454</v>
      </c>
      <c r="J2544" s="7">
        <f>Tabela1[[#This Row],[MARGEM BRUTA]]/Tabela1[[#This Row],[Valor total]]</f>
        <v>0.32428571428571429</v>
      </c>
      <c r="K2544" s="1" t="str">
        <f>VLOOKUP(Tabela1[[#This Row],[Cliente]],'BASE DE CLIENTES'!A:D,4,0)</f>
        <v>SERRALHEIRO</v>
      </c>
      <c r="L2544" s="1" t="str">
        <f>VLOOKUP(Tabela1[[#This Row],[Cliente]],'BASE DE CLIENTES'!A:E,5,0)</f>
        <v>NA</v>
      </c>
    </row>
    <row r="2545" spans="2:12" x14ac:dyDescent="0.3">
      <c r="B2545" s="1" t="s">
        <v>325</v>
      </c>
      <c r="C2545" s="4" t="str">
        <f>VLOOKUP(Tabela1[[#This Row],[Cliente]],'BASE DE CLIENTES'!A:E,2,0)</f>
        <v>Valparaíso de Goiás</v>
      </c>
      <c r="D2545" s="1" t="str">
        <f>VLOOKUP(Tabela1[[#This Row],[Cliente]],'BASE DE CLIENTES'!A:C,3,0)</f>
        <v>GO</v>
      </c>
      <c r="E2545" s="4" t="str">
        <f>CONCATENATE(Tabela1[[#This Row],[CIDADE]],",",Tabela1[[#This Row],[UF]])</f>
        <v>Valparaíso de Goiás,GO</v>
      </c>
      <c r="F2545" s="2">
        <v>45793</v>
      </c>
      <c r="G2545" s="17">
        <v>473</v>
      </c>
      <c r="H2545" s="17">
        <v>720</v>
      </c>
      <c r="I2545" s="6">
        <f>Tabela1[[#This Row],[Valor total]]-Tabela1[[#This Row],[Valor custo]]</f>
        <v>247</v>
      </c>
      <c r="J2545" s="7">
        <f>Tabela1[[#This Row],[MARGEM BRUTA]]/Tabela1[[#This Row],[Valor total]]</f>
        <v>0.34305555555555556</v>
      </c>
      <c r="K2545" s="1" t="str">
        <f>VLOOKUP(Tabela1[[#This Row],[Cliente]],'BASE DE CLIENTES'!A:D,4,0)</f>
        <v>SERRALHEIRO</v>
      </c>
      <c r="L2545" s="1" t="str">
        <f>VLOOKUP(Tabela1[[#This Row],[Cliente]],'BASE DE CLIENTES'!A:E,5,0)</f>
        <v>Valparaíso de Goiás</v>
      </c>
    </row>
    <row r="2546" spans="2:12" x14ac:dyDescent="0.3">
      <c r="B2546" s="1" t="s">
        <v>111</v>
      </c>
      <c r="C2546" s="4" t="str">
        <f>VLOOKUP(Tabela1[[#This Row],[Cliente]],'BASE DE CLIENTES'!A:E,2,0)</f>
        <v>Brasília</v>
      </c>
      <c r="D2546" s="1" t="str">
        <f>VLOOKUP(Tabela1[[#This Row],[Cliente]],'BASE DE CLIENTES'!A:C,3,0)</f>
        <v>DF</v>
      </c>
      <c r="E2546" s="4" t="str">
        <f>CONCATENATE(Tabela1[[#This Row],[CIDADE]],",",Tabela1[[#This Row],[UF]])</f>
        <v>Brasília,DF</v>
      </c>
      <c r="F2546" s="2">
        <v>45909</v>
      </c>
      <c r="G2546" s="17">
        <v>469</v>
      </c>
      <c r="H2546" s="17">
        <v>770</v>
      </c>
      <c r="I2546" s="6">
        <f>Tabela1[[#This Row],[Valor total]]-Tabela1[[#This Row],[Valor custo]]</f>
        <v>301</v>
      </c>
      <c r="J2546" s="7">
        <f>Tabela1[[#This Row],[MARGEM BRUTA]]/Tabela1[[#This Row],[Valor total]]</f>
        <v>0.39090909090909093</v>
      </c>
      <c r="K2546" s="1" t="str">
        <f>VLOOKUP(Tabela1[[#This Row],[Cliente]],'BASE DE CLIENTES'!A:D,4,0)</f>
        <v>EMPRESA SEM MAQUINA</v>
      </c>
      <c r="L2546" s="1" t="str">
        <f>VLOOKUP(Tabela1[[#This Row],[Cliente]],'BASE DE CLIENTES'!A:E,5,0)</f>
        <v>TAGUATINGA SUL (TAGUATINGA)</v>
      </c>
    </row>
    <row r="2547" spans="2:12" x14ac:dyDescent="0.3">
      <c r="B2547" s="1" t="s">
        <v>97</v>
      </c>
      <c r="C2547" s="4" t="str">
        <f>VLOOKUP(Tabela1[[#This Row],[Cliente]],'BASE DE CLIENTES'!A:E,2,0)</f>
        <v>Brasília</v>
      </c>
      <c r="D2547" s="1" t="str">
        <f>VLOOKUP(Tabela1[[#This Row],[Cliente]],'BASE DE CLIENTES'!A:C,3,0)</f>
        <v>DF</v>
      </c>
      <c r="E2547" s="4" t="str">
        <f>CONCATENATE(Tabela1[[#This Row],[CIDADE]],",",Tabela1[[#This Row],[UF]])</f>
        <v>Brasília,DF</v>
      </c>
      <c r="F2547" s="2">
        <v>45909</v>
      </c>
      <c r="G2547" s="17">
        <v>382.3</v>
      </c>
      <c r="H2547" s="17">
        <v>545</v>
      </c>
      <c r="I2547" s="6">
        <f>Tabela1[[#This Row],[Valor total]]-Tabela1[[#This Row],[Valor custo]]</f>
        <v>162.69999999999999</v>
      </c>
      <c r="J2547" s="7">
        <f>Tabela1[[#This Row],[MARGEM BRUTA]]/Tabela1[[#This Row],[Valor total]]</f>
        <v>0.29853211009174307</v>
      </c>
      <c r="K2547" s="1" t="str">
        <f>VLOOKUP(Tabela1[[#This Row],[Cliente]],'BASE DE CLIENTES'!A:D,4,0)</f>
        <v>SERRALHEIRO</v>
      </c>
      <c r="L2547" s="1" t="str">
        <f>VLOOKUP(Tabela1[[#This Row],[Cliente]],'BASE DE CLIENTES'!A:E,5,0)</f>
        <v>CEILANDIA NORTE</v>
      </c>
    </row>
    <row r="2548" spans="2:12" x14ac:dyDescent="0.3">
      <c r="B2548" s="1" t="s">
        <v>239</v>
      </c>
      <c r="C2548" s="4" t="str">
        <f>VLOOKUP(Tabela1[[#This Row],[Cliente]],'BASE DE CLIENTES'!A:E,2,0)</f>
        <v>Brasília</v>
      </c>
      <c r="D2548" s="1" t="str">
        <f>VLOOKUP(Tabela1[[#This Row],[Cliente]],'BASE DE CLIENTES'!A:C,3,0)</f>
        <v>DF</v>
      </c>
      <c r="E2548" s="4" t="str">
        <f>CONCATENATE(Tabela1[[#This Row],[CIDADE]],",",Tabela1[[#This Row],[UF]])</f>
        <v>Brasília,DF</v>
      </c>
      <c r="F2548" s="2">
        <v>45909</v>
      </c>
      <c r="G2548" s="17">
        <v>649</v>
      </c>
      <c r="H2548" s="17">
        <v>1200</v>
      </c>
      <c r="I2548" s="6">
        <f>Tabela1[[#This Row],[Valor total]]-Tabela1[[#This Row],[Valor custo]]</f>
        <v>551</v>
      </c>
      <c r="J2548" s="7">
        <f>Tabela1[[#This Row],[MARGEM BRUTA]]/Tabela1[[#This Row],[Valor total]]</f>
        <v>0.45916666666666667</v>
      </c>
      <c r="K2548" s="1" t="str">
        <f>VLOOKUP(Tabela1[[#This Row],[Cliente]],'BASE DE CLIENTES'!A:D,4,0)</f>
        <v>EMPRESA COM MAQUINA</v>
      </c>
      <c r="L2548" s="1" t="str">
        <f>VLOOKUP(Tabela1[[#This Row],[Cliente]],'BASE DE CLIENTES'!A:E,5,0)</f>
        <v>RIACHO FUNDO II</v>
      </c>
    </row>
    <row r="2549" spans="2:12" x14ac:dyDescent="0.3">
      <c r="B2549" s="1" t="s">
        <v>68</v>
      </c>
      <c r="C2549" s="4" t="str">
        <f>VLOOKUP(Tabela1[[#This Row],[Cliente]],'BASE DE CLIENTES'!A:E,2,0)</f>
        <v>Brasília</v>
      </c>
      <c r="D2549" s="1" t="str">
        <f>VLOOKUP(Tabela1[[#This Row],[Cliente]],'BASE DE CLIENTES'!A:C,3,0)</f>
        <v>DF</v>
      </c>
      <c r="E2549" s="4" t="str">
        <f>CONCATENATE(Tabela1[[#This Row],[CIDADE]],",",Tabela1[[#This Row],[UF]])</f>
        <v>Brasília,DF</v>
      </c>
      <c r="F2549" s="2">
        <v>45909</v>
      </c>
      <c r="G2549" s="17">
        <v>1046.3</v>
      </c>
      <c r="H2549" s="17">
        <v>1915</v>
      </c>
      <c r="I2549" s="6">
        <f>Tabela1[[#This Row],[Valor total]]-Tabela1[[#This Row],[Valor custo]]</f>
        <v>868.7</v>
      </c>
      <c r="J2549" s="7">
        <f>Tabela1[[#This Row],[MARGEM BRUTA]]/Tabela1[[#This Row],[Valor total]]</f>
        <v>0.45362924281984335</v>
      </c>
      <c r="K2549" s="1" t="str">
        <f>VLOOKUP(Tabela1[[#This Row],[Cliente]],'BASE DE CLIENTES'!A:D,4,0)</f>
        <v>EMPRESA COM MAQUINA</v>
      </c>
      <c r="L2549" s="1" t="str">
        <f>VLOOKUP(Tabela1[[#This Row],[Cliente]],'BASE DE CLIENTES'!A:E,5,0)</f>
        <v>SAMAMBAIA SUL (SAMAMBAIA)</v>
      </c>
    </row>
    <row r="2550" spans="2:12" x14ac:dyDescent="0.3">
      <c r="B2550" s="1" t="s">
        <v>123</v>
      </c>
      <c r="C2550" s="4" t="str">
        <f>VLOOKUP(Tabela1[[#This Row],[Cliente]],'BASE DE CLIENTES'!A:E,2,0)</f>
        <v>Brasília</v>
      </c>
      <c r="D2550" s="1" t="str">
        <f>VLOOKUP(Tabela1[[#This Row],[Cliente]],'BASE DE CLIENTES'!A:C,3,0)</f>
        <v>DF</v>
      </c>
      <c r="E2550" s="4" t="str">
        <f>CONCATENATE(Tabela1[[#This Row],[CIDADE]],",",Tabela1[[#This Row],[UF]])</f>
        <v>Brasília,DF</v>
      </c>
      <c r="F2550" s="2">
        <v>45909</v>
      </c>
      <c r="G2550" s="17">
        <v>130</v>
      </c>
      <c r="H2550" s="17">
        <v>200</v>
      </c>
      <c r="I2550" s="6">
        <f>Tabela1[[#This Row],[Valor total]]-Tabela1[[#This Row],[Valor custo]]</f>
        <v>70</v>
      </c>
      <c r="J2550" s="7">
        <f>Tabela1[[#This Row],[MARGEM BRUTA]]/Tabela1[[#This Row],[Valor total]]</f>
        <v>0.35</v>
      </c>
      <c r="K2550" s="1" t="str">
        <f>VLOOKUP(Tabela1[[#This Row],[Cliente]],'BASE DE CLIENTES'!A:D,4,0)</f>
        <v>EMPRESA COM MAQUINA</v>
      </c>
      <c r="L2550" s="1" t="str">
        <f>VLOOKUP(Tabela1[[#This Row],[Cliente]],'BASE DE CLIENTES'!A:E,5,0)</f>
        <v>ADE CEILÂNDIA</v>
      </c>
    </row>
    <row r="2551" spans="2:12" x14ac:dyDescent="0.3">
      <c r="B2551" s="1" t="s">
        <v>127</v>
      </c>
      <c r="C2551" s="4" t="str">
        <f>VLOOKUP(Tabela1[[#This Row],[Cliente]],'BASE DE CLIENTES'!A:E,2,0)</f>
        <v>Brasília</v>
      </c>
      <c r="D2551" s="1" t="str">
        <f>VLOOKUP(Tabela1[[#This Row],[Cliente]],'BASE DE CLIENTES'!A:C,3,0)</f>
        <v>DF</v>
      </c>
      <c r="E2551" s="4" t="str">
        <f>CONCATENATE(Tabela1[[#This Row],[CIDADE]],",",Tabela1[[#This Row],[UF]])</f>
        <v>Brasília,DF</v>
      </c>
      <c r="F2551" s="2">
        <v>45909</v>
      </c>
      <c r="G2551" s="17">
        <v>1298.3699999999999</v>
      </c>
      <c r="H2551" s="17">
        <v>1965</v>
      </c>
      <c r="I2551" s="6">
        <f>Tabela1[[#This Row],[Valor total]]-Tabela1[[#This Row],[Valor custo]]</f>
        <v>666.63000000000011</v>
      </c>
      <c r="J2551" s="7">
        <f>Tabela1[[#This Row],[MARGEM BRUTA]]/Tabela1[[#This Row],[Valor total]]</f>
        <v>0.33925190839694663</v>
      </c>
      <c r="K2551" s="1" t="str">
        <f>VLOOKUP(Tabela1[[#This Row],[Cliente]],'BASE DE CLIENTES'!A:D,4,0)</f>
        <v>EMPRESA COM MAQUINA</v>
      </c>
      <c r="L2551" s="1" t="str">
        <f>VLOOKUP(Tabela1[[#This Row],[Cliente]],'BASE DE CLIENTES'!A:E,5,0)</f>
        <v>CEILANDIA SUL (CEILANDIA)</v>
      </c>
    </row>
    <row r="2552" spans="2:12" x14ac:dyDescent="0.3">
      <c r="B2552" s="1" t="s">
        <v>106</v>
      </c>
      <c r="C2552" s="4" t="str">
        <f>VLOOKUP(Tabela1[[#This Row],[Cliente]],'BASE DE CLIENTES'!A:E,2,0)</f>
        <v>Brasília</v>
      </c>
      <c r="D2552" s="1" t="str">
        <f>VLOOKUP(Tabela1[[#This Row],[Cliente]],'BASE DE CLIENTES'!A:C,3,0)</f>
        <v>DF</v>
      </c>
      <c r="E2552" s="4" t="str">
        <f>CONCATENATE(Tabela1[[#This Row],[CIDADE]],",",Tabela1[[#This Row],[UF]])</f>
        <v>Brasília,DF</v>
      </c>
      <c r="F2552" s="2">
        <v>45909</v>
      </c>
      <c r="G2552" s="17">
        <v>865.58</v>
      </c>
      <c r="H2552" s="17">
        <v>1300</v>
      </c>
      <c r="I2552" s="6">
        <f>Tabela1[[#This Row],[Valor total]]-Tabela1[[#This Row],[Valor custo]]</f>
        <v>434.41999999999996</v>
      </c>
      <c r="J2552" s="7">
        <f>Tabela1[[#This Row],[MARGEM BRUTA]]/Tabela1[[#This Row],[Valor total]]</f>
        <v>0.33416923076923072</v>
      </c>
      <c r="K2552" s="1" t="str">
        <f>VLOOKUP(Tabela1[[#This Row],[Cliente]],'BASE DE CLIENTES'!A:D,4,0)</f>
        <v>EMPRESA COM MAQUINA</v>
      </c>
      <c r="L2552" s="1" t="str">
        <f>VLOOKUP(Tabela1[[#This Row],[Cliente]],'BASE DE CLIENTES'!A:E,5,0)</f>
        <v>26 DE SETEMBRO</v>
      </c>
    </row>
    <row r="2553" spans="2:12" x14ac:dyDescent="0.3">
      <c r="B2553" s="1" t="s">
        <v>316</v>
      </c>
      <c r="C2553" s="4" t="str">
        <f>VLOOKUP(Tabela1[[#This Row],[Cliente]],'BASE DE CLIENTES'!A:E,2,0)</f>
        <v>Valparaíso de Goiás</v>
      </c>
      <c r="D2553" s="1" t="str">
        <f>VLOOKUP(Tabela1[[#This Row],[Cliente]],'BASE DE CLIENTES'!A:C,3,0)</f>
        <v>GO</v>
      </c>
      <c r="E2553" s="4" t="str">
        <f>CONCATENATE(Tabela1[[#This Row],[CIDADE]],",",Tabela1[[#This Row],[UF]])</f>
        <v>Valparaíso de Goiás,GO</v>
      </c>
      <c r="F2553" s="2">
        <v>45790</v>
      </c>
      <c r="G2553" s="17">
        <v>60.98</v>
      </c>
      <c r="H2553" s="17">
        <v>80</v>
      </c>
      <c r="I2553" s="6">
        <f>Tabela1[[#This Row],[Valor total]]-Tabela1[[#This Row],[Valor custo]]</f>
        <v>19.020000000000003</v>
      </c>
      <c r="J2553" s="7">
        <f>Tabela1[[#This Row],[MARGEM BRUTA]]/Tabela1[[#This Row],[Valor total]]</f>
        <v>0.23775000000000004</v>
      </c>
      <c r="K2553" s="1" t="str">
        <f>VLOOKUP(Tabela1[[#This Row],[Cliente]],'BASE DE CLIENTES'!A:D,4,0)</f>
        <v>SERRALHEIRO</v>
      </c>
      <c r="L2553" s="1" t="str">
        <f>VLOOKUP(Tabela1[[#This Row],[Cliente]],'BASE DE CLIENTES'!A:E,5,0)</f>
        <v>Valparaíso de Goiás</v>
      </c>
    </row>
    <row r="2554" spans="2:12" x14ac:dyDescent="0.3">
      <c r="B2554" s="1" t="s">
        <v>76</v>
      </c>
      <c r="C2554" s="4" t="str">
        <f>VLOOKUP(Tabela1[[#This Row],[Cliente]],'BASE DE CLIENTES'!A:E,2,0)</f>
        <v>Brasília</v>
      </c>
      <c r="D2554" s="1" t="str">
        <f>VLOOKUP(Tabela1[[#This Row],[Cliente]],'BASE DE CLIENTES'!A:C,3,0)</f>
        <v>DF</v>
      </c>
      <c r="E2554" s="4" t="str">
        <f>CONCATENATE(Tabela1[[#This Row],[CIDADE]],",",Tabela1[[#This Row],[UF]])</f>
        <v>Brasília,DF</v>
      </c>
      <c r="F2554" s="2">
        <v>45908</v>
      </c>
      <c r="G2554" s="17">
        <v>2275</v>
      </c>
      <c r="H2554" s="17">
        <v>3550</v>
      </c>
      <c r="I2554" s="6">
        <f>Tabela1[[#This Row],[Valor total]]-Tabela1[[#This Row],[Valor custo]]</f>
        <v>1275</v>
      </c>
      <c r="J2554" s="7">
        <f>Tabela1[[#This Row],[MARGEM BRUTA]]/Tabela1[[#This Row],[Valor total]]</f>
        <v>0.35915492957746481</v>
      </c>
      <c r="K2554" s="1" t="str">
        <f>VLOOKUP(Tabela1[[#This Row],[Cliente]],'BASE DE CLIENTES'!A:D,4,0)</f>
        <v>EMPRESA COM MAQUINA</v>
      </c>
      <c r="L2554" s="1" t="str">
        <f>VLOOKUP(Tabela1[[#This Row],[Cliente]],'BASE DE CLIENTES'!A:E,5,0)</f>
        <v>Setor Placa da Mercedes (Núcleo Bandeirante)</v>
      </c>
    </row>
    <row r="2555" spans="2:12" x14ac:dyDescent="0.3">
      <c r="B2555" s="1" t="s">
        <v>27</v>
      </c>
      <c r="C2555" s="4" t="str">
        <f>VLOOKUP(Tabela1[[#This Row],[Cliente]],'BASE DE CLIENTES'!A:E,2,0)</f>
        <v>Brasília</v>
      </c>
      <c r="D2555" s="1" t="str">
        <f>VLOOKUP(Tabela1[[#This Row],[Cliente]],'BASE DE CLIENTES'!A:C,3,0)</f>
        <v>DF</v>
      </c>
      <c r="E2555" s="4" t="str">
        <f>CONCATENATE(Tabela1[[#This Row],[CIDADE]],",",Tabela1[[#This Row],[UF]])</f>
        <v>Brasília,DF</v>
      </c>
      <c r="F2555" s="2">
        <v>45908</v>
      </c>
      <c r="G2555" s="17">
        <v>764.6</v>
      </c>
      <c r="H2555" s="17">
        <v>1230</v>
      </c>
      <c r="I2555" s="6">
        <f>Tabela1[[#This Row],[Valor total]]-Tabela1[[#This Row],[Valor custo]]</f>
        <v>465.4</v>
      </c>
      <c r="J2555" s="7">
        <f>Tabela1[[#This Row],[MARGEM BRUTA]]/Tabela1[[#This Row],[Valor total]]</f>
        <v>0.37837398373983738</v>
      </c>
      <c r="K2555" s="1" t="str">
        <f>VLOOKUP(Tabela1[[#This Row],[Cliente]],'BASE DE CLIENTES'!A:D,4,0)</f>
        <v>EMPRESA SEM MAQUINA</v>
      </c>
      <c r="L2555" s="1" t="str">
        <f>VLOOKUP(Tabela1[[#This Row],[Cliente]],'BASE DE CLIENTES'!A:E,5,0)</f>
        <v>RECANTO DAS EMAS</v>
      </c>
    </row>
    <row r="2556" spans="2:12" x14ac:dyDescent="0.3">
      <c r="B2556" s="1" t="s">
        <v>239</v>
      </c>
      <c r="C2556" s="4" t="str">
        <f>VLOOKUP(Tabela1[[#This Row],[Cliente]],'BASE DE CLIENTES'!A:E,2,0)</f>
        <v>Brasília</v>
      </c>
      <c r="D2556" s="1" t="str">
        <f>VLOOKUP(Tabela1[[#This Row],[Cliente]],'BASE DE CLIENTES'!A:C,3,0)</f>
        <v>DF</v>
      </c>
      <c r="E2556" s="4" t="str">
        <f>CONCATENATE(Tabela1[[#This Row],[CIDADE]],",",Tabela1[[#This Row],[UF]])</f>
        <v>Brasília,DF</v>
      </c>
      <c r="F2556" s="2">
        <v>45908</v>
      </c>
      <c r="G2556" s="17">
        <v>305</v>
      </c>
      <c r="H2556" s="17">
        <v>400</v>
      </c>
      <c r="I2556" s="6">
        <f>Tabela1[[#This Row],[Valor total]]-Tabela1[[#This Row],[Valor custo]]</f>
        <v>95</v>
      </c>
      <c r="J2556" s="7">
        <f>Tabela1[[#This Row],[MARGEM BRUTA]]/Tabela1[[#This Row],[Valor total]]</f>
        <v>0.23749999999999999</v>
      </c>
      <c r="K2556" s="1" t="str">
        <f>VLOOKUP(Tabela1[[#This Row],[Cliente]],'BASE DE CLIENTES'!A:D,4,0)</f>
        <v>EMPRESA COM MAQUINA</v>
      </c>
      <c r="L2556" s="1" t="str">
        <f>VLOOKUP(Tabela1[[#This Row],[Cliente]],'BASE DE CLIENTES'!A:E,5,0)</f>
        <v>RIACHO FUNDO II</v>
      </c>
    </row>
    <row r="2557" spans="2:12" x14ac:dyDescent="0.3">
      <c r="B2557" s="1" t="s">
        <v>230</v>
      </c>
      <c r="C2557" s="4" t="str">
        <f>VLOOKUP(Tabela1[[#This Row],[Cliente]],'BASE DE CLIENTES'!A:E,2,0)</f>
        <v>Brasília</v>
      </c>
      <c r="D2557" s="1" t="str">
        <f>VLOOKUP(Tabela1[[#This Row],[Cliente]],'BASE DE CLIENTES'!A:C,3,0)</f>
        <v>DF</v>
      </c>
      <c r="E2557" s="4" t="str">
        <f>CONCATENATE(Tabela1[[#This Row],[CIDADE]],",",Tabela1[[#This Row],[UF]])</f>
        <v>Brasília,DF</v>
      </c>
      <c r="F2557" s="2">
        <v>45908</v>
      </c>
      <c r="G2557" s="17">
        <v>764.6</v>
      </c>
      <c r="H2557" s="17">
        <v>1236</v>
      </c>
      <c r="I2557" s="6">
        <f>Tabela1[[#This Row],[Valor total]]-Tabela1[[#This Row],[Valor custo]]</f>
        <v>471.4</v>
      </c>
      <c r="J2557" s="7">
        <f>Tabela1[[#This Row],[MARGEM BRUTA]]/Tabela1[[#This Row],[Valor total]]</f>
        <v>0.38139158576051779</v>
      </c>
      <c r="K2557" s="1" t="str">
        <f>VLOOKUP(Tabela1[[#This Row],[Cliente]],'BASE DE CLIENTES'!A:D,4,0)</f>
        <v>SERRALHEIRO</v>
      </c>
      <c r="L2557" s="1" t="str">
        <f>VLOOKUP(Tabela1[[#This Row],[Cliente]],'BASE DE CLIENTES'!A:E,5,0)</f>
        <v>SETOR HABITACIONAL SAMAMBAIA (VICENTE PIRES)</v>
      </c>
    </row>
    <row r="2558" spans="2:12" x14ac:dyDescent="0.3">
      <c r="B2558" s="1" t="s">
        <v>96</v>
      </c>
      <c r="C2558" s="4" t="str">
        <f>VLOOKUP(Tabela1[[#This Row],[Cliente]],'BASE DE CLIENTES'!A:E,2,0)</f>
        <v>Brasília</v>
      </c>
      <c r="D2558" s="1" t="str">
        <f>VLOOKUP(Tabela1[[#This Row],[Cliente]],'BASE DE CLIENTES'!A:C,3,0)</f>
        <v>DF</v>
      </c>
      <c r="E2558" s="4" t="str">
        <f>CONCATENATE(Tabela1[[#This Row],[CIDADE]],",",Tabela1[[#This Row],[UF]])</f>
        <v>Brasília,DF</v>
      </c>
      <c r="F2558" s="2">
        <v>45908</v>
      </c>
      <c r="G2558" s="17">
        <v>382.3</v>
      </c>
      <c r="H2558" s="17">
        <v>515</v>
      </c>
      <c r="I2558" s="6">
        <f>Tabela1[[#This Row],[Valor total]]-Tabela1[[#This Row],[Valor custo]]</f>
        <v>132.69999999999999</v>
      </c>
      <c r="J2558" s="7">
        <f>Tabela1[[#This Row],[MARGEM BRUTA]]/Tabela1[[#This Row],[Valor total]]</f>
        <v>0.25766990291262132</v>
      </c>
      <c r="K2558" s="1" t="str">
        <f>VLOOKUP(Tabela1[[#This Row],[Cliente]],'BASE DE CLIENTES'!A:D,4,0)</f>
        <v>EMPRESA SEM MAQUINA</v>
      </c>
      <c r="L2558" s="1" t="str">
        <f>VLOOKUP(Tabela1[[#This Row],[Cliente]],'BASE DE CLIENTES'!A:E,5,0)</f>
        <v>CEILANDIA NORTE (CEILANDIA)</v>
      </c>
    </row>
    <row r="2559" spans="2:12" x14ac:dyDescent="0.3">
      <c r="B2559" s="1" t="s">
        <v>316</v>
      </c>
      <c r="C2559" s="4" t="str">
        <f>VLOOKUP(Tabela1[[#This Row],[Cliente]],'BASE DE CLIENTES'!A:E,2,0)</f>
        <v>Valparaíso de Goiás</v>
      </c>
      <c r="D2559" s="1" t="str">
        <f>VLOOKUP(Tabela1[[#This Row],[Cliente]],'BASE DE CLIENTES'!A:C,3,0)</f>
        <v>GO</v>
      </c>
      <c r="E2559" s="4" t="str">
        <f>CONCATENATE(Tabela1[[#This Row],[CIDADE]],",",Tabela1[[#This Row],[UF]])</f>
        <v>Valparaíso de Goiás,GO</v>
      </c>
      <c r="F2559" s="2">
        <v>45834</v>
      </c>
      <c r="G2559" s="17">
        <v>2609.48</v>
      </c>
      <c r="H2559" s="17">
        <v>3845</v>
      </c>
      <c r="I2559" s="6">
        <f>Tabela1[[#This Row],[Valor total]]-Tabela1[[#This Row],[Valor custo]]</f>
        <v>1235.52</v>
      </c>
      <c r="J2559" s="7">
        <f>Tabela1[[#This Row],[MARGEM BRUTA]]/Tabela1[[#This Row],[Valor total]]</f>
        <v>0.32133159947984397</v>
      </c>
      <c r="K2559" s="1" t="str">
        <f>VLOOKUP(Tabela1[[#This Row],[Cliente]],'BASE DE CLIENTES'!A:D,4,0)</f>
        <v>SERRALHEIRO</v>
      </c>
      <c r="L2559" s="1" t="str">
        <f>VLOOKUP(Tabela1[[#This Row],[Cliente]],'BASE DE CLIENTES'!A:E,5,0)</f>
        <v>Valparaíso de Goiás</v>
      </c>
    </row>
    <row r="2560" spans="2:12" x14ac:dyDescent="0.3">
      <c r="B2560" s="1" t="s">
        <v>68</v>
      </c>
      <c r="C2560" s="4" t="str">
        <f>VLOOKUP(Tabela1[[#This Row],[Cliente]],'BASE DE CLIENTES'!A:E,2,0)</f>
        <v>Brasília</v>
      </c>
      <c r="D2560" s="1" t="str">
        <f>VLOOKUP(Tabela1[[#This Row],[Cliente]],'BASE DE CLIENTES'!A:C,3,0)</f>
        <v>DF</v>
      </c>
      <c r="E2560" s="4" t="str">
        <f>CONCATENATE(Tabela1[[#This Row],[CIDADE]],",",Tabela1[[#This Row],[UF]])</f>
        <v>Brasília,DF</v>
      </c>
      <c r="F2560" s="2">
        <v>45908</v>
      </c>
      <c r="G2560" s="17">
        <v>0</v>
      </c>
      <c r="H2560" s="17">
        <v>250</v>
      </c>
      <c r="I2560" s="6">
        <f>Tabela1[[#This Row],[Valor total]]-Tabela1[[#This Row],[Valor custo]]</f>
        <v>250</v>
      </c>
      <c r="J2560" s="7">
        <f>Tabela1[[#This Row],[MARGEM BRUTA]]/Tabela1[[#This Row],[Valor total]]</f>
        <v>1</v>
      </c>
      <c r="K2560" s="1" t="str">
        <f>VLOOKUP(Tabela1[[#This Row],[Cliente]],'BASE DE CLIENTES'!A:D,4,0)</f>
        <v>EMPRESA COM MAQUINA</v>
      </c>
      <c r="L2560" s="1" t="str">
        <f>VLOOKUP(Tabela1[[#This Row],[Cliente]],'BASE DE CLIENTES'!A:E,5,0)</f>
        <v>SAMAMBAIA SUL (SAMAMBAIA)</v>
      </c>
    </row>
    <row r="2561" spans="2:12" x14ac:dyDescent="0.3">
      <c r="B2561" s="1" t="s">
        <v>36</v>
      </c>
      <c r="C2561" s="4" t="str">
        <f>VLOOKUP(Tabela1[[#This Row],[Cliente]],'BASE DE CLIENTES'!A:E,2,0)</f>
        <v>Brasília</v>
      </c>
      <c r="D2561" s="1" t="str">
        <f>VLOOKUP(Tabela1[[#This Row],[Cliente]],'BASE DE CLIENTES'!A:C,3,0)</f>
        <v>DF</v>
      </c>
      <c r="E2561" s="4" t="str">
        <f>CONCATENATE(Tabela1[[#This Row],[CIDADE]],",",Tabela1[[#This Row],[UF]])</f>
        <v>Brasília,DF</v>
      </c>
      <c r="F2561" s="2">
        <v>45908</v>
      </c>
      <c r="G2561" s="17">
        <v>432.79</v>
      </c>
      <c r="H2561" s="17">
        <v>720</v>
      </c>
      <c r="I2561" s="6">
        <f>Tabela1[[#This Row],[Valor total]]-Tabela1[[#This Row],[Valor custo]]</f>
        <v>287.20999999999998</v>
      </c>
      <c r="J2561" s="7">
        <f>Tabela1[[#This Row],[MARGEM BRUTA]]/Tabela1[[#This Row],[Valor total]]</f>
        <v>0.39890277777777777</v>
      </c>
      <c r="K2561" s="1" t="str">
        <f>VLOOKUP(Tabela1[[#This Row],[Cliente]],'BASE DE CLIENTES'!A:D,4,0)</f>
        <v>SERRALHEIRO</v>
      </c>
      <c r="L2561" s="1" t="str">
        <f>VLOOKUP(Tabela1[[#This Row],[Cliente]],'BASE DE CLIENTES'!A:E,5,0)</f>
        <v>CEILANDIA SUL (CEILANDIA)</v>
      </c>
    </row>
    <row r="2562" spans="2:12" x14ac:dyDescent="0.3">
      <c r="B2562" s="1" t="s">
        <v>117</v>
      </c>
      <c r="C2562" s="4" t="str">
        <f>VLOOKUP(Tabela1[[#This Row],[Cliente]],'BASE DE CLIENTES'!A:E,2,0)</f>
        <v>Brasília</v>
      </c>
      <c r="D2562" s="1" t="str">
        <f>VLOOKUP(Tabela1[[#This Row],[Cliente]],'BASE DE CLIENTES'!A:C,3,0)</f>
        <v>DF</v>
      </c>
      <c r="E2562" s="4" t="str">
        <f>CONCATENATE(Tabela1[[#This Row],[CIDADE]],",",Tabela1[[#This Row],[UF]])</f>
        <v>Brasília,DF</v>
      </c>
      <c r="F2562" s="2">
        <v>45908</v>
      </c>
      <c r="G2562" s="17">
        <v>1798</v>
      </c>
      <c r="H2562" s="17">
        <v>3318</v>
      </c>
      <c r="I2562" s="6">
        <f>Tabela1[[#This Row],[Valor total]]-Tabela1[[#This Row],[Valor custo]]</f>
        <v>1520</v>
      </c>
      <c r="J2562" s="7">
        <f>Tabela1[[#This Row],[MARGEM BRUTA]]/Tabela1[[#This Row],[Valor total]]</f>
        <v>0.45810729355033153</v>
      </c>
      <c r="K2562" s="1" t="str">
        <f>VLOOKUP(Tabela1[[#This Row],[Cliente]],'BASE DE CLIENTES'!A:D,4,0)</f>
        <v>EMPRESA COM MAQUINA</v>
      </c>
      <c r="L2562" s="1" t="str">
        <f>VLOOKUP(Tabela1[[#This Row],[Cliente]],'BASE DE CLIENTES'!A:E,5,0)</f>
        <v>SETOR HABITACIONAL ARNIQUEIRA (AGUAS CLARAS)</v>
      </c>
    </row>
    <row r="2563" spans="2:12" x14ac:dyDescent="0.3">
      <c r="B2563" s="1" t="s">
        <v>320</v>
      </c>
      <c r="C2563" s="4" t="str">
        <f>VLOOKUP(Tabela1[[#This Row],[Cliente]],'BASE DE CLIENTES'!A:E,2,0)</f>
        <v>Valparaíso de Goiás</v>
      </c>
      <c r="D2563" s="1" t="str">
        <f>VLOOKUP(Tabela1[[#This Row],[Cliente]],'BASE DE CLIENTES'!A:C,3,0)</f>
        <v>GO</v>
      </c>
      <c r="E2563" s="4" t="str">
        <f>CONCATENATE(Tabela1[[#This Row],[CIDADE]],",",Tabela1[[#This Row],[UF]])</f>
        <v>Valparaíso de Goiás,GO</v>
      </c>
      <c r="F2563" s="2">
        <v>45833</v>
      </c>
      <c r="G2563" s="17">
        <v>920</v>
      </c>
      <c r="H2563" s="17">
        <v>1305</v>
      </c>
      <c r="I2563" s="6">
        <f>Tabela1[[#This Row],[Valor total]]-Tabela1[[#This Row],[Valor custo]]</f>
        <v>385</v>
      </c>
      <c r="J2563" s="7">
        <f>Tabela1[[#This Row],[MARGEM BRUTA]]/Tabela1[[#This Row],[Valor total]]</f>
        <v>0.2950191570881226</v>
      </c>
      <c r="K2563" s="1" t="str">
        <f>VLOOKUP(Tabela1[[#This Row],[Cliente]],'BASE DE CLIENTES'!A:D,4,0)</f>
        <v>SERRALHEIRO</v>
      </c>
      <c r="L2563" s="1" t="str">
        <f>VLOOKUP(Tabela1[[#This Row],[Cliente]],'BASE DE CLIENTES'!A:E,5,0)</f>
        <v>Valparaíso de Goiás</v>
      </c>
    </row>
    <row r="2564" spans="2:12" x14ac:dyDescent="0.3">
      <c r="B2564" s="1" t="s">
        <v>325</v>
      </c>
      <c r="C2564" s="4" t="str">
        <f>VLOOKUP(Tabela1[[#This Row],[Cliente]],'BASE DE CLIENTES'!A:E,2,0)</f>
        <v>Valparaíso de Goiás</v>
      </c>
      <c r="D2564" s="1" t="str">
        <f>VLOOKUP(Tabela1[[#This Row],[Cliente]],'BASE DE CLIENTES'!A:C,3,0)</f>
        <v>GO</v>
      </c>
      <c r="E2564" s="4" t="str">
        <f>CONCATENATE(Tabela1[[#This Row],[CIDADE]],",",Tabela1[[#This Row],[UF]])</f>
        <v>Valparaíso de Goiás,GO</v>
      </c>
      <c r="F2564" s="2">
        <v>45832</v>
      </c>
      <c r="G2564" s="17">
        <v>521</v>
      </c>
      <c r="H2564" s="17">
        <v>877</v>
      </c>
      <c r="I2564" s="6">
        <f>Tabela1[[#This Row],[Valor total]]-Tabela1[[#This Row],[Valor custo]]</f>
        <v>356</v>
      </c>
      <c r="J2564" s="7">
        <f>Tabela1[[#This Row],[MARGEM BRUTA]]/Tabela1[[#This Row],[Valor total]]</f>
        <v>0.40592930444697833</v>
      </c>
      <c r="K2564" s="1" t="str">
        <f>VLOOKUP(Tabela1[[#This Row],[Cliente]],'BASE DE CLIENTES'!A:D,4,0)</f>
        <v>SERRALHEIRO</v>
      </c>
      <c r="L2564" s="1" t="str">
        <f>VLOOKUP(Tabela1[[#This Row],[Cliente]],'BASE DE CLIENTES'!A:E,5,0)</f>
        <v>Valparaíso de Goiás</v>
      </c>
    </row>
    <row r="2565" spans="2:12" x14ac:dyDescent="0.3">
      <c r="B2565" s="1" t="s">
        <v>106</v>
      </c>
      <c r="C2565" s="4" t="str">
        <f>VLOOKUP(Tabela1[[#This Row],[Cliente]],'BASE DE CLIENTES'!A:E,2,0)</f>
        <v>Brasília</v>
      </c>
      <c r="D2565" s="1" t="str">
        <f>VLOOKUP(Tabela1[[#This Row],[Cliente]],'BASE DE CLIENTES'!A:C,3,0)</f>
        <v>DF</v>
      </c>
      <c r="E2565" s="4" t="str">
        <f>CONCATENATE(Tabela1[[#This Row],[CIDADE]],",",Tabela1[[#This Row],[UF]])</f>
        <v>Brasília,DF</v>
      </c>
      <c r="F2565" s="2">
        <v>45908</v>
      </c>
      <c r="G2565" s="17">
        <v>664</v>
      </c>
      <c r="H2565" s="17">
        <v>1250</v>
      </c>
      <c r="I2565" s="6">
        <f>Tabela1[[#This Row],[Valor total]]-Tabela1[[#This Row],[Valor custo]]</f>
        <v>586</v>
      </c>
      <c r="J2565" s="7">
        <f>Tabela1[[#This Row],[MARGEM BRUTA]]/Tabela1[[#This Row],[Valor total]]</f>
        <v>0.46879999999999999</v>
      </c>
      <c r="K2565" s="1" t="str">
        <f>VLOOKUP(Tabela1[[#This Row],[Cliente]],'BASE DE CLIENTES'!A:D,4,0)</f>
        <v>EMPRESA COM MAQUINA</v>
      </c>
      <c r="L2565" s="1" t="str">
        <f>VLOOKUP(Tabela1[[#This Row],[Cliente]],'BASE DE CLIENTES'!A:E,5,0)</f>
        <v>26 DE SETEMBRO</v>
      </c>
    </row>
    <row r="2566" spans="2:12" x14ac:dyDescent="0.3">
      <c r="B2566" s="1" t="s">
        <v>321</v>
      </c>
      <c r="C2566" s="4" t="str">
        <f>VLOOKUP(Tabela1[[#This Row],[Cliente]],'BASE DE CLIENTES'!A:E,2,0)</f>
        <v>Valparaíso de Goiás</v>
      </c>
      <c r="D2566" s="1" t="str">
        <f>VLOOKUP(Tabela1[[#This Row],[Cliente]],'BASE DE CLIENTES'!A:C,3,0)</f>
        <v>GO</v>
      </c>
      <c r="E2566" s="4" t="str">
        <f>CONCATENATE(Tabela1[[#This Row],[CIDADE]],",",Tabela1[[#This Row],[UF]])</f>
        <v>Valparaíso de Goiás,GO</v>
      </c>
      <c r="F2566" s="2">
        <v>45831</v>
      </c>
      <c r="G2566" s="17">
        <v>5890</v>
      </c>
      <c r="H2566" s="17">
        <v>8550</v>
      </c>
      <c r="I2566" s="6">
        <f>Tabela1[[#This Row],[Valor total]]-Tabela1[[#This Row],[Valor custo]]</f>
        <v>2660</v>
      </c>
      <c r="J2566" s="7">
        <f>Tabela1[[#This Row],[MARGEM BRUTA]]/Tabela1[[#This Row],[Valor total]]</f>
        <v>0.31111111111111112</v>
      </c>
      <c r="K2566" s="1" t="str">
        <f>VLOOKUP(Tabela1[[#This Row],[Cliente]],'BASE DE CLIENTES'!A:D,4,0)</f>
        <v>EMPRESA COM MAQUINA</v>
      </c>
      <c r="L2566" s="1" t="str">
        <f>VLOOKUP(Tabela1[[#This Row],[Cliente]],'BASE DE CLIENTES'!A:E,5,0)</f>
        <v>Valparaíso de Goiás</v>
      </c>
    </row>
    <row r="2567" spans="2:12" x14ac:dyDescent="0.3">
      <c r="B2567" s="1" t="s">
        <v>239</v>
      </c>
      <c r="C2567" s="4" t="str">
        <f>VLOOKUP(Tabela1[[#This Row],[Cliente]],'BASE DE CLIENTES'!A:E,2,0)</f>
        <v>Brasília</v>
      </c>
      <c r="D2567" s="1" t="str">
        <f>VLOOKUP(Tabela1[[#This Row],[Cliente]],'BASE DE CLIENTES'!A:C,3,0)</f>
        <v>DF</v>
      </c>
      <c r="E2567" s="4" t="str">
        <f>CONCATENATE(Tabela1[[#This Row],[CIDADE]],",",Tabela1[[#This Row],[UF]])</f>
        <v>Brasília,DF</v>
      </c>
      <c r="F2567" s="2">
        <v>45908</v>
      </c>
      <c r="G2567" s="17">
        <v>250</v>
      </c>
      <c r="H2567" s="17">
        <v>300</v>
      </c>
      <c r="I2567" s="6">
        <f>Tabela1[[#This Row],[Valor total]]-Tabela1[[#This Row],[Valor custo]]</f>
        <v>50</v>
      </c>
      <c r="J2567" s="7">
        <f>Tabela1[[#This Row],[MARGEM BRUTA]]/Tabela1[[#This Row],[Valor total]]</f>
        <v>0.16666666666666666</v>
      </c>
      <c r="K2567" s="1" t="str">
        <f>VLOOKUP(Tabela1[[#This Row],[Cliente]],'BASE DE CLIENTES'!A:D,4,0)</f>
        <v>EMPRESA COM MAQUINA</v>
      </c>
      <c r="L2567" s="1" t="str">
        <f>VLOOKUP(Tabela1[[#This Row],[Cliente]],'BASE DE CLIENTES'!A:E,5,0)</f>
        <v>RIACHO FUNDO II</v>
      </c>
    </row>
    <row r="2568" spans="2:12" x14ac:dyDescent="0.3">
      <c r="B2568" s="1" t="s">
        <v>42</v>
      </c>
      <c r="C2568" s="4" t="str">
        <f>VLOOKUP(Tabela1[[#This Row],[Cliente]],'BASE DE CLIENTES'!A:E,2,0)</f>
        <v>Brasília</v>
      </c>
      <c r="D2568" s="1" t="str">
        <f>VLOOKUP(Tabela1[[#This Row],[Cliente]],'BASE DE CLIENTES'!A:C,3,0)</f>
        <v>DF</v>
      </c>
      <c r="E2568" s="4" t="str">
        <f>CONCATENATE(Tabela1[[#This Row],[CIDADE]],",",Tabela1[[#This Row],[UF]])</f>
        <v>Brasília,DF</v>
      </c>
      <c r="F2568" s="2">
        <v>45908</v>
      </c>
      <c r="G2568" s="17">
        <v>382.3</v>
      </c>
      <c r="H2568" s="17">
        <v>615</v>
      </c>
      <c r="I2568" s="6">
        <f>Tabela1[[#This Row],[Valor total]]-Tabela1[[#This Row],[Valor custo]]</f>
        <v>232.7</v>
      </c>
      <c r="J2568" s="7">
        <f>Tabela1[[#This Row],[MARGEM BRUTA]]/Tabela1[[#This Row],[Valor total]]</f>
        <v>0.37837398373983738</v>
      </c>
      <c r="K2568" s="1" t="str">
        <f>VLOOKUP(Tabela1[[#This Row],[Cliente]],'BASE DE CLIENTES'!A:D,4,0)</f>
        <v>EMPRESA SEM MAQUINA</v>
      </c>
      <c r="L2568" s="1" t="str">
        <f>VLOOKUP(Tabela1[[#This Row],[Cliente]],'BASE DE CLIENTES'!A:E,5,0)</f>
        <v>SAMAMBAIA</v>
      </c>
    </row>
    <row r="2569" spans="2:12" x14ac:dyDescent="0.3">
      <c r="B2569" s="1" t="s">
        <v>117</v>
      </c>
      <c r="C2569" s="4" t="str">
        <f>VLOOKUP(Tabela1[[#This Row],[Cliente]],'BASE DE CLIENTES'!A:E,2,0)</f>
        <v>Brasília</v>
      </c>
      <c r="D2569" s="1" t="str">
        <f>VLOOKUP(Tabela1[[#This Row],[Cliente]],'BASE DE CLIENTES'!A:C,3,0)</f>
        <v>DF</v>
      </c>
      <c r="E2569" s="4" t="str">
        <f>CONCATENATE(Tabela1[[#This Row],[CIDADE]],",",Tabela1[[#This Row],[UF]])</f>
        <v>Brasília,DF</v>
      </c>
      <c r="F2569" s="2">
        <v>45905</v>
      </c>
      <c r="G2569" s="17">
        <v>1326.84</v>
      </c>
      <c r="H2569" s="17">
        <v>2150</v>
      </c>
      <c r="I2569" s="6">
        <f>Tabela1[[#This Row],[Valor total]]-Tabela1[[#This Row],[Valor custo]]</f>
        <v>823.16000000000008</v>
      </c>
      <c r="J2569" s="7">
        <f>Tabela1[[#This Row],[MARGEM BRUTA]]/Tabela1[[#This Row],[Valor total]]</f>
        <v>0.38286511627906983</v>
      </c>
      <c r="K2569" s="1" t="str">
        <f>VLOOKUP(Tabela1[[#This Row],[Cliente]],'BASE DE CLIENTES'!A:D,4,0)</f>
        <v>EMPRESA COM MAQUINA</v>
      </c>
      <c r="L2569" s="1" t="str">
        <f>VLOOKUP(Tabela1[[#This Row],[Cliente]],'BASE DE CLIENTES'!A:E,5,0)</f>
        <v>SETOR HABITACIONAL ARNIQUEIRA (AGUAS CLARAS)</v>
      </c>
    </row>
    <row r="2570" spans="2:12" x14ac:dyDescent="0.3">
      <c r="B2570" s="1" t="s">
        <v>68</v>
      </c>
      <c r="C2570" s="4" t="str">
        <f>VLOOKUP(Tabela1[[#This Row],[Cliente]],'BASE DE CLIENTES'!A:E,2,0)</f>
        <v>Brasília</v>
      </c>
      <c r="D2570" s="1" t="str">
        <f>VLOOKUP(Tabela1[[#This Row],[Cliente]],'BASE DE CLIENTES'!A:C,3,0)</f>
        <v>DF</v>
      </c>
      <c r="E2570" s="4" t="str">
        <f>CONCATENATE(Tabela1[[#This Row],[CIDADE]],",",Tabela1[[#This Row],[UF]])</f>
        <v>Brasília,DF</v>
      </c>
      <c r="F2570" s="2">
        <v>45905</v>
      </c>
      <c r="G2570" s="17">
        <v>382.3</v>
      </c>
      <c r="H2570" s="17">
        <v>615</v>
      </c>
      <c r="I2570" s="6">
        <f>Tabela1[[#This Row],[Valor total]]-Tabela1[[#This Row],[Valor custo]]</f>
        <v>232.7</v>
      </c>
      <c r="J2570" s="7">
        <f>Tabela1[[#This Row],[MARGEM BRUTA]]/Tabela1[[#This Row],[Valor total]]</f>
        <v>0.37837398373983738</v>
      </c>
      <c r="K2570" s="1" t="str">
        <f>VLOOKUP(Tabela1[[#This Row],[Cliente]],'BASE DE CLIENTES'!A:D,4,0)</f>
        <v>EMPRESA COM MAQUINA</v>
      </c>
      <c r="L2570" s="1" t="str">
        <f>VLOOKUP(Tabela1[[#This Row],[Cliente]],'BASE DE CLIENTES'!A:E,5,0)</f>
        <v>SAMAMBAIA SUL (SAMAMBAIA)</v>
      </c>
    </row>
    <row r="2571" spans="2:12" x14ac:dyDescent="0.3">
      <c r="B2571" s="1" t="s">
        <v>319</v>
      </c>
      <c r="C2571" s="4" t="str">
        <f>VLOOKUP(Tabela1[[#This Row],[Cliente]],'BASE DE CLIENTES'!A:E,2,0)</f>
        <v>Valparaíso de Goiás</v>
      </c>
      <c r="D2571" s="1" t="str">
        <f>VLOOKUP(Tabela1[[#This Row],[Cliente]],'BASE DE CLIENTES'!A:C,3,0)</f>
        <v>GO</v>
      </c>
      <c r="E2571" s="4" t="str">
        <f>CONCATENATE(Tabela1[[#This Row],[CIDADE]],",",Tabela1[[#This Row],[UF]])</f>
        <v>Valparaíso de Goiás,GO</v>
      </c>
      <c r="F2571" s="2">
        <v>45831</v>
      </c>
      <c r="G2571" s="17">
        <v>1450</v>
      </c>
      <c r="H2571" s="17">
        <v>2500</v>
      </c>
      <c r="I2571" s="6">
        <f>Tabela1[[#This Row],[Valor total]]-Tabela1[[#This Row],[Valor custo]]</f>
        <v>1050</v>
      </c>
      <c r="J2571" s="7">
        <f>Tabela1[[#This Row],[MARGEM BRUTA]]/Tabela1[[#This Row],[Valor total]]</f>
        <v>0.42</v>
      </c>
      <c r="K2571" s="1" t="str">
        <f>VLOOKUP(Tabela1[[#This Row],[Cliente]],'BASE DE CLIENTES'!A:D,4,0)</f>
        <v>EMPRESA COM MAQUINA</v>
      </c>
      <c r="L2571" s="1" t="str">
        <f>VLOOKUP(Tabela1[[#This Row],[Cliente]],'BASE DE CLIENTES'!A:E,5,0)</f>
        <v>Valparaíso de Goiás</v>
      </c>
    </row>
    <row r="2572" spans="2:12" x14ac:dyDescent="0.3">
      <c r="B2572" s="1" t="s">
        <v>42</v>
      </c>
      <c r="C2572" s="4" t="str">
        <f>VLOOKUP(Tabela1[[#This Row],[Cliente]],'BASE DE CLIENTES'!A:E,2,0)</f>
        <v>Brasília</v>
      </c>
      <c r="D2572" s="1" t="str">
        <f>VLOOKUP(Tabela1[[#This Row],[Cliente]],'BASE DE CLIENTES'!A:C,3,0)</f>
        <v>DF</v>
      </c>
      <c r="E2572" s="4" t="str">
        <f>CONCATENATE(Tabela1[[#This Row],[CIDADE]],",",Tabela1[[#This Row],[UF]])</f>
        <v>Brasília,DF</v>
      </c>
      <c r="F2572" s="2">
        <v>45905</v>
      </c>
      <c r="G2572" s="17">
        <v>484.21</v>
      </c>
      <c r="H2572" s="17">
        <v>740</v>
      </c>
      <c r="I2572" s="6">
        <f>Tabela1[[#This Row],[Valor total]]-Tabela1[[#This Row],[Valor custo]]</f>
        <v>255.79000000000002</v>
      </c>
      <c r="J2572" s="7">
        <f>Tabela1[[#This Row],[MARGEM BRUTA]]/Tabela1[[#This Row],[Valor total]]</f>
        <v>0.34566216216216217</v>
      </c>
      <c r="K2572" s="1" t="str">
        <f>VLOOKUP(Tabela1[[#This Row],[Cliente]],'BASE DE CLIENTES'!A:D,4,0)</f>
        <v>EMPRESA SEM MAQUINA</v>
      </c>
      <c r="L2572" s="1" t="str">
        <f>VLOOKUP(Tabela1[[#This Row],[Cliente]],'BASE DE CLIENTES'!A:E,5,0)</f>
        <v>SAMAMBAIA</v>
      </c>
    </row>
    <row r="2573" spans="2:12" x14ac:dyDescent="0.3">
      <c r="B2573" s="1" t="s">
        <v>106</v>
      </c>
      <c r="C2573" s="4" t="str">
        <f>VLOOKUP(Tabela1[[#This Row],[Cliente]],'BASE DE CLIENTES'!A:E,2,0)</f>
        <v>Brasília</v>
      </c>
      <c r="D2573" s="1" t="str">
        <f>VLOOKUP(Tabela1[[#This Row],[Cliente]],'BASE DE CLIENTES'!A:C,3,0)</f>
        <v>DF</v>
      </c>
      <c r="E2573" s="4" t="str">
        <f>CONCATENATE(Tabela1[[#This Row],[CIDADE]],",",Tabela1[[#This Row],[UF]])</f>
        <v>Brasília,DF</v>
      </c>
      <c r="F2573" s="2">
        <v>45905</v>
      </c>
      <c r="G2573" s="17">
        <v>2307.19</v>
      </c>
      <c r="H2573" s="17">
        <v>3560</v>
      </c>
      <c r="I2573" s="6">
        <f>Tabela1[[#This Row],[Valor total]]-Tabela1[[#This Row],[Valor custo]]</f>
        <v>1252.81</v>
      </c>
      <c r="J2573" s="7">
        <f>Tabela1[[#This Row],[MARGEM BRUTA]]/Tabela1[[#This Row],[Valor total]]</f>
        <v>0.35191292134831459</v>
      </c>
      <c r="K2573" s="1" t="str">
        <f>VLOOKUP(Tabela1[[#This Row],[Cliente]],'BASE DE CLIENTES'!A:D,4,0)</f>
        <v>EMPRESA COM MAQUINA</v>
      </c>
      <c r="L2573" s="1" t="str">
        <f>VLOOKUP(Tabela1[[#This Row],[Cliente]],'BASE DE CLIENTES'!A:E,5,0)</f>
        <v>26 DE SETEMBRO</v>
      </c>
    </row>
    <row r="2574" spans="2:12" x14ac:dyDescent="0.3">
      <c r="B2574" s="1" t="s">
        <v>321</v>
      </c>
      <c r="C2574" s="4" t="str">
        <f>VLOOKUP(Tabela1[[#This Row],[Cliente]],'BASE DE CLIENTES'!A:E,2,0)</f>
        <v>Valparaíso de Goiás</v>
      </c>
      <c r="D2574" s="1" t="str">
        <f>VLOOKUP(Tabela1[[#This Row],[Cliente]],'BASE DE CLIENTES'!A:C,3,0)</f>
        <v>GO</v>
      </c>
      <c r="E2574" s="4" t="str">
        <f>CONCATENATE(Tabela1[[#This Row],[CIDADE]],",",Tabela1[[#This Row],[UF]])</f>
        <v>Valparaíso de Goiás,GO</v>
      </c>
      <c r="F2574" s="2">
        <v>45821</v>
      </c>
      <c r="G2574" s="17">
        <v>3928</v>
      </c>
      <c r="H2574" s="17">
        <v>5565</v>
      </c>
      <c r="I2574" s="6">
        <f>Tabela1[[#This Row],[Valor total]]-Tabela1[[#This Row],[Valor custo]]</f>
        <v>1637</v>
      </c>
      <c r="J2574" s="7">
        <f>Tabela1[[#This Row],[MARGEM BRUTA]]/Tabela1[[#This Row],[Valor total]]</f>
        <v>0.29415992812219227</v>
      </c>
      <c r="K2574" s="1" t="str">
        <f>VLOOKUP(Tabela1[[#This Row],[Cliente]],'BASE DE CLIENTES'!A:D,4,0)</f>
        <v>EMPRESA COM MAQUINA</v>
      </c>
      <c r="L2574" s="1" t="str">
        <f>VLOOKUP(Tabela1[[#This Row],[Cliente]],'BASE DE CLIENTES'!A:E,5,0)</f>
        <v>Valparaíso de Goiás</v>
      </c>
    </row>
    <row r="2575" spans="2:12" x14ac:dyDescent="0.3">
      <c r="B2575" s="1" t="s">
        <v>262</v>
      </c>
      <c r="C2575" s="4" t="str">
        <f>VLOOKUP(Tabela1[[#This Row],[Cliente]],'BASE DE CLIENTES'!A:E,2,0)</f>
        <v>Brasília</v>
      </c>
      <c r="D2575" s="1" t="str">
        <f>VLOOKUP(Tabela1[[#This Row],[Cliente]],'BASE DE CLIENTES'!A:C,3,0)</f>
        <v>DF</v>
      </c>
      <c r="E2575" s="4" t="str">
        <f>CONCATENATE(Tabela1[[#This Row],[CIDADE]],",",Tabela1[[#This Row],[UF]])</f>
        <v>Brasília,DF</v>
      </c>
      <c r="F2575" s="2">
        <v>45905</v>
      </c>
      <c r="G2575" s="17">
        <v>220</v>
      </c>
      <c r="H2575" s="17">
        <v>296</v>
      </c>
      <c r="I2575" s="6">
        <f>Tabela1[[#This Row],[Valor total]]-Tabela1[[#This Row],[Valor custo]]</f>
        <v>76</v>
      </c>
      <c r="J2575" s="7">
        <f>Tabela1[[#This Row],[MARGEM BRUTA]]/Tabela1[[#This Row],[Valor total]]</f>
        <v>0.25675675675675674</v>
      </c>
      <c r="K2575" s="1" t="str">
        <f>VLOOKUP(Tabela1[[#This Row],[Cliente]],'BASE DE CLIENTES'!A:D,4,0)</f>
        <v>SERRALHEIRO</v>
      </c>
      <c r="L2575" s="1" t="str">
        <f>VLOOKUP(Tabela1[[#This Row],[Cliente]],'BASE DE CLIENTES'!A:E,5,0)</f>
        <v>SETOR INDUSTRIAL (TAGUATINGA)</v>
      </c>
    </row>
    <row r="2576" spans="2:12" x14ac:dyDescent="0.3">
      <c r="B2576" s="1" t="s">
        <v>316</v>
      </c>
      <c r="C2576" s="4" t="str">
        <f>VLOOKUP(Tabela1[[#This Row],[Cliente]],'BASE DE CLIENTES'!A:E,2,0)</f>
        <v>Valparaíso de Goiás</v>
      </c>
      <c r="D2576" s="1" t="str">
        <f>VLOOKUP(Tabela1[[#This Row],[Cliente]],'BASE DE CLIENTES'!A:C,3,0)</f>
        <v>GO</v>
      </c>
      <c r="E2576" s="4" t="str">
        <f>CONCATENATE(Tabela1[[#This Row],[CIDADE]],",",Tabela1[[#This Row],[UF]])</f>
        <v>Valparaíso de Goiás,GO</v>
      </c>
      <c r="F2576" s="2">
        <v>45819</v>
      </c>
      <c r="G2576" s="17">
        <v>41.07</v>
      </c>
      <c r="H2576" s="17">
        <v>330</v>
      </c>
      <c r="I2576" s="6">
        <f>Tabela1[[#This Row],[Valor total]]-Tabela1[[#This Row],[Valor custo]]</f>
        <v>288.93</v>
      </c>
      <c r="J2576" s="7">
        <f>Tabela1[[#This Row],[MARGEM BRUTA]]/Tabela1[[#This Row],[Valor total]]</f>
        <v>0.87554545454545452</v>
      </c>
      <c r="K2576" s="1" t="str">
        <f>VLOOKUP(Tabela1[[#This Row],[Cliente]],'BASE DE CLIENTES'!A:D,4,0)</f>
        <v>SERRALHEIRO</v>
      </c>
      <c r="L2576" s="1" t="str">
        <f>VLOOKUP(Tabela1[[#This Row],[Cliente]],'BASE DE CLIENTES'!A:E,5,0)</f>
        <v>Valparaíso de Goiás</v>
      </c>
    </row>
    <row r="2577" spans="2:12" x14ac:dyDescent="0.3">
      <c r="B2577" s="1" t="s">
        <v>187</v>
      </c>
      <c r="C2577" s="4" t="str">
        <f>VLOOKUP(Tabela1[[#This Row],[Cliente]],'BASE DE CLIENTES'!A:E,2,0)</f>
        <v>Brasília</v>
      </c>
      <c r="D2577" s="1" t="str">
        <f>VLOOKUP(Tabela1[[#This Row],[Cliente]],'BASE DE CLIENTES'!A:C,3,0)</f>
        <v>DF</v>
      </c>
      <c r="E2577" s="4" t="str">
        <f>CONCATENATE(Tabela1[[#This Row],[CIDADE]],",",Tabela1[[#This Row],[UF]])</f>
        <v>Brasília,DF</v>
      </c>
      <c r="F2577" s="2">
        <v>45905</v>
      </c>
      <c r="G2577" s="17">
        <v>1413.6</v>
      </c>
      <c r="H2577" s="17">
        <v>2600</v>
      </c>
      <c r="I2577" s="6">
        <f>Tabela1[[#This Row],[Valor total]]-Tabela1[[#This Row],[Valor custo]]</f>
        <v>1186.4000000000001</v>
      </c>
      <c r="J2577" s="7">
        <f>Tabela1[[#This Row],[MARGEM BRUTA]]/Tabela1[[#This Row],[Valor total]]</f>
        <v>0.45630769230769236</v>
      </c>
      <c r="K2577" s="1" t="str">
        <f>VLOOKUP(Tabela1[[#This Row],[Cliente]],'BASE DE CLIENTES'!A:D,4,0)</f>
        <v>SERRALHEIRO</v>
      </c>
      <c r="L2577" s="1" t="str">
        <f>VLOOKUP(Tabela1[[#This Row],[Cliente]],'BASE DE CLIENTES'!A:E,5,0)</f>
        <v>CEILANDIA SUL (CEILANDIA)</v>
      </c>
    </row>
    <row r="2578" spans="2:12" x14ac:dyDescent="0.3">
      <c r="B2578" s="1" t="s">
        <v>123</v>
      </c>
      <c r="C2578" s="4" t="str">
        <f>VLOOKUP(Tabela1[[#This Row],[Cliente]],'BASE DE CLIENTES'!A:E,2,0)</f>
        <v>Brasília</v>
      </c>
      <c r="D2578" s="1" t="str">
        <f>VLOOKUP(Tabela1[[#This Row],[Cliente]],'BASE DE CLIENTES'!A:C,3,0)</f>
        <v>DF</v>
      </c>
      <c r="E2578" s="4" t="str">
        <f>CONCATENATE(Tabela1[[#This Row],[CIDADE]],",",Tabela1[[#This Row],[UF]])</f>
        <v>Brasília,DF</v>
      </c>
      <c r="F2578" s="2">
        <v>45905</v>
      </c>
      <c r="G2578" s="17">
        <v>4097.8900000000003</v>
      </c>
      <c r="H2578" s="17">
        <v>6690</v>
      </c>
      <c r="I2578" s="6">
        <f>Tabela1[[#This Row],[Valor total]]-Tabela1[[#This Row],[Valor custo]]</f>
        <v>2592.1099999999997</v>
      </c>
      <c r="J2578" s="7">
        <f>Tabela1[[#This Row],[MARGEM BRUTA]]/Tabela1[[#This Row],[Valor total]]</f>
        <v>0.38746038863976079</v>
      </c>
      <c r="K2578" s="1" t="str">
        <f>VLOOKUP(Tabela1[[#This Row],[Cliente]],'BASE DE CLIENTES'!A:D,4,0)</f>
        <v>EMPRESA COM MAQUINA</v>
      </c>
      <c r="L2578" s="1" t="str">
        <f>VLOOKUP(Tabela1[[#This Row],[Cliente]],'BASE DE CLIENTES'!A:E,5,0)</f>
        <v>ADE CEILÂNDIA</v>
      </c>
    </row>
    <row r="2579" spans="2:12" x14ac:dyDescent="0.3">
      <c r="B2579" s="1" t="s">
        <v>108</v>
      </c>
      <c r="C2579" s="4" t="str">
        <f>VLOOKUP(Tabela1[[#This Row],[Cliente]],'BASE DE CLIENTES'!A:E,2,0)</f>
        <v>Brasília</v>
      </c>
      <c r="D2579" s="1" t="str">
        <f>VLOOKUP(Tabela1[[#This Row],[Cliente]],'BASE DE CLIENTES'!A:C,3,0)</f>
        <v>DF</v>
      </c>
      <c r="E2579" s="4" t="str">
        <f>CONCATENATE(Tabela1[[#This Row],[CIDADE]],",",Tabela1[[#This Row],[UF]])</f>
        <v>Brasília,DF</v>
      </c>
      <c r="F2579" s="2">
        <v>45905</v>
      </c>
      <c r="G2579" s="17">
        <v>150</v>
      </c>
      <c r="H2579" s="17">
        <v>180</v>
      </c>
      <c r="I2579" s="6">
        <f>Tabela1[[#This Row],[Valor total]]-Tabela1[[#This Row],[Valor custo]]</f>
        <v>30</v>
      </c>
      <c r="J2579" s="7">
        <f>Tabela1[[#This Row],[MARGEM BRUTA]]/Tabela1[[#This Row],[Valor total]]</f>
        <v>0.16666666666666666</v>
      </c>
      <c r="K2579" s="1" t="str">
        <f>VLOOKUP(Tabela1[[#This Row],[Cliente]],'BASE DE CLIENTES'!A:D,4,0)</f>
        <v>SERRALHEIRO</v>
      </c>
      <c r="L2579" s="1" t="str">
        <f>VLOOKUP(Tabela1[[#This Row],[Cliente]],'BASE DE CLIENTES'!A:E,5,0)</f>
        <v>Vila Planalto</v>
      </c>
    </row>
    <row r="2580" spans="2:12" x14ac:dyDescent="0.3">
      <c r="B2580" s="1" t="s">
        <v>321</v>
      </c>
      <c r="C2580" s="4" t="str">
        <f>VLOOKUP(Tabela1[[#This Row],[Cliente]],'BASE DE CLIENTES'!A:E,2,0)</f>
        <v>Valparaíso de Goiás</v>
      </c>
      <c r="D2580" s="1" t="str">
        <f>VLOOKUP(Tabela1[[#This Row],[Cliente]],'BASE DE CLIENTES'!A:C,3,0)</f>
        <v>GO</v>
      </c>
      <c r="E2580" s="4" t="str">
        <f>CONCATENATE(Tabela1[[#This Row],[CIDADE]],",",Tabela1[[#This Row],[UF]])</f>
        <v>Valparaíso de Goiás,GO</v>
      </c>
      <c r="F2580" s="2">
        <v>45817</v>
      </c>
      <c r="G2580" s="17">
        <v>1615</v>
      </c>
      <c r="H2580" s="17">
        <v>2270</v>
      </c>
      <c r="I2580" s="6">
        <f>Tabela1[[#This Row],[Valor total]]-Tabela1[[#This Row],[Valor custo]]</f>
        <v>655</v>
      </c>
      <c r="J2580" s="7">
        <f>Tabela1[[#This Row],[MARGEM BRUTA]]/Tabela1[[#This Row],[Valor total]]</f>
        <v>0.28854625550660795</v>
      </c>
      <c r="K2580" s="1" t="str">
        <f>VLOOKUP(Tabela1[[#This Row],[Cliente]],'BASE DE CLIENTES'!A:D,4,0)</f>
        <v>EMPRESA COM MAQUINA</v>
      </c>
      <c r="L2580" s="1" t="str">
        <f>VLOOKUP(Tabela1[[#This Row],[Cliente]],'BASE DE CLIENTES'!A:E,5,0)</f>
        <v>Valparaíso de Goiás</v>
      </c>
    </row>
    <row r="2581" spans="2:12" x14ac:dyDescent="0.3">
      <c r="B2581" s="1" t="s">
        <v>319</v>
      </c>
      <c r="C2581" s="4" t="str">
        <f>VLOOKUP(Tabela1[[#This Row],[Cliente]],'BASE DE CLIENTES'!A:E,2,0)</f>
        <v>Valparaíso de Goiás</v>
      </c>
      <c r="D2581" s="1" t="str">
        <f>VLOOKUP(Tabela1[[#This Row],[Cliente]],'BASE DE CLIENTES'!A:C,3,0)</f>
        <v>GO</v>
      </c>
      <c r="E2581" s="4" t="str">
        <f>CONCATENATE(Tabela1[[#This Row],[CIDADE]],",",Tabela1[[#This Row],[UF]])</f>
        <v>Valparaíso de Goiás,GO</v>
      </c>
      <c r="F2581" s="2">
        <v>45814</v>
      </c>
      <c r="G2581" s="17">
        <v>2172.09</v>
      </c>
      <c r="H2581" s="17">
        <v>3060</v>
      </c>
      <c r="I2581" s="6">
        <f>Tabela1[[#This Row],[Valor total]]-Tabela1[[#This Row],[Valor custo]]</f>
        <v>887.90999999999985</v>
      </c>
      <c r="J2581" s="7">
        <f>Tabela1[[#This Row],[MARGEM BRUTA]]/Tabela1[[#This Row],[Valor total]]</f>
        <v>0.29016666666666663</v>
      </c>
      <c r="K2581" s="1" t="str">
        <f>VLOOKUP(Tabela1[[#This Row],[Cliente]],'BASE DE CLIENTES'!A:D,4,0)</f>
        <v>EMPRESA COM MAQUINA</v>
      </c>
      <c r="L2581" s="1" t="str">
        <f>VLOOKUP(Tabela1[[#This Row],[Cliente]],'BASE DE CLIENTES'!A:E,5,0)</f>
        <v>Valparaíso de Goiás</v>
      </c>
    </row>
    <row r="2582" spans="2:12" x14ac:dyDescent="0.3">
      <c r="B2582" s="1" t="s">
        <v>70</v>
      </c>
      <c r="C2582" s="4" t="str">
        <f>VLOOKUP(Tabela1[[#This Row],[Cliente]],'BASE DE CLIENTES'!A:E,2,0)</f>
        <v>Brasília</v>
      </c>
      <c r="D2582" s="1" t="str">
        <f>VLOOKUP(Tabela1[[#This Row],[Cliente]],'BASE DE CLIENTES'!A:C,3,0)</f>
        <v>DF</v>
      </c>
      <c r="E2582" s="4" t="str">
        <f>CONCATENATE(Tabela1[[#This Row],[CIDADE]],",",Tabela1[[#This Row],[UF]])</f>
        <v>Brasília,DF</v>
      </c>
      <c r="F2582" s="2">
        <v>45905</v>
      </c>
      <c r="G2582" s="17">
        <v>826.8</v>
      </c>
      <c r="H2582" s="17">
        <v>1306</v>
      </c>
      <c r="I2582" s="6">
        <f>Tabela1[[#This Row],[Valor total]]-Tabela1[[#This Row],[Valor custo]]</f>
        <v>479.20000000000005</v>
      </c>
      <c r="J2582" s="7">
        <f>Tabela1[[#This Row],[MARGEM BRUTA]]/Tabela1[[#This Row],[Valor total]]</f>
        <v>0.36692189892802451</v>
      </c>
      <c r="K2582" s="1" t="str">
        <f>VLOOKUP(Tabela1[[#This Row],[Cliente]],'BASE DE CLIENTES'!A:D,4,0)</f>
        <v>EMPRESA COM MAQUINA</v>
      </c>
      <c r="L2582" s="1" t="str">
        <f>VLOOKUP(Tabela1[[#This Row],[Cliente]],'BASE DE CLIENTES'!A:E,5,0)</f>
        <v>TAGUATINGA NORTE (TAGUATINGA)</v>
      </c>
    </row>
    <row r="2583" spans="2:12" x14ac:dyDescent="0.3">
      <c r="B2583" s="1" t="s">
        <v>78</v>
      </c>
      <c r="C2583" s="4" t="str">
        <f>VLOOKUP(Tabela1[[#This Row],[Cliente]],'BASE DE CLIENTES'!A:E,2,0)</f>
        <v>Brasília</v>
      </c>
      <c r="D2583" s="1" t="str">
        <f>VLOOKUP(Tabela1[[#This Row],[Cliente]],'BASE DE CLIENTES'!A:C,3,0)</f>
        <v>DF</v>
      </c>
      <c r="E2583" s="4" t="str">
        <f>CONCATENATE(Tabela1[[#This Row],[CIDADE]],",",Tabela1[[#This Row],[UF]])</f>
        <v>Brasília,DF</v>
      </c>
      <c r="F2583" s="2">
        <v>45905</v>
      </c>
      <c r="G2583" s="17">
        <v>437.3</v>
      </c>
      <c r="H2583" s="17">
        <v>845</v>
      </c>
      <c r="I2583" s="6">
        <f>Tabela1[[#This Row],[Valor total]]-Tabela1[[#This Row],[Valor custo]]</f>
        <v>407.7</v>
      </c>
      <c r="J2583" s="7">
        <f>Tabela1[[#This Row],[MARGEM BRUTA]]/Tabela1[[#This Row],[Valor total]]</f>
        <v>0.48248520710059173</v>
      </c>
      <c r="K2583" s="1" t="str">
        <f>VLOOKUP(Tabela1[[#This Row],[Cliente]],'BASE DE CLIENTES'!A:D,4,0)</f>
        <v>SERRALHEIRO</v>
      </c>
      <c r="L2583" s="1" t="str">
        <f>VLOOKUP(Tabela1[[#This Row],[Cliente]],'BASE DE CLIENTES'!A:E,5,0)</f>
        <v>Vila do Boa (São Sebastião)</v>
      </c>
    </row>
    <row r="2584" spans="2:12" x14ac:dyDescent="0.3">
      <c r="B2584" s="1" t="s">
        <v>97</v>
      </c>
      <c r="C2584" s="4" t="str">
        <f>VLOOKUP(Tabela1[[#This Row],[Cliente]],'BASE DE CLIENTES'!A:E,2,0)</f>
        <v>Brasília</v>
      </c>
      <c r="D2584" s="1" t="str">
        <f>VLOOKUP(Tabela1[[#This Row],[Cliente]],'BASE DE CLIENTES'!A:C,3,0)</f>
        <v>DF</v>
      </c>
      <c r="E2584" s="4" t="str">
        <f>CONCATENATE(Tabela1[[#This Row],[CIDADE]],",",Tabela1[[#This Row],[UF]])</f>
        <v>Brasília,DF</v>
      </c>
      <c r="F2584" s="2">
        <v>45905</v>
      </c>
      <c r="G2584" s="17">
        <v>1046.3</v>
      </c>
      <c r="H2584" s="17">
        <v>1995</v>
      </c>
      <c r="I2584" s="6">
        <f>Tabela1[[#This Row],[Valor total]]-Tabela1[[#This Row],[Valor custo]]</f>
        <v>948.7</v>
      </c>
      <c r="J2584" s="7">
        <f>Tabela1[[#This Row],[MARGEM BRUTA]]/Tabela1[[#This Row],[Valor total]]</f>
        <v>0.47553884711779448</v>
      </c>
      <c r="K2584" s="1" t="str">
        <f>VLOOKUP(Tabela1[[#This Row],[Cliente]],'BASE DE CLIENTES'!A:D,4,0)</f>
        <v>SERRALHEIRO</v>
      </c>
      <c r="L2584" s="1" t="str">
        <f>VLOOKUP(Tabela1[[#This Row],[Cliente]],'BASE DE CLIENTES'!A:E,5,0)</f>
        <v>CEILANDIA NORTE</v>
      </c>
    </row>
    <row r="2585" spans="2:12" x14ac:dyDescent="0.3">
      <c r="B2585" s="1" t="s">
        <v>68</v>
      </c>
      <c r="C2585" s="4" t="str">
        <f>VLOOKUP(Tabela1[[#This Row],[Cliente]],'BASE DE CLIENTES'!A:E,2,0)</f>
        <v>Brasília</v>
      </c>
      <c r="D2585" s="1" t="str">
        <f>VLOOKUP(Tabela1[[#This Row],[Cliente]],'BASE DE CLIENTES'!A:C,3,0)</f>
        <v>DF</v>
      </c>
      <c r="E2585" s="4" t="str">
        <f>CONCATENATE(Tabela1[[#This Row],[CIDADE]],",",Tabela1[[#This Row],[UF]])</f>
        <v>Brasília,DF</v>
      </c>
      <c r="F2585" s="2">
        <v>45905</v>
      </c>
      <c r="G2585" s="17">
        <v>679</v>
      </c>
      <c r="H2585" s="17">
        <v>1400</v>
      </c>
      <c r="I2585" s="6">
        <f>Tabela1[[#This Row],[Valor total]]-Tabela1[[#This Row],[Valor custo]]</f>
        <v>721</v>
      </c>
      <c r="J2585" s="7">
        <f>Tabela1[[#This Row],[MARGEM BRUTA]]/Tabela1[[#This Row],[Valor total]]</f>
        <v>0.51500000000000001</v>
      </c>
      <c r="K2585" s="1" t="str">
        <f>VLOOKUP(Tabela1[[#This Row],[Cliente]],'BASE DE CLIENTES'!A:D,4,0)</f>
        <v>EMPRESA COM MAQUINA</v>
      </c>
      <c r="L2585" s="1" t="str">
        <f>VLOOKUP(Tabela1[[#This Row],[Cliente]],'BASE DE CLIENTES'!A:E,5,0)</f>
        <v>SAMAMBAIA SUL (SAMAMBAIA)</v>
      </c>
    </row>
    <row r="2586" spans="2:12" x14ac:dyDescent="0.3">
      <c r="B2586" s="1" t="s">
        <v>316</v>
      </c>
      <c r="C2586" s="4" t="str">
        <f>VLOOKUP(Tabela1[[#This Row],[Cliente]],'BASE DE CLIENTES'!A:E,2,0)</f>
        <v>Valparaíso de Goiás</v>
      </c>
      <c r="D2586" s="1" t="str">
        <f>VLOOKUP(Tabela1[[#This Row],[Cliente]],'BASE DE CLIENTES'!A:C,3,0)</f>
        <v>GO</v>
      </c>
      <c r="E2586" s="4" t="str">
        <f>CONCATENATE(Tabela1[[#This Row],[CIDADE]],",",Tabela1[[#This Row],[UF]])</f>
        <v>Valparaíso de Goiás,GO</v>
      </c>
      <c r="F2586" s="2">
        <v>45813</v>
      </c>
      <c r="G2586" s="17">
        <v>1844.74</v>
      </c>
      <c r="H2586" s="17">
        <v>2910</v>
      </c>
      <c r="I2586" s="6">
        <f>Tabela1[[#This Row],[Valor total]]-Tabela1[[#This Row],[Valor custo]]</f>
        <v>1065.26</v>
      </c>
      <c r="J2586" s="7">
        <f>Tabela1[[#This Row],[MARGEM BRUTA]]/Tabela1[[#This Row],[Valor total]]</f>
        <v>0.36606872852233674</v>
      </c>
      <c r="K2586" s="1" t="str">
        <f>VLOOKUP(Tabela1[[#This Row],[Cliente]],'BASE DE CLIENTES'!A:D,4,0)</f>
        <v>SERRALHEIRO</v>
      </c>
      <c r="L2586" s="1" t="str">
        <f>VLOOKUP(Tabela1[[#This Row],[Cliente]],'BASE DE CLIENTES'!A:E,5,0)</f>
        <v>Valparaíso de Goiás</v>
      </c>
    </row>
    <row r="2587" spans="2:12" x14ac:dyDescent="0.3">
      <c r="B2587" s="1" t="s">
        <v>319</v>
      </c>
      <c r="C2587" s="4" t="str">
        <f>VLOOKUP(Tabela1[[#This Row],[Cliente]],'BASE DE CLIENTES'!A:E,2,0)</f>
        <v>Valparaíso de Goiás</v>
      </c>
      <c r="D2587" s="1" t="str">
        <f>VLOOKUP(Tabela1[[#This Row],[Cliente]],'BASE DE CLIENTES'!A:C,3,0)</f>
        <v>GO</v>
      </c>
      <c r="E2587" s="4" t="str">
        <f>CONCATENATE(Tabela1[[#This Row],[CIDADE]],",",Tabela1[[#This Row],[UF]])</f>
        <v>Valparaíso de Goiás,GO</v>
      </c>
      <c r="F2587" s="2">
        <v>45867</v>
      </c>
      <c r="G2587" s="17">
        <v>1200.0899999999999</v>
      </c>
      <c r="H2587" s="17">
        <v>2520</v>
      </c>
      <c r="I2587" s="6">
        <f>Tabela1[[#This Row],[Valor total]]-Tabela1[[#This Row],[Valor custo]]</f>
        <v>1319.91</v>
      </c>
      <c r="J2587" s="7">
        <f>Tabela1[[#This Row],[MARGEM BRUTA]]/Tabela1[[#This Row],[Valor total]]</f>
        <v>0.52377380952380959</v>
      </c>
      <c r="K2587" s="1" t="str">
        <f>VLOOKUP(Tabela1[[#This Row],[Cliente]],'BASE DE CLIENTES'!A:D,4,0)</f>
        <v>EMPRESA COM MAQUINA</v>
      </c>
      <c r="L2587" s="1" t="str">
        <f>VLOOKUP(Tabela1[[#This Row],[Cliente]],'BASE DE CLIENTES'!A:E,5,0)</f>
        <v>Valparaíso de Goiás</v>
      </c>
    </row>
    <row r="2588" spans="2:12" x14ac:dyDescent="0.3">
      <c r="B2588" s="1" t="s">
        <v>316</v>
      </c>
      <c r="C2588" s="4" t="str">
        <f>VLOOKUP(Tabela1[[#This Row],[Cliente]],'BASE DE CLIENTES'!A:E,2,0)</f>
        <v>Valparaíso de Goiás</v>
      </c>
      <c r="D2588" s="1" t="str">
        <f>VLOOKUP(Tabela1[[#This Row],[Cliente]],'BASE DE CLIENTES'!A:C,3,0)</f>
        <v>GO</v>
      </c>
      <c r="E2588" s="4" t="str">
        <f>CONCATENATE(Tabela1[[#This Row],[CIDADE]],",",Tabela1[[#This Row],[UF]])</f>
        <v>Valparaíso de Goiás,GO</v>
      </c>
      <c r="F2588" s="2">
        <v>45867</v>
      </c>
      <c r="G2588" s="17">
        <v>3654.05</v>
      </c>
      <c r="H2588" s="17">
        <v>6910</v>
      </c>
      <c r="I2588" s="6">
        <f>Tabela1[[#This Row],[Valor total]]-Tabela1[[#This Row],[Valor custo]]</f>
        <v>3255.95</v>
      </c>
      <c r="J2588" s="7">
        <f>Tabela1[[#This Row],[MARGEM BRUTA]]/Tabela1[[#This Row],[Valor total]]</f>
        <v>0.47119392185238784</v>
      </c>
      <c r="K2588" s="1" t="str">
        <f>VLOOKUP(Tabela1[[#This Row],[Cliente]],'BASE DE CLIENTES'!A:D,4,0)</f>
        <v>SERRALHEIRO</v>
      </c>
      <c r="L2588" s="1" t="str">
        <f>VLOOKUP(Tabela1[[#This Row],[Cliente]],'BASE DE CLIENTES'!A:E,5,0)</f>
        <v>Valparaíso de Goiás</v>
      </c>
    </row>
    <row r="2589" spans="2:12" x14ac:dyDescent="0.3">
      <c r="B2589" s="1" t="s">
        <v>319</v>
      </c>
      <c r="C2589" s="4" t="str">
        <f>VLOOKUP(Tabela1[[#This Row],[Cliente]],'BASE DE CLIENTES'!A:E,2,0)</f>
        <v>Valparaíso de Goiás</v>
      </c>
      <c r="D2589" s="1" t="str">
        <f>VLOOKUP(Tabela1[[#This Row],[Cliente]],'BASE DE CLIENTES'!A:C,3,0)</f>
        <v>GO</v>
      </c>
      <c r="E2589" s="4" t="str">
        <f>CONCATENATE(Tabela1[[#This Row],[CIDADE]],",",Tabela1[[#This Row],[UF]])</f>
        <v>Valparaíso de Goiás,GO</v>
      </c>
      <c r="F2589" s="2">
        <v>45862</v>
      </c>
      <c r="G2589" s="17">
        <v>664</v>
      </c>
      <c r="H2589" s="17">
        <v>1300</v>
      </c>
      <c r="I2589" s="6">
        <f>Tabela1[[#This Row],[Valor total]]-Tabela1[[#This Row],[Valor custo]]</f>
        <v>636</v>
      </c>
      <c r="J2589" s="7">
        <f>Tabela1[[#This Row],[MARGEM BRUTA]]/Tabela1[[#This Row],[Valor total]]</f>
        <v>0.48923076923076925</v>
      </c>
      <c r="K2589" s="1" t="str">
        <f>VLOOKUP(Tabela1[[#This Row],[Cliente]],'BASE DE CLIENTES'!A:D,4,0)</f>
        <v>EMPRESA COM MAQUINA</v>
      </c>
      <c r="L2589" s="1" t="str">
        <f>VLOOKUP(Tabela1[[#This Row],[Cliente]],'BASE DE CLIENTES'!A:E,5,0)</f>
        <v>Valparaíso de Goiás</v>
      </c>
    </row>
    <row r="2590" spans="2:12" x14ac:dyDescent="0.3">
      <c r="B2590" s="1" t="s">
        <v>38</v>
      </c>
      <c r="C2590" s="4" t="str">
        <f>VLOOKUP(Tabela1[[#This Row],[Cliente]],'BASE DE CLIENTES'!A:E,2,0)</f>
        <v>Brasília</v>
      </c>
      <c r="D2590" s="1" t="str">
        <f>VLOOKUP(Tabela1[[#This Row],[Cliente]],'BASE DE CLIENTES'!A:C,3,0)</f>
        <v>DF</v>
      </c>
      <c r="E2590" s="4" t="str">
        <f>CONCATENATE(Tabela1[[#This Row],[CIDADE]],",",Tabela1[[#This Row],[UF]])</f>
        <v>Brasília,DF</v>
      </c>
      <c r="F2590" s="2">
        <v>45904</v>
      </c>
      <c r="G2590" s="17">
        <v>382.3</v>
      </c>
      <c r="H2590" s="17">
        <v>645</v>
      </c>
      <c r="I2590" s="6">
        <f>Tabela1[[#This Row],[Valor total]]-Tabela1[[#This Row],[Valor custo]]</f>
        <v>262.7</v>
      </c>
      <c r="J2590" s="7">
        <f>Tabela1[[#This Row],[MARGEM BRUTA]]/Tabela1[[#This Row],[Valor total]]</f>
        <v>0.40728682170542635</v>
      </c>
      <c r="K2590" s="1" t="str">
        <f>VLOOKUP(Tabela1[[#This Row],[Cliente]],'BASE DE CLIENTES'!A:D,4,0)</f>
        <v>EMPRESA SEM MAQUINA</v>
      </c>
      <c r="L2590" s="1" t="str">
        <f>VLOOKUP(Tabela1[[#This Row],[Cliente]],'BASE DE CLIENTES'!A:E,5,0)</f>
        <v>PONTE ALTA NORTE (GAMA)</v>
      </c>
    </row>
    <row r="2591" spans="2:12" x14ac:dyDescent="0.3">
      <c r="B2591" s="1" t="s">
        <v>76</v>
      </c>
      <c r="C2591" s="4" t="str">
        <f>VLOOKUP(Tabela1[[#This Row],[Cliente]],'BASE DE CLIENTES'!A:E,2,0)</f>
        <v>Brasília</v>
      </c>
      <c r="D2591" s="1" t="str">
        <f>VLOOKUP(Tabela1[[#This Row],[Cliente]],'BASE DE CLIENTES'!A:C,3,0)</f>
        <v>DF</v>
      </c>
      <c r="E2591" s="4" t="str">
        <f>CONCATENATE(Tabela1[[#This Row],[CIDADE]],",",Tabela1[[#This Row],[UF]])</f>
        <v>Brasília,DF</v>
      </c>
      <c r="F2591" s="2">
        <v>45904</v>
      </c>
      <c r="G2591" s="17">
        <v>2750</v>
      </c>
      <c r="H2591" s="17">
        <v>3080</v>
      </c>
      <c r="I2591" s="6">
        <f>Tabela1[[#This Row],[Valor total]]-Tabela1[[#This Row],[Valor custo]]</f>
        <v>330</v>
      </c>
      <c r="J2591" s="7">
        <f>Tabela1[[#This Row],[MARGEM BRUTA]]/Tabela1[[#This Row],[Valor total]]</f>
        <v>0.10714285714285714</v>
      </c>
      <c r="K2591" s="1" t="str">
        <f>VLOOKUP(Tabela1[[#This Row],[Cliente]],'BASE DE CLIENTES'!A:D,4,0)</f>
        <v>EMPRESA COM MAQUINA</v>
      </c>
      <c r="L2591" s="1" t="str">
        <f>VLOOKUP(Tabela1[[#This Row],[Cliente]],'BASE DE CLIENTES'!A:E,5,0)</f>
        <v>Setor Placa da Mercedes (Núcleo Bandeirante)</v>
      </c>
    </row>
    <row r="2592" spans="2:12" x14ac:dyDescent="0.3">
      <c r="B2592" s="1" t="s">
        <v>106</v>
      </c>
      <c r="C2592" s="4" t="str">
        <f>VLOOKUP(Tabela1[[#This Row],[Cliente]],'BASE DE CLIENTES'!A:E,2,0)</f>
        <v>Brasília</v>
      </c>
      <c r="D2592" s="1" t="str">
        <f>VLOOKUP(Tabela1[[#This Row],[Cliente]],'BASE DE CLIENTES'!A:C,3,0)</f>
        <v>DF</v>
      </c>
      <c r="E2592" s="4" t="str">
        <f>CONCATENATE(Tabela1[[#This Row],[CIDADE]],",",Tabela1[[#This Row],[UF]])</f>
        <v>Brasília,DF</v>
      </c>
      <c r="F2592" s="2">
        <v>45904</v>
      </c>
      <c r="G2592" s="17">
        <v>432.79</v>
      </c>
      <c r="H2592" s="17">
        <v>655</v>
      </c>
      <c r="I2592" s="6">
        <f>Tabela1[[#This Row],[Valor total]]-Tabela1[[#This Row],[Valor custo]]</f>
        <v>222.20999999999998</v>
      </c>
      <c r="J2592" s="7">
        <f>Tabela1[[#This Row],[MARGEM BRUTA]]/Tabela1[[#This Row],[Valor total]]</f>
        <v>0.33925190839694652</v>
      </c>
      <c r="K2592" s="1" t="str">
        <f>VLOOKUP(Tabela1[[#This Row],[Cliente]],'BASE DE CLIENTES'!A:D,4,0)</f>
        <v>EMPRESA COM MAQUINA</v>
      </c>
      <c r="L2592" s="1" t="str">
        <f>VLOOKUP(Tabela1[[#This Row],[Cliente]],'BASE DE CLIENTES'!A:E,5,0)</f>
        <v>26 DE SETEMBRO</v>
      </c>
    </row>
    <row r="2593" spans="2:12" x14ac:dyDescent="0.3">
      <c r="B2593" s="1" t="s">
        <v>142</v>
      </c>
      <c r="C2593" s="4" t="str">
        <f>VLOOKUP(Tabela1[[#This Row],[Cliente]],'BASE DE CLIENTES'!A:E,2,0)</f>
        <v>Brasília</v>
      </c>
      <c r="D2593" s="1" t="str">
        <f>VLOOKUP(Tabela1[[#This Row],[Cliente]],'BASE DE CLIENTES'!A:C,3,0)</f>
        <v>DF</v>
      </c>
      <c r="E2593" s="4" t="str">
        <f>CONCATENATE(Tabela1[[#This Row],[CIDADE]],",",Tabela1[[#This Row],[UF]])</f>
        <v>Brasília,DF</v>
      </c>
      <c r="F2593" s="2">
        <v>45904</v>
      </c>
      <c r="G2593" s="17">
        <v>55</v>
      </c>
      <c r="H2593" s="17">
        <v>200</v>
      </c>
      <c r="I2593" s="6">
        <f>Tabela1[[#This Row],[Valor total]]-Tabela1[[#This Row],[Valor custo]]</f>
        <v>145</v>
      </c>
      <c r="J2593" s="7">
        <f>Tabela1[[#This Row],[MARGEM BRUTA]]/Tabela1[[#This Row],[Valor total]]</f>
        <v>0.72499999999999998</v>
      </c>
      <c r="K2593" s="1" t="str">
        <f>VLOOKUP(Tabela1[[#This Row],[Cliente]],'BASE DE CLIENTES'!A:D,4,0)</f>
        <v>OUTROS RAMOS</v>
      </c>
      <c r="L2593" s="1" t="str">
        <f>VLOOKUP(Tabela1[[#This Row],[Cliente]],'BASE DE CLIENTES'!A:E,5,0)</f>
        <v>RIACHO FUNDO II</v>
      </c>
    </row>
    <row r="2594" spans="2:12" x14ac:dyDescent="0.3">
      <c r="B2594" s="1" t="s">
        <v>297</v>
      </c>
      <c r="C2594" s="4" t="str">
        <f>VLOOKUP(Tabela1[[#This Row],[Cliente]],'BASE DE CLIENTES'!A:E,2,0)</f>
        <v>Brasília</v>
      </c>
      <c r="D2594" s="1" t="str">
        <f>VLOOKUP(Tabela1[[#This Row],[Cliente]],'BASE DE CLIENTES'!A:C,3,0)</f>
        <v>DF</v>
      </c>
      <c r="E2594" s="4" t="str">
        <f>CONCATENATE(Tabela1[[#This Row],[CIDADE]],",",Tabela1[[#This Row],[UF]])</f>
        <v>Brasília,DF</v>
      </c>
      <c r="F2594" s="2">
        <v>45862</v>
      </c>
      <c r="G2594" s="17">
        <v>382.3</v>
      </c>
      <c r="H2594" s="17">
        <v>650</v>
      </c>
      <c r="I2594" s="6">
        <f>Tabela1[[#This Row],[Valor total]]-Tabela1[[#This Row],[Valor custo]]</f>
        <v>267.7</v>
      </c>
      <c r="J2594" s="7">
        <f>Tabela1[[#This Row],[MARGEM BRUTA]]/Tabela1[[#This Row],[Valor total]]</f>
        <v>0.41184615384615381</v>
      </c>
      <c r="K2594" s="1" t="str">
        <f>VLOOKUP(Tabela1[[#This Row],[Cliente]],'BASE DE CLIENTES'!A:D,4,0)</f>
        <v>SERRALHEIRO</v>
      </c>
      <c r="L2594" s="1" t="str">
        <f>VLOOKUP(Tabela1[[#This Row],[Cliente]],'BASE DE CLIENTES'!A:E,5,0)</f>
        <v>NA</v>
      </c>
    </row>
    <row r="2595" spans="2:12" x14ac:dyDescent="0.3">
      <c r="B2595" s="1" t="s">
        <v>27</v>
      </c>
      <c r="C2595" s="4" t="str">
        <f>VLOOKUP(Tabela1[[#This Row],[Cliente]],'BASE DE CLIENTES'!A:E,2,0)</f>
        <v>Brasília</v>
      </c>
      <c r="D2595" s="1" t="str">
        <f>VLOOKUP(Tabela1[[#This Row],[Cliente]],'BASE DE CLIENTES'!A:C,3,0)</f>
        <v>DF</v>
      </c>
      <c r="E2595" s="4" t="str">
        <f>CONCATENATE(Tabela1[[#This Row],[CIDADE]],",",Tabela1[[#This Row],[UF]])</f>
        <v>Brasília,DF</v>
      </c>
      <c r="F2595" s="2">
        <v>45904</v>
      </c>
      <c r="G2595" s="17">
        <v>1529.2</v>
      </c>
      <c r="H2595" s="17">
        <v>2460</v>
      </c>
      <c r="I2595" s="6">
        <f>Tabela1[[#This Row],[Valor total]]-Tabela1[[#This Row],[Valor custo]]</f>
        <v>930.8</v>
      </c>
      <c r="J2595" s="7">
        <f>Tabela1[[#This Row],[MARGEM BRUTA]]/Tabela1[[#This Row],[Valor total]]</f>
        <v>0.37837398373983738</v>
      </c>
      <c r="K2595" s="1" t="str">
        <f>VLOOKUP(Tabela1[[#This Row],[Cliente]],'BASE DE CLIENTES'!A:D,4,0)</f>
        <v>EMPRESA SEM MAQUINA</v>
      </c>
      <c r="L2595" s="1" t="str">
        <f>VLOOKUP(Tabela1[[#This Row],[Cliente]],'BASE DE CLIENTES'!A:E,5,0)</f>
        <v>RECANTO DAS EMAS</v>
      </c>
    </row>
    <row r="2596" spans="2:12" x14ac:dyDescent="0.3">
      <c r="B2596" s="1" t="s">
        <v>320</v>
      </c>
      <c r="C2596" s="4" t="str">
        <f>VLOOKUP(Tabela1[[#This Row],[Cliente]],'BASE DE CLIENTES'!A:E,2,0)</f>
        <v>Valparaíso de Goiás</v>
      </c>
      <c r="D2596" s="1" t="str">
        <f>VLOOKUP(Tabela1[[#This Row],[Cliente]],'BASE DE CLIENTES'!A:C,3,0)</f>
        <v>GO</v>
      </c>
      <c r="E2596" s="4" t="str">
        <f>CONCATENATE(Tabela1[[#This Row],[CIDADE]],",",Tabela1[[#This Row],[UF]])</f>
        <v>Valparaíso de Goiás,GO</v>
      </c>
      <c r="F2596" s="2">
        <v>45862</v>
      </c>
      <c r="G2596" s="17">
        <v>382.3</v>
      </c>
      <c r="H2596" s="17">
        <v>645</v>
      </c>
      <c r="I2596" s="6">
        <f>Tabela1[[#This Row],[Valor total]]-Tabela1[[#This Row],[Valor custo]]</f>
        <v>262.7</v>
      </c>
      <c r="J2596" s="7">
        <f>Tabela1[[#This Row],[MARGEM BRUTA]]/Tabela1[[#This Row],[Valor total]]</f>
        <v>0.40728682170542635</v>
      </c>
      <c r="K2596" s="1" t="str">
        <f>VLOOKUP(Tabela1[[#This Row],[Cliente]],'BASE DE CLIENTES'!A:D,4,0)</f>
        <v>SERRALHEIRO</v>
      </c>
      <c r="L2596" s="1" t="str">
        <f>VLOOKUP(Tabela1[[#This Row],[Cliente]],'BASE DE CLIENTES'!A:E,5,0)</f>
        <v>Valparaíso de Goiás</v>
      </c>
    </row>
    <row r="2597" spans="2:12" x14ac:dyDescent="0.3">
      <c r="B2597" s="1" t="s">
        <v>319</v>
      </c>
      <c r="C2597" s="4" t="str">
        <f>VLOOKUP(Tabela1[[#This Row],[Cliente]],'BASE DE CLIENTES'!A:E,2,0)</f>
        <v>Valparaíso de Goiás</v>
      </c>
      <c r="D2597" s="1" t="str">
        <f>VLOOKUP(Tabela1[[#This Row],[Cliente]],'BASE DE CLIENTES'!A:C,3,0)</f>
        <v>GO</v>
      </c>
      <c r="E2597" s="4" t="str">
        <f>CONCATENATE(Tabela1[[#This Row],[CIDADE]],",",Tabela1[[#This Row],[UF]])</f>
        <v>Valparaíso de Goiás,GO</v>
      </c>
      <c r="F2597" s="2">
        <v>45853</v>
      </c>
      <c r="G2597" s="17">
        <v>824.26</v>
      </c>
      <c r="H2597" s="17">
        <v>1615</v>
      </c>
      <c r="I2597" s="6">
        <f>Tabela1[[#This Row],[Valor total]]-Tabela1[[#This Row],[Valor custo]]</f>
        <v>790.74</v>
      </c>
      <c r="J2597" s="7">
        <f>Tabela1[[#This Row],[MARGEM BRUTA]]/Tabela1[[#This Row],[Valor total]]</f>
        <v>0.48962229102167182</v>
      </c>
      <c r="K2597" s="1" t="str">
        <f>VLOOKUP(Tabela1[[#This Row],[Cliente]],'BASE DE CLIENTES'!A:D,4,0)</f>
        <v>EMPRESA COM MAQUINA</v>
      </c>
      <c r="L2597" s="1" t="str">
        <f>VLOOKUP(Tabela1[[#This Row],[Cliente]],'BASE DE CLIENTES'!A:E,5,0)</f>
        <v>Valparaíso de Goiás</v>
      </c>
    </row>
    <row r="2598" spans="2:12" x14ac:dyDescent="0.3">
      <c r="B2598" s="1" t="s">
        <v>165</v>
      </c>
      <c r="C2598" s="4" t="str">
        <f>VLOOKUP(Tabela1[[#This Row],[Cliente]],'BASE DE CLIENTES'!A:E,2,0)</f>
        <v>Brasília</v>
      </c>
      <c r="D2598" s="1" t="str">
        <f>VLOOKUP(Tabela1[[#This Row],[Cliente]],'BASE DE CLIENTES'!A:C,3,0)</f>
        <v>DF</v>
      </c>
      <c r="E2598" s="4" t="str">
        <f>CONCATENATE(Tabela1[[#This Row],[CIDADE]],",",Tabela1[[#This Row],[UF]])</f>
        <v>Brasília,DF</v>
      </c>
      <c r="F2598" s="2">
        <v>45904</v>
      </c>
      <c r="G2598" s="17">
        <v>764.6</v>
      </c>
      <c r="H2598" s="17">
        <v>1300</v>
      </c>
      <c r="I2598" s="6">
        <f>Tabela1[[#This Row],[Valor total]]-Tabela1[[#This Row],[Valor custo]]</f>
        <v>535.4</v>
      </c>
      <c r="J2598" s="7">
        <f>Tabela1[[#This Row],[MARGEM BRUTA]]/Tabela1[[#This Row],[Valor total]]</f>
        <v>0.41184615384615381</v>
      </c>
      <c r="K2598" s="1" t="str">
        <f>VLOOKUP(Tabela1[[#This Row],[Cliente]],'BASE DE CLIENTES'!A:D,4,0)</f>
        <v>EMPRESA SEM MAQUINA</v>
      </c>
      <c r="L2598" s="1" t="str">
        <f>VLOOKUP(Tabela1[[#This Row],[Cliente]],'BASE DE CLIENTES'!A:E,5,0)</f>
        <v>SETOR HABITACIONAL VICENTE PIRES</v>
      </c>
    </row>
    <row r="2599" spans="2:12" x14ac:dyDescent="0.3">
      <c r="B2599" s="1" t="s">
        <v>161</v>
      </c>
      <c r="C2599" s="4" t="str">
        <f>VLOOKUP(Tabela1[[#This Row],[Cliente]],'BASE DE CLIENTES'!A:E,2,0)</f>
        <v>Brasília</v>
      </c>
      <c r="D2599" s="1" t="str">
        <f>VLOOKUP(Tabela1[[#This Row],[Cliente]],'BASE DE CLIENTES'!A:C,3,0)</f>
        <v>DF</v>
      </c>
      <c r="E2599" s="4" t="str">
        <f>CONCATENATE(Tabela1[[#This Row],[CIDADE]],",",Tabela1[[#This Row],[UF]])</f>
        <v>Brasília,DF</v>
      </c>
      <c r="F2599" s="2">
        <v>45904</v>
      </c>
      <c r="G2599" s="17">
        <v>6491.85</v>
      </c>
      <c r="H2599" s="17">
        <v>9825</v>
      </c>
      <c r="I2599" s="6">
        <f>Tabela1[[#This Row],[Valor total]]-Tabela1[[#This Row],[Valor custo]]</f>
        <v>3333.1499999999996</v>
      </c>
      <c r="J2599" s="7">
        <f>Tabela1[[#This Row],[MARGEM BRUTA]]/Tabela1[[#This Row],[Valor total]]</f>
        <v>0.33925190839694652</v>
      </c>
      <c r="K2599" s="1" t="str">
        <f>VLOOKUP(Tabela1[[#This Row],[Cliente]],'BASE DE CLIENTES'!A:D,4,0)</f>
        <v>EMPRESA COM MAQUINA</v>
      </c>
      <c r="L2599" s="1" t="str">
        <f>VLOOKUP(Tabela1[[#This Row],[Cliente]],'BASE DE CLIENTES'!A:E,5,0)</f>
        <v>RIACHO FUNDO II</v>
      </c>
    </row>
    <row r="2600" spans="2:12" x14ac:dyDescent="0.3">
      <c r="B2600" s="1" t="s">
        <v>320</v>
      </c>
      <c r="C2600" s="4" t="str">
        <f>VLOOKUP(Tabela1[[#This Row],[Cliente]],'BASE DE CLIENTES'!A:E,2,0)</f>
        <v>Valparaíso de Goiás</v>
      </c>
      <c r="D2600" s="1" t="str">
        <f>VLOOKUP(Tabela1[[#This Row],[Cliente]],'BASE DE CLIENTES'!A:C,3,0)</f>
        <v>GO</v>
      </c>
      <c r="E2600" s="4" t="str">
        <f>CONCATENATE(Tabela1[[#This Row],[CIDADE]],",",Tabela1[[#This Row],[UF]])</f>
        <v>Valparaíso de Goiás,GO</v>
      </c>
      <c r="F2600" s="2">
        <v>45849</v>
      </c>
      <c r="G2600" s="17">
        <v>497</v>
      </c>
      <c r="H2600" s="17">
        <v>785</v>
      </c>
      <c r="I2600" s="6">
        <f>Tabela1[[#This Row],[Valor total]]-Tabela1[[#This Row],[Valor custo]]</f>
        <v>288</v>
      </c>
      <c r="J2600" s="7">
        <f>Tabela1[[#This Row],[MARGEM BRUTA]]/Tabela1[[#This Row],[Valor total]]</f>
        <v>0.36687898089171972</v>
      </c>
      <c r="K2600" s="1" t="str">
        <f>VLOOKUP(Tabela1[[#This Row],[Cliente]],'BASE DE CLIENTES'!A:D,4,0)</f>
        <v>SERRALHEIRO</v>
      </c>
      <c r="L2600" s="1" t="str">
        <f>VLOOKUP(Tabela1[[#This Row],[Cliente]],'BASE DE CLIENTES'!A:E,5,0)</f>
        <v>Valparaíso de Goiás</v>
      </c>
    </row>
    <row r="2601" spans="2:12" x14ac:dyDescent="0.3">
      <c r="B2601" s="1" t="s">
        <v>321</v>
      </c>
      <c r="C2601" s="4" t="str">
        <f>VLOOKUP(Tabela1[[#This Row],[Cliente]],'BASE DE CLIENTES'!A:E,2,0)</f>
        <v>Valparaíso de Goiás</v>
      </c>
      <c r="D2601" s="1" t="str">
        <f>VLOOKUP(Tabela1[[#This Row],[Cliente]],'BASE DE CLIENTES'!A:C,3,0)</f>
        <v>GO</v>
      </c>
      <c r="E2601" s="4" t="str">
        <f>CONCATENATE(Tabela1[[#This Row],[CIDADE]],",",Tabela1[[#This Row],[UF]])</f>
        <v>Valparaíso de Goiás,GO</v>
      </c>
      <c r="F2601" s="2">
        <v>45848</v>
      </c>
      <c r="G2601" s="17">
        <v>9993</v>
      </c>
      <c r="H2601" s="17">
        <v>15250</v>
      </c>
      <c r="I2601" s="6">
        <f>Tabela1[[#This Row],[Valor total]]-Tabela1[[#This Row],[Valor custo]]</f>
        <v>5257</v>
      </c>
      <c r="J2601" s="7">
        <f>Tabela1[[#This Row],[MARGEM BRUTA]]/Tabela1[[#This Row],[Valor total]]</f>
        <v>0.34472131147540985</v>
      </c>
      <c r="K2601" s="1" t="str">
        <f>VLOOKUP(Tabela1[[#This Row],[Cliente]],'BASE DE CLIENTES'!A:D,4,0)</f>
        <v>EMPRESA COM MAQUINA</v>
      </c>
      <c r="L2601" s="1" t="str">
        <f>VLOOKUP(Tabela1[[#This Row],[Cliente]],'BASE DE CLIENTES'!A:E,5,0)</f>
        <v>Valparaíso de Goiás</v>
      </c>
    </row>
    <row r="2602" spans="2:12" x14ac:dyDescent="0.3">
      <c r="B2602" s="1" t="s">
        <v>230</v>
      </c>
      <c r="C2602" s="4" t="str">
        <f>VLOOKUP(Tabela1[[#This Row],[Cliente]],'BASE DE CLIENTES'!A:E,2,0)</f>
        <v>Brasília</v>
      </c>
      <c r="D2602" s="1" t="str">
        <f>VLOOKUP(Tabela1[[#This Row],[Cliente]],'BASE DE CLIENTES'!A:C,3,0)</f>
        <v>DF</v>
      </c>
      <c r="E2602" s="4" t="str">
        <f>CONCATENATE(Tabela1[[#This Row],[CIDADE]],",",Tabela1[[#This Row],[UF]])</f>
        <v>Brasília,DF</v>
      </c>
      <c r="F2602" s="2">
        <v>45903</v>
      </c>
      <c r="G2602" s="17">
        <v>55</v>
      </c>
      <c r="H2602" s="17">
        <v>200</v>
      </c>
      <c r="I2602" s="6">
        <f>Tabela1[[#This Row],[Valor total]]-Tabela1[[#This Row],[Valor custo]]</f>
        <v>145</v>
      </c>
      <c r="J2602" s="7">
        <f>Tabela1[[#This Row],[MARGEM BRUTA]]/Tabela1[[#This Row],[Valor total]]</f>
        <v>0.72499999999999998</v>
      </c>
      <c r="K2602" s="1" t="str">
        <f>VLOOKUP(Tabela1[[#This Row],[Cliente]],'BASE DE CLIENTES'!A:D,4,0)</f>
        <v>SERRALHEIRO</v>
      </c>
      <c r="L2602" s="1" t="str">
        <f>VLOOKUP(Tabela1[[#This Row],[Cliente]],'BASE DE CLIENTES'!A:E,5,0)</f>
        <v>SETOR HABITACIONAL SAMAMBAIA (VICENTE PIRES)</v>
      </c>
    </row>
    <row r="2603" spans="2:12" x14ac:dyDescent="0.3">
      <c r="B2603" s="1" t="s">
        <v>133</v>
      </c>
      <c r="C2603" s="4" t="str">
        <f>VLOOKUP(Tabela1[[#This Row],[Cliente]],'BASE DE CLIENTES'!A:E,2,0)</f>
        <v>Brasília</v>
      </c>
      <c r="D2603" s="1" t="str">
        <f>VLOOKUP(Tabela1[[#This Row],[Cliente]],'BASE DE CLIENTES'!A:C,3,0)</f>
        <v>DF</v>
      </c>
      <c r="E2603" s="4" t="str">
        <f>CONCATENATE(Tabela1[[#This Row],[CIDADE]],",",Tabela1[[#This Row],[UF]])</f>
        <v>Brasília,DF</v>
      </c>
      <c r="F2603" s="2">
        <v>45903</v>
      </c>
      <c r="G2603" s="17">
        <v>382.3</v>
      </c>
      <c r="H2603" s="17">
        <v>645</v>
      </c>
      <c r="I2603" s="6">
        <f>Tabela1[[#This Row],[Valor total]]-Tabela1[[#This Row],[Valor custo]]</f>
        <v>262.7</v>
      </c>
      <c r="J2603" s="7">
        <f>Tabela1[[#This Row],[MARGEM BRUTA]]/Tabela1[[#This Row],[Valor total]]</f>
        <v>0.40728682170542635</v>
      </c>
      <c r="K2603" s="1" t="str">
        <f>VLOOKUP(Tabela1[[#This Row],[Cliente]],'BASE DE CLIENTES'!A:D,4,0)</f>
        <v>SERRALHEIRO</v>
      </c>
      <c r="L2603" s="1" t="str">
        <f>VLOOKUP(Tabela1[[#This Row],[Cliente]],'BASE DE CLIENTES'!A:E,5,0)</f>
        <v>RECANTO DAS EMAS</v>
      </c>
    </row>
    <row r="2604" spans="2:12" x14ac:dyDescent="0.3">
      <c r="B2604" s="1" t="s">
        <v>70</v>
      </c>
      <c r="C2604" s="4" t="str">
        <f>VLOOKUP(Tabela1[[#This Row],[Cliente]],'BASE DE CLIENTES'!A:E,2,0)</f>
        <v>Brasília</v>
      </c>
      <c r="D2604" s="1" t="str">
        <f>VLOOKUP(Tabela1[[#This Row],[Cliente]],'BASE DE CLIENTES'!A:C,3,0)</f>
        <v>DF</v>
      </c>
      <c r="E2604" s="4" t="str">
        <f>CONCATENATE(Tabela1[[#This Row],[CIDADE]],",",Tabela1[[#This Row],[UF]])</f>
        <v>Brasília,DF</v>
      </c>
      <c r="F2604" s="2">
        <v>45903</v>
      </c>
      <c r="G2604" s="17">
        <v>865.58</v>
      </c>
      <c r="H2604" s="17">
        <v>1300</v>
      </c>
      <c r="I2604" s="6">
        <f>Tabela1[[#This Row],[Valor total]]-Tabela1[[#This Row],[Valor custo]]</f>
        <v>434.41999999999996</v>
      </c>
      <c r="J2604" s="7">
        <f>Tabela1[[#This Row],[MARGEM BRUTA]]/Tabela1[[#This Row],[Valor total]]</f>
        <v>0.33416923076923072</v>
      </c>
      <c r="K2604" s="1" t="str">
        <f>VLOOKUP(Tabela1[[#This Row],[Cliente]],'BASE DE CLIENTES'!A:D,4,0)</f>
        <v>EMPRESA COM MAQUINA</v>
      </c>
      <c r="L2604" s="1" t="str">
        <f>VLOOKUP(Tabela1[[#This Row],[Cliente]],'BASE DE CLIENTES'!A:E,5,0)</f>
        <v>TAGUATINGA NORTE (TAGUATINGA)</v>
      </c>
    </row>
    <row r="2605" spans="2:12" x14ac:dyDescent="0.3">
      <c r="B2605" s="1" t="s">
        <v>321</v>
      </c>
      <c r="C2605" s="4" t="str">
        <f>VLOOKUP(Tabela1[[#This Row],[Cliente]],'BASE DE CLIENTES'!A:E,2,0)</f>
        <v>Valparaíso de Goiás</v>
      </c>
      <c r="D2605" s="1" t="str">
        <f>VLOOKUP(Tabela1[[#This Row],[Cliente]],'BASE DE CLIENTES'!A:C,3,0)</f>
        <v>GO</v>
      </c>
      <c r="E2605" s="4" t="str">
        <f>CONCATENATE(Tabela1[[#This Row],[CIDADE]],",",Tabela1[[#This Row],[UF]])</f>
        <v>Valparaíso de Goiás,GO</v>
      </c>
      <c r="F2605" s="2">
        <v>45847</v>
      </c>
      <c r="G2605" s="17">
        <v>124.25</v>
      </c>
      <c r="H2605" s="17">
        <v>310</v>
      </c>
      <c r="I2605" s="6">
        <f>Tabela1[[#This Row],[Valor total]]-Tabela1[[#This Row],[Valor custo]]</f>
        <v>185.75</v>
      </c>
      <c r="J2605" s="7">
        <f>Tabela1[[#This Row],[MARGEM BRUTA]]/Tabela1[[#This Row],[Valor total]]</f>
        <v>0.59919354838709682</v>
      </c>
      <c r="K2605" s="1" t="str">
        <f>VLOOKUP(Tabela1[[#This Row],[Cliente]],'BASE DE CLIENTES'!A:D,4,0)</f>
        <v>EMPRESA COM MAQUINA</v>
      </c>
      <c r="L2605" s="1" t="str">
        <f>VLOOKUP(Tabela1[[#This Row],[Cliente]],'BASE DE CLIENTES'!A:E,5,0)</f>
        <v>Valparaíso de Goiás</v>
      </c>
    </row>
    <row r="2606" spans="2:12" x14ac:dyDescent="0.3">
      <c r="B2606" s="1" t="s">
        <v>325</v>
      </c>
      <c r="C2606" s="4" t="str">
        <f>VLOOKUP(Tabela1[[#This Row],[Cliente]],'BASE DE CLIENTES'!A:E,2,0)</f>
        <v>Valparaíso de Goiás</v>
      </c>
      <c r="D2606" s="1" t="str">
        <f>VLOOKUP(Tabela1[[#This Row],[Cliente]],'BASE DE CLIENTES'!A:C,3,0)</f>
        <v>GO</v>
      </c>
      <c r="E2606" s="4" t="str">
        <f>CONCATENATE(Tabela1[[#This Row],[CIDADE]],",",Tabela1[[#This Row],[UF]])</f>
        <v>Valparaíso de Goiás,GO</v>
      </c>
      <c r="F2606" s="2">
        <v>45842</v>
      </c>
      <c r="G2606" s="17">
        <v>497</v>
      </c>
      <c r="H2606" s="17">
        <v>785</v>
      </c>
      <c r="I2606" s="6">
        <f>Tabela1[[#This Row],[Valor total]]-Tabela1[[#This Row],[Valor custo]]</f>
        <v>288</v>
      </c>
      <c r="J2606" s="7">
        <f>Tabela1[[#This Row],[MARGEM BRUTA]]/Tabela1[[#This Row],[Valor total]]</f>
        <v>0.36687898089171972</v>
      </c>
      <c r="K2606" s="1" t="str">
        <f>VLOOKUP(Tabela1[[#This Row],[Cliente]],'BASE DE CLIENTES'!A:D,4,0)</f>
        <v>SERRALHEIRO</v>
      </c>
      <c r="L2606" s="1" t="str">
        <f>VLOOKUP(Tabela1[[#This Row],[Cliente]],'BASE DE CLIENTES'!A:E,5,0)</f>
        <v>Valparaíso de Goiás</v>
      </c>
    </row>
    <row r="2607" spans="2:12" x14ac:dyDescent="0.3">
      <c r="B2607" s="1" t="s">
        <v>106</v>
      </c>
      <c r="C2607" s="4" t="str">
        <f>VLOOKUP(Tabela1[[#This Row],[Cliente]],'BASE DE CLIENTES'!A:E,2,0)</f>
        <v>Brasília</v>
      </c>
      <c r="D2607" s="1" t="str">
        <f>VLOOKUP(Tabela1[[#This Row],[Cliente]],'BASE DE CLIENTES'!A:C,3,0)</f>
        <v>DF</v>
      </c>
      <c r="E2607" s="4" t="str">
        <f>CONCATENATE(Tabela1[[#This Row],[CIDADE]],",",Tabela1[[#This Row],[UF]])</f>
        <v>Brasília,DF</v>
      </c>
      <c r="F2607" s="2">
        <v>45903</v>
      </c>
      <c r="G2607" s="17">
        <v>664</v>
      </c>
      <c r="H2607" s="17">
        <v>1200</v>
      </c>
      <c r="I2607" s="6">
        <f>Tabela1[[#This Row],[Valor total]]-Tabela1[[#This Row],[Valor custo]]</f>
        <v>536</v>
      </c>
      <c r="J2607" s="7">
        <f>Tabela1[[#This Row],[MARGEM BRUTA]]/Tabela1[[#This Row],[Valor total]]</f>
        <v>0.44666666666666666</v>
      </c>
      <c r="K2607" s="1" t="str">
        <f>VLOOKUP(Tabela1[[#This Row],[Cliente]],'BASE DE CLIENTES'!A:D,4,0)</f>
        <v>EMPRESA COM MAQUINA</v>
      </c>
      <c r="L2607" s="1" t="str">
        <f>VLOOKUP(Tabela1[[#This Row],[Cliente]],'BASE DE CLIENTES'!A:E,5,0)</f>
        <v>26 DE SETEMBRO</v>
      </c>
    </row>
    <row r="2608" spans="2:12" x14ac:dyDescent="0.3">
      <c r="B2608" s="1" t="s">
        <v>316</v>
      </c>
      <c r="C2608" s="4" t="str">
        <f>VLOOKUP(Tabela1[[#This Row],[Cliente]],'BASE DE CLIENTES'!A:E,2,0)</f>
        <v>Valparaíso de Goiás</v>
      </c>
      <c r="D2608" s="1" t="str">
        <f>VLOOKUP(Tabela1[[#This Row],[Cliente]],'BASE DE CLIENTES'!A:C,3,0)</f>
        <v>GO</v>
      </c>
      <c r="E2608" s="4" t="str">
        <f>CONCATENATE(Tabela1[[#This Row],[CIDADE]],",",Tabela1[[#This Row],[UF]])</f>
        <v>Valparaíso de Goiás,GO</v>
      </c>
      <c r="F2608" s="2">
        <v>45841</v>
      </c>
      <c r="G2608" s="17">
        <v>993</v>
      </c>
      <c r="H2608" s="17">
        <v>1400</v>
      </c>
      <c r="I2608" s="6">
        <f>Tabela1[[#This Row],[Valor total]]-Tabela1[[#This Row],[Valor custo]]</f>
        <v>407</v>
      </c>
      <c r="J2608" s="7">
        <f>Tabela1[[#This Row],[MARGEM BRUTA]]/Tabela1[[#This Row],[Valor total]]</f>
        <v>0.2907142857142857</v>
      </c>
      <c r="K2608" s="1" t="str">
        <f>VLOOKUP(Tabela1[[#This Row],[Cliente]],'BASE DE CLIENTES'!A:D,4,0)</f>
        <v>SERRALHEIRO</v>
      </c>
      <c r="L2608" s="1" t="str">
        <f>VLOOKUP(Tabela1[[#This Row],[Cliente]],'BASE DE CLIENTES'!A:E,5,0)</f>
        <v>Valparaíso de Goiás</v>
      </c>
    </row>
    <row r="2609" spans="2:12" x14ac:dyDescent="0.3">
      <c r="B2609" s="1" t="s">
        <v>316</v>
      </c>
      <c r="C2609" s="4" t="str">
        <f>VLOOKUP(Tabela1[[#This Row],[Cliente]],'BASE DE CLIENTES'!A:E,2,0)</f>
        <v>Valparaíso de Goiás</v>
      </c>
      <c r="D2609" s="1" t="str">
        <f>VLOOKUP(Tabela1[[#This Row],[Cliente]],'BASE DE CLIENTES'!A:C,3,0)</f>
        <v>GO</v>
      </c>
      <c r="E2609" s="4" t="str">
        <f>CONCATENATE(Tabela1[[#This Row],[CIDADE]],",",Tabela1[[#This Row],[UF]])</f>
        <v>Valparaíso de Goiás,GO</v>
      </c>
      <c r="F2609" s="2">
        <v>45839</v>
      </c>
      <c r="G2609" s="17">
        <v>3155</v>
      </c>
      <c r="H2609" s="17">
        <v>5280</v>
      </c>
      <c r="I2609" s="6">
        <f>Tabela1[[#This Row],[Valor total]]-Tabela1[[#This Row],[Valor custo]]</f>
        <v>2125</v>
      </c>
      <c r="J2609" s="7">
        <f>Tabela1[[#This Row],[MARGEM BRUTA]]/Tabela1[[#This Row],[Valor total]]</f>
        <v>0.40246212121212122</v>
      </c>
      <c r="K2609" s="1" t="str">
        <f>VLOOKUP(Tabela1[[#This Row],[Cliente]],'BASE DE CLIENTES'!A:D,4,0)</f>
        <v>SERRALHEIRO</v>
      </c>
      <c r="L2609" s="1" t="str">
        <f>VLOOKUP(Tabela1[[#This Row],[Cliente]],'BASE DE CLIENTES'!A:E,5,0)</f>
        <v>Valparaíso de Goiás</v>
      </c>
    </row>
    <row r="2610" spans="2:12" x14ac:dyDescent="0.3">
      <c r="B2610" s="1" t="s">
        <v>316</v>
      </c>
      <c r="C2610" s="4" t="str">
        <f>VLOOKUP(Tabela1[[#This Row],[Cliente]],'BASE DE CLIENTES'!A:E,2,0)</f>
        <v>Valparaíso de Goiás</v>
      </c>
      <c r="D2610" s="1" t="str">
        <f>VLOOKUP(Tabela1[[#This Row],[Cliente]],'BASE DE CLIENTES'!A:C,3,0)</f>
        <v>GO</v>
      </c>
      <c r="E2610" s="4" t="str">
        <f>CONCATENATE(Tabela1[[#This Row],[CIDADE]],",",Tabela1[[#This Row],[UF]])</f>
        <v>Valparaíso de Goiás,GO</v>
      </c>
      <c r="F2610" s="2">
        <v>45897</v>
      </c>
      <c r="G2610" s="17">
        <v>982</v>
      </c>
      <c r="H2610" s="17">
        <v>1400</v>
      </c>
      <c r="I2610" s="6">
        <f>Tabela1[[#This Row],[Valor total]]-Tabela1[[#This Row],[Valor custo]]</f>
        <v>418</v>
      </c>
      <c r="J2610" s="7">
        <f>Tabela1[[#This Row],[MARGEM BRUTA]]/Tabela1[[#This Row],[Valor total]]</f>
        <v>0.2985714285714286</v>
      </c>
      <c r="K2610" s="1" t="str">
        <f>VLOOKUP(Tabela1[[#This Row],[Cliente]],'BASE DE CLIENTES'!A:D,4,0)</f>
        <v>SERRALHEIRO</v>
      </c>
      <c r="L2610" s="1" t="str">
        <f>VLOOKUP(Tabela1[[#This Row],[Cliente]],'BASE DE CLIENTES'!A:E,5,0)</f>
        <v>Valparaíso de Goiás</v>
      </c>
    </row>
    <row r="2611" spans="2:12" x14ac:dyDescent="0.3">
      <c r="B2611" s="1" t="s">
        <v>321</v>
      </c>
      <c r="C2611" s="4" t="str">
        <f>VLOOKUP(Tabela1[[#This Row],[Cliente]],'BASE DE CLIENTES'!A:E,2,0)</f>
        <v>Valparaíso de Goiás</v>
      </c>
      <c r="D2611" s="1" t="str">
        <f>VLOOKUP(Tabela1[[#This Row],[Cliente]],'BASE DE CLIENTES'!A:C,3,0)</f>
        <v>GO</v>
      </c>
      <c r="E2611" s="4" t="str">
        <f>CONCATENATE(Tabela1[[#This Row],[CIDADE]],",",Tabela1[[#This Row],[UF]])</f>
        <v>Valparaíso de Goiás,GO</v>
      </c>
      <c r="F2611" s="2">
        <v>45896</v>
      </c>
      <c r="G2611" s="17">
        <v>2596</v>
      </c>
      <c r="H2611" s="17">
        <v>4640</v>
      </c>
      <c r="I2611" s="6">
        <f>Tabela1[[#This Row],[Valor total]]-Tabela1[[#This Row],[Valor custo]]</f>
        <v>2044</v>
      </c>
      <c r="J2611" s="7">
        <f>Tabela1[[#This Row],[MARGEM BRUTA]]/Tabela1[[#This Row],[Valor total]]</f>
        <v>0.44051724137931036</v>
      </c>
      <c r="K2611" s="1" t="str">
        <f>VLOOKUP(Tabela1[[#This Row],[Cliente]],'BASE DE CLIENTES'!A:D,4,0)</f>
        <v>EMPRESA COM MAQUINA</v>
      </c>
      <c r="L2611" s="1" t="str">
        <f>VLOOKUP(Tabela1[[#This Row],[Cliente]],'BASE DE CLIENTES'!A:E,5,0)</f>
        <v>Valparaíso de Goiás</v>
      </c>
    </row>
    <row r="2612" spans="2:12" x14ac:dyDescent="0.3">
      <c r="B2612" s="1" t="s">
        <v>325</v>
      </c>
      <c r="C2612" s="4" t="str">
        <f>VLOOKUP(Tabela1[[#This Row],[Cliente]],'BASE DE CLIENTES'!A:E,2,0)</f>
        <v>Valparaíso de Goiás</v>
      </c>
      <c r="D2612" s="1" t="str">
        <f>VLOOKUP(Tabela1[[#This Row],[Cliente]],'BASE DE CLIENTES'!A:C,3,0)</f>
        <v>GO</v>
      </c>
      <c r="E2612" s="4" t="str">
        <f>CONCATENATE(Tabela1[[#This Row],[CIDADE]],",",Tabela1[[#This Row],[UF]])</f>
        <v>Valparaíso de Goiás,GO</v>
      </c>
      <c r="F2612" s="2">
        <v>45894</v>
      </c>
      <c r="G2612" s="17">
        <v>455</v>
      </c>
      <c r="H2612" s="17">
        <v>790</v>
      </c>
      <c r="I2612" s="6">
        <f>Tabela1[[#This Row],[Valor total]]-Tabela1[[#This Row],[Valor custo]]</f>
        <v>335</v>
      </c>
      <c r="J2612" s="7">
        <f>Tabela1[[#This Row],[MARGEM BRUTA]]/Tabela1[[#This Row],[Valor total]]</f>
        <v>0.42405063291139239</v>
      </c>
      <c r="K2612" s="1" t="str">
        <f>VLOOKUP(Tabela1[[#This Row],[Cliente]],'BASE DE CLIENTES'!A:D,4,0)</f>
        <v>SERRALHEIRO</v>
      </c>
      <c r="L2612" s="1" t="str">
        <f>VLOOKUP(Tabela1[[#This Row],[Cliente]],'BASE DE CLIENTES'!A:E,5,0)</f>
        <v>Valparaíso de Goiás</v>
      </c>
    </row>
    <row r="2613" spans="2:12" x14ac:dyDescent="0.3">
      <c r="B2613" s="1" t="s">
        <v>319</v>
      </c>
      <c r="C2613" s="4" t="str">
        <f>VLOOKUP(Tabela1[[#This Row],[Cliente]],'BASE DE CLIENTES'!A:E,2,0)</f>
        <v>Valparaíso de Goiás</v>
      </c>
      <c r="D2613" s="1" t="str">
        <f>VLOOKUP(Tabela1[[#This Row],[Cliente]],'BASE DE CLIENTES'!A:C,3,0)</f>
        <v>GO</v>
      </c>
      <c r="E2613" s="4" t="str">
        <f>CONCATENATE(Tabela1[[#This Row],[CIDADE]],",",Tabela1[[#This Row],[UF]])</f>
        <v>Valparaíso de Goiás,GO</v>
      </c>
      <c r="F2613" s="2">
        <v>45894</v>
      </c>
      <c r="G2613" s="17">
        <v>3023.09</v>
      </c>
      <c r="H2613" s="17">
        <v>4045</v>
      </c>
      <c r="I2613" s="6">
        <f>Tabela1[[#This Row],[Valor total]]-Tabela1[[#This Row],[Valor custo]]</f>
        <v>1021.9099999999999</v>
      </c>
      <c r="J2613" s="7">
        <f>Tabela1[[#This Row],[MARGEM BRUTA]]/Tabela1[[#This Row],[Valor total]]</f>
        <v>0.25263535228677375</v>
      </c>
      <c r="K2613" s="1" t="str">
        <f>VLOOKUP(Tabela1[[#This Row],[Cliente]],'BASE DE CLIENTES'!A:D,4,0)</f>
        <v>EMPRESA COM MAQUINA</v>
      </c>
      <c r="L2613" s="1" t="str">
        <f>VLOOKUP(Tabela1[[#This Row],[Cliente]],'BASE DE CLIENTES'!A:E,5,0)</f>
        <v>Valparaíso de Goiás</v>
      </c>
    </row>
    <row r="2614" spans="2:12" x14ac:dyDescent="0.3">
      <c r="B2614" s="1" t="s">
        <v>70</v>
      </c>
      <c r="C2614" s="4" t="str">
        <f>VLOOKUP(Tabela1[[#This Row],[Cliente]],'BASE DE CLIENTES'!A:E,2,0)</f>
        <v>Brasília</v>
      </c>
      <c r="D2614" s="1" t="str">
        <f>VLOOKUP(Tabela1[[#This Row],[Cliente]],'BASE DE CLIENTES'!A:C,3,0)</f>
        <v>DF</v>
      </c>
      <c r="E2614" s="4" t="str">
        <f>CONCATENATE(Tabela1[[#This Row],[CIDADE]],",",Tabela1[[#This Row],[UF]])</f>
        <v>Brasília,DF</v>
      </c>
      <c r="F2614" s="2">
        <v>45903</v>
      </c>
      <c r="G2614" s="17">
        <v>764.6</v>
      </c>
      <c r="H2614" s="17">
        <v>1230</v>
      </c>
      <c r="I2614" s="6">
        <f>Tabela1[[#This Row],[Valor total]]-Tabela1[[#This Row],[Valor custo]]</f>
        <v>465.4</v>
      </c>
      <c r="J2614" s="7">
        <f>Tabela1[[#This Row],[MARGEM BRUTA]]/Tabela1[[#This Row],[Valor total]]</f>
        <v>0.37837398373983738</v>
      </c>
      <c r="K2614" s="1" t="str">
        <f>VLOOKUP(Tabela1[[#This Row],[Cliente]],'BASE DE CLIENTES'!A:D,4,0)</f>
        <v>EMPRESA COM MAQUINA</v>
      </c>
      <c r="L2614" s="1" t="str">
        <f>VLOOKUP(Tabela1[[#This Row],[Cliente]],'BASE DE CLIENTES'!A:E,5,0)</f>
        <v>TAGUATINGA NORTE (TAGUATINGA)</v>
      </c>
    </row>
    <row r="2615" spans="2:12" x14ac:dyDescent="0.3">
      <c r="B2615" s="1" t="s">
        <v>68</v>
      </c>
      <c r="C2615" s="4" t="str">
        <f>VLOOKUP(Tabela1[[#This Row],[Cliente]],'BASE DE CLIENTES'!A:E,2,0)</f>
        <v>Brasília</v>
      </c>
      <c r="D2615" s="1" t="str">
        <f>VLOOKUP(Tabela1[[#This Row],[Cliente]],'BASE DE CLIENTES'!A:C,3,0)</f>
        <v>DF</v>
      </c>
      <c r="E2615" s="4" t="str">
        <f>CONCATENATE(Tabela1[[#This Row],[CIDADE]],",",Tabela1[[#This Row],[UF]])</f>
        <v>Brasília,DF</v>
      </c>
      <c r="F2615" s="2">
        <v>45903</v>
      </c>
      <c r="G2615" s="17">
        <v>882.3</v>
      </c>
      <c r="H2615" s="17">
        <v>1215</v>
      </c>
      <c r="I2615" s="6">
        <f>Tabela1[[#This Row],[Valor total]]-Tabela1[[#This Row],[Valor custo]]</f>
        <v>332.70000000000005</v>
      </c>
      <c r="J2615" s="7">
        <f>Tabela1[[#This Row],[MARGEM BRUTA]]/Tabela1[[#This Row],[Valor total]]</f>
        <v>0.27382716049382722</v>
      </c>
      <c r="K2615" s="1" t="str">
        <f>VLOOKUP(Tabela1[[#This Row],[Cliente]],'BASE DE CLIENTES'!A:D,4,0)</f>
        <v>EMPRESA COM MAQUINA</v>
      </c>
      <c r="L2615" s="1" t="str">
        <f>VLOOKUP(Tabela1[[#This Row],[Cliente]],'BASE DE CLIENTES'!A:E,5,0)</f>
        <v>SAMAMBAIA SUL (SAMAMBAIA)</v>
      </c>
    </row>
    <row r="2616" spans="2:12" x14ac:dyDescent="0.3">
      <c r="B2616" s="1" t="s">
        <v>297</v>
      </c>
      <c r="C2616" s="4" t="str">
        <f>VLOOKUP(Tabela1[[#This Row],[Cliente]],'BASE DE CLIENTES'!A:E,2,0)</f>
        <v>Brasília</v>
      </c>
      <c r="D2616" s="1" t="str">
        <f>VLOOKUP(Tabela1[[#This Row],[Cliente]],'BASE DE CLIENTES'!A:C,3,0)</f>
        <v>DF</v>
      </c>
      <c r="E2616" s="4" t="str">
        <f>CONCATENATE(Tabela1[[#This Row],[CIDADE]],",",Tabela1[[#This Row],[UF]])</f>
        <v>Brasília,DF</v>
      </c>
      <c r="F2616" s="2">
        <v>45849</v>
      </c>
      <c r="G2616" s="17">
        <v>447</v>
      </c>
      <c r="H2616" s="17">
        <v>640</v>
      </c>
      <c r="I2616" s="6">
        <f>Tabela1[[#This Row],[Valor total]]-Tabela1[[#This Row],[Valor custo]]</f>
        <v>193</v>
      </c>
      <c r="J2616" s="7">
        <f>Tabela1[[#This Row],[MARGEM BRUTA]]/Tabela1[[#This Row],[Valor total]]</f>
        <v>0.30156250000000001</v>
      </c>
      <c r="K2616" s="1" t="str">
        <f>VLOOKUP(Tabela1[[#This Row],[Cliente]],'BASE DE CLIENTES'!A:D,4,0)</f>
        <v>SERRALHEIRO</v>
      </c>
      <c r="L2616" s="1" t="str">
        <f>VLOOKUP(Tabela1[[#This Row],[Cliente]],'BASE DE CLIENTES'!A:E,5,0)</f>
        <v>NA</v>
      </c>
    </row>
    <row r="2617" spans="2:12" x14ac:dyDescent="0.3">
      <c r="B2617" s="1" t="s">
        <v>85</v>
      </c>
      <c r="C2617" s="4" t="str">
        <f>VLOOKUP(Tabela1[[#This Row],[Cliente]],'BASE DE CLIENTES'!A:E,2,0)</f>
        <v>Brasília</v>
      </c>
      <c r="D2617" s="1" t="str">
        <f>VLOOKUP(Tabela1[[#This Row],[Cliente]],'BASE DE CLIENTES'!A:C,3,0)</f>
        <v>DF</v>
      </c>
      <c r="E2617" s="4" t="str">
        <f>CONCATENATE(Tabela1[[#This Row],[CIDADE]],",",Tabela1[[#This Row],[UF]])</f>
        <v>Brasília,DF</v>
      </c>
      <c r="F2617" s="2">
        <v>45902</v>
      </c>
      <c r="G2617" s="17">
        <v>7.21</v>
      </c>
      <c r="H2617" s="17">
        <v>25</v>
      </c>
      <c r="I2617" s="6">
        <f>Tabela1[[#This Row],[Valor total]]-Tabela1[[#This Row],[Valor custo]]</f>
        <v>17.79</v>
      </c>
      <c r="J2617" s="7">
        <f>Tabela1[[#This Row],[MARGEM BRUTA]]/Tabela1[[#This Row],[Valor total]]</f>
        <v>0.71160000000000001</v>
      </c>
      <c r="K2617" s="1" t="str">
        <f>VLOOKUP(Tabela1[[#This Row],[Cliente]],'BASE DE CLIENTES'!A:D,4,0)</f>
        <v>SERRALHEIRO</v>
      </c>
      <c r="L2617" s="1" t="str">
        <f>VLOOKUP(Tabela1[[#This Row],[Cliente]],'BASE DE CLIENTES'!A:E,5,0)</f>
        <v>SAMAMBAIA NORTE (SAMAMBAIA)</v>
      </c>
    </row>
    <row r="2618" spans="2:12" x14ac:dyDescent="0.3">
      <c r="B2618" s="1" t="s">
        <v>52</v>
      </c>
      <c r="C2618" s="4" t="str">
        <f>VLOOKUP(Tabela1[[#This Row],[Cliente]],'BASE DE CLIENTES'!A:E,2,0)</f>
        <v>Brasília</v>
      </c>
      <c r="D2618" s="1" t="str">
        <f>VLOOKUP(Tabela1[[#This Row],[Cliente]],'BASE DE CLIENTES'!A:C,3,0)</f>
        <v>DF</v>
      </c>
      <c r="E2618" s="4" t="str">
        <f>CONCATENATE(Tabela1[[#This Row],[CIDADE]],",",Tabela1[[#This Row],[UF]])</f>
        <v>Brasília,DF</v>
      </c>
      <c r="F2618" s="2">
        <v>45902</v>
      </c>
      <c r="G2618" s="17">
        <v>764.6</v>
      </c>
      <c r="H2618" s="17">
        <v>1000</v>
      </c>
      <c r="I2618" s="6">
        <f>Tabela1[[#This Row],[Valor total]]-Tabela1[[#This Row],[Valor custo]]</f>
        <v>235.39999999999998</v>
      </c>
      <c r="J2618" s="7">
        <f>Tabela1[[#This Row],[MARGEM BRUTA]]/Tabela1[[#This Row],[Valor total]]</f>
        <v>0.23539999999999997</v>
      </c>
      <c r="K2618" s="1" t="str">
        <f>VLOOKUP(Tabela1[[#This Row],[Cliente]],'BASE DE CLIENTES'!A:D,4,0)</f>
        <v>SERRALHEIRO</v>
      </c>
      <c r="L2618" s="1" t="str">
        <f>VLOOKUP(Tabela1[[#This Row],[Cliente]],'BASE DE CLIENTES'!A:E,5,0)</f>
        <v>Ceilândia Sul (Ceilândia)</v>
      </c>
    </row>
    <row r="2619" spans="2:12" x14ac:dyDescent="0.3">
      <c r="B2619" s="1" t="s">
        <v>326</v>
      </c>
      <c r="C2619" s="4" t="str">
        <f>VLOOKUP(Tabela1[[#This Row],[Cliente]],'BASE DE CLIENTES'!A:E,2,0)</f>
        <v>Brasília</v>
      </c>
      <c r="D2619" s="1" t="str">
        <f>VLOOKUP(Tabela1[[#This Row],[Cliente]],'BASE DE CLIENTES'!A:C,3,0)</f>
        <v>DF</v>
      </c>
      <c r="E2619" s="4" t="str">
        <f>CONCATENATE(Tabela1[[#This Row],[CIDADE]],",",Tabela1[[#This Row],[UF]])</f>
        <v>Brasília,DF</v>
      </c>
      <c r="F2619" s="2">
        <v>45902</v>
      </c>
      <c r="G2619" s="17">
        <v>293.13</v>
      </c>
      <c r="H2619" s="17">
        <v>600</v>
      </c>
      <c r="I2619" s="6">
        <f>Tabela1[[#This Row],[Valor total]]-Tabela1[[#This Row],[Valor custo]]</f>
        <v>306.87</v>
      </c>
      <c r="J2619" s="7">
        <f>Tabela1[[#This Row],[MARGEM BRUTA]]/Tabela1[[#This Row],[Valor total]]</f>
        <v>0.51144999999999996</v>
      </c>
      <c r="K2619" s="1" t="str">
        <f>VLOOKUP(Tabela1[[#This Row],[Cliente]],'BASE DE CLIENTES'!A:D,4,0)</f>
        <v>CLIENTE FECHADURA</v>
      </c>
      <c r="L2619" s="1" t="str">
        <f>VLOOKUP(Tabela1[[#This Row],[Cliente]],'BASE DE CLIENTES'!A:E,5,0)</f>
        <v>ÁGUAS CLARAS</v>
      </c>
    </row>
    <row r="2620" spans="2:12" x14ac:dyDescent="0.3">
      <c r="B2620" s="1" t="s">
        <v>55</v>
      </c>
      <c r="C2620" s="4" t="str">
        <f>VLOOKUP(Tabela1[[#This Row],[Cliente]],'BASE DE CLIENTES'!A:E,2,0)</f>
        <v>Brasília</v>
      </c>
      <c r="D2620" s="1" t="str">
        <f>VLOOKUP(Tabela1[[#This Row],[Cliente]],'BASE DE CLIENTES'!A:C,3,0)</f>
        <v>DF</v>
      </c>
      <c r="E2620" s="4" t="str">
        <f>CONCATENATE(Tabela1[[#This Row],[CIDADE]],",",Tabela1[[#This Row],[UF]])</f>
        <v>Brasília,DF</v>
      </c>
      <c r="F2620" s="2">
        <v>45902</v>
      </c>
      <c r="G2620" s="17">
        <v>432.79</v>
      </c>
      <c r="H2620" s="17">
        <v>0</v>
      </c>
      <c r="I2620" s="6">
        <f>Tabela1[[#This Row],[Valor total]]-Tabela1[[#This Row],[Valor custo]]</f>
        <v>-432.79</v>
      </c>
      <c r="J2620" s="7" t="e">
        <f>Tabela1[[#This Row],[MARGEM BRUTA]]/Tabela1[[#This Row],[Valor total]]</f>
        <v>#DIV/0!</v>
      </c>
      <c r="K2620" s="1" t="str">
        <f>VLOOKUP(Tabela1[[#This Row],[Cliente]],'BASE DE CLIENTES'!A:D,4,0)</f>
        <v>EMPRESA SEM MAQUINA</v>
      </c>
      <c r="L2620" s="1" t="str">
        <f>VLOOKUP(Tabela1[[#This Row],[Cliente]],'BASE DE CLIENTES'!A:E,5,0)</f>
        <v>RECANTO DAS EMAS</v>
      </c>
    </row>
    <row r="2621" spans="2:12" x14ac:dyDescent="0.3">
      <c r="B2621" s="1" t="s">
        <v>55</v>
      </c>
      <c r="C2621" s="4" t="str">
        <f>VLOOKUP(Tabela1[[#This Row],[Cliente]],'BASE DE CLIENTES'!A:E,2,0)</f>
        <v>Brasília</v>
      </c>
      <c r="D2621" s="1" t="str">
        <f>VLOOKUP(Tabela1[[#This Row],[Cliente]],'BASE DE CLIENTES'!A:C,3,0)</f>
        <v>DF</v>
      </c>
      <c r="E2621" s="4" t="str">
        <f>CONCATENATE(Tabela1[[#This Row],[CIDADE]],",",Tabela1[[#This Row],[UF]])</f>
        <v>Brasília,DF</v>
      </c>
      <c r="F2621" s="2">
        <v>45902</v>
      </c>
      <c r="G2621" s="17">
        <v>2202.54</v>
      </c>
      <c r="H2621" s="17">
        <v>4400</v>
      </c>
      <c r="I2621" s="6">
        <f>Tabela1[[#This Row],[Valor total]]-Tabela1[[#This Row],[Valor custo]]</f>
        <v>2197.46</v>
      </c>
      <c r="J2621" s="7">
        <f>Tabela1[[#This Row],[MARGEM BRUTA]]/Tabela1[[#This Row],[Valor total]]</f>
        <v>0.4994227272727273</v>
      </c>
      <c r="K2621" s="1" t="str">
        <f>VLOOKUP(Tabela1[[#This Row],[Cliente]],'BASE DE CLIENTES'!A:D,4,0)</f>
        <v>EMPRESA SEM MAQUINA</v>
      </c>
      <c r="L2621" s="1" t="str">
        <f>VLOOKUP(Tabela1[[#This Row],[Cliente]],'BASE DE CLIENTES'!A:E,5,0)</f>
        <v>RECANTO DAS EMAS</v>
      </c>
    </row>
    <row r="2622" spans="2:12" x14ac:dyDescent="0.3">
      <c r="B2622" s="1" t="s">
        <v>325</v>
      </c>
      <c r="C2622" s="4" t="str">
        <f>VLOOKUP(Tabela1[[#This Row],[Cliente]],'BASE DE CLIENTES'!A:E,2,0)</f>
        <v>Valparaíso de Goiás</v>
      </c>
      <c r="D2622" s="1" t="str">
        <f>VLOOKUP(Tabela1[[#This Row],[Cliente]],'BASE DE CLIENTES'!A:C,3,0)</f>
        <v>GO</v>
      </c>
      <c r="E2622" s="4" t="str">
        <f>CONCATENATE(Tabela1[[#This Row],[CIDADE]],",",Tabela1[[#This Row],[UF]])</f>
        <v>Valparaíso de Goiás,GO</v>
      </c>
      <c r="F2622" s="2">
        <v>45889</v>
      </c>
      <c r="G2622" s="17">
        <v>115.58</v>
      </c>
      <c r="H2622" s="17">
        <v>170</v>
      </c>
      <c r="I2622" s="6">
        <f>Tabela1[[#This Row],[Valor total]]-Tabela1[[#This Row],[Valor custo]]</f>
        <v>54.42</v>
      </c>
      <c r="J2622" s="7">
        <f>Tabela1[[#This Row],[MARGEM BRUTA]]/Tabela1[[#This Row],[Valor total]]</f>
        <v>0.32011764705882356</v>
      </c>
      <c r="K2622" s="1" t="str">
        <f>VLOOKUP(Tabela1[[#This Row],[Cliente]],'BASE DE CLIENTES'!A:D,4,0)</f>
        <v>SERRALHEIRO</v>
      </c>
      <c r="L2622" s="1" t="str">
        <f>VLOOKUP(Tabela1[[#This Row],[Cliente]],'BASE DE CLIENTES'!A:E,5,0)</f>
        <v>Valparaíso de Goiás</v>
      </c>
    </row>
    <row r="2623" spans="2:12" x14ac:dyDescent="0.3">
      <c r="B2623" s="1" t="s">
        <v>325</v>
      </c>
      <c r="C2623" s="4" t="str">
        <f>VLOOKUP(Tabela1[[#This Row],[Cliente]],'BASE DE CLIENTES'!A:E,2,0)</f>
        <v>Valparaíso de Goiás</v>
      </c>
      <c r="D2623" s="1" t="str">
        <f>VLOOKUP(Tabela1[[#This Row],[Cliente]],'BASE DE CLIENTES'!A:C,3,0)</f>
        <v>GO</v>
      </c>
      <c r="E2623" s="4" t="str">
        <f>CONCATENATE(Tabela1[[#This Row],[CIDADE]],",",Tabela1[[#This Row],[UF]])</f>
        <v>Valparaíso de Goiás,GO</v>
      </c>
      <c r="F2623" s="2">
        <v>45889</v>
      </c>
      <c r="G2623" s="17">
        <v>477</v>
      </c>
      <c r="H2623" s="17">
        <v>840</v>
      </c>
      <c r="I2623" s="6">
        <f>Tabela1[[#This Row],[Valor total]]-Tabela1[[#This Row],[Valor custo]]</f>
        <v>363</v>
      </c>
      <c r="J2623" s="7">
        <f>Tabela1[[#This Row],[MARGEM BRUTA]]/Tabela1[[#This Row],[Valor total]]</f>
        <v>0.43214285714285716</v>
      </c>
      <c r="K2623" s="1" t="str">
        <f>VLOOKUP(Tabela1[[#This Row],[Cliente]],'BASE DE CLIENTES'!A:D,4,0)</f>
        <v>SERRALHEIRO</v>
      </c>
      <c r="L2623" s="1" t="str">
        <f>VLOOKUP(Tabela1[[#This Row],[Cliente]],'BASE DE CLIENTES'!A:E,5,0)</f>
        <v>Valparaíso de Goiás</v>
      </c>
    </row>
    <row r="2624" spans="2:12" x14ac:dyDescent="0.3">
      <c r="B2624" s="1" t="s">
        <v>319</v>
      </c>
      <c r="C2624" s="4" t="str">
        <f>VLOOKUP(Tabela1[[#This Row],[Cliente]],'BASE DE CLIENTES'!A:E,2,0)</f>
        <v>Valparaíso de Goiás</v>
      </c>
      <c r="D2624" s="1" t="str">
        <f>VLOOKUP(Tabela1[[#This Row],[Cliente]],'BASE DE CLIENTES'!A:C,3,0)</f>
        <v>GO</v>
      </c>
      <c r="E2624" s="4" t="str">
        <f>CONCATENATE(Tabela1[[#This Row],[CIDADE]],",",Tabela1[[#This Row],[UF]])</f>
        <v>Valparaíso de Goiás,GO</v>
      </c>
      <c r="F2624" s="2">
        <v>45882</v>
      </c>
      <c r="G2624" s="17">
        <v>1940.88</v>
      </c>
      <c r="H2624" s="17">
        <v>3425</v>
      </c>
      <c r="I2624" s="6">
        <f>Tabela1[[#This Row],[Valor total]]-Tabela1[[#This Row],[Valor custo]]</f>
        <v>1484.12</v>
      </c>
      <c r="J2624" s="7">
        <f>Tabela1[[#This Row],[MARGEM BRUTA]]/Tabela1[[#This Row],[Valor total]]</f>
        <v>0.43331970802919706</v>
      </c>
      <c r="K2624" s="1" t="str">
        <f>VLOOKUP(Tabela1[[#This Row],[Cliente]],'BASE DE CLIENTES'!A:D,4,0)</f>
        <v>EMPRESA COM MAQUINA</v>
      </c>
      <c r="L2624" s="1" t="str">
        <f>VLOOKUP(Tabela1[[#This Row],[Cliente]],'BASE DE CLIENTES'!A:E,5,0)</f>
        <v>Valparaíso de Goiás</v>
      </c>
    </row>
    <row r="2625" spans="2:12" x14ac:dyDescent="0.3">
      <c r="B2625" s="1" t="s">
        <v>161</v>
      </c>
      <c r="C2625" s="4" t="str">
        <f>VLOOKUP(Tabela1[[#This Row],[Cliente]],'BASE DE CLIENTES'!A:E,2,0)</f>
        <v>Brasília</v>
      </c>
      <c r="D2625" s="1" t="str">
        <f>VLOOKUP(Tabela1[[#This Row],[Cliente]],'BASE DE CLIENTES'!A:C,3,0)</f>
        <v>DF</v>
      </c>
      <c r="E2625" s="4" t="str">
        <f>CONCATENATE(Tabela1[[#This Row],[CIDADE]],",",Tabela1[[#This Row],[UF]])</f>
        <v>Brasília,DF</v>
      </c>
      <c r="F2625" s="2">
        <v>45902</v>
      </c>
      <c r="G2625" s="17">
        <v>7726.5</v>
      </c>
      <c r="H2625" s="17">
        <v>12750</v>
      </c>
      <c r="I2625" s="6">
        <f>Tabela1[[#This Row],[Valor total]]-Tabela1[[#This Row],[Valor custo]]</f>
        <v>5023.5</v>
      </c>
      <c r="J2625" s="7">
        <f>Tabela1[[#This Row],[MARGEM BRUTA]]/Tabela1[[#This Row],[Valor total]]</f>
        <v>0.39400000000000002</v>
      </c>
      <c r="K2625" s="1" t="str">
        <f>VLOOKUP(Tabela1[[#This Row],[Cliente]],'BASE DE CLIENTES'!A:D,4,0)</f>
        <v>EMPRESA COM MAQUINA</v>
      </c>
      <c r="L2625" s="1" t="str">
        <f>VLOOKUP(Tabela1[[#This Row],[Cliente]],'BASE DE CLIENTES'!A:E,5,0)</f>
        <v>RIACHO FUNDO II</v>
      </c>
    </row>
    <row r="2626" spans="2:12" x14ac:dyDescent="0.3">
      <c r="B2626" s="1" t="s">
        <v>127</v>
      </c>
      <c r="C2626" s="4" t="str">
        <f>VLOOKUP(Tabela1[[#This Row],[Cliente]],'BASE DE CLIENTES'!A:E,2,0)</f>
        <v>Brasília</v>
      </c>
      <c r="D2626" s="1" t="str">
        <f>VLOOKUP(Tabela1[[#This Row],[Cliente]],'BASE DE CLIENTES'!A:C,3,0)</f>
        <v>DF</v>
      </c>
      <c r="E2626" s="4" t="str">
        <f>CONCATENATE(Tabela1[[#This Row],[CIDADE]],",",Tabela1[[#This Row],[UF]])</f>
        <v>Brasília,DF</v>
      </c>
      <c r="F2626" s="2">
        <v>45902</v>
      </c>
      <c r="G2626" s="17">
        <v>0</v>
      </c>
      <c r="H2626" s="17">
        <v>250</v>
      </c>
      <c r="I2626" s="6">
        <f>Tabela1[[#This Row],[Valor total]]-Tabela1[[#This Row],[Valor custo]]</f>
        <v>250</v>
      </c>
      <c r="J2626" s="7">
        <f>Tabela1[[#This Row],[MARGEM BRUTA]]/Tabela1[[#This Row],[Valor total]]</f>
        <v>1</v>
      </c>
      <c r="K2626" s="1" t="str">
        <f>VLOOKUP(Tabela1[[#This Row],[Cliente]],'BASE DE CLIENTES'!A:D,4,0)</f>
        <v>EMPRESA COM MAQUINA</v>
      </c>
      <c r="L2626" s="1" t="str">
        <f>VLOOKUP(Tabela1[[#This Row],[Cliente]],'BASE DE CLIENTES'!A:E,5,0)</f>
        <v>CEILANDIA SUL (CEILANDIA)</v>
      </c>
    </row>
    <row r="2627" spans="2:12" x14ac:dyDescent="0.3">
      <c r="B2627" s="1" t="s">
        <v>127</v>
      </c>
      <c r="C2627" s="4" t="str">
        <f>VLOOKUP(Tabela1[[#This Row],[Cliente]],'BASE DE CLIENTES'!A:E,2,0)</f>
        <v>Brasília</v>
      </c>
      <c r="D2627" s="1" t="str">
        <f>VLOOKUP(Tabela1[[#This Row],[Cliente]],'BASE DE CLIENTES'!A:C,3,0)</f>
        <v>DF</v>
      </c>
      <c r="E2627" s="4" t="str">
        <f>CONCATENATE(Tabela1[[#This Row],[CIDADE]],",",Tabela1[[#This Row],[UF]])</f>
        <v>Brasília,DF</v>
      </c>
      <c r="F2627" s="2">
        <v>45902</v>
      </c>
      <c r="G2627" s="17">
        <v>679</v>
      </c>
      <c r="H2627" s="17">
        <v>1350</v>
      </c>
      <c r="I2627" s="6">
        <f>Tabela1[[#This Row],[Valor total]]-Tabela1[[#This Row],[Valor custo]]</f>
        <v>671</v>
      </c>
      <c r="J2627" s="7">
        <f>Tabela1[[#This Row],[MARGEM BRUTA]]/Tabela1[[#This Row],[Valor total]]</f>
        <v>0.49703703703703705</v>
      </c>
      <c r="K2627" s="1" t="str">
        <f>VLOOKUP(Tabela1[[#This Row],[Cliente]],'BASE DE CLIENTES'!A:D,4,0)</f>
        <v>EMPRESA COM MAQUINA</v>
      </c>
      <c r="L2627" s="1" t="str">
        <f>VLOOKUP(Tabela1[[#This Row],[Cliente]],'BASE DE CLIENTES'!A:E,5,0)</f>
        <v>CEILANDIA SUL (CEILANDIA)</v>
      </c>
    </row>
    <row r="2628" spans="2:12" x14ac:dyDescent="0.3">
      <c r="B2628" s="1" t="s">
        <v>78</v>
      </c>
      <c r="C2628" s="4" t="str">
        <f>VLOOKUP(Tabela1[[#This Row],[Cliente]],'BASE DE CLIENTES'!A:E,2,0)</f>
        <v>Brasília</v>
      </c>
      <c r="D2628" s="1" t="str">
        <f>VLOOKUP(Tabela1[[#This Row],[Cliente]],'BASE DE CLIENTES'!A:C,3,0)</f>
        <v>DF</v>
      </c>
      <c r="E2628" s="4" t="str">
        <f>CONCATENATE(Tabela1[[#This Row],[CIDADE]],",",Tabela1[[#This Row],[UF]])</f>
        <v>Brasília,DF</v>
      </c>
      <c r="F2628" s="2">
        <v>45902</v>
      </c>
      <c r="G2628" s="17">
        <v>892.3</v>
      </c>
      <c r="H2628" s="17">
        <v>1510</v>
      </c>
      <c r="I2628" s="6">
        <f>Tabela1[[#This Row],[Valor total]]-Tabela1[[#This Row],[Valor custo]]</f>
        <v>617.70000000000005</v>
      </c>
      <c r="J2628" s="7">
        <f>Tabela1[[#This Row],[MARGEM BRUTA]]/Tabela1[[#This Row],[Valor total]]</f>
        <v>0.40907284768211921</v>
      </c>
      <c r="K2628" s="1" t="str">
        <f>VLOOKUP(Tabela1[[#This Row],[Cliente]],'BASE DE CLIENTES'!A:D,4,0)</f>
        <v>SERRALHEIRO</v>
      </c>
      <c r="L2628" s="1" t="str">
        <f>VLOOKUP(Tabela1[[#This Row],[Cliente]],'BASE DE CLIENTES'!A:E,5,0)</f>
        <v>Vila do Boa (São Sebastião)</v>
      </c>
    </row>
    <row r="2629" spans="2:12" x14ac:dyDescent="0.3">
      <c r="B2629" s="1" t="s">
        <v>316</v>
      </c>
      <c r="C2629" s="4" t="str">
        <f>VLOOKUP(Tabela1[[#This Row],[Cliente]],'BASE DE CLIENTES'!A:E,2,0)</f>
        <v>Valparaíso de Goiás</v>
      </c>
      <c r="D2629" s="1" t="str">
        <f>VLOOKUP(Tabela1[[#This Row],[Cliente]],'BASE DE CLIENTES'!A:C,3,0)</f>
        <v>GO</v>
      </c>
      <c r="E2629" s="4" t="str">
        <f>CONCATENATE(Tabela1[[#This Row],[CIDADE]],",",Tabela1[[#This Row],[UF]])</f>
        <v>Valparaíso de Goiás,GO</v>
      </c>
      <c r="F2629" s="2">
        <v>45876</v>
      </c>
      <c r="G2629" s="17">
        <v>1473</v>
      </c>
      <c r="H2629" s="17">
        <v>2100</v>
      </c>
      <c r="I2629" s="6">
        <f>Tabela1[[#This Row],[Valor total]]-Tabela1[[#This Row],[Valor custo]]</f>
        <v>627</v>
      </c>
      <c r="J2629" s="7">
        <f>Tabela1[[#This Row],[MARGEM BRUTA]]/Tabela1[[#This Row],[Valor total]]</f>
        <v>0.2985714285714286</v>
      </c>
      <c r="K2629" s="1" t="str">
        <f>VLOOKUP(Tabela1[[#This Row],[Cliente]],'BASE DE CLIENTES'!A:D,4,0)</f>
        <v>SERRALHEIRO</v>
      </c>
      <c r="L2629" s="1" t="str">
        <f>VLOOKUP(Tabela1[[#This Row],[Cliente]],'BASE DE CLIENTES'!A:E,5,0)</f>
        <v>Valparaíso de Goiás</v>
      </c>
    </row>
    <row r="2630" spans="2:12" x14ac:dyDescent="0.3">
      <c r="B2630" s="1" t="s">
        <v>27</v>
      </c>
      <c r="C2630" s="4" t="str">
        <f>VLOOKUP(Tabela1[[#This Row],[Cliente]],'BASE DE CLIENTES'!A:E,2,0)</f>
        <v>Brasília</v>
      </c>
      <c r="D2630" s="1" t="str">
        <f>VLOOKUP(Tabela1[[#This Row],[Cliente]],'BASE DE CLIENTES'!A:C,3,0)</f>
        <v>DF</v>
      </c>
      <c r="E2630" s="4" t="str">
        <f>CONCATENATE(Tabela1[[#This Row],[CIDADE]],",",Tabela1[[#This Row],[UF]])</f>
        <v>Brasília,DF</v>
      </c>
      <c r="F2630" s="2">
        <v>45902</v>
      </c>
      <c r="G2630" s="17">
        <v>2293.8000000000002</v>
      </c>
      <c r="H2630" s="17">
        <v>3690</v>
      </c>
      <c r="I2630" s="6">
        <f>Tabela1[[#This Row],[Valor total]]-Tabela1[[#This Row],[Valor custo]]</f>
        <v>1396.1999999999998</v>
      </c>
      <c r="J2630" s="7">
        <f>Tabela1[[#This Row],[MARGEM BRUTA]]/Tabela1[[#This Row],[Valor total]]</f>
        <v>0.37837398373983733</v>
      </c>
      <c r="K2630" s="1" t="str">
        <f>VLOOKUP(Tabela1[[#This Row],[Cliente]],'BASE DE CLIENTES'!A:D,4,0)</f>
        <v>EMPRESA SEM MAQUINA</v>
      </c>
      <c r="L2630" s="1" t="str">
        <f>VLOOKUP(Tabela1[[#This Row],[Cliente]],'BASE DE CLIENTES'!A:E,5,0)</f>
        <v>RECANTO DAS EMAS</v>
      </c>
    </row>
    <row r="2631" spans="2:12" x14ac:dyDescent="0.3">
      <c r="B2631" s="1" t="s">
        <v>100</v>
      </c>
      <c r="C2631" s="4" t="str">
        <f>VLOOKUP(Tabela1[[#This Row],[Cliente]],'BASE DE CLIENTES'!A:E,2,0)</f>
        <v>Águas Lindas de Goiás</v>
      </c>
      <c r="D2631" s="1" t="str">
        <f>VLOOKUP(Tabela1[[#This Row],[Cliente]],'BASE DE CLIENTES'!A:C,3,0)</f>
        <v>GO</v>
      </c>
      <c r="E2631" s="4" t="str">
        <f>CONCATENATE(Tabela1[[#This Row],[CIDADE]],",",Tabela1[[#This Row],[UF]])</f>
        <v>Águas Lindas de Goiás,GO</v>
      </c>
      <c r="F2631" s="2">
        <v>45902</v>
      </c>
      <c r="G2631" s="17">
        <v>455</v>
      </c>
      <c r="H2631" s="17">
        <v>790</v>
      </c>
      <c r="I2631" s="6">
        <f>Tabela1[[#This Row],[Valor total]]-Tabela1[[#This Row],[Valor custo]]</f>
        <v>335</v>
      </c>
      <c r="J2631" s="7">
        <f>Tabela1[[#This Row],[MARGEM BRUTA]]/Tabela1[[#This Row],[Valor total]]</f>
        <v>0.42405063291139239</v>
      </c>
      <c r="K2631" s="1" t="str">
        <f>VLOOKUP(Tabela1[[#This Row],[Cliente]],'BASE DE CLIENTES'!A:D,4,0)</f>
        <v>EMPRESA SEM MAQUINA</v>
      </c>
      <c r="L2631" s="1" t="str">
        <f>VLOOKUP(Tabela1[[#This Row],[Cliente]],'BASE DE CLIENTES'!A:E,5,0)</f>
        <v>Águas Lindas de Goiás</v>
      </c>
    </row>
    <row r="2632" spans="2:12" x14ac:dyDescent="0.3">
      <c r="B2632" s="1" t="s">
        <v>297</v>
      </c>
      <c r="C2632" s="4" t="str">
        <f>VLOOKUP(Tabela1[[#This Row],[Cliente]],'BASE DE CLIENTES'!A:E,2,0)</f>
        <v>Brasília</v>
      </c>
      <c r="D2632" s="1" t="str">
        <f>VLOOKUP(Tabela1[[#This Row],[Cliente]],'BASE DE CLIENTES'!A:C,3,0)</f>
        <v>DF</v>
      </c>
      <c r="E2632" s="4" t="str">
        <f>CONCATENATE(Tabela1[[#This Row],[CIDADE]],",",Tabela1[[#This Row],[UF]])</f>
        <v>Brasília,DF</v>
      </c>
      <c r="F2632" s="2">
        <v>45930</v>
      </c>
      <c r="G2632" s="17">
        <v>125</v>
      </c>
      <c r="H2632" s="17">
        <v>150</v>
      </c>
      <c r="I2632" s="6">
        <f>Tabela1[[#This Row],[Valor total]]-Tabela1[[#This Row],[Valor custo]]</f>
        <v>25</v>
      </c>
      <c r="J2632" s="7">
        <f>Tabela1[[#This Row],[MARGEM BRUTA]]/Tabela1[[#This Row],[Valor total]]</f>
        <v>0.16666666666666666</v>
      </c>
      <c r="K2632" s="1" t="str">
        <f>VLOOKUP(Tabela1[[#This Row],[Cliente]],'BASE DE CLIENTES'!A:D,4,0)</f>
        <v>SERRALHEIRO</v>
      </c>
      <c r="L2632" s="1" t="str">
        <f>VLOOKUP(Tabela1[[#This Row],[Cliente]],'BASE DE CLIENTES'!A:E,5,0)</f>
        <v>NA</v>
      </c>
    </row>
    <row r="2633" spans="2:12" x14ac:dyDescent="0.3">
      <c r="B2633" s="1" t="s">
        <v>42</v>
      </c>
      <c r="C2633" s="4" t="str">
        <f>VLOOKUP(Tabela1[[#This Row],[Cliente]],'BASE DE CLIENTES'!A:E,2,0)</f>
        <v>Brasília</v>
      </c>
      <c r="D2633" s="1" t="str">
        <f>VLOOKUP(Tabela1[[#This Row],[Cliente]],'BASE DE CLIENTES'!A:C,3,0)</f>
        <v>DF</v>
      </c>
      <c r="E2633" s="4" t="str">
        <f>CONCATENATE(Tabela1[[#This Row],[CIDADE]],",",Tabela1[[#This Row],[UF]])</f>
        <v>Brasília,DF</v>
      </c>
      <c r="F2633" s="2">
        <v>45902</v>
      </c>
      <c r="G2633" s="17">
        <v>1567.92</v>
      </c>
      <c r="H2633" s="17">
        <v>2870</v>
      </c>
      <c r="I2633" s="6">
        <f>Tabela1[[#This Row],[Valor total]]-Tabela1[[#This Row],[Valor custo]]</f>
        <v>1302.08</v>
      </c>
      <c r="J2633" s="7">
        <f>Tabela1[[#This Row],[MARGEM BRUTA]]/Tabela1[[#This Row],[Valor total]]</f>
        <v>0.45368641114982577</v>
      </c>
      <c r="K2633" s="1" t="str">
        <f>VLOOKUP(Tabela1[[#This Row],[Cliente]],'BASE DE CLIENTES'!A:D,4,0)</f>
        <v>EMPRESA SEM MAQUINA</v>
      </c>
      <c r="L2633" s="1" t="str">
        <f>VLOOKUP(Tabela1[[#This Row],[Cliente]],'BASE DE CLIENTES'!A:E,5,0)</f>
        <v>SAMAMBAIA</v>
      </c>
    </row>
    <row r="2634" spans="2:12" x14ac:dyDescent="0.3">
      <c r="B2634" s="1" t="s">
        <v>320</v>
      </c>
      <c r="C2634" s="4" t="str">
        <f>VLOOKUP(Tabela1[[#This Row],[Cliente]],'BASE DE CLIENTES'!A:E,2,0)</f>
        <v>Valparaíso de Goiás</v>
      </c>
      <c r="D2634" s="1" t="str">
        <f>VLOOKUP(Tabela1[[#This Row],[Cliente]],'BASE DE CLIENTES'!A:C,3,0)</f>
        <v>GO</v>
      </c>
      <c r="E2634" s="4" t="str">
        <f>CONCATENATE(Tabela1[[#This Row],[CIDADE]],",",Tabela1[[#This Row],[UF]])</f>
        <v>Valparaíso de Goiás,GO</v>
      </c>
      <c r="F2634" s="2">
        <v>45876</v>
      </c>
      <c r="G2634" s="17">
        <v>0</v>
      </c>
      <c r="H2634" s="17">
        <v>0</v>
      </c>
      <c r="I2634" s="6">
        <f>Tabela1[[#This Row],[Valor total]]-Tabela1[[#This Row],[Valor custo]]</f>
        <v>0</v>
      </c>
      <c r="J2634" s="7" t="e">
        <f>Tabela1[[#This Row],[MARGEM BRUTA]]/Tabela1[[#This Row],[Valor total]]</f>
        <v>#DIV/0!</v>
      </c>
      <c r="K2634" s="1" t="str">
        <f>VLOOKUP(Tabela1[[#This Row],[Cliente]],'BASE DE CLIENTES'!A:D,4,0)</f>
        <v>SERRALHEIRO</v>
      </c>
      <c r="L2634" s="1" t="str">
        <f>VLOOKUP(Tabela1[[#This Row],[Cliente]],'BASE DE CLIENTES'!A:E,5,0)</f>
        <v>Valparaíso de Goiás</v>
      </c>
    </row>
    <row r="2635" spans="2:12" x14ac:dyDescent="0.3">
      <c r="B2635" s="1" t="s">
        <v>23</v>
      </c>
      <c r="C2635" s="4" t="str">
        <f>VLOOKUP(Tabela1[[#This Row],[Cliente]],'BASE DE CLIENTES'!A:E,2,0)</f>
        <v>Brasília</v>
      </c>
      <c r="D2635" s="1" t="str">
        <f>VLOOKUP(Tabela1[[#This Row],[Cliente]],'BASE DE CLIENTES'!A:C,3,0)</f>
        <v>DF</v>
      </c>
      <c r="E2635" s="4" t="str">
        <f>CONCATENATE(Tabela1[[#This Row],[CIDADE]],",",Tabela1[[#This Row],[UF]])</f>
        <v>Brasília,DF</v>
      </c>
      <c r="F2635" s="2">
        <v>45902</v>
      </c>
      <c r="G2635" s="17">
        <v>45.6</v>
      </c>
      <c r="H2635" s="17">
        <v>70</v>
      </c>
      <c r="I2635" s="6">
        <f>Tabela1[[#This Row],[Valor total]]-Tabela1[[#This Row],[Valor custo]]</f>
        <v>24.4</v>
      </c>
      <c r="J2635" s="7">
        <f>Tabela1[[#This Row],[MARGEM BRUTA]]/Tabela1[[#This Row],[Valor total]]</f>
        <v>0.34857142857142853</v>
      </c>
      <c r="K2635" s="1" t="str">
        <f>VLOOKUP(Tabela1[[#This Row],[Cliente]],'BASE DE CLIENTES'!A:D,4,0)</f>
        <v>EMPRESA SEM MAQUINA</v>
      </c>
      <c r="L2635" s="1" t="str">
        <f>VLOOKUP(Tabela1[[#This Row],[Cliente]],'BASE DE CLIENTES'!A:E,5,0)</f>
        <v>SETOR INDUSTRIAL (TAGUATINGA)</v>
      </c>
    </row>
    <row r="2636" spans="2:12" x14ac:dyDescent="0.3">
      <c r="B2636" s="1" t="s">
        <v>319</v>
      </c>
      <c r="C2636" s="4" t="str">
        <f>VLOOKUP(Tabela1[[#This Row],[Cliente]],'BASE DE CLIENTES'!A:E,2,0)</f>
        <v>Valparaíso de Goiás</v>
      </c>
      <c r="D2636" s="1" t="str">
        <f>VLOOKUP(Tabela1[[#This Row],[Cliente]],'BASE DE CLIENTES'!A:C,3,0)</f>
        <v>GO</v>
      </c>
      <c r="E2636" s="4" t="str">
        <f>CONCATENATE(Tabela1[[#This Row],[CIDADE]],",",Tabela1[[#This Row],[UF]])</f>
        <v>Valparaíso de Goiás,GO</v>
      </c>
      <c r="F2636" s="2">
        <v>45930</v>
      </c>
      <c r="G2636" s="17">
        <v>2044</v>
      </c>
      <c r="H2636" s="17">
        <v>3500</v>
      </c>
      <c r="I2636" s="6">
        <f>Tabela1[[#This Row],[Valor total]]-Tabela1[[#This Row],[Valor custo]]</f>
        <v>1456</v>
      </c>
      <c r="J2636" s="7">
        <f>Tabela1[[#This Row],[MARGEM BRUTA]]/Tabela1[[#This Row],[Valor total]]</f>
        <v>0.41599999999999998</v>
      </c>
      <c r="K2636" s="1" t="str">
        <f>VLOOKUP(Tabela1[[#This Row],[Cliente]],'BASE DE CLIENTES'!A:D,4,0)</f>
        <v>EMPRESA COM MAQUINA</v>
      </c>
      <c r="L2636" s="1" t="str">
        <f>VLOOKUP(Tabela1[[#This Row],[Cliente]],'BASE DE CLIENTES'!A:E,5,0)</f>
        <v>Valparaíso de Goiás</v>
      </c>
    </row>
    <row r="2637" spans="2:12" x14ac:dyDescent="0.3">
      <c r="B2637" s="1" t="s">
        <v>321</v>
      </c>
      <c r="C2637" s="4" t="str">
        <f>VLOOKUP(Tabela1[[#This Row],[Cliente]],'BASE DE CLIENTES'!A:E,2,0)</f>
        <v>Valparaíso de Goiás</v>
      </c>
      <c r="D2637" s="1" t="str">
        <f>VLOOKUP(Tabela1[[#This Row],[Cliente]],'BASE DE CLIENTES'!A:C,3,0)</f>
        <v>GO</v>
      </c>
      <c r="E2637" s="4" t="str">
        <f>CONCATENATE(Tabela1[[#This Row],[CIDADE]],",",Tabela1[[#This Row],[UF]])</f>
        <v>Valparaíso de Goiás,GO</v>
      </c>
      <c r="F2637" s="2">
        <v>45925</v>
      </c>
      <c r="G2637" s="17">
        <v>779.02</v>
      </c>
      <c r="H2637" s="17">
        <v>1195</v>
      </c>
      <c r="I2637" s="6">
        <f>Tabela1[[#This Row],[Valor total]]-Tabela1[[#This Row],[Valor custo]]</f>
        <v>415.98</v>
      </c>
      <c r="J2637" s="7">
        <f>Tabela1[[#This Row],[MARGEM BRUTA]]/Tabela1[[#This Row],[Valor total]]</f>
        <v>0.34810041841004186</v>
      </c>
      <c r="K2637" s="1" t="str">
        <f>VLOOKUP(Tabela1[[#This Row],[Cliente]],'BASE DE CLIENTES'!A:D,4,0)</f>
        <v>EMPRESA COM MAQUINA</v>
      </c>
      <c r="L2637" s="1" t="str">
        <f>VLOOKUP(Tabela1[[#This Row],[Cliente]],'BASE DE CLIENTES'!A:E,5,0)</f>
        <v>Valparaíso de Goiás</v>
      </c>
    </row>
    <row r="2638" spans="2:12" x14ac:dyDescent="0.3">
      <c r="B2638" s="1" t="s">
        <v>52</v>
      </c>
      <c r="C2638" s="4" t="str">
        <f>VLOOKUP(Tabela1[[#This Row],[Cliente]],'BASE DE CLIENTES'!A:E,2,0)</f>
        <v>Brasília</v>
      </c>
      <c r="D2638" s="1" t="str">
        <f>VLOOKUP(Tabela1[[#This Row],[Cliente]],'BASE DE CLIENTES'!A:C,3,0)</f>
        <v>DF</v>
      </c>
      <c r="E2638" s="4" t="str">
        <f>CONCATENATE(Tabela1[[#This Row],[CIDADE]],",",Tabela1[[#This Row],[UF]])</f>
        <v>Brasília,DF</v>
      </c>
      <c r="F2638" s="2">
        <v>45901</v>
      </c>
      <c r="G2638" s="17">
        <v>1529.2</v>
      </c>
      <c r="H2638" s="17">
        <v>2560</v>
      </c>
      <c r="I2638" s="6">
        <f>Tabela1[[#This Row],[Valor total]]-Tabela1[[#This Row],[Valor custo]]</f>
        <v>1030.8</v>
      </c>
      <c r="J2638" s="7">
        <f>Tabela1[[#This Row],[MARGEM BRUTA]]/Tabela1[[#This Row],[Valor total]]</f>
        <v>0.40265624999999999</v>
      </c>
      <c r="K2638" s="1" t="str">
        <f>VLOOKUP(Tabela1[[#This Row],[Cliente]],'BASE DE CLIENTES'!A:D,4,0)</f>
        <v>SERRALHEIRO</v>
      </c>
      <c r="L2638" s="1" t="str">
        <f>VLOOKUP(Tabela1[[#This Row],[Cliente]],'BASE DE CLIENTES'!A:E,5,0)</f>
        <v>Ceilândia Sul (Ceilândia)</v>
      </c>
    </row>
    <row r="2639" spans="2:12" x14ac:dyDescent="0.3">
      <c r="B2639" s="1" t="s">
        <v>321</v>
      </c>
      <c r="C2639" s="4" t="str">
        <f>VLOOKUP(Tabela1[[#This Row],[Cliente]],'BASE DE CLIENTES'!A:E,2,0)</f>
        <v>Valparaíso de Goiás</v>
      </c>
      <c r="D2639" s="1" t="str">
        <f>VLOOKUP(Tabela1[[#This Row],[Cliente]],'BASE DE CLIENTES'!A:C,3,0)</f>
        <v>GO</v>
      </c>
      <c r="E2639" s="4" t="str">
        <f>CONCATENATE(Tabela1[[#This Row],[CIDADE]],",",Tabela1[[#This Row],[UF]])</f>
        <v>Valparaíso de Goiás,GO</v>
      </c>
      <c r="F2639" s="2">
        <v>45923</v>
      </c>
      <c r="G2639" s="17">
        <v>1292.3</v>
      </c>
      <c r="H2639" s="17">
        <v>2115</v>
      </c>
      <c r="I2639" s="6">
        <f>Tabela1[[#This Row],[Valor total]]-Tabela1[[#This Row],[Valor custo]]</f>
        <v>822.7</v>
      </c>
      <c r="J2639" s="7">
        <f>Tabela1[[#This Row],[MARGEM BRUTA]]/Tabela1[[#This Row],[Valor total]]</f>
        <v>0.38898345153664304</v>
      </c>
      <c r="K2639" s="1" t="str">
        <f>VLOOKUP(Tabela1[[#This Row],[Cliente]],'BASE DE CLIENTES'!A:D,4,0)</f>
        <v>EMPRESA COM MAQUINA</v>
      </c>
      <c r="L2639" s="1" t="str">
        <f>VLOOKUP(Tabela1[[#This Row],[Cliente]],'BASE DE CLIENTES'!A:E,5,0)</f>
        <v>Valparaíso de Goiás</v>
      </c>
    </row>
    <row r="2640" spans="2:12" x14ac:dyDescent="0.3">
      <c r="B2640" s="1" t="s">
        <v>319</v>
      </c>
      <c r="C2640" s="4" t="str">
        <f>VLOOKUP(Tabela1[[#This Row],[Cliente]],'BASE DE CLIENTES'!A:E,2,0)</f>
        <v>Valparaíso de Goiás</v>
      </c>
      <c r="D2640" s="1" t="str">
        <f>VLOOKUP(Tabela1[[#This Row],[Cliente]],'BASE DE CLIENTES'!A:C,3,0)</f>
        <v>GO</v>
      </c>
      <c r="E2640" s="4" t="str">
        <f>CONCATENATE(Tabela1[[#This Row],[CIDADE]],",",Tabela1[[#This Row],[UF]])</f>
        <v>Valparaíso de Goiás,GO</v>
      </c>
      <c r="F2640" s="2">
        <v>45922</v>
      </c>
      <c r="G2640" s="17">
        <v>1119</v>
      </c>
      <c r="H2640" s="17">
        <v>1250</v>
      </c>
      <c r="I2640" s="6">
        <f>Tabela1[[#This Row],[Valor total]]-Tabela1[[#This Row],[Valor custo]]</f>
        <v>131</v>
      </c>
      <c r="J2640" s="7">
        <f>Tabela1[[#This Row],[MARGEM BRUTA]]/Tabela1[[#This Row],[Valor total]]</f>
        <v>0.1048</v>
      </c>
      <c r="K2640" s="1" t="str">
        <f>VLOOKUP(Tabela1[[#This Row],[Cliente]],'BASE DE CLIENTES'!A:D,4,0)</f>
        <v>EMPRESA COM MAQUINA</v>
      </c>
      <c r="L2640" s="1" t="str">
        <f>VLOOKUP(Tabela1[[#This Row],[Cliente]],'BASE DE CLIENTES'!A:E,5,0)</f>
        <v>Valparaíso de Goiás</v>
      </c>
    </row>
    <row r="2641" spans="2:12" x14ac:dyDescent="0.3">
      <c r="B2641" s="1" t="s">
        <v>230</v>
      </c>
      <c r="C2641" s="4" t="str">
        <f>VLOOKUP(Tabela1[[#This Row],[Cliente]],'BASE DE CLIENTES'!A:E,2,0)</f>
        <v>Brasília</v>
      </c>
      <c r="D2641" s="1" t="str">
        <f>VLOOKUP(Tabela1[[#This Row],[Cliente]],'BASE DE CLIENTES'!A:C,3,0)</f>
        <v>DF</v>
      </c>
      <c r="E2641" s="4" t="str">
        <f>CONCATENATE(Tabela1[[#This Row],[CIDADE]],",",Tabela1[[#This Row],[UF]])</f>
        <v>Brasília,DF</v>
      </c>
      <c r="F2641" s="2">
        <v>45901</v>
      </c>
      <c r="G2641" s="17">
        <v>432.79</v>
      </c>
      <c r="H2641" s="17">
        <v>720</v>
      </c>
      <c r="I2641" s="6">
        <f>Tabela1[[#This Row],[Valor total]]-Tabela1[[#This Row],[Valor custo]]</f>
        <v>287.20999999999998</v>
      </c>
      <c r="J2641" s="7">
        <f>Tabela1[[#This Row],[MARGEM BRUTA]]/Tabela1[[#This Row],[Valor total]]</f>
        <v>0.39890277777777777</v>
      </c>
      <c r="K2641" s="1" t="str">
        <f>VLOOKUP(Tabela1[[#This Row],[Cliente]],'BASE DE CLIENTES'!A:D,4,0)</f>
        <v>SERRALHEIRO</v>
      </c>
      <c r="L2641" s="1" t="str">
        <f>VLOOKUP(Tabela1[[#This Row],[Cliente]],'BASE DE CLIENTES'!A:E,5,0)</f>
        <v>SETOR HABITACIONAL SAMAMBAIA (VICENTE PIRES)</v>
      </c>
    </row>
    <row r="2642" spans="2:12" x14ac:dyDescent="0.3">
      <c r="B2642" s="1" t="s">
        <v>27</v>
      </c>
      <c r="C2642" s="4" t="str">
        <f>VLOOKUP(Tabela1[[#This Row],[Cliente]],'BASE DE CLIENTES'!A:E,2,0)</f>
        <v>Brasília</v>
      </c>
      <c r="D2642" s="1" t="str">
        <f>VLOOKUP(Tabela1[[#This Row],[Cliente]],'BASE DE CLIENTES'!A:C,3,0)</f>
        <v>DF</v>
      </c>
      <c r="E2642" s="4" t="str">
        <f>CONCATENATE(Tabela1[[#This Row],[CIDADE]],",",Tabela1[[#This Row],[UF]])</f>
        <v>Brasília,DF</v>
      </c>
      <c r="F2642" s="2">
        <v>45901</v>
      </c>
      <c r="G2642" s="17">
        <v>382.3</v>
      </c>
      <c r="H2642" s="17">
        <v>615</v>
      </c>
      <c r="I2642" s="6">
        <f>Tabela1[[#This Row],[Valor total]]-Tabela1[[#This Row],[Valor custo]]</f>
        <v>232.7</v>
      </c>
      <c r="J2642" s="7">
        <f>Tabela1[[#This Row],[MARGEM BRUTA]]/Tabela1[[#This Row],[Valor total]]</f>
        <v>0.37837398373983738</v>
      </c>
      <c r="K2642" s="1" t="str">
        <f>VLOOKUP(Tabela1[[#This Row],[Cliente]],'BASE DE CLIENTES'!A:D,4,0)</f>
        <v>EMPRESA SEM MAQUINA</v>
      </c>
      <c r="L2642" s="1" t="str">
        <f>VLOOKUP(Tabela1[[#This Row],[Cliente]],'BASE DE CLIENTES'!A:E,5,0)</f>
        <v>RECANTO DAS EMAS</v>
      </c>
    </row>
    <row r="2643" spans="2:12" x14ac:dyDescent="0.3">
      <c r="B2643" s="1" t="s">
        <v>327</v>
      </c>
      <c r="C2643" s="4" t="str">
        <f>VLOOKUP(Tabela1[[#This Row],[Cliente]],'BASE DE CLIENTES'!A:E,2,0)</f>
        <v>Brasília</v>
      </c>
      <c r="D2643" s="1" t="str">
        <f>VLOOKUP(Tabela1[[#This Row],[Cliente]],'BASE DE CLIENTES'!A:C,3,0)</f>
        <v>DF</v>
      </c>
      <c r="E2643" s="4" t="str">
        <f>CONCATENATE(Tabela1[[#This Row],[CIDADE]],",",Tabela1[[#This Row],[UF]])</f>
        <v>Brasília,DF</v>
      </c>
      <c r="F2643" s="2">
        <v>45929</v>
      </c>
      <c r="G2643" s="17">
        <v>26.62</v>
      </c>
      <c r="H2643" s="17">
        <v>96</v>
      </c>
      <c r="I2643" s="6">
        <f>Tabela1[[#This Row],[Valor total]]-Tabela1[[#This Row],[Valor custo]]</f>
        <v>69.38</v>
      </c>
      <c r="J2643" s="7">
        <f>Tabela1[[#This Row],[MARGEM BRUTA]]/Tabela1[[#This Row],[Valor total]]</f>
        <v>0.72270833333333329</v>
      </c>
      <c r="K2643" s="1" t="str">
        <f>VLOOKUP(Tabela1[[#This Row],[Cliente]],'BASE DE CLIENTES'!A:D,4,0)</f>
        <v>SERRALHEIRO</v>
      </c>
      <c r="L2643" s="1" t="str">
        <f>VLOOKUP(Tabela1[[#This Row],[Cliente]],'BASE DE CLIENTES'!A:E,5,0)</f>
        <v>NA</v>
      </c>
    </row>
    <row r="2644" spans="2:12" x14ac:dyDescent="0.3">
      <c r="B2644" s="1" t="s">
        <v>321</v>
      </c>
      <c r="C2644" s="4" t="str">
        <f>VLOOKUP(Tabela1[[#This Row],[Cliente]],'BASE DE CLIENTES'!A:E,2,0)</f>
        <v>Valparaíso de Goiás</v>
      </c>
      <c r="D2644" s="1" t="str">
        <f>VLOOKUP(Tabela1[[#This Row],[Cliente]],'BASE DE CLIENTES'!A:C,3,0)</f>
        <v>GO</v>
      </c>
      <c r="E2644" s="4" t="str">
        <f>CONCATENATE(Tabela1[[#This Row],[CIDADE]],",",Tabela1[[#This Row],[UF]])</f>
        <v>Valparaíso de Goiás,GO</v>
      </c>
      <c r="F2644" s="2">
        <v>45918</v>
      </c>
      <c r="G2644" s="17">
        <v>1298</v>
      </c>
      <c r="H2644" s="17">
        <v>2250</v>
      </c>
      <c r="I2644" s="6">
        <f>Tabela1[[#This Row],[Valor total]]-Tabela1[[#This Row],[Valor custo]]</f>
        <v>952</v>
      </c>
      <c r="J2644" s="7">
        <f>Tabela1[[#This Row],[MARGEM BRUTA]]/Tabela1[[#This Row],[Valor total]]</f>
        <v>0.4231111111111111</v>
      </c>
      <c r="K2644" s="1" t="str">
        <f>VLOOKUP(Tabela1[[#This Row],[Cliente]],'BASE DE CLIENTES'!A:D,4,0)</f>
        <v>EMPRESA COM MAQUINA</v>
      </c>
      <c r="L2644" s="1" t="str">
        <f>VLOOKUP(Tabela1[[#This Row],[Cliente]],'BASE DE CLIENTES'!A:E,5,0)</f>
        <v>Valparaíso de Goiás</v>
      </c>
    </row>
    <row r="2645" spans="2:12" x14ac:dyDescent="0.3">
      <c r="B2645" s="1" t="s">
        <v>297</v>
      </c>
      <c r="C2645" s="4" t="str">
        <f>VLOOKUP(Tabela1[[#This Row],[Cliente]],'BASE DE CLIENTES'!A:E,2,0)</f>
        <v>Brasília</v>
      </c>
      <c r="D2645" s="1" t="str">
        <f>VLOOKUP(Tabela1[[#This Row],[Cliente]],'BASE DE CLIENTES'!A:C,3,0)</f>
        <v>DF</v>
      </c>
      <c r="E2645" s="4" t="str">
        <f>CONCATENATE(Tabela1[[#This Row],[CIDADE]],",",Tabela1[[#This Row],[UF]])</f>
        <v>Brasília,DF</v>
      </c>
      <c r="F2645" s="2">
        <v>45909</v>
      </c>
      <c r="G2645" s="17">
        <v>13.69</v>
      </c>
      <c r="H2645" s="17">
        <v>115</v>
      </c>
      <c r="I2645" s="6">
        <f>Tabela1[[#This Row],[Valor total]]-Tabela1[[#This Row],[Valor custo]]</f>
        <v>101.31</v>
      </c>
      <c r="J2645" s="7">
        <f>Tabela1[[#This Row],[MARGEM BRUTA]]/Tabela1[[#This Row],[Valor total]]</f>
        <v>0.88095652173913042</v>
      </c>
      <c r="K2645" s="1" t="str">
        <f>VLOOKUP(Tabela1[[#This Row],[Cliente]],'BASE DE CLIENTES'!A:D,4,0)</f>
        <v>SERRALHEIRO</v>
      </c>
      <c r="L2645" s="1" t="str">
        <f>VLOOKUP(Tabela1[[#This Row],[Cliente]],'BASE DE CLIENTES'!A:E,5,0)</f>
        <v>NA</v>
      </c>
    </row>
    <row r="2646" spans="2:12" x14ac:dyDescent="0.3">
      <c r="B2646" s="1" t="s">
        <v>319</v>
      </c>
      <c r="C2646" s="4" t="str">
        <f>VLOOKUP(Tabela1[[#This Row],[Cliente]],'BASE DE CLIENTES'!A:E,2,0)</f>
        <v>Valparaíso de Goiás</v>
      </c>
      <c r="D2646" s="1" t="str">
        <f>VLOOKUP(Tabela1[[#This Row],[Cliente]],'BASE DE CLIENTES'!A:C,3,0)</f>
        <v>GO</v>
      </c>
      <c r="E2646" s="4" t="str">
        <f>CONCATENATE(Tabela1[[#This Row],[CIDADE]],",",Tabela1[[#This Row],[UF]])</f>
        <v>Valparaíso de Goiás,GO</v>
      </c>
      <c r="F2646" s="2">
        <v>45918</v>
      </c>
      <c r="G2646" s="17">
        <v>764.6</v>
      </c>
      <c r="H2646" s="17">
        <v>1230</v>
      </c>
      <c r="I2646" s="6">
        <f>Tabela1[[#This Row],[Valor total]]-Tabela1[[#This Row],[Valor custo]]</f>
        <v>465.4</v>
      </c>
      <c r="J2646" s="7">
        <f>Tabela1[[#This Row],[MARGEM BRUTA]]/Tabela1[[#This Row],[Valor total]]</f>
        <v>0.37837398373983738</v>
      </c>
      <c r="K2646" s="1" t="str">
        <f>VLOOKUP(Tabela1[[#This Row],[Cliente]],'BASE DE CLIENTES'!A:D,4,0)</f>
        <v>EMPRESA COM MAQUINA</v>
      </c>
      <c r="L2646" s="1" t="str">
        <f>VLOOKUP(Tabela1[[#This Row],[Cliente]],'BASE DE CLIENTES'!A:E,5,0)</f>
        <v>Valparaíso de Goiás</v>
      </c>
    </row>
    <row r="2647" spans="2:12" x14ac:dyDescent="0.3">
      <c r="B2647" s="1" t="s">
        <v>328</v>
      </c>
      <c r="C2647" s="4" t="str">
        <f>VLOOKUP(Tabela1[[#This Row],[Cliente]],'BASE DE CLIENTES'!A:E,2,0)</f>
        <v>Valparaíso de Goiás</v>
      </c>
      <c r="D2647" s="1" t="str">
        <f>VLOOKUP(Tabela1[[#This Row],[Cliente]],'BASE DE CLIENTES'!A:C,3,0)</f>
        <v>GO</v>
      </c>
      <c r="E2647" s="4" t="str">
        <f>CONCATENATE(Tabela1[[#This Row],[CIDADE]],",",Tabela1[[#This Row],[UF]])</f>
        <v>Valparaíso de Goiás,GO</v>
      </c>
      <c r="F2647" s="2">
        <v>45915</v>
      </c>
      <c r="G2647" s="17">
        <v>107.1</v>
      </c>
      <c r="H2647" s="17">
        <v>385</v>
      </c>
      <c r="I2647" s="6">
        <f>Tabela1[[#This Row],[Valor total]]-Tabela1[[#This Row],[Valor custo]]</f>
        <v>277.89999999999998</v>
      </c>
      <c r="J2647" s="7">
        <f>Tabela1[[#This Row],[MARGEM BRUTA]]/Tabela1[[#This Row],[Valor total]]</f>
        <v>0.7218181818181818</v>
      </c>
      <c r="K2647" s="1" t="str">
        <f>VLOOKUP(Tabela1[[#This Row],[Cliente]],'BASE DE CLIENTES'!A:D,4,0)</f>
        <v>SEM CLASSIFICAÇÃO</v>
      </c>
      <c r="L2647" s="1" t="str">
        <f>VLOOKUP(Tabela1[[#This Row],[Cliente]],'BASE DE CLIENTES'!A:E,5,0)</f>
        <v>Valparaíso de Goiás</v>
      </c>
    </row>
    <row r="2648" spans="2:12" x14ac:dyDescent="0.3">
      <c r="B2648" s="1" t="s">
        <v>76</v>
      </c>
      <c r="C2648" s="4" t="str">
        <f>VLOOKUP(Tabela1[[#This Row],[Cliente]],'BASE DE CLIENTES'!A:E,2,0)</f>
        <v>Brasília</v>
      </c>
      <c r="D2648" s="1" t="str">
        <f>VLOOKUP(Tabela1[[#This Row],[Cliente]],'BASE DE CLIENTES'!A:C,3,0)</f>
        <v>DF</v>
      </c>
      <c r="E2648" s="4" t="str">
        <f>CONCATENATE(Tabela1[[#This Row],[CIDADE]],",",Tabela1[[#This Row],[UF]])</f>
        <v>Brasília,DF</v>
      </c>
      <c r="F2648" s="2">
        <v>45901</v>
      </c>
      <c r="G2648" s="17">
        <v>8210.1</v>
      </c>
      <c r="H2648" s="17">
        <v>15500</v>
      </c>
      <c r="I2648" s="6">
        <f>Tabela1[[#This Row],[Valor total]]-Tabela1[[#This Row],[Valor custo]]</f>
        <v>7289.9</v>
      </c>
      <c r="J2648" s="7">
        <f>Tabela1[[#This Row],[MARGEM BRUTA]]/Tabela1[[#This Row],[Valor total]]</f>
        <v>0.47031612903225806</v>
      </c>
      <c r="K2648" s="1" t="str">
        <f>VLOOKUP(Tabela1[[#This Row],[Cliente]],'BASE DE CLIENTES'!A:D,4,0)</f>
        <v>EMPRESA COM MAQUINA</v>
      </c>
      <c r="L2648" s="1" t="str">
        <f>VLOOKUP(Tabela1[[#This Row],[Cliente]],'BASE DE CLIENTES'!A:E,5,0)</f>
        <v>Setor Placa da Mercedes (Núcleo Bandeirante)</v>
      </c>
    </row>
    <row r="2649" spans="2:12" x14ac:dyDescent="0.3">
      <c r="B2649" s="1" t="s">
        <v>106</v>
      </c>
      <c r="C2649" s="4" t="str">
        <f>VLOOKUP(Tabela1[[#This Row],[Cliente]],'BASE DE CLIENTES'!A:E,2,0)</f>
        <v>Brasília</v>
      </c>
      <c r="D2649" s="1" t="str">
        <f>VLOOKUP(Tabela1[[#This Row],[Cliente]],'BASE DE CLIENTES'!A:C,3,0)</f>
        <v>DF</v>
      </c>
      <c r="E2649" s="4" t="str">
        <f>CONCATENATE(Tabela1[[#This Row],[CIDADE]],",",Tabela1[[#This Row],[UF]])</f>
        <v>Brasília,DF</v>
      </c>
      <c r="F2649" s="2">
        <v>45901</v>
      </c>
      <c r="G2649" s="17">
        <v>1197.3900000000001</v>
      </c>
      <c r="H2649" s="17">
        <v>1855</v>
      </c>
      <c r="I2649" s="6">
        <f>Tabela1[[#This Row],[Valor total]]-Tabela1[[#This Row],[Valor custo]]</f>
        <v>657.6099999999999</v>
      </c>
      <c r="J2649" s="7">
        <f>Tabela1[[#This Row],[MARGEM BRUTA]]/Tabela1[[#This Row],[Valor total]]</f>
        <v>0.35450673854447434</v>
      </c>
      <c r="K2649" s="1" t="str">
        <f>VLOOKUP(Tabela1[[#This Row],[Cliente]],'BASE DE CLIENTES'!A:D,4,0)</f>
        <v>EMPRESA COM MAQUINA</v>
      </c>
      <c r="L2649" s="1" t="str">
        <f>VLOOKUP(Tabela1[[#This Row],[Cliente]],'BASE DE CLIENTES'!A:E,5,0)</f>
        <v>26 DE SETEMBRO</v>
      </c>
    </row>
    <row r="2650" spans="2:12" x14ac:dyDescent="0.3">
      <c r="B2650" s="1" t="s">
        <v>321</v>
      </c>
      <c r="C2650" s="4" t="str">
        <f>VLOOKUP(Tabela1[[#This Row],[Cliente]],'BASE DE CLIENTES'!A:E,2,0)</f>
        <v>Valparaíso de Goiás</v>
      </c>
      <c r="D2650" s="1" t="str">
        <f>VLOOKUP(Tabela1[[#This Row],[Cliente]],'BASE DE CLIENTES'!A:C,3,0)</f>
        <v>GO</v>
      </c>
      <c r="E2650" s="4" t="str">
        <f>CONCATENATE(Tabela1[[#This Row],[CIDADE]],",",Tabela1[[#This Row],[UF]])</f>
        <v>Valparaíso de Goiás,GO</v>
      </c>
      <c r="F2650" s="2">
        <v>45912</v>
      </c>
      <c r="G2650" s="17">
        <v>144.19999999999999</v>
      </c>
      <c r="H2650" s="17">
        <v>600</v>
      </c>
      <c r="I2650" s="6">
        <f>Tabela1[[#This Row],[Valor total]]-Tabela1[[#This Row],[Valor custo]]</f>
        <v>455.8</v>
      </c>
      <c r="J2650" s="7">
        <f>Tabela1[[#This Row],[MARGEM BRUTA]]/Tabela1[[#This Row],[Valor total]]</f>
        <v>0.75966666666666671</v>
      </c>
      <c r="K2650" s="1" t="str">
        <f>VLOOKUP(Tabela1[[#This Row],[Cliente]],'BASE DE CLIENTES'!A:D,4,0)</f>
        <v>EMPRESA COM MAQUINA</v>
      </c>
      <c r="L2650" s="1" t="str">
        <f>VLOOKUP(Tabela1[[#This Row],[Cliente]],'BASE DE CLIENTES'!A:E,5,0)</f>
        <v>Valparaíso de Goiás</v>
      </c>
    </row>
    <row r="2651" spans="2:12" x14ac:dyDescent="0.3">
      <c r="B2651" s="1" t="s">
        <v>321</v>
      </c>
      <c r="C2651" s="4" t="str">
        <f>VLOOKUP(Tabela1[[#This Row],[Cliente]],'BASE DE CLIENTES'!A:E,2,0)</f>
        <v>Valparaíso de Goiás</v>
      </c>
      <c r="D2651" s="1" t="str">
        <f>VLOOKUP(Tabela1[[#This Row],[Cliente]],'BASE DE CLIENTES'!A:C,3,0)</f>
        <v>GO</v>
      </c>
      <c r="E2651" s="4" t="str">
        <f>CONCATENATE(Tabela1[[#This Row],[CIDADE]],",",Tabela1[[#This Row],[UF]])</f>
        <v>Valparaíso de Goiás,GO</v>
      </c>
      <c r="F2651" s="2">
        <v>45912</v>
      </c>
      <c r="G2651" s="17">
        <v>649</v>
      </c>
      <c r="H2651" s="17">
        <v>1200</v>
      </c>
      <c r="I2651" s="6">
        <f>Tabela1[[#This Row],[Valor total]]-Tabela1[[#This Row],[Valor custo]]</f>
        <v>551</v>
      </c>
      <c r="J2651" s="7">
        <f>Tabela1[[#This Row],[MARGEM BRUTA]]/Tabela1[[#This Row],[Valor total]]</f>
        <v>0.45916666666666667</v>
      </c>
      <c r="K2651" s="1" t="str">
        <f>VLOOKUP(Tabela1[[#This Row],[Cliente]],'BASE DE CLIENTES'!A:D,4,0)</f>
        <v>EMPRESA COM MAQUINA</v>
      </c>
      <c r="L2651" s="1" t="str">
        <f>VLOOKUP(Tabela1[[#This Row],[Cliente]],'BASE DE CLIENTES'!A:E,5,0)</f>
        <v>Valparaíso de Goiás</v>
      </c>
    </row>
    <row r="2652" spans="2:12" x14ac:dyDescent="0.3">
      <c r="B2652" s="1" t="s">
        <v>99</v>
      </c>
      <c r="C2652" s="4" t="str">
        <f>VLOOKUP(Tabela1[[#This Row],[Cliente]],'BASE DE CLIENTES'!A:E,2,0)</f>
        <v>Brasília</v>
      </c>
      <c r="D2652" s="1" t="str">
        <f>VLOOKUP(Tabela1[[#This Row],[Cliente]],'BASE DE CLIENTES'!A:C,3,0)</f>
        <v>DF</v>
      </c>
      <c r="E2652" s="4" t="str">
        <f>CONCATENATE(Tabela1[[#This Row],[CIDADE]],",",Tabela1[[#This Row],[UF]])</f>
        <v>Brasília,DF</v>
      </c>
      <c r="F2652" s="2">
        <v>45901</v>
      </c>
      <c r="G2652" s="17">
        <v>5181.45</v>
      </c>
      <c r="H2652" s="17">
        <v>8140</v>
      </c>
      <c r="I2652" s="6">
        <f>Tabela1[[#This Row],[Valor total]]-Tabela1[[#This Row],[Valor custo]]</f>
        <v>2958.55</v>
      </c>
      <c r="J2652" s="7">
        <f>Tabela1[[#This Row],[MARGEM BRUTA]]/Tabela1[[#This Row],[Valor total]]</f>
        <v>0.36345823095823099</v>
      </c>
      <c r="K2652" s="1" t="str">
        <f>VLOOKUP(Tabela1[[#This Row],[Cliente]],'BASE DE CLIENTES'!A:D,4,0)</f>
        <v>EMPRESA COM MAQUINA</v>
      </c>
      <c r="L2652" s="1" t="str">
        <f>VLOOKUP(Tabela1[[#This Row],[Cliente]],'BASE DE CLIENTES'!A:E,5,0)</f>
        <v>ARAPOANGA (PLANALTINA)</v>
      </c>
    </row>
    <row r="2653" spans="2:12" x14ac:dyDescent="0.3">
      <c r="B2653" s="1" t="s">
        <v>78</v>
      </c>
      <c r="C2653" s="4" t="str">
        <f>VLOOKUP(Tabela1[[#This Row],[Cliente]],'BASE DE CLIENTES'!A:E,2,0)</f>
        <v>Brasília</v>
      </c>
      <c r="D2653" s="1" t="str">
        <f>VLOOKUP(Tabela1[[#This Row],[Cliente]],'BASE DE CLIENTES'!A:C,3,0)</f>
        <v>DF</v>
      </c>
      <c r="E2653" s="4" t="str">
        <f>CONCATENATE(Tabela1[[#This Row],[CIDADE]],",",Tabela1[[#This Row],[UF]])</f>
        <v>Brasília,DF</v>
      </c>
      <c r="F2653" s="2">
        <v>45901</v>
      </c>
      <c r="G2653" s="17">
        <v>764.6</v>
      </c>
      <c r="H2653" s="17">
        <v>1280</v>
      </c>
      <c r="I2653" s="6">
        <f>Tabela1[[#This Row],[Valor total]]-Tabela1[[#This Row],[Valor custo]]</f>
        <v>515.4</v>
      </c>
      <c r="J2653" s="7">
        <f>Tabela1[[#This Row],[MARGEM BRUTA]]/Tabela1[[#This Row],[Valor total]]</f>
        <v>0.40265624999999999</v>
      </c>
      <c r="K2653" s="1" t="str">
        <f>VLOOKUP(Tabela1[[#This Row],[Cliente]],'BASE DE CLIENTES'!A:D,4,0)</f>
        <v>SERRALHEIRO</v>
      </c>
      <c r="L2653" s="1" t="str">
        <f>VLOOKUP(Tabela1[[#This Row],[Cliente]],'BASE DE CLIENTES'!A:E,5,0)</f>
        <v>Vila do Boa (São Sebastião)</v>
      </c>
    </row>
    <row r="2654" spans="2:12" x14ac:dyDescent="0.3">
      <c r="B2654" s="1" t="s">
        <v>68</v>
      </c>
      <c r="C2654" s="4" t="str">
        <f>VLOOKUP(Tabela1[[#This Row],[Cliente]],'BASE DE CLIENTES'!A:E,2,0)</f>
        <v>Brasília</v>
      </c>
      <c r="D2654" s="1" t="str">
        <f>VLOOKUP(Tabela1[[#This Row],[Cliente]],'BASE DE CLIENTES'!A:C,3,0)</f>
        <v>DF</v>
      </c>
      <c r="E2654" s="4" t="str">
        <f>CONCATENATE(Tabela1[[#This Row],[CIDADE]],",",Tabela1[[#This Row],[UF]])</f>
        <v>Brasília,DF</v>
      </c>
      <c r="F2654" s="2">
        <v>45901</v>
      </c>
      <c r="G2654" s="17">
        <v>1870.3</v>
      </c>
      <c r="H2654" s="17">
        <v>2503</v>
      </c>
      <c r="I2654" s="6">
        <f>Tabela1[[#This Row],[Valor total]]-Tabela1[[#This Row],[Valor custo]]</f>
        <v>632.70000000000005</v>
      </c>
      <c r="J2654" s="7">
        <f>Tabela1[[#This Row],[MARGEM BRUTA]]/Tabela1[[#This Row],[Valor total]]</f>
        <v>0.25277666799840193</v>
      </c>
      <c r="K2654" s="1" t="str">
        <f>VLOOKUP(Tabela1[[#This Row],[Cliente]],'BASE DE CLIENTES'!A:D,4,0)</f>
        <v>EMPRESA COM MAQUINA</v>
      </c>
      <c r="L2654" s="1" t="str">
        <f>VLOOKUP(Tabela1[[#This Row],[Cliente]],'BASE DE CLIENTES'!A:E,5,0)</f>
        <v>SAMAMBAIA SUL (SAMAMBAIA)</v>
      </c>
    </row>
    <row r="2655" spans="2:12" x14ac:dyDescent="0.3">
      <c r="B2655" s="1" t="s">
        <v>319</v>
      </c>
      <c r="C2655" s="4" t="str">
        <f>VLOOKUP(Tabela1[[#This Row],[Cliente]],'BASE DE CLIENTES'!A:E,2,0)</f>
        <v>Valparaíso de Goiás</v>
      </c>
      <c r="D2655" s="1" t="str">
        <f>VLOOKUP(Tabela1[[#This Row],[Cliente]],'BASE DE CLIENTES'!A:C,3,0)</f>
        <v>GO</v>
      </c>
      <c r="E2655" s="4" t="str">
        <f>CONCATENATE(Tabela1[[#This Row],[CIDADE]],",",Tabela1[[#This Row],[UF]])</f>
        <v>Valparaíso de Goiás,GO</v>
      </c>
      <c r="F2655" s="2">
        <v>45911</v>
      </c>
      <c r="G2655" s="17">
        <v>3077.2</v>
      </c>
      <c r="H2655" s="17">
        <v>5600</v>
      </c>
      <c r="I2655" s="6">
        <f>Tabela1[[#This Row],[Valor total]]-Tabela1[[#This Row],[Valor custo]]</f>
        <v>2522.8000000000002</v>
      </c>
      <c r="J2655" s="7">
        <f>Tabela1[[#This Row],[MARGEM BRUTA]]/Tabela1[[#This Row],[Valor total]]</f>
        <v>0.45050000000000001</v>
      </c>
      <c r="K2655" s="1" t="str">
        <f>VLOOKUP(Tabela1[[#This Row],[Cliente]],'BASE DE CLIENTES'!A:D,4,0)</f>
        <v>EMPRESA COM MAQUINA</v>
      </c>
      <c r="L2655" s="1" t="str">
        <f>VLOOKUP(Tabela1[[#This Row],[Cliente]],'BASE DE CLIENTES'!A:E,5,0)</f>
        <v>Valparaíso de Goiás</v>
      </c>
    </row>
    <row r="2656" spans="2:12" x14ac:dyDescent="0.3">
      <c r="B2656" s="1" t="s">
        <v>329</v>
      </c>
      <c r="C2656" s="4" t="str">
        <f>VLOOKUP(Tabela1[[#This Row],[Cliente]],'BASE DE CLIENTES'!A:E,2,0)</f>
        <v>Rondonópolis</v>
      </c>
      <c r="D2656" s="1" t="str">
        <f>VLOOKUP(Tabela1[[#This Row],[Cliente]],'BASE DE CLIENTES'!A:C,3,0)</f>
        <v>MS</v>
      </c>
      <c r="E2656" s="4" t="str">
        <f>CONCATENATE(Tabela1[[#This Row],[CIDADE]],",",Tabela1[[#This Row],[UF]])</f>
        <v>Rondonópolis,MS</v>
      </c>
      <c r="F2656" s="2">
        <v>45961</v>
      </c>
      <c r="G2656" s="17">
        <v>679</v>
      </c>
      <c r="H2656" s="17">
        <v>1100</v>
      </c>
      <c r="I2656" s="6">
        <f>Tabela1[[#This Row],[Valor total]]-Tabela1[[#This Row],[Valor custo]]</f>
        <v>421</v>
      </c>
      <c r="J2656" s="7">
        <f>Tabela1[[#This Row],[MARGEM BRUTA]]/Tabela1[[#This Row],[Valor total]]</f>
        <v>0.38272727272727275</v>
      </c>
      <c r="K2656" s="1" t="str">
        <f>VLOOKUP(Tabela1[[#This Row],[Cliente]],'BASE DE CLIENTES'!A:D,4,0)</f>
        <v>EMPRESA COM MAQUINA</v>
      </c>
      <c r="L2656" s="1" t="str">
        <f>VLOOKUP(Tabela1[[#This Row],[Cliente]],'BASE DE CLIENTES'!A:E,5,0)</f>
        <v>Rondonópolis</v>
      </c>
    </row>
    <row r="2657" spans="2:12" x14ac:dyDescent="0.3">
      <c r="B2657" s="1" t="s">
        <v>291</v>
      </c>
      <c r="C2657" s="4" t="str">
        <f>VLOOKUP(Tabela1[[#This Row],[Cliente]],'BASE DE CLIENTES'!A:E,2,0)</f>
        <v>Rio Verde</v>
      </c>
      <c r="D2657" s="1" t="str">
        <f>VLOOKUP(Tabela1[[#This Row],[Cliente]],'BASE DE CLIENTES'!A:C,3,0)</f>
        <v>GO</v>
      </c>
      <c r="E2657" s="4" t="str">
        <f>CONCATENATE(Tabela1[[#This Row],[CIDADE]],",",Tabela1[[#This Row],[UF]])</f>
        <v>Rio Verde,GO</v>
      </c>
      <c r="F2657" s="2">
        <v>45961</v>
      </c>
      <c r="G2657" s="17">
        <v>649</v>
      </c>
      <c r="H2657" s="17">
        <v>900</v>
      </c>
      <c r="I2657" s="6">
        <f>Tabela1[[#This Row],[Valor total]]-Tabela1[[#This Row],[Valor custo]]</f>
        <v>251</v>
      </c>
      <c r="J2657" s="7">
        <f>Tabela1[[#This Row],[MARGEM BRUTA]]/Tabela1[[#This Row],[Valor total]]</f>
        <v>0.27888888888888891</v>
      </c>
      <c r="K2657" s="1" t="str">
        <f>VLOOKUP(Tabela1[[#This Row],[Cliente]],'BASE DE CLIENTES'!A:D,4,0)</f>
        <v>EMPRESA COM MAQUINA</v>
      </c>
      <c r="L2657" s="1" t="str">
        <f>VLOOKUP(Tabela1[[#This Row],[Cliente]],'BASE DE CLIENTES'!A:E,5,0)</f>
        <v>Rio Verde</v>
      </c>
    </row>
    <row r="2658" spans="2:12" x14ac:dyDescent="0.3">
      <c r="B2658" s="1" t="s">
        <v>154</v>
      </c>
      <c r="C2658" s="4" t="str">
        <f>VLOOKUP(Tabela1[[#This Row],[Cliente]],'BASE DE CLIENTES'!A:E,2,0)</f>
        <v>Aparecida de Goiânia</v>
      </c>
      <c r="D2658" s="1" t="str">
        <f>VLOOKUP(Tabela1[[#This Row],[Cliente]],'BASE DE CLIENTES'!A:C,3,0)</f>
        <v>GO</v>
      </c>
      <c r="E2658" s="4" t="str">
        <f>CONCATENATE(Tabela1[[#This Row],[CIDADE]],",",Tabela1[[#This Row],[UF]])</f>
        <v>Aparecida de Goiânia,GO</v>
      </c>
      <c r="F2658" s="2">
        <v>45961</v>
      </c>
      <c r="G2658" s="17">
        <v>485</v>
      </c>
      <c r="H2658" s="17">
        <v>830</v>
      </c>
      <c r="I2658" s="6">
        <f>Tabela1[[#This Row],[Valor total]]-Tabela1[[#This Row],[Valor custo]]</f>
        <v>345</v>
      </c>
      <c r="J2658" s="7">
        <f>Tabela1[[#This Row],[MARGEM BRUTA]]/Tabela1[[#This Row],[Valor total]]</f>
        <v>0.41566265060240964</v>
      </c>
      <c r="K2658" s="1" t="str">
        <f>VLOOKUP(Tabela1[[#This Row],[Cliente]],'BASE DE CLIENTES'!A:D,4,0)</f>
        <v>TECNICO</v>
      </c>
      <c r="L2658" s="1" t="str">
        <f>VLOOKUP(Tabela1[[#This Row],[Cliente]],'BASE DE CLIENTES'!A:E,5,0)</f>
        <v>Aparecida de Goiânia</v>
      </c>
    </row>
    <row r="2659" spans="2:12" x14ac:dyDescent="0.3">
      <c r="B2659" s="1" t="s">
        <v>110</v>
      </c>
      <c r="C2659" s="4" t="str">
        <f>VLOOKUP(Tabela1[[#This Row],[Cliente]],'BASE DE CLIENTES'!A:E,2,0)</f>
        <v>Brasília</v>
      </c>
      <c r="D2659" s="1" t="str">
        <f>VLOOKUP(Tabela1[[#This Row],[Cliente]],'BASE DE CLIENTES'!A:C,3,0)</f>
        <v>DF</v>
      </c>
      <c r="E2659" s="4" t="str">
        <f>CONCATENATE(Tabela1[[#This Row],[CIDADE]],",",Tabela1[[#This Row],[UF]])</f>
        <v>Brasília,DF</v>
      </c>
      <c r="F2659" s="2">
        <v>45961</v>
      </c>
      <c r="G2659" s="17">
        <v>27.38</v>
      </c>
      <c r="H2659" s="17">
        <v>180</v>
      </c>
      <c r="I2659" s="6">
        <f>Tabela1[[#This Row],[Valor total]]-Tabela1[[#This Row],[Valor custo]]</f>
        <v>152.62</v>
      </c>
      <c r="J2659" s="7">
        <f>Tabela1[[#This Row],[MARGEM BRUTA]]/Tabela1[[#This Row],[Valor total]]</f>
        <v>0.84788888888888891</v>
      </c>
      <c r="K2659" s="1" t="str">
        <f>VLOOKUP(Tabela1[[#This Row],[Cliente]],'BASE DE CLIENTES'!A:D,4,0)</f>
        <v>SERRALHEIRO</v>
      </c>
      <c r="L2659" s="1" t="str">
        <f>VLOOKUP(Tabela1[[#This Row],[Cliente]],'BASE DE CLIENTES'!A:E,5,0)</f>
        <v>Taguatinga sul</v>
      </c>
    </row>
    <row r="2660" spans="2:12" x14ac:dyDescent="0.3">
      <c r="B2660" s="1" t="s">
        <v>264</v>
      </c>
      <c r="C2660" s="4" t="str">
        <f>VLOOKUP(Tabela1[[#This Row],[Cliente]],'BASE DE CLIENTES'!A:E,2,0)</f>
        <v>Brasília</v>
      </c>
      <c r="D2660" s="1" t="str">
        <f>VLOOKUP(Tabela1[[#This Row],[Cliente]],'BASE DE CLIENTES'!A:C,3,0)</f>
        <v>DF</v>
      </c>
      <c r="E2660" s="4" t="str">
        <f>CONCATENATE(Tabela1[[#This Row],[CIDADE]],",",Tabela1[[#This Row],[UF]])</f>
        <v>Brasília,DF</v>
      </c>
      <c r="F2660" s="2">
        <v>45961</v>
      </c>
      <c r="G2660" s="17">
        <v>28.84</v>
      </c>
      <c r="H2660" s="17">
        <v>150</v>
      </c>
      <c r="I2660" s="6">
        <f>Tabela1[[#This Row],[Valor total]]-Tabela1[[#This Row],[Valor custo]]</f>
        <v>121.16</v>
      </c>
      <c r="J2660" s="7">
        <f>Tabela1[[#This Row],[MARGEM BRUTA]]/Tabela1[[#This Row],[Valor total]]</f>
        <v>0.8077333333333333</v>
      </c>
      <c r="K2660" s="1" t="str">
        <f>VLOOKUP(Tabela1[[#This Row],[Cliente]],'BASE DE CLIENTES'!A:D,4,0)</f>
        <v>SERRALHEIRO</v>
      </c>
      <c r="L2660" s="1" t="str">
        <f>VLOOKUP(Tabela1[[#This Row],[Cliente]],'BASE DE CLIENTES'!A:E,5,0)</f>
        <v>Recanto das emas</v>
      </c>
    </row>
    <row r="2661" spans="2:12" x14ac:dyDescent="0.3">
      <c r="B2661" s="1" t="s">
        <v>55</v>
      </c>
      <c r="C2661" s="4" t="str">
        <f>VLOOKUP(Tabela1[[#This Row],[Cliente]],'BASE DE CLIENTES'!A:E,2,0)</f>
        <v>Brasília</v>
      </c>
      <c r="D2661" s="1" t="str">
        <f>VLOOKUP(Tabela1[[#This Row],[Cliente]],'BASE DE CLIENTES'!A:C,3,0)</f>
        <v>DF</v>
      </c>
      <c r="E2661" s="4" t="str">
        <f>CONCATENATE(Tabela1[[#This Row],[CIDADE]],",",Tabela1[[#This Row],[UF]])</f>
        <v>Brasília,DF</v>
      </c>
      <c r="F2661" s="2">
        <v>45961</v>
      </c>
      <c r="G2661" s="17">
        <v>289</v>
      </c>
      <c r="H2661" s="17">
        <v>550</v>
      </c>
      <c r="I2661" s="6">
        <f>Tabela1[[#This Row],[Valor total]]-Tabela1[[#This Row],[Valor custo]]</f>
        <v>261</v>
      </c>
      <c r="J2661" s="7">
        <f>Tabela1[[#This Row],[MARGEM BRUTA]]/Tabela1[[#This Row],[Valor total]]</f>
        <v>0.47454545454545455</v>
      </c>
      <c r="K2661" s="1" t="str">
        <f>VLOOKUP(Tabela1[[#This Row],[Cliente]],'BASE DE CLIENTES'!A:D,4,0)</f>
        <v>EMPRESA SEM MAQUINA</v>
      </c>
      <c r="L2661" s="1" t="str">
        <f>VLOOKUP(Tabela1[[#This Row],[Cliente]],'BASE DE CLIENTES'!A:E,5,0)</f>
        <v>RECANTO DAS EMAS</v>
      </c>
    </row>
    <row r="2662" spans="2:12" x14ac:dyDescent="0.3">
      <c r="B2662" s="1" t="s">
        <v>236</v>
      </c>
      <c r="C2662" s="4" t="str">
        <f>VLOOKUP(Tabela1[[#This Row],[Cliente]],'BASE DE CLIENTES'!A:E,2,0)</f>
        <v>Goiânia</v>
      </c>
      <c r="D2662" s="1" t="str">
        <f>VLOOKUP(Tabela1[[#This Row],[Cliente]],'BASE DE CLIENTES'!A:C,3,0)</f>
        <v>GO</v>
      </c>
      <c r="E2662" s="4" t="str">
        <f>CONCATENATE(Tabela1[[#This Row],[CIDADE]],",",Tabela1[[#This Row],[UF]])</f>
        <v>Goiânia,GO</v>
      </c>
      <c r="F2662" s="2">
        <v>45961</v>
      </c>
      <c r="G2662" s="17">
        <v>1455</v>
      </c>
      <c r="H2662" s="17">
        <v>2205</v>
      </c>
      <c r="I2662" s="6">
        <f>Tabela1[[#This Row],[Valor total]]-Tabela1[[#This Row],[Valor custo]]</f>
        <v>750</v>
      </c>
      <c r="J2662" s="7">
        <f>Tabela1[[#This Row],[MARGEM BRUTA]]/Tabela1[[#This Row],[Valor total]]</f>
        <v>0.3401360544217687</v>
      </c>
      <c r="K2662" s="1" t="str">
        <f>VLOOKUP(Tabela1[[#This Row],[Cliente]],'BASE DE CLIENTES'!A:D,4,0)</f>
        <v>EMPRESA COM MAQUINA</v>
      </c>
      <c r="L2662" s="1" t="str">
        <f>VLOOKUP(Tabela1[[#This Row],[Cliente]],'BASE DE CLIENTES'!A:E,5,0)</f>
        <v>Goiânia</v>
      </c>
    </row>
    <row r="2663" spans="2:12" x14ac:dyDescent="0.3">
      <c r="B2663" s="1" t="s">
        <v>27</v>
      </c>
      <c r="C2663" s="4" t="str">
        <f>VLOOKUP(Tabela1[[#This Row],[Cliente]],'BASE DE CLIENTES'!A:E,2,0)</f>
        <v>Brasília</v>
      </c>
      <c r="D2663" s="1" t="str">
        <f>VLOOKUP(Tabela1[[#This Row],[Cliente]],'BASE DE CLIENTES'!A:C,3,0)</f>
        <v>DF</v>
      </c>
      <c r="E2663" s="4" t="str">
        <f>CONCATENATE(Tabela1[[#This Row],[CIDADE]],",",Tabela1[[#This Row],[UF]])</f>
        <v>Brasília,DF</v>
      </c>
      <c r="F2663" s="2">
        <v>45961</v>
      </c>
      <c r="G2663" s="17">
        <v>1950</v>
      </c>
      <c r="H2663" s="17">
        <v>2655</v>
      </c>
      <c r="I2663" s="6">
        <f>Tabela1[[#This Row],[Valor total]]-Tabela1[[#This Row],[Valor custo]]</f>
        <v>705</v>
      </c>
      <c r="J2663" s="7">
        <f>Tabela1[[#This Row],[MARGEM BRUTA]]/Tabela1[[#This Row],[Valor total]]</f>
        <v>0.2655367231638418</v>
      </c>
      <c r="K2663" s="1" t="str">
        <f>VLOOKUP(Tabela1[[#This Row],[Cliente]],'BASE DE CLIENTES'!A:D,4,0)</f>
        <v>EMPRESA SEM MAQUINA</v>
      </c>
      <c r="L2663" s="1" t="str">
        <f>VLOOKUP(Tabela1[[#This Row],[Cliente]],'BASE DE CLIENTES'!A:E,5,0)</f>
        <v>RECANTO DAS EMAS</v>
      </c>
    </row>
    <row r="2664" spans="2:12" x14ac:dyDescent="0.3">
      <c r="B2664" s="1" t="s">
        <v>260</v>
      </c>
      <c r="C2664" s="4" t="str">
        <f>VLOOKUP(Tabela1[[#This Row],[Cliente]],'BASE DE CLIENTES'!A:E,2,0)</f>
        <v>Luziânia</v>
      </c>
      <c r="D2664" s="1" t="str">
        <f>VLOOKUP(Tabela1[[#This Row],[Cliente]],'BASE DE CLIENTES'!A:C,3,0)</f>
        <v>GO</v>
      </c>
      <c r="E2664" s="4" t="str">
        <f>CONCATENATE(Tabela1[[#This Row],[CIDADE]],",",Tabela1[[#This Row],[UF]])</f>
        <v>Luziânia,GO</v>
      </c>
      <c r="F2664" s="2">
        <v>45961</v>
      </c>
      <c r="G2664" s="17">
        <v>7.21</v>
      </c>
      <c r="H2664" s="17">
        <v>35</v>
      </c>
      <c r="I2664" s="6">
        <f>Tabela1[[#This Row],[Valor total]]-Tabela1[[#This Row],[Valor custo]]</f>
        <v>27.79</v>
      </c>
      <c r="J2664" s="7">
        <f>Tabela1[[#This Row],[MARGEM BRUTA]]/Tabela1[[#This Row],[Valor total]]</f>
        <v>0.79399999999999993</v>
      </c>
      <c r="K2664" s="1" t="str">
        <f>VLOOKUP(Tabela1[[#This Row],[Cliente]],'BASE DE CLIENTES'!A:D,4,0)</f>
        <v>SERRALHEIRO</v>
      </c>
      <c r="L2664" s="1" t="str">
        <f>VLOOKUP(Tabela1[[#This Row],[Cliente]],'BASE DE CLIENTES'!A:E,5,0)</f>
        <v>Luziânia</v>
      </c>
    </row>
    <row r="2665" spans="2:12" x14ac:dyDescent="0.3">
      <c r="B2665" s="1" t="s">
        <v>106</v>
      </c>
      <c r="C2665" s="4" t="str">
        <f>VLOOKUP(Tabela1[[#This Row],[Cliente]],'BASE DE CLIENTES'!A:E,2,0)</f>
        <v>Brasília</v>
      </c>
      <c r="D2665" s="1" t="str">
        <f>VLOOKUP(Tabela1[[#This Row],[Cliente]],'BASE DE CLIENTES'!A:C,3,0)</f>
        <v>DF</v>
      </c>
      <c r="E2665" s="4" t="str">
        <f>CONCATENATE(Tabela1[[#This Row],[CIDADE]],",",Tabela1[[#This Row],[UF]])</f>
        <v>Brasília,DF</v>
      </c>
      <c r="F2665" s="2">
        <v>45961</v>
      </c>
      <c r="G2665" s="17">
        <v>3515.29</v>
      </c>
      <c r="H2665" s="17">
        <v>5533.1</v>
      </c>
      <c r="I2665" s="6">
        <f>Tabela1[[#This Row],[Valor total]]-Tabela1[[#This Row],[Valor custo]]</f>
        <v>2017.8100000000004</v>
      </c>
      <c r="J2665" s="7">
        <f>Tabela1[[#This Row],[MARGEM BRUTA]]/Tabela1[[#This Row],[Valor total]]</f>
        <v>0.3646798358966945</v>
      </c>
      <c r="K2665" s="1" t="str">
        <f>VLOOKUP(Tabela1[[#This Row],[Cliente]],'BASE DE CLIENTES'!A:D,4,0)</f>
        <v>EMPRESA COM MAQUINA</v>
      </c>
      <c r="L2665" s="1" t="str">
        <f>VLOOKUP(Tabela1[[#This Row],[Cliente]],'BASE DE CLIENTES'!A:E,5,0)</f>
        <v>26 DE SETEMBRO</v>
      </c>
    </row>
    <row r="2666" spans="2:12" x14ac:dyDescent="0.3">
      <c r="B2666" s="1" t="s">
        <v>330</v>
      </c>
      <c r="C2666" s="4" t="str">
        <f>VLOOKUP(Tabela1[[#This Row],[Cliente]],'BASE DE CLIENTES'!A:E,2,0)</f>
        <v>Magé</v>
      </c>
      <c r="D2666" s="1" t="str">
        <f>VLOOKUP(Tabela1[[#This Row],[Cliente]],'BASE DE CLIENTES'!A:C,3,0)</f>
        <v>RJ</v>
      </c>
      <c r="E2666" s="4" t="str">
        <f>CONCATENATE(Tabela1[[#This Row],[CIDADE]],",",Tabela1[[#This Row],[UF]])</f>
        <v>Magé,RJ</v>
      </c>
      <c r="F2666" s="2">
        <v>45961</v>
      </c>
      <c r="G2666" s="17">
        <v>825</v>
      </c>
      <c r="H2666" s="17">
        <v>2250</v>
      </c>
      <c r="I2666" s="6">
        <f>Tabela1[[#This Row],[Valor total]]-Tabela1[[#This Row],[Valor custo]]</f>
        <v>1425</v>
      </c>
      <c r="J2666" s="7">
        <f>Tabela1[[#This Row],[MARGEM BRUTA]]/Tabela1[[#This Row],[Valor total]]</f>
        <v>0.6333333333333333</v>
      </c>
      <c r="K2666" s="1" t="str">
        <f>VLOOKUP(Tabela1[[#This Row],[Cliente]],'BASE DE CLIENTES'!A:D,4,0)</f>
        <v>EMPRESA COM MAQUINA</v>
      </c>
      <c r="L2666" s="1" t="str">
        <f>VLOOKUP(Tabela1[[#This Row],[Cliente]],'BASE DE CLIENTES'!A:E,5,0)</f>
        <v>Magé</v>
      </c>
    </row>
    <row r="2667" spans="2:12" x14ac:dyDescent="0.3">
      <c r="B2667" s="1" t="s">
        <v>106</v>
      </c>
      <c r="C2667" s="4" t="str">
        <f>VLOOKUP(Tabela1[[#This Row],[Cliente]],'BASE DE CLIENTES'!A:E,2,0)</f>
        <v>Brasília</v>
      </c>
      <c r="D2667" s="1" t="str">
        <f>VLOOKUP(Tabela1[[#This Row],[Cliente]],'BASE DE CLIENTES'!A:C,3,0)</f>
        <v>DF</v>
      </c>
      <c r="E2667" s="4" t="str">
        <f>CONCATENATE(Tabela1[[#This Row],[CIDADE]],",",Tabela1[[#This Row],[UF]])</f>
        <v>Brasília,DF</v>
      </c>
      <c r="F2667" s="2">
        <v>45961</v>
      </c>
      <c r="G2667" s="17">
        <v>1587.79</v>
      </c>
      <c r="H2667" s="17">
        <v>2450</v>
      </c>
      <c r="I2667" s="6">
        <f>Tabela1[[#This Row],[Valor total]]-Tabela1[[#This Row],[Valor custo]]</f>
        <v>862.21</v>
      </c>
      <c r="J2667" s="7">
        <f>Tabela1[[#This Row],[MARGEM BRUTA]]/Tabela1[[#This Row],[Valor total]]</f>
        <v>0.35192244897959185</v>
      </c>
      <c r="K2667" s="1" t="str">
        <f>VLOOKUP(Tabela1[[#This Row],[Cliente]],'BASE DE CLIENTES'!A:D,4,0)</f>
        <v>EMPRESA COM MAQUINA</v>
      </c>
      <c r="L2667" s="1" t="str">
        <f>VLOOKUP(Tabela1[[#This Row],[Cliente]],'BASE DE CLIENTES'!A:E,5,0)</f>
        <v>26 DE SETEMBRO</v>
      </c>
    </row>
    <row r="2668" spans="2:12" x14ac:dyDescent="0.3">
      <c r="B2668" s="1" t="s">
        <v>109</v>
      </c>
      <c r="C2668" s="4" t="str">
        <f>VLOOKUP(Tabela1[[#This Row],[Cliente]],'BASE DE CLIENTES'!A:E,2,0)</f>
        <v>Águas Lindas de Goiás</v>
      </c>
      <c r="D2668" s="1" t="str">
        <f>VLOOKUP(Tabela1[[#This Row],[Cliente]],'BASE DE CLIENTES'!A:C,3,0)</f>
        <v>GO</v>
      </c>
      <c r="E2668" s="4" t="str">
        <f>CONCATENATE(Tabela1[[#This Row],[CIDADE]],",",Tabela1[[#This Row],[UF]])</f>
        <v>Águas Lindas de Goiás,GO</v>
      </c>
      <c r="F2668" s="2">
        <v>45961</v>
      </c>
      <c r="G2668" s="17">
        <v>250</v>
      </c>
      <c r="H2668" s="17">
        <v>300</v>
      </c>
      <c r="I2668" s="6">
        <f>Tabela1[[#This Row],[Valor total]]-Tabela1[[#This Row],[Valor custo]]</f>
        <v>50</v>
      </c>
      <c r="J2668" s="7">
        <f>Tabela1[[#This Row],[MARGEM BRUTA]]/Tabela1[[#This Row],[Valor total]]</f>
        <v>0.16666666666666666</v>
      </c>
      <c r="K2668" s="1" t="str">
        <f>VLOOKUP(Tabela1[[#This Row],[Cliente]],'BASE DE CLIENTES'!A:D,4,0)</f>
        <v>SERRALHEIRO</v>
      </c>
      <c r="L2668" s="1" t="str">
        <f>VLOOKUP(Tabela1[[#This Row],[Cliente]],'BASE DE CLIENTES'!A:E,5,0)</f>
        <v>Águas Lindas de Goiás</v>
      </c>
    </row>
    <row r="2669" spans="2:12" x14ac:dyDescent="0.3">
      <c r="B2669" s="1" t="s">
        <v>161</v>
      </c>
      <c r="C2669" s="4" t="str">
        <f>VLOOKUP(Tabela1[[#This Row],[Cliente]],'BASE DE CLIENTES'!A:E,2,0)</f>
        <v>Brasília</v>
      </c>
      <c r="D2669" s="1" t="str">
        <f>VLOOKUP(Tabela1[[#This Row],[Cliente]],'BASE DE CLIENTES'!A:C,3,0)</f>
        <v>DF</v>
      </c>
      <c r="E2669" s="4" t="str">
        <f>CONCATENATE(Tabela1[[#This Row],[CIDADE]],",",Tabela1[[#This Row],[UF]])</f>
        <v>Brasília,DF</v>
      </c>
      <c r="F2669" s="2">
        <v>45961</v>
      </c>
      <c r="G2669" s="17">
        <v>463</v>
      </c>
      <c r="H2669" s="17">
        <v>727</v>
      </c>
      <c r="I2669" s="6">
        <f>Tabela1[[#This Row],[Valor total]]-Tabela1[[#This Row],[Valor custo]]</f>
        <v>264</v>
      </c>
      <c r="J2669" s="7">
        <f>Tabela1[[#This Row],[MARGEM BRUTA]]/Tabela1[[#This Row],[Valor total]]</f>
        <v>0.36313617606602477</v>
      </c>
      <c r="K2669" s="1" t="str">
        <f>VLOOKUP(Tabela1[[#This Row],[Cliente]],'BASE DE CLIENTES'!A:D,4,0)</f>
        <v>EMPRESA COM MAQUINA</v>
      </c>
      <c r="L2669" s="1" t="str">
        <f>VLOOKUP(Tabela1[[#This Row],[Cliente]],'BASE DE CLIENTES'!A:E,5,0)</f>
        <v>RIACHO FUNDO II</v>
      </c>
    </row>
    <row r="2670" spans="2:12" x14ac:dyDescent="0.3">
      <c r="B2670" s="1" t="s">
        <v>216</v>
      </c>
      <c r="C2670" s="4" t="str">
        <f>VLOOKUP(Tabela1[[#This Row],[Cliente]],'BASE DE CLIENTES'!A:E,2,0)</f>
        <v>Brasília</v>
      </c>
      <c r="D2670" s="1" t="str">
        <f>VLOOKUP(Tabela1[[#This Row],[Cliente]],'BASE DE CLIENTES'!A:C,3,0)</f>
        <v>DF</v>
      </c>
      <c r="E2670" s="4" t="str">
        <f>CONCATENATE(Tabela1[[#This Row],[CIDADE]],",",Tabela1[[#This Row],[UF]])</f>
        <v>Brasília,DF</v>
      </c>
      <c r="F2670" s="2">
        <v>45961</v>
      </c>
      <c r="G2670" s="17">
        <v>1298</v>
      </c>
      <c r="H2670" s="17">
        <v>1800</v>
      </c>
      <c r="I2670" s="6">
        <f>Tabela1[[#This Row],[Valor total]]-Tabela1[[#This Row],[Valor custo]]</f>
        <v>502</v>
      </c>
      <c r="J2670" s="7">
        <f>Tabela1[[#This Row],[MARGEM BRUTA]]/Tabela1[[#This Row],[Valor total]]</f>
        <v>0.27888888888888891</v>
      </c>
      <c r="K2670" s="1" t="str">
        <f>VLOOKUP(Tabela1[[#This Row],[Cliente]],'BASE DE CLIENTES'!A:D,4,0)</f>
        <v>EMPRESA COM MAQUINA</v>
      </c>
      <c r="L2670" s="1" t="str">
        <f>VLOOKUP(Tabela1[[#This Row],[Cliente]],'BASE DE CLIENTES'!A:E,5,0)</f>
        <v>RIACHO FUNDO II</v>
      </c>
    </row>
    <row r="2671" spans="2:12" x14ac:dyDescent="0.3">
      <c r="B2671" s="1" t="s">
        <v>36</v>
      </c>
      <c r="C2671" s="4" t="str">
        <f>VLOOKUP(Tabela1[[#This Row],[Cliente]],'BASE DE CLIENTES'!A:E,2,0)</f>
        <v>Brasília</v>
      </c>
      <c r="D2671" s="1" t="str">
        <f>VLOOKUP(Tabela1[[#This Row],[Cliente]],'BASE DE CLIENTES'!A:C,3,0)</f>
        <v>DF</v>
      </c>
      <c r="E2671" s="4" t="str">
        <f>CONCATENATE(Tabela1[[#This Row],[CIDADE]],",",Tabela1[[#This Row],[UF]])</f>
        <v>Brasília,DF</v>
      </c>
      <c r="F2671" s="2">
        <v>45961</v>
      </c>
      <c r="G2671" s="17">
        <v>0</v>
      </c>
      <c r="H2671" s="17">
        <v>180</v>
      </c>
      <c r="I2671" s="6">
        <f>Tabela1[[#This Row],[Valor total]]-Tabela1[[#This Row],[Valor custo]]</f>
        <v>180</v>
      </c>
      <c r="J2671" s="7">
        <f>Tabela1[[#This Row],[MARGEM BRUTA]]/Tabela1[[#This Row],[Valor total]]</f>
        <v>1</v>
      </c>
      <c r="K2671" s="1" t="str">
        <f>VLOOKUP(Tabela1[[#This Row],[Cliente]],'BASE DE CLIENTES'!A:D,4,0)</f>
        <v>SERRALHEIRO</v>
      </c>
      <c r="L2671" s="1" t="str">
        <f>VLOOKUP(Tabela1[[#This Row],[Cliente]],'BASE DE CLIENTES'!A:E,5,0)</f>
        <v>CEILANDIA SUL (CEILANDIA)</v>
      </c>
    </row>
    <row r="2672" spans="2:12" x14ac:dyDescent="0.3">
      <c r="B2672" s="1" t="s">
        <v>132</v>
      </c>
      <c r="C2672" s="4" t="str">
        <f>VLOOKUP(Tabela1[[#This Row],[Cliente]],'BASE DE CLIENTES'!A:E,2,0)</f>
        <v>Águas Lindas de Goiás</v>
      </c>
      <c r="D2672" s="1" t="str">
        <f>VLOOKUP(Tabela1[[#This Row],[Cliente]],'BASE DE CLIENTES'!A:C,3,0)</f>
        <v>GO</v>
      </c>
      <c r="E2672" s="4" t="str">
        <f>CONCATENATE(Tabela1[[#This Row],[CIDADE]],",",Tabela1[[#This Row],[UF]])</f>
        <v>Águas Lindas de Goiás,GO</v>
      </c>
      <c r="F2672" s="2">
        <v>45961</v>
      </c>
      <c r="G2672" s="17">
        <v>385</v>
      </c>
      <c r="H2672" s="17">
        <v>645</v>
      </c>
      <c r="I2672" s="6">
        <f>Tabela1[[#This Row],[Valor total]]-Tabela1[[#This Row],[Valor custo]]</f>
        <v>260</v>
      </c>
      <c r="J2672" s="7">
        <f>Tabela1[[#This Row],[MARGEM BRUTA]]/Tabela1[[#This Row],[Valor total]]</f>
        <v>0.40310077519379844</v>
      </c>
      <c r="K2672" s="1" t="str">
        <f>VLOOKUP(Tabela1[[#This Row],[Cliente]],'BASE DE CLIENTES'!A:D,4,0)</f>
        <v>SERRALHEIRO</v>
      </c>
      <c r="L2672" s="1" t="str">
        <f>VLOOKUP(Tabela1[[#This Row],[Cliente]],'BASE DE CLIENTES'!A:E,5,0)</f>
        <v>Águas Lindas de Goiás</v>
      </c>
    </row>
    <row r="2673" spans="2:12" x14ac:dyDescent="0.3">
      <c r="B2673" s="1" t="s">
        <v>68</v>
      </c>
      <c r="C2673" s="4" t="str">
        <f>VLOOKUP(Tabela1[[#This Row],[Cliente]],'BASE DE CLIENTES'!A:E,2,0)</f>
        <v>Brasília</v>
      </c>
      <c r="D2673" s="1" t="str">
        <f>VLOOKUP(Tabela1[[#This Row],[Cliente]],'BASE DE CLIENTES'!A:C,3,0)</f>
        <v>DF</v>
      </c>
      <c r="E2673" s="4" t="str">
        <f>CONCATENATE(Tabela1[[#This Row],[CIDADE]],",",Tabela1[[#This Row],[UF]])</f>
        <v>Brasília,DF</v>
      </c>
      <c r="F2673" s="2">
        <v>45961</v>
      </c>
      <c r="G2673" s="17">
        <v>1419</v>
      </c>
      <c r="H2673" s="17">
        <v>2000</v>
      </c>
      <c r="I2673" s="6">
        <f>Tabela1[[#This Row],[Valor total]]-Tabela1[[#This Row],[Valor custo]]</f>
        <v>581</v>
      </c>
      <c r="J2673" s="7">
        <f>Tabela1[[#This Row],[MARGEM BRUTA]]/Tabela1[[#This Row],[Valor total]]</f>
        <v>0.29049999999999998</v>
      </c>
      <c r="K2673" s="1" t="str">
        <f>VLOOKUP(Tabela1[[#This Row],[Cliente]],'BASE DE CLIENTES'!A:D,4,0)</f>
        <v>EMPRESA COM MAQUINA</v>
      </c>
      <c r="L2673" s="1" t="str">
        <f>VLOOKUP(Tabela1[[#This Row],[Cliente]],'BASE DE CLIENTES'!A:E,5,0)</f>
        <v>SAMAMBAIA SUL (SAMAMBAIA)</v>
      </c>
    </row>
    <row r="2674" spans="2:12" x14ac:dyDescent="0.3">
      <c r="B2674" s="1" t="s">
        <v>152</v>
      </c>
      <c r="C2674" s="4" t="str">
        <f>VLOOKUP(Tabela1[[#This Row],[Cliente]],'BASE DE CLIENTES'!A:E,2,0)</f>
        <v>Aparecida de Goiânia</v>
      </c>
      <c r="D2674" s="1" t="str">
        <f>VLOOKUP(Tabela1[[#This Row],[Cliente]],'BASE DE CLIENTES'!A:C,3,0)</f>
        <v>GO</v>
      </c>
      <c r="E2674" s="4" t="str">
        <f>CONCATENATE(Tabela1[[#This Row],[CIDADE]],",",Tabela1[[#This Row],[UF]])</f>
        <v>Aparecida de Goiânia,GO</v>
      </c>
      <c r="F2674" s="2">
        <v>45961</v>
      </c>
      <c r="G2674" s="17">
        <v>385</v>
      </c>
      <c r="H2674" s="17">
        <v>630</v>
      </c>
      <c r="I2674" s="6">
        <f>Tabela1[[#This Row],[Valor total]]-Tabela1[[#This Row],[Valor custo]]</f>
        <v>245</v>
      </c>
      <c r="J2674" s="7">
        <f>Tabela1[[#This Row],[MARGEM BRUTA]]/Tabela1[[#This Row],[Valor total]]</f>
        <v>0.3888888888888889</v>
      </c>
      <c r="K2674" s="1" t="str">
        <f>VLOOKUP(Tabela1[[#This Row],[Cliente]],'BASE DE CLIENTES'!A:D,4,0)</f>
        <v>TECNICO</v>
      </c>
      <c r="L2674" s="1" t="str">
        <f>VLOOKUP(Tabela1[[#This Row],[Cliente]],'BASE DE CLIENTES'!A:E,5,0)</f>
        <v>Aparecida de Goiânia</v>
      </c>
    </row>
    <row r="2675" spans="2:12" x14ac:dyDescent="0.3">
      <c r="B2675" s="1" t="s">
        <v>92</v>
      </c>
      <c r="C2675" s="4" t="str">
        <f>VLOOKUP(Tabela1[[#This Row],[Cliente]],'BASE DE CLIENTES'!A:E,2,0)</f>
        <v>Brasília</v>
      </c>
      <c r="D2675" s="1" t="str">
        <f>VLOOKUP(Tabela1[[#This Row],[Cliente]],'BASE DE CLIENTES'!A:C,3,0)</f>
        <v>DF</v>
      </c>
      <c r="E2675" s="4" t="str">
        <f>CONCATENATE(Tabela1[[#This Row],[CIDADE]],",",Tabela1[[#This Row],[UF]])</f>
        <v>Brasília,DF</v>
      </c>
      <c r="F2675" s="2">
        <v>45961</v>
      </c>
      <c r="G2675" s="17">
        <v>438.89</v>
      </c>
      <c r="H2675" s="17">
        <v>63</v>
      </c>
      <c r="I2675" s="6">
        <f>Tabela1[[#This Row],[Valor total]]-Tabela1[[#This Row],[Valor custo]]</f>
        <v>-375.89</v>
      </c>
      <c r="J2675" s="7">
        <f>Tabela1[[#This Row],[MARGEM BRUTA]]/Tabela1[[#This Row],[Valor total]]</f>
        <v>-5.9665079365079361</v>
      </c>
      <c r="K2675" s="1" t="str">
        <f>VLOOKUP(Tabela1[[#This Row],[Cliente]],'BASE DE CLIENTES'!A:D,4,0)</f>
        <v>EMPRESA SEM MAQUINA</v>
      </c>
      <c r="L2675" s="1" t="str">
        <f>VLOOKUP(Tabela1[[#This Row],[Cliente]],'BASE DE CLIENTES'!A:E,5,0)</f>
        <v>SOBRADINHO</v>
      </c>
    </row>
    <row r="2676" spans="2:12" x14ac:dyDescent="0.3">
      <c r="B2676" s="1" t="s">
        <v>88</v>
      </c>
      <c r="C2676" s="4" t="str">
        <f>VLOOKUP(Tabela1[[#This Row],[Cliente]],'BASE DE CLIENTES'!A:E,2,0)</f>
        <v>Brasília</v>
      </c>
      <c r="D2676" s="1" t="str">
        <f>VLOOKUP(Tabela1[[#This Row],[Cliente]],'BASE DE CLIENTES'!A:C,3,0)</f>
        <v>DF</v>
      </c>
      <c r="E2676" s="4" t="str">
        <f>CONCATENATE(Tabela1[[#This Row],[CIDADE]],",",Tabela1[[#This Row],[UF]])</f>
        <v>Brasília,DF</v>
      </c>
      <c r="F2676" s="2">
        <v>45961</v>
      </c>
      <c r="G2676" s="17">
        <v>67.19</v>
      </c>
      <c r="H2676" s="17">
        <v>205</v>
      </c>
      <c r="I2676" s="6">
        <f>Tabela1[[#This Row],[Valor total]]-Tabela1[[#This Row],[Valor custo]]</f>
        <v>137.81</v>
      </c>
      <c r="J2676" s="7">
        <f>Tabela1[[#This Row],[MARGEM BRUTA]]/Tabela1[[#This Row],[Valor total]]</f>
        <v>0.67224390243902443</v>
      </c>
      <c r="K2676" s="1" t="str">
        <f>VLOOKUP(Tabela1[[#This Row],[Cliente]],'BASE DE CLIENTES'!A:D,4,0)</f>
        <v>SERRALHEIRO</v>
      </c>
      <c r="L2676" s="1" t="str">
        <f>VLOOKUP(Tabela1[[#This Row],[Cliente]],'BASE DE CLIENTES'!A:E,5,0)</f>
        <v>RECANTO DAS EMAS</v>
      </c>
    </row>
    <row r="2677" spans="2:12" x14ac:dyDescent="0.3">
      <c r="B2677" s="1" t="s">
        <v>157</v>
      </c>
      <c r="C2677" s="4" t="str">
        <f>VLOOKUP(Tabela1[[#This Row],[Cliente]],'BASE DE CLIENTES'!A:E,2,0)</f>
        <v>Aparecida de Goiânia</v>
      </c>
      <c r="D2677" s="1" t="str">
        <f>VLOOKUP(Tabela1[[#This Row],[Cliente]],'BASE DE CLIENTES'!A:C,3,0)</f>
        <v>GO</v>
      </c>
      <c r="E2677" s="4" t="str">
        <f>CONCATENATE(Tabela1[[#This Row],[CIDADE]],",",Tabela1[[#This Row],[UF]])</f>
        <v>Aparecida de Goiânia,GO</v>
      </c>
      <c r="F2677" s="2">
        <v>45961</v>
      </c>
      <c r="G2677" s="17">
        <v>117</v>
      </c>
      <c r="H2677" s="17">
        <v>155</v>
      </c>
      <c r="I2677" s="6">
        <f>Tabela1[[#This Row],[Valor total]]-Tabela1[[#This Row],[Valor custo]]</f>
        <v>38</v>
      </c>
      <c r="J2677" s="7">
        <f>Tabela1[[#This Row],[MARGEM BRUTA]]/Tabela1[[#This Row],[Valor total]]</f>
        <v>0.24516129032258063</v>
      </c>
      <c r="K2677" s="1" t="str">
        <f>VLOOKUP(Tabela1[[#This Row],[Cliente]],'BASE DE CLIENTES'!A:D,4,0)</f>
        <v>EMPRESA COM MAQUINA</v>
      </c>
      <c r="L2677" s="1" t="str">
        <f>VLOOKUP(Tabela1[[#This Row],[Cliente]],'BASE DE CLIENTES'!A:E,5,0)</f>
        <v>Aparecida de Goiânia</v>
      </c>
    </row>
    <row r="2678" spans="2:12" x14ac:dyDescent="0.3">
      <c r="B2678" s="1" t="s">
        <v>117</v>
      </c>
      <c r="C2678" s="4" t="str">
        <f>VLOOKUP(Tabela1[[#This Row],[Cliente]],'BASE DE CLIENTES'!A:E,2,0)</f>
        <v>Brasília</v>
      </c>
      <c r="D2678" s="1" t="str">
        <f>VLOOKUP(Tabela1[[#This Row],[Cliente]],'BASE DE CLIENTES'!A:C,3,0)</f>
        <v>DF</v>
      </c>
      <c r="E2678" s="4" t="str">
        <f>CONCATENATE(Tabela1[[#This Row],[CIDADE]],",",Tabela1[[#This Row],[UF]])</f>
        <v>Brasília,DF</v>
      </c>
      <c r="F2678" s="2">
        <v>45961</v>
      </c>
      <c r="G2678" s="17">
        <v>356.12</v>
      </c>
      <c r="H2678" s="17">
        <v>550</v>
      </c>
      <c r="I2678" s="6">
        <f>Tabela1[[#This Row],[Valor total]]-Tabela1[[#This Row],[Valor custo]]</f>
        <v>193.88</v>
      </c>
      <c r="J2678" s="7">
        <f>Tabela1[[#This Row],[MARGEM BRUTA]]/Tabela1[[#This Row],[Valor total]]</f>
        <v>0.35250909090909088</v>
      </c>
      <c r="K2678" s="1" t="str">
        <f>VLOOKUP(Tabela1[[#This Row],[Cliente]],'BASE DE CLIENTES'!A:D,4,0)</f>
        <v>EMPRESA COM MAQUINA</v>
      </c>
      <c r="L2678" s="1" t="str">
        <f>VLOOKUP(Tabela1[[#This Row],[Cliente]],'BASE DE CLIENTES'!A:E,5,0)</f>
        <v>SETOR HABITACIONAL ARNIQUEIRA (AGUAS CLARAS)</v>
      </c>
    </row>
    <row r="2679" spans="2:12" x14ac:dyDescent="0.3">
      <c r="B2679" s="1" t="s">
        <v>236</v>
      </c>
      <c r="C2679" s="4" t="str">
        <f>VLOOKUP(Tabela1[[#This Row],[Cliente]],'BASE DE CLIENTES'!A:E,2,0)</f>
        <v>Goiânia</v>
      </c>
      <c r="D2679" s="1" t="str">
        <f>VLOOKUP(Tabela1[[#This Row],[Cliente]],'BASE DE CLIENTES'!A:C,3,0)</f>
        <v>GO</v>
      </c>
      <c r="E2679" s="4" t="str">
        <f>CONCATENATE(Tabela1[[#This Row],[CIDADE]],",",Tabela1[[#This Row],[UF]])</f>
        <v>Goiânia,GO</v>
      </c>
      <c r="F2679" s="2">
        <v>45961</v>
      </c>
      <c r="G2679" s="17">
        <v>1176</v>
      </c>
      <c r="H2679" s="17">
        <v>1670</v>
      </c>
      <c r="I2679" s="6">
        <f>Tabela1[[#This Row],[Valor total]]-Tabela1[[#This Row],[Valor custo]]</f>
        <v>494</v>
      </c>
      <c r="J2679" s="7">
        <f>Tabela1[[#This Row],[MARGEM BRUTA]]/Tabela1[[#This Row],[Valor total]]</f>
        <v>0.29580838323353292</v>
      </c>
      <c r="K2679" s="1" t="str">
        <f>VLOOKUP(Tabela1[[#This Row],[Cliente]],'BASE DE CLIENTES'!A:D,4,0)</f>
        <v>EMPRESA COM MAQUINA</v>
      </c>
      <c r="L2679" s="1" t="str">
        <f>VLOOKUP(Tabela1[[#This Row],[Cliente]],'BASE DE CLIENTES'!A:E,5,0)</f>
        <v>Goiânia</v>
      </c>
    </row>
    <row r="2680" spans="2:12" x14ac:dyDescent="0.3">
      <c r="B2680" s="1" t="s">
        <v>331</v>
      </c>
      <c r="C2680" s="4" t="str">
        <f>VLOOKUP(Tabela1[[#This Row],[Cliente]],'BASE DE CLIENTES'!A:E,2,0)</f>
        <v>Águas Lindas de Goiás</v>
      </c>
      <c r="D2680" s="1" t="str">
        <f>VLOOKUP(Tabela1[[#This Row],[Cliente]],'BASE DE CLIENTES'!A:C,3,0)</f>
        <v>GO</v>
      </c>
      <c r="E2680" s="4" t="str">
        <f>CONCATENATE(Tabela1[[#This Row],[CIDADE]],",",Tabela1[[#This Row],[UF]])</f>
        <v>Águas Lindas de Goiás,GO</v>
      </c>
      <c r="F2680" s="2">
        <v>45961</v>
      </c>
      <c r="G2680" s="17">
        <v>88.63</v>
      </c>
      <c r="H2680" s="17">
        <v>196</v>
      </c>
      <c r="I2680" s="6">
        <f>Tabela1[[#This Row],[Valor total]]-Tabela1[[#This Row],[Valor custo]]</f>
        <v>107.37</v>
      </c>
      <c r="J2680" s="7">
        <f>Tabela1[[#This Row],[MARGEM BRUTA]]/Tabela1[[#This Row],[Valor total]]</f>
        <v>0.54780612244897964</v>
      </c>
      <c r="K2680" s="1" t="str">
        <f>VLOOKUP(Tabela1[[#This Row],[Cliente]],'BASE DE CLIENTES'!A:D,4,0)</f>
        <v>EMPRESA SEM MAQUINA</v>
      </c>
      <c r="L2680" s="1" t="str">
        <f>VLOOKUP(Tabela1[[#This Row],[Cliente]],'BASE DE CLIENTES'!A:E,5,0)</f>
        <v>Águas Lindas de Goiás</v>
      </c>
    </row>
    <row r="2681" spans="2:12" x14ac:dyDescent="0.3">
      <c r="B2681" s="1" t="s">
        <v>96</v>
      </c>
      <c r="C2681" s="4" t="str">
        <f>VLOOKUP(Tabela1[[#This Row],[Cliente]],'BASE DE CLIENTES'!A:E,2,0)</f>
        <v>Brasília</v>
      </c>
      <c r="D2681" s="1" t="str">
        <f>VLOOKUP(Tabela1[[#This Row],[Cliente]],'BASE DE CLIENTES'!A:C,3,0)</f>
        <v>DF</v>
      </c>
      <c r="E2681" s="4" t="str">
        <f>CONCATENATE(Tabela1[[#This Row],[CIDADE]],",",Tabela1[[#This Row],[UF]])</f>
        <v>Brasília,DF</v>
      </c>
      <c r="F2681" s="2">
        <v>45961</v>
      </c>
      <c r="G2681" s="17">
        <v>510</v>
      </c>
      <c r="H2681" s="17">
        <v>765</v>
      </c>
      <c r="I2681" s="6">
        <f>Tabela1[[#This Row],[Valor total]]-Tabela1[[#This Row],[Valor custo]]</f>
        <v>255</v>
      </c>
      <c r="J2681" s="7">
        <f>Tabela1[[#This Row],[MARGEM BRUTA]]/Tabela1[[#This Row],[Valor total]]</f>
        <v>0.33333333333333331</v>
      </c>
      <c r="K2681" s="1" t="str">
        <f>VLOOKUP(Tabela1[[#This Row],[Cliente]],'BASE DE CLIENTES'!A:D,4,0)</f>
        <v>EMPRESA SEM MAQUINA</v>
      </c>
      <c r="L2681" s="1" t="str">
        <f>VLOOKUP(Tabela1[[#This Row],[Cliente]],'BASE DE CLIENTES'!A:E,5,0)</f>
        <v>CEILANDIA NORTE (CEILANDIA)</v>
      </c>
    </row>
    <row r="2682" spans="2:12" x14ac:dyDescent="0.3">
      <c r="B2682" s="1" t="s">
        <v>183</v>
      </c>
      <c r="C2682" s="4" t="str">
        <f>VLOOKUP(Tabela1[[#This Row],[Cliente]],'BASE DE CLIENTES'!A:E,2,0)</f>
        <v>Caldas Novas</v>
      </c>
      <c r="D2682" s="1" t="str">
        <f>VLOOKUP(Tabela1[[#This Row],[Cliente]],'BASE DE CLIENTES'!A:C,3,0)</f>
        <v>GO</v>
      </c>
      <c r="E2682" s="4" t="str">
        <f>CONCATENATE(Tabela1[[#This Row],[CIDADE]],",",Tabela1[[#This Row],[UF]])</f>
        <v>Caldas Novas,GO</v>
      </c>
      <c r="F2682" s="2">
        <v>45960</v>
      </c>
      <c r="G2682" s="17">
        <v>8145.95</v>
      </c>
      <c r="H2682" s="17">
        <v>12000</v>
      </c>
      <c r="I2682" s="6">
        <f>Tabela1[[#This Row],[Valor total]]-Tabela1[[#This Row],[Valor custo]]</f>
        <v>3854.05</v>
      </c>
      <c r="J2682" s="7">
        <f>Tabela1[[#This Row],[MARGEM BRUTA]]/Tabela1[[#This Row],[Valor total]]</f>
        <v>0.32117083333333335</v>
      </c>
      <c r="K2682" s="1" t="str">
        <f>VLOOKUP(Tabela1[[#This Row],[Cliente]],'BASE DE CLIENTES'!A:D,4,0)</f>
        <v>EMPRESA COM MAQUINA</v>
      </c>
      <c r="L2682" s="1" t="str">
        <f>VLOOKUP(Tabela1[[#This Row],[Cliente]],'BASE DE CLIENTES'!A:E,5,0)</f>
        <v>Caldas Novas</v>
      </c>
    </row>
    <row r="2683" spans="2:12" x14ac:dyDescent="0.3">
      <c r="B2683" s="1" t="s">
        <v>152</v>
      </c>
      <c r="C2683" s="4" t="str">
        <f>VLOOKUP(Tabela1[[#This Row],[Cliente]],'BASE DE CLIENTES'!A:E,2,0)</f>
        <v>Aparecida de Goiânia</v>
      </c>
      <c r="D2683" s="1" t="str">
        <f>VLOOKUP(Tabela1[[#This Row],[Cliente]],'BASE DE CLIENTES'!A:C,3,0)</f>
        <v>GO</v>
      </c>
      <c r="E2683" s="4" t="str">
        <f>CONCATENATE(Tabela1[[#This Row],[CIDADE]],",",Tabela1[[#This Row],[UF]])</f>
        <v>Aparecida de Goiânia,GO</v>
      </c>
      <c r="F2683" s="2">
        <v>45960</v>
      </c>
      <c r="G2683" s="17">
        <v>1066.42</v>
      </c>
      <c r="H2683" s="17">
        <v>1515</v>
      </c>
      <c r="I2683" s="6">
        <f>Tabela1[[#This Row],[Valor total]]-Tabela1[[#This Row],[Valor custo]]</f>
        <v>448.57999999999993</v>
      </c>
      <c r="J2683" s="7">
        <f>Tabela1[[#This Row],[MARGEM BRUTA]]/Tabela1[[#This Row],[Valor total]]</f>
        <v>0.29609240924092406</v>
      </c>
      <c r="K2683" s="1" t="str">
        <f>VLOOKUP(Tabela1[[#This Row],[Cliente]],'BASE DE CLIENTES'!A:D,4,0)</f>
        <v>TECNICO</v>
      </c>
      <c r="L2683" s="1" t="str">
        <f>VLOOKUP(Tabela1[[#This Row],[Cliente]],'BASE DE CLIENTES'!A:E,5,0)</f>
        <v>Aparecida de Goiânia</v>
      </c>
    </row>
    <row r="2684" spans="2:12" x14ac:dyDescent="0.3">
      <c r="B2684" s="1" t="s">
        <v>66</v>
      </c>
      <c r="C2684" s="4" t="str">
        <f>VLOOKUP(Tabela1[[#This Row],[Cliente]],'BASE DE CLIENTES'!A:E,2,0)</f>
        <v>Águas Lindas de Goiás</v>
      </c>
      <c r="D2684" s="1" t="str">
        <f>VLOOKUP(Tabela1[[#This Row],[Cliente]],'BASE DE CLIENTES'!A:C,3,0)</f>
        <v>GO</v>
      </c>
      <c r="E2684" s="4" t="str">
        <f>CONCATENATE(Tabela1[[#This Row],[CIDADE]],",",Tabela1[[#This Row],[UF]])</f>
        <v>Águas Lindas de Goiás,GO</v>
      </c>
      <c r="F2684" s="2">
        <v>45960</v>
      </c>
      <c r="G2684" s="17">
        <v>385</v>
      </c>
      <c r="H2684" s="17">
        <v>620</v>
      </c>
      <c r="I2684" s="6">
        <f>Tabela1[[#This Row],[Valor total]]-Tabela1[[#This Row],[Valor custo]]</f>
        <v>235</v>
      </c>
      <c r="J2684" s="7">
        <f>Tabela1[[#This Row],[MARGEM BRUTA]]/Tabela1[[#This Row],[Valor total]]</f>
        <v>0.37903225806451613</v>
      </c>
      <c r="K2684" s="1" t="str">
        <f>VLOOKUP(Tabela1[[#This Row],[Cliente]],'BASE DE CLIENTES'!A:D,4,0)</f>
        <v>EMPRESA COM MAQUINA</v>
      </c>
      <c r="L2684" s="1" t="str">
        <f>VLOOKUP(Tabela1[[#This Row],[Cliente]],'BASE DE CLIENTES'!A:E,5,0)</f>
        <v>Águas Lindas de Goiás</v>
      </c>
    </row>
    <row r="2685" spans="2:12" x14ac:dyDescent="0.3">
      <c r="B2685" s="1" t="s">
        <v>230</v>
      </c>
      <c r="C2685" s="4" t="str">
        <f>VLOOKUP(Tabela1[[#This Row],[Cliente]],'BASE DE CLIENTES'!A:E,2,0)</f>
        <v>Brasília</v>
      </c>
      <c r="D2685" s="1" t="str">
        <f>VLOOKUP(Tabela1[[#This Row],[Cliente]],'BASE DE CLIENTES'!A:C,3,0)</f>
        <v>DF</v>
      </c>
      <c r="E2685" s="4" t="str">
        <f>CONCATENATE(Tabela1[[#This Row],[CIDADE]],",",Tabela1[[#This Row],[UF]])</f>
        <v>Brasília,DF</v>
      </c>
      <c r="F2685" s="2">
        <v>45960</v>
      </c>
      <c r="G2685" s="17">
        <v>70</v>
      </c>
      <c r="H2685" s="17">
        <v>90</v>
      </c>
      <c r="I2685" s="6">
        <f>Tabela1[[#This Row],[Valor total]]-Tabela1[[#This Row],[Valor custo]]</f>
        <v>20</v>
      </c>
      <c r="J2685" s="7">
        <f>Tabela1[[#This Row],[MARGEM BRUTA]]/Tabela1[[#This Row],[Valor total]]</f>
        <v>0.22222222222222221</v>
      </c>
      <c r="K2685" s="1" t="str">
        <f>VLOOKUP(Tabela1[[#This Row],[Cliente]],'BASE DE CLIENTES'!A:D,4,0)</f>
        <v>SERRALHEIRO</v>
      </c>
      <c r="L2685" s="1" t="str">
        <f>VLOOKUP(Tabela1[[#This Row],[Cliente]],'BASE DE CLIENTES'!A:E,5,0)</f>
        <v>SETOR HABITACIONAL SAMAMBAIA (VICENTE PIRES)</v>
      </c>
    </row>
    <row r="2686" spans="2:12" x14ac:dyDescent="0.3">
      <c r="B2686" s="1" t="s">
        <v>161</v>
      </c>
      <c r="C2686" s="4" t="str">
        <f>VLOOKUP(Tabela1[[#This Row],[Cliente]],'BASE DE CLIENTES'!A:E,2,0)</f>
        <v>Brasília</v>
      </c>
      <c r="D2686" s="1" t="str">
        <f>VLOOKUP(Tabela1[[#This Row],[Cliente]],'BASE DE CLIENTES'!A:C,3,0)</f>
        <v>DF</v>
      </c>
      <c r="E2686" s="4" t="str">
        <f>CONCATENATE(Tabela1[[#This Row],[CIDADE]],",",Tabela1[[#This Row],[UF]])</f>
        <v>Brasília,DF</v>
      </c>
      <c r="F2686" s="2">
        <v>45960</v>
      </c>
      <c r="G2686" s="17">
        <v>219.04</v>
      </c>
      <c r="H2686" s="17">
        <v>1360</v>
      </c>
      <c r="I2686" s="6">
        <f>Tabela1[[#This Row],[Valor total]]-Tabela1[[#This Row],[Valor custo]]</f>
        <v>1140.96</v>
      </c>
      <c r="J2686" s="7">
        <f>Tabela1[[#This Row],[MARGEM BRUTA]]/Tabela1[[#This Row],[Valor total]]</f>
        <v>0.8389411764705883</v>
      </c>
      <c r="K2686" s="1" t="str">
        <f>VLOOKUP(Tabela1[[#This Row],[Cliente]],'BASE DE CLIENTES'!A:D,4,0)</f>
        <v>EMPRESA COM MAQUINA</v>
      </c>
      <c r="L2686" s="1" t="str">
        <f>VLOOKUP(Tabela1[[#This Row],[Cliente]],'BASE DE CLIENTES'!A:E,5,0)</f>
        <v>RIACHO FUNDO II</v>
      </c>
    </row>
    <row r="2687" spans="2:12" x14ac:dyDescent="0.3">
      <c r="B2687" s="1" t="s">
        <v>27</v>
      </c>
      <c r="C2687" s="4" t="str">
        <f>VLOOKUP(Tabela1[[#This Row],[Cliente]],'BASE DE CLIENTES'!A:E,2,0)</f>
        <v>Brasília</v>
      </c>
      <c r="D2687" s="1" t="str">
        <f>VLOOKUP(Tabela1[[#This Row],[Cliente]],'BASE DE CLIENTES'!A:C,3,0)</f>
        <v>DF</v>
      </c>
      <c r="E2687" s="4" t="str">
        <f>CONCATENATE(Tabela1[[#This Row],[CIDADE]],",",Tabela1[[#This Row],[UF]])</f>
        <v>Brasília,DF</v>
      </c>
      <c r="F2687" s="2">
        <v>45960</v>
      </c>
      <c r="G2687" s="17">
        <v>94.06</v>
      </c>
      <c r="H2687" s="17">
        <v>130</v>
      </c>
      <c r="I2687" s="6">
        <f>Tabela1[[#This Row],[Valor total]]-Tabela1[[#This Row],[Valor custo]]</f>
        <v>35.94</v>
      </c>
      <c r="J2687" s="7">
        <f>Tabela1[[#This Row],[MARGEM BRUTA]]/Tabela1[[#This Row],[Valor total]]</f>
        <v>0.27646153846153843</v>
      </c>
      <c r="K2687" s="1" t="str">
        <f>VLOOKUP(Tabela1[[#This Row],[Cliente]],'BASE DE CLIENTES'!A:D,4,0)</f>
        <v>EMPRESA SEM MAQUINA</v>
      </c>
      <c r="L2687" s="1" t="str">
        <f>VLOOKUP(Tabela1[[#This Row],[Cliente]],'BASE DE CLIENTES'!A:E,5,0)</f>
        <v>RECANTO DAS EMAS</v>
      </c>
    </row>
    <row r="2688" spans="2:12" x14ac:dyDescent="0.3">
      <c r="B2688" s="1" t="s">
        <v>68</v>
      </c>
      <c r="C2688" s="4" t="str">
        <f>VLOOKUP(Tabela1[[#This Row],[Cliente]],'BASE DE CLIENTES'!A:E,2,0)</f>
        <v>Brasília</v>
      </c>
      <c r="D2688" s="1" t="str">
        <f>VLOOKUP(Tabela1[[#This Row],[Cliente]],'BASE DE CLIENTES'!A:C,3,0)</f>
        <v>DF</v>
      </c>
      <c r="E2688" s="4" t="str">
        <f>CONCATENATE(Tabela1[[#This Row],[CIDADE]],",",Tabela1[[#This Row],[UF]])</f>
        <v>Brasília,DF</v>
      </c>
      <c r="F2688" s="2">
        <v>45960</v>
      </c>
      <c r="G2688" s="17">
        <v>1000</v>
      </c>
      <c r="H2688" s="17">
        <v>1200</v>
      </c>
      <c r="I2688" s="6">
        <f>Tabela1[[#This Row],[Valor total]]-Tabela1[[#This Row],[Valor custo]]</f>
        <v>200</v>
      </c>
      <c r="J2688" s="7">
        <f>Tabela1[[#This Row],[MARGEM BRUTA]]/Tabela1[[#This Row],[Valor total]]</f>
        <v>0.16666666666666666</v>
      </c>
      <c r="K2688" s="1" t="str">
        <f>VLOOKUP(Tabela1[[#This Row],[Cliente]],'BASE DE CLIENTES'!A:D,4,0)</f>
        <v>EMPRESA COM MAQUINA</v>
      </c>
      <c r="L2688" s="1" t="str">
        <f>VLOOKUP(Tabela1[[#This Row],[Cliente]],'BASE DE CLIENTES'!A:E,5,0)</f>
        <v>SAMAMBAIA SUL (SAMAMBAIA)</v>
      </c>
    </row>
    <row r="2689" spans="2:12" x14ac:dyDescent="0.3">
      <c r="B2689" s="1" t="s">
        <v>70</v>
      </c>
      <c r="C2689" s="4" t="str">
        <f>VLOOKUP(Tabela1[[#This Row],[Cliente]],'BASE DE CLIENTES'!A:E,2,0)</f>
        <v>Brasília</v>
      </c>
      <c r="D2689" s="1" t="str">
        <f>VLOOKUP(Tabela1[[#This Row],[Cliente]],'BASE DE CLIENTES'!A:C,3,0)</f>
        <v>DF</v>
      </c>
      <c r="E2689" s="4" t="str">
        <f>CONCATENATE(Tabela1[[#This Row],[CIDADE]],",",Tabela1[[#This Row],[UF]])</f>
        <v>Brasília,DF</v>
      </c>
      <c r="F2689" s="2">
        <v>45960</v>
      </c>
      <c r="G2689" s="17">
        <v>1298.3699999999999</v>
      </c>
      <c r="H2689" s="17">
        <v>1900</v>
      </c>
      <c r="I2689" s="6">
        <f>Tabela1[[#This Row],[Valor total]]-Tabela1[[#This Row],[Valor custo]]</f>
        <v>601.63000000000011</v>
      </c>
      <c r="J2689" s="7">
        <f>Tabela1[[#This Row],[MARGEM BRUTA]]/Tabela1[[#This Row],[Valor total]]</f>
        <v>0.31664736842105268</v>
      </c>
      <c r="K2689" s="1" t="str">
        <f>VLOOKUP(Tabela1[[#This Row],[Cliente]],'BASE DE CLIENTES'!A:D,4,0)</f>
        <v>EMPRESA COM MAQUINA</v>
      </c>
      <c r="L2689" s="1" t="str">
        <f>VLOOKUP(Tabela1[[#This Row],[Cliente]],'BASE DE CLIENTES'!A:E,5,0)</f>
        <v>TAGUATINGA NORTE (TAGUATINGA)</v>
      </c>
    </row>
    <row r="2690" spans="2:12" x14ac:dyDescent="0.3">
      <c r="B2690" s="1" t="s">
        <v>153</v>
      </c>
      <c r="C2690" s="4" t="str">
        <f>VLOOKUP(Tabela1[[#This Row],[Cliente]],'BASE DE CLIENTES'!A:E,2,0)</f>
        <v>Brasília</v>
      </c>
      <c r="D2690" s="1" t="str">
        <f>VLOOKUP(Tabela1[[#This Row],[Cliente]],'BASE DE CLIENTES'!A:C,3,0)</f>
        <v>DF</v>
      </c>
      <c r="E2690" s="4" t="str">
        <f>CONCATENATE(Tabela1[[#This Row],[CIDADE]],",",Tabela1[[#This Row],[UF]])</f>
        <v>Brasília,DF</v>
      </c>
      <c r="F2690" s="2">
        <v>45960</v>
      </c>
      <c r="G2690" s="17">
        <v>385</v>
      </c>
      <c r="H2690" s="17">
        <v>615</v>
      </c>
      <c r="I2690" s="6">
        <f>Tabela1[[#This Row],[Valor total]]-Tabela1[[#This Row],[Valor custo]]</f>
        <v>230</v>
      </c>
      <c r="J2690" s="7">
        <f>Tabela1[[#This Row],[MARGEM BRUTA]]/Tabela1[[#This Row],[Valor total]]</f>
        <v>0.37398373983739835</v>
      </c>
      <c r="K2690" s="1" t="str">
        <f>VLOOKUP(Tabela1[[#This Row],[Cliente]],'BASE DE CLIENTES'!A:D,4,0)</f>
        <v>SERRALHEIRO</v>
      </c>
      <c r="L2690" s="1" t="str">
        <f>VLOOKUP(Tabela1[[#This Row],[Cliente]],'BASE DE CLIENTES'!A:E,5,0)</f>
        <v>PLANALTINA</v>
      </c>
    </row>
    <row r="2691" spans="2:12" x14ac:dyDescent="0.3">
      <c r="B2691" s="1" t="s">
        <v>99</v>
      </c>
      <c r="C2691" s="4" t="str">
        <f>VLOOKUP(Tabela1[[#This Row],[Cliente]],'BASE DE CLIENTES'!A:E,2,0)</f>
        <v>Brasília</v>
      </c>
      <c r="D2691" s="1" t="str">
        <f>VLOOKUP(Tabela1[[#This Row],[Cliente]],'BASE DE CLIENTES'!A:C,3,0)</f>
        <v>DF</v>
      </c>
      <c r="E2691" s="4" t="str">
        <f>CONCATENATE(Tabela1[[#This Row],[CIDADE]],",",Tabela1[[#This Row],[UF]])</f>
        <v>Brasília,DF</v>
      </c>
      <c r="F2691" s="2">
        <v>45960</v>
      </c>
      <c r="G2691" s="17">
        <v>1744.6</v>
      </c>
      <c r="H2691" s="17">
        <v>3484</v>
      </c>
      <c r="I2691" s="6">
        <f>Tabela1[[#This Row],[Valor total]]-Tabela1[[#This Row],[Valor custo]]</f>
        <v>1739.4</v>
      </c>
      <c r="J2691" s="7">
        <f>Tabela1[[#This Row],[MARGEM BRUTA]]/Tabela1[[#This Row],[Valor total]]</f>
        <v>0.4992537313432836</v>
      </c>
      <c r="K2691" s="1" t="str">
        <f>VLOOKUP(Tabela1[[#This Row],[Cliente]],'BASE DE CLIENTES'!A:D,4,0)</f>
        <v>EMPRESA COM MAQUINA</v>
      </c>
      <c r="L2691" s="1" t="str">
        <f>VLOOKUP(Tabela1[[#This Row],[Cliente]],'BASE DE CLIENTES'!A:E,5,0)</f>
        <v>ARAPOANGA (PLANALTINA)</v>
      </c>
    </row>
    <row r="2692" spans="2:12" x14ac:dyDescent="0.3">
      <c r="B2692" s="1" t="s">
        <v>25</v>
      </c>
      <c r="C2692" s="4" t="str">
        <f>VLOOKUP(Tabela1[[#This Row],[Cliente]],'BASE DE CLIENTES'!A:E,2,0)</f>
        <v>Brasília</v>
      </c>
      <c r="D2692" s="1" t="str">
        <f>VLOOKUP(Tabela1[[#This Row],[Cliente]],'BASE DE CLIENTES'!A:C,3,0)</f>
        <v>DF</v>
      </c>
      <c r="E2692" s="4" t="str">
        <f>CONCATENATE(Tabela1[[#This Row],[CIDADE]],",",Tabela1[[#This Row],[UF]])</f>
        <v>Brasília,DF</v>
      </c>
      <c r="F2692" s="2">
        <v>45959</v>
      </c>
      <c r="G2692" s="17">
        <v>432.79</v>
      </c>
      <c r="H2692" s="17">
        <v>655</v>
      </c>
      <c r="I2692" s="6">
        <f>Tabela1[[#This Row],[Valor total]]-Tabela1[[#This Row],[Valor custo]]</f>
        <v>222.20999999999998</v>
      </c>
      <c r="J2692" s="7">
        <f>Tabela1[[#This Row],[MARGEM BRUTA]]/Tabela1[[#This Row],[Valor total]]</f>
        <v>0.33925190839694652</v>
      </c>
      <c r="K2692" s="1" t="str">
        <f>VLOOKUP(Tabela1[[#This Row],[Cliente]],'BASE DE CLIENTES'!A:D,4,0)</f>
        <v>EMPRESA COM MAQUINA</v>
      </c>
      <c r="L2692" s="1" t="str">
        <f>VLOOKUP(Tabela1[[#This Row],[Cliente]],'BASE DE CLIENTES'!A:E,5,0)</f>
        <v>CEILANDIA NORTE (CEILANDIA)</v>
      </c>
    </row>
    <row r="2693" spans="2:12" x14ac:dyDescent="0.3">
      <c r="B2693" s="1" t="s">
        <v>260</v>
      </c>
      <c r="C2693" s="4" t="str">
        <f>VLOOKUP(Tabela1[[#This Row],[Cliente]],'BASE DE CLIENTES'!A:E,2,0)</f>
        <v>Luziânia</v>
      </c>
      <c r="D2693" s="1" t="str">
        <f>VLOOKUP(Tabela1[[#This Row],[Cliente]],'BASE DE CLIENTES'!A:C,3,0)</f>
        <v>GO</v>
      </c>
      <c r="E2693" s="4" t="str">
        <f>CONCATENATE(Tabela1[[#This Row],[CIDADE]],",",Tabela1[[#This Row],[UF]])</f>
        <v>Luziânia,GO</v>
      </c>
      <c r="F2693" s="2">
        <v>45959</v>
      </c>
      <c r="G2693" s="17">
        <v>33.56</v>
      </c>
      <c r="H2693" s="17">
        <v>85</v>
      </c>
      <c r="I2693" s="6">
        <f>Tabela1[[#This Row],[Valor total]]-Tabela1[[#This Row],[Valor custo]]</f>
        <v>51.44</v>
      </c>
      <c r="J2693" s="7">
        <f>Tabela1[[#This Row],[MARGEM BRUTA]]/Tabela1[[#This Row],[Valor total]]</f>
        <v>0.60517647058823532</v>
      </c>
      <c r="K2693" s="1" t="str">
        <f>VLOOKUP(Tabela1[[#This Row],[Cliente]],'BASE DE CLIENTES'!A:D,4,0)</f>
        <v>SERRALHEIRO</v>
      </c>
      <c r="L2693" s="1" t="str">
        <f>VLOOKUP(Tabela1[[#This Row],[Cliente]],'BASE DE CLIENTES'!A:E,5,0)</f>
        <v>Luziânia</v>
      </c>
    </row>
    <row r="2694" spans="2:12" x14ac:dyDescent="0.3">
      <c r="B2694" s="1" t="s">
        <v>180</v>
      </c>
      <c r="C2694" s="4" t="str">
        <f>VLOOKUP(Tabela1[[#This Row],[Cliente]],'BASE DE CLIENTES'!A:E,2,0)</f>
        <v>Brasília</v>
      </c>
      <c r="D2694" s="1" t="str">
        <f>VLOOKUP(Tabela1[[#This Row],[Cliente]],'BASE DE CLIENTES'!A:C,3,0)</f>
        <v>DF</v>
      </c>
      <c r="E2694" s="4" t="str">
        <f>CONCATENATE(Tabela1[[#This Row],[CIDADE]],",",Tabela1[[#This Row],[UF]])</f>
        <v>Brasília,DF</v>
      </c>
      <c r="F2694" s="2">
        <v>45959</v>
      </c>
      <c r="G2694" s="17">
        <v>1632</v>
      </c>
      <c r="H2694" s="17">
        <v>2535</v>
      </c>
      <c r="I2694" s="6">
        <f>Tabela1[[#This Row],[Valor total]]-Tabela1[[#This Row],[Valor custo]]</f>
        <v>903</v>
      </c>
      <c r="J2694" s="7">
        <f>Tabela1[[#This Row],[MARGEM BRUTA]]/Tabela1[[#This Row],[Valor total]]</f>
        <v>0.35621301775147929</v>
      </c>
      <c r="K2694" s="1" t="str">
        <f>VLOOKUP(Tabela1[[#This Row],[Cliente]],'BASE DE CLIENTES'!A:D,4,0)</f>
        <v>EMPRESA COM MAQUINA</v>
      </c>
      <c r="L2694" s="1" t="str">
        <f>VLOOKUP(Tabela1[[#This Row],[Cliente]],'BASE DE CLIENTES'!A:E,5,0)</f>
        <v>SETOR INDUSTRIAL (TAGUATINGA)</v>
      </c>
    </row>
    <row r="2695" spans="2:12" x14ac:dyDescent="0.3">
      <c r="B2695" s="1" t="s">
        <v>190</v>
      </c>
      <c r="C2695" s="4" t="str">
        <f>VLOOKUP(Tabela1[[#This Row],[Cliente]],'BASE DE CLIENTES'!A:E,2,0)</f>
        <v>Brasília</v>
      </c>
      <c r="D2695" s="1" t="str">
        <f>VLOOKUP(Tabela1[[#This Row],[Cliente]],'BASE DE CLIENTES'!A:C,3,0)</f>
        <v>DF</v>
      </c>
      <c r="E2695" s="4" t="str">
        <f>CONCATENATE(Tabela1[[#This Row],[CIDADE]],",",Tabela1[[#This Row],[UF]])</f>
        <v>Brasília,DF</v>
      </c>
      <c r="F2695" s="2">
        <v>45959</v>
      </c>
      <c r="G2695" s="17">
        <v>2163.9499999999998</v>
      </c>
      <c r="H2695" s="17">
        <v>3100</v>
      </c>
      <c r="I2695" s="6">
        <f>Tabela1[[#This Row],[Valor total]]-Tabela1[[#This Row],[Valor custo]]</f>
        <v>936.05000000000018</v>
      </c>
      <c r="J2695" s="7">
        <f>Tabela1[[#This Row],[MARGEM BRUTA]]/Tabela1[[#This Row],[Valor total]]</f>
        <v>0.30195161290322586</v>
      </c>
      <c r="K2695" s="1" t="str">
        <f>VLOOKUP(Tabela1[[#This Row],[Cliente]],'BASE DE CLIENTES'!A:D,4,0)</f>
        <v>EMPRESA COM MAQUINA</v>
      </c>
      <c r="L2695" s="1" t="str">
        <f>VLOOKUP(Tabela1[[#This Row],[Cliente]],'BASE DE CLIENTES'!A:E,5,0)</f>
        <v>RIACHO FUNDO I</v>
      </c>
    </row>
    <row r="2696" spans="2:12" x14ac:dyDescent="0.3">
      <c r="B2696" s="1" t="s">
        <v>117</v>
      </c>
      <c r="C2696" s="4" t="str">
        <f>VLOOKUP(Tabela1[[#This Row],[Cliente]],'BASE DE CLIENTES'!A:E,2,0)</f>
        <v>Brasília</v>
      </c>
      <c r="D2696" s="1" t="str">
        <f>VLOOKUP(Tabela1[[#This Row],[Cliente]],'BASE DE CLIENTES'!A:C,3,0)</f>
        <v>DF</v>
      </c>
      <c r="E2696" s="4" t="str">
        <f>CONCATENATE(Tabela1[[#This Row],[CIDADE]],",",Tabela1[[#This Row],[UF]])</f>
        <v>Brasília,DF</v>
      </c>
      <c r="F2696" s="2">
        <v>45959</v>
      </c>
      <c r="G2696" s="17">
        <v>55</v>
      </c>
      <c r="H2696" s="17">
        <v>150</v>
      </c>
      <c r="I2696" s="6">
        <f>Tabela1[[#This Row],[Valor total]]-Tabela1[[#This Row],[Valor custo]]</f>
        <v>95</v>
      </c>
      <c r="J2696" s="7">
        <f>Tabela1[[#This Row],[MARGEM BRUTA]]/Tabela1[[#This Row],[Valor total]]</f>
        <v>0.6333333333333333</v>
      </c>
      <c r="K2696" s="1" t="str">
        <f>VLOOKUP(Tabela1[[#This Row],[Cliente]],'BASE DE CLIENTES'!A:D,4,0)</f>
        <v>EMPRESA COM MAQUINA</v>
      </c>
      <c r="L2696" s="1" t="str">
        <f>VLOOKUP(Tabela1[[#This Row],[Cliente]],'BASE DE CLIENTES'!A:E,5,0)</f>
        <v>SETOR HABITACIONAL ARNIQUEIRA (AGUAS CLARAS)</v>
      </c>
    </row>
    <row r="2697" spans="2:12" x14ac:dyDescent="0.3">
      <c r="B2697" s="1" t="s">
        <v>117</v>
      </c>
      <c r="C2697" s="4" t="str">
        <f>VLOOKUP(Tabela1[[#This Row],[Cliente]],'BASE DE CLIENTES'!A:E,2,0)</f>
        <v>Brasília</v>
      </c>
      <c r="D2697" s="1" t="str">
        <f>VLOOKUP(Tabela1[[#This Row],[Cliente]],'BASE DE CLIENTES'!A:C,3,0)</f>
        <v>DF</v>
      </c>
      <c r="E2697" s="4" t="str">
        <f>CONCATENATE(Tabela1[[#This Row],[CIDADE]],",",Tabela1[[#This Row],[UF]])</f>
        <v>Brasília,DF</v>
      </c>
      <c r="F2697" s="2">
        <v>45959</v>
      </c>
      <c r="G2697" s="17">
        <v>289</v>
      </c>
      <c r="H2697" s="17">
        <v>550</v>
      </c>
      <c r="I2697" s="6">
        <f>Tabela1[[#This Row],[Valor total]]-Tabela1[[#This Row],[Valor custo]]</f>
        <v>261</v>
      </c>
      <c r="J2697" s="7">
        <f>Tabela1[[#This Row],[MARGEM BRUTA]]/Tabela1[[#This Row],[Valor total]]</f>
        <v>0.47454545454545455</v>
      </c>
      <c r="K2697" s="1" t="str">
        <f>VLOOKUP(Tabela1[[#This Row],[Cliente]],'BASE DE CLIENTES'!A:D,4,0)</f>
        <v>EMPRESA COM MAQUINA</v>
      </c>
      <c r="L2697" s="1" t="str">
        <f>VLOOKUP(Tabela1[[#This Row],[Cliente]],'BASE DE CLIENTES'!A:E,5,0)</f>
        <v>SETOR HABITACIONAL ARNIQUEIRA (AGUAS CLARAS)</v>
      </c>
    </row>
    <row r="2698" spans="2:12" x14ac:dyDescent="0.3">
      <c r="B2698" s="1" t="s">
        <v>88</v>
      </c>
      <c r="C2698" s="4" t="str">
        <f>VLOOKUP(Tabela1[[#This Row],[Cliente]],'BASE DE CLIENTES'!A:E,2,0)</f>
        <v>Brasília</v>
      </c>
      <c r="D2698" s="1" t="str">
        <f>VLOOKUP(Tabela1[[#This Row],[Cliente]],'BASE DE CLIENTES'!A:C,3,0)</f>
        <v>DF</v>
      </c>
      <c r="E2698" s="4" t="str">
        <f>CONCATENATE(Tabela1[[#This Row],[CIDADE]],",",Tabela1[[#This Row],[UF]])</f>
        <v>Brasília,DF</v>
      </c>
      <c r="F2698" s="2">
        <v>45959</v>
      </c>
      <c r="G2698" s="17">
        <v>20</v>
      </c>
      <c r="H2698" s="17">
        <v>30</v>
      </c>
      <c r="I2698" s="6">
        <f>Tabela1[[#This Row],[Valor total]]-Tabela1[[#This Row],[Valor custo]]</f>
        <v>10</v>
      </c>
      <c r="J2698" s="7">
        <f>Tabela1[[#This Row],[MARGEM BRUTA]]/Tabela1[[#This Row],[Valor total]]</f>
        <v>0.33333333333333331</v>
      </c>
      <c r="K2698" s="1" t="str">
        <f>VLOOKUP(Tabela1[[#This Row],[Cliente]],'BASE DE CLIENTES'!A:D,4,0)</f>
        <v>SERRALHEIRO</v>
      </c>
      <c r="L2698" s="1" t="str">
        <f>VLOOKUP(Tabela1[[#This Row],[Cliente]],'BASE DE CLIENTES'!A:E,5,0)</f>
        <v>RECANTO DAS EMAS</v>
      </c>
    </row>
    <row r="2699" spans="2:12" x14ac:dyDescent="0.3">
      <c r="B2699" s="1" t="s">
        <v>88</v>
      </c>
      <c r="C2699" s="4" t="str">
        <f>VLOOKUP(Tabela1[[#This Row],[Cliente]],'BASE DE CLIENTES'!A:E,2,0)</f>
        <v>Brasília</v>
      </c>
      <c r="D2699" s="1" t="str">
        <f>VLOOKUP(Tabela1[[#This Row],[Cliente]],'BASE DE CLIENTES'!A:C,3,0)</f>
        <v>DF</v>
      </c>
      <c r="E2699" s="4" t="str">
        <f>CONCATENATE(Tabela1[[#This Row],[CIDADE]],",",Tabela1[[#This Row],[UF]])</f>
        <v>Brasília,DF</v>
      </c>
      <c r="F2699" s="2">
        <v>45959</v>
      </c>
      <c r="G2699" s="17">
        <v>817.79</v>
      </c>
      <c r="H2699" s="17">
        <v>1365</v>
      </c>
      <c r="I2699" s="6">
        <f>Tabela1[[#This Row],[Valor total]]-Tabela1[[#This Row],[Valor custo]]</f>
        <v>547.21</v>
      </c>
      <c r="J2699" s="7">
        <f>Tabela1[[#This Row],[MARGEM BRUTA]]/Tabela1[[#This Row],[Valor total]]</f>
        <v>0.40088644688644692</v>
      </c>
      <c r="K2699" s="1" t="str">
        <f>VLOOKUP(Tabela1[[#This Row],[Cliente]],'BASE DE CLIENTES'!A:D,4,0)</f>
        <v>SERRALHEIRO</v>
      </c>
      <c r="L2699" s="1" t="str">
        <f>VLOOKUP(Tabela1[[#This Row],[Cliente]],'BASE DE CLIENTES'!A:E,5,0)</f>
        <v>RECANTO DAS EMAS</v>
      </c>
    </row>
    <row r="2700" spans="2:12" x14ac:dyDescent="0.3">
      <c r="B2700" s="1" t="s">
        <v>27</v>
      </c>
      <c r="C2700" s="4" t="str">
        <f>VLOOKUP(Tabela1[[#This Row],[Cliente]],'BASE DE CLIENTES'!A:E,2,0)</f>
        <v>Brasília</v>
      </c>
      <c r="D2700" s="1" t="str">
        <f>VLOOKUP(Tabela1[[#This Row],[Cliente]],'BASE DE CLIENTES'!A:C,3,0)</f>
        <v>DF</v>
      </c>
      <c r="E2700" s="4" t="str">
        <f>CONCATENATE(Tabela1[[#This Row],[CIDADE]],",",Tabela1[[#This Row],[UF]])</f>
        <v>Brasília,DF</v>
      </c>
      <c r="F2700" s="2">
        <v>45959</v>
      </c>
      <c r="G2700" s="17">
        <v>1001.79</v>
      </c>
      <c r="H2700" s="17">
        <v>1254</v>
      </c>
      <c r="I2700" s="6">
        <f>Tabela1[[#This Row],[Valor total]]-Tabela1[[#This Row],[Valor custo]]</f>
        <v>252.21000000000004</v>
      </c>
      <c r="J2700" s="7">
        <f>Tabela1[[#This Row],[MARGEM BRUTA]]/Tabela1[[#This Row],[Valor total]]</f>
        <v>0.20112440191387562</v>
      </c>
      <c r="K2700" s="1" t="str">
        <f>VLOOKUP(Tabela1[[#This Row],[Cliente]],'BASE DE CLIENTES'!A:D,4,0)</f>
        <v>EMPRESA SEM MAQUINA</v>
      </c>
      <c r="L2700" s="1" t="str">
        <f>VLOOKUP(Tabela1[[#This Row],[Cliente]],'BASE DE CLIENTES'!A:E,5,0)</f>
        <v>RECANTO DAS EMAS</v>
      </c>
    </row>
    <row r="2701" spans="2:12" x14ac:dyDescent="0.3">
      <c r="B2701" s="1" t="s">
        <v>141</v>
      </c>
      <c r="C2701" s="4" t="str">
        <f>VLOOKUP(Tabela1[[#This Row],[Cliente]],'BASE DE CLIENTES'!A:E,2,0)</f>
        <v>Brasília</v>
      </c>
      <c r="D2701" s="1" t="str">
        <f>VLOOKUP(Tabela1[[#This Row],[Cliente]],'BASE DE CLIENTES'!A:C,3,0)</f>
        <v>DF</v>
      </c>
      <c r="E2701" s="4" t="str">
        <f>CONCATENATE(Tabela1[[#This Row],[CIDADE]],",",Tabela1[[#This Row],[UF]])</f>
        <v>Brasília,DF</v>
      </c>
      <c r="F2701" s="2">
        <v>45959</v>
      </c>
      <c r="G2701" s="17">
        <v>3110</v>
      </c>
      <c r="H2701" s="17">
        <v>4135</v>
      </c>
      <c r="I2701" s="6">
        <f>Tabela1[[#This Row],[Valor total]]-Tabela1[[#This Row],[Valor custo]]</f>
        <v>1025</v>
      </c>
      <c r="J2701" s="7">
        <f>Tabela1[[#This Row],[MARGEM BRUTA]]/Tabela1[[#This Row],[Valor total]]</f>
        <v>0.2478839177750907</v>
      </c>
      <c r="K2701" s="1" t="str">
        <f>VLOOKUP(Tabela1[[#This Row],[Cliente]],'BASE DE CLIENTES'!A:D,4,0)</f>
        <v>EMPRESA COM MAQUINA</v>
      </c>
      <c r="L2701" s="1" t="str">
        <f>VLOOKUP(Tabela1[[#This Row],[Cliente]],'BASE DE CLIENTES'!A:E,5,0)</f>
        <v>TAGUATINGA</v>
      </c>
    </row>
    <row r="2702" spans="2:12" x14ac:dyDescent="0.3">
      <c r="B2702" s="1" t="s">
        <v>332</v>
      </c>
      <c r="C2702" s="4" t="str">
        <f>VLOOKUP(Tabela1[[#This Row],[Cliente]],'BASE DE CLIENTES'!A:E,2,0)</f>
        <v>Manaus</v>
      </c>
      <c r="D2702" s="1" t="str">
        <f>VLOOKUP(Tabela1[[#This Row],[Cliente]],'BASE DE CLIENTES'!A:C,3,0)</f>
        <v>PA</v>
      </c>
      <c r="E2702" s="4" t="str">
        <f>CONCATENATE(Tabela1[[#This Row],[CIDADE]],",",Tabela1[[#This Row],[UF]])</f>
        <v>Manaus,PA</v>
      </c>
      <c r="F2702" s="2">
        <v>45959</v>
      </c>
      <c r="G2702" s="17">
        <v>305</v>
      </c>
      <c r="H2702" s="17">
        <v>576</v>
      </c>
      <c r="I2702" s="6">
        <f>Tabela1[[#This Row],[Valor total]]-Tabela1[[#This Row],[Valor custo]]</f>
        <v>271</v>
      </c>
      <c r="J2702" s="7">
        <f>Tabela1[[#This Row],[MARGEM BRUTA]]/Tabela1[[#This Row],[Valor total]]</f>
        <v>0.4704861111111111</v>
      </c>
      <c r="K2702" s="1" t="str">
        <f>VLOOKUP(Tabela1[[#This Row],[Cliente]],'BASE DE CLIENTES'!A:D,4,0)</f>
        <v>CLIENTE NOVO S/ IDENT.</v>
      </c>
      <c r="L2702" s="1" t="str">
        <f>VLOOKUP(Tabela1[[#This Row],[Cliente]],'BASE DE CLIENTES'!A:E,5,0)</f>
        <v>Manaus</v>
      </c>
    </row>
    <row r="2703" spans="2:12" x14ac:dyDescent="0.3">
      <c r="B2703" s="1" t="s">
        <v>161</v>
      </c>
      <c r="C2703" s="4" t="str">
        <f>VLOOKUP(Tabela1[[#This Row],[Cliente]],'BASE DE CLIENTES'!A:E,2,0)</f>
        <v>Brasília</v>
      </c>
      <c r="D2703" s="1" t="str">
        <f>VLOOKUP(Tabela1[[#This Row],[Cliente]],'BASE DE CLIENTES'!A:C,3,0)</f>
        <v>DF</v>
      </c>
      <c r="E2703" s="4" t="str">
        <f>CONCATENATE(Tabela1[[#This Row],[CIDADE]],",",Tabela1[[#This Row],[UF]])</f>
        <v>Brasília,DF</v>
      </c>
      <c r="F2703" s="2">
        <v>45959</v>
      </c>
      <c r="G2703" s="17">
        <v>1525</v>
      </c>
      <c r="H2703" s="17">
        <v>1925</v>
      </c>
      <c r="I2703" s="6">
        <f>Tabela1[[#This Row],[Valor total]]-Tabela1[[#This Row],[Valor custo]]</f>
        <v>400</v>
      </c>
      <c r="J2703" s="7">
        <f>Tabela1[[#This Row],[MARGEM BRUTA]]/Tabela1[[#This Row],[Valor total]]</f>
        <v>0.20779220779220781</v>
      </c>
      <c r="K2703" s="1" t="str">
        <f>VLOOKUP(Tabela1[[#This Row],[Cliente]],'BASE DE CLIENTES'!A:D,4,0)</f>
        <v>EMPRESA COM MAQUINA</v>
      </c>
      <c r="L2703" s="1" t="str">
        <f>VLOOKUP(Tabela1[[#This Row],[Cliente]],'BASE DE CLIENTES'!A:E,5,0)</f>
        <v>RIACHO FUNDO II</v>
      </c>
    </row>
    <row r="2704" spans="2:12" x14ac:dyDescent="0.3">
      <c r="B2704" s="1" t="s">
        <v>333</v>
      </c>
      <c r="C2704" s="4" t="str">
        <f>VLOOKUP(Tabela1[[#This Row],[Cliente]],'BASE DE CLIENTES'!A:E,2,0)</f>
        <v>Brasília</v>
      </c>
      <c r="D2704" s="1" t="str">
        <f>VLOOKUP(Tabela1[[#This Row],[Cliente]],'BASE DE CLIENTES'!A:C,3,0)</f>
        <v>DF</v>
      </c>
      <c r="E2704" s="4" t="str">
        <f>CONCATENATE(Tabela1[[#This Row],[CIDADE]],",",Tabela1[[#This Row],[UF]])</f>
        <v>Brasília,DF</v>
      </c>
      <c r="F2704" s="2">
        <v>45959</v>
      </c>
      <c r="G2704" s="17">
        <v>1034</v>
      </c>
      <c r="H2704" s="17">
        <v>1700</v>
      </c>
      <c r="I2704" s="6">
        <f>Tabela1[[#This Row],[Valor total]]-Tabela1[[#This Row],[Valor custo]]</f>
        <v>666</v>
      </c>
      <c r="J2704" s="7">
        <f>Tabela1[[#This Row],[MARGEM BRUTA]]/Tabela1[[#This Row],[Valor total]]</f>
        <v>0.39176470588235296</v>
      </c>
      <c r="K2704" s="1" t="str">
        <f>VLOOKUP(Tabela1[[#This Row],[Cliente]],'BASE DE CLIENTES'!A:D,4,0)</f>
        <v>CLIENTE NOVO S/ IDENT.</v>
      </c>
      <c r="L2704" s="1" t="str">
        <f>VLOOKUP(Tabela1[[#This Row],[Cliente]],'BASE DE CLIENTES'!A:E,5,0)</f>
        <v>Brasília</v>
      </c>
    </row>
    <row r="2705" spans="2:12" x14ac:dyDescent="0.3">
      <c r="B2705" s="1" t="s">
        <v>232</v>
      </c>
      <c r="C2705" s="4" t="str">
        <f>VLOOKUP(Tabela1[[#This Row],[Cliente]],'BASE DE CLIENTES'!A:E,2,0)</f>
        <v>Brasília</v>
      </c>
      <c r="D2705" s="1" t="str">
        <f>VLOOKUP(Tabela1[[#This Row],[Cliente]],'BASE DE CLIENTES'!A:C,3,0)</f>
        <v>DF</v>
      </c>
      <c r="E2705" s="4" t="str">
        <f>CONCATENATE(Tabela1[[#This Row],[CIDADE]],",",Tabela1[[#This Row],[UF]])</f>
        <v>Brasília,DF</v>
      </c>
      <c r="F2705" s="2">
        <v>45959</v>
      </c>
      <c r="G2705" s="17">
        <v>293.13</v>
      </c>
      <c r="H2705" s="17">
        <v>450</v>
      </c>
      <c r="I2705" s="6">
        <f>Tabela1[[#This Row],[Valor total]]-Tabela1[[#This Row],[Valor custo]]</f>
        <v>156.87</v>
      </c>
      <c r="J2705" s="7">
        <f>Tabela1[[#This Row],[MARGEM BRUTA]]/Tabela1[[#This Row],[Valor total]]</f>
        <v>0.34860000000000002</v>
      </c>
      <c r="K2705" s="1" t="str">
        <f>VLOOKUP(Tabela1[[#This Row],[Cliente]],'BASE DE CLIENTES'!A:D,4,0)</f>
        <v>CHAVEIRO</v>
      </c>
      <c r="L2705" s="1" t="str">
        <f>VLOOKUP(Tabela1[[#This Row],[Cliente]],'BASE DE CLIENTES'!A:E,5,0)</f>
        <v>Areal (Águas Claras)</v>
      </c>
    </row>
    <row r="2706" spans="2:12" x14ac:dyDescent="0.3">
      <c r="B2706" s="1" t="s">
        <v>283</v>
      </c>
      <c r="C2706" s="4" t="str">
        <f>VLOOKUP(Tabela1[[#This Row],[Cliente]],'BASE DE CLIENTES'!A:E,2,0)</f>
        <v>Planaltina</v>
      </c>
      <c r="D2706" s="1" t="str">
        <f>VLOOKUP(Tabela1[[#This Row],[Cliente]],'BASE DE CLIENTES'!A:C,3,0)</f>
        <v>GO</v>
      </c>
      <c r="E2706" s="4" t="str">
        <f>CONCATENATE(Tabela1[[#This Row],[CIDADE]],",",Tabela1[[#This Row],[UF]])</f>
        <v>Planaltina,GO</v>
      </c>
      <c r="F2706" s="2">
        <v>45959</v>
      </c>
      <c r="G2706" s="17">
        <v>360.5</v>
      </c>
      <c r="H2706" s="17">
        <v>1000</v>
      </c>
      <c r="I2706" s="6">
        <f>Tabela1[[#This Row],[Valor total]]-Tabela1[[#This Row],[Valor custo]]</f>
        <v>639.5</v>
      </c>
      <c r="J2706" s="7">
        <f>Tabela1[[#This Row],[MARGEM BRUTA]]/Tabela1[[#This Row],[Valor total]]</f>
        <v>0.63949999999999996</v>
      </c>
      <c r="K2706" s="1" t="str">
        <f>VLOOKUP(Tabela1[[#This Row],[Cliente]],'BASE DE CLIENTES'!A:D,4,0)</f>
        <v>SEM CLASSIFICAÇÃO</v>
      </c>
      <c r="L2706" s="1" t="str">
        <f>VLOOKUP(Tabela1[[#This Row],[Cliente]],'BASE DE CLIENTES'!A:E,5,0)</f>
        <v>Planaltina</v>
      </c>
    </row>
    <row r="2707" spans="2:12" x14ac:dyDescent="0.3">
      <c r="B2707" s="1" t="s">
        <v>107</v>
      </c>
      <c r="C2707" s="4" t="str">
        <f>VLOOKUP(Tabela1[[#This Row],[Cliente]],'BASE DE CLIENTES'!A:E,2,0)</f>
        <v>Planaltina</v>
      </c>
      <c r="D2707" s="1" t="str">
        <f>VLOOKUP(Tabela1[[#This Row],[Cliente]],'BASE DE CLIENTES'!A:C,3,0)</f>
        <v>DF</v>
      </c>
      <c r="E2707" s="4" t="str">
        <f>CONCATENATE(Tabela1[[#This Row],[CIDADE]],",",Tabela1[[#This Row],[UF]])</f>
        <v>Planaltina,DF</v>
      </c>
      <c r="F2707" s="2">
        <v>45959</v>
      </c>
      <c r="G2707" s="17">
        <v>2357.58</v>
      </c>
      <c r="H2707" s="17">
        <v>3500</v>
      </c>
      <c r="I2707" s="6">
        <f>Tabela1[[#This Row],[Valor total]]-Tabela1[[#This Row],[Valor custo]]</f>
        <v>1142.42</v>
      </c>
      <c r="J2707" s="7">
        <f>Tabela1[[#This Row],[MARGEM BRUTA]]/Tabela1[[#This Row],[Valor total]]</f>
        <v>0.3264057142857143</v>
      </c>
      <c r="K2707" s="1" t="str">
        <f>VLOOKUP(Tabela1[[#This Row],[Cliente]],'BASE DE CLIENTES'!A:D,4,0)</f>
        <v>EMPRESA COM MAQUINA</v>
      </c>
      <c r="L2707" s="1" t="str">
        <f>VLOOKUP(Tabela1[[#This Row],[Cliente]],'BASE DE CLIENTES'!A:E,5,0)</f>
        <v>SETOR LESTE</v>
      </c>
    </row>
    <row r="2708" spans="2:12" x14ac:dyDescent="0.3">
      <c r="B2708" s="1" t="s">
        <v>227</v>
      </c>
      <c r="C2708" s="4" t="str">
        <f>VLOOKUP(Tabela1[[#This Row],[Cliente]],'BASE DE CLIENTES'!A:E,2,0)</f>
        <v>Goiânia</v>
      </c>
      <c r="D2708" s="1" t="str">
        <f>VLOOKUP(Tabela1[[#This Row],[Cliente]],'BASE DE CLIENTES'!A:C,3,0)</f>
        <v>GO</v>
      </c>
      <c r="E2708" s="4" t="str">
        <f>CONCATENATE(Tabela1[[#This Row],[CIDADE]],",",Tabela1[[#This Row],[UF]])</f>
        <v>Goiânia,GO</v>
      </c>
      <c r="F2708" s="2">
        <v>45959</v>
      </c>
      <c r="G2708" s="17">
        <v>3390</v>
      </c>
      <c r="H2708" s="17">
        <v>5500</v>
      </c>
      <c r="I2708" s="6">
        <f>Tabela1[[#This Row],[Valor total]]-Tabela1[[#This Row],[Valor custo]]</f>
        <v>2110</v>
      </c>
      <c r="J2708" s="7">
        <f>Tabela1[[#This Row],[MARGEM BRUTA]]/Tabela1[[#This Row],[Valor total]]</f>
        <v>0.38363636363636361</v>
      </c>
      <c r="K2708" s="1" t="str">
        <f>VLOOKUP(Tabela1[[#This Row],[Cliente]],'BASE DE CLIENTES'!A:D,4,0)</f>
        <v>EMPRESA SEM MAQUINA</v>
      </c>
      <c r="L2708" s="1" t="str">
        <f>VLOOKUP(Tabela1[[#This Row],[Cliente]],'BASE DE CLIENTES'!A:E,5,0)</f>
        <v>Goiânia</v>
      </c>
    </row>
    <row r="2709" spans="2:12" x14ac:dyDescent="0.3">
      <c r="B2709" s="1" t="s">
        <v>111</v>
      </c>
      <c r="C2709" s="4" t="str">
        <f>VLOOKUP(Tabela1[[#This Row],[Cliente]],'BASE DE CLIENTES'!A:E,2,0)</f>
        <v>Brasília</v>
      </c>
      <c r="D2709" s="1" t="str">
        <f>VLOOKUP(Tabela1[[#This Row],[Cliente]],'BASE DE CLIENTES'!A:C,3,0)</f>
        <v>DF</v>
      </c>
      <c r="E2709" s="4" t="str">
        <f>CONCATENATE(Tabela1[[#This Row],[CIDADE]],",",Tabela1[[#This Row],[UF]])</f>
        <v>Brasília,DF</v>
      </c>
      <c r="F2709" s="2">
        <v>45959</v>
      </c>
      <c r="G2709" s="17">
        <v>3184.79</v>
      </c>
      <c r="H2709" s="17">
        <v>4935</v>
      </c>
      <c r="I2709" s="6">
        <f>Tabela1[[#This Row],[Valor total]]-Tabela1[[#This Row],[Valor custo]]</f>
        <v>1750.21</v>
      </c>
      <c r="J2709" s="7">
        <f>Tabela1[[#This Row],[MARGEM BRUTA]]/Tabela1[[#This Row],[Valor total]]</f>
        <v>0.35465248226950358</v>
      </c>
      <c r="K2709" s="1" t="str">
        <f>VLOOKUP(Tabela1[[#This Row],[Cliente]],'BASE DE CLIENTES'!A:D,4,0)</f>
        <v>EMPRESA SEM MAQUINA</v>
      </c>
      <c r="L2709" s="1" t="str">
        <f>VLOOKUP(Tabela1[[#This Row],[Cliente]],'BASE DE CLIENTES'!A:E,5,0)</f>
        <v>TAGUATINGA SUL (TAGUATINGA)</v>
      </c>
    </row>
    <row r="2710" spans="2:12" x14ac:dyDescent="0.3">
      <c r="B2710" s="1" t="s">
        <v>97</v>
      </c>
      <c r="C2710" s="4" t="str">
        <f>VLOOKUP(Tabela1[[#This Row],[Cliente]],'BASE DE CLIENTES'!A:E,2,0)</f>
        <v>Brasília</v>
      </c>
      <c r="D2710" s="1" t="str">
        <f>VLOOKUP(Tabela1[[#This Row],[Cliente]],'BASE DE CLIENTES'!A:C,3,0)</f>
        <v>DF</v>
      </c>
      <c r="E2710" s="4" t="str">
        <f>CONCATENATE(Tabela1[[#This Row],[CIDADE]],",",Tabela1[[#This Row],[UF]])</f>
        <v>Brasília,DF</v>
      </c>
      <c r="F2710" s="2">
        <v>45959</v>
      </c>
      <c r="G2710" s="17">
        <v>1034</v>
      </c>
      <c r="H2710" s="17">
        <v>1795</v>
      </c>
      <c r="I2710" s="6">
        <f>Tabela1[[#This Row],[Valor total]]-Tabela1[[#This Row],[Valor custo]]</f>
        <v>761</v>
      </c>
      <c r="J2710" s="7">
        <f>Tabela1[[#This Row],[MARGEM BRUTA]]/Tabela1[[#This Row],[Valor total]]</f>
        <v>0.42395543175487466</v>
      </c>
      <c r="K2710" s="1" t="str">
        <f>VLOOKUP(Tabela1[[#This Row],[Cliente]],'BASE DE CLIENTES'!A:D,4,0)</f>
        <v>SERRALHEIRO</v>
      </c>
      <c r="L2710" s="1" t="str">
        <f>VLOOKUP(Tabela1[[#This Row],[Cliente]],'BASE DE CLIENTES'!A:E,5,0)</f>
        <v>CEILANDIA NORTE</v>
      </c>
    </row>
    <row r="2711" spans="2:12" x14ac:dyDescent="0.3">
      <c r="B2711" s="1" t="s">
        <v>149</v>
      </c>
      <c r="C2711" s="4" t="str">
        <f>VLOOKUP(Tabela1[[#This Row],[Cliente]],'BASE DE CLIENTES'!A:E,2,0)</f>
        <v>Anápolis</v>
      </c>
      <c r="D2711" s="1" t="str">
        <f>VLOOKUP(Tabela1[[#This Row],[Cliente]],'BASE DE CLIENTES'!A:C,3,0)</f>
        <v>GO</v>
      </c>
      <c r="E2711" s="4" t="str">
        <f>CONCATENATE(Tabela1[[#This Row],[CIDADE]],",",Tabela1[[#This Row],[UF]])</f>
        <v>Anápolis,GO</v>
      </c>
      <c r="F2711" s="2">
        <v>45959</v>
      </c>
      <c r="G2711" s="17">
        <v>3421.74</v>
      </c>
      <c r="H2711" s="17">
        <v>4880</v>
      </c>
      <c r="I2711" s="6">
        <f>Tabela1[[#This Row],[Valor total]]-Tabela1[[#This Row],[Valor custo]]</f>
        <v>1458.2600000000002</v>
      </c>
      <c r="J2711" s="7">
        <f>Tabela1[[#This Row],[MARGEM BRUTA]]/Tabela1[[#This Row],[Valor total]]</f>
        <v>0.29882377049180331</v>
      </c>
      <c r="K2711" s="1" t="str">
        <f>VLOOKUP(Tabela1[[#This Row],[Cliente]],'BASE DE CLIENTES'!A:D,4,0)</f>
        <v>EMPRESA COM MAQUINA</v>
      </c>
      <c r="L2711" s="1" t="str">
        <f>VLOOKUP(Tabela1[[#This Row],[Cliente]],'BASE DE CLIENTES'!A:E,5,0)</f>
        <v>Anápolis</v>
      </c>
    </row>
    <row r="2712" spans="2:12" x14ac:dyDescent="0.3">
      <c r="B2712" s="1" t="s">
        <v>179</v>
      </c>
      <c r="C2712" s="4" t="str">
        <f>VLOOKUP(Tabela1[[#This Row],[Cliente]],'BASE DE CLIENTES'!A:E,2,0)</f>
        <v>Brasilândia de Minas</v>
      </c>
      <c r="D2712" s="1" t="str">
        <f>VLOOKUP(Tabela1[[#This Row],[Cliente]],'BASE DE CLIENTES'!A:C,3,0)</f>
        <v>MG</v>
      </c>
      <c r="E2712" s="4" t="str">
        <f>CONCATENATE(Tabela1[[#This Row],[CIDADE]],",",Tabela1[[#This Row],[UF]])</f>
        <v>Brasilândia de Minas,MG</v>
      </c>
      <c r="F2712" s="2">
        <v>45958</v>
      </c>
      <c r="G2712" s="17">
        <v>6.1</v>
      </c>
      <c r="H2712" s="17">
        <v>8</v>
      </c>
      <c r="I2712" s="6">
        <f>Tabela1[[#This Row],[Valor total]]-Tabela1[[#This Row],[Valor custo]]</f>
        <v>1.9000000000000004</v>
      </c>
      <c r="J2712" s="7">
        <f>Tabela1[[#This Row],[MARGEM BRUTA]]/Tabela1[[#This Row],[Valor total]]</f>
        <v>0.23750000000000004</v>
      </c>
      <c r="K2712" s="1" t="str">
        <f>VLOOKUP(Tabela1[[#This Row],[Cliente]],'BASE DE CLIENTES'!A:D,4,0)</f>
        <v>EMPRESA SEM MAQUINA</v>
      </c>
      <c r="L2712" s="1" t="str">
        <f>VLOOKUP(Tabela1[[#This Row],[Cliente]],'BASE DE CLIENTES'!A:E,5,0)</f>
        <v>Brasilândia de Minas</v>
      </c>
    </row>
    <row r="2713" spans="2:12" x14ac:dyDescent="0.3">
      <c r="B2713" s="1" t="s">
        <v>152</v>
      </c>
      <c r="C2713" s="4" t="str">
        <f>VLOOKUP(Tabela1[[#This Row],[Cliente]],'BASE DE CLIENTES'!A:E,2,0)</f>
        <v>Aparecida de Goiânia</v>
      </c>
      <c r="D2713" s="1" t="str">
        <f>VLOOKUP(Tabela1[[#This Row],[Cliente]],'BASE DE CLIENTES'!A:C,3,0)</f>
        <v>GO</v>
      </c>
      <c r="E2713" s="4" t="str">
        <f>CONCATENATE(Tabela1[[#This Row],[CIDADE]],",",Tabela1[[#This Row],[UF]])</f>
        <v>Aparecida de Goiânia,GO</v>
      </c>
      <c r="F2713" s="2">
        <v>45958</v>
      </c>
      <c r="G2713" s="17">
        <v>289</v>
      </c>
      <c r="H2713" s="17">
        <v>550</v>
      </c>
      <c r="I2713" s="6">
        <f>Tabela1[[#This Row],[Valor total]]-Tabela1[[#This Row],[Valor custo]]</f>
        <v>261</v>
      </c>
      <c r="J2713" s="7">
        <f>Tabela1[[#This Row],[MARGEM BRUTA]]/Tabela1[[#This Row],[Valor total]]</f>
        <v>0.47454545454545455</v>
      </c>
      <c r="K2713" s="1" t="str">
        <f>VLOOKUP(Tabela1[[#This Row],[Cliente]],'BASE DE CLIENTES'!A:D,4,0)</f>
        <v>TECNICO</v>
      </c>
      <c r="L2713" s="1" t="str">
        <f>VLOOKUP(Tabela1[[#This Row],[Cliente]],'BASE DE CLIENTES'!A:E,5,0)</f>
        <v>Aparecida de Goiânia</v>
      </c>
    </row>
    <row r="2714" spans="2:12" x14ac:dyDescent="0.3">
      <c r="B2714" s="1" t="s">
        <v>179</v>
      </c>
      <c r="C2714" s="4" t="str">
        <f>VLOOKUP(Tabela1[[#This Row],[Cliente]],'BASE DE CLIENTES'!A:E,2,0)</f>
        <v>Brasilândia de Minas</v>
      </c>
      <c r="D2714" s="1" t="str">
        <f>VLOOKUP(Tabela1[[#This Row],[Cliente]],'BASE DE CLIENTES'!A:C,3,0)</f>
        <v>MG</v>
      </c>
      <c r="E2714" s="4" t="str">
        <f>CONCATENATE(Tabela1[[#This Row],[CIDADE]],",",Tabela1[[#This Row],[UF]])</f>
        <v>Brasilândia de Minas,MG</v>
      </c>
      <c r="F2714" s="2">
        <v>45958</v>
      </c>
      <c r="G2714" s="17">
        <v>447.21</v>
      </c>
      <c r="H2714" s="17">
        <v>680</v>
      </c>
      <c r="I2714" s="6">
        <f>Tabela1[[#This Row],[Valor total]]-Tabela1[[#This Row],[Valor custo]]</f>
        <v>232.79000000000002</v>
      </c>
      <c r="J2714" s="7">
        <f>Tabela1[[#This Row],[MARGEM BRUTA]]/Tabela1[[#This Row],[Valor total]]</f>
        <v>0.34233823529411767</v>
      </c>
      <c r="K2714" s="1" t="str">
        <f>VLOOKUP(Tabela1[[#This Row],[Cliente]],'BASE DE CLIENTES'!A:D,4,0)</f>
        <v>EMPRESA SEM MAQUINA</v>
      </c>
      <c r="L2714" s="1" t="str">
        <f>VLOOKUP(Tabela1[[#This Row],[Cliente]],'BASE DE CLIENTES'!A:E,5,0)</f>
        <v>Brasilândia de Minas</v>
      </c>
    </row>
    <row r="2715" spans="2:12" x14ac:dyDescent="0.3">
      <c r="B2715" s="1" t="s">
        <v>222</v>
      </c>
      <c r="C2715" s="4" t="str">
        <f>VLOOKUP(Tabela1[[#This Row],[Cliente]],'BASE DE CLIENTES'!A:E,2,0)</f>
        <v>Goiânia</v>
      </c>
      <c r="D2715" s="1" t="str">
        <f>VLOOKUP(Tabela1[[#This Row],[Cliente]],'BASE DE CLIENTES'!A:C,3,0)</f>
        <v>GO</v>
      </c>
      <c r="E2715" s="4" t="str">
        <f>CONCATENATE(Tabela1[[#This Row],[CIDADE]],",",Tabela1[[#This Row],[UF]])</f>
        <v>Goiânia,GO</v>
      </c>
      <c r="F2715" s="2">
        <v>45958</v>
      </c>
      <c r="G2715" s="17">
        <v>9960</v>
      </c>
      <c r="H2715" s="17">
        <v>15000</v>
      </c>
      <c r="I2715" s="6">
        <f>Tabela1[[#This Row],[Valor total]]-Tabela1[[#This Row],[Valor custo]]</f>
        <v>5040</v>
      </c>
      <c r="J2715" s="7">
        <f>Tabela1[[#This Row],[MARGEM BRUTA]]/Tabela1[[#This Row],[Valor total]]</f>
        <v>0.33600000000000002</v>
      </c>
      <c r="K2715" s="1" t="str">
        <f>VLOOKUP(Tabela1[[#This Row],[Cliente]],'BASE DE CLIENTES'!A:D,4,0)</f>
        <v>EMPRESA COM MAQUINA</v>
      </c>
      <c r="L2715" s="1" t="str">
        <f>VLOOKUP(Tabela1[[#This Row],[Cliente]],'BASE DE CLIENTES'!A:E,5,0)</f>
        <v>Goiânia</v>
      </c>
    </row>
    <row r="2716" spans="2:12" x14ac:dyDescent="0.3">
      <c r="B2716" s="1" t="s">
        <v>334</v>
      </c>
      <c r="C2716" s="4" t="str">
        <f>VLOOKUP(Tabela1[[#This Row],[Cliente]],'BASE DE CLIENTES'!A:E,2,0)</f>
        <v>Salvador</v>
      </c>
      <c r="D2716" s="1" t="str">
        <f>VLOOKUP(Tabela1[[#This Row],[Cliente]],'BASE DE CLIENTES'!A:C,3,0)</f>
        <v>BA</v>
      </c>
      <c r="E2716" s="4" t="str">
        <f>CONCATENATE(Tabela1[[#This Row],[CIDADE]],",",Tabela1[[#This Row],[UF]])</f>
        <v>Salvador,BA</v>
      </c>
      <c r="F2716" s="2">
        <v>45958</v>
      </c>
      <c r="G2716" s="17">
        <v>3027.84</v>
      </c>
      <c r="H2716" s="17">
        <v>5420</v>
      </c>
      <c r="I2716" s="6">
        <f>Tabela1[[#This Row],[Valor total]]-Tabela1[[#This Row],[Valor custo]]</f>
        <v>2392.16</v>
      </c>
      <c r="J2716" s="7">
        <f>Tabela1[[#This Row],[MARGEM BRUTA]]/Tabela1[[#This Row],[Valor total]]</f>
        <v>0.44135793357933578</v>
      </c>
      <c r="K2716" s="1" t="str">
        <f>VLOOKUP(Tabela1[[#This Row],[Cliente]],'BASE DE CLIENTES'!A:D,4,0)</f>
        <v>CLIENTE NOVO S/ IDENT.</v>
      </c>
      <c r="L2716" s="1" t="str">
        <f>VLOOKUP(Tabela1[[#This Row],[Cliente]],'BASE DE CLIENTES'!A:E,5,0)</f>
        <v>Salvador</v>
      </c>
    </row>
    <row r="2717" spans="2:12" x14ac:dyDescent="0.3">
      <c r="B2717" s="1" t="s">
        <v>68</v>
      </c>
      <c r="C2717" s="4" t="str">
        <f>VLOOKUP(Tabela1[[#This Row],[Cliente]],'BASE DE CLIENTES'!A:E,2,0)</f>
        <v>Brasília</v>
      </c>
      <c r="D2717" s="1" t="str">
        <f>VLOOKUP(Tabela1[[#This Row],[Cliente]],'BASE DE CLIENTES'!A:C,3,0)</f>
        <v>DF</v>
      </c>
      <c r="E2717" s="4" t="str">
        <f>CONCATENATE(Tabela1[[#This Row],[CIDADE]],",",Tabela1[[#This Row],[UF]])</f>
        <v>Brasília,DF</v>
      </c>
      <c r="F2717" s="2">
        <v>45958</v>
      </c>
      <c r="G2717" s="17">
        <v>2425</v>
      </c>
      <c r="H2717" s="17">
        <v>3875</v>
      </c>
      <c r="I2717" s="6">
        <f>Tabela1[[#This Row],[Valor total]]-Tabela1[[#This Row],[Valor custo]]</f>
        <v>1450</v>
      </c>
      <c r="J2717" s="7">
        <f>Tabela1[[#This Row],[MARGEM BRUTA]]/Tabela1[[#This Row],[Valor total]]</f>
        <v>0.37419354838709679</v>
      </c>
      <c r="K2717" s="1" t="str">
        <f>VLOOKUP(Tabela1[[#This Row],[Cliente]],'BASE DE CLIENTES'!A:D,4,0)</f>
        <v>EMPRESA COM MAQUINA</v>
      </c>
      <c r="L2717" s="1" t="str">
        <f>VLOOKUP(Tabela1[[#This Row],[Cliente]],'BASE DE CLIENTES'!A:E,5,0)</f>
        <v>SAMAMBAIA SUL (SAMAMBAIA)</v>
      </c>
    </row>
    <row r="2718" spans="2:12" x14ac:dyDescent="0.3">
      <c r="B2718" s="1" t="s">
        <v>120</v>
      </c>
      <c r="C2718" s="4" t="str">
        <f>VLOOKUP(Tabela1[[#This Row],[Cliente]],'BASE DE CLIENTES'!A:E,2,0)</f>
        <v>Brasília</v>
      </c>
      <c r="D2718" s="1" t="str">
        <f>VLOOKUP(Tabela1[[#This Row],[Cliente]],'BASE DE CLIENTES'!A:C,3,0)</f>
        <v>DF</v>
      </c>
      <c r="E2718" s="4" t="str">
        <f>CONCATENATE(Tabela1[[#This Row],[CIDADE]],",",Tabela1[[#This Row],[UF]])</f>
        <v>Brasília,DF</v>
      </c>
      <c r="F2718" s="2">
        <v>45958</v>
      </c>
      <c r="G2718" s="17">
        <v>5164.53</v>
      </c>
      <c r="H2718" s="17">
        <v>7595</v>
      </c>
      <c r="I2718" s="6">
        <f>Tabela1[[#This Row],[Valor total]]-Tabela1[[#This Row],[Valor custo]]</f>
        <v>2430.4700000000003</v>
      </c>
      <c r="J2718" s="7">
        <f>Tabela1[[#This Row],[MARGEM BRUTA]]/Tabela1[[#This Row],[Valor total]]</f>
        <v>0.32000921658986181</v>
      </c>
      <c r="K2718" s="1" t="str">
        <f>VLOOKUP(Tabela1[[#This Row],[Cliente]],'BASE DE CLIENTES'!A:D,4,0)</f>
        <v>EMPRESA SEM MAQUINA</v>
      </c>
      <c r="L2718" s="1" t="str">
        <f>VLOOKUP(Tabela1[[#This Row],[Cliente]],'BASE DE CLIENTES'!A:E,5,0)</f>
        <v>SAMAMBAIA</v>
      </c>
    </row>
    <row r="2719" spans="2:12" x14ac:dyDescent="0.3">
      <c r="B2719" s="1" t="s">
        <v>27</v>
      </c>
      <c r="C2719" s="4" t="str">
        <f>VLOOKUP(Tabela1[[#This Row],[Cliente]],'BASE DE CLIENTES'!A:E,2,0)</f>
        <v>Brasília</v>
      </c>
      <c r="D2719" s="1" t="str">
        <f>VLOOKUP(Tabela1[[#This Row],[Cliente]],'BASE DE CLIENTES'!A:C,3,0)</f>
        <v>DF</v>
      </c>
      <c r="E2719" s="4" t="str">
        <f>CONCATENATE(Tabela1[[#This Row],[CIDADE]],",",Tabela1[[#This Row],[UF]])</f>
        <v>Brasília,DF</v>
      </c>
      <c r="F2719" s="2">
        <v>45958</v>
      </c>
      <c r="G2719" s="17">
        <v>270</v>
      </c>
      <c r="H2719" s="17">
        <v>450</v>
      </c>
      <c r="I2719" s="6">
        <f>Tabela1[[#This Row],[Valor total]]-Tabela1[[#This Row],[Valor custo]]</f>
        <v>180</v>
      </c>
      <c r="J2719" s="7">
        <f>Tabela1[[#This Row],[MARGEM BRUTA]]/Tabela1[[#This Row],[Valor total]]</f>
        <v>0.4</v>
      </c>
      <c r="K2719" s="1" t="str">
        <f>VLOOKUP(Tabela1[[#This Row],[Cliente]],'BASE DE CLIENTES'!A:D,4,0)</f>
        <v>EMPRESA SEM MAQUINA</v>
      </c>
      <c r="L2719" s="1" t="str">
        <f>VLOOKUP(Tabela1[[#This Row],[Cliente]],'BASE DE CLIENTES'!A:E,5,0)</f>
        <v>RECANTO DAS EMAS</v>
      </c>
    </row>
    <row r="2720" spans="2:12" x14ac:dyDescent="0.3">
      <c r="B2720" s="1" t="s">
        <v>319</v>
      </c>
      <c r="C2720" s="4" t="str">
        <f>VLOOKUP(Tabela1[[#This Row],[Cliente]],'BASE DE CLIENTES'!A:E,2,0)</f>
        <v>Valparaíso de Goiás</v>
      </c>
      <c r="D2720" s="1" t="str">
        <f>VLOOKUP(Tabela1[[#This Row],[Cliente]],'BASE DE CLIENTES'!A:C,3,0)</f>
        <v>GO</v>
      </c>
      <c r="E2720" s="4" t="str">
        <f>CONCATENATE(Tabela1[[#This Row],[CIDADE]],",",Tabela1[[#This Row],[UF]])</f>
        <v>Valparaíso de Goiás,GO</v>
      </c>
      <c r="F2720" s="2">
        <v>45958</v>
      </c>
      <c r="G2720" s="17">
        <v>1556</v>
      </c>
      <c r="H2720" s="17">
        <v>2760</v>
      </c>
      <c r="I2720" s="6">
        <f>Tabela1[[#This Row],[Valor total]]-Tabela1[[#This Row],[Valor custo]]</f>
        <v>1204</v>
      </c>
      <c r="J2720" s="7">
        <f>Tabela1[[#This Row],[MARGEM BRUTA]]/Tabela1[[#This Row],[Valor total]]</f>
        <v>0.43623188405797103</v>
      </c>
      <c r="K2720" s="1" t="str">
        <f>VLOOKUP(Tabela1[[#This Row],[Cliente]],'BASE DE CLIENTES'!A:D,4,0)</f>
        <v>EMPRESA COM MAQUINA</v>
      </c>
      <c r="L2720" s="1" t="str">
        <f>VLOOKUP(Tabela1[[#This Row],[Cliente]],'BASE DE CLIENTES'!A:E,5,0)</f>
        <v>Valparaíso de Goiás</v>
      </c>
    </row>
    <row r="2721" spans="2:12" x14ac:dyDescent="0.3">
      <c r="B2721" s="1" t="s">
        <v>17</v>
      </c>
      <c r="C2721" s="4" t="str">
        <f>VLOOKUP(Tabela1[[#This Row],[Cliente]],'BASE DE CLIENTES'!A:E,2,0)</f>
        <v>Águas Lindas de Goiás</v>
      </c>
      <c r="D2721" s="1" t="str">
        <f>VLOOKUP(Tabela1[[#This Row],[Cliente]],'BASE DE CLIENTES'!A:C,3,0)</f>
        <v>GO</v>
      </c>
      <c r="E2721" s="4" t="str">
        <f>CONCATENATE(Tabela1[[#This Row],[CIDADE]],",",Tabela1[[#This Row],[UF]])</f>
        <v>Águas Lindas de Goiás,GO</v>
      </c>
      <c r="F2721" s="2">
        <v>45958</v>
      </c>
      <c r="G2721" s="17">
        <v>289</v>
      </c>
      <c r="H2721" s="17">
        <v>626</v>
      </c>
      <c r="I2721" s="6">
        <f>Tabela1[[#This Row],[Valor total]]-Tabela1[[#This Row],[Valor custo]]</f>
        <v>337</v>
      </c>
      <c r="J2721" s="7">
        <f>Tabela1[[#This Row],[MARGEM BRUTA]]/Tabela1[[#This Row],[Valor total]]</f>
        <v>0.53833865814696491</v>
      </c>
      <c r="K2721" s="1" t="str">
        <f>VLOOKUP(Tabela1[[#This Row],[Cliente]],'BASE DE CLIENTES'!A:D,4,0)</f>
        <v>SERRALHEIRO</v>
      </c>
      <c r="L2721" s="1" t="str">
        <f>VLOOKUP(Tabela1[[#This Row],[Cliente]],'BASE DE CLIENTES'!A:E,5,0)</f>
        <v>Águas Lindas de Goiás</v>
      </c>
    </row>
    <row r="2722" spans="2:12" x14ac:dyDescent="0.3">
      <c r="B2722" s="1" t="s">
        <v>321</v>
      </c>
      <c r="C2722" s="4" t="str">
        <f>VLOOKUP(Tabela1[[#This Row],[Cliente]],'BASE DE CLIENTES'!A:E,2,0)</f>
        <v>Valparaíso de Goiás</v>
      </c>
      <c r="D2722" s="1" t="str">
        <f>VLOOKUP(Tabela1[[#This Row],[Cliente]],'BASE DE CLIENTES'!A:C,3,0)</f>
        <v>GO</v>
      </c>
      <c r="E2722" s="4" t="str">
        <f>CONCATENATE(Tabela1[[#This Row],[CIDADE]],",",Tabela1[[#This Row],[UF]])</f>
        <v>Valparaíso de Goiás,GO</v>
      </c>
      <c r="F2722" s="2">
        <v>45958</v>
      </c>
      <c r="G2722" s="17">
        <v>1819</v>
      </c>
      <c r="H2722" s="17">
        <v>2895</v>
      </c>
      <c r="I2722" s="6">
        <f>Tabela1[[#This Row],[Valor total]]-Tabela1[[#This Row],[Valor custo]]</f>
        <v>1076</v>
      </c>
      <c r="J2722" s="7">
        <f>Tabela1[[#This Row],[MARGEM BRUTA]]/Tabela1[[#This Row],[Valor total]]</f>
        <v>0.37167530224525042</v>
      </c>
      <c r="K2722" s="1" t="str">
        <f>VLOOKUP(Tabela1[[#This Row],[Cliente]],'BASE DE CLIENTES'!A:D,4,0)</f>
        <v>EMPRESA COM MAQUINA</v>
      </c>
      <c r="L2722" s="1" t="str">
        <f>VLOOKUP(Tabela1[[#This Row],[Cliente]],'BASE DE CLIENTES'!A:E,5,0)</f>
        <v>Valparaíso de Goiás</v>
      </c>
    </row>
    <row r="2723" spans="2:12" x14ac:dyDescent="0.3">
      <c r="B2723" s="1" t="s">
        <v>325</v>
      </c>
      <c r="C2723" s="4" t="str">
        <f>VLOOKUP(Tabela1[[#This Row],[Cliente]],'BASE DE CLIENTES'!A:E,2,0)</f>
        <v>Valparaíso de Goiás</v>
      </c>
      <c r="D2723" s="1" t="str">
        <f>VLOOKUP(Tabela1[[#This Row],[Cliente]],'BASE DE CLIENTES'!A:C,3,0)</f>
        <v>GO</v>
      </c>
      <c r="E2723" s="4" t="str">
        <f>CONCATENATE(Tabela1[[#This Row],[CIDADE]],",",Tabela1[[#This Row],[UF]])</f>
        <v>Valparaíso de Goiás,GO</v>
      </c>
      <c r="F2723" s="2">
        <v>45958</v>
      </c>
      <c r="G2723" s="17">
        <v>544</v>
      </c>
      <c r="H2723" s="17">
        <v>900</v>
      </c>
      <c r="I2723" s="6">
        <f>Tabela1[[#This Row],[Valor total]]-Tabela1[[#This Row],[Valor custo]]</f>
        <v>356</v>
      </c>
      <c r="J2723" s="7">
        <f>Tabela1[[#This Row],[MARGEM BRUTA]]/Tabela1[[#This Row],[Valor total]]</f>
        <v>0.39555555555555555</v>
      </c>
      <c r="K2723" s="1" t="str">
        <f>VLOOKUP(Tabela1[[#This Row],[Cliente]],'BASE DE CLIENTES'!A:D,4,0)</f>
        <v>SERRALHEIRO</v>
      </c>
      <c r="L2723" s="1" t="str">
        <f>VLOOKUP(Tabela1[[#This Row],[Cliente]],'BASE DE CLIENTES'!A:E,5,0)</f>
        <v>Valparaíso de Goiás</v>
      </c>
    </row>
    <row r="2724" spans="2:12" x14ac:dyDescent="0.3">
      <c r="B2724" s="1" t="s">
        <v>206</v>
      </c>
      <c r="C2724" s="4" t="str">
        <f>VLOOKUP(Tabela1[[#This Row],[Cliente]],'BASE DE CLIENTES'!A:E,2,0)</f>
        <v>Goiânia</v>
      </c>
      <c r="D2724" s="1" t="str">
        <f>VLOOKUP(Tabela1[[#This Row],[Cliente]],'BASE DE CLIENTES'!A:C,3,0)</f>
        <v>GO</v>
      </c>
      <c r="E2724" s="4" t="str">
        <f>CONCATENATE(Tabela1[[#This Row],[CIDADE]],",",Tabela1[[#This Row],[UF]])</f>
        <v>Goiânia,GO</v>
      </c>
      <c r="F2724" s="2">
        <v>45958</v>
      </c>
      <c r="G2724" s="17">
        <v>3792</v>
      </c>
      <c r="H2724" s="17">
        <v>5600</v>
      </c>
      <c r="I2724" s="6">
        <f>Tabela1[[#This Row],[Valor total]]-Tabela1[[#This Row],[Valor custo]]</f>
        <v>1808</v>
      </c>
      <c r="J2724" s="7">
        <f>Tabela1[[#This Row],[MARGEM BRUTA]]/Tabela1[[#This Row],[Valor total]]</f>
        <v>0.32285714285714284</v>
      </c>
      <c r="K2724" s="1" t="str">
        <f>VLOOKUP(Tabela1[[#This Row],[Cliente]],'BASE DE CLIENTES'!A:D,4,0)</f>
        <v>EMPRESA COM MAQUINA</v>
      </c>
      <c r="L2724" s="1" t="str">
        <f>VLOOKUP(Tabela1[[#This Row],[Cliente]],'BASE DE CLIENTES'!A:E,5,0)</f>
        <v>Goiânia</v>
      </c>
    </row>
    <row r="2725" spans="2:12" x14ac:dyDescent="0.3">
      <c r="B2725" s="1" t="s">
        <v>161</v>
      </c>
      <c r="C2725" s="4" t="str">
        <f>VLOOKUP(Tabela1[[#This Row],[Cliente]],'BASE DE CLIENTES'!A:E,2,0)</f>
        <v>Brasília</v>
      </c>
      <c r="D2725" s="1" t="str">
        <f>VLOOKUP(Tabela1[[#This Row],[Cliente]],'BASE DE CLIENTES'!A:C,3,0)</f>
        <v>DF</v>
      </c>
      <c r="E2725" s="4" t="str">
        <f>CONCATENATE(Tabela1[[#This Row],[CIDADE]],",",Tabela1[[#This Row],[UF]])</f>
        <v>Brasília,DF</v>
      </c>
      <c r="F2725" s="2">
        <v>45958</v>
      </c>
      <c r="G2725" s="17">
        <v>125</v>
      </c>
      <c r="H2725" s="17">
        <v>150</v>
      </c>
      <c r="I2725" s="6">
        <f>Tabela1[[#This Row],[Valor total]]-Tabela1[[#This Row],[Valor custo]]</f>
        <v>25</v>
      </c>
      <c r="J2725" s="7">
        <f>Tabela1[[#This Row],[MARGEM BRUTA]]/Tabela1[[#This Row],[Valor total]]</f>
        <v>0.16666666666666666</v>
      </c>
      <c r="K2725" s="1" t="str">
        <f>VLOOKUP(Tabela1[[#This Row],[Cliente]],'BASE DE CLIENTES'!A:D,4,0)</f>
        <v>EMPRESA COM MAQUINA</v>
      </c>
      <c r="L2725" s="1" t="str">
        <f>VLOOKUP(Tabela1[[#This Row],[Cliente]],'BASE DE CLIENTES'!A:E,5,0)</f>
        <v>RIACHO FUNDO II</v>
      </c>
    </row>
    <row r="2726" spans="2:12" x14ac:dyDescent="0.3">
      <c r="B2726" s="1" t="s">
        <v>70</v>
      </c>
      <c r="C2726" s="4" t="str">
        <f>VLOOKUP(Tabela1[[#This Row],[Cliente]],'BASE DE CLIENTES'!A:E,2,0)</f>
        <v>Brasília</v>
      </c>
      <c r="D2726" s="1" t="str">
        <f>VLOOKUP(Tabela1[[#This Row],[Cliente]],'BASE DE CLIENTES'!A:C,3,0)</f>
        <v>DF</v>
      </c>
      <c r="E2726" s="4" t="str">
        <f>CONCATENATE(Tabela1[[#This Row],[CIDADE]],",",Tabela1[[#This Row],[UF]])</f>
        <v>Brasília,DF</v>
      </c>
      <c r="F2726" s="2">
        <v>45958</v>
      </c>
      <c r="G2726" s="17">
        <v>2266</v>
      </c>
      <c r="H2726" s="17">
        <v>3748</v>
      </c>
      <c r="I2726" s="6">
        <f>Tabela1[[#This Row],[Valor total]]-Tabela1[[#This Row],[Valor custo]]</f>
        <v>1482</v>
      </c>
      <c r="J2726" s="7">
        <f>Tabela1[[#This Row],[MARGEM BRUTA]]/Tabela1[[#This Row],[Valor total]]</f>
        <v>0.39541088580576306</v>
      </c>
      <c r="K2726" s="1" t="str">
        <f>VLOOKUP(Tabela1[[#This Row],[Cliente]],'BASE DE CLIENTES'!A:D,4,0)</f>
        <v>EMPRESA COM MAQUINA</v>
      </c>
      <c r="L2726" s="1" t="str">
        <f>VLOOKUP(Tabela1[[#This Row],[Cliente]],'BASE DE CLIENTES'!A:E,5,0)</f>
        <v>TAGUATINGA NORTE (TAGUATINGA)</v>
      </c>
    </row>
    <row r="2727" spans="2:12" x14ac:dyDescent="0.3">
      <c r="B2727" s="1" t="s">
        <v>70</v>
      </c>
      <c r="C2727" s="4" t="str">
        <f>VLOOKUP(Tabela1[[#This Row],[Cliente]],'BASE DE CLIENTES'!A:E,2,0)</f>
        <v>Brasília</v>
      </c>
      <c r="D2727" s="1" t="str">
        <f>VLOOKUP(Tabela1[[#This Row],[Cliente]],'BASE DE CLIENTES'!A:C,3,0)</f>
        <v>DF</v>
      </c>
      <c r="E2727" s="4" t="str">
        <f>CONCATENATE(Tabela1[[#This Row],[CIDADE]],",",Tabela1[[#This Row],[UF]])</f>
        <v>Brasília,DF</v>
      </c>
      <c r="F2727" s="2">
        <v>45958</v>
      </c>
      <c r="G2727" s="17">
        <v>458.14</v>
      </c>
      <c r="H2727" s="17">
        <v>705</v>
      </c>
      <c r="I2727" s="6">
        <f>Tabela1[[#This Row],[Valor total]]-Tabela1[[#This Row],[Valor custo]]</f>
        <v>246.86</v>
      </c>
      <c r="J2727" s="7">
        <f>Tabela1[[#This Row],[MARGEM BRUTA]]/Tabela1[[#This Row],[Valor total]]</f>
        <v>0.35015602836879434</v>
      </c>
      <c r="K2727" s="1" t="str">
        <f>VLOOKUP(Tabela1[[#This Row],[Cliente]],'BASE DE CLIENTES'!A:D,4,0)</f>
        <v>EMPRESA COM MAQUINA</v>
      </c>
      <c r="L2727" s="1" t="str">
        <f>VLOOKUP(Tabela1[[#This Row],[Cliente]],'BASE DE CLIENTES'!A:E,5,0)</f>
        <v>TAGUATINGA NORTE (TAGUATINGA)</v>
      </c>
    </row>
    <row r="2728" spans="2:12" x14ac:dyDescent="0.3">
      <c r="B2728" s="1" t="s">
        <v>309</v>
      </c>
      <c r="C2728" s="4" t="str">
        <f>VLOOKUP(Tabela1[[#This Row],[Cliente]],'BASE DE CLIENTES'!A:E,2,0)</f>
        <v>Uberlândia</v>
      </c>
      <c r="D2728" s="1" t="str">
        <f>VLOOKUP(Tabela1[[#This Row],[Cliente]],'BASE DE CLIENTES'!A:C,3,0)</f>
        <v>MG</v>
      </c>
      <c r="E2728" s="4" t="str">
        <f>CONCATENATE(Tabela1[[#This Row],[CIDADE]],",",Tabela1[[#This Row],[UF]])</f>
        <v>Uberlândia,MG</v>
      </c>
      <c r="F2728" s="2">
        <v>45958</v>
      </c>
      <c r="G2728" s="17">
        <v>2405</v>
      </c>
      <c r="H2728" s="17">
        <v>3775.35</v>
      </c>
      <c r="I2728" s="6">
        <f>Tabela1[[#This Row],[Valor total]]-Tabela1[[#This Row],[Valor custo]]</f>
        <v>1370.35</v>
      </c>
      <c r="J2728" s="7">
        <f>Tabela1[[#This Row],[MARGEM BRUTA]]/Tabela1[[#This Row],[Valor total]]</f>
        <v>0.36297296939356616</v>
      </c>
      <c r="K2728" s="1" t="str">
        <f>VLOOKUP(Tabela1[[#This Row],[Cliente]],'BASE DE CLIENTES'!A:D,4,0)</f>
        <v>EMPRESA COM MAQUINA</v>
      </c>
      <c r="L2728" s="1" t="str">
        <f>VLOOKUP(Tabela1[[#This Row],[Cliente]],'BASE DE CLIENTES'!A:E,5,0)</f>
        <v>Uberlândia</v>
      </c>
    </row>
    <row r="2729" spans="2:12" x14ac:dyDescent="0.3">
      <c r="B2729" s="1" t="s">
        <v>111</v>
      </c>
      <c r="C2729" s="4" t="str">
        <f>VLOOKUP(Tabela1[[#This Row],[Cliente]],'BASE DE CLIENTES'!A:E,2,0)</f>
        <v>Brasília</v>
      </c>
      <c r="D2729" s="1" t="str">
        <f>VLOOKUP(Tabela1[[#This Row],[Cliente]],'BASE DE CLIENTES'!A:C,3,0)</f>
        <v>DF</v>
      </c>
      <c r="E2729" s="4" t="str">
        <f>CONCATENATE(Tabela1[[#This Row],[CIDADE]],",",Tabela1[[#This Row],[UF]])</f>
        <v>Brasília,DF</v>
      </c>
      <c r="F2729" s="2">
        <v>45958</v>
      </c>
      <c r="G2729" s="17">
        <v>664</v>
      </c>
      <c r="H2729" s="17">
        <v>1100</v>
      </c>
      <c r="I2729" s="6">
        <f>Tabela1[[#This Row],[Valor total]]-Tabela1[[#This Row],[Valor custo]]</f>
        <v>436</v>
      </c>
      <c r="J2729" s="7">
        <f>Tabela1[[#This Row],[MARGEM BRUTA]]/Tabela1[[#This Row],[Valor total]]</f>
        <v>0.39636363636363636</v>
      </c>
      <c r="K2729" s="1" t="str">
        <f>VLOOKUP(Tabela1[[#This Row],[Cliente]],'BASE DE CLIENTES'!A:D,4,0)</f>
        <v>EMPRESA SEM MAQUINA</v>
      </c>
      <c r="L2729" s="1" t="str">
        <f>VLOOKUP(Tabela1[[#This Row],[Cliente]],'BASE DE CLIENTES'!A:E,5,0)</f>
        <v>TAGUATINGA SUL (TAGUATINGA)</v>
      </c>
    </row>
    <row r="2730" spans="2:12" x14ac:dyDescent="0.3">
      <c r="B2730" s="1" t="s">
        <v>311</v>
      </c>
      <c r="C2730" s="4" t="str">
        <f>VLOOKUP(Tabela1[[#This Row],[Cliente]],'BASE DE CLIENTES'!A:E,2,0)</f>
        <v>Uberlândia</v>
      </c>
      <c r="D2730" s="1" t="str">
        <f>VLOOKUP(Tabela1[[#This Row],[Cliente]],'BASE DE CLIENTES'!A:C,3,0)</f>
        <v>MG</v>
      </c>
      <c r="E2730" s="4" t="str">
        <f>CONCATENATE(Tabela1[[#This Row],[CIDADE]],",",Tabela1[[#This Row],[UF]])</f>
        <v>Uberlândia,MG</v>
      </c>
      <c r="F2730" s="2">
        <v>45958</v>
      </c>
      <c r="G2730" s="17">
        <v>10750.3</v>
      </c>
      <c r="H2730" s="17">
        <v>16500</v>
      </c>
      <c r="I2730" s="6">
        <f>Tabela1[[#This Row],[Valor total]]-Tabela1[[#This Row],[Valor custo]]</f>
        <v>5749.7000000000007</v>
      </c>
      <c r="J2730" s="7">
        <f>Tabela1[[#This Row],[MARGEM BRUTA]]/Tabela1[[#This Row],[Valor total]]</f>
        <v>0.3484666666666667</v>
      </c>
      <c r="K2730" s="1" t="str">
        <f>VLOOKUP(Tabela1[[#This Row],[Cliente]],'BASE DE CLIENTES'!A:D,4,0)</f>
        <v>EMPRESA COM MAQUINA</v>
      </c>
      <c r="L2730" s="1" t="str">
        <f>VLOOKUP(Tabela1[[#This Row],[Cliente]],'BASE DE CLIENTES'!A:E,5,0)</f>
        <v>Uberlândia</v>
      </c>
    </row>
    <row r="2731" spans="2:12" x14ac:dyDescent="0.3">
      <c r="B2731" s="1" t="s">
        <v>27</v>
      </c>
      <c r="C2731" s="4" t="str">
        <f>VLOOKUP(Tabela1[[#This Row],[Cliente]],'BASE DE CLIENTES'!A:E,2,0)</f>
        <v>Brasília</v>
      </c>
      <c r="D2731" s="1" t="str">
        <f>VLOOKUP(Tabela1[[#This Row],[Cliente]],'BASE DE CLIENTES'!A:C,3,0)</f>
        <v>DF</v>
      </c>
      <c r="E2731" s="4" t="str">
        <f>CONCATENATE(Tabela1[[#This Row],[CIDADE]],",",Tabela1[[#This Row],[UF]])</f>
        <v>Brasília,DF</v>
      </c>
      <c r="F2731" s="2">
        <v>45957</v>
      </c>
      <c r="G2731" s="17">
        <v>385</v>
      </c>
      <c r="H2731" s="17">
        <v>615</v>
      </c>
      <c r="I2731" s="6">
        <f>Tabela1[[#This Row],[Valor total]]-Tabela1[[#This Row],[Valor custo]]</f>
        <v>230</v>
      </c>
      <c r="J2731" s="7">
        <f>Tabela1[[#This Row],[MARGEM BRUTA]]/Tabela1[[#This Row],[Valor total]]</f>
        <v>0.37398373983739835</v>
      </c>
      <c r="K2731" s="1" t="str">
        <f>VLOOKUP(Tabela1[[#This Row],[Cliente]],'BASE DE CLIENTES'!A:D,4,0)</f>
        <v>EMPRESA SEM MAQUINA</v>
      </c>
      <c r="L2731" s="1" t="str">
        <f>VLOOKUP(Tabela1[[#This Row],[Cliente]],'BASE DE CLIENTES'!A:E,5,0)</f>
        <v>RECANTO DAS EMAS</v>
      </c>
    </row>
    <row r="2732" spans="2:12" x14ac:dyDescent="0.3">
      <c r="B2732" s="1" t="s">
        <v>42</v>
      </c>
      <c r="C2732" s="4" t="str">
        <f>VLOOKUP(Tabela1[[#This Row],[Cliente]],'BASE DE CLIENTES'!A:E,2,0)</f>
        <v>Brasília</v>
      </c>
      <c r="D2732" s="1" t="str">
        <f>VLOOKUP(Tabela1[[#This Row],[Cliente]],'BASE DE CLIENTES'!A:C,3,0)</f>
        <v>DF</v>
      </c>
      <c r="E2732" s="4" t="str">
        <f>CONCATENATE(Tabela1[[#This Row],[CIDADE]],",",Tabela1[[#This Row],[UF]])</f>
        <v>Brasília,DF</v>
      </c>
      <c r="F2732" s="2">
        <v>45957</v>
      </c>
      <c r="G2732" s="17">
        <v>360.5</v>
      </c>
      <c r="H2732" s="17">
        <v>1000</v>
      </c>
      <c r="I2732" s="6">
        <f>Tabela1[[#This Row],[Valor total]]-Tabela1[[#This Row],[Valor custo]]</f>
        <v>639.5</v>
      </c>
      <c r="J2732" s="7">
        <f>Tabela1[[#This Row],[MARGEM BRUTA]]/Tabela1[[#This Row],[Valor total]]</f>
        <v>0.63949999999999996</v>
      </c>
      <c r="K2732" s="1" t="str">
        <f>VLOOKUP(Tabela1[[#This Row],[Cliente]],'BASE DE CLIENTES'!A:D,4,0)</f>
        <v>EMPRESA SEM MAQUINA</v>
      </c>
      <c r="L2732" s="1" t="str">
        <f>VLOOKUP(Tabela1[[#This Row],[Cliente]],'BASE DE CLIENTES'!A:E,5,0)</f>
        <v>SAMAMBAIA</v>
      </c>
    </row>
    <row r="2733" spans="2:12" x14ac:dyDescent="0.3">
      <c r="B2733" s="1" t="s">
        <v>66</v>
      </c>
      <c r="C2733" s="4" t="str">
        <f>VLOOKUP(Tabela1[[#This Row],[Cliente]],'BASE DE CLIENTES'!A:E,2,0)</f>
        <v>Águas Lindas de Goiás</v>
      </c>
      <c r="D2733" s="1" t="str">
        <f>VLOOKUP(Tabela1[[#This Row],[Cliente]],'BASE DE CLIENTES'!A:C,3,0)</f>
        <v>GO</v>
      </c>
      <c r="E2733" s="4" t="str">
        <f>CONCATENATE(Tabela1[[#This Row],[CIDADE]],",",Tabela1[[#This Row],[UF]])</f>
        <v>Águas Lindas de Goiás,GO</v>
      </c>
      <c r="F2733" s="2">
        <v>45957</v>
      </c>
      <c r="G2733" s="17">
        <v>385</v>
      </c>
      <c r="H2733" s="17">
        <v>600</v>
      </c>
      <c r="I2733" s="6">
        <f>Tabela1[[#This Row],[Valor total]]-Tabela1[[#This Row],[Valor custo]]</f>
        <v>215</v>
      </c>
      <c r="J2733" s="7">
        <f>Tabela1[[#This Row],[MARGEM BRUTA]]/Tabela1[[#This Row],[Valor total]]</f>
        <v>0.35833333333333334</v>
      </c>
      <c r="K2733" s="1" t="str">
        <f>VLOOKUP(Tabela1[[#This Row],[Cliente]],'BASE DE CLIENTES'!A:D,4,0)</f>
        <v>EMPRESA COM MAQUINA</v>
      </c>
      <c r="L2733" s="1" t="str">
        <f>VLOOKUP(Tabela1[[#This Row],[Cliente]],'BASE DE CLIENTES'!A:E,5,0)</f>
        <v>Águas Lindas de Goiás</v>
      </c>
    </row>
    <row r="2734" spans="2:12" x14ac:dyDescent="0.3">
      <c r="B2734" s="1" t="s">
        <v>206</v>
      </c>
      <c r="C2734" s="4" t="str">
        <f>VLOOKUP(Tabela1[[#This Row],[Cliente]],'BASE DE CLIENTES'!A:E,2,0)</f>
        <v>Goiânia</v>
      </c>
      <c r="D2734" s="1" t="str">
        <f>VLOOKUP(Tabela1[[#This Row],[Cliente]],'BASE DE CLIENTES'!A:C,3,0)</f>
        <v>GO</v>
      </c>
      <c r="E2734" s="4" t="str">
        <f>CONCATENATE(Tabela1[[#This Row],[CIDADE]],",",Tabela1[[#This Row],[UF]])</f>
        <v>Goiânia,GO</v>
      </c>
      <c r="F2734" s="2">
        <v>45957</v>
      </c>
      <c r="G2734" s="17">
        <v>10698</v>
      </c>
      <c r="H2734" s="17">
        <v>15420</v>
      </c>
      <c r="I2734" s="6">
        <f>Tabela1[[#This Row],[Valor total]]-Tabela1[[#This Row],[Valor custo]]</f>
        <v>4722</v>
      </c>
      <c r="J2734" s="7">
        <f>Tabela1[[#This Row],[MARGEM BRUTA]]/Tabela1[[#This Row],[Valor total]]</f>
        <v>0.30622568093385216</v>
      </c>
      <c r="K2734" s="1" t="str">
        <f>VLOOKUP(Tabela1[[#This Row],[Cliente]],'BASE DE CLIENTES'!A:D,4,0)</f>
        <v>EMPRESA COM MAQUINA</v>
      </c>
      <c r="L2734" s="1" t="str">
        <f>VLOOKUP(Tabela1[[#This Row],[Cliente]],'BASE DE CLIENTES'!A:E,5,0)</f>
        <v>Goiânia</v>
      </c>
    </row>
    <row r="2735" spans="2:12" x14ac:dyDescent="0.3">
      <c r="B2735" s="1" t="s">
        <v>236</v>
      </c>
      <c r="C2735" s="4" t="str">
        <f>VLOOKUP(Tabela1[[#This Row],[Cliente]],'BASE DE CLIENTES'!A:E,2,0)</f>
        <v>Goiânia</v>
      </c>
      <c r="D2735" s="1" t="str">
        <f>VLOOKUP(Tabela1[[#This Row],[Cliente]],'BASE DE CLIENTES'!A:C,3,0)</f>
        <v>GO</v>
      </c>
      <c r="E2735" s="4" t="str">
        <f>CONCATENATE(Tabela1[[#This Row],[CIDADE]],",",Tabela1[[#This Row],[UF]])</f>
        <v>Goiânia,GO</v>
      </c>
      <c r="F2735" s="2">
        <v>45957</v>
      </c>
      <c r="G2735" s="17">
        <v>2310</v>
      </c>
      <c r="H2735" s="17">
        <v>3120</v>
      </c>
      <c r="I2735" s="6">
        <f>Tabela1[[#This Row],[Valor total]]-Tabela1[[#This Row],[Valor custo]]</f>
        <v>810</v>
      </c>
      <c r="J2735" s="7">
        <f>Tabela1[[#This Row],[MARGEM BRUTA]]/Tabela1[[#This Row],[Valor total]]</f>
        <v>0.25961538461538464</v>
      </c>
      <c r="K2735" s="1" t="str">
        <f>VLOOKUP(Tabela1[[#This Row],[Cliente]],'BASE DE CLIENTES'!A:D,4,0)</f>
        <v>EMPRESA COM MAQUINA</v>
      </c>
      <c r="L2735" s="1" t="str">
        <f>VLOOKUP(Tabela1[[#This Row],[Cliente]],'BASE DE CLIENTES'!A:E,5,0)</f>
        <v>Goiânia</v>
      </c>
    </row>
    <row r="2736" spans="2:12" x14ac:dyDescent="0.3">
      <c r="B2736" s="1" t="s">
        <v>152</v>
      </c>
      <c r="C2736" s="4" t="str">
        <f>VLOOKUP(Tabela1[[#This Row],[Cliente]],'BASE DE CLIENTES'!A:E,2,0)</f>
        <v>Aparecida de Goiânia</v>
      </c>
      <c r="D2736" s="1" t="str">
        <f>VLOOKUP(Tabela1[[#This Row],[Cliente]],'BASE DE CLIENTES'!A:C,3,0)</f>
        <v>GO</v>
      </c>
      <c r="E2736" s="4" t="str">
        <f>CONCATENATE(Tabela1[[#This Row],[CIDADE]],",",Tabela1[[#This Row],[UF]])</f>
        <v>Aparecida de Goiânia,GO</v>
      </c>
      <c r="F2736" s="2">
        <v>45957</v>
      </c>
      <c r="G2736" s="17">
        <v>0</v>
      </c>
      <c r="H2736" s="17">
        <v>1350</v>
      </c>
      <c r="I2736" s="6">
        <f>Tabela1[[#This Row],[Valor total]]-Tabela1[[#This Row],[Valor custo]]</f>
        <v>1350</v>
      </c>
      <c r="J2736" s="7">
        <f>Tabela1[[#This Row],[MARGEM BRUTA]]/Tabela1[[#This Row],[Valor total]]</f>
        <v>1</v>
      </c>
      <c r="K2736" s="1" t="str">
        <f>VLOOKUP(Tabela1[[#This Row],[Cliente]],'BASE DE CLIENTES'!A:D,4,0)</f>
        <v>TECNICO</v>
      </c>
      <c r="L2736" s="1" t="str">
        <f>VLOOKUP(Tabela1[[#This Row],[Cliente]],'BASE DE CLIENTES'!A:E,5,0)</f>
        <v>Aparecida de Goiânia</v>
      </c>
    </row>
    <row r="2737" spans="2:12" x14ac:dyDescent="0.3">
      <c r="B2737" s="1" t="s">
        <v>78</v>
      </c>
      <c r="C2737" s="4" t="str">
        <f>VLOOKUP(Tabela1[[#This Row],[Cliente]],'BASE DE CLIENTES'!A:E,2,0)</f>
        <v>Brasília</v>
      </c>
      <c r="D2737" s="1" t="str">
        <f>VLOOKUP(Tabela1[[#This Row],[Cliente]],'BASE DE CLIENTES'!A:C,3,0)</f>
        <v>DF</v>
      </c>
      <c r="E2737" s="4" t="str">
        <f>CONCATENATE(Tabela1[[#This Row],[CIDADE]],",",Tabela1[[#This Row],[UF]])</f>
        <v>Brasília,DF</v>
      </c>
      <c r="F2737" s="2">
        <v>45957</v>
      </c>
      <c r="G2737" s="17">
        <v>492.73</v>
      </c>
      <c r="H2737" s="17">
        <v>950</v>
      </c>
      <c r="I2737" s="6">
        <f>Tabela1[[#This Row],[Valor total]]-Tabela1[[#This Row],[Valor custo]]</f>
        <v>457.27</v>
      </c>
      <c r="J2737" s="7">
        <f>Tabela1[[#This Row],[MARGEM BRUTA]]/Tabela1[[#This Row],[Valor total]]</f>
        <v>0.48133684210526312</v>
      </c>
      <c r="K2737" s="1" t="str">
        <f>VLOOKUP(Tabela1[[#This Row],[Cliente]],'BASE DE CLIENTES'!A:D,4,0)</f>
        <v>SERRALHEIRO</v>
      </c>
      <c r="L2737" s="1" t="str">
        <f>VLOOKUP(Tabela1[[#This Row],[Cliente]],'BASE DE CLIENTES'!A:E,5,0)</f>
        <v>Vila do Boa (São Sebastião)</v>
      </c>
    </row>
    <row r="2738" spans="2:12" x14ac:dyDescent="0.3">
      <c r="B2738" s="1" t="s">
        <v>127</v>
      </c>
      <c r="C2738" s="4" t="str">
        <f>VLOOKUP(Tabela1[[#This Row],[Cliente]],'BASE DE CLIENTES'!A:E,2,0)</f>
        <v>Brasília</v>
      </c>
      <c r="D2738" s="1" t="str">
        <f>VLOOKUP(Tabela1[[#This Row],[Cliente]],'BASE DE CLIENTES'!A:C,3,0)</f>
        <v>DF</v>
      </c>
      <c r="E2738" s="4" t="str">
        <f>CONCATENATE(Tabela1[[#This Row],[CIDADE]],",",Tabela1[[#This Row],[UF]])</f>
        <v>Brasília,DF</v>
      </c>
      <c r="F2738" s="2">
        <v>45957</v>
      </c>
      <c r="G2738" s="17">
        <v>1761.37</v>
      </c>
      <c r="H2738" s="17">
        <v>2715</v>
      </c>
      <c r="I2738" s="6">
        <f>Tabela1[[#This Row],[Valor total]]-Tabela1[[#This Row],[Valor custo]]</f>
        <v>953.63000000000011</v>
      </c>
      <c r="J2738" s="7">
        <f>Tabela1[[#This Row],[MARGEM BRUTA]]/Tabela1[[#This Row],[Valor total]]</f>
        <v>0.35124493554327813</v>
      </c>
      <c r="K2738" s="1" t="str">
        <f>VLOOKUP(Tabela1[[#This Row],[Cliente]],'BASE DE CLIENTES'!A:D,4,0)</f>
        <v>EMPRESA COM MAQUINA</v>
      </c>
      <c r="L2738" s="1" t="str">
        <f>VLOOKUP(Tabela1[[#This Row],[Cliente]],'BASE DE CLIENTES'!A:E,5,0)</f>
        <v>CEILANDIA SUL (CEILANDIA)</v>
      </c>
    </row>
    <row r="2739" spans="2:12" x14ac:dyDescent="0.3">
      <c r="B2739" s="1" t="s">
        <v>127</v>
      </c>
      <c r="C2739" s="4" t="str">
        <f>VLOOKUP(Tabela1[[#This Row],[Cliente]],'BASE DE CLIENTES'!A:E,2,0)</f>
        <v>Brasília</v>
      </c>
      <c r="D2739" s="1" t="str">
        <f>VLOOKUP(Tabela1[[#This Row],[Cliente]],'BASE DE CLIENTES'!A:C,3,0)</f>
        <v>DF</v>
      </c>
      <c r="E2739" s="4" t="str">
        <f>CONCATENATE(Tabela1[[#This Row],[CIDADE]],",",Tabela1[[#This Row],[UF]])</f>
        <v>Brasília,DF</v>
      </c>
      <c r="F2739" s="2">
        <v>45957</v>
      </c>
      <c r="G2739" s="17">
        <v>396.28</v>
      </c>
      <c r="H2739" s="17">
        <v>480</v>
      </c>
      <c r="I2739" s="6">
        <f>Tabela1[[#This Row],[Valor total]]-Tabela1[[#This Row],[Valor custo]]</f>
        <v>83.720000000000027</v>
      </c>
      <c r="J2739" s="7">
        <f>Tabela1[[#This Row],[MARGEM BRUTA]]/Tabela1[[#This Row],[Valor total]]</f>
        <v>0.17441666666666672</v>
      </c>
      <c r="K2739" s="1" t="str">
        <f>VLOOKUP(Tabela1[[#This Row],[Cliente]],'BASE DE CLIENTES'!A:D,4,0)</f>
        <v>EMPRESA COM MAQUINA</v>
      </c>
      <c r="L2739" s="1" t="str">
        <f>VLOOKUP(Tabela1[[#This Row],[Cliente]],'BASE DE CLIENTES'!A:E,5,0)</f>
        <v>CEILANDIA SUL (CEILANDIA)</v>
      </c>
    </row>
    <row r="2740" spans="2:12" x14ac:dyDescent="0.3">
      <c r="B2740" s="1" t="s">
        <v>68</v>
      </c>
      <c r="C2740" s="4" t="str">
        <f>VLOOKUP(Tabela1[[#This Row],[Cliente]],'BASE DE CLIENTES'!A:E,2,0)</f>
        <v>Brasília</v>
      </c>
      <c r="D2740" s="1" t="str">
        <f>VLOOKUP(Tabela1[[#This Row],[Cliente]],'BASE DE CLIENTES'!A:C,3,0)</f>
        <v>DF</v>
      </c>
      <c r="E2740" s="4" t="str">
        <f>CONCATENATE(Tabela1[[#This Row],[CIDADE]],",",Tabela1[[#This Row],[UF]])</f>
        <v>Brasília,DF</v>
      </c>
      <c r="F2740" s="2">
        <v>45957</v>
      </c>
      <c r="G2740" s="17">
        <v>970</v>
      </c>
      <c r="H2740" s="17">
        <v>1550</v>
      </c>
      <c r="I2740" s="6">
        <f>Tabela1[[#This Row],[Valor total]]-Tabela1[[#This Row],[Valor custo]]</f>
        <v>580</v>
      </c>
      <c r="J2740" s="7">
        <f>Tabela1[[#This Row],[MARGEM BRUTA]]/Tabela1[[#This Row],[Valor total]]</f>
        <v>0.37419354838709679</v>
      </c>
      <c r="K2740" s="1" t="str">
        <f>VLOOKUP(Tabela1[[#This Row],[Cliente]],'BASE DE CLIENTES'!A:D,4,0)</f>
        <v>EMPRESA COM MAQUINA</v>
      </c>
      <c r="L2740" s="1" t="str">
        <f>VLOOKUP(Tabela1[[#This Row],[Cliente]],'BASE DE CLIENTES'!A:E,5,0)</f>
        <v>SAMAMBAIA SUL (SAMAMBAIA)</v>
      </c>
    </row>
    <row r="2741" spans="2:12" x14ac:dyDescent="0.3">
      <c r="B2741" s="1" t="s">
        <v>216</v>
      </c>
      <c r="C2741" s="4" t="str">
        <f>VLOOKUP(Tabela1[[#This Row],[Cliente]],'BASE DE CLIENTES'!A:E,2,0)</f>
        <v>Brasília</v>
      </c>
      <c r="D2741" s="1" t="str">
        <f>VLOOKUP(Tabela1[[#This Row],[Cliente]],'BASE DE CLIENTES'!A:C,3,0)</f>
        <v>DF</v>
      </c>
      <c r="E2741" s="4" t="str">
        <f>CONCATENATE(Tabela1[[#This Row],[CIDADE]],",",Tabela1[[#This Row],[UF]])</f>
        <v>Brasília,DF</v>
      </c>
      <c r="F2741" s="2">
        <v>45957</v>
      </c>
      <c r="G2741" s="17">
        <v>600</v>
      </c>
      <c r="H2741" s="17">
        <v>720</v>
      </c>
      <c r="I2741" s="6">
        <f>Tabela1[[#This Row],[Valor total]]-Tabela1[[#This Row],[Valor custo]]</f>
        <v>120</v>
      </c>
      <c r="J2741" s="7">
        <f>Tabela1[[#This Row],[MARGEM BRUTA]]/Tabela1[[#This Row],[Valor total]]</f>
        <v>0.16666666666666666</v>
      </c>
      <c r="K2741" s="1" t="str">
        <f>VLOOKUP(Tabela1[[#This Row],[Cliente]],'BASE DE CLIENTES'!A:D,4,0)</f>
        <v>EMPRESA COM MAQUINA</v>
      </c>
      <c r="L2741" s="1" t="str">
        <f>VLOOKUP(Tabela1[[#This Row],[Cliente]],'BASE DE CLIENTES'!A:E,5,0)</f>
        <v>RIACHO FUNDO II</v>
      </c>
    </row>
    <row r="2742" spans="2:12" x14ac:dyDescent="0.3">
      <c r="B2742" s="1" t="s">
        <v>132</v>
      </c>
      <c r="C2742" s="4" t="str">
        <f>VLOOKUP(Tabela1[[#This Row],[Cliente]],'BASE DE CLIENTES'!A:E,2,0)</f>
        <v>Águas Lindas de Goiás</v>
      </c>
      <c r="D2742" s="1" t="str">
        <f>VLOOKUP(Tabela1[[#This Row],[Cliente]],'BASE DE CLIENTES'!A:C,3,0)</f>
        <v>GO</v>
      </c>
      <c r="E2742" s="4" t="str">
        <f>CONCATENATE(Tabela1[[#This Row],[CIDADE]],",",Tabela1[[#This Row],[UF]])</f>
        <v>Águas Lindas de Goiás,GO</v>
      </c>
      <c r="F2742" s="2">
        <v>45957</v>
      </c>
      <c r="G2742" s="17">
        <v>345.6</v>
      </c>
      <c r="H2742" s="17">
        <v>430</v>
      </c>
      <c r="I2742" s="6">
        <f>Tabela1[[#This Row],[Valor total]]-Tabela1[[#This Row],[Valor custo]]</f>
        <v>84.399999999999977</v>
      </c>
      <c r="J2742" s="7">
        <f>Tabela1[[#This Row],[MARGEM BRUTA]]/Tabela1[[#This Row],[Valor total]]</f>
        <v>0.19627906976744181</v>
      </c>
      <c r="K2742" s="1" t="str">
        <f>VLOOKUP(Tabela1[[#This Row],[Cliente]],'BASE DE CLIENTES'!A:D,4,0)</f>
        <v>SERRALHEIRO</v>
      </c>
      <c r="L2742" s="1" t="str">
        <f>VLOOKUP(Tabela1[[#This Row],[Cliente]],'BASE DE CLIENTES'!A:E,5,0)</f>
        <v>Águas Lindas de Goiás</v>
      </c>
    </row>
    <row r="2743" spans="2:12" x14ac:dyDescent="0.3">
      <c r="B2743" s="1" t="s">
        <v>123</v>
      </c>
      <c r="C2743" s="4" t="str">
        <f>VLOOKUP(Tabela1[[#This Row],[Cliente]],'BASE DE CLIENTES'!A:E,2,0)</f>
        <v>Brasília</v>
      </c>
      <c r="D2743" s="1" t="str">
        <f>VLOOKUP(Tabela1[[#This Row],[Cliente]],'BASE DE CLIENTES'!A:C,3,0)</f>
        <v>DF</v>
      </c>
      <c r="E2743" s="4" t="str">
        <f>CONCATENATE(Tabela1[[#This Row],[CIDADE]],",",Tabela1[[#This Row],[UF]])</f>
        <v>Brasília,DF</v>
      </c>
      <c r="F2743" s="2">
        <v>45957</v>
      </c>
      <c r="G2743" s="17">
        <v>375</v>
      </c>
      <c r="H2743" s="17">
        <v>450</v>
      </c>
      <c r="I2743" s="6">
        <f>Tabela1[[#This Row],[Valor total]]-Tabela1[[#This Row],[Valor custo]]</f>
        <v>75</v>
      </c>
      <c r="J2743" s="7">
        <f>Tabela1[[#This Row],[MARGEM BRUTA]]/Tabela1[[#This Row],[Valor total]]</f>
        <v>0.16666666666666666</v>
      </c>
      <c r="K2743" s="1" t="str">
        <f>VLOOKUP(Tabela1[[#This Row],[Cliente]],'BASE DE CLIENTES'!A:D,4,0)</f>
        <v>EMPRESA COM MAQUINA</v>
      </c>
      <c r="L2743" s="1" t="str">
        <f>VLOOKUP(Tabela1[[#This Row],[Cliente]],'BASE DE CLIENTES'!A:E,5,0)</f>
        <v>ADE CEILÂNDIA</v>
      </c>
    </row>
    <row r="2744" spans="2:12" x14ac:dyDescent="0.3">
      <c r="B2744" s="1" t="s">
        <v>123</v>
      </c>
      <c r="C2744" s="4" t="str">
        <f>VLOOKUP(Tabela1[[#This Row],[Cliente]],'BASE DE CLIENTES'!A:E,2,0)</f>
        <v>Brasília</v>
      </c>
      <c r="D2744" s="1" t="str">
        <f>VLOOKUP(Tabela1[[#This Row],[Cliente]],'BASE DE CLIENTES'!A:C,3,0)</f>
        <v>DF</v>
      </c>
      <c r="E2744" s="4" t="str">
        <f>CONCATENATE(Tabela1[[#This Row],[CIDADE]],",",Tabela1[[#This Row],[UF]])</f>
        <v>Brasília,DF</v>
      </c>
      <c r="F2744" s="2">
        <v>45957</v>
      </c>
      <c r="G2744" s="17">
        <v>432.79</v>
      </c>
      <c r="H2744" s="17">
        <v>720</v>
      </c>
      <c r="I2744" s="6">
        <f>Tabela1[[#This Row],[Valor total]]-Tabela1[[#This Row],[Valor custo]]</f>
        <v>287.20999999999998</v>
      </c>
      <c r="J2744" s="7">
        <f>Tabela1[[#This Row],[MARGEM BRUTA]]/Tabela1[[#This Row],[Valor total]]</f>
        <v>0.39890277777777777</v>
      </c>
      <c r="K2744" s="1" t="str">
        <f>VLOOKUP(Tabela1[[#This Row],[Cliente]],'BASE DE CLIENTES'!A:D,4,0)</f>
        <v>EMPRESA COM MAQUINA</v>
      </c>
      <c r="L2744" s="1" t="str">
        <f>VLOOKUP(Tabela1[[#This Row],[Cliente]],'BASE DE CLIENTES'!A:E,5,0)</f>
        <v>ADE CEILÂNDIA</v>
      </c>
    </row>
    <row r="2745" spans="2:12" x14ac:dyDescent="0.3">
      <c r="B2745" s="1" t="s">
        <v>96</v>
      </c>
      <c r="C2745" s="4" t="str">
        <f>VLOOKUP(Tabela1[[#This Row],[Cliente]],'BASE DE CLIENTES'!A:E,2,0)</f>
        <v>Brasília</v>
      </c>
      <c r="D2745" s="1" t="str">
        <f>VLOOKUP(Tabela1[[#This Row],[Cliente]],'BASE DE CLIENTES'!A:C,3,0)</f>
        <v>DF</v>
      </c>
      <c r="E2745" s="4" t="str">
        <f>CONCATENATE(Tabela1[[#This Row],[CIDADE]],",",Tabela1[[#This Row],[UF]])</f>
        <v>Brasília,DF</v>
      </c>
      <c r="F2745" s="2">
        <v>45955</v>
      </c>
      <c r="G2745" s="17">
        <v>385</v>
      </c>
      <c r="H2745" s="17">
        <v>615</v>
      </c>
      <c r="I2745" s="6">
        <f>Tabela1[[#This Row],[Valor total]]-Tabela1[[#This Row],[Valor custo]]</f>
        <v>230</v>
      </c>
      <c r="J2745" s="7">
        <f>Tabela1[[#This Row],[MARGEM BRUTA]]/Tabela1[[#This Row],[Valor total]]</f>
        <v>0.37398373983739835</v>
      </c>
      <c r="K2745" s="1" t="str">
        <f>VLOOKUP(Tabela1[[#This Row],[Cliente]],'BASE DE CLIENTES'!A:D,4,0)</f>
        <v>EMPRESA SEM MAQUINA</v>
      </c>
      <c r="L2745" s="1" t="str">
        <f>VLOOKUP(Tabela1[[#This Row],[Cliente]],'BASE DE CLIENTES'!A:E,5,0)</f>
        <v>CEILANDIA NORTE (CEILANDIA)</v>
      </c>
    </row>
    <row r="2746" spans="2:12" x14ac:dyDescent="0.3">
      <c r="B2746" s="1" t="s">
        <v>120</v>
      </c>
      <c r="C2746" s="4" t="str">
        <f>VLOOKUP(Tabela1[[#This Row],[Cliente]],'BASE DE CLIENTES'!A:E,2,0)</f>
        <v>Brasília</v>
      </c>
      <c r="D2746" s="1" t="str">
        <f>VLOOKUP(Tabela1[[#This Row],[Cliente]],'BASE DE CLIENTES'!A:C,3,0)</f>
        <v>DF</v>
      </c>
      <c r="E2746" s="4" t="str">
        <f>CONCATENATE(Tabela1[[#This Row],[CIDADE]],",",Tabela1[[#This Row],[UF]])</f>
        <v>Brasília,DF</v>
      </c>
      <c r="F2746" s="2">
        <v>45955</v>
      </c>
      <c r="G2746" s="17">
        <v>485</v>
      </c>
      <c r="H2746" s="17">
        <v>660</v>
      </c>
      <c r="I2746" s="6">
        <f>Tabela1[[#This Row],[Valor total]]-Tabela1[[#This Row],[Valor custo]]</f>
        <v>175</v>
      </c>
      <c r="J2746" s="7">
        <f>Tabela1[[#This Row],[MARGEM BRUTA]]/Tabela1[[#This Row],[Valor total]]</f>
        <v>0.26515151515151514</v>
      </c>
      <c r="K2746" s="1" t="str">
        <f>VLOOKUP(Tabela1[[#This Row],[Cliente]],'BASE DE CLIENTES'!A:D,4,0)</f>
        <v>EMPRESA SEM MAQUINA</v>
      </c>
      <c r="L2746" s="1" t="str">
        <f>VLOOKUP(Tabela1[[#This Row],[Cliente]],'BASE DE CLIENTES'!A:E,5,0)</f>
        <v>SAMAMBAIA</v>
      </c>
    </row>
    <row r="2747" spans="2:12" x14ac:dyDescent="0.3">
      <c r="B2747" s="1" t="s">
        <v>66</v>
      </c>
      <c r="C2747" s="4" t="str">
        <f>VLOOKUP(Tabela1[[#This Row],[Cliente]],'BASE DE CLIENTES'!A:E,2,0)</f>
        <v>Águas Lindas de Goiás</v>
      </c>
      <c r="D2747" s="1" t="str">
        <f>VLOOKUP(Tabela1[[#This Row],[Cliente]],'BASE DE CLIENTES'!A:C,3,0)</f>
        <v>GO</v>
      </c>
      <c r="E2747" s="4" t="str">
        <f>CONCATENATE(Tabela1[[#This Row],[CIDADE]],",",Tabela1[[#This Row],[UF]])</f>
        <v>Águas Lindas de Goiás,GO</v>
      </c>
      <c r="F2747" s="2">
        <v>45954</v>
      </c>
      <c r="G2747" s="17">
        <v>848</v>
      </c>
      <c r="H2747" s="17">
        <v>1165</v>
      </c>
      <c r="I2747" s="6">
        <f>Tabela1[[#This Row],[Valor total]]-Tabela1[[#This Row],[Valor custo]]</f>
        <v>317</v>
      </c>
      <c r="J2747" s="7">
        <f>Tabela1[[#This Row],[MARGEM BRUTA]]/Tabela1[[#This Row],[Valor total]]</f>
        <v>0.27210300429184547</v>
      </c>
      <c r="K2747" s="1" t="str">
        <f>VLOOKUP(Tabela1[[#This Row],[Cliente]],'BASE DE CLIENTES'!A:D,4,0)</f>
        <v>EMPRESA COM MAQUINA</v>
      </c>
      <c r="L2747" s="1" t="str">
        <f>VLOOKUP(Tabela1[[#This Row],[Cliente]],'BASE DE CLIENTES'!A:E,5,0)</f>
        <v>Águas Lindas de Goiás</v>
      </c>
    </row>
    <row r="2748" spans="2:12" x14ac:dyDescent="0.3">
      <c r="B2748" s="1" t="s">
        <v>27</v>
      </c>
      <c r="C2748" s="4" t="str">
        <f>VLOOKUP(Tabela1[[#This Row],[Cliente]],'BASE DE CLIENTES'!A:E,2,0)</f>
        <v>Brasília</v>
      </c>
      <c r="D2748" s="1" t="str">
        <f>VLOOKUP(Tabela1[[#This Row],[Cliente]],'BASE DE CLIENTES'!A:C,3,0)</f>
        <v>DF</v>
      </c>
      <c r="E2748" s="4" t="str">
        <f>CONCATENATE(Tabela1[[#This Row],[CIDADE]],",",Tabela1[[#This Row],[UF]])</f>
        <v>Brasília,DF</v>
      </c>
      <c r="F2748" s="2">
        <v>45954</v>
      </c>
      <c r="G2748" s="17">
        <v>0</v>
      </c>
      <c r="H2748" s="17">
        <v>300</v>
      </c>
      <c r="I2748" s="6">
        <f>Tabela1[[#This Row],[Valor total]]-Tabela1[[#This Row],[Valor custo]]</f>
        <v>300</v>
      </c>
      <c r="J2748" s="7">
        <f>Tabela1[[#This Row],[MARGEM BRUTA]]/Tabela1[[#This Row],[Valor total]]</f>
        <v>1</v>
      </c>
      <c r="K2748" s="1" t="str">
        <f>VLOOKUP(Tabela1[[#This Row],[Cliente]],'BASE DE CLIENTES'!A:D,4,0)</f>
        <v>EMPRESA SEM MAQUINA</v>
      </c>
      <c r="L2748" s="1" t="str">
        <f>VLOOKUP(Tabela1[[#This Row],[Cliente]],'BASE DE CLIENTES'!A:E,5,0)</f>
        <v>RECANTO DAS EMAS</v>
      </c>
    </row>
    <row r="2749" spans="2:12" x14ac:dyDescent="0.3">
      <c r="B2749" s="1" t="s">
        <v>132</v>
      </c>
      <c r="C2749" s="4" t="str">
        <f>VLOOKUP(Tabela1[[#This Row],[Cliente]],'BASE DE CLIENTES'!A:E,2,0)</f>
        <v>Águas Lindas de Goiás</v>
      </c>
      <c r="D2749" s="1" t="str">
        <f>VLOOKUP(Tabela1[[#This Row],[Cliente]],'BASE DE CLIENTES'!A:C,3,0)</f>
        <v>GO</v>
      </c>
      <c r="E2749" s="4" t="str">
        <f>CONCATENATE(Tabela1[[#This Row],[CIDADE]],",",Tabela1[[#This Row],[UF]])</f>
        <v>Águas Lindas de Goiás,GO</v>
      </c>
      <c r="F2749" s="2">
        <v>45954</v>
      </c>
      <c r="G2749" s="17">
        <v>1731.16</v>
      </c>
      <c r="H2749" s="17">
        <v>2800</v>
      </c>
      <c r="I2749" s="6">
        <f>Tabela1[[#This Row],[Valor total]]-Tabela1[[#This Row],[Valor custo]]</f>
        <v>1068.8399999999999</v>
      </c>
      <c r="J2749" s="7">
        <f>Tabela1[[#This Row],[MARGEM BRUTA]]/Tabela1[[#This Row],[Valor total]]</f>
        <v>0.38172857142857142</v>
      </c>
      <c r="K2749" s="1" t="str">
        <f>VLOOKUP(Tabela1[[#This Row],[Cliente]],'BASE DE CLIENTES'!A:D,4,0)</f>
        <v>SERRALHEIRO</v>
      </c>
      <c r="L2749" s="1" t="str">
        <f>VLOOKUP(Tabela1[[#This Row],[Cliente]],'BASE DE CLIENTES'!A:E,5,0)</f>
        <v>Águas Lindas de Goiás</v>
      </c>
    </row>
    <row r="2750" spans="2:12" x14ac:dyDescent="0.3">
      <c r="B2750" s="1" t="s">
        <v>19</v>
      </c>
      <c r="C2750" s="4" t="str">
        <f>VLOOKUP(Tabela1[[#This Row],[Cliente]],'BASE DE CLIENTES'!A:E,2,0)</f>
        <v>Águas Lindas de Goiás</v>
      </c>
      <c r="D2750" s="1" t="str">
        <f>VLOOKUP(Tabela1[[#This Row],[Cliente]],'BASE DE CLIENTES'!A:C,3,0)</f>
        <v>GO</v>
      </c>
      <c r="E2750" s="4" t="str">
        <f>CONCATENATE(Tabela1[[#This Row],[CIDADE]],",",Tabela1[[#This Row],[UF]])</f>
        <v>Águas Lindas de Goiás,GO</v>
      </c>
      <c r="F2750" s="2">
        <v>45954</v>
      </c>
      <c r="G2750" s="17">
        <v>865.58</v>
      </c>
      <c r="H2750" s="17">
        <v>1400</v>
      </c>
      <c r="I2750" s="6">
        <f>Tabela1[[#This Row],[Valor total]]-Tabela1[[#This Row],[Valor custo]]</f>
        <v>534.41999999999996</v>
      </c>
      <c r="J2750" s="7">
        <f>Tabela1[[#This Row],[MARGEM BRUTA]]/Tabela1[[#This Row],[Valor total]]</f>
        <v>0.38172857142857142</v>
      </c>
      <c r="K2750" s="1" t="str">
        <f>VLOOKUP(Tabela1[[#This Row],[Cliente]],'BASE DE CLIENTES'!A:D,4,0)</f>
        <v>SERRALHEIRO</v>
      </c>
      <c r="L2750" s="1" t="str">
        <f>VLOOKUP(Tabela1[[#This Row],[Cliente]],'BASE DE CLIENTES'!A:E,5,0)</f>
        <v>Águas Lindas de Goiás</v>
      </c>
    </row>
    <row r="2751" spans="2:12" x14ac:dyDescent="0.3">
      <c r="B2751" s="1" t="s">
        <v>96</v>
      </c>
      <c r="C2751" s="4" t="str">
        <f>VLOOKUP(Tabela1[[#This Row],[Cliente]],'BASE DE CLIENTES'!A:E,2,0)</f>
        <v>Brasília</v>
      </c>
      <c r="D2751" s="1" t="str">
        <f>VLOOKUP(Tabela1[[#This Row],[Cliente]],'BASE DE CLIENTES'!A:C,3,0)</f>
        <v>DF</v>
      </c>
      <c r="E2751" s="4" t="str">
        <f>CONCATENATE(Tabela1[[#This Row],[CIDADE]],",",Tabela1[[#This Row],[UF]])</f>
        <v>Brasília,DF</v>
      </c>
      <c r="F2751" s="2">
        <v>45954</v>
      </c>
      <c r="G2751" s="17">
        <v>165</v>
      </c>
      <c r="H2751" s="17">
        <v>450</v>
      </c>
      <c r="I2751" s="6">
        <f>Tabela1[[#This Row],[Valor total]]-Tabela1[[#This Row],[Valor custo]]</f>
        <v>285</v>
      </c>
      <c r="J2751" s="7">
        <f>Tabela1[[#This Row],[MARGEM BRUTA]]/Tabela1[[#This Row],[Valor total]]</f>
        <v>0.6333333333333333</v>
      </c>
      <c r="K2751" s="1" t="str">
        <f>VLOOKUP(Tabela1[[#This Row],[Cliente]],'BASE DE CLIENTES'!A:D,4,0)</f>
        <v>EMPRESA SEM MAQUINA</v>
      </c>
      <c r="L2751" s="1" t="str">
        <f>VLOOKUP(Tabela1[[#This Row],[Cliente]],'BASE DE CLIENTES'!A:E,5,0)</f>
        <v>CEILANDIA NORTE (CEILANDIA)</v>
      </c>
    </row>
    <row r="2752" spans="2:12" x14ac:dyDescent="0.3">
      <c r="B2752" s="1" t="s">
        <v>236</v>
      </c>
      <c r="C2752" s="4" t="str">
        <f>VLOOKUP(Tabela1[[#This Row],[Cliente]],'BASE DE CLIENTES'!A:E,2,0)</f>
        <v>Goiânia</v>
      </c>
      <c r="D2752" s="1" t="str">
        <f>VLOOKUP(Tabela1[[#This Row],[Cliente]],'BASE DE CLIENTES'!A:C,3,0)</f>
        <v>GO</v>
      </c>
      <c r="E2752" s="4" t="str">
        <f>CONCATENATE(Tabela1[[#This Row],[CIDADE]],",",Tabela1[[#This Row],[UF]])</f>
        <v>Goiânia,GO</v>
      </c>
      <c r="F2752" s="2">
        <v>45954</v>
      </c>
      <c r="G2752" s="17">
        <v>2903</v>
      </c>
      <c r="H2752" s="17">
        <v>4290</v>
      </c>
      <c r="I2752" s="6">
        <f>Tabela1[[#This Row],[Valor total]]-Tabela1[[#This Row],[Valor custo]]</f>
        <v>1387</v>
      </c>
      <c r="J2752" s="7">
        <f>Tabela1[[#This Row],[MARGEM BRUTA]]/Tabela1[[#This Row],[Valor total]]</f>
        <v>0.32331002331002329</v>
      </c>
      <c r="K2752" s="1" t="str">
        <f>VLOOKUP(Tabela1[[#This Row],[Cliente]],'BASE DE CLIENTES'!A:D,4,0)</f>
        <v>EMPRESA COM MAQUINA</v>
      </c>
      <c r="L2752" s="1" t="str">
        <f>VLOOKUP(Tabela1[[#This Row],[Cliente]],'BASE DE CLIENTES'!A:E,5,0)</f>
        <v>Goiânia</v>
      </c>
    </row>
    <row r="2753" spans="2:12" x14ac:dyDescent="0.3">
      <c r="B2753" s="1" t="s">
        <v>55</v>
      </c>
      <c r="C2753" s="4" t="str">
        <f>VLOOKUP(Tabela1[[#This Row],[Cliente]],'BASE DE CLIENTES'!A:E,2,0)</f>
        <v>Brasília</v>
      </c>
      <c r="D2753" s="1" t="str">
        <f>VLOOKUP(Tabela1[[#This Row],[Cliente]],'BASE DE CLIENTES'!A:C,3,0)</f>
        <v>DF</v>
      </c>
      <c r="E2753" s="4" t="str">
        <f>CONCATENATE(Tabela1[[#This Row],[CIDADE]],",",Tabela1[[#This Row],[UF]])</f>
        <v>Brasília,DF</v>
      </c>
      <c r="F2753" s="2">
        <v>45954</v>
      </c>
      <c r="G2753" s="17">
        <v>470.3</v>
      </c>
      <c r="H2753" s="17">
        <v>800</v>
      </c>
      <c r="I2753" s="6">
        <f>Tabela1[[#This Row],[Valor total]]-Tabela1[[#This Row],[Valor custo]]</f>
        <v>329.7</v>
      </c>
      <c r="J2753" s="7">
        <f>Tabela1[[#This Row],[MARGEM BRUTA]]/Tabela1[[#This Row],[Valor total]]</f>
        <v>0.41212499999999996</v>
      </c>
      <c r="K2753" s="1" t="str">
        <f>VLOOKUP(Tabela1[[#This Row],[Cliente]],'BASE DE CLIENTES'!A:D,4,0)</f>
        <v>EMPRESA SEM MAQUINA</v>
      </c>
      <c r="L2753" s="1" t="str">
        <f>VLOOKUP(Tabela1[[#This Row],[Cliente]],'BASE DE CLIENTES'!A:E,5,0)</f>
        <v>RECANTO DAS EMAS</v>
      </c>
    </row>
    <row r="2754" spans="2:12" x14ac:dyDescent="0.3">
      <c r="B2754" s="1" t="s">
        <v>120</v>
      </c>
      <c r="C2754" s="4" t="str">
        <f>VLOOKUP(Tabela1[[#This Row],[Cliente]],'BASE DE CLIENTES'!A:E,2,0)</f>
        <v>Brasília</v>
      </c>
      <c r="D2754" s="1" t="str">
        <f>VLOOKUP(Tabela1[[#This Row],[Cliente]],'BASE DE CLIENTES'!A:C,3,0)</f>
        <v>DF</v>
      </c>
      <c r="E2754" s="4" t="str">
        <f>CONCATENATE(Tabela1[[#This Row],[CIDADE]],",",Tabela1[[#This Row],[UF]])</f>
        <v>Brasília,DF</v>
      </c>
      <c r="F2754" s="2">
        <v>45954</v>
      </c>
      <c r="G2754" s="17">
        <v>895.79</v>
      </c>
      <c r="H2754" s="17">
        <v>1405</v>
      </c>
      <c r="I2754" s="6">
        <f>Tabela1[[#This Row],[Valor total]]-Tabela1[[#This Row],[Valor custo]]</f>
        <v>509.21000000000004</v>
      </c>
      <c r="J2754" s="7">
        <f>Tabela1[[#This Row],[MARGEM BRUTA]]/Tabela1[[#This Row],[Valor total]]</f>
        <v>0.36242704626334521</v>
      </c>
      <c r="K2754" s="1" t="str">
        <f>VLOOKUP(Tabela1[[#This Row],[Cliente]],'BASE DE CLIENTES'!A:D,4,0)</f>
        <v>EMPRESA SEM MAQUINA</v>
      </c>
      <c r="L2754" s="1" t="str">
        <f>VLOOKUP(Tabela1[[#This Row],[Cliente]],'BASE DE CLIENTES'!A:E,5,0)</f>
        <v>SAMAMBAIA</v>
      </c>
    </row>
    <row r="2755" spans="2:12" x14ac:dyDescent="0.3">
      <c r="B2755" s="1" t="s">
        <v>191</v>
      </c>
      <c r="C2755" s="4" t="str">
        <f>VLOOKUP(Tabela1[[#This Row],[Cliente]],'BASE DE CLIENTES'!A:E,2,0)</f>
        <v>Fortaleza</v>
      </c>
      <c r="D2755" s="1" t="str">
        <f>VLOOKUP(Tabela1[[#This Row],[Cliente]],'BASE DE CLIENTES'!A:C,3,0)</f>
        <v>CE</v>
      </c>
      <c r="E2755" s="4" t="str">
        <f>CONCATENATE(Tabela1[[#This Row],[CIDADE]],",",Tabela1[[#This Row],[UF]])</f>
        <v>Fortaleza,CE</v>
      </c>
      <c r="F2755" s="2">
        <v>45954</v>
      </c>
      <c r="G2755" s="17">
        <v>16445.73</v>
      </c>
      <c r="H2755" s="17">
        <v>25300</v>
      </c>
      <c r="I2755" s="6">
        <f>Tabela1[[#This Row],[Valor total]]-Tabela1[[#This Row],[Valor custo]]</f>
        <v>8854.27</v>
      </c>
      <c r="J2755" s="7">
        <f>Tabela1[[#This Row],[MARGEM BRUTA]]/Tabela1[[#This Row],[Valor total]]</f>
        <v>0.34997114624505932</v>
      </c>
      <c r="K2755" s="1" t="str">
        <f>VLOOKUP(Tabela1[[#This Row],[Cliente]],'BASE DE CLIENTES'!A:D,4,0)</f>
        <v>EMPRESA COM MAQUINA</v>
      </c>
      <c r="L2755" s="1" t="str">
        <f>VLOOKUP(Tabela1[[#This Row],[Cliente]],'BASE DE CLIENTES'!A:E,5,0)</f>
        <v>Fortaleza</v>
      </c>
    </row>
    <row r="2756" spans="2:12" x14ac:dyDescent="0.3">
      <c r="B2756" s="1" t="s">
        <v>55</v>
      </c>
      <c r="C2756" s="4" t="str">
        <f>VLOOKUP(Tabela1[[#This Row],[Cliente]],'BASE DE CLIENTES'!A:E,2,0)</f>
        <v>Brasília</v>
      </c>
      <c r="D2756" s="1" t="str">
        <f>VLOOKUP(Tabela1[[#This Row],[Cliente]],'BASE DE CLIENTES'!A:C,3,0)</f>
        <v>DF</v>
      </c>
      <c r="E2756" s="4" t="str">
        <f>CONCATENATE(Tabela1[[#This Row],[CIDADE]],",",Tabela1[[#This Row],[UF]])</f>
        <v>Brasília,DF</v>
      </c>
      <c r="F2756" s="2">
        <v>45954</v>
      </c>
      <c r="G2756" s="17">
        <v>3078</v>
      </c>
      <c r="H2756" s="17">
        <v>5350</v>
      </c>
      <c r="I2756" s="6">
        <f>Tabela1[[#This Row],[Valor total]]-Tabela1[[#This Row],[Valor custo]]</f>
        <v>2272</v>
      </c>
      <c r="J2756" s="7">
        <f>Tabela1[[#This Row],[MARGEM BRUTA]]/Tabela1[[#This Row],[Valor total]]</f>
        <v>0.42467289719626167</v>
      </c>
      <c r="K2756" s="1" t="str">
        <f>VLOOKUP(Tabela1[[#This Row],[Cliente]],'BASE DE CLIENTES'!A:D,4,0)</f>
        <v>EMPRESA SEM MAQUINA</v>
      </c>
      <c r="L2756" s="1" t="str">
        <f>VLOOKUP(Tabela1[[#This Row],[Cliente]],'BASE DE CLIENTES'!A:E,5,0)</f>
        <v>RECANTO DAS EMAS</v>
      </c>
    </row>
    <row r="2757" spans="2:12" x14ac:dyDescent="0.3">
      <c r="B2757" s="1" t="s">
        <v>165</v>
      </c>
      <c r="C2757" s="4" t="str">
        <f>VLOOKUP(Tabela1[[#This Row],[Cliente]],'BASE DE CLIENTES'!A:E,2,0)</f>
        <v>Brasília</v>
      </c>
      <c r="D2757" s="1" t="str">
        <f>VLOOKUP(Tabela1[[#This Row],[Cliente]],'BASE DE CLIENTES'!A:C,3,0)</f>
        <v>DF</v>
      </c>
      <c r="E2757" s="4" t="str">
        <f>CONCATENATE(Tabela1[[#This Row],[CIDADE]],",",Tabela1[[#This Row],[UF]])</f>
        <v>Brasília,DF</v>
      </c>
      <c r="F2757" s="2">
        <v>45954</v>
      </c>
      <c r="G2757" s="17">
        <v>174.38</v>
      </c>
      <c r="H2757" s="17">
        <v>200</v>
      </c>
      <c r="I2757" s="6">
        <f>Tabela1[[#This Row],[Valor total]]-Tabela1[[#This Row],[Valor custo]]</f>
        <v>25.620000000000005</v>
      </c>
      <c r="J2757" s="7">
        <f>Tabela1[[#This Row],[MARGEM BRUTA]]/Tabela1[[#This Row],[Valor total]]</f>
        <v>0.12810000000000002</v>
      </c>
      <c r="K2757" s="1" t="str">
        <f>VLOOKUP(Tabela1[[#This Row],[Cliente]],'BASE DE CLIENTES'!A:D,4,0)</f>
        <v>EMPRESA SEM MAQUINA</v>
      </c>
      <c r="L2757" s="1" t="str">
        <f>VLOOKUP(Tabela1[[#This Row],[Cliente]],'BASE DE CLIENTES'!A:E,5,0)</f>
        <v>SETOR HABITACIONAL VICENTE PIRES</v>
      </c>
    </row>
    <row r="2758" spans="2:12" x14ac:dyDescent="0.3">
      <c r="B2758" s="1" t="s">
        <v>316</v>
      </c>
      <c r="C2758" s="4" t="str">
        <f>VLOOKUP(Tabela1[[#This Row],[Cliente]],'BASE DE CLIENTES'!A:E,2,0)</f>
        <v>Valparaíso de Goiás</v>
      </c>
      <c r="D2758" s="1" t="str">
        <f>VLOOKUP(Tabela1[[#This Row],[Cliente]],'BASE DE CLIENTES'!A:C,3,0)</f>
        <v>GO</v>
      </c>
      <c r="E2758" s="4" t="str">
        <f>CONCATENATE(Tabela1[[#This Row],[CIDADE]],",",Tabela1[[#This Row],[UF]])</f>
        <v>Valparaíso de Goiás,GO</v>
      </c>
      <c r="F2758" s="2">
        <v>45954</v>
      </c>
      <c r="G2758" s="17">
        <v>664</v>
      </c>
      <c r="H2758" s="17">
        <v>1100</v>
      </c>
      <c r="I2758" s="6">
        <f>Tabela1[[#This Row],[Valor total]]-Tabela1[[#This Row],[Valor custo]]</f>
        <v>436</v>
      </c>
      <c r="J2758" s="7">
        <f>Tabela1[[#This Row],[MARGEM BRUTA]]/Tabela1[[#This Row],[Valor total]]</f>
        <v>0.39636363636363636</v>
      </c>
      <c r="K2758" s="1" t="str">
        <f>VLOOKUP(Tabela1[[#This Row],[Cliente]],'BASE DE CLIENTES'!A:D,4,0)</f>
        <v>SERRALHEIRO</v>
      </c>
      <c r="L2758" s="1" t="str">
        <f>VLOOKUP(Tabela1[[#This Row],[Cliente]],'BASE DE CLIENTES'!A:E,5,0)</f>
        <v>Valparaíso de Goiás</v>
      </c>
    </row>
    <row r="2759" spans="2:12" x14ac:dyDescent="0.3">
      <c r="B2759" s="1" t="s">
        <v>236</v>
      </c>
      <c r="C2759" s="4" t="str">
        <f>VLOOKUP(Tabela1[[#This Row],[Cliente]],'BASE DE CLIENTES'!A:E,2,0)</f>
        <v>Goiânia</v>
      </c>
      <c r="D2759" s="1" t="str">
        <f>VLOOKUP(Tabela1[[#This Row],[Cliente]],'BASE DE CLIENTES'!A:C,3,0)</f>
        <v>GO</v>
      </c>
      <c r="E2759" s="4" t="str">
        <f>CONCATENATE(Tabela1[[#This Row],[CIDADE]],",",Tabela1[[#This Row],[UF]])</f>
        <v>Goiânia,GO</v>
      </c>
      <c r="F2759" s="2">
        <v>45954</v>
      </c>
      <c r="G2759" s="17">
        <v>1219.5999999999999</v>
      </c>
      <c r="H2759" s="17">
        <v>1690</v>
      </c>
      <c r="I2759" s="6">
        <f>Tabela1[[#This Row],[Valor total]]-Tabela1[[#This Row],[Valor custo]]</f>
        <v>470.40000000000009</v>
      </c>
      <c r="J2759" s="7">
        <f>Tabela1[[#This Row],[MARGEM BRUTA]]/Tabela1[[#This Row],[Valor total]]</f>
        <v>0.27834319526627227</v>
      </c>
      <c r="K2759" s="1" t="str">
        <f>VLOOKUP(Tabela1[[#This Row],[Cliente]],'BASE DE CLIENTES'!A:D,4,0)</f>
        <v>EMPRESA COM MAQUINA</v>
      </c>
      <c r="L2759" s="1" t="str">
        <f>VLOOKUP(Tabela1[[#This Row],[Cliente]],'BASE DE CLIENTES'!A:E,5,0)</f>
        <v>Goiânia</v>
      </c>
    </row>
    <row r="2760" spans="2:12" x14ac:dyDescent="0.3">
      <c r="B2760" s="1" t="s">
        <v>236</v>
      </c>
      <c r="C2760" s="4" t="str">
        <f>VLOOKUP(Tabela1[[#This Row],[Cliente]],'BASE DE CLIENTES'!A:E,2,0)</f>
        <v>Goiânia</v>
      </c>
      <c r="D2760" s="1" t="str">
        <f>VLOOKUP(Tabela1[[#This Row],[Cliente]],'BASE DE CLIENTES'!A:C,3,0)</f>
        <v>GO</v>
      </c>
      <c r="E2760" s="4" t="str">
        <f>CONCATENATE(Tabela1[[#This Row],[CIDADE]],",",Tabela1[[#This Row],[UF]])</f>
        <v>Goiânia,GO</v>
      </c>
      <c r="F2760" s="2">
        <v>45954</v>
      </c>
      <c r="G2760" s="17">
        <v>477</v>
      </c>
      <c r="H2760" s="17">
        <v>735</v>
      </c>
      <c r="I2760" s="6">
        <f>Tabela1[[#This Row],[Valor total]]-Tabela1[[#This Row],[Valor custo]]</f>
        <v>258</v>
      </c>
      <c r="J2760" s="7">
        <f>Tabela1[[#This Row],[MARGEM BRUTA]]/Tabela1[[#This Row],[Valor total]]</f>
        <v>0.3510204081632653</v>
      </c>
      <c r="K2760" s="1" t="str">
        <f>VLOOKUP(Tabela1[[#This Row],[Cliente]],'BASE DE CLIENTES'!A:D,4,0)</f>
        <v>EMPRESA COM MAQUINA</v>
      </c>
      <c r="L2760" s="1" t="str">
        <f>VLOOKUP(Tabela1[[#This Row],[Cliente]],'BASE DE CLIENTES'!A:E,5,0)</f>
        <v>Goiânia</v>
      </c>
    </row>
    <row r="2761" spans="2:12" x14ac:dyDescent="0.3">
      <c r="B2761" s="1" t="s">
        <v>117</v>
      </c>
      <c r="C2761" s="4" t="str">
        <f>VLOOKUP(Tabela1[[#This Row],[Cliente]],'BASE DE CLIENTES'!A:E,2,0)</f>
        <v>Brasília</v>
      </c>
      <c r="D2761" s="1" t="str">
        <f>VLOOKUP(Tabela1[[#This Row],[Cliente]],'BASE DE CLIENTES'!A:C,3,0)</f>
        <v>DF</v>
      </c>
      <c r="E2761" s="4" t="str">
        <f>CONCATENATE(Tabela1[[#This Row],[CIDADE]],",",Tabela1[[#This Row],[UF]])</f>
        <v>Brasília,DF</v>
      </c>
      <c r="F2761" s="2">
        <v>45953</v>
      </c>
      <c r="G2761" s="17">
        <v>110</v>
      </c>
      <c r="H2761" s="17">
        <v>360</v>
      </c>
      <c r="I2761" s="6">
        <f>Tabela1[[#This Row],[Valor total]]-Tabela1[[#This Row],[Valor custo]]</f>
        <v>250</v>
      </c>
      <c r="J2761" s="7">
        <f>Tabela1[[#This Row],[MARGEM BRUTA]]/Tabela1[[#This Row],[Valor total]]</f>
        <v>0.69444444444444442</v>
      </c>
      <c r="K2761" s="1" t="str">
        <f>VLOOKUP(Tabela1[[#This Row],[Cliente]],'BASE DE CLIENTES'!A:D,4,0)</f>
        <v>EMPRESA COM MAQUINA</v>
      </c>
      <c r="L2761" s="1" t="str">
        <f>VLOOKUP(Tabela1[[#This Row],[Cliente]],'BASE DE CLIENTES'!A:E,5,0)</f>
        <v>SETOR HABITACIONAL ARNIQUEIRA (AGUAS CLARAS)</v>
      </c>
    </row>
    <row r="2762" spans="2:12" x14ac:dyDescent="0.3">
      <c r="B2762" s="1" t="s">
        <v>88</v>
      </c>
      <c r="C2762" s="4" t="str">
        <f>VLOOKUP(Tabela1[[#This Row],[Cliente]],'BASE DE CLIENTES'!A:E,2,0)</f>
        <v>Brasília</v>
      </c>
      <c r="D2762" s="1" t="str">
        <f>VLOOKUP(Tabela1[[#This Row],[Cliente]],'BASE DE CLIENTES'!A:C,3,0)</f>
        <v>DF</v>
      </c>
      <c r="E2762" s="4" t="str">
        <f>CONCATENATE(Tabela1[[#This Row],[CIDADE]],",",Tabela1[[#This Row],[UF]])</f>
        <v>Brasília,DF</v>
      </c>
      <c r="F2762" s="2">
        <v>45953</v>
      </c>
      <c r="G2762" s="17">
        <v>649</v>
      </c>
      <c r="H2762" s="17">
        <v>1000</v>
      </c>
      <c r="I2762" s="6">
        <f>Tabela1[[#This Row],[Valor total]]-Tabela1[[#This Row],[Valor custo]]</f>
        <v>351</v>
      </c>
      <c r="J2762" s="7">
        <f>Tabela1[[#This Row],[MARGEM BRUTA]]/Tabela1[[#This Row],[Valor total]]</f>
        <v>0.35099999999999998</v>
      </c>
      <c r="K2762" s="1" t="str">
        <f>VLOOKUP(Tabela1[[#This Row],[Cliente]],'BASE DE CLIENTES'!A:D,4,0)</f>
        <v>SERRALHEIRO</v>
      </c>
      <c r="L2762" s="1" t="str">
        <f>VLOOKUP(Tabela1[[#This Row],[Cliente]],'BASE DE CLIENTES'!A:E,5,0)</f>
        <v>RECANTO DAS EMAS</v>
      </c>
    </row>
    <row r="2763" spans="2:12" x14ac:dyDescent="0.3">
      <c r="B2763" s="1" t="s">
        <v>27</v>
      </c>
      <c r="C2763" s="4" t="str">
        <f>VLOOKUP(Tabela1[[#This Row],[Cliente]],'BASE DE CLIENTES'!A:E,2,0)</f>
        <v>Brasília</v>
      </c>
      <c r="D2763" s="1" t="str">
        <f>VLOOKUP(Tabela1[[#This Row],[Cliente]],'BASE DE CLIENTES'!A:C,3,0)</f>
        <v>DF</v>
      </c>
      <c r="E2763" s="4" t="str">
        <f>CONCATENATE(Tabela1[[#This Row],[CIDADE]],",",Tabela1[[#This Row],[UF]])</f>
        <v>Brasília,DF</v>
      </c>
      <c r="F2763" s="2">
        <v>45953</v>
      </c>
      <c r="G2763" s="17">
        <v>764.6</v>
      </c>
      <c r="H2763" s="17">
        <v>1230</v>
      </c>
      <c r="I2763" s="6">
        <f>Tabela1[[#This Row],[Valor total]]-Tabela1[[#This Row],[Valor custo]]</f>
        <v>465.4</v>
      </c>
      <c r="J2763" s="7">
        <f>Tabela1[[#This Row],[MARGEM BRUTA]]/Tabela1[[#This Row],[Valor total]]</f>
        <v>0.37837398373983738</v>
      </c>
      <c r="K2763" s="1" t="str">
        <f>VLOOKUP(Tabela1[[#This Row],[Cliente]],'BASE DE CLIENTES'!A:D,4,0)</f>
        <v>EMPRESA SEM MAQUINA</v>
      </c>
      <c r="L2763" s="1" t="str">
        <f>VLOOKUP(Tabela1[[#This Row],[Cliente]],'BASE DE CLIENTES'!A:E,5,0)</f>
        <v>RECANTO DAS EMAS</v>
      </c>
    </row>
    <row r="2764" spans="2:12" x14ac:dyDescent="0.3">
      <c r="B2764" s="1" t="s">
        <v>165</v>
      </c>
      <c r="C2764" s="4" t="str">
        <f>VLOOKUP(Tabela1[[#This Row],[Cliente]],'BASE DE CLIENTES'!A:E,2,0)</f>
        <v>Brasília</v>
      </c>
      <c r="D2764" s="1" t="str">
        <f>VLOOKUP(Tabela1[[#This Row],[Cliente]],'BASE DE CLIENTES'!A:C,3,0)</f>
        <v>DF</v>
      </c>
      <c r="E2764" s="4" t="str">
        <f>CONCATENATE(Tabela1[[#This Row],[CIDADE]],",",Tabela1[[#This Row],[UF]])</f>
        <v>Brasília,DF</v>
      </c>
      <c r="F2764" s="2">
        <v>45953</v>
      </c>
      <c r="G2764" s="17">
        <v>382.3</v>
      </c>
      <c r="H2764" s="17">
        <v>550</v>
      </c>
      <c r="I2764" s="6">
        <f>Tabela1[[#This Row],[Valor total]]-Tabela1[[#This Row],[Valor custo]]</f>
        <v>167.7</v>
      </c>
      <c r="J2764" s="7">
        <f>Tabela1[[#This Row],[MARGEM BRUTA]]/Tabela1[[#This Row],[Valor total]]</f>
        <v>0.30490909090909091</v>
      </c>
      <c r="K2764" s="1" t="str">
        <f>VLOOKUP(Tabela1[[#This Row],[Cliente]],'BASE DE CLIENTES'!A:D,4,0)</f>
        <v>EMPRESA SEM MAQUINA</v>
      </c>
      <c r="L2764" s="1" t="str">
        <f>VLOOKUP(Tabela1[[#This Row],[Cliente]],'BASE DE CLIENTES'!A:E,5,0)</f>
        <v>SETOR HABITACIONAL VICENTE PIRES</v>
      </c>
    </row>
    <row r="2765" spans="2:12" x14ac:dyDescent="0.3">
      <c r="B2765" s="1" t="s">
        <v>68</v>
      </c>
      <c r="C2765" s="4" t="str">
        <f>VLOOKUP(Tabela1[[#This Row],[Cliente]],'BASE DE CLIENTES'!A:E,2,0)</f>
        <v>Brasília</v>
      </c>
      <c r="D2765" s="1" t="str">
        <f>VLOOKUP(Tabela1[[#This Row],[Cliente]],'BASE DE CLIENTES'!A:C,3,0)</f>
        <v>DF</v>
      </c>
      <c r="E2765" s="4" t="str">
        <f>CONCATENATE(Tabela1[[#This Row],[CIDADE]],",",Tabela1[[#This Row],[UF]])</f>
        <v>Brasília,DF</v>
      </c>
      <c r="F2765" s="2">
        <v>45953</v>
      </c>
      <c r="G2765" s="17">
        <v>1342.5</v>
      </c>
      <c r="H2765" s="17">
        <v>2700</v>
      </c>
      <c r="I2765" s="6">
        <f>Tabela1[[#This Row],[Valor total]]-Tabela1[[#This Row],[Valor custo]]</f>
        <v>1357.5</v>
      </c>
      <c r="J2765" s="7">
        <f>Tabela1[[#This Row],[MARGEM BRUTA]]/Tabela1[[#This Row],[Valor total]]</f>
        <v>0.50277777777777777</v>
      </c>
      <c r="K2765" s="1" t="str">
        <f>VLOOKUP(Tabela1[[#This Row],[Cliente]],'BASE DE CLIENTES'!A:D,4,0)</f>
        <v>EMPRESA COM MAQUINA</v>
      </c>
      <c r="L2765" s="1" t="str">
        <f>VLOOKUP(Tabela1[[#This Row],[Cliente]],'BASE DE CLIENTES'!A:E,5,0)</f>
        <v>SAMAMBAIA SUL (SAMAMBAIA)</v>
      </c>
    </row>
    <row r="2766" spans="2:12" x14ac:dyDescent="0.3">
      <c r="B2766" s="1" t="s">
        <v>76</v>
      </c>
      <c r="C2766" s="4" t="str">
        <f>VLOOKUP(Tabela1[[#This Row],[Cliente]],'BASE DE CLIENTES'!A:E,2,0)</f>
        <v>Brasília</v>
      </c>
      <c r="D2766" s="1" t="str">
        <f>VLOOKUP(Tabela1[[#This Row],[Cliente]],'BASE DE CLIENTES'!A:C,3,0)</f>
        <v>DF</v>
      </c>
      <c r="E2766" s="4" t="str">
        <f>CONCATENATE(Tabela1[[#This Row],[CIDADE]],",",Tabela1[[#This Row],[UF]])</f>
        <v>Brasília,DF</v>
      </c>
      <c r="F2766" s="2">
        <v>45953</v>
      </c>
      <c r="G2766" s="17">
        <v>455</v>
      </c>
      <c r="H2766" s="17">
        <v>0</v>
      </c>
      <c r="I2766" s="6">
        <f>Tabela1[[#This Row],[Valor total]]-Tabela1[[#This Row],[Valor custo]]</f>
        <v>-455</v>
      </c>
      <c r="J2766" s="7" t="e">
        <f>Tabela1[[#This Row],[MARGEM BRUTA]]/Tabela1[[#This Row],[Valor total]]</f>
        <v>#DIV/0!</v>
      </c>
      <c r="K2766" s="1" t="str">
        <f>VLOOKUP(Tabela1[[#This Row],[Cliente]],'BASE DE CLIENTES'!A:D,4,0)</f>
        <v>EMPRESA COM MAQUINA</v>
      </c>
      <c r="L2766" s="1" t="str">
        <f>VLOOKUP(Tabela1[[#This Row],[Cliente]],'BASE DE CLIENTES'!A:E,5,0)</f>
        <v>Setor Placa da Mercedes (Núcleo Bandeirante)</v>
      </c>
    </row>
    <row r="2767" spans="2:12" x14ac:dyDescent="0.3">
      <c r="B2767" s="1" t="s">
        <v>111</v>
      </c>
      <c r="C2767" s="4" t="str">
        <f>VLOOKUP(Tabela1[[#This Row],[Cliente]],'BASE DE CLIENTES'!A:E,2,0)</f>
        <v>Brasília</v>
      </c>
      <c r="D2767" s="1" t="str">
        <f>VLOOKUP(Tabela1[[#This Row],[Cliente]],'BASE DE CLIENTES'!A:C,3,0)</f>
        <v>DF</v>
      </c>
      <c r="E2767" s="4" t="str">
        <f>CONCATENATE(Tabela1[[#This Row],[CIDADE]],",",Tabela1[[#This Row],[UF]])</f>
        <v>Brasília,DF</v>
      </c>
      <c r="F2767" s="2">
        <v>45953</v>
      </c>
      <c r="G2767" s="17">
        <v>45.6</v>
      </c>
      <c r="H2767" s="17">
        <v>70</v>
      </c>
      <c r="I2767" s="6">
        <f>Tabela1[[#This Row],[Valor total]]-Tabela1[[#This Row],[Valor custo]]</f>
        <v>24.4</v>
      </c>
      <c r="J2767" s="7">
        <f>Tabela1[[#This Row],[MARGEM BRUTA]]/Tabela1[[#This Row],[Valor total]]</f>
        <v>0.34857142857142853</v>
      </c>
      <c r="K2767" s="1" t="str">
        <f>VLOOKUP(Tabela1[[#This Row],[Cliente]],'BASE DE CLIENTES'!A:D,4,0)</f>
        <v>EMPRESA SEM MAQUINA</v>
      </c>
      <c r="L2767" s="1" t="str">
        <f>VLOOKUP(Tabela1[[#This Row],[Cliente]],'BASE DE CLIENTES'!A:E,5,0)</f>
        <v>TAGUATINGA SUL (TAGUATINGA)</v>
      </c>
    </row>
    <row r="2768" spans="2:12" x14ac:dyDescent="0.3">
      <c r="B2768" s="1" t="s">
        <v>111</v>
      </c>
      <c r="C2768" s="4" t="str">
        <f>VLOOKUP(Tabela1[[#This Row],[Cliente]],'BASE DE CLIENTES'!A:E,2,0)</f>
        <v>Brasília</v>
      </c>
      <c r="D2768" s="1" t="str">
        <f>VLOOKUP(Tabela1[[#This Row],[Cliente]],'BASE DE CLIENTES'!A:C,3,0)</f>
        <v>DF</v>
      </c>
      <c r="E2768" s="4" t="str">
        <f>CONCATENATE(Tabela1[[#This Row],[CIDADE]],",",Tabela1[[#This Row],[UF]])</f>
        <v>Brasília,DF</v>
      </c>
      <c r="F2768" s="2">
        <v>45953</v>
      </c>
      <c r="G2768" s="17">
        <v>679</v>
      </c>
      <c r="H2768" s="17">
        <v>350</v>
      </c>
      <c r="I2768" s="6">
        <f>Tabela1[[#This Row],[Valor total]]-Tabela1[[#This Row],[Valor custo]]</f>
        <v>-329</v>
      </c>
      <c r="J2768" s="7">
        <f>Tabela1[[#This Row],[MARGEM BRUTA]]/Tabela1[[#This Row],[Valor total]]</f>
        <v>-0.94</v>
      </c>
      <c r="K2768" s="1" t="str">
        <f>VLOOKUP(Tabela1[[#This Row],[Cliente]],'BASE DE CLIENTES'!A:D,4,0)</f>
        <v>EMPRESA SEM MAQUINA</v>
      </c>
      <c r="L2768" s="1" t="str">
        <f>VLOOKUP(Tabela1[[#This Row],[Cliente]],'BASE DE CLIENTES'!A:E,5,0)</f>
        <v>TAGUATINGA SUL (TAGUATINGA)</v>
      </c>
    </row>
    <row r="2769" spans="2:12" x14ac:dyDescent="0.3">
      <c r="B2769" s="1" t="s">
        <v>27</v>
      </c>
      <c r="C2769" s="4" t="str">
        <f>VLOOKUP(Tabela1[[#This Row],[Cliente]],'BASE DE CLIENTES'!A:E,2,0)</f>
        <v>Brasília</v>
      </c>
      <c r="D2769" s="1" t="str">
        <f>VLOOKUP(Tabela1[[#This Row],[Cliente]],'BASE DE CLIENTES'!A:C,3,0)</f>
        <v>DF</v>
      </c>
      <c r="E2769" s="4" t="str">
        <f>CONCATENATE(Tabela1[[#This Row],[CIDADE]],",",Tabela1[[#This Row],[UF]])</f>
        <v>Brasília,DF</v>
      </c>
      <c r="F2769" s="2">
        <v>45953</v>
      </c>
      <c r="G2769" s="17">
        <v>55</v>
      </c>
      <c r="H2769" s="17">
        <v>150</v>
      </c>
      <c r="I2769" s="6">
        <f>Tabela1[[#This Row],[Valor total]]-Tabela1[[#This Row],[Valor custo]]</f>
        <v>95</v>
      </c>
      <c r="J2769" s="7">
        <f>Tabela1[[#This Row],[MARGEM BRUTA]]/Tabela1[[#This Row],[Valor total]]</f>
        <v>0.6333333333333333</v>
      </c>
      <c r="K2769" s="1" t="str">
        <f>VLOOKUP(Tabela1[[#This Row],[Cliente]],'BASE DE CLIENTES'!A:D,4,0)</f>
        <v>EMPRESA SEM MAQUINA</v>
      </c>
      <c r="L2769" s="1" t="str">
        <f>VLOOKUP(Tabela1[[#This Row],[Cliente]],'BASE DE CLIENTES'!A:E,5,0)</f>
        <v>RECANTO DAS EMAS</v>
      </c>
    </row>
    <row r="2770" spans="2:12" x14ac:dyDescent="0.3">
      <c r="B2770" s="1" t="s">
        <v>335</v>
      </c>
      <c r="C2770" s="4" t="str">
        <f>VLOOKUP(Tabela1[[#This Row],[Cliente]],'BASE DE CLIENTES'!A:E,2,0)</f>
        <v>Brasília</v>
      </c>
      <c r="D2770" s="1" t="str">
        <f>VLOOKUP(Tabela1[[#This Row],[Cliente]],'BASE DE CLIENTES'!A:C,3,0)</f>
        <v>DF</v>
      </c>
      <c r="E2770" s="4" t="str">
        <f>CONCATENATE(Tabela1[[#This Row],[CIDADE]],",",Tabela1[[#This Row],[UF]])</f>
        <v>Brasília,DF</v>
      </c>
      <c r="F2770" s="2">
        <v>45953</v>
      </c>
      <c r="G2770" s="17">
        <v>43.26</v>
      </c>
      <c r="H2770" s="17">
        <v>240</v>
      </c>
      <c r="I2770" s="6">
        <f>Tabela1[[#This Row],[Valor total]]-Tabela1[[#This Row],[Valor custo]]</f>
        <v>196.74</v>
      </c>
      <c r="J2770" s="7">
        <f>Tabela1[[#This Row],[MARGEM BRUTA]]/Tabela1[[#This Row],[Valor total]]</f>
        <v>0.81975000000000009</v>
      </c>
      <c r="K2770" s="1" t="str">
        <f>VLOOKUP(Tabela1[[#This Row],[Cliente]],'BASE DE CLIENTES'!A:D,4,0)</f>
        <v>CLIENTE NOVO S/ IDENT.</v>
      </c>
      <c r="L2770" s="1" t="str">
        <f>VLOOKUP(Tabela1[[#This Row],[Cliente]],'BASE DE CLIENTES'!A:E,5,0)</f>
        <v>Brasília</v>
      </c>
    </row>
    <row r="2771" spans="2:12" x14ac:dyDescent="0.3">
      <c r="B2771" s="1" t="s">
        <v>336</v>
      </c>
      <c r="C2771" s="4" t="str">
        <f>VLOOKUP(Tabela1[[#This Row],[Cliente]],'BASE DE CLIENTES'!A:E,2,0)</f>
        <v>Luziânia</v>
      </c>
      <c r="D2771" s="1" t="str">
        <f>VLOOKUP(Tabela1[[#This Row],[Cliente]],'BASE DE CLIENTES'!A:C,3,0)</f>
        <v>GO</v>
      </c>
      <c r="E2771" s="4" t="str">
        <f>CONCATENATE(Tabela1[[#This Row],[CIDADE]],",",Tabela1[[#This Row],[UF]])</f>
        <v>Luziânia,GO</v>
      </c>
      <c r="F2771" s="2">
        <v>45953</v>
      </c>
      <c r="G2771" s="17">
        <v>432.79</v>
      </c>
      <c r="H2771" s="17">
        <v>785</v>
      </c>
      <c r="I2771" s="6">
        <f>Tabela1[[#This Row],[Valor total]]-Tabela1[[#This Row],[Valor custo]]</f>
        <v>352.21</v>
      </c>
      <c r="J2771" s="7">
        <f>Tabela1[[#This Row],[MARGEM BRUTA]]/Tabela1[[#This Row],[Valor total]]</f>
        <v>0.44867515923566875</v>
      </c>
      <c r="K2771" s="1" t="str">
        <f>VLOOKUP(Tabela1[[#This Row],[Cliente]],'BASE DE CLIENTES'!A:D,4,0)</f>
        <v>CLIENTE NOVO S/ IDENT.</v>
      </c>
      <c r="L2771" s="1" t="str">
        <f>VLOOKUP(Tabela1[[#This Row],[Cliente]],'BASE DE CLIENTES'!A:E,5,0)</f>
        <v>Luziânia</v>
      </c>
    </row>
    <row r="2772" spans="2:12" x14ac:dyDescent="0.3">
      <c r="B2772" s="1" t="s">
        <v>152</v>
      </c>
      <c r="C2772" s="4" t="str">
        <f>VLOOKUP(Tabela1[[#This Row],[Cliente]],'BASE DE CLIENTES'!A:E,2,0)</f>
        <v>Aparecida de Goiânia</v>
      </c>
      <c r="D2772" s="1" t="str">
        <f>VLOOKUP(Tabela1[[#This Row],[Cliente]],'BASE DE CLIENTES'!A:C,3,0)</f>
        <v>GO</v>
      </c>
      <c r="E2772" s="4" t="str">
        <f>CONCATENATE(Tabela1[[#This Row],[CIDADE]],",",Tabela1[[#This Row],[UF]])</f>
        <v>Aparecida de Goiânia,GO</v>
      </c>
      <c r="F2772" s="2">
        <v>45953</v>
      </c>
      <c r="G2772" s="17">
        <v>664</v>
      </c>
      <c r="H2772" s="17">
        <v>1000</v>
      </c>
      <c r="I2772" s="6">
        <f>Tabela1[[#This Row],[Valor total]]-Tabela1[[#This Row],[Valor custo]]</f>
        <v>336</v>
      </c>
      <c r="J2772" s="7">
        <f>Tabela1[[#This Row],[MARGEM BRUTA]]/Tabela1[[#This Row],[Valor total]]</f>
        <v>0.33600000000000002</v>
      </c>
      <c r="K2772" s="1" t="str">
        <f>VLOOKUP(Tabela1[[#This Row],[Cliente]],'BASE DE CLIENTES'!A:D,4,0)</f>
        <v>TECNICO</v>
      </c>
      <c r="L2772" s="1" t="str">
        <f>VLOOKUP(Tabela1[[#This Row],[Cliente]],'BASE DE CLIENTES'!A:E,5,0)</f>
        <v>Aparecida de Goiânia</v>
      </c>
    </row>
    <row r="2773" spans="2:12" x14ac:dyDescent="0.3">
      <c r="B2773" s="1" t="s">
        <v>19</v>
      </c>
      <c r="C2773" s="4" t="str">
        <f>VLOOKUP(Tabela1[[#This Row],[Cliente]],'BASE DE CLIENTES'!A:E,2,0)</f>
        <v>Águas Lindas de Goiás</v>
      </c>
      <c r="D2773" s="1" t="str">
        <f>VLOOKUP(Tabela1[[#This Row],[Cliente]],'BASE DE CLIENTES'!A:C,3,0)</f>
        <v>GO</v>
      </c>
      <c r="E2773" s="4" t="str">
        <f>CONCATENATE(Tabela1[[#This Row],[CIDADE]],",",Tabela1[[#This Row],[UF]])</f>
        <v>Águas Lindas de Goiás,GO</v>
      </c>
      <c r="F2773" s="2">
        <v>45953</v>
      </c>
      <c r="G2773" s="17">
        <v>1926.29</v>
      </c>
      <c r="H2773" s="17">
        <v>3356</v>
      </c>
      <c r="I2773" s="6">
        <f>Tabela1[[#This Row],[Valor total]]-Tabela1[[#This Row],[Valor custo]]</f>
        <v>1429.71</v>
      </c>
      <c r="J2773" s="7">
        <f>Tabela1[[#This Row],[MARGEM BRUTA]]/Tabela1[[#This Row],[Valor total]]</f>
        <v>0.42601609058402862</v>
      </c>
      <c r="K2773" s="1" t="str">
        <f>VLOOKUP(Tabela1[[#This Row],[Cliente]],'BASE DE CLIENTES'!A:D,4,0)</f>
        <v>SERRALHEIRO</v>
      </c>
      <c r="L2773" s="1" t="str">
        <f>VLOOKUP(Tabela1[[#This Row],[Cliente]],'BASE DE CLIENTES'!A:E,5,0)</f>
        <v>Águas Lindas de Goiás</v>
      </c>
    </row>
    <row r="2774" spans="2:12" x14ac:dyDescent="0.3">
      <c r="B2774" s="1" t="s">
        <v>19</v>
      </c>
      <c r="C2774" s="4" t="str">
        <f>VLOOKUP(Tabela1[[#This Row],[Cliente]],'BASE DE CLIENTES'!A:E,2,0)</f>
        <v>Águas Lindas de Goiás</v>
      </c>
      <c r="D2774" s="1" t="str">
        <f>VLOOKUP(Tabela1[[#This Row],[Cliente]],'BASE DE CLIENTES'!A:C,3,0)</f>
        <v>GO</v>
      </c>
      <c r="E2774" s="4" t="str">
        <f>CONCATENATE(Tabela1[[#This Row],[CIDADE]],",",Tabela1[[#This Row],[UF]])</f>
        <v>Águas Lindas de Goiás,GO</v>
      </c>
      <c r="F2774" s="2">
        <v>45953</v>
      </c>
      <c r="G2774" s="17">
        <v>45.6</v>
      </c>
      <c r="H2774" s="17">
        <v>70</v>
      </c>
      <c r="I2774" s="6">
        <f>Tabela1[[#This Row],[Valor total]]-Tabela1[[#This Row],[Valor custo]]</f>
        <v>24.4</v>
      </c>
      <c r="J2774" s="7">
        <f>Tabela1[[#This Row],[MARGEM BRUTA]]/Tabela1[[#This Row],[Valor total]]</f>
        <v>0.34857142857142853</v>
      </c>
      <c r="K2774" s="1" t="str">
        <f>VLOOKUP(Tabela1[[#This Row],[Cliente]],'BASE DE CLIENTES'!A:D,4,0)</f>
        <v>SERRALHEIRO</v>
      </c>
      <c r="L2774" s="1" t="str">
        <f>VLOOKUP(Tabela1[[#This Row],[Cliente]],'BASE DE CLIENTES'!A:E,5,0)</f>
        <v>Águas Lindas de Goiás</v>
      </c>
    </row>
    <row r="2775" spans="2:12" x14ac:dyDescent="0.3">
      <c r="B2775" s="1" t="s">
        <v>97</v>
      </c>
      <c r="C2775" s="4" t="str">
        <f>VLOOKUP(Tabela1[[#This Row],[Cliente]],'BASE DE CLIENTES'!A:E,2,0)</f>
        <v>Brasília</v>
      </c>
      <c r="D2775" s="1" t="str">
        <f>VLOOKUP(Tabela1[[#This Row],[Cliente]],'BASE DE CLIENTES'!A:C,3,0)</f>
        <v>DF</v>
      </c>
      <c r="E2775" s="4" t="str">
        <f>CONCATENATE(Tabela1[[#This Row],[CIDADE]],",",Tabela1[[#This Row],[UF]])</f>
        <v>Brasília,DF</v>
      </c>
      <c r="F2775" s="2">
        <v>45953</v>
      </c>
      <c r="G2775" s="17">
        <v>490.29</v>
      </c>
      <c r="H2775" s="17">
        <v>800</v>
      </c>
      <c r="I2775" s="6">
        <f>Tabela1[[#This Row],[Valor total]]-Tabela1[[#This Row],[Valor custo]]</f>
        <v>309.70999999999998</v>
      </c>
      <c r="J2775" s="7">
        <f>Tabela1[[#This Row],[MARGEM BRUTA]]/Tabela1[[#This Row],[Valor total]]</f>
        <v>0.38713749999999997</v>
      </c>
      <c r="K2775" s="1" t="str">
        <f>VLOOKUP(Tabela1[[#This Row],[Cliente]],'BASE DE CLIENTES'!A:D,4,0)</f>
        <v>SERRALHEIRO</v>
      </c>
      <c r="L2775" s="1" t="str">
        <f>VLOOKUP(Tabela1[[#This Row],[Cliente]],'BASE DE CLIENTES'!A:E,5,0)</f>
        <v>CEILANDIA NORTE</v>
      </c>
    </row>
    <row r="2776" spans="2:12" x14ac:dyDescent="0.3">
      <c r="B2776" s="1" t="s">
        <v>253</v>
      </c>
      <c r="C2776" s="4" t="str">
        <f>VLOOKUP(Tabela1[[#This Row],[Cliente]],'BASE DE CLIENTES'!A:E,2,0)</f>
        <v>Luziânia</v>
      </c>
      <c r="D2776" s="1" t="str">
        <f>VLOOKUP(Tabela1[[#This Row],[Cliente]],'BASE DE CLIENTES'!A:C,3,0)</f>
        <v>GO</v>
      </c>
      <c r="E2776" s="4" t="str">
        <f>CONCATENATE(Tabela1[[#This Row],[CIDADE]],",",Tabela1[[#This Row],[UF]])</f>
        <v>Luziânia,GO</v>
      </c>
      <c r="F2776" s="2">
        <v>45953</v>
      </c>
      <c r="G2776" s="17">
        <v>3319</v>
      </c>
      <c r="H2776" s="17">
        <v>5000</v>
      </c>
      <c r="I2776" s="6">
        <f>Tabela1[[#This Row],[Valor total]]-Tabela1[[#This Row],[Valor custo]]</f>
        <v>1681</v>
      </c>
      <c r="J2776" s="7">
        <f>Tabela1[[#This Row],[MARGEM BRUTA]]/Tabela1[[#This Row],[Valor total]]</f>
        <v>0.3362</v>
      </c>
      <c r="K2776" s="1" t="str">
        <f>VLOOKUP(Tabela1[[#This Row],[Cliente]],'BASE DE CLIENTES'!A:D,4,0)</f>
        <v>EMPRESA COM MAQUINA</v>
      </c>
      <c r="L2776" s="1" t="str">
        <f>VLOOKUP(Tabela1[[#This Row],[Cliente]],'BASE DE CLIENTES'!A:E,5,0)</f>
        <v>Luziânia</v>
      </c>
    </row>
    <row r="2777" spans="2:12" x14ac:dyDescent="0.3">
      <c r="B2777" s="1" t="s">
        <v>52</v>
      </c>
      <c r="C2777" s="4" t="str">
        <f>VLOOKUP(Tabela1[[#This Row],[Cliente]],'BASE DE CLIENTES'!A:E,2,0)</f>
        <v>Brasília</v>
      </c>
      <c r="D2777" s="1" t="str">
        <f>VLOOKUP(Tabela1[[#This Row],[Cliente]],'BASE DE CLIENTES'!A:C,3,0)</f>
        <v>DF</v>
      </c>
      <c r="E2777" s="4" t="str">
        <f>CONCATENATE(Tabela1[[#This Row],[CIDADE]],",",Tabela1[[#This Row],[UF]])</f>
        <v>Brasília,DF</v>
      </c>
      <c r="F2777" s="2">
        <v>45953</v>
      </c>
      <c r="G2777" s="17">
        <v>865.58</v>
      </c>
      <c r="H2777" s="17">
        <v>1400</v>
      </c>
      <c r="I2777" s="6">
        <f>Tabela1[[#This Row],[Valor total]]-Tabela1[[#This Row],[Valor custo]]</f>
        <v>534.41999999999996</v>
      </c>
      <c r="J2777" s="7">
        <f>Tabela1[[#This Row],[MARGEM BRUTA]]/Tabela1[[#This Row],[Valor total]]</f>
        <v>0.38172857142857142</v>
      </c>
      <c r="K2777" s="1" t="str">
        <f>VLOOKUP(Tabela1[[#This Row],[Cliente]],'BASE DE CLIENTES'!A:D,4,0)</f>
        <v>SERRALHEIRO</v>
      </c>
      <c r="L2777" s="1" t="str">
        <f>VLOOKUP(Tabela1[[#This Row],[Cliente]],'BASE DE CLIENTES'!A:E,5,0)</f>
        <v>Ceilândia Sul (Ceilândia)</v>
      </c>
    </row>
    <row r="2778" spans="2:12" x14ac:dyDescent="0.3">
      <c r="B2778" s="1" t="s">
        <v>290</v>
      </c>
      <c r="C2778" s="4" t="str">
        <f>VLOOKUP(Tabela1[[#This Row],[Cliente]],'BASE DE CLIENTES'!A:E,2,0)</f>
        <v>Rio Verde</v>
      </c>
      <c r="D2778" s="1" t="str">
        <f>VLOOKUP(Tabela1[[#This Row],[Cliente]],'BASE DE CLIENTES'!A:C,3,0)</f>
        <v>GO</v>
      </c>
      <c r="E2778" s="4" t="str">
        <f>CONCATENATE(Tabela1[[#This Row],[CIDADE]],",",Tabela1[[#This Row],[UF]])</f>
        <v>Rio Verde,GO</v>
      </c>
      <c r="F2778" s="2">
        <v>45952</v>
      </c>
      <c r="G2778" s="17">
        <v>649</v>
      </c>
      <c r="H2778" s="17">
        <v>900</v>
      </c>
      <c r="I2778" s="6">
        <f>Tabela1[[#This Row],[Valor total]]-Tabela1[[#This Row],[Valor custo]]</f>
        <v>251</v>
      </c>
      <c r="J2778" s="7">
        <f>Tabela1[[#This Row],[MARGEM BRUTA]]/Tabela1[[#This Row],[Valor total]]</f>
        <v>0.27888888888888891</v>
      </c>
      <c r="K2778" s="1" t="str">
        <f>VLOOKUP(Tabela1[[#This Row],[Cliente]],'BASE DE CLIENTES'!A:D,4,0)</f>
        <v>EMPRESA COM MAQUINA</v>
      </c>
      <c r="L2778" s="1" t="str">
        <f>VLOOKUP(Tabela1[[#This Row],[Cliente]],'BASE DE CLIENTES'!A:E,5,0)</f>
        <v>Rio Verde</v>
      </c>
    </row>
    <row r="2779" spans="2:12" x14ac:dyDescent="0.3">
      <c r="B2779" s="1" t="s">
        <v>38</v>
      </c>
      <c r="C2779" s="4" t="str">
        <f>VLOOKUP(Tabela1[[#This Row],[Cliente]],'BASE DE CLIENTES'!A:E,2,0)</f>
        <v>Brasília</v>
      </c>
      <c r="D2779" s="1" t="str">
        <f>VLOOKUP(Tabela1[[#This Row],[Cliente]],'BASE DE CLIENTES'!A:C,3,0)</f>
        <v>DF</v>
      </c>
      <c r="E2779" s="4" t="str">
        <f>CONCATENATE(Tabela1[[#This Row],[CIDADE]],",",Tabela1[[#This Row],[UF]])</f>
        <v>Brasília,DF</v>
      </c>
      <c r="F2779" s="2">
        <v>45952</v>
      </c>
      <c r="G2779" s="17">
        <v>470.3</v>
      </c>
      <c r="H2779" s="17">
        <v>750</v>
      </c>
      <c r="I2779" s="6">
        <f>Tabela1[[#This Row],[Valor total]]-Tabela1[[#This Row],[Valor custo]]</f>
        <v>279.7</v>
      </c>
      <c r="J2779" s="7">
        <f>Tabela1[[#This Row],[MARGEM BRUTA]]/Tabela1[[#This Row],[Valor total]]</f>
        <v>0.37293333333333334</v>
      </c>
      <c r="K2779" s="1" t="str">
        <f>VLOOKUP(Tabela1[[#This Row],[Cliente]],'BASE DE CLIENTES'!A:D,4,0)</f>
        <v>EMPRESA SEM MAQUINA</v>
      </c>
      <c r="L2779" s="1" t="str">
        <f>VLOOKUP(Tabela1[[#This Row],[Cliente]],'BASE DE CLIENTES'!A:E,5,0)</f>
        <v>PONTE ALTA NORTE (GAMA)</v>
      </c>
    </row>
    <row r="2780" spans="2:12" x14ac:dyDescent="0.3">
      <c r="B2780" s="1" t="s">
        <v>38</v>
      </c>
      <c r="C2780" s="4" t="str">
        <f>VLOOKUP(Tabela1[[#This Row],[Cliente]],'BASE DE CLIENTES'!A:E,2,0)</f>
        <v>Brasília</v>
      </c>
      <c r="D2780" s="1" t="str">
        <f>VLOOKUP(Tabela1[[#This Row],[Cliente]],'BASE DE CLIENTES'!A:C,3,0)</f>
        <v>DF</v>
      </c>
      <c r="E2780" s="4" t="str">
        <f>CONCATENATE(Tabela1[[#This Row],[CIDADE]],",",Tabela1[[#This Row],[UF]])</f>
        <v>Brasília,DF</v>
      </c>
      <c r="F2780" s="2">
        <v>45952</v>
      </c>
      <c r="G2780" s="17">
        <v>664</v>
      </c>
      <c r="H2780" s="17">
        <v>1100</v>
      </c>
      <c r="I2780" s="6">
        <f>Tabela1[[#This Row],[Valor total]]-Tabela1[[#This Row],[Valor custo]]</f>
        <v>436</v>
      </c>
      <c r="J2780" s="7">
        <f>Tabela1[[#This Row],[MARGEM BRUTA]]/Tabela1[[#This Row],[Valor total]]</f>
        <v>0.39636363636363636</v>
      </c>
      <c r="K2780" s="1" t="str">
        <f>VLOOKUP(Tabela1[[#This Row],[Cliente]],'BASE DE CLIENTES'!A:D,4,0)</f>
        <v>EMPRESA SEM MAQUINA</v>
      </c>
      <c r="L2780" s="1" t="str">
        <f>VLOOKUP(Tabela1[[#This Row],[Cliente]],'BASE DE CLIENTES'!A:E,5,0)</f>
        <v>PONTE ALTA NORTE (GAMA)</v>
      </c>
    </row>
    <row r="2781" spans="2:12" x14ac:dyDescent="0.3">
      <c r="B2781" s="1" t="s">
        <v>152</v>
      </c>
      <c r="C2781" s="4" t="str">
        <f>VLOOKUP(Tabela1[[#This Row],[Cliente]],'BASE DE CLIENTES'!A:E,2,0)</f>
        <v>Aparecida de Goiânia</v>
      </c>
      <c r="D2781" s="1" t="str">
        <f>VLOOKUP(Tabela1[[#This Row],[Cliente]],'BASE DE CLIENTES'!A:C,3,0)</f>
        <v>GO</v>
      </c>
      <c r="E2781" s="4" t="str">
        <f>CONCATENATE(Tabela1[[#This Row],[CIDADE]],",",Tabela1[[#This Row],[UF]])</f>
        <v>Aparecida de Goiânia,GO</v>
      </c>
      <c r="F2781" s="2">
        <v>45952</v>
      </c>
      <c r="G2781" s="17">
        <v>867</v>
      </c>
      <c r="H2781" s="17">
        <v>1650</v>
      </c>
      <c r="I2781" s="6">
        <f>Tabela1[[#This Row],[Valor total]]-Tabela1[[#This Row],[Valor custo]]</f>
        <v>783</v>
      </c>
      <c r="J2781" s="7">
        <f>Tabela1[[#This Row],[MARGEM BRUTA]]/Tabela1[[#This Row],[Valor total]]</f>
        <v>0.47454545454545455</v>
      </c>
      <c r="K2781" s="1" t="str">
        <f>VLOOKUP(Tabela1[[#This Row],[Cliente]],'BASE DE CLIENTES'!A:D,4,0)</f>
        <v>TECNICO</v>
      </c>
      <c r="L2781" s="1" t="str">
        <f>VLOOKUP(Tabela1[[#This Row],[Cliente]],'BASE DE CLIENTES'!A:E,5,0)</f>
        <v>Aparecida de Goiânia</v>
      </c>
    </row>
    <row r="2782" spans="2:12" x14ac:dyDescent="0.3">
      <c r="B2782" s="1" t="s">
        <v>106</v>
      </c>
      <c r="C2782" s="4" t="str">
        <f>VLOOKUP(Tabela1[[#This Row],[Cliente]],'BASE DE CLIENTES'!A:E,2,0)</f>
        <v>Brasília</v>
      </c>
      <c r="D2782" s="1" t="str">
        <f>VLOOKUP(Tabela1[[#This Row],[Cliente]],'BASE DE CLIENTES'!A:C,3,0)</f>
        <v>DF</v>
      </c>
      <c r="E2782" s="4" t="str">
        <f>CONCATENATE(Tabela1[[#This Row],[CIDADE]],",",Tabela1[[#This Row],[UF]])</f>
        <v>Brasília,DF</v>
      </c>
      <c r="F2782" s="2">
        <v>45952</v>
      </c>
      <c r="G2782" s="17">
        <v>432.79</v>
      </c>
      <c r="H2782" s="17">
        <v>650</v>
      </c>
      <c r="I2782" s="6">
        <f>Tabela1[[#This Row],[Valor total]]-Tabela1[[#This Row],[Valor custo]]</f>
        <v>217.20999999999998</v>
      </c>
      <c r="J2782" s="7">
        <f>Tabela1[[#This Row],[MARGEM BRUTA]]/Tabela1[[#This Row],[Valor total]]</f>
        <v>0.33416923076923072</v>
      </c>
      <c r="K2782" s="1" t="str">
        <f>VLOOKUP(Tabela1[[#This Row],[Cliente]],'BASE DE CLIENTES'!A:D,4,0)</f>
        <v>EMPRESA COM MAQUINA</v>
      </c>
      <c r="L2782" s="1" t="str">
        <f>VLOOKUP(Tabela1[[#This Row],[Cliente]],'BASE DE CLIENTES'!A:E,5,0)</f>
        <v>26 DE SETEMBRO</v>
      </c>
    </row>
    <row r="2783" spans="2:12" x14ac:dyDescent="0.3">
      <c r="B2783" s="1" t="s">
        <v>174</v>
      </c>
      <c r="C2783" s="4" t="str">
        <f>VLOOKUP(Tabela1[[#This Row],[Cliente]],'BASE DE CLIENTES'!A:E,2,0)</f>
        <v>Araguari</v>
      </c>
      <c r="D2783" s="1" t="str">
        <f>VLOOKUP(Tabela1[[#This Row],[Cliente]],'BASE DE CLIENTES'!A:C,3,0)</f>
        <v>MG</v>
      </c>
      <c r="E2783" s="4" t="str">
        <f>CONCATENATE(Tabela1[[#This Row],[CIDADE]],",",Tabela1[[#This Row],[UF]])</f>
        <v>Araguari,MG</v>
      </c>
      <c r="F2783" s="2">
        <v>45952</v>
      </c>
      <c r="G2783" s="17">
        <v>679</v>
      </c>
      <c r="H2783" s="17">
        <v>1200</v>
      </c>
      <c r="I2783" s="6">
        <f>Tabela1[[#This Row],[Valor total]]-Tabela1[[#This Row],[Valor custo]]</f>
        <v>521</v>
      </c>
      <c r="J2783" s="7">
        <f>Tabela1[[#This Row],[MARGEM BRUTA]]/Tabela1[[#This Row],[Valor total]]</f>
        <v>0.43416666666666665</v>
      </c>
      <c r="K2783" s="1" t="str">
        <f>VLOOKUP(Tabela1[[#This Row],[Cliente]],'BASE DE CLIENTES'!A:D,4,0)</f>
        <v>EMPRESA COM MAQUINA</v>
      </c>
      <c r="L2783" s="1" t="str">
        <f>VLOOKUP(Tabela1[[#This Row],[Cliente]],'BASE DE CLIENTES'!A:E,5,0)</f>
        <v>Araguari</v>
      </c>
    </row>
    <row r="2784" spans="2:12" x14ac:dyDescent="0.3">
      <c r="B2784" s="1" t="s">
        <v>256</v>
      </c>
      <c r="C2784" s="4" t="str">
        <f>VLOOKUP(Tabela1[[#This Row],[Cliente]],'BASE DE CLIENTES'!A:E,2,0)</f>
        <v>Luziânia</v>
      </c>
      <c r="D2784" s="1" t="str">
        <f>VLOOKUP(Tabela1[[#This Row],[Cliente]],'BASE DE CLIENTES'!A:C,3,0)</f>
        <v>GO</v>
      </c>
      <c r="E2784" s="4" t="str">
        <f>CONCATENATE(Tabela1[[#This Row],[CIDADE]],",",Tabela1[[#This Row],[UF]])</f>
        <v>Luziânia,GO</v>
      </c>
      <c r="F2784" s="2">
        <v>45952</v>
      </c>
      <c r="G2784" s="17">
        <v>50</v>
      </c>
      <c r="H2784" s="17">
        <v>60</v>
      </c>
      <c r="I2784" s="6">
        <f>Tabela1[[#This Row],[Valor total]]-Tabela1[[#This Row],[Valor custo]]</f>
        <v>10</v>
      </c>
      <c r="J2784" s="7">
        <f>Tabela1[[#This Row],[MARGEM BRUTA]]/Tabela1[[#This Row],[Valor total]]</f>
        <v>0.16666666666666666</v>
      </c>
      <c r="K2784" s="1" t="str">
        <f>VLOOKUP(Tabela1[[#This Row],[Cliente]],'BASE DE CLIENTES'!A:D,4,0)</f>
        <v>SERRALHEIRO</v>
      </c>
      <c r="L2784" s="1" t="str">
        <f>VLOOKUP(Tabela1[[#This Row],[Cliente]],'BASE DE CLIENTES'!A:E,5,0)</f>
        <v>Luziânia</v>
      </c>
    </row>
    <row r="2785" spans="2:12" x14ac:dyDescent="0.3">
      <c r="B2785" s="1" t="s">
        <v>70</v>
      </c>
      <c r="C2785" s="4" t="str">
        <f>VLOOKUP(Tabela1[[#This Row],[Cliente]],'BASE DE CLIENTES'!A:E,2,0)</f>
        <v>Brasília</v>
      </c>
      <c r="D2785" s="1" t="str">
        <f>VLOOKUP(Tabela1[[#This Row],[Cliente]],'BASE DE CLIENTES'!A:C,3,0)</f>
        <v>DF</v>
      </c>
      <c r="E2785" s="4" t="str">
        <f>CONCATENATE(Tabela1[[#This Row],[CIDADE]],",",Tabela1[[#This Row],[UF]])</f>
        <v>Brasília,DF</v>
      </c>
      <c r="F2785" s="2">
        <v>45952</v>
      </c>
      <c r="G2785" s="17">
        <v>50.47</v>
      </c>
      <c r="H2785" s="17">
        <v>210</v>
      </c>
      <c r="I2785" s="6">
        <f>Tabela1[[#This Row],[Valor total]]-Tabela1[[#This Row],[Valor custo]]</f>
        <v>159.53</v>
      </c>
      <c r="J2785" s="7">
        <f>Tabela1[[#This Row],[MARGEM BRUTA]]/Tabela1[[#This Row],[Valor total]]</f>
        <v>0.75966666666666671</v>
      </c>
      <c r="K2785" s="1" t="str">
        <f>VLOOKUP(Tabela1[[#This Row],[Cliente]],'BASE DE CLIENTES'!A:D,4,0)</f>
        <v>EMPRESA COM MAQUINA</v>
      </c>
      <c r="L2785" s="1" t="str">
        <f>VLOOKUP(Tabela1[[#This Row],[Cliente]],'BASE DE CLIENTES'!A:E,5,0)</f>
        <v>TAGUATINGA NORTE (TAGUATINGA)</v>
      </c>
    </row>
    <row r="2786" spans="2:12" x14ac:dyDescent="0.3">
      <c r="B2786" s="1" t="s">
        <v>133</v>
      </c>
      <c r="C2786" s="4" t="str">
        <f>VLOOKUP(Tabela1[[#This Row],[Cliente]],'BASE DE CLIENTES'!A:E,2,0)</f>
        <v>Brasília</v>
      </c>
      <c r="D2786" s="1" t="str">
        <f>VLOOKUP(Tabela1[[#This Row],[Cliente]],'BASE DE CLIENTES'!A:C,3,0)</f>
        <v>DF</v>
      </c>
      <c r="E2786" s="4" t="str">
        <f>CONCATENATE(Tabela1[[#This Row],[CIDADE]],",",Tabela1[[#This Row],[UF]])</f>
        <v>Brasília,DF</v>
      </c>
      <c r="F2786" s="2">
        <v>45952</v>
      </c>
      <c r="G2786" s="17">
        <v>382.3</v>
      </c>
      <c r="H2786" s="17">
        <v>650</v>
      </c>
      <c r="I2786" s="6">
        <f>Tabela1[[#This Row],[Valor total]]-Tabela1[[#This Row],[Valor custo]]</f>
        <v>267.7</v>
      </c>
      <c r="J2786" s="7">
        <f>Tabela1[[#This Row],[MARGEM BRUTA]]/Tabela1[[#This Row],[Valor total]]</f>
        <v>0.41184615384615381</v>
      </c>
      <c r="K2786" s="1" t="str">
        <f>VLOOKUP(Tabela1[[#This Row],[Cliente]],'BASE DE CLIENTES'!A:D,4,0)</f>
        <v>SERRALHEIRO</v>
      </c>
      <c r="L2786" s="1" t="str">
        <f>VLOOKUP(Tabela1[[#This Row],[Cliente]],'BASE DE CLIENTES'!A:E,5,0)</f>
        <v>RECANTO DAS EMAS</v>
      </c>
    </row>
    <row r="2787" spans="2:12" x14ac:dyDescent="0.3">
      <c r="B2787" s="1" t="s">
        <v>337</v>
      </c>
      <c r="C2787" s="4" t="str">
        <f>VLOOKUP(Tabela1[[#This Row],[Cliente]],'BASE DE CLIENTES'!A:E,2,0)</f>
        <v>Conselheiro Lafaiete</v>
      </c>
      <c r="D2787" s="1" t="str">
        <f>VLOOKUP(Tabela1[[#This Row],[Cliente]],'BASE DE CLIENTES'!A:C,3,0)</f>
        <v>MG</v>
      </c>
      <c r="E2787" s="4" t="str">
        <f>CONCATENATE(Tabela1[[#This Row],[CIDADE]],",",Tabela1[[#This Row],[UF]])</f>
        <v>Conselheiro Lafaiete,MG</v>
      </c>
      <c r="F2787" s="2">
        <v>45952</v>
      </c>
      <c r="G2787" s="17">
        <v>2980</v>
      </c>
      <c r="H2787" s="17">
        <v>5300</v>
      </c>
      <c r="I2787" s="6">
        <f>Tabela1[[#This Row],[Valor total]]-Tabela1[[#This Row],[Valor custo]]</f>
        <v>2320</v>
      </c>
      <c r="J2787" s="7">
        <f>Tabela1[[#This Row],[MARGEM BRUTA]]/Tabela1[[#This Row],[Valor total]]</f>
        <v>0.43773584905660379</v>
      </c>
      <c r="K2787" s="1" t="str">
        <f>VLOOKUP(Tabela1[[#This Row],[Cliente]],'BASE DE CLIENTES'!A:D,4,0)</f>
        <v>CLIENTE NOVO S/ IDENT.</v>
      </c>
      <c r="L2787" s="1" t="str">
        <f>VLOOKUP(Tabela1[[#This Row],[Cliente]],'BASE DE CLIENTES'!A:E,5,0)</f>
        <v>Conselheiro Lafaiete</v>
      </c>
    </row>
    <row r="2788" spans="2:12" x14ac:dyDescent="0.3">
      <c r="B2788" s="1" t="s">
        <v>190</v>
      </c>
      <c r="C2788" s="4" t="str">
        <f>VLOOKUP(Tabela1[[#This Row],[Cliente]],'BASE DE CLIENTES'!A:E,2,0)</f>
        <v>Brasília</v>
      </c>
      <c r="D2788" s="1" t="str">
        <f>VLOOKUP(Tabela1[[#This Row],[Cliente]],'BASE DE CLIENTES'!A:C,3,0)</f>
        <v>DF</v>
      </c>
      <c r="E2788" s="4" t="str">
        <f>CONCATENATE(Tabela1[[#This Row],[CIDADE]],",",Tabela1[[#This Row],[UF]])</f>
        <v>Brasília,DF</v>
      </c>
      <c r="F2788" s="2">
        <v>45952</v>
      </c>
      <c r="G2788" s="17">
        <v>94.06</v>
      </c>
      <c r="H2788" s="17">
        <v>170</v>
      </c>
      <c r="I2788" s="6">
        <f>Tabela1[[#This Row],[Valor total]]-Tabela1[[#This Row],[Valor custo]]</f>
        <v>75.94</v>
      </c>
      <c r="J2788" s="7">
        <f>Tabela1[[#This Row],[MARGEM BRUTA]]/Tabela1[[#This Row],[Valor total]]</f>
        <v>0.44670588235294117</v>
      </c>
      <c r="K2788" s="1" t="str">
        <f>VLOOKUP(Tabela1[[#This Row],[Cliente]],'BASE DE CLIENTES'!A:D,4,0)</f>
        <v>EMPRESA COM MAQUINA</v>
      </c>
      <c r="L2788" s="1" t="str">
        <f>VLOOKUP(Tabela1[[#This Row],[Cliente]],'BASE DE CLIENTES'!A:E,5,0)</f>
        <v>RIACHO FUNDO I</v>
      </c>
    </row>
    <row r="2789" spans="2:12" x14ac:dyDescent="0.3">
      <c r="B2789" s="1" t="s">
        <v>66</v>
      </c>
      <c r="C2789" s="4" t="str">
        <f>VLOOKUP(Tabela1[[#This Row],[Cliente]],'BASE DE CLIENTES'!A:E,2,0)</f>
        <v>Águas Lindas de Goiás</v>
      </c>
      <c r="D2789" s="1" t="str">
        <f>VLOOKUP(Tabela1[[#This Row],[Cliente]],'BASE DE CLIENTES'!A:C,3,0)</f>
        <v>GO</v>
      </c>
      <c r="E2789" s="4" t="str">
        <f>CONCATENATE(Tabela1[[#This Row],[CIDADE]],",",Tabela1[[#This Row],[UF]])</f>
        <v>Águas Lindas de Goiás,GO</v>
      </c>
      <c r="F2789" s="2">
        <v>45952</v>
      </c>
      <c r="G2789" s="17">
        <v>916.3</v>
      </c>
      <c r="H2789" s="17">
        <v>1510</v>
      </c>
      <c r="I2789" s="6">
        <f>Tabela1[[#This Row],[Valor total]]-Tabela1[[#This Row],[Valor custo]]</f>
        <v>593.70000000000005</v>
      </c>
      <c r="J2789" s="7">
        <f>Tabela1[[#This Row],[MARGEM BRUTA]]/Tabela1[[#This Row],[Valor total]]</f>
        <v>0.39317880794701987</v>
      </c>
      <c r="K2789" s="1" t="str">
        <f>VLOOKUP(Tabela1[[#This Row],[Cliente]],'BASE DE CLIENTES'!A:D,4,0)</f>
        <v>EMPRESA COM MAQUINA</v>
      </c>
      <c r="L2789" s="1" t="str">
        <f>VLOOKUP(Tabela1[[#This Row],[Cliente]],'BASE DE CLIENTES'!A:E,5,0)</f>
        <v>Águas Lindas de Goiás</v>
      </c>
    </row>
    <row r="2790" spans="2:12" x14ac:dyDescent="0.3">
      <c r="B2790" s="1" t="s">
        <v>27</v>
      </c>
      <c r="C2790" s="4" t="str">
        <f>VLOOKUP(Tabela1[[#This Row],[Cliente]],'BASE DE CLIENTES'!A:E,2,0)</f>
        <v>Brasília</v>
      </c>
      <c r="D2790" s="1" t="str">
        <f>VLOOKUP(Tabela1[[#This Row],[Cliente]],'BASE DE CLIENTES'!A:C,3,0)</f>
        <v>DF</v>
      </c>
      <c r="E2790" s="4" t="str">
        <f>CONCATENATE(Tabela1[[#This Row],[CIDADE]],",",Tabela1[[#This Row],[UF]])</f>
        <v>Brasília,DF</v>
      </c>
      <c r="F2790" s="2">
        <v>45952</v>
      </c>
      <c r="G2790" s="17">
        <v>764.6</v>
      </c>
      <c r="H2790" s="17">
        <v>1200</v>
      </c>
      <c r="I2790" s="6">
        <f>Tabela1[[#This Row],[Valor total]]-Tabela1[[#This Row],[Valor custo]]</f>
        <v>435.4</v>
      </c>
      <c r="J2790" s="7">
        <f>Tabela1[[#This Row],[MARGEM BRUTA]]/Tabela1[[#This Row],[Valor total]]</f>
        <v>0.36283333333333334</v>
      </c>
      <c r="K2790" s="1" t="str">
        <f>VLOOKUP(Tabela1[[#This Row],[Cliente]],'BASE DE CLIENTES'!A:D,4,0)</f>
        <v>EMPRESA SEM MAQUINA</v>
      </c>
      <c r="L2790" s="1" t="str">
        <f>VLOOKUP(Tabela1[[#This Row],[Cliente]],'BASE DE CLIENTES'!A:E,5,0)</f>
        <v>RECANTO DAS EMAS</v>
      </c>
    </row>
    <row r="2791" spans="2:12" x14ac:dyDescent="0.3">
      <c r="B2791" s="1" t="s">
        <v>138</v>
      </c>
      <c r="C2791" s="4" t="str">
        <f>VLOOKUP(Tabela1[[#This Row],[Cliente]],'BASE DE CLIENTES'!A:E,2,0)</f>
        <v>Brasília</v>
      </c>
      <c r="D2791" s="1" t="str">
        <f>VLOOKUP(Tabela1[[#This Row],[Cliente]],'BASE DE CLIENTES'!A:C,3,0)</f>
        <v>DF</v>
      </c>
      <c r="E2791" s="4" t="str">
        <f>CONCATENATE(Tabela1[[#This Row],[CIDADE]],",",Tabela1[[#This Row],[UF]])</f>
        <v>Brasília,DF</v>
      </c>
      <c r="F2791" s="2">
        <v>45952</v>
      </c>
      <c r="G2791" s="17">
        <v>360.5</v>
      </c>
      <c r="H2791" s="17">
        <v>1000</v>
      </c>
      <c r="I2791" s="6">
        <f>Tabela1[[#This Row],[Valor total]]-Tabela1[[#This Row],[Valor custo]]</f>
        <v>639.5</v>
      </c>
      <c r="J2791" s="7">
        <f>Tabela1[[#This Row],[MARGEM BRUTA]]/Tabela1[[#This Row],[Valor total]]</f>
        <v>0.63949999999999996</v>
      </c>
      <c r="K2791" s="1" t="str">
        <f>VLOOKUP(Tabela1[[#This Row],[Cliente]],'BASE DE CLIENTES'!A:D,4,0)</f>
        <v>OUTROS RAMOS</v>
      </c>
      <c r="L2791" s="1" t="str">
        <f>VLOOKUP(Tabela1[[#This Row],[Cliente]],'BASE DE CLIENTES'!A:E,5,0)</f>
        <v>CEILANDIA NORTE (CEILANDIA)</v>
      </c>
    </row>
    <row r="2792" spans="2:12" x14ac:dyDescent="0.3">
      <c r="B2792" s="1" t="s">
        <v>70</v>
      </c>
      <c r="C2792" s="4" t="str">
        <f>VLOOKUP(Tabela1[[#This Row],[Cliente]],'BASE DE CLIENTES'!A:E,2,0)</f>
        <v>Brasília</v>
      </c>
      <c r="D2792" s="1" t="str">
        <f>VLOOKUP(Tabela1[[#This Row],[Cliente]],'BASE DE CLIENTES'!A:C,3,0)</f>
        <v>DF</v>
      </c>
      <c r="E2792" s="4" t="str">
        <f>CONCATENATE(Tabela1[[#This Row],[CIDADE]],",",Tabela1[[#This Row],[UF]])</f>
        <v>Brasília,DF</v>
      </c>
      <c r="F2792" s="2">
        <v>45952</v>
      </c>
      <c r="G2792" s="17">
        <v>815.09</v>
      </c>
      <c r="H2792" s="17">
        <v>1270</v>
      </c>
      <c r="I2792" s="6">
        <f>Tabela1[[#This Row],[Valor total]]-Tabela1[[#This Row],[Valor custo]]</f>
        <v>454.90999999999997</v>
      </c>
      <c r="J2792" s="7">
        <f>Tabela1[[#This Row],[MARGEM BRUTA]]/Tabela1[[#This Row],[Valor total]]</f>
        <v>0.35819685039370075</v>
      </c>
      <c r="K2792" s="1" t="str">
        <f>VLOOKUP(Tabela1[[#This Row],[Cliente]],'BASE DE CLIENTES'!A:D,4,0)</f>
        <v>EMPRESA COM MAQUINA</v>
      </c>
      <c r="L2792" s="1" t="str">
        <f>VLOOKUP(Tabela1[[#This Row],[Cliente]],'BASE DE CLIENTES'!A:E,5,0)</f>
        <v>TAGUATINGA NORTE (TAGUATINGA)</v>
      </c>
    </row>
    <row r="2793" spans="2:12" x14ac:dyDescent="0.3">
      <c r="B2793" s="1" t="s">
        <v>98</v>
      </c>
      <c r="C2793" s="4" t="str">
        <f>VLOOKUP(Tabela1[[#This Row],[Cliente]],'BASE DE CLIENTES'!A:E,2,0)</f>
        <v>Brasília</v>
      </c>
      <c r="D2793" s="1" t="str">
        <f>VLOOKUP(Tabela1[[#This Row],[Cliente]],'BASE DE CLIENTES'!A:C,3,0)</f>
        <v>DF</v>
      </c>
      <c r="E2793" s="4" t="str">
        <f>CONCATENATE(Tabela1[[#This Row],[CIDADE]],",",Tabela1[[#This Row],[UF]])</f>
        <v>Brasília,DF</v>
      </c>
      <c r="F2793" s="2">
        <v>45952</v>
      </c>
      <c r="G2793" s="17">
        <v>114.1</v>
      </c>
      <c r="H2793" s="17">
        <v>355</v>
      </c>
      <c r="I2793" s="6">
        <f>Tabela1[[#This Row],[Valor total]]-Tabela1[[#This Row],[Valor custo]]</f>
        <v>240.9</v>
      </c>
      <c r="J2793" s="7">
        <f>Tabela1[[#This Row],[MARGEM BRUTA]]/Tabela1[[#This Row],[Valor total]]</f>
        <v>0.6785915492957747</v>
      </c>
      <c r="K2793" s="1" t="str">
        <f>VLOOKUP(Tabela1[[#This Row],[Cliente]],'BASE DE CLIENTES'!A:D,4,0)</f>
        <v>SERRALHEIRO</v>
      </c>
      <c r="L2793" s="1" t="str">
        <f>VLOOKUP(Tabela1[[#This Row],[Cliente]],'BASE DE CLIENTES'!A:E,5,0)</f>
        <v>SANTA MARIA</v>
      </c>
    </row>
    <row r="2794" spans="2:12" x14ac:dyDescent="0.3">
      <c r="B2794" s="1" t="s">
        <v>236</v>
      </c>
      <c r="C2794" s="4" t="str">
        <f>VLOOKUP(Tabela1[[#This Row],[Cliente]],'BASE DE CLIENTES'!A:E,2,0)</f>
        <v>Goiânia</v>
      </c>
      <c r="D2794" s="1" t="str">
        <f>VLOOKUP(Tabela1[[#This Row],[Cliente]],'BASE DE CLIENTES'!A:C,3,0)</f>
        <v>GO</v>
      </c>
      <c r="E2794" s="4" t="str">
        <f>CONCATENATE(Tabela1[[#This Row],[CIDADE]],",",Tabela1[[#This Row],[UF]])</f>
        <v>Goiânia,GO</v>
      </c>
      <c r="F2794" s="2">
        <v>45952</v>
      </c>
      <c r="G2794" s="17">
        <v>250</v>
      </c>
      <c r="H2794" s="17">
        <v>300</v>
      </c>
      <c r="I2794" s="6">
        <f>Tabela1[[#This Row],[Valor total]]-Tabela1[[#This Row],[Valor custo]]</f>
        <v>50</v>
      </c>
      <c r="J2794" s="7">
        <f>Tabela1[[#This Row],[MARGEM BRUTA]]/Tabela1[[#This Row],[Valor total]]</f>
        <v>0.16666666666666666</v>
      </c>
      <c r="K2794" s="1" t="str">
        <f>VLOOKUP(Tabela1[[#This Row],[Cliente]],'BASE DE CLIENTES'!A:D,4,0)</f>
        <v>EMPRESA COM MAQUINA</v>
      </c>
      <c r="L2794" s="1" t="str">
        <f>VLOOKUP(Tabela1[[#This Row],[Cliente]],'BASE DE CLIENTES'!A:E,5,0)</f>
        <v>Goiânia</v>
      </c>
    </row>
    <row r="2795" spans="2:12" x14ac:dyDescent="0.3">
      <c r="B2795" s="1" t="s">
        <v>236</v>
      </c>
      <c r="C2795" s="4" t="str">
        <f>VLOOKUP(Tabela1[[#This Row],[Cliente]],'BASE DE CLIENTES'!A:E,2,0)</f>
        <v>Goiânia</v>
      </c>
      <c r="D2795" s="1" t="str">
        <f>VLOOKUP(Tabela1[[#This Row],[Cliente]],'BASE DE CLIENTES'!A:C,3,0)</f>
        <v>GO</v>
      </c>
      <c r="E2795" s="4" t="str">
        <f>CONCATENATE(Tabela1[[#This Row],[CIDADE]],",",Tabela1[[#This Row],[UF]])</f>
        <v>Goiânia,GO</v>
      </c>
      <c r="F2795" s="2">
        <v>45952</v>
      </c>
      <c r="G2795" s="17">
        <v>1068</v>
      </c>
      <c r="H2795" s="17">
        <v>1580</v>
      </c>
      <c r="I2795" s="6">
        <f>Tabela1[[#This Row],[Valor total]]-Tabela1[[#This Row],[Valor custo]]</f>
        <v>512</v>
      </c>
      <c r="J2795" s="7">
        <f>Tabela1[[#This Row],[MARGEM BRUTA]]/Tabela1[[#This Row],[Valor total]]</f>
        <v>0.32405063291139241</v>
      </c>
      <c r="K2795" s="1" t="str">
        <f>VLOOKUP(Tabela1[[#This Row],[Cliente]],'BASE DE CLIENTES'!A:D,4,0)</f>
        <v>EMPRESA COM MAQUINA</v>
      </c>
      <c r="L2795" s="1" t="str">
        <f>VLOOKUP(Tabela1[[#This Row],[Cliente]],'BASE DE CLIENTES'!A:E,5,0)</f>
        <v>Goiânia</v>
      </c>
    </row>
    <row r="2796" spans="2:12" x14ac:dyDescent="0.3">
      <c r="B2796" s="1" t="s">
        <v>236</v>
      </c>
      <c r="C2796" s="4" t="str">
        <f>VLOOKUP(Tabela1[[#This Row],[Cliente]],'BASE DE CLIENTES'!A:E,2,0)</f>
        <v>Goiânia</v>
      </c>
      <c r="D2796" s="1" t="str">
        <f>VLOOKUP(Tabela1[[#This Row],[Cliente]],'BASE DE CLIENTES'!A:C,3,0)</f>
        <v>GO</v>
      </c>
      <c r="E2796" s="4" t="str">
        <f>CONCATENATE(Tabela1[[#This Row],[CIDADE]],",",Tabela1[[#This Row],[UF]])</f>
        <v>Goiânia,GO</v>
      </c>
      <c r="F2796" s="2">
        <v>45952</v>
      </c>
      <c r="G2796" s="17">
        <v>1602</v>
      </c>
      <c r="H2796" s="17">
        <v>2370</v>
      </c>
      <c r="I2796" s="6">
        <f>Tabela1[[#This Row],[Valor total]]-Tabela1[[#This Row],[Valor custo]]</f>
        <v>768</v>
      </c>
      <c r="J2796" s="7">
        <f>Tabela1[[#This Row],[MARGEM BRUTA]]/Tabela1[[#This Row],[Valor total]]</f>
        <v>0.32405063291139241</v>
      </c>
      <c r="K2796" s="1" t="str">
        <f>VLOOKUP(Tabela1[[#This Row],[Cliente]],'BASE DE CLIENTES'!A:D,4,0)</f>
        <v>EMPRESA COM MAQUINA</v>
      </c>
      <c r="L2796" s="1" t="str">
        <f>VLOOKUP(Tabela1[[#This Row],[Cliente]],'BASE DE CLIENTES'!A:E,5,0)</f>
        <v>Goiânia</v>
      </c>
    </row>
    <row r="2797" spans="2:12" x14ac:dyDescent="0.3">
      <c r="B2797" s="1" t="s">
        <v>111</v>
      </c>
      <c r="C2797" s="4" t="str">
        <f>VLOOKUP(Tabela1[[#This Row],[Cliente]],'BASE DE CLIENTES'!A:E,2,0)</f>
        <v>Brasília</v>
      </c>
      <c r="D2797" s="1" t="str">
        <f>VLOOKUP(Tabela1[[#This Row],[Cliente]],'BASE DE CLIENTES'!A:C,3,0)</f>
        <v>DF</v>
      </c>
      <c r="E2797" s="4" t="str">
        <f>CONCATENATE(Tabela1[[#This Row],[CIDADE]],",",Tabela1[[#This Row],[UF]])</f>
        <v>Brasília,DF</v>
      </c>
      <c r="F2797" s="2">
        <v>45952</v>
      </c>
      <c r="G2797" s="17">
        <v>1962</v>
      </c>
      <c r="H2797" s="17">
        <v>2950</v>
      </c>
      <c r="I2797" s="6">
        <f>Tabela1[[#This Row],[Valor total]]-Tabela1[[#This Row],[Valor custo]]</f>
        <v>988</v>
      </c>
      <c r="J2797" s="7">
        <f>Tabela1[[#This Row],[MARGEM BRUTA]]/Tabela1[[#This Row],[Valor total]]</f>
        <v>0.33491525423728813</v>
      </c>
      <c r="K2797" s="1" t="str">
        <f>VLOOKUP(Tabela1[[#This Row],[Cliente]],'BASE DE CLIENTES'!A:D,4,0)</f>
        <v>EMPRESA SEM MAQUINA</v>
      </c>
      <c r="L2797" s="1" t="str">
        <f>VLOOKUP(Tabela1[[#This Row],[Cliente]],'BASE DE CLIENTES'!A:E,5,0)</f>
        <v>TAGUATINGA SUL (TAGUATINGA)</v>
      </c>
    </row>
    <row r="2798" spans="2:12" x14ac:dyDescent="0.3">
      <c r="B2798" s="1" t="s">
        <v>27</v>
      </c>
      <c r="C2798" s="4" t="str">
        <f>VLOOKUP(Tabela1[[#This Row],[Cliente]],'BASE DE CLIENTES'!A:E,2,0)</f>
        <v>Brasília</v>
      </c>
      <c r="D2798" s="1" t="str">
        <f>VLOOKUP(Tabela1[[#This Row],[Cliente]],'BASE DE CLIENTES'!A:C,3,0)</f>
        <v>DF</v>
      </c>
      <c r="E2798" s="4" t="str">
        <f>CONCATENATE(Tabela1[[#This Row],[CIDADE]],",",Tabela1[[#This Row],[UF]])</f>
        <v>Brasília,DF</v>
      </c>
      <c r="F2798" s="2">
        <v>45951</v>
      </c>
      <c r="G2798" s="17">
        <v>382.3</v>
      </c>
      <c r="H2798" s="17">
        <v>615</v>
      </c>
      <c r="I2798" s="6">
        <f>Tabela1[[#This Row],[Valor total]]-Tabela1[[#This Row],[Valor custo]]</f>
        <v>232.7</v>
      </c>
      <c r="J2798" s="7">
        <f>Tabela1[[#This Row],[MARGEM BRUTA]]/Tabela1[[#This Row],[Valor total]]</f>
        <v>0.37837398373983738</v>
      </c>
      <c r="K2798" s="1" t="str">
        <f>VLOOKUP(Tabela1[[#This Row],[Cliente]],'BASE DE CLIENTES'!A:D,4,0)</f>
        <v>EMPRESA SEM MAQUINA</v>
      </c>
      <c r="L2798" s="1" t="str">
        <f>VLOOKUP(Tabela1[[#This Row],[Cliente]],'BASE DE CLIENTES'!A:E,5,0)</f>
        <v>RECANTO DAS EMAS</v>
      </c>
    </row>
    <row r="2799" spans="2:12" x14ac:dyDescent="0.3">
      <c r="B2799" s="1" t="s">
        <v>127</v>
      </c>
      <c r="C2799" s="4" t="str">
        <f>VLOOKUP(Tabela1[[#This Row],[Cliente]],'BASE DE CLIENTES'!A:E,2,0)</f>
        <v>Brasília</v>
      </c>
      <c r="D2799" s="1" t="str">
        <f>VLOOKUP(Tabela1[[#This Row],[Cliente]],'BASE DE CLIENTES'!A:C,3,0)</f>
        <v>DF</v>
      </c>
      <c r="E2799" s="4" t="str">
        <f>CONCATENATE(Tabela1[[#This Row],[CIDADE]],",",Tabela1[[#This Row],[UF]])</f>
        <v>Brasília,DF</v>
      </c>
      <c r="F2799" s="2">
        <v>45951</v>
      </c>
      <c r="G2799" s="17">
        <v>1615</v>
      </c>
      <c r="H2799" s="17">
        <v>2800</v>
      </c>
      <c r="I2799" s="6">
        <f>Tabela1[[#This Row],[Valor total]]-Tabela1[[#This Row],[Valor custo]]</f>
        <v>1185</v>
      </c>
      <c r="J2799" s="7">
        <f>Tabela1[[#This Row],[MARGEM BRUTA]]/Tabela1[[#This Row],[Valor total]]</f>
        <v>0.42321428571428571</v>
      </c>
      <c r="K2799" s="1" t="str">
        <f>VLOOKUP(Tabela1[[#This Row],[Cliente]],'BASE DE CLIENTES'!A:D,4,0)</f>
        <v>EMPRESA COM MAQUINA</v>
      </c>
      <c r="L2799" s="1" t="str">
        <f>VLOOKUP(Tabela1[[#This Row],[Cliente]],'BASE DE CLIENTES'!A:E,5,0)</f>
        <v>CEILANDIA SUL (CEILANDIA)</v>
      </c>
    </row>
    <row r="2800" spans="2:12" x14ac:dyDescent="0.3">
      <c r="B2800" s="1" t="s">
        <v>68</v>
      </c>
      <c r="C2800" s="4" t="str">
        <f>VLOOKUP(Tabela1[[#This Row],[Cliente]],'BASE DE CLIENTES'!A:E,2,0)</f>
        <v>Brasília</v>
      </c>
      <c r="D2800" s="1" t="str">
        <f>VLOOKUP(Tabela1[[#This Row],[Cliente]],'BASE DE CLIENTES'!A:C,3,0)</f>
        <v>DF</v>
      </c>
      <c r="E2800" s="4" t="str">
        <f>CONCATENATE(Tabela1[[#This Row],[CIDADE]],",",Tabela1[[#This Row],[UF]])</f>
        <v>Brasília,DF</v>
      </c>
      <c r="F2800" s="2">
        <v>45951</v>
      </c>
      <c r="G2800" s="17">
        <v>2163.9499999999998</v>
      </c>
      <c r="H2800" s="17">
        <v>3125</v>
      </c>
      <c r="I2800" s="6">
        <f>Tabela1[[#This Row],[Valor total]]-Tabela1[[#This Row],[Valor custo]]</f>
        <v>961.05000000000018</v>
      </c>
      <c r="J2800" s="7">
        <f>Tabela1[[#This Row],[MARGEM BRUTA]]/Tabela1[[#This Row],[Valor total]]</f>
        <v>0.30753600000000003</v>
      </c>
      <c r="K2800" s="1" t="str">
        <f>VLOOKUP(Tabela1[[#This Row],[Cliente]],'BASE DE CLIENTES'!A:D,4,0)</f>
        <v>EMPRESA COM MAQUINA</v>
      </c>
      <c r="L2800" s="1" t="str">
        <f>VLOOKUP(Tabela1[[#This Row],[Cliente]],'BASE DE CLIENTES'!A:E,5,0)</f>
        <v>SAMAMBAIA SUL (SAMAMBAIA)</v>
      </c>
    </row>
    <row r="2801" spans="2:12" x14ac:dyDescent="0.3">
      <c r="B2801" s="1" t="s">
        <v>150</v>
      </c>
      <c r="C2801" s="4" t="str">
        <f>VLOOKUP(Tabela1[[#This Row],[Cliente]],'BASE DE CLIENTES'!A:E,2,0)</f>
        <v>Anápolis</v>
      </c>
      <c r="D2801" s="1" t="str">
        <f>VLOOKUP(Tabela1[[#This Row],[Cliente]],'BASE DE CLIENTES'!A:C,3,0)</f>
        <v>GO</v>
      </c>
      <c r="E2801" s="4" t="str">
        <f>CONCATENATE(Tabela1[[#This Row],[CIDADE]],",",Tabela1[[#This Row],[UF]])</f>
        <v>Anápolis,GO</v>
      </c>
      <c r="F2801" s="2">
        <v>45951</v>
      </c>
      <c r="G2801" s="17">
        <v>2643.02</v>
      </c>
      <c r="H2801" s="17">
        <v>4050</v>
      </c>
      <c r="I2801" s="6">
        <f>Tabela1[[#This Row],[Valor total]]-Tabela1[[#This Row],[Valor custo]]</f>
        <v>1406.98</v>
      </c>
      <c r="J2801" s="7">
        <f>Tabela1[[#This Row],[MARGEM BRUTA]]/Tabela1[[#This Row],[Valor total]]</f>
        <v>0.34740246913580247</v>
      </c>
      <c r="K2801" s="1" t="str">
        <f>VLOOKUP(Tabela1[[#This Row],[Cliente]],'BASE DE CLIENTES'!A:D,4,0)</f>
        <v>EMPRESA COM MAQUINA</v>
      </c>
      <c r="L2801" s="1" t="str">
        <f>VLOOKUP(Tabela1[[#This Row],[Cliente]],'BASE DE CLIENTES'!A:E,5,0)</f>
        <v>Anápolis</v>
      </c>
    </row>
    <row r="2802" spans="2:12" x14ac:dyDescent="0.3">
      <c r="B2802" s="1" t="s">
        <v>108</v>
      </c>
      <c r="C2802" s="4" t="str">
        <f>VLOOKUP(Tabela1[[#This Row],[Cliente]],'BASE DE CLIENTES'!A:E,2,0)</f>
        <v>Brasília</v>
      </c>
      <c r="D2802" s="1" t="str">
        <f>VLOOKUP(Tabela1[[#This Row],[Cliente]],'BASE DE CLIENTES'!A:C,3,0)</f>
        <v>DF</v>
      </c>
      <c r="E2802" s="4" t="str">
        <f>CONCATENATE(Tabela1[[#This Row],[CIDADE]],",",Tabela1[[#This Row],[UF]])</f>
        <v>Brasília,DF</v>
      </c>
      <c r="F2802" s="2">
        <v>45951</v>
      </c>
      <c r="G2802" s="17">
        <v>649</v>
      </c>
      <c r="H2802" s="17">
        <v>1090</v>
      </c>
      <c r="I2802" s="6">
        <f>Tabela1[[#This Row],[Valor total]]-Tabela1[[#This Row],[Valor custo]]</f>
        <v>441</v>
      </c>
      <c r="J2802" s="7">
        <f>Tabela1[[#This Row],[MARGEM BRUTA]]/Tabela1[[#This Row],[Valor total]]</f>
        <v>0.40458715596330275</v>
      </c>
      <c r="K2802" s="1" t="str">
        <f>VLOOKUP(Tabela1[[#This Row],[Cliente]],'BASE DE CLIENTES'!A:D,4,0)</f>
        <v>SERRALHEIRO</v>
      </c>
      <c r="L2802" s="1" t="str">
        <f>VLOOKUP(Tabela1[[#This Row],[Cliente]],'BASE DE CLIENTES'!A:E,5,0)</f>
        <v>Vila Planalto</v>
      </c>
    </row>
    <row r="2803" spans="2:12" x14ac:dyDescent="0.3">
      <c r="B2803" s="1" t="s">
        <v>108</v>
      </c>
      <c r="C2803" s="4" t="str">
        <f>VLOOKUP(Tabela1[[#This Row],[Cliente]],'BASE DE CLIENTES'!A:E,2,0)</f>
        <v>Brasília</v>
      </c>
      <c r="D2803" s="1" t="str">
        <f>VLOOKUP(Tabela1[[#This Row],[Cliente]],'BASE DE CLIENTES'!A:C,3,0)</f>
        <v>DF</v>
      </c>
      <c r="E2803" s="4" t="str">
        <f>CONCATENATE(Tabela1[[#This Row],[CIDADE]],",",Tabela1[[#This Row],[UF]])</f>
        <v>Brasília,DF</v>
      </c>
      <c r="F2803" s="2">
        <v>45951</v>
      </c>
      <c r="G2803" s="17">
        <v>128.52000000000001</v>
      </c>
      <c r="H2803" s="17">
        <v>172</v>
      </c>
      <c r="I2803" s="6">
        <f>Tabela1[[#This Row],[Valor total]]-Tabela1[[#This Row],[Valor custo]]</f>
        <v>43.47999999999999</v>
      </c>
      <c r="J2803" s="7">
        <f>Tabela1[[#This Row],[MARGEM BRUTA]]/Tabela1[[#This Row],[Valor total]]</f>
        <v>0.25279069767441853</v>
      </c>
      <c r="K2803" s="1" t="str">
        <f>VLOOKUP(Tabela1[[#This Row],[Cliente]],'BASE DE CLIENTES'!A:D,4,0)</f>
        <v>SERRALHEIRO</v>
      </c>
      <c r="L2803" s="1" t="str">
        <f>VLOOKUP(Tabela1[[#This Row],[Cliente]],'BASE DE CLIENTES'!A:E,5,0)</f>
        <v>Vila Planalto</v>
      </c>
    </row>
    <row r="2804" spans="2:12" x14ac:dyDescent="0.3">
      <c r="B2804" s="1" t="s">
        <v>319</v>
      </c>
      <c r="C2804" s="4" t="str">
        <f>VLOOKUP(Tabela1[[#This Row],[Cliente]],'BASE DE CLIENTES'!A:E,2,0)</f>
        <v>Valparaíso de Goiás</v>
      </c>
      <c r="D2804" s="1" t="str">
        <f>VLOOKUP(Tabela1[[#This Row],[Cliente]],'BASE DE CLIENTES'!A:C,3,0)</f>
        <v>GO</v>
      </c>
      <c r="E2804" s="4" t="str">
        <f>CONCATENATE(Tabela1[[#This Row],[CIDADE]],",",Tabela1[[#This Row],[UF]])</f>
        <v>Valparaíso de Goiás,GO</v>
      </c>
      <c r="F2804" s="2">
        <v>45951</v>
      </c>
      <c r="G2804" s="17">
        <v>2320</v>
      </c>
      <c r="H2804" s="17">
        <v>3600</v>
      </c>
      <c r="I2804" s="6">
        <f>Tabela1[[#This Row],[Valor total]]-Tabela1[[#This Row],[Valor custo]]</f>
        <v>1280</v>
      </c>
      <c r="J2804" s="7">
        <f>Tabela1[[#This Row],[MARGEM BRUTA]]/Tabela1[[#This Row],[Valor total]]</f>
        <v>0.35555555555555557</v>
      </c>
      <c r="K2804" s="1" t="str">
        <f>VLOOKUP(Tabela1[[#This Row],[Cliente]],'BASE DE CLIENTES'!A:D,4,0)</f>
        <v>EMPRESA COM MAQUINA</v>
      </c>
      <c r="L2804" s="1" t="str">
        <f>VLOOKUP(Tabela1[[#This Row],[Cliente]],'BASE DE CLIENTES'!A:E,5,0)</f>
        <v>Valparaíso de Goiás</v>
      </c>
    </row>
    <row r="2805" spans="2:12" x14ac:dyDescent="0.3">
      <c r="B2805" s="1" t="s">
        <v>291</v>
      </c>
      <c r="C2805" s="4" t="str">
        <f>VLOOKUP(Tabela1[[#This Row],[Cliente]],'BASE DE CLIENTES'!A:E,2,0)</f>
        <v>Rio Verde</v>
      </c>
      <c r="D2805" s="1" t="str">
        <f>VLOOKUP(Tabela1[[#This Row],[Cliente]],'BASE DE CLIENTES'!A:C,3,0)</f>
        <v>GO</v>
      </c>
      <c r="E2805" s="4" t="str">
        <f>CONCATENATE(Tabela1[[#This Row],[CIDADE]],",",Tabela1[[#This Row],[UF]])</f>
        <v>Rio Verde,GO</v>
      </c>
      <c r="F2805" s="2">
        <v>45951</v>
      </c>
      <c r="G2805" s="17">
        <v>180</v>
      </c>
      <c r="H2805" s="17">
        <v>400</v>
      </c>
      <c r="I2805" s="6">
        <f>Tabela1[[#This Row],[Valor total]]-Tabela1[[#This Row],[Valor custo]]</f>
        <v>220</v>
      </c>
      <c r="J2805" s="7">
        <f>Tabela1[[#This Row],[MARGEM BRUTA]]/Tabela1[[#This Row],[Valor total]]</f>
        <v>0.55000000000000004</v>
      </c>
      <c r="K2805" s="1" t="str">
        <f>VLOOKUP(Tabela1[[#This Row],[Cliente]],'BASE DE CLIENTES'!A:D,4,0)</f>
        <v>EMPRESA COM MAQUINA</v>
      </c>
      <c r="L2805" s="1" t="str">
        <f>VLOOKUP(Tabela1[[#This Row],[Cliente]],'BASE DE CLIENTES'!A:E,5,0)</f>
        <v>Rio Verde</v>
      </c>
    </row>
    <row r="2806" spans="2:12" x14ac:dyDescent="0.3">
      <c r="B2806" s="1" t="s">
        <v>25</v>
      </c>
      <c r="C2806" s="4" t="str">
        <f>VLOOKUP(Tabela1[[#This Row],[Cliente]],'BASE DE CLIENTES'!A:E,2,0)</f>
        <v>Brasília</v>
      </c>
      <c r="D2806" s="1" t="str">
        <f>VLOOKUP(Tabela1[[#This Row],[Cliente]],'BASE DE CLIENTES'!A:C,3,0)</f>
        <v>DF</v>
      </c>
      <c r="E2806" s="4" t="str">
        <f>CONCATENATE(Tabela1[[#This Row],[CIDADE]],",",Tabela1[[#This Row],[UF]])</f>
        <v>Brasília,DF</v>
      </c>
      <c r="F2806" s="2">
        <v>45951</v>
      </c>
      <c r="G2806" s="17">
        <v>45.6</v>
      </c>
      <c r="H2806" s="17">
        <v>70</v>
      </c>
      <c r="I2806" s="6">
        <f>Tabela1[[#This Row],[Valor total]]-Tabela1[[#This Row],[Valor custo]]</f>
        <v>24.4</v>
      </c>
      <c r="J2806" s="7">
        <f>Tabela1[[#This Row],[MARGEM BRUTA]]/Tabela1[[#This Row],[Valor total]]</f>
        <v>0.34857142857142853</v>
      </c>
      <c r="K2806" s="1" t="str">
        <f>VLOOKUP(Tabela1[[#This Row],[Cliente]],'BASE DE CLIENTES'!A:D,4,0)</f>
        <v>EMPRESA COM MAQUINA</v>
      </c>
      <c r="L2806" s="1" t="str">
        <f>VLOOKUP(Tabela1[[#This Row],[Cliente]],'BASE DE CLIENTES'!A:E,5,0)</f>
        <v>CEILANDIA NORTE (CEILANDIA)</v>
      </c>
    </row>
    <row r="2807" spans="2:12" x14ac:dyDescent="0.3">
      <c r="B2807" s="1" t="s">
        <v>25</v>
      </c>
      <c r="C2807" s="4" t="str">
        <f>VLOOKUP(Tabela1[[#This Row],[Cliente]],'BASE DE CLIENTES'!A:E,2,0)</f>
        <v>Brasília</v>
      </c>
      <c r="D2807" s="1" t="str">
        <f>VLOOKUP(Tabela1[[#This Row],[Cliente]],'BASE DE CLIENTES'!A:C,3,0)</f>
        <v>DF</v>
      </c>
      <c r="E2807" s="4" t="str">
        <f>CONCATENATE(Tabela1[[#This Row],[CIDADE]],",",Tabela1[[#This Row],[UF]])</f>
        <v>Brasília,DF</v>
      </c>
      <c r="F2807" s="2">
        <v>45951</v>
      </c>
      <c r="G2807" s="17">
        <v>2943.18</v>
      </c>
      <c r="H2807" s="17">
        <v>4630</v>
      </c>
      <c r="I2807" s="6">
        <f>Tabela1[[#This Row],[Valor total]]-Tabela1[[#This Row],[Valor custo]]</f>
        <v>1686.8200000000002</v>
      </c>
      <c r="J2807" s="7">
        <f>Tabela1[[#This Row],[MARGEM BRUTA]]/Tabela1[[#This Row],[Valor total]]</f>
        <v>0.36432397408207345</v>
      </c>
      <c r="K2807" s="1" t="str">
        <f>VLOOKUP(Tabela1[[#This Row],[Cliente]],'BASE DE CLIENTES'!A:D,4,0)</f>
        <v>EMPRESA COM MAQUINA</v>
      </c>
      <c r="L2807" s="1" t="str">
        <f>VLOOKUP(Tabela1[[#This Row],[Cliente]],'BASE DE CLIENTES'!A:E,5,0)</f>
        <v>CEILANDIA NORTE (CEILANDIA)</v>
      </c>
    </row>
    <row r="2808" spans="2:12" x14ac:dyDescent="0.3">
      <c r="B2808" s="1" t="s">
        <v>25</v>
      </c>
      <c r="C2808" s="4" t="str">
        <f>VLOOKUP(Tabela1[[#This Row],[Cliente]],'BASE DE CLIENTES'!A:E,2,0)</f>
        <v>Brasília</v>
      </c>
      <c r="D2808" s="1" t="str">
        <f>VLOOKUP(Tabela1[[#This Row],[Cliente]],'BASE DE CLIENTES'!A:C,3,0)</f>
        <v>DF</v>
      </c>
      <c r="E2808" s="4" t="str">
        <f>CONCATENATE(Tabela1[[#This Row],[CIDADE]],",",Tabela1[[#This Row],[UF]])</f>
        <v>Brasília,DF</v>
      </c>
      <c r="F2808" s="2">
        <v>45951</v>
      </c>
      <c r="G2808" s="17">
        <v>693</v>
      </c>
      <c r="H2808" s="17">
        <v>300</v>
      </c>
      <c r="I2808" s="6">
        <f>Tabela1[[#This Row],[Valor total]]-Tabela1[[#This Row],[Valor custo]]</f>
        <v>-393</v>
      </c>
      <c r="J2808" s="7">
        <f>Tabela1[[#This Row],[MARGEM BRUTA]]/Tabela1[[#This Row],[Valor total]]</f>
        <v>-1.31</v>
      </c>
      <c r="K2808" s="1" t="str">
        <f>VLOOKUP(Tabela1[[#This Row],[Cliente]],'BASE DE CLIENTES'!A:D,4,0)</f>
        <v>EMPRESA COM MAQUINA</v>
      </c>
      <c r="L2808" s="1" t="str">
        <f>VLOOKUP(Tabela1[[#This Row],[Cliente]],'BASE DE CLIENTES'!A:E,5,0)</f>
        <v>CEILANDIA NORTE (CEILANDIA)</v>
      </c>
    </row>
    <row r="2809" spans="2:12" x14ac:dyDescent="0.3">
      <c r="B2809" s="1" t="s">
        <v>239</v>
      </c>
      <c r="C2809" s="4" t="str">
        <f>VLOOKUP(Tabela1[[#This Row],[Cliente]],'BASE DE CLIENTES'!A:E,2,0)</f>
        <v>Brasília</v>
      </c>
      <c r="D2809" s="1" t="str">
        <f>VLOOKUP(Tabela1[[#This Row],[Cliente]],'BASE DE CLIENTES'!A:C,3,0)</f>
        <v>DF</v>
      </c>
      <c r="E2809" s="4" t="str">
        <f>CONCATENATE(Tabela1[[#This Row],[CIDADE]],",",Tabela1[[#This Row],[UF]])</f>
        <v>Brasília,DF</v>
      </c>
      <c r="F2809" s="2">
        <v>45951</v>
      </c>
      <c r="G2809" s="17">
        <v>1071</v>
      </c>
      <c r="H2809" s="17">
        <v>1693</v>
      </c>
      <c r="I2809" s="6">
        <f>Tabela1[[#This Row],[Valor total]]-Tabela1[[#This Row],[Valor custo]]</f>
        <v>622</v>
      </c>
      <c r="J2809" s="7">
        <f>Tabela1[[#This Row],[MARGEM BRUTA]]/Tabela1[[#This Row],[Valor total]]</f>
        <v>0.36739515652687538</v>
      </c>
      <c r="K2809" s="1" t="str">
        <f>VLOOKUP(Tabela1[[#This Row],[Cliente]],'BASE DE CLIENTES'!A:D,4,0)</f>
        <v>EMPRESA COM MAQUINA</v>
      </c>
      <c r="L2809" s="1" t="str">
        <f>VLOOKUP(Tabela1[[#This Row],[Cliente]],'BASE DE CLIENTES'!A:E,5,0)</f>
        <v>RIACHO FUNDO II</v>
      </c>
    </row>
    <row r="2810" spans="2:12" x14ac:dyDescent="0.3">
      <c r="B2810" s="1" t="s">
        <v>152</v>
      </c>
      <c r="C2810" s="4" t="str">
        <f>VLOOKUP(Tabela1[[#This Row],[Cliente]],'BASE DE CLIENTES'!A:E,2,0)</f>
        <v>Aparecida de Goiânia</v>
      </c>
      <c r="D2810" s="1" t="str">
        <f>VLOOKUP(Tabela1[[#This Row],[Cliente]],'BASE DE CLIENTES'!A:C,3,0)</f>
        <v>GO</v>
      </c>
      <c r="E2810" s="4" t="str">
        <f>CONCATENATE(Tabela1[[#This Row],[CIDADE]],",",Tabela1[[#This Row],[UF]])</f>
        <v>Aparecida de Goiânia,GO</v>
      </c>
      <c r="F2810" s="2">
        <v>45951</v>
      </c>
      <c r="G2810" s="17">
        <v>250</v>
      </c>
      <c r="H2810" s="17">
        <v>300</v>
      </c>
      <c r="I2810" s="6">
        <f>Tabela1[[#This Row],[Valor total]]-Tabela1[[#This Row],[Valor custo]]</f>
        <v>50</v>
      </c>
      <c r="J2810" s="7">
        <f>Tabela1[[#This Row],[MARGEM BRUTA]]/Tabela1[[#This Row],[Valor total]]</f>
        <v>0.16666666666666666</v>
      </c>
      <c r="K2810" s="1" t="str">
        <f>VLOOKUP(Tabela1[[#This Row],[Cliente]],'BASE DE CLIENTES'!A:D,4,0)</f>
        <v>TECNICO</v>
      </c>
      <c r="L2810" s="1" t="str">
        <f>VLOOKUP(Tabela1[[#This Row],[Cliente]],'BASE DE CLIENTES'!A:E,5,0)</f>
        <v>Aparecida de Goiânia</v>
      </c>
    </row>
    <row r="2811" spans="2:12" x14ac:dyDescent="0.3">
      <c r="B2811" s="1" t="s">
        <v>85</v>
      </c>
      <c r="C2811" s="4" t="str">
        <f>VLOOKUP(Tabela1[[#This Row],[Cliente]],'BASE DE CLIENTES'!A:E,2,0)</f>
        <v>Brasília</v>
      </c>
      <c r="D2811" s="1" t="str">
        <f>VLOOKUP(Tabela1[[#This Row],[Cliente]],'BASE DE CLIENTES'!A:C,3,0)</f>
        <v>DF</v>
      </c>
      <c r="E2811" s="4" t="str">
        <f>CONCATENATE(Tabela1[[#This Row],[CIDADE]],",",Tabela1[[#This Row],[UF]])</f>
        <v>Brasília,DF</v>
      </c>
      <c r="F2811" s="2">
        <v>45951</v>
      </c>
      <c r="G2811" s="17">
        <v>94.06</v>
      </c>
      <c r="H2811" s="17">
        <v>150</v>
      </c>
      <c r="I2811" s="6">
        <f>Tabela1[[#This Row],[Valor total]]-Tabela1[[#This Row],[Valor custo]]</f>
        <v>55.94</v>
      </c>
      <c r="J2811" s="7">
        <f>Tabela1[[#This Row],[MARGEM BRUTA]]/Tabela1[[#This Row],[Valor total]]</f>
        <v>0.37293333333333334</v>
      </c>
      <c r="K2811" s="1" t="str">
        <f>VLOOKUP(Tabela1[[#This Row],[Cliente]],'BASE DE CLIENTES'!A:D,4,0)</f>
        <v>SERRALHEIRO</v>
      </c>
      <c r="L2811" s="1" t="str">
        <f>VLOOKUP(Tabela1[[#This Row],[Cliente]],'BASE DE CLIENTES'!A:E,5,0)</f>
        <v>SAMAMBAIA NORTE (SAMAMBAIA)</v>
      </c>
    </row>
    <row r="2812" spans="2:12" x14ac:dyDescent="0.3">
      <c r="B2812" s="1" t="s">
        <v>15</v>
      </c>
      <c r="C2812" s="4" t="str">
        <f>VLOOKUP(Tabela1[[#This Row],[Cliente]],'BASE DE CLIENTES'!A:E,2,0)</f>
        <v>Brasília</v>
      </c>
      <c r="D2812" s="1" t="str">
        <f>VLOOKUP(Tabela1[[#This Row],[Cliente]],'BASE DE CLIENTES'!A:C,3,0)</f>
        <v>DF</v>
      </c>
      <c r="E2812" s="4" t="str">
        <f>CONCATENATE(Tabela1[[#This Row],[CIDADE]],",",Tabela1[[#This Row],[UF]])</f>
        <v>Brasília,DF</v>
      </c>
      <c r="F2812" s="2">
        <v>45951</v>
      </c>
      <c r="G2812" s="17">
        <v>69.98</v>
      </c>
      <c r="H2812" s="17">
        <v>100</v>
      </c>
      <c r="I2812" s="6">
        <f>Tabela1[[#This Row],[Valor total]]-Tabela1[[#This Row],[Valor custo]]</f>
        <v>30.019999999999996</v>
      </c>
      <c r="J2812" s="7">
        <f>Tabela1[[#This Row],[MARGEM BRUTA]]/Tabela1[[#This Row],[Valor total]]</f>
        <v>0.30019999999999997</v>
      </c>
      <c r="K2812" s="1" t="str">
        <f>VLOOKUP(Tabela1[[#This Row],[Cliente]],'BASE DE CLIENTES'!A:D,4,0)</f>
        <v>SERRALHEIRO</v>
      </c>
      <c r="L2812" s="1" t="str">
        <f>VLOOKUP(Tabela1[[#This Row],[Cliente]],'BASE DE CLIENTES'!A:E,5,0)</f>
        <v>SETOR HABITACIONAL VICENTE PIRES</v>
      </c>
    </row>
    <row r="2813" spans="2:12" x14ac:dyDescent="0.3">
      <c r="B2813" s="1" t="s">
        <v>68</v>
      </c>
      <c r="C2813" s="4" t="str">
        <f>VLOOKUP(Tabela1[[#This Row],[Cliente]],'BASE DE CLIENTES'!A:E,2,0)</f>
        <v>Brasília</v>
      </c>
      <c r="D2813" s="1" t="str">
        <f>VLOOKUP(Tabela1[[#This Row],[Cliente]],'BASE DE CLIENTES'!A:C,3,0)</f>
        <v>DF</v>
      </c>
      <c r="E2813" s="4" t="str">
        <f>CONCATENATE(Tabela1[[#This Row],[CIDADE]],",",Tabela1[[#This Row],[UF]])</f>
        <v>Brasília,DF</v>
      </c>
      <c r="F2813" s="2">
        <v>45951</v>
      </c>
      <c r="G2813" s="17">
        <v>2068</v>
      </c>
      <c r="H2813" s="17">
        <v>2850</v>
      </c>
      <c r="I2813" s="6">
        <f>Tabela1[[#This Row],[Valor total]]-Tabela1[[#This Row],[Valor custo]]</f>
        <v>782</v>
      </c>
      <c r="J2813" s="7">
        <f>Tabela1[[#This Row],[MARGEM BRUTA]]/Tabela1[[#This Row],[Valor total]]</f>
        <v>0.27438596491228068</v>
      </c>
      <c r="K2813" s="1" t="str">
        <f>VLOOKUP(Tabela1[[#This Row],[Cliente]],'BASE DE CLIENTES'!A:D,4,0)</f>
        <v>EMPRESA COM MAQUINA</v>
      </c>
      <c r="L2813" s="1" t="str">
        <f>VLOOKUP(Tabela1[[#This Row],[Cliente]],'BASE DE CLIENTES'!A:E,5,0)</f>
        <v>SAMAMBAIA SUL (SAMAMBAIA)</v>
      </c>
    </row>
    <row r="2814" spans="2:12" x14ac:dyDescent="0.3">
      <c r="B2814" s="1" t="s">
        <v>199</v>
      </c>
      <c r="C2814" s="4" t="str">
        <f>VLOOKUP(Tabela1[[#This Row],[Cliente]],'BASE DE CLIENTES'!A:E,2,0)</f>
        <v>Goiânia</v>
      </c>
      <c r="D2814" s="1" t="str">
        <f>VLOOKUP(Tabela1[[#This Row],[Cliente]],'BASE DE CLIENTES'!A:C,3,0)</f>
        <v>GO</v>
      </c>
      <c r="E2814" s="4" t="str">
        <f>CONCATENATE(Tabela1[[#This Row],[CIDADE]],",",Tabela1[[#This Row],[UF]])</f>
        <v>Goiânia,GO</v>
      </c>
      <c r="F2814" s="2">
        <v>45950</v>
      </c>
      <c r="G2814" s="17">
        <v>4127.3999999999996</v>
      </c>
      <c r="H2814" s="17">
        <v>7400</v>
      </c>
      <c r="I2814" s="6">
        <f>Tabela1[[#This Row],[Valor total]]-Tabela1[[#This Row],[Valor custo]]</f>
        <v>3272.6000000000004</v>
      </c>
      <c r="J2814" s="7">
        <f>Tabela1[[#This Row],[MARGEM BRUTA]]/Tabela1[[#This Row],[Valor total]]</f>
        <v>0.44224324324324327</v>
      </c>
      <c r="K2814" s="1" t="str">
        <f>VLOOKUP(Tabela1[[#This Row],[Cliente]],'BASE DE CLIENTES'!A:D,4,0)</f>
        <v>EMPRESA COM MAQUINA</v>
      </c>
      <c r="L2814" s="1" t="str">
        <f>VLOOKUP(Tabela1[[#This Row],[Cliente]],'BASE DE CLIENTES'!A:E,5,0)</f>
        <v>Goiânia</v>
      </c>
    </row>
    <row r="2815" spans="2:12" x14ac:dyDescent="0.3">
      <c r="B2815" s="1" t="s">
        <v>152</v>
      </c>
      <c r="C2815" s="4" t="str">
        <f>VLOOKUP(Tabela1[[#This Row],[Cliente]],'BASE DE CLIENTES'!A:E,2,0)</f>
        <v>Aparecida de Goiânia</v>
      </c>
      <c r="D2815" s="1" t="str">
        <f>VLOOKUP(Tabela1[[#This Row],[Cliente]],'BASE DE CLIENTES'!A:C,3,0)</f>
        <v>GO</v>
      </c>
      <c r="E2815" s="4" t="str">
        <f>CONCATENATE(Tabela1[[#This Row],[CIDADE]],",",Tabela1[[#This Row],[UF]])</f>
        <v>Aparecida de Goiânia,GO</v>
      </c>
      <c r="F2815" s="2">
        <v>45950</v>
      </c>
      <c r="G2815" s="17">
        <v>50</v>
      </c>
      <c r="H2815" s="17">
        <v>60</v>
      </c>
      <c r="I2815" s="6">
        <f>Tabela1[[#This Row],[Valor total]]-Tabela1[[#This Row],[Valor custo]]</f>
        <v>10</v>
      </c>
      <c r="J2815" s="7">
        <f>Tabela1[[#This Row],[MARGEM BRUTA]]/Tabela1[[#This Row],[Valor total]]</f>
        <v>0.16666666666666666</v>
      </c>
      <c r="K2815" s="1" t="str">
        <f>VLOOKUP(Tabela1[[#This Row],[Cliente]],'BASE DE CLIENTES'!A:D,4,0)</f>
        <v>TECNICO</v>
      </c>
      <c r="L2815" s="1" t="str">
        <f>VLOOKUP(Tabela1[[#This Row],[Cliente]],'BASE DE CLIENTES'!A:E,5,0)</f>
        <v>Aparecida de Goiânia</v>
      </c>
    </row>
    <row r="2816" spans="2:12" x14ac:dyDescent="0.3">
      <c r="B2816" s="1" t="s">
        <v>88</v>
      </c>
      <c r="C2816" s="4" t="str">
        <f>VLOOKUP(Tabela1[[#This Row],[Cliente]],'BASE DE CLIENTES'!A:E,2,0)</f>
        <v>Brasília</v>
      </c>
      <c r="D2816" s="1" t="str">
        <f>VLOOKUP(Tabela1[[#This Row],[Cliente]],'BASE DE CLIENTES'!A:C,3,0)</f>
        <v>DF</v>
      </c>
      <c r="E2816" s="4" t="str">
        <f>CONCATENATE(Tabela1[[#This Row],[CIDADE]],",",Tabela1[[#This Row],[UF]])</f>
        <v>Brasília,DF</v>
      </c>
      <c r="F2816" s="2">
        <v>45950</v>
      </c>
      <c r="G2816" s="17">
        <v>764.6</v>
      </c>
      <c r="H2816" s="17">
        <v>1240</v>
      </c>
      <c r="I2816" s="6">
        <f>Tabela1[[#This Row],[Valor total]]-Tabela1[[#This Row],[Valor custo]]</f>
        <v>475.4</v>
      </c>
      <c r="J2816" s="7">
        <f>Tabela1[[#This Row],[MARGEM BRUTA]]/Tabela1[[#This Row],[Valor total]]</f>
        <v>0.38338709677419353</v>
      </c>
      <c r="K2816" s="1" t="str">
        <f>VLOOKUP(Tabela1[[#This Row],[Cliente]],'BASE DE CLIENTES'!A:D,4,0)</f>
        <v>SERRALHEIRO</v>
      </c>
      <c r="L2816" s="1" t="str">
        <f>VLOOKUP(Tabela1[[#This Row],[Cliente]],'BASE DE CLIENTES'!A:E,5,0)</f>
        <v>RECANTO DAS EMAS</v>
      </c>
    </row>
    <row r="2817" spans="2:12" x14ac:dyDescent="0.3">
      <c r="B2817" s="1" t="s">
        <v>52</v>
      </c>
      <c r="C2817" s="4" t="str">
        <f>VLOOKUP(Tabela1[[#This Row],[Cliente]],'BASE DE CLIENTES'!A:E,2,0)</f>
        <v>Brasília</v>
      </c>
      <c r="D2817" s="1" t="str">
        <f>VLOOKUP(Tabela1[[#This Row],[Cliente]],'BASE DE CLIENTES'!A:C,3,0)</f>
        <v>DF</v>
      </c>
      <c r="E2817" s="4" t="str">
        <f>CONCATENATE(Tabela1[[#This Row],[CIDADE]],",",Tabela1[[#This Row],[UF]])</f>
        <v>Brasília,DF</v>
      </c>
      <c r="F2817" s="2">
        <v>45950</v>
      </c>
      <c r="G2817" s="17">
        <v>455</v>
      </c>
      <c r="H2817" s="17">
        <v>785</v>
      </c>
      <c r="I2817" s="6">
        <f>Tabela1[[#This Row],[Valor total]]-Tabela1[[#This Row],[Valor custo]]</f>
        <v>330</v>
      </c>
      <c r="J2817" s="7">
        <f>Tabela1[[#This Row],[MARGEM BRUTA]]/Tabela1[[#This Row],[Valor total]]</f>
        <v>0.42038216560509556</v>
      </c>
      <c r="K2817" s="1" t="str">
        <f>VLOOKUP(Tabela1[[#This Row],[Cliente]],'BASE DE CLIENTES'!A:D,4,0)</f>
        <v>SERRALHEIRO</v>
      </c>
      <c r="L2817" s="1" t="str">
        <f>VLOOKUP(Tabela1[[#This Row],[Cliente]],'BASE DE CLIENTES'!A:E,5,0)</f>
        <v>Ceilândia Sul (Ceilândia)</v>
      </c>
    </row>
    <row r="2818" spans="2:12" x14ac:dyDescent="0.3">
      <c r="B2818" s="1" t="s">
        <v>338</v>
      </c>
      <c r="C2818" s="4" t="str">
        <f>VLOOKUP(Tabela1[[#This Row],[Cliente]],'BASE DE CLIENTES'!A:E,2,0)</f>
        <v>Brasília</v>
      </c>
      <c r="D2818" s="1" t="str">
        <f>VLOOKUP(Tabela1[[#This Row],[Cliente]],'BASE DE CLIENTES'!A:C,3,0)</f>
        <v>DF</v>
      </c>
      <c r="E2818" s="4" t="str">
        <f>CONCATENATE(Tabela1[[#This Row],[CIDADE]],",",Tabela1[[#This Row],[UF]])</f>
        <v>Brasília,DF</v>
      </c>
      <c r="F2818" s="2">
        <v>45950</v>
      </c>
      <c r="G2818" s="17">
        <v>94.06</v>
      </c>
      <c r="H2818" s="17">
        <v>600</v>
      </c>
      <c r="I2818" s="6">
        <f>Tabela1[[#This Row],[Valor total]]-Tabela1[[#This Row],[Valor custo]]</f>
        <v>505.94</v>
      </c>
      <c r="J2818" s="7">
        <f>Tabela1[[#This Row],[MARGEM BRUTA]]/Tabela1[[#This Row],[Valor total]]</f>
        <v>0.84323333333333328</v>
      </c>
      <c r="K2818" s="1" t="str">
        <f>VLOOKUP(Tabela1[[#This Row],[Cliente]],'BASE DE CLIENTES'!A:D,4,0)</f>
        <v>CLIENTE NOVO S/ IDENT.</v>
      </c>
      <c r="L2818" s="1" t="str">
        <f>VLOOKUP(Tabela1[[#This Row],[Cliente]],'BASE DE CLIENTES'!A:E,5,0)</f>
        <v>Brasília</v>
      </c>
    </row>
    <row r="2819" spans="2:12" x14ac:dyDescent="0.3">
      <c r="B2819" s="1" t="s">
        <v>66</v>
      </c>
      <c r="C2819" s="4" t="str">
        <f>VLOOKUP(Tabela1[[#This Row],[Cliente]],'BASE DE CLIENTES'!A:E,2,0)</f>
        <v>Águas Lindas de Goiás</v>
      </c>
      <c r="D2819" s="1" t="str">
        <f>VLOOKUP(Tabela1[[#This Row],[Cliente]],'BASE DE CLIENTES'!A:C,3,0)</f>
        <v>GO</v>
      </c>
      <c r="E2819" s="4" t="str">
        <f>CONCATENATE(Tabela1[[#This Row],[CIDADE]],",",Tabela1[[#This Row],[UF]])</f>
        <v>Águas Lindas de Goiás,GO</v>
      </c>
      <c r="F2819" s="2">
        <v>45950</v>
      </c>
      <c r="G2819" s="17">
        <v>1146.9000000000001</v>
      </c>
      <c r="H2819" s="17">
        <v>1560</v>
      </c>
      <c r="I2819" s="6">
        <f>Tabela1[[#This Row],[Valor total]]-Tabela1[[#This Row],[Valor custo]]</f>
        <v>413.09999999999991</v>
      </c>
      <c r="J2819" s="7">
        <f>Tabela1[[#This Row],[MARGEM BRUTA]]/Tabela1[[#This Row],[Valor total]]</f>
        <v>0.26480769230769224</v>
      </c>
      <c r="K2819" s="1" t="str">
        <f>VLOOKUP(Tabela1[[#This Row],[Cliente]],'BASE DE CLIENTES'!A:D,4,0)</f>
        <v>EMPRESA COM MAQUINA</v>
      </c>
      <c r="L2819" s="1" t="str">
        <f>VLOOKUP(Tabela1[[#This Row],[Cliente]],'BASE DE CLIENTES'!A:E,5,0)</f>
        <v>Águas Lindas de Goiás</v>
      </c>
    </row>
    <row r="2820" spans="2:12" x14ac:dyDescent="0.3">
      <c r="B2820" s="1" t="s">
        <v>92</v>
      </c>
      <c r="C2820" s="4" t="str">
        <f>VLOOKUP(Tabela1[[#This Row],[Cliente]],'BASE DE CLIENTES'!A:E,2,0)</f>
        <v>Brasília</v>
      </c>
      <c r="D2820" s="1" t="str">
        <f>VLOOKUP(Tabela1[[#This Row],[Cliente]],'BASE DE CLIENTES'!A:C,3,0)</f>
        <v>DF</v>
      </c>
      <c r="E2820" s="4" t="str">
        <f>CONCATENATE(Tabela1[[#This Row],[CIDADE]],",",Tabela1[[#This Row],[UF]])</f>
        <v>Brasília,DF</v>
      </c>
      <c r="F2820" s="2">
        <v>45950</v>
      </c>
      <c r="G2820" s="17">
        <v>1888.79</v>
      </c>
      <c r="H2820" s="17">
        <v>3030</v>
      </c>
      <c r="I2820" s="6">
        <f>Tabela1[[#This Row],[Valor total]]-Tabela1[[#This Row],[Valor custo]]</f>
        <v>1141.21</v>
      </c>
      <c r="J2820" s="7">
        <f>Tabela1[[#This Row],[MARGEM BRUTA]]/Tabela1[[#This Row],[Valor total]]</f>
        <v>0.37663696369636968</v>
      </c>
      <c r="K2820" s="1" t="str">
        <f>VLOOKUP(Tabela1[[#This Row],[Cliente]],'BASE DE CLIENTES'!A:D,4,0)</f>
        <v>EMPRESA SEM MAQUINA</v>
      </c>
      <c r="L2820" s="1" t="str">
        <f>VLOOKUP(Tabela1[[#This Row],[Cliente]],'BASE DE CLIENTES'!A:E,5,0)</f>
        <v>SOBRADINHO</v>
      </c>
    </row>
    <row r="2821" spans="2:12" x14ac:dyDescent="0.3">
      <c r="B2821" s="1" t="s">
        <v>153</v>
      </c>
      <c r="C2821" s="4" t="str">
        <f>VLOOKUP(Tabela1[[#This Row],[Cliente]],'BASE DE CLIENTES'!A:E,2,0)</f>
        <v>Brasília</v>
      </c>
      <c r="D2821" s="1" t="str">
        <f>VLOOKUP(Tabela1[[#This Row],[Cliente]],'BASE DE CLIENTES'!A:C,3,0)</f>
        <v>DF</v>
      </c>
      <c r="E2821" s="4" t="str">
        <f>CONCATENATE(Tabela1[[#This Row],[CIDADE]],",",Tabela1[[#This Row],[UF]])</f>
        <v>Brasília,DF</v>
      </c>
      <c r="F2821" s="2">
        <v>45950</v>
      </c>
      <c r="G2821" s="17">
        <v>1579.69</v>
      </c>
      <c r="H2821" s="17">
        <v>2500</v>
      </c>
      <c r="I2821" s="6">
        <f>Tabela1[[#This Row],[Valor total]]-Tabela1[[#This Row],[Valor custo]]</f>
        <v>920.31</v>
      </c>
      <c r="J2821" s="7">
        <f>Tabela1[[#This Row],[MARGEM BRUTA]]/Tabela1[[#This Row],[Valor total]]</f>
        <v>0.36812399999999995</v>
      </c>
      <c r="K2821" s="1" t="str">
        <f>VLOOKUP(Tabela1[[#This Row],[Cliente]],'BASE DE CLIENTES'!A:D,4,0)</f>
        <v>SERRALHEIRO</v>
      </c>
      <c r="L2821" s="1" t="str">
        <f>VLOOKUP(Tabela1[[#This Row],[Cliente]],'BASE DE CLIENTES'!A:E,5,0)</f>
        <v>PLANALTINA</v>
      </c>
    </row>
    <row r="2822" spans="2:12" x14ac:dyDescent="0.3">
      <c r="B2822" s="1" t="s">
        <v>151</v>
      </c>
      <c r="C2822" s="4" t="str">
        <f>VLOOKUP(Tabela1[[#This Row],[Cliente]],'BASE DE CLIENTES'!A:E,2,0)</f>
        <v>Aparecida de Goiânia</v>
      </c>
      <c r="D2822" s="1" t="str">
        <f>VLOOKUP(Tabela1[[#This Row],[Cliente]],'BASE DE CLIENTES'!A:C,3,0)</f>
        <v>GO</v>
      </c>
      <c r="E2822" s="4" t="str">
        <f>CONCATENATE(Tabela1[[#This Row],[CIDADE]],",",Tabela1[[#This Row],[UF]])</f>
        <v>Aparecida de Goiânia,GO</v>
      </c>
      <c r="F2822" s="2">
        <v>45950</v>
      </c>
      <c r="G2822" s="17">
        <v>2329.3000000000002</v>
      </c>
      <c r="H2822" s="17">
        <v>3284.25</v>
      </c>
      <c r="I2822" s="6">
        <f>Tabela1[[#This Row],[Valor total]]-Tabela1[[#This Row],[Valor custo]]</f>
        <v>954.94999999999982</v>
      </c>
      <c r="J2822" s="7">
        <f>Tabela1[[#This Row],[MARGEM BRUTA]]/Tabela1[[#This Row],[Valor total]]</f>
        <v>0.29076653726117069</v>
      </c>
      <c r="K2822" s="1" t="str">
        <f>VLOOKUP(Tabela1[[#This Row],[Cliente]],'BASE DE CLIENTES'!A:D,4,0)</f>
        <v>EMPRESA COM MAQUINA</v>
      </c>
      <c r="L2822" s="1" t="str">
        <f>VLOOKUP(Tabela1[[#This Row],[Cliente]],'BASE DE CLIENTES'!A:E,5,0)</f>
        <v>Aparecida de Goiânia</v>
      </c>
    </row>
    <row r="2823" spans="2:12" x14ac:dyDescent="0.3">
      <c r="B2823" s="1" t="s">
        <v>27</v>
      </c>
      <c r="C2823" s="4" t="str">
        <f>VLOOKUP(Tabela1[[#This Row],[Cliente]],'BASE DE CLIENTES'!A:E,2,0)</f>
        <v>Brasília</v>
      </c>
      <c r="D2823" s="1" t="str">
        <f>VLOOKUP(Tabela1[[#This Row],[Cliente]],'BASE DE CLIENTES'!A:C,3,0)</f>
        <v>DF</v>
      </c>
      <c r="E2823" s="4" t="str">
        <f>CONCATENATE(Tabela1[[#This Row],[CIDADE]],",",Tabela1[[#This Row],[UF]])</f>
        <v>Brasília,DF</v>
      </c>
      <c r="F2823" s="2">
        <v>45950</v>
      </c>
      <c r="G2823" s="17">
        <v>1056.3</v>
      </c>
      <c r="H2823" s="17">
        <v>1645</v>
      </c>
      <c r="I2823" s="6">
        <f>Tabela1[[#This Row],[Valor total]]-Tabela1[[#This Row],[Valor custo]]</f>
        <v>588.70000000000005</v>
      </c>
      <c r="J2823" s="7">
        <f>Tabela1[[#This Row],[MARGEM BRUTA]]/Tabela1[[#This Row],[Valor total]]</f>
        <v>0.35787234042553195</v>
      </c>
      <c r="K2823" s="1" t="str">
        <f>VLOOKUP(Tabela1[[#This Row],[Cliente]],'BASE DE CLIENTES'!A:D,4,0)</f>
        <v>EMPRESA SEM MAQUINA</v>
      </c>
      <c r="L2823" s="1" t="str">
        <f>VLOOKUP(Tabela1[[#This Row],[Cliente]],'BASE DE CLIENTES'!A:E,5,0)</f>
        <v>RECANTO DAS EMAS</v>
      </c>
    </row>
    <row r="2824" spans="2:12" x14ac:dyDescent="0.3">
      <c r="B2824" s="1" t="s">
        <v>291</v>
      </c>
      <c r="C2824" s="4" t="str">
        <f>VLOOKUP(Tabela1[[#This Row],[Cliente]],'BASE DE CLIENTES'!A:E,2,0)</f>
        <v>Rio Verde</v>
      </c>
      <c r="D2824" s="1" t="str">
        <f>VLOOKUP(Tabela1[[#This Row],[Cliente]],'BASE DE CLIENTES'!A:C,3,0)</f>
        <v>GO</v>
      </c>
      <c r="E2824" s="4" t="str">
        <f>CONCATENATE(Tabela1[[#This Row],[CIDADE]],",",Tabela1[[#This Row],[UF]])</f>
        <v>Rio Verde,GO</v>
      </c>
      <c r="F2824" s="2">
        <v>45950</v>
      </c>
      <c r="G2824" s="17">
        <v>1068</v>
      </c>
      <c r="H2824" s="17">
        <v>1738</v>
      </c>
      <c r="I2824" s="6">
        <f>Tabela1[[#This Row],[Valor total]]-Tabela1[[#This Row],[Valor custo]]</f>
        <v>670</v>
      </c>
      <c r="J2824" s="7">
        <f>Tabela1[[#This Row],[MARGEM BRUTA]]/Tabela1[[#This Row],[Valor total]]</f>
        <v>0.38550057537399307</v>
      </c>
      <c r="K2824" s="1" t="str">
        <f>VLOOKUP(Tabela1[[#This Row],[Cliente]],'BASE DE CLIENTES'!A:D,4,0)</f>
        <v>EMPRESA COM MAQUINA</v>
      </c>
      <c r="L2824" s="1" t="str">
        <f>VLOOKUP(Tabela1[[#This Row],[Cliente]],'BASE DE CLIENTES'!A:E,5,0)</f>
        <v>Rio Verde</v>
      </c>
    </row>
    <row r="2825" spans="2:12" x14ac:dyDescent="0.3">
      <c r="B2825" s="1" t="s">
        <v>70</v>
      </c>
      <c r="C2825" s="4" t="str">
        <f>VLOOKUP(Tabela1[[#This Row],[Cliente]],'BASE DE CLIENTES'!A:E,2,0)</f>
        <v>Brasília</v>
      </c>
      <c r="D2825" s="1" t="str">
        <f>VLOOKUP(Tabela1[[#This Row],[Cliente]],'BASE DE CLIENTES'!A:C,3,0)</f>
        <v>DF</v>
      </c>
      <c r="E2825" s="4" t="str">
        <f>CONCATENATE(Tabela1[[#This Row],[CIDADE]],",",Tabela1[[#This Row],[UF]])</f>
        <v>Brasília,DF</v>
      </c>
      <c r="F2825" s="2">
        <v>45950</v>
      </c>
      <c r="G2825" s="17">
        <v>1096.79</v>
      </c>
      <c r="H2825" s="17">
        <v>1650</v>
      </c>
      <c r="I2825" s="6">
        <f>Tabela1[[#This Row],[Valor total]]-Tabela1[[#This Row],[Valor custo]]</f>
        <v>553.21</v>
      </c>
      <c r="J2825" s="7">
        <f>Tabela1[[#This Row],[MARGEM BRUTA]]/Tabela1[[#This Row],[Valor total]]</f>
        <v>0.3352787878787879</v>
      </c>
      <c r="K2825" s="1" t="str">
        <f>VLOOKUP(Tabela1[[#This Row],[Cliente]],'BASE DE CLIENTES'!A:D,4,0)</f>
        <v>EMPRESA COM MAQUINA</v>
      </c>
      <c r="L2825" s="1" t="str">
        <f>VLOOKUP(Tabela1[[#This Row],[Cliente]],'BASE DE CLIENTES'!A:E,5,0)</f>
        <v>TAGUATINGA NORTE (TAGUATINGA)</v>
      </c>
    </row>
    <row r="2826" spans="2:12" x14ac:dyDescent="0.3">
      <c r="B2826" s="1" t="s">
        <v>19</v>
      </c>
      <c r="C2826" s="4" t="str">
        <f>VLOOKUP(Tabela1[[#This Row],[Cliente]],'BASE DE CLIENTES'!A:E,2,0)</f>
        <v>Águas Lindas de Goiás</v>
      </c>
      <c r="D2826" s="1" t="str">
        <f>VLOOKUP(Tabela1[[#This Row],[Cliente]],'BASE DE CLIENTES'!A:C,3,0)</f>
        <v>GO</v>
      </c>
      <c r="E2826" s="4" t="str">
        <f>CONCATENATE(Tabela1[[#This Row],[CIDADE]],",",Tabela1[[#This Row],[UF]])</f>
        <v>Águas Lindas de Goiás,GO</v>
      </c>
      <c r="F2826" s="2">
        <v>45950</v>
      </c>
      <c r="G2826" s="17">
        <v>477</v>
      </c>
      <c r="H2826" s="17">
        <v>840</v>
      </c>
      <c r="I2826" s="6">
        <f>Tabela1[[#This Row],[Valor total]]-Tabela1[[#This Row],[Valor custo]]</f>
        <v>363</v>
      </c>
      <c r="J2826" s="7">
        <f>Tabela1[[#This Row],[MARGEM BRUTA]]/Tabela1[[#This Row],[Valor total]]</f>
        <v>0.43214285714285716</v>
      </c>
      <c r="K2826" s="1" t="str">
        <f>VLOOKUP(Tabela1[[#This Row],[Cliente]],'BASE DE CLIENTES'!A:D,4,0)</f>
        <v>SERRALHEIRO</v>
      </c>
      <c r="L2826" s="1" t="str">
        <f>VLOOKUP(Tabela1[[#This Row],[Cliente]],'BASE DE CLIENTES'!A:E,5,0)</f>
        <v>Águas Lindas de Goiás</v>
      </c>
    </row>
    <row r="2827" spans="2:12" x14ac:dyDescent="0.3">
      <c r="B2827" s="1" t="s">
        <v>99</v>
      </c>
      <c r="C2827" s="4" t="str">
        <f>VLOOKUP(Tabela1[[#This Row],[Cliente]],'BASE DE CLIENTES'!A:E,2,0)</f>
        <v>Brasília</v>
      </c>
      <c r="D2827" s="1" t="str">
        <f>VLOOKUP(Tabela1[[#This Row],[Cliente]],'BASE DE CLIENTES'!A:C,3,0)</f>
        <v>DF</v>
      </c>
      <c r="E2827" s="4" t="str">
        <f>CONCATENATE(Tabela1[[#This Row],[CIDADE]],",",Tabela1[[#This Row],[UF]])</f>
        <v>Brasília,DF</v>
      </c>
      <c r="F2827" s="2">
        <v>45950</v>
      </c>
      <c r="G2827" s="17">
        <v>3959.87</v>
      </c>
      <c r="H2827" s="17">
        <v>5940</v>
      </c>
      <c r="I2827" s="6">
        <f>Tabela1[[#This Row],[Valor total]]-Tabela1[[#This Row],[Valor custo]]</f>
        <v>1980.13</v>
      </c>
      <c r="J2827" s="7">
        <f>Tabela1[[#This Row],[MARGEM BRUTA]]/Tabela1[[#This Row],[Valor total]]</f>
        <v>0.33335521885521885</v>
      </c>
      <c r="K2827" s="1" t="str">
        <f>VLOOKUP(Tabela1[[#This Row],[Cliente]],'BASE DE CLIENTES'!A:D,4,0)</f>
        <v>EMPRESA COM MAQUINA</v>
      </c>
      <c r="L2827" s="1" t="str">
        <f>VLOOKUP(Tabela1[[#This Row],[Cliente]],'BASE DE CLIENTES'!A:E,5,0)</f>
        <v>ARAPOANGA (PLANALTINA)</v>
      </c>
    </row>
    <row r="2828" spans="2:12" x14ac:dyDescent="0.3">
      <c r="B2828" s="1" t="s">
        <v>178</v>
      </c>
      <c r="C2828" s="4" t="str">
        <f>VLOOKUP(Tabela1[[#This Row],[Cliente]],'BASE DE CLIENTES'!A:E,2,0)</f>
        <v xml:space="preserve">Belém </v>
      </c>
      <c r="D2828" s="1" t="str">
        <f>VLOOKUP(Tabela1[[#This Row],[Cliente]],'BASE DE CLIENTES'!A:C,3,0)</f>
        <v>PA</v>
      </c>
      <c r="E2828" s="4" t="str">
        <f>CONCATENATE(Tabela1[[#This Row],[CIDADE]],",",Tabela1[[#This Row],[UF]])</f>
        <v>Belém ,PA</v>
      </c>
      <c r="F2828" s="2">
        <v>45947</v>
      </c>
      <c r="G2828" s="17">
        <v>8877.9</v>
      </c>
      <c r="H2828" s="17">
        <v>13800</v>
      </c>
      <c r="I2828" s="6">
        <f>Tabela1[[#This Row],[Valor total]]-Tabela1[[#This Row],[Valor custo]]</f>
        <v>4922.1000000000004</v>
      </c>
      <c r="J2828" s="7">
        <f>Tabela1[[#This Row],[MARGEM BRUTA]]/Tabela1[[#This Row],[Valor total]]</f>
        <v>0.35667391304347829</v>
      </c>
      <c r="K2828" s="1" t="str">
        <f>VLOOKUP(Tabela1[[#This Row],[Cliente]],'BASE DE CLIENTES'!A:D,4,0)</f>
        <v>EMPRESA COM MAQUINA</v>
      </c>
      <c r="L2828" s="1" t="str">
        <f>VLOOKUP(Tabela1[[#This Row],[Cliente]],'BASE DE CLIENTES'!A:E,5,0)</f>
        <v xml:space="preserve">Belém </v>
      </c>
    </row>
    <row r="2829" spans="2:12" x14ac:dyDescent="0.3">
      <c r="B2829" s="1" t="s">
        <v>140</v>
      </c>
      <c r="C2829" s="4" t="str">
        <f>VLOOKUP(Tabela1[[#This Row],[Cliente]],'BASE DE CLIENTES'!A:E,2,0)</f>
        <v>Brasília</v>
      </c>
      <c r="D2829" s="1" t="str">
        <f>VLOOKUP(Tabela1[[#This Row],[Cliente]],'BASE DE CLIENTES'!A:C,3,0)</f>
        <v>DF</v>
      </c>
      <c r="E2829" s="4" t="str">
        <f>CONCATENATE(Tabela1[[#This Row],[CIDADE]],",",Tabela1[[#This Row],[UF]])</f>
        <v>Brasília,DF</v>
      </c>
      <c r="F2829" s="2">
        <v>45947</v>
      </c>
      <c r="G2829" s="17">
        <v>534</v>
      </c>
      <c r="H2829" s="17">
        <v>870</v>
      </c>
      <c r="I2829" s="6">
        <f>Tabela1[[#This Row],[Valor total]]-Tabela1[[#This Row],[Valor custo]]</f>
        <v>336</v>
      </c>
      <c r="J2829" s="7">
        <f>Tabela1[[#This Row],[MARGEM BRUTA]]/Tabela1[[#This Row],[Valor total]]</f>
        <v>0.38620689655172413</v>
      </c>
      <c r="K2829" s="1" t="str">
        <f>VLOOKUP(Tabela1[[#This Row],[Cliente]],'BASE DE CLIENTES'!A:D,4,0)</f>
        <v>EMPRESA COM MAQUINA</v>
      </c>
      <c r="L2829" s="1" t="str">
        <f>VLOOKUP(Tabela1[[#This Row],[Cliente]],'BASE DE CLIENTES'!A:E,5,0)</f>
        <v>RECANTO DAS EMAS</v>
      </c>
    </row>
    <row r="2830" spans="2:12" x14ac:dyDescent="0.3">
      <c r="B2830" s="1" t="s">
        <v>55</v>
      </c>
      <c r="C2830" s="4" t="str">
        <f>VLOOKUP(Tabela1[[#This Row],[Cliente]],'BASE DE CLIENTES'!A:E,2,0)</f>
        <v>Brasília</v>
      </c>
      <c r="D2830" s="1" t="str">
        <f>VLOOKUP(Tabela1[[#This Row],[Cliente]],'BASE DE CLIENTES'!A:C,3,0)</f>
        <v>DF</v>
      </c>
      <c r="E2830" s="4" t="str">
        <f>CONCATENATE(Tabela1[[#This Row],[CIDADE]],",",Tabela1[[#This Row],[UF]])</f>
        <v>Brasília,DF</v>
      </c>
      <c r="F2830" s="2">
        <v>45947</v>
      </c>
      <c r="G2830" s="17">
        <v>432.79</v>
      </c>
      <c r="H2830" s="17">
        <v>680</v>
      </c>
      <c r="I2830" s="6">
        <f>Tabela1[[#This Row],[Valor total]]-Tabela1[[#This Row],[Valor custo]]</f>
        <v>247.20999999999998</v>
      </c>
      <c r="J2830" s="7">
        <f>Tabela1[[#This Row],[MARGEM BRUTA]]/Tabela1[[#This Row],[Valor total]]</f>
        <v>0.3635441176470588</v>
      </c>
      <c r="K2830" s="1" t="str">
        <f>VLOOKUP(Tabela1[[#This Row],[Cliente]],'BASE DE CLIENTES'!A:D,4,0)</f>
        <v>EMPRESA SEM MAQUINA</v>
      </c>
      <c r="L2830" s="1" t="str">
        <f>VLOOKUP(Tabela1[[#This Row],[Cliente]],'BASE DE CLIENTES'!A:E,5,0)</f>
        <v>RECANTO DAS EMAS</v>
      </c>
    </row>
    <row r="2831" spans="2:12" x14ac:dyDescent="0.3">
      <c r="B2831" s="1" t="s">
        <v>76</v>
      </c>
      <c r="C2831" s="4" t="str">
        <f>VLOOKUP(Tabela1[[#This Row],[Cliente]],'BASE DE CLIENTES'!A:E,2,0)</f>
        <v>Brasília</v>
      </c>
      <c r="D2831" s="1" t="str">
        <f>VLOOKUP(Tabela1[[#This Row],[Cliente]],'BASE DE CLIENTES'!A:C,3,0)</f>
        <v>DF</v>
      </c>
      <c r="E2831" s="4" t="str">
        <f>CONCATENATE(Tabela1[[#This Row],[CIDADE]],",",Tabela1[[#This Row],[UF]])</f>
        <v>Brasília,DF</v>
      </c>
      <c r="F2831" s="2">
        <v>45947</v>
      </c>
      <c r="G2831" s="17">
        <v>1747.3</v>
      </c>
      <c r="H2831" s="17">
        <v>2085</v>
      </c>
      <c r="I2831" s="6">
        <f>Tabela1[[#This Row],[Valor total]]-Tabela1[[#This Row],[Valor custo]]</f>
        <v>337.70000000000005</v>
      </c>
      <c r="J2831" s="7">
        <f>Tabela1[[#This Row],[MARGEM BRUTA]]/Tabela1[[#This Row],[Valor total]]</f>
        <v>0.1619664268585132</v>
      </c>
      <c r="K2831" s="1" t="str">
        <f>VLOOKUP(Tabela1[[#This Row],[Cliente]],'BASE DE CLIENTES'!A:D,4,0)</f>
        <v>EMPRESA COM MAQUINA</v>
      </c>
      <c r="L2831" s="1" t="str">
        <f>VLOOKUP(Tabela1[[#This Row],[Cliente]],'BASE DE CLIENTES'!A:E,5,0)</f>
        <v>Setor Placa da Mercedes (Núcleo Bandeirante)</v>
      </c>
    </row>
    <row r="2832" spans="2:12" x14ac:dyDescent="0.3">
      <c r="B2832" s="1" t="s">
        <v>27</v>
      </c>
      <c r="C2832" s="4" t="str">
        <f>VLOOKUP(Tabela1[[#This Row],[Cliente]],'BASE DE CLIENTES'!A:E,2,0)</f>
        <v>Brasília</v>
      </c>
      <c r="D2832" s="1" t="str">
        <f>VLOOKUP(Tabela1[[#This Row],[Cliente]],'BASE DE CLIENTES'!A:C,3,0)</f>
        <v>DF</v>
      </c>
      <c r="E2832" s="4" t="str">
        <f>CONCATENATE(Tabela1[[#This Row],[CIDADE]],",",Tabela1[[#This Row],[UF]])</f>
        <v>Brasília,DF</v>
      </c>
      <c r="F2832" s="2">
        <v>45947</v>
      </c>
      <c r="G2832" s="17">
        <v>840.01</v>
      </c>
      <c r="H2832" s="17">
        <v>1470</v>
      </c>
      <c r="I2832" s="6">
        <f>Tabela1[[#This Row],[Valor total]]-Tabela1[[#This Row],[Valor custo]]</f>
        <v>629.99</v>
      </c>
      <c r="J2832" s="7">
        <f>Tabela1[[#This Row],[MARGEM BRUTA]]/Tabela1[[#This Row],[Valor total]]</f>
        <v>0.42856462585034016</v>
      </c>
      <c r="K2832" s="1" t="str">
        <f>VLOOKUP(Tabela1[[#This Row],[Cliente]],'BASE DE CLIENTES'!A:D,4,0)</f>
        <v>EMPRESA SEM MAQUINA</v>
      </c>
      <c r="L2832" s="1" t="str">
        <f>VLOOKUP(Tabela1[[#This Row],[Cliente]],'BASE DE CLIENTES'!A:E,5,0)</f>
        <v>RECANTO DAS EMAS</v>
      </c>
    </row>
    <row r="2833" spans="2:12" x14ac:dyDescent="0.3">
      <c r="B2833" s="1" t="s">
        <v>19</v>
      </c>
      <c r="C2833" s="4" t="str">
        <f>VLOOKUP(Tabela1[[#This Row],[Cliente]],'BASE DE CLIENTES'!A:E,2,0)</f>
        <v>Águas Lindas de Goiás</v>
      </c>
      <c r="D2833" s="1" t="str">
        <f>VLOOKUP(Tabela1[[#This Row],[Cliente]],'BASE DE CLIENTES'!A:C,3,0)</f>
        <v>GO</v>
      </c>
      <c r="E2833" s="4" t="str">
        <f>CONCATENATE(Tabela1[[#This Row],[CIDADE]],",",Tabela1[[#This Row],[UF]])</f>
        <v>Águas Lindas de Goiás,GO</v>
      </c>
      <c r="F2833" s="2">
        <v>45947</v>
      </c>
      <c r="G2833" s="17">
        <v>248.14</v>
      </c>
      <c r="H2833" s="17">
        <v>300</v>
      </c>
      <c r="I2833" s="6">
        <f>Tabela1[[#This Row],[Valor total]]-Tabela1[[#This Row],[Valor custo]]</f>
        <v>51.860000000000014</v>
      </c>
      <c r="J2833" s="7">
        <f>Tabela1[[#This Row],[MARGEM BRUTA]]/Tabela1[[#This Row],[Valor total]]</f>
        <v>0.17286666666666672</v>
      </c>
      <c r="K2833" s="1" t="str">
        <f>VLOOKUP(Tabela1[[#This Row],[Cliente]],'BASE DE CLIENTES'!A:D,4,0)</f>
        <v>SERRALHEIRO</v>
      </c>
      <c r="L2833" s="1" t="str">
        <f>VLOOKUP(Tabela1[[#This Row],[Cliente]],'BASE DE CLIENTES'!A:E,5,0)</f>
        <v>Águas Lindas de Goiás</v>
      </c>
    </row>
    <row r="2834" spans="2:12" x14ac:dyDescent="0.3">
      <c r="B2834" s="1" t="s">
        <v>25</v>
      </c>
      <c r="C2834" s="4" t="str">
        <f>VLOOKUP(Tabela1[[#This Row],[Cliente]],'BASE DE CLIENTES'!A:E,2,0)</f>
        <v>Brasília</v>
      </c>
      <c r="D2834" s="1" t="str">
        <f>VLOOKUP(Tabela1[[#This Row],[Cliente]],'BASE DE CLIENTES'!A:C,3,0)</f>
        <v>DF</v>
      </c>
      <c r="E2834" s="4" t="str">
        <f>CONCATENATE(Tabela1[[#This Row],[CIDADE]],",",Tabela1[[#This Row],[UF]])</f>
        <v>Brasília,DF</v>
      </c>
      <c r="F2834" s="2">
        <v>45947</v>
      </c>
      <c r="G2834" s="17">
        <v>1413.6</v>
      </c>
      <c r="H2834" s="17">
        <v>2230</v>
      </c>
      <c r="I2834" s="6">
        <f>Tabela1[[#This Row],[Valor total]]-Tabela1[[#This Row],[Valor custo]]</f>
        <v>816.40000000000009</v>
      </c>
      <c r="J2834" s="7">
        <f>Tabela1[[#This Row],[MARGEM BRUTA]]/Tabela1[[#This Row],[Valor total]]</f>
        <v>0.36609865470852021</v>
      </c>
      <c r="K2834" s="1" t="str">
        <f>VLOOKUP(Tabela1[[#This Row],[Cliente]],'BASE DE CLIENTES'!A:D,4,0)</f>
        <v>EMPRESA COM MAQUINA</v>
      </c>
      <c r="L2834" s="1" t="str">
        <f>VLOOKUP(Tabela1[[#This Row],[Cliente]],'BASE DE CLIENTES'!A:E,5,0)</f>
        <v>CEILANDIA NORTE (CEILANDIA)</v>
      </c>
    </row>
    <row r="2835" spans="2:12" x14ac:dyDescent="0.3">
      <c r="B2835" s="1" t="s">
        <v>161</v>
      </c>
      <c r="C2835" s="4" t="str">
        <f>VLOOKUP(Tabela1[[#This Row],[Cliente]],'BASE DE CLIENTES'!A:E,2,0)</f>
        <v>Brasília</v>
      </c>
      <c r="D2835" s="1" t="str">
        <f>VLOOKUP(Tabela1[[#This Row],[Cliente]],'BASE DE CLIENTES'!A:C,3,0)</f>
        <v>DF</v>
      </c>
      <c r="E2835" s="4" t="str">
        <f>CONCATENATE(Tabela1[[#This Row],[CIDADE]],",",Tabela1[[#This Row],[UF]])</f>
        <v>Brasília,DF</v>
      </c>
      <c r="F2835" s="2">
        <v>45947</v>
      </c>
      <c r="G2835" s="17">
        <v>16801.8</v>
      </c>
      <c r="H2835" s="17">
        <v>23330</v>
      </c>
      <c r="I2835" s="6">
        <f>Tabela1[[#This Row],[Valor total]]-Tabela1[[#This Row],[Valor custo]]</f>
        <v>6528.2000000000007</v>
      </c>
      <c r="J2835" s="7">
        <f>Tabela1[[#This Row],[MARGEM BRUTA]]/Tabela1[[#This Row],[Valor total]]</f>
        <v>0.27981997428204031</v>
      </c>
      <c r="K2835" s="1" t="str">
        <f>VLOOKUP(Tabela1[[#This Row],[Cliente]],'BASE DE CLIENTES'!A:D,4,0)</f>
        <v>EMPRESA COM MAQUINA</v>
      </c>
      <c r="L2835" s="1" t="str">
        <f>VLOOKUP(Tabela1[[#This Row],[Cliente]],'BASE DE CLIENTES'!A:E,5,0)</f>
        <v>RIACHO FUNDO II</v>
      </c>
    </row>
    <row r="2836" spans="2:12" x14ac:dyDescent="0.3">
      <c r="B2836" s="1" t="s">
        <v>68</v>
      </c>
      <c r="C2836" s="4" t="str">
        <f>VLOOKUP(Tabela1[[#This Row],[Cliente]],'BASE DE CLIENTES'!A:E,2,0)</f>
        <v>Brasília</v>
      </c>
      <c r="D2836" s="1" t="str">
        <f>VLOOKUP(Tabela1[[#This Row],[Cliente]],'BASE DE CLIENTES'!A:C,3,0)</f>
        <v>DF</v>
      </c>
      <c r="E2836" s="4" t="str">
        <f>CONCATENATE(Tabela1[[#This Row],[CIDADE]],",",Tabela1[[#This Row],[UF]])</f>
        <v>Brasília,DF</v>
      </c>
      <c r="F2836" s="2">
        <v>45947</v>
      </c>
      <c r="G2836" s="17">
        <v>2470.7600000000002</v>
      </c>
      <c r="H2836" s="17">
        <v>4040</v>
      </c>
      <c r="I2836" s="6">
        <f>Tabela1[[#This Row],[Valor total]]-Tabela1[[#This Row],[Valor custo]]</f>
        <v>1569.2399999999998</v>
      </c>
      <c r="J2836" s="7">
        <f>Tabela1[[#This Row],[MARGEM BRUTA]]/Tabela1[[#This Row],[Valor total]]</f>
        <v>0.38842574257425738</v>
      </c>
      <c r="K2836" s="1" t="str">
        <f>VLOOKUP(Tabela1[[#This Row],[Cliente]],'BASE DE CLIENTES'!A:D,4,0)</f>
        <v>EMPRESA COM MAQUINA</v>
      </c>
      <c r="L2836" s="1" t="str">
        <f>VLOOKUP(Tabela1[[#This Row],[Cliente]],'BASE DE CLIENTES'!A:E,5,0)</f>
        <v>SAMAMBAIA SUL (SAMAMBAIA)</v>
      </c>
    </row>
    <row r="2837" spans="2:12" x14ac:dyDescent="0.3">
      <c r="B2837" s="1" t="s">
        <v>311</v>
      </c>
      <c r="C2837" s="4" t="str">
        <f>VLOOKUP(Tabela1[[#This Row],[Cliente]],'BASE DE CLIENTES'!A:E,2,0)</f>
        <v>Uberlândia</v>
      </c>
      <c r="D2837" s="1" t="str">
        <f>VLOOKUP(Tabela1[[#This Row],[Cliente]],'BASE DE CLIENTES'!A:C,3,0)</f>
        <v>MG</v>
      </c>
      <c r="E2837" s="4" t="str">
        <f>CONCATENATE(Tabela1[[#This Row],[CIDADE]],",",Tabela1[[#This Row],[UF]])</f>
        <v>Uberlândia,MG</v>
      </c>
      <c r="F2837" s="2">
        <v>45947</v>
      </c>
      <c r="G2837" s="17">
        <v>35953.9</v>
      </c>
      <c r="H2837" s="17">
        <v>54550</v>
      </c>
      <c r="I2837" s="6">
        <f>Tabela1[[#This Row],[Valor total]]-Tabela1[[#This Row],[Valor custo]]</f>
        <v>18596.099999999999</v>
      </c>
      <c r="J2837" s="7">
        <f>Tabela1[[#This Row],[MARGEM BRUTA]]/Tabela1[[#This Row],[Valor total]]</f>
        <v>0.3409000916590284</v>
      </c>
      <c r="K2837" s="1" t="str">
        <f>VLOOKUP(Tabela1[[#This Row],[Cliente]],'BASE DE CLIENTES'!A:D,4,0)</f>
        <v>EMPRESA COM MAQUINA</v>
      </c>
      <c r="L2837" s="1" t="str">
        <f>VLOOKUP(Tabela1[[#This Row],[Cliente]],'BASE DE CLIENTES'!A:E,5,0)</f>
        <v>Uberlândia</v>
      </c>
    </row>
    <row r="2838" spans="2:12" x14ac:dyDescent="0.3">
      <c r="B2838" s="1" t="s">
        <v>152</v>
      </c>
      <c r="C2838" s="4" t="str">
        <f>VLOOKUP(Tabela1[[#This Row],[Cliente]],'BASE DE CLIENTES'!A:E,2,0)</f>
        <v>Aparecida de Goiânia</v>
      </c>
      <c r="D2838" s="1" t="str">
        <f>VLOOKUP(Tabela1[[#This Row],[Cliente]],'BASE DE CLIENTES'!A:C,3,0)</f>
        <v>GO</v>
      </c>
      <c r="E2838" s="4" t="str">
        <f>CONCATENATE(Tabela1[[#This Row],[CIDADE]],",",Tabela1[[#This Row],[UF]])</f>
        <v>Aparecida de Goiânia,GO</v>
      </c>
      <c r="F2838" s="2">
        <v>45947</v>
      </c>
      <c r="G2838" s="17">
        <v>455</v>
      </c>
      <c r="H2838" s="17">
        <v>750</v>
      </c>
      <c r="I2838" s="6">
        <f>Tabela1[[#This Row],[Valor total]]-Tabela1[[#This Row],[Valor custo]]</f>
        <v>295</v>
      </c>
      <c r="J2838" s="7">
        <f>Tabela1[[#This Row],[MARGEM BRUTA]]/Tabela1[[#This Row],[Valor total]]</f>
        <v>0.39333333333333331</v>
      </c>
      <c r="K2838" s="1" t="str">
        <f>VLOOKUP(Tabela1[[#This Row],[Cliente]],'BASE DE CLIENTES'!A:D,4,0)</f>
        <v>TECNICO</v>
      </c>
      <c r="L2838" s="1" t="str">
        <f>VLOOKUP(Tabela1[[#This Row],[Cliente]],'BASE DE CLIENTES'!A:E,5,0)</f>
        <v>Aparecida de Goiânia</v>
      </c>
    </row>
    <row r="2839" spans="2:12" x14ac:dyDescent="0.3">
      <c r="B2839" s="1" t="s">
        <v>321</v>
      </c>
      <c r="C2839" s="4" t="str">
        <f>VLOOKUP(Tabela1[[#This Row],[Cliente]],'BASE DE CLIENTES'!A:E,2,0)</f>
        <v>Valparaíso de Goiás</v>
      </c>
      <c r="D2839" s="1" t="str">
        <f>VLOOKUP(Tabela1[[#This Row],[Cliente]],'BASE DE CLIENTES'!A:C,3,0)</f>
        <v>GO</v>
      </c>
      <c r="E2839" s="4" t="str">
        <f>CONCATENATE(Tabela1[[#This Row],[CIDADE]],",",Tabela1[[#This Row],[UF]])</f>
        <v>Valparaíso de Goiás,GO</v>
      </c>
      <c r="F2839" s="2">
        <v>45946</v>
      </c>
      <c r="G2839" s="17">
        <v>1031.3</v>
      </c>
      <c r="H2839" s="17">
        <v>1515</v>
      </c>
      <c r="I2839" s="6">
        <f>Tabela1[[#This Row],[Valor total]]-Tabela1[[#This Row],[Valor custo]]</f>
        <v>483.70000000000005</v>
      </c>
      <c r="J2839" s="7">
        <f>Tabela1[[#This Row],[MARGEM BRUTA]]/Tabela1[[#This Row],[Valor total]]</f>
        <v>0.3192739273927393</v>
      </c>
      <c r="K2839" s="1" t="str">
        <f>VLOOKUP(Tabela1[[#This Row],[Cliente]],'BASE DE CLIENTES'!A:D,4,0)</f>
        <v>EMPRESA COM MAQUINA</v>
      </c>
      <c r="L2839" s="1" t="str">
        <f>VLOOKUP(Tabela1[[#This Row],[Cliente]],'BASE DE CLIENTES'!A:E,5,0)</f>
        <v>Valparaíso de Goiás</v>
      </c>
    </row>
    <row r="2840" spans="2:12" x14ac:dyDescent="0.3">
      <c r="B2840" s="1" t="s">
        <v>70</v>
      </c>
      <c r="C2840" s="4" t="str">
        <f>VLOOKUP(Tabela1[[#This Row],[Cliente]],'BASE DE CLIENTES'!A:E,2,0)</f>
        <v>Brasília</v>
      </c>
      <c r="D2840" s="1" t="str">
        <f>VLOOKUP(Tabela1[[#This Row],[Cliente]],'BASE DE CLIENTES'!A:C,3,0)</f>
        <v>DF</v>
      </c>
      <c r="E2840" s="4" t="str">
        <f>CONCATENATE(Tabela1[[#This Row],[CIDADE]],",",Tabela1[[#This Row],[UF]])</f>
        <v>Brasília,DF</v>
      </c>
      <c r="F2840" s="2">
        <v>45946</v>
      </c>
      <c r="G2840" s="17">
        <v>799.6</v>
      </c>
      <c r="H2840" s="17">
        <v>1250</v>
      </c>
      <c r="I2840" s="6">
        <f>Tabela1[[#This Row],[Valor total]]-Tabela1[[#This Row],[Valor custo]]</f>
        <v>450.4</v>
      </c>
      <c r="J2840" s="7">
        <f>Tabela1[[#This Row],[MARGEM BRUTA]]/Tabela1[[#This Row],[Valor total]]</f>
        <v>0.36031999999999997</v>
      </c>
      <c r="K2840" s="1" t="str">
        <f>VLOOKUP(Tabela1[[#This Row],[Cliente]],'BASE DE CLIENTES'!A:D,4,0)</f>
        <v>EMPRESA COM MAQUINA</v>
      </c>
      <c r="L2840" s="1" t="str">
        <f>VLOOKUP(Tabela1[[#This Row],[Cliente]],'BASE DE CLIENTES'!A:E,5,0)</f>
        <v>TAGUATINGA NORTE (TAGUATINGA)</v>
      </c>
    </row>
    <row r="2841" spans="2:12" x14ac:dyDescent="0.3">
      <c r="B2841" s="1" t="s">
        <v>66</v>
      </c>
      <c r="C2841" s="4" t="str">
        <f>VLOOKUP(Tabela1[[#This Row],[Cliente]],'BASE DE CLIENTES'!A:E,2,0)</f>
        <v>Águas Lindas de Goiás</v>
      </c>
      <c r="D2841" s="1" t="str">
        <f>VLOOKUP(Tabela1[[#This Row],[Cliente]],'BASE DE CLIENTES'!A:C,3,0)</f>
        <v>GO</v>
      </c>
      <c r="E2841" s="4" t="str">
        <f>CONCATENATE(Tabela1[[#This Row],[CIDADE]],",",Tabela1[[#This Row],[UF]])</f>
        <v>Águas Lindas de Goiás,GO</v>
      </c>
      <c r="F2841" s="2">
        <v>45946</v>
      </c>
      <c r="G2841" s="17">
        <v>790.2</v>
      </c>
      <c r="H2841" s="17">
        <v>1250</v>
      </c>
      <c r="I2841" s="6">
        <f>Tabela1[[#This Row],[Valor total]]-Tabela1[[#This Row],[Valor custo]]</f>
        <v>459.79999999999995</v>
      </c>
      <c r="J2841" s="7">
        <f>Tabela1[[#This Row],[MARGEM BRUTA]]/Tabela1[[#This Row],[Valor total]]</f>
        <v>0.36783999999999994</v>
      </c>
      <c r="K2841" s="1" t="str">
        <f>VLOOKUP(Tabela1[[#This Row],[Cliente]],'BASE DE CLIENTES'!A:D,4,0)</f>
        <v>EMPRESA COM MAQUINA</v>
      </c>
      <c r="L2841" s="1" t="str">
        <f>VLOOKUP(Tabela1[[#This Row],[Cliente]],'BASE DE CLIENTES'!A:E,5,0)</f>
        <v>Águas Lindas de Goiás</v>
      </c>
    </row>
    <row r="2842" spans="2:12" x14ac:dyDescent="0.3">
      <c r="B2842" s="1" t="s">
        <v>27</v>
      </c>
      <c r="C2842" s="4" t="str">
        <f>VLOOKUP(Tabela1[[#This Row],[Cliente]],'BASE DE CLIENTES'!A:E,2,0)</f>
        <v>Brasília</v>
      </c>
      <c r="D2842" s="1" t="str">
        <f>VLOOKUP(Tabela1[[#This Row],[Cliente]],'BASE DE CLIENTES'!A:C,3,0)</f>
        <v>DF</v>
      </c>
      <c r="E2842" s="4" t="str">
        <f>CONCATENATE(Tabela1[[#This Row],[CIDADE]],",",Tabela1[[#This Row],[UF]])</f>
        <v>Brasília,DF</v>
      </c>
      <c r="F2842" s="2">
        <v>45946</v>
      </c>
      <c r="G2842" s="17">
        <v>764.6</v>
      </c>
      <c r="H2842" s="17">
        <v>1200</v>
      </c>
      <c r="I2842" s="6">
        <f>Tabela1[[#This Row],[Valor total]]-Tabela1[[#This Row],[Valor custo]]</f>
        <v>435.4</v>
      </c>
      <c r="J2842" s="7">
        <f>Tabela1[[#This Row],[MARGEM BRUTA]]/Tabela1[[#This Row],[Valor total]]</f>
        <v>0.36283333333333334</v>
      </c>
      <c r="K2842" s="1" t="str">
        <f>VLOOKUP(Tabela1[[#This Row],[Cliente]],'BASE DE CLIENTES'!A:D,4,0)</f>
        <v>EMPRESA SEM MAQUINA</v>
      </c>
      <c r="L2842" s="1" t="str">
        <f>VLOOKUP(Tabela1[[#This Row],[Cliente]],'BASE DE CLIENTES'!A:E,5,0)</f>
        <v>RECANTO DAS EMAS</v>
      </c>
    </row>
    <row r="2843" spans="2:12" x14ac:dyDescent="0.3">
      <c r="B2843" s="1" t="s">
        <v>117</v>
      </c>
      <c r="C2843" s="4" t="str">
        <f>VLOOKUP(Tabela1[[#This Row],[Cliente]],'BASE DE CLIENTES'!A:E,2,0)</f>
        <v>Brasília</v>
      </c>
      <c r="D2843" s="1" t="str">
        <f>VLOOKUP(Tabela1[[#This Row],[Cliente]],'BASE DE CLIENTES'!A:C,3,0)</f>
        <v>DF</v>
      </c>
      <c r="E2843" s="4" t="str">
        <f>CONCATENATE(Tabela1[[#This Row],[CIDADE]],",",Tabela1[[#This Row],[UF]])</f>
        <v>Brasília,DF</v>
      </c>
      <c r="F2843" s="2">
        <v>45946</v>
      </c>
      <c r="G2843" s="17">
        <v>91.2</v>
      </c>
      <c r="H2843" s="17">
        <v>140</v>
      </c>
      <c r="I2843" s="6">
        <f>Tabela1[[#This Row],[Valor total]]-Tabela1[[#This Row],[Valor custo]]</f>
        <v>48.8</v>
      </c>
      <c r="J2843" s="7">
        <f>Tabela1[[#This Row],[MARGEM BRUTA]]/Tabela1[[#This Row],[Valor total]]</f>
        <v>0.34857142857142853</v>
      </c>
      <c r="K2843" s="1" t="str">
        <f>VLOOKUP(Tabela1[[#This Row],[Cliente]],'BASE DE CLIENTES'!A:D,4,0)</f>
        <v>EMPRESA COM MAQUINA</v>
      </c>
      <c r="L2843" s="1" t="str">
        <f>VLOOKUP(Tabela1[[#This Row],[Cliente]],'BASE DE CLIENTES'!A:E,5,0)</f>
        <v>SETOR HABITACIONAL ARNIQUEIRA (AGUAS CLARAS)</v>
      </c>
    </row>
    <row r="2844" spans="2:12" x14ac:dyDescent="0.3">
      <c r="B2844" s="1" t="s">
        <v>197</v>
      </c>
      <c r="C2844" s="4" t="str">
        <f>VLOOKUP(Tabela1[[#This Row],[Cliente]],'BASE DE CLIENTES'!A:E,2,0)</f>
        <v>Goiânia</v>
      </c>
      <c r="D2844" s="1" t="str">
        <f>VLOOKUP(Tabela1[[#This Row],[Cliente]],'BASE DE CLIENTES'!A:C,3,0)</f>
        <v>GO</v>
      </c>
      <c r="E2844" s="4" t="str">
        <f>CONCATENATE(Tabela1[[#This Row],[CIDADE]],",",Tabela1[[#This Row],[UF]])</f>
        <v>Goiânia,GO</v>
      </c>
      <c r="F2844" s="2">
        <v>45946</v>
      </c>
      <c r="G2844" s="17">
        <v>9295.9</v>
      </c>
      <c r="H2844" s="17">
        <v>14550</v>
      </c>
      <c r="I2844" s="6">
        <f>Tabela1[[#This Row],[Valor total]]-Tabela1[[#This Row],[Valor custo]]</f>
        <v>5254.1</v>
      </c>
      <c r="J2844" s="7">
        <f>Tabela1[[#This Row],[MARGEM BRUTA]]/Tabela1[[#This Row],[Valor total]]</f>
        <v>0.361106529209622</v>
      </c>
      <c r="K2844" s="1" t="str">
        <f>VLOOKUP(Tabela1[[#This Row],[Cliente]],'BASE DE CLIENTES'!A:D,4,0)</f>
        <v>EMPRESA COM MAQUINA</v>
      </c>
      <c r="L2844" s="1" t="str">
        <f>VLOOKUP(Tabela1[[#This Row],[Cliente]],'BASE DE CLIENTES'!A:E,5,0)</f>
        <v>Goiânia</v>
      </c>
    </row>
    <row r="2845" spans="2:12" x14ac:dyDescent="0.3">
      <c r="B2845" s="1" t="s">
        <v>276</v>
      </c>
      <c r="C2845" s="4" t="str">
        <f>VLOOKUP(Tabela1[[#This Row],[Cliente]],'BASE DE CLIENTES'!A:E,2,0)</f>
        <v>Parauapebas</v>
      </c>
      <c r="D2845" s="1" t="str">
        <f>VLOOKUP(Tabela1[[#This Row],[Cliente]],'BASE DE CLIENTES'!A:C,3,0)</f>
        <v>PA</v>
      </c>
      <c r="E2845" s="4" t="str">
        <f>CONCATENATE(Tabela1[[#This Row],[CIDADE]],",",Tabela1[[#This Row],[UF]])</f>
        <v>Parauapebas,PA</v>
      </c>
      <c r="F2845" s="2">
        <v>45946</v>
      </c>
      <c r="G2845" s="17">
        <v>9478.16</v>
      </c>
      <c r="H2845" s="17">
        <v>16087</v>
      </c>
      <c r="I2845" s="6">
        <f>Tabela1[[#This Row],[Valor total]]-Tabela1[[#This Row],[Valor custo]]</f>
        <v>6608.84</v>
      </c>
      <c r="J2845" s="7">
        <f>Tabela1[[#This Row],[MARGEM BRUTA]]/Tabela1[[#This Row],[Valor total]]</f>
        <v>0.41081867346304468</v>
      </c>
      <c r="K2845" s="1" t="str">
        <f>VLOOKUP(Tabela1[[#This Row],[Cliente]],'BASE DE CLIENTES'!A:D,4,0)</f>
        <v>EMPRESA COM MAQUINA</v>
      </c>
      <c r="L2845" s="1" t="str">
        <f>VLOOKUP(Tabela1[[#This Row],[Cliente]],'BASE DE CLIENTES'!A:E,5,0)</f>
        <v>Parauapebas</v>
      </c>
    </row>
    <row r="2846" spans="2:12" x14ac:dyDescent="0.3">
      <c r="B2846" s="1" t="s">
        <v>184</v>
      </c>
      <c r="C2846" s="4" t="str">
        <f>VLOOKUP(Tabela1[[#This Row],[Cliente]],'BASE DE CLIENTES'!A:E,2,0)</f>
        <v>Castanhal</v>
      </c>
      <c r="D2846" s="1" t="str">
        <f>VLOOKUP(Tabela1[[#This Row],[Cliente]],'BASE DE CLIENTES'!A:C,3,0)</f>
        <v>PA</v>
      </c>
      <c r="E2846" s="4" t="str">
        <f>CONCATENATE(Tabela1[[#This Row],[CIDADE]],",",Tabela1[[#This Row],[UF]])</f>
        <v>Castanhal,PA</v>
      </c>
      <c r="F2846" s="2">
        <v>45946</v>
      </c>
      <c r="G2846" s="17">
        <v>13620.8</v>
      </c>
      <c r="H2846" s="17">
        <v>20837</v>
      </c>
      <c r="I2846" s="6">
        <f>Tabela1[[#This Row],[Valor total]]-Tabela1[[#This Row],[Valor custo]]</f>
        <v>7216.2000000000007</v>
      </c>
      <c r="J2846" s="7">
        <f>Tabela1[[#This Row],[MARGEM BRUTA]]/Tabela1[[#This Row],[Valor total]]</f>
        <v>0.34631664826990455</v>
      </c>
      <c r="K2846" s="1" t="str">
        <f>VLOOKUP(Tabela1[[#This Row],[Cliente]],'BASE DE CLIENTES'!A:D,4,0)</f>
        <v>EMPRESA COM MAQUINA</v>
      </c>
      <c r="L2846" s="1" t="str">
        <f>VLOOKUP(Tabela1[[#This Row],[Cliente]],'BASE DE CLIENTES'!A:E,5,0)</f>
        <v>Castanhal</v>
      </c>
    </row>
    <row r="2847" spans="2:12" x14ac:dyDescent="0.3">
      <c r="B2847" s="1" t="s">
        <v>152</v>
      </c>
      <c r="C2847" s="4" t="str">
        <f>VLOOKUP(Tabela1[[#This Row],[Cliente]],'BASE DE CLIENTES'!A:E,2,0)</f>
        <v>Aparecida de Goiânia</v>
      </c>
      <c r="D2847" s="1" t="str">
        <f>VLOOKUP(Tabela1[[#This Row],[Cliente]],'BASE DE CLIENTES'!A:C,3,0)</f>
        <v>GO</v>
      </c>
      <c r="E2847" s="4" t="str">
        <f>CONCATENATE(Tabela1[[#This Row],[CIDADE]],",",Tabela1[[#This Row],[UF]])</f>
        <v>Aparecida de Goiânia,GO</v>
      </c>
      <c r="F2847" s="2">
        <v>45946</v>
      </c>
      <c r="G2847" s="17">
        <v>534</v>
      </c>
      <c r="H2847" s="17">
        <v>770</v>
      </c>
      <c r="I2847" s="6">
        <f>Tabela1[[#This Row],[Valor total]]-Tabela1[[#This Row],[Valor custo]]</f>
        <v>236</v>
      </c>
      <c r="J2847" s="7">
        <f>Tabela1[[#This Row],[MARGEM BRUTA]]/Tabela1[[#This Row],[Valor total]]</f>
        <v>0.30649350649350648</v>
      </c>
      <c r="K2847" s="1" t="str">
        <f>VLOOKUP(Tabela1[[#This Row],[Cliente]],'BASE DE CLIENTES'!A:D,4,0)</f>
        <v>TECNICO</v>
      </c>
      <c r="L2847" s="1" t="str">
        <f>VLOOKUP(Tabela1[[#This Row],[Cliente]],'BASE DE CLIENTES'!A:E,5,0)</f>
        <v>Aparecida de Goiânia</v>
      </c>
    </row>
    <row r="2848" spans="2:12" x14ac:dyDescent="0.3">
      <c r="B2848" s="1" t="s">
        <v>38</v>
      </c>
      <c r="C2848" s="4" t="str">
        <f>VLOOKUP(Tabela1[[#This Row],[Cliente]],'BASE DE CLIENTES'!A:E,2,0)</f>
        <v>Brasília</v>
      </c>
      <c r="D2848" s="1" t="str">
        <f>VLOOKUP(Tabela1[[#This Row],[Cliente]],'BASE DE CLIENTES'!A:C,3,0)</f>
        <v>DF</v>
      </c>
      <c r="E2848" s="4" t="str">
        <f>CONCATENATE(Tabela1[[#This Row],[CIDADE]],",",Tabela1[[#This Row],[UF]])</f>
        <v>Brasília,DF</v>
      </c>
      <c r="F2848" s="2">
        <v>45946</v>
      </c>
      <c r="G2848" s="17">
        <v>693</v>
      </c>
      <c r="H2848" s="17">
        <v>1350</v>
      </c>
      <c r="I2848" s="6">
        <f>Tabela1[[#This Row],[Valor total]]-Tabela1[[#This Row],[Valor custo]]</f>
        <v>657</v>
      </c>
      <c r="J2848" s="7">
        <f>Tabela1[[#This Row],[MARGEM BRUTA]]/Tabela1[[#This Row],[Valor total]]</f>
        <v>0.48666666666666669</v>
      </c>
      <c r="K2848" s="1" t="str">
        <f>VLOOKUP(Tabela1[[#This Row],[Cliente]],'BASE DE CLIENTES'!A:D,4,0)</f>
        <v>EMPRESA SEM MAQUINA</v>
      </c>
      <c r="L2848" s="1" t="str">
        <f>VLOOKUP(Tabela1[[#This Row],[Cliente]],'BASE DE CLIENTES'!A:E,5,0)</f>
        <v>PONTE ALTA NORTE (GAMA)</v>
      </c>
    </row>
    <row r="2849" spans="2:12" x14ac:dyDescent="0.3">
      <c r="B2849" s="1" t="s">
        <v>96</v>
      </c>
      <c r="C2849" s="4" t="str">
        <f>VLOOKUP(Tabela1[[#This Row],[Cliente]],'BASE DE CLIENTES'!A:E,2,0)</f>
        <v>Brasília</v>
      </c>
      <c r="D2849" s="1" t="str">
        <f>VLOOKUP(Tabela1[[#This Row],[Cliente]],'BASE DE CLIENTES'!A:C,3,0)</f>
        <v>DF</v>
      </c>
      <c r="E2849" s="4" t="str">
        <f>CONCATENATE(Tabela1[[#This Row],[CIDADE]],",",Tabela1[[#This Row],[UF]])</f>
        <v>Brasília,DF</v>
      </c>
      <c r="F2849" s="2">
        <v>45946</v>
      </c>
      <c r="G2849" s="17">
        <v>289</v>
      </c>
      <c r="H2849" s="17">
        <v>600</v>
      </c>
      <c r="I2849" s="6">
        <f>Tabela1[[#This Row],[Valor total]]-Tabela1[[#This Row],[Valor custo]]</f>
        <v>311</v>
      </c>
      <c r="J2849" s="7">
        <f>Tabela1[[#This Row],[MARGEM BRUTA]]/Tabela1[[#This Row],[Valor total]]</f>
        <v>0.51833333333333331</v>
      </c>
      <c r="K2849" s="1" t="str">
        <f>VLOOKUP(Tabela1[[#This Row],[Cliente]],'BASE DE CLIENTES'!A:D,4,0)</f>
        <v>EMPRESA SEM MAQUINA</v>
      </c>
      <c r="L2849" s="1" t="str">
        <f>VLOOKUP(Tabela1[[#This Row],[Cliente]],'BASE DE CLIENTES'!A:E,5,0)</f>
        <v>CEILANDIA NORTE (CEILANDIA)</v>
      </c>
    </row>
    <row r="2850" spans="2:12" x14ac:dyDescent="0.3">
      <c r="B2850" s="1" t="s">
        <v>153</v>
      </c>
      <c r="C2850" s="4" t="str">
        <f>VLOOKUP(Tabela1[[#This Row],[Cliente]],'BASE DE CLIENTES'!A:E,2,0)</f>
        <v>Brasília</v>
      </c>
      <c r="D2850" s="1" t="str">
        <f>VLOOKUP(Tabela1[[#This Row],[Cliente]],'BASE DE CLIENTES'!A:C,3,0)</f>
        <v>DF</v>
      </c>
      <c r="E2850" s="4" t="str">
        <f>CONCATENATE(Tabela1[[#This Row],[CIDADE]],",",Tabela1[[#This Row],[UF]])</f>
        <v>Brasília,DF</v>
      </c>
      <c r="F2850" s="2">
        <v>45946</v>
      </c>
      <c r="G2850" s="17">
        <v>2293.8000000000002</v>
      </c>
      <c r="H2850" s="17">
        <v>3690</v>
      </c>
      <c r="I2850" s="6">
        <f>Tabela1[[#This Row],[Valor total]]-Tabela1[[#This Row],[Valor custo]]</f>
        <v>1396.1999999999998</v>
      </c>
      <c r="J2850" s="7">
        <f>Tabela1[[#This Row],[MARGEM BRUTA]]/Tabela1[[#This Row],[Valor total]]</f>
        <v>0.37837398373983733</v>
      </c>
      <c r="K2850" s="1" t="str">
        <f>VLOOKUP(Tabela1[[#This Row],[Cliente]],'BASE DE CLIENTES'!A:D,4,0)</f>
        <v>SERRALHEIRO</v>
      </c>
      <c r="L2850" s="1" t="str">
        <f>VLOOKUP(Tabela1[[#This Row],[Cliente]],'BASE DE CLIENTES'!A:E,5,0)</f>
        <v>PLANALTINA</v>
      </c>
    </row>
    <row r="2851" spans="2:12" x14ac:dyDescent="0.3">
      <c r="B2851" s="1" t="s">
        <v>25</v>
      </c>
      <c r="C2851" s="4" t="str">
        <f>VLOOKUP(Tabela1[[#This Row],[Cliente]],'BASE DE CLIENTES'!A:E,2,0)</f>
        <v>Brasília</v>
      </c>
      <c r="D2851" s="1" t="str">
        <f>VLOOKUP(Tabela1[[#This Row],[Cliente]],'BASE DE CLIENTES'!A:C,3,0)</f>
        <v>DF</v>
      </c>
      <c r="E2851" s="4" t="str">
        <f>CONCATENATE(Tabela1[[#This Row],[CIDADE]],",",Tabela1[[#This Row],[UF]])</f>
        <v>Brasília,DF</v>
      </c>
      <c r="F2851" s="2">
        <v>45946</v>
      </c>
      <c r="G2851" s="17">
        <v>1486.3</v>
      </c>
      <c r="H2851" s="17">
        <v>2365</v>
      </c>
      <c r="I2851" s="6">
        <f>Tabela1[[#This Row],[Valor total]]-Tabela1[[#This Row],[Valor custo]]</f>
        <v>878.7</v>
      </c>
      <c r="J2851" s="7">
        <f>Tabela1[[#This Row],[MARGEM BRUTA]]/Tabela1[[#This Row],[Valor total]]</f>
        <v>0.3715433403805497</v>
      </c>
      <c r="K2851" s="1" t="str">
        <f>VLOOKUP(Tabela1[[#This Row],[Cliente]],'BASE DE CLIENTES'!A:D,4,0)</f>
        <v>EMPRESA COM MAQUINA</v>
      </c>
      <c r="L2851" s="1" t="str">
        <f>VLOOKUP(Tabela1[[#This Row],[Cliente]],'BASE DE CLIENTES'!A:E,5,0)</f>
        <v>CEILANDIA NORTE (CEILANDIA)</v>
      </c>
    </row>
    <row r="2852" spans="2:12" x14ac:dyDescent="0.3">
      <c r="B2852" s="1" t="s">
        <v>38</v>
      </c>
      <c r="C2852" s="4" t="str">
        <f>VLOOKUP(Tabela1[[#This Row],[Cliente]],'BASE DE CLIENTES'!A:E,2,0)</f>
        <v>Brasília</v>
      </c>
      <c r="D2852" s="1" t="str">
        <f>VLOOKUP(Tabela1[[#This Row],[Cliente]],'BASE DE CLIENTES'!A:C,3,0)</f>
        <v>DF</v>
      </c>
      <c r="E2852" s="4" t="str">
        <f>CONCATENATE(Tabela1[[#This Row],[CIDADE]],",",Tabela1[[#This Row],[UF]])</f>
        <v>Brasília,DF</v>
      </c>
      <c r="F2852" s="2">
        <v>45946</v>
      </c>
      <c r="G2852" s="17">
        <v>138.63999999999999</v>
      </c>
      <c r="H2852" s="17">
        <v>440</v>
      </c>
      <c r="I2852" s="6">
        <f>Tabela1[[#This Row],[Valor total]]-Tabela1[[#This Row],[Valor custo]]</f>
        <v>301.36</v>
      </c>
      <c r="J2852" s="7">
        <f>Tabela1[[#This Row],[MARGEM BRUTA]]/Tabela1[[#This Row],[Valor total]]</f>
        <v>0.68490909090909091</v>
      </c>
      <c r="K2852" s="1" t="str">
        <f>VLOOKUP(Tabela1[[#This Row],[Cliente]],'BASE DE CLIENTES'!A:D,4,0)</f>
        <v>EMPRESA SEM MAQUINA</v>
      </c>
      <c r="L2852" s="1" t="str">
        <f>VLOOKUP(Tabela1[[#This Row],[Cliente]],'BASE DE CLIENTES'!A:E,5,0)</f>
        <v>PONTE ALTA NORTE (GAMA)</v>
      </c>
    </row>
    <row r="2853" spans="2:12" x14ac:dyDescent="0.3">
      <c r="B2853" s="1" t="s">
        <v>38</v>
      </c>
      <c r="C2853" s="4" t="str">
        <f>VLOOKUP(Tabela1[[#This Row],[Cliente]],'BASE DE CLIENTES'!A:E,2,0)</f>
        <v>Brasília</v>
      </c>
      <c r="D2853" s="1" t="str">
        <f>VLOOKUP(Tabela1[[#This Row],[Cliente]],'BASE DE CLIENTES'!A:C,3,0)</f>
        <v>DF</v>
      </c>
      <c r="E2853" s="4" t="str">
        <f>CONCATENATE(Tabela1[[#This Row],[CIDADE]],",",Tabela1[[#This Row],[UF]])</f>
        <v>Brasília,DF</v>
      </c>
      <c r="F2853" s="2">
        <v>45946</v>
      </c>
      <c r="G2853" s="17">
        <v>1184</v>
      </c>
      <c r="H2853" s="17">
        <v>2150</v>
      </c>
      <c r="I2853" s="6">
        <f>Tabela1[[#This Row],[Valor total]]-Tabela1[[#This Row],[Valor custo]]</f>
        <v>966</v>
      </c>
      <c r="J2853" s="7">
        <f>Tabela1[[#This Row],[MARGEM BRUTA]]/Tabela1[[#This Row],[Valor total]]</f>
        <v>0.44930232558139532</v>
      </c>
      <c r="K2853" s="1" t="str">
        <f>VLOOKUP(Tabela1[[#This Row],[Cliente]],'BASE DE CLIENTES'!A:D,4,0)</f>
        <v>EMPRESA SEM MAQUINA</v>
      </c>
      <c r="L2853" s="1" t="str">
        <f>VLOOKUP(Tabela1[[#This Row],[Cliente]],'BASE DE CLIENTES'!A:E,5,0)</f>
        <v>PONTE ALTA NORTE (GAMA)</v>
      </c>
    </row>
    <row r="2854" spans="2:12" x14ac:dyDescent="0.3">
      <c r="B2854" s="1" t="s">
        <v>236</v>
      </c>
      <c r="C2854" s="4" t="str">
        <f>VLOOKUP(Tabela1[[#This Row],[Cliente]],'BASE DE CLIENTES'!A:E,2,0)</f>
        <v>Goiânia</v>
      </c>
      <c r="D2854" s="1" t="str">
        <f>VLOOKUP(Tabela1[[#This Row],[Cliente]],'BASE DE CLIENTES'!A:C,3,0)</f>
        <v>GO</v>
      </c>
      <c r="E2854" s="4" t="str">
        <f>CONCATENATE(Tabela1[[#This Row],[CIDADE]],",",Tabela1[[#This Row],[UF]])</f>
        <v>Goiânia,GO</v>
      </c>
      <c r="F2854" s="2">
        <v>45946</v>
      </c>
      <c r="G2854" s="17">
        <v>1146.9000000000001</v>
      </c>
      <c r="H2854" s="17">
        <v>1560</v>
      </c>
      <c r="I2854" s="6">
        <f>Tabela1[[#This Row],[Valor total]]-Tabela1[[#This Row],[Valor custo]]</f>
        <v>413.09999999999991</v>
      </c>
      <c r="J2854" s="7">
        <f>Tabela1[[#This Row],[MARGEM BRUTA]]/Tabela1[[#This Row],[Valor total]]</f>
        <v>0.26480769230769224</v>
      </c>
      <c r="K2854" s="1" t="str">
        <f>VLOOKUP(Tabela1[[#This Row],[Cliente]],'BASE DE CLIENTES'!A:D,4,0)</f>
        <v>EMPRESA COM MAQUINA</v>
      </c>
      <c r="L2854" s="1" t="str">
        <f>VLOOKUP(Tabela1[[#This Row],[Cliente]],'BASE DE CLIENTES'!A:E,5,0)</f>
        <v>Goiânia</v>
      </c>
    </row>
    <row r="2855" spans="2:12" x14ac:dyDescent="0.3">
      <c r="B2855" s="1" t="s">
        <v>236</v>
      </c>
      <c r="C2855" s="4" t="str">
        <f>VLOOKUP(Tabela1[[#This Row],[Cliente]],'BASE DE CLIENTES'!A:E,2,0)</f>
        <v>Goiânia</v>
      </c>
      <c r="D2855" s="1" t="str">
        <f>VLOOKUP(Tabela1[[#This Row],[Cliente]],'BASE DE CLIENTES'!A:C,3,0)</f>
        <v>GO</v>
      </c>
      <c r="E2855" s="4" t="str">
        <f>CONCATENATE(Tabela1[[#This Row],[CIDADE]],",",Tabela1[[#This Row],[UF]])</f>
        <v>Goiânia,GO</v>
      </c>
      <c r="F2855" s="2">
        <v>45946</v>
      </c>
      <c r="G2855" s="17">
        <v>968.42</v>
      </c>
      <c r="H2855" s="17">
        <v>1470</v>
      </c>
      <c r="I2855" s="6">
        <f>Tabela1[[#This Row],[Valor total]]-Tabela1[[#This Row],[Valor custo]]</f>
        <v>501.58000000000004</v>
      </c>
      <c r="J2855" s="7">
        <f>Tabela1[[#This Row],[MARGEM BRUTA]]/Tabela1[[#This Row],[Valor total]]</f>
        <v>0.34121088435374153</v>
      </c>
      <c r="K2855" s="1" t="str">
        <f>VLOOKUP(Tabela1[[#This Row],[Cliente]],'BASE DE CLIENTES'!A:D,4,0)</f>
        <v>EMPRESA COM MAQUINA</v>
      </c>
      <c r="L2855" s="1" t="str">
        <f>VLOOKUP(Tabela1[[#This Row],[Cliente]],'BASE DE CLIENTES'!A:E,5,0)</f>
        <v>Goiânia</v>
      </c>
    </row>
    <row r="2856" spans="2:12" x14ac:dyDescent="0.3">
      <c r="B2856" s="1" t="s">
        <v>150</v>
      </c>
      <c r="C2856" s="4" t="str">
        <f>VLOOKUP(Tabela1[[#This Row],[Cliente]],'BASE DE CLIENTES'!A:E,2,0)</f>
        <v>Anápolis</v>
      </c>
      <c r="D2856" s="1" t="str">
        <f>VLOOKUP(Tabela1[[#This Row],[Cliente]],'BASE DE CLIENTES'!A:C,3,0)</f>
        <v>GO</v>
      </c>
      <c r="E2856" s="4" t="str">
        <f>CONCATENATE(Tabela1[[#This Row],[CIDADE]],",",Tabela1[[#This Row],[UF]])</f>
        <v>Anápolis,GO</v>
      </c>
      <c r="F2856" s="2">
        <v>45946</v>
      </c>
      <c r="G2856" s="17">
        <v>1578.5</v>
      </c>
      <c r="H2856" s="17">
        <v>3230</v>
      </c>
      <c r="I2856" s="6">
        <f>Tabela1[[#This Row],[Valor total]]-Tabela1[[#This Row],[Valor custo]]</f>
        <v>1651.5</v>
      </c>
      <c r="J2856" s="7">
        <f>Tabela1[[#This Row],[MARGEM BRUTA]]/Tabela1[[#This Row],[Valor total]]</f>
        <v>0.51130030959752326</v>
      </c>
      <c r="K2856" s="1" t="str">
        <f>VLOOKUP(Tabela1[[#This Row],[Cliente]],'BASE DE CLIENTES'!A:D,4,0)</f>
        <v>EMPRESA COM MAQUINA</v>
      </c>
      <c r="L2856" s="1" t="str">
        <f>VLOOKUP(Tabela1[[#This Row],[Cliente]],'BASE DE CLIENTES'!A:E,5,0)</f>
        <v>Anápolis</v>
      </c>
    </row>
    <row r="2857" spans="2:12" x14ac:dyDescent="0.3">
      <c r="B2857" s="1" t="s">
        <v>152</v>
      </c>
      <c r="C2857" s="4" t="str">
        <f>VLOOKUP(Tabela1[[#This Row],[Cliente]],'BASE DE CLIENTES'!A:E,2,0)</f>
        <v>Aparecida de Goiânia</v>
      </c>
      <c r="D2857" s="1" t="str">
        <f>VLOOKUP(Tabela1[[#This Row],[Cliente]],'BASE DE CLIENTES'!A:C,3,0)</f>
        <v>GO</v>
      </c>
      <c r="E2857" s="4" t="str">
        <f>CONCATENATE(Tabela1[[#This Row],[CIDADE]],",",Tabela1[[#This Row],[UF]])</f>
        <v>Aparecida de Goiânia,GO</v>
      </c>
      <c r="F2857" s="2">
        <v>45945</v>
      </c>
      <c r="G2857" s="17">
        <v>1197.3900000000001</v>
      </c>
      <c r="H2857" s="17">
        <v>1870</v>
      </c>
      <c r="I2857" s="6">
        <f>Tabela1[[#This Row],[Valor total]]-Tabela1[[#This Row],[Valor custo]]</f>
        <v>672.6099999999999</v>
      </c>
      <c r="J2857" s="7">
        <f>Tabela1[[#This Row],[MARGEM BRUTA]]/Tabela1[[#This Row],[Valor total]]</f>
        <v>0.35968449197860958</v>
      </c>
      <c r="K2857" s="1" t="str">
        <f>VLOOKUP(Tabela1[[#This Row],[Cliente]],'BASE DE CLIENTES'!A:D,4,0)</f>
        <v>TECNICO</v>
      </c>
      <c r="L2857" s="1" t="str">
        <f>VLOOKUP(Tabela1[[#This Row],[Cliente]],'BASE DE CLIENTES'!A:E,5,0)</f>
        <v>Aparecida de Goiânia</v>
      </c>
    </row>
    <row r="2858" spans="2:12" x14ac:dyDescent="0.3">
      <c r="B2858" s="1" t="s">
        <v>236</v>
      </c>
      <c r="C2858" s="4" t="str">
        <f>VLOOKUP(Tabela1[[#This Row],[Cliente]],'BASE DE CLIENTES'!A:E,2,0)</f>
        <v>Goiânia</v>
      </c>
      <c r="D2858" s="1" t="str">
        <f>VLOOKUP(Tabela1[[#This Row],[Cliente]],'BASE DE CLIENTES'!A:C,3,0)</f>
        <v>GO</v>
      </c>
      <c r="E2858" s="4" t="str">
        <f>CONCATENATE(Tabela1[[#This Row],[CIDADE]],",",Tabela1[[#This Row],[UF]])</f>
        <v>Goiânia,GO</v>
      </c>
      <c r="F2858" s="2">
        <v>45945</v>
      </c>
      <c r="G2858" s="17">
        <v>7646</v>
      </c>
      <c r="H2858" s="17">
        <v>10400</v>
      </c>
      <c r="I2858" s="6">
        <f>Tabela1[[#This Row],[Valor total]]-Tabela1[[#This Row],[Valor custo]]</f>
        <v>2754</v>
      </c>
      <c r="J2858" s="7">
        <f>Tabela1[[#This Row],[MARGEM BRUTA]]/Tabela1[[#This Row],[Valor total]]</f>
        <v>0.2648076923076923</v>
      </c>
      <c r="K2858" s="1" t="str">
        <f>VLOOKUP(Tabela1[[#This Row],[Cliente]],'BASE DE CLIENTES'!A:D,4,0)</f>
        <v>EMPRESA COM MAQUINA</v>
      </c>
      <c r="L2858" s="1" t="str">
        <f>VLOOKUP(Tabela1[[#This Row],[Cliente]],'BASE DE CLIENTES'!A:E,5,0)</f>
        <v>Goiânia</v>
      </c>
    </row>
    <row r="2859" spans="2:12" x14ac:dyDescent="0.3">
      <c r="B2859" s="1" t="s">
        <v>104</v>
      </c>
      <c r="C2859" s="4" t="str">
        <f>VLOOKUP(Tabela1[[#This Row],[Cliente]],'BASE DE CLIENTES'!A:E,2,0)</f>
        <v>Águas Lindas de Goiás</v>
      </c>
      <c r="D2859" s="1" t="str">
        <f>VLOOKUP(Tabela1[[#This Row],[Cliente]],'BASE DE CLIENTES'!A:C,3,0)</f>
        <v>GO</v>
      </c>
      <c r="E2859" s="4" t="str">
        <f>CONCATENATE(Tabela1[[#This Row],[CIDADE]],",",Tabela1[[#This Row],[UF]])</f>
        <v>Águas Lindas de Goiás,GO</v>
      </c>
      <c r="F2859" s="2">
        <v>45945</v>
      </c>
      <c r="G2859" s="17">
        <v>144.19999999999999</v>
      </c>
      <c r="H2859" s="17">
        <v>500</v>
      </c>
      <c r="I2859" s="6">
        <f>Tabela1[[#This Row],[Valor total]]-Tabela1[[#This Row],[Valor custo]]</f>
        <v>355.8</v>
      </c>
      <c r="J2859" s="7">
        <f>Tabela1[[#This Row],[MARGEM BRUTA]]/Tabela1[[#This Row],[Valor total]]</f>
        <v>0.71160000000000001</v>
      </c>
      <c r="K2859" s="1" t="str">
        <f>VLOOKUP(Tabela1[[#This Row],[Cliente]],'BASE DE CLIENTES'!A:D,4,0)</f>
        <v>EMPRESA SEM MAQUINA</v>
      </c>
      <c r="L2859" s="1" t="str">
        <f>VLOOKUP(Tabela1[[#This Row],[Cliente]],'BASE DE CLIENTES'!A:E,5,0)</f>
        <v>Águas Lindas de Goiás</v>
      </c>
    </row>
    <row r="2860" spans="2:12" x14ac:dyDescent="0.3">
      <c r="B2860" s="1" t="s">
        <v>55</v>
      </c>
      <c r="C2860" s="4" t="str">
        <f>VLOOKUP(Tabela1[[#This Row],[Cliente]],'BASE DE CLIENTES'!A:E,2,0)</f>
        <v>Brasília</v>
      </c>
      <c r="D2860" s="1" t="str">
        <f>VLOOKUP(Tabela1[[#This Row],[Cliente]],'BASE DE CLIENTES'!A:C,3,0)</f>
        <v>DF</v>
      </c>
      <c r="E2860" s="4" t="str">
        <f>CONCATENATE(Tabela1[[#This Row],[CIDADE]],",",Tabela1[[#This Row],[UF]])</f>
        <v>Brasília,DF</v>
      </c>
      <c r="F2860" s="2">
        <v>45945</v>
      </c>
      <c r="G2860" s="17">
        <v>1876.39</v>
      </c>
      <c r="H2860" s="17">
        <v>3307.7</v>
      </c>
      <c r="I2860" s="6">
        <f>Tabela1[[#This Row],[Valor total]]-Tabela1[[#This Row],[Valor custo]]</f>
        <v>1431.3099999999997</v>
      </c>
      <c r="J2860" s="7">
        <f>Tabela1[[#This Row],[MARGEM BRUTA]]/Tabela1[[#This Row],[Valor total]]</f>
        <v>0.43272062157994973</v>
      </c>
      <c r="K2860" s="1" t="str">
        <f>VLOOKUP(Tabela1[[#This Row],[Cliente]],'BASE DE CLIENTES'!A:D,4,0)</f>
        <v>EMPRESA SEM MAQUINA</v>
      </c>
      <c r="L2860" s="1" t="str">
        <f>VLOOKUP(Tabela1[[#This Row],[Cliente]],'BASE DE CLIENTES'!A:E,5,0)</f>
        <v>RECANTO DAS EMAS</v>
      </c>
    </row>
    <row r="2861" spans="2:12" x14ac:dyDescent="0.3">
      <c r="B2861" s="1" t="s">
        <v>104</v>
      </c>
      <c r="C2861" s="4" t="str">
        <f>VLOOKUP(Tabela1[[#This Row],[Cliente]],'BASE DE CLIENTES'!A:E,2,0)</f>
        <v>Águas Lindas de Goiás</v>
      </c>
      <c r="D2861" s="1" t="str">
        <f>VLOOKUP(Tabela1[[#This Row],[Cliente]],'BASE DE CLIENTES'!A:C,3,0)</f>
        <v>GO</v>
      </c>
      <c r="E2861" s="4" t="str">
        <f>CONCATENATE(Tabela1[[#This Row],[CIDADE]],",",Tabela1[[#This Row],[UF]])</f>
        <v>Águas Lindas de Goiás,GO</v>
      </c>
      <c r="F2861" s="2">
        <v>45945</v>
      </c>
      <c r="G2861" s="17">
        <v>382.3</v>
      </c>
      <c r="H2861" s="17">
        <v>615</v>
      </c>
      <c r="I2861" s="6">
        <f>Tabela1[[#This Row],[Valor total]]-Tabela1[[#This Row],[Valor custo]]</f>
        <v>232.7</v>
      </c>
      <c r="J2861" s="7">
        <f>Tabela1[[#This Row],[MARGEM BRUTA]]/Tabela1[[#This Row],[Valor total]]</f>
        <v>0.37837398373983738</v>
      </c>
      <c r="K2861" s="1" t="str">
        <f>VLOOKUP(Tabela1[[#This Row],[Cliente]],'BASE DE CLIENTES'!A:D,4,0)</f>
        <v>EMPRESA SEM MAQUINA</v>
      </c>
      <c r="L2861" s="1" t="str">
        <f>VLOOKUP(Tabela1[[#This Row],[Cliente]],'BASE DE CLIENTES'!A:E,5,0)</f>
        <v>Águas Lindas de Goiás</v>
      </c>
    </row>
    <row r="2862" spans="2:12" x14ac:dyDescent="0.3">
      <c r="B2862" s="1" t="s">
        <v>27</v>
      </c>
      <c r="C2862" s="4" t="str">
        <f>VLOOKUP(Tabela1[[#This Row],[Cliente]],'BASE DE CLIENTES'!A:E,2,0)</f>
        <v>Brasília</v>
      </c>
      <c r="D2862" s="1" t="str">
        <f>VLOOKUP(Tabela1[[#This Row],[Cliente]],'BASE DE CLIENTES'!A:C,3,0)</f>
        <v>DF</v>
      </c>
      <c r="E2862" s="4" t="str">
        <f>CONCATENATE(Tabela1[[#This Row],[CIDADE]],",",Tabela1[[#This Row],[UF]])</f>
        <v>Brasília,DF</v>
      </c>
      <c r="F2862" s="2">
        <v>45945</v>
      </c>
      <c r="G2862" s="17">
        <v>664</v>
      </c>
      <c r="H2862" s="17">
        <v>530</v>
      </c>
      <c r="I2862" s="6">
        <f>Tabela1[[#This Row],[Valor total]]-Tabela1[[#This Row],[Valor custo]]</f>
        <v>-134</v>
      </c>
      <c r="J2862" s="7">
        <f>Tabela1[[#This Row],[MARGEM BRUTA]]/Tabela1[[#This Row],[Valor total]]</f>
        <v>-0.25283018867924528</v>
      </c>
      <c r="K2862" s="1" t="str">
        <f>VLOOKUP(Tabela1[[#This Row],[Cliente]],'BASE DE CLIENTES'!A:D,4,0)</f>
        <v>EMPRESA SEM MAQUINA</v>
      </c>
      <c r="L2862" s="1" t="str">
        <f>VLOOKUP(Tabela1[[#This Row],[Cliente]],'BASE DE CLIENTES'!A:E,5,0)</f>
        <v>RECANTO DAS EMAS</v>
      </c>
    </row>
    <row r="2863" spans="2:12" x14ac:dyDescent="0.3">
      <c r="B2863" s="1" t="s">
        <v>206</v>
      </c>
      <c r="C2863" s="4" t="str">
        <f>VLOOKUP(Tabela1[[#This Row],[Cliente]],'BASE DE CLIENTES'!A:E,2,0)</f>
        <v>Goiânia</v>
      </c>
      <c r="D2863" s="1" t="str">
        <f>VLOOKUP(Tabela1[[#This Row],[Cliente]],'BASE DE CLIENTES'!A:C,3,0)</f>
        <v>GO</v>
      </c>
      <c r="E2863" s="4" t="str">
        <f>CONCATENATE(Tabela1[[#This Row],[CIDADE]],",",Tabela1[[#This Row],[UF]])</f>
        <v>Goiânia,GO</v>
      </c>
      <c r="F2863" s="2">
        <v>45945</v>
      </c>
      <c r="G2863" s="17">
        <v>5544</v>
      </c>
      <c r="H2863" s="17">
        <v>9600</v>
      </c>
      <c r="I2863" s="6">
        <f>Tabela1[[#This Row],[Valor total]]-Tabela1[[#This Row],[Valor custo]]</f>
        <v>4056</v>
      </c>
      <c r="J2863" s="7">
        <f>Tabela1[[#This Row],[MARGEM BRUTA]]/Tabela1[[#This Row],[Valor total]]</f>
        <v>0.42249999999999999</v>
      </c>
      <c r="K2863" s="1" t="str">
        <f>VLOOKUP(Tabela1[[#This Row],[Cliente]],'BASE DE CLIENTES'!A:D,4,0)</f>
        <v>EMPRESA COM MAQUINA</v>
      </c>
      <c r="L2863" s="1" t="str">
        <f>VLOOKUP(Tabela1[[#This Row],[Cliente]],'BASE DE CLIENTES'!A:E,5,0)</f>
        <v>Goiânia</v>
      </c>
    </row>
    <row r="2864" spans="2:12" x14ac:dyDescent="0.3">
      <c r="B2864" s="1" t="s">
        <v>321</v>
      </c>
      <c r="C2864" s="4" t="str">
        <f>VLOOKUP(Tabela1[[#This Row],[Cliente]],'BASE DE CLIENTES'!A:E,2,0)</f>
        <v>Valparaíso de Goiás</v>
      </c>
      <c r="D2864" s="1" t="str">
        <f>VLOOKUP(Tabela1[[#This Row],[Cliente]],'BASE DE CLIENTES'!A:C,3,0)</f>
        <v>GO</v>
      </c>
      <c r="E2864" s="4" t="str">
        <f>CONCATENATE(Tabela1[[#This Row],[CIDADE]],",",Tabela1[[#This Row],[UF]])</f>
        <v>Valparaíso de Goiás,GO</v>
      </c>
      <c r="F2864" s="2">
        <v>45945</v>
      </c>
      <c r="G2864" s="17">
        <v>664</v>
      </c>
      <c r="H2864" s="17">
        <v>1000</v>
      </c>
      <c r="I2864" s="6">
        <f>Tabela1[[#This Row],[Valor total]]-Tabela1[[#This Row],[Valor custo]]</f>
        <v>336</v>
      </c>
      <c r="J2864" s="7">
        <f>Tabela1[[#This Row],[MARGEM BRUTA]]/Tabela1[[#This Row],[Valor total]]</f>
        <v>0.33600000000000002</v>
      </c>
      <c r="K2864" s="1" t="str">
        <f>VLOOKUP(Tabela1[[#This Row],[Cliente]],'BASE DE CLIENTES'!A:D,4,0)</f>
        <v>EMPRESA COM MAQUINA</v>
      </c>
      <c r="L2864" s="1" t="str">
        <f>VLOOKUP(Tabela1[[#This Row],[Cliente]],'BASE DE CLIENTES'!A:E,5,0)</f>
        <v>Valparaíso de Goiás</v>
      </c>
    </row>
    <row r="2865" spans="2:12" x14ac:dyDescent="0.3">
      <c r="B2865" s="1" t="s">
        <v>319</v>
      </c>
      <c r="C2865" s="4" t="str">
        <f>VLOOKUP(Tabela1[[#This Row],[Cliente]],'BASE DE CLIENTES'!A:E,2,0)</f>
        <v>Valparaíso de Goiás</v>
      </c>
      <c r="D2865" s="1" t="str">
        <f>VLOOKUP(Tabela1[[#This Row],[Cliente]],'BASE DE CLIENTES'!A:C,3,0)</f>
        <v>GO</v>
      </c>
      <c r="E2865" s="4" t="str">
        <f>CONCATENATE(Tabela1[[#This Row],[CIDADE]],",",Tabela1[[#This Row],[UF]])</f>
        <v>Valparaíso de Goiás,GO</v>
      </c>
      <c r="F2865" s="2">
        <v>45945</v>
      </c>
      <c r="G2865" s="17">
        <v>1514.58</v>
      </c>
      <c r="H2865" s="17">
        <v>2210</v>
      </c>
      <c r="I2865" s="6">
        <f>Tabela1[[#This Row],[Valor total]]-Tabela1[[#This Row],[Valor custo]]</f>
        <v>695.42000000000007</v>
      </c>
      <c r="J2865" s="7">
        <f>Tabela1[[#This Row],[MARGEM BRUTA]]/Tabela1[[#This Row],[Valor total]]</f>
        <v>0.31466968325791861</v>
      </c>
      <c r="K2865" s="1" t="str">
        <f>VLOOKUP(Tabela1[[#This Row],[Cliente]],'BASE DE CLIENTES'!A:D,4,0)</f>
        <v>EMPRESA COM MAQUINA</v>
      </c>
      <c r="L2865" s="1" t="str">
        <f>VLOOKUP(Tabela1[[#This Row],[Cliente]],'BASE DE CLIENTES'!A:E,5,0)</f>
        <v>Valparaíso de Goiás</v>
      </c>
    </row>
    <row r="2866" spans="2:12" x14ac:dyDescent="0.3">
      <c r="B2866" s="1" t="s">
        <v>151</v>
      </c>
      <c r="C2866" s="4" t="str">
        <f>VLOOKUP(Tabela1[[#This Row],[Cliente]],'BASE DE CLIENTES'!A:E,2,0)</f>
        <v>Aparecida de Goiânia</v>
      </c>
      <c r="D2866" s="1" t="str">
        <f>VLOOKUP(Tabela1[[#This Row],[Cliente]],'BASE DE CLIENTES'!A:C,3,0)</f>
        <v>GO</v>
      </c>
      <c r="E2866" s="4" t="str">
        <f>CONCATENATE(Tabela1[[#This Row],[CIDADE]],",",Tabela1[[#This Row],[UF]])</f>
        <v>Aparecida de Goiânia,GO</v>
      </c>
      <c r="F2866" s="2">
        <v>45945</v>
      </c>
      <c r="G2866" s="17">
        <v>3718.9</v>
      </c>
      <c r="H2866" s="17">
        <v>5860</v>
      </c>
      <c r="I2866" s="6">
        <f>Tabela1[[#This Row],[Valor total]]-Tabela1[[#This Row],[Valor custo]]</f>
        <v>2141.1</v>
      </c>
      <c r="J2866" s="7">
        <f>Tabela1[[#This Row],[MARGEM BRUTA]]/Tabela1[[#This Row],[Valor total]]</f>
        <v>0.3653754266211604</v>
      </c>
      <c r="K2866" s="1" t="str">
        <f>VLOOKUP(Tabela1[[#This Row],[Cliente]],'BASE DE CLIENTES'!A:D,4,0)</f>
        <v>EMPRESA COM MAQUINA</v>
      </c>
      <c r="L2866" s="1" t="str">
        <f>VLOOKUP(Tabela1[[#This Row],[Cliente]],'BASE DE CLIENTES'!A:E,5,0)</f>
        <v>Aparecida de Goiânia</v>
      </c>
    </row>
    <row r="2867" spans="2:12" x14ac:dyDescent="0.3">
      <c r="B2867" s="1" t="s">
        <v>66</v>
      </c>
      <c r="C2867" s="4" t="str">
        <f>VLOOKUP(Tabela1[[#This Row],[Cliente]],'BASE DE CLIENTES'!A:E,2,0)</f>
        <v>Águas Lindas de Goiás</v>
      </c>
      <c r="D2867" s="1" t="str">
        <f>VLOOKUP(Tabela1[[#This Row],[Cliente]],'BASE DE CLIENTES'!A:C,3,0)</f>
        <v>GO</v>
      </c>
      <c r="E2867" s="4" t="str">
        <f>CONCATENATE(Tabela1[[#This Row],[CIDADE]],",",Tabela1[[#This Row],[UF]])</f>
        <v>Águas Lindas de Goiás,GO</v>
      </c>
      <c r="F2867" s="2">
        <v>45945</v>
      </c>
      <c r="G2867" s="17">
        <v>1423</v>
      </c>
      <c r="H2867" s="17">
        <v>2150</v>
      </c>
      <c r="I2867" s="6">
        <f>Tabela1[[#This Row],[Valor total]]-Tabela1[[#This Row],[Valor custo]]</f>
        <v>727</v>
      </c>
      <c r="J2867" s="7">
        <f>Tabela1[[#This Row],[MARGEM BRUTA]]/Tabela1[[#This Row],[Valor total]]</f>
        <v>0.33813953488372095</v>
      </c>
      <c r="K2867" s="1" t="str">
        <f>VLOOKUP(Tabela1[[#This Row],[Cliente]],'BASE DE CLIENTES'!A:D,4,0)</f>
        <v>EMPRESA COM MAQUINA</v>
      </c>
      <c r="L2867" s="1" t="str">
        <f>VLOOKUP(Tabela1[[#This Row],[Cliente]],'BASE DE CLIENTES'!A:E,5,0)</f>
        <v>Águas Lindas de Goiás</v>
      </c>
    </row>
    <row r="2868" spans="2:12" x14ac:dyDescent="0.3">
      <c r="B2868" s="1" t="s">
        <v>70</v>
      </c>
      <c r="C2868" s="4" t="str">
        <f>VLOOKUP(Tabela1[[#This Row],[Cliente]],'BASE DE CLIENTES'!A:E,2,0)</f>
        <v>Brasília</v>
      </c>
      <c r="D2868" s="1" t="str">
        <f>VLOOKUP(Tabela1[[#This Row],[Cliente]],'BASE DE CLIENTES'!A:C,3,0)</f>
        <v>DF</v>
      </c>
      <c r="E2868" s="4" t="str">
        <f>CONCATENATE(Tabela1[[#This Row],[CIDADE]],",",Tabela1[[#This Row],[UF]])</f>
        <v>Brasília,DF</v>
      </c>
      <c r="F2868" s="2">
        <v>45945</v>
      </c>
      <c r="G2868" s="17">
        <v>649</v>
      </c>
      <c r="H2868" s="17">
        <v>900</v>
      </c>
      <c r="I2868" s="6">
        <f>Tabela1[[#This Row],[Valor total]]-Tabela1[[#This Row],[Valor custo]]</f>
        <v>251</v>
      </c>
      <c r="J2868" s="7">
        <f>Tabela1[[#This Row],[MARGEM BRUTA]]/Tabela1[[#This Row],[Valor total]]</f>
        <v>0.27888888888888891</v>
      </c>
      <c r="K2868" s="1" t="str">
        <f>VLOOKUP(Tabela1[[#This Row],[Cliente]],'BASE DE CLIENTES'!A:D,4,0)</f>
        <v>EMPRESA COM MAQUINA</v>
      </c>
      <c r="L2868" s="1" t="str">
        <f>VLOOKUP(Tabela1[[#This Row],[Cliente]],'BASE DE CLIENTES'!A:E,5,0)</f>
        <v>TAGUATINGA NORTE (TAGUATINGA)</v>
      </c>
    </row>
    <row r="2869" spans="2:12" x14ac:dyDescent="0.3">
      <c r="B2869" s="1" t="s">
        <v>296</v>
      </c>
      <c r="C2869" s="4" t="str">
        <f>VLOOKUP(Tabela1[[#This Row],[Cliente]],'BASE DE CLIENTES'!A:E,2,0)</f>
        <v>Santo Antônio Descoberto</v>
      </c>
      <c r="D2869" s="1" t="str">
        <f>VLOOKUP(Tabela1[[#This Row],[Cliente]],'BASE DE CLIENTES'!A:C,3,0)</f>
        <v>GO</v>
      </c>
      <c r="E2869" s="4" t="str">
        <f>CONCATENATE(Tabela1[[#This Row],[CIDADE]],",",Tabela1[[#This Row],[UF]])</f>
        <v>Santo Antônio Descoberto,GO</v>
      </c>
      <c r="F2869" s="2">
        <v>45945</v>
      </c>
      <c r="G2869" s="17">
        <v>675.14</v>
      </c>
      <c r="H2869" s="17">
        <v>1047</v>
      </c>
      <c r="I2869" s="6">
        <f>Tabela1[[#This Row],[Valor total]]-Tabela1[[#This Row],[Valor custo]]</f>
        <v>371.86</v>
      </c>
      <c r="J2869" s="7">
        <f>Tabela1[[#This Row],[MARGEM BRUTA]]/Tabela1[[#This Row],[Valor total]]</f>
        <v>0.35516714422158552</v>
      </c>
      <c r="K2869" s="1" t="str">
        <f>VLOOKUP(Tabela1[[#This Row],[Cliente]],'BASE DE CLIENTES'!A:D,4,0)</f>
        <v>EMPRESA COM MAQUINA</v>
      </c>
      <c r="L2869" s="1" t="str">
        <f>VLOOKUP(Tabela1[[#This Row],[Cliente]],'BASE DE CLIENTES'!A:E,5,0)</f>
        <v>Santo Antônio Descoberto</v>
      </c>
    </row>
    <row r="2870" spans="2:12" x14ac:dyDescent="0.3">
      <c r="B2870" s="1" t="s">
        <v>97</v>
      </c>
      <c r="C2870" s="4" t="str">
        <f>VLOOKUP(Tabela1[[#This Row],[Cliente]],'BASE DE CLIENTES'!A:E,2,0)</f>
        <v>Brasília</v>
      </c>
      <c r="D2870" s="1" t="str">
        <f>VLOOKUP(Tabela1[[#This Row],[Cliente]],'BASE DE CLIENTES'!A:C,3,0)</f>
        <v>DF</v>
      </c>
      <c r="E2870" s="4" t="str">
        <f>CONCATENATE(Tabela1[[#This Row],[CIDADE]],",",Tabela1[[#This Row],[UF]])</f>
        <v>Brasília,DF</v>
      </c>
      <c r="F2870" s="2">
        <v>45945</v>
      </c>
      <c r="G2870" s="17">
        <v>693</v>
      </c>
      <c r="H2870" s="17">
        <v>1500</v>
      </c>
      <c r="I2870" s="6">
        <f>Tabela1[[#This Row],[Valor total]]-Tabela1[[#This Row],[Valor custo]]</f>
        <v>807</v>
      </c>
      <c r="J2870" s="7">
        <f>Tabela1[[#This Row],[MARGEM BRUTA]]/Tabela1[[#This Row],[Valor total]]</f>
        <v>0.53800000000000003</v>
      </c>
      <c r="K2870" s="1" t="str">
        <f>VLOOKUP(Tabela1[[#This Row],[Cliente]],'BASE DE CLIENTES'!A:D,4,0)</f>
        <v>SERRALHEIRO</v>
      </c>
      <c r="L2870" s="1" t="str">
        <f>VLOOKUP(Tabela1[[#This Row],[Cliente]],'BASE DE CLIENTES'!A:E,5,0)</f>
        <v>CEILANDIA NORTE</v>
      </c>
    </row>
    <row r="2871" spans="2:12" x14ac:dyDescent="0.3">
      <c r="B2871" s="1" t="s">
        <v>339</v>
      </c>
      <c r="C2871" s="4" t="str">
        <f>VLOOKUP(Tabela1[[#This Row],[Cliente]],'BASE DE CLIENTES'!A:E,2,0)</f>
        <v>Brasília</v>
      </c>
      <c r="D2871" s="1" t="str">
        <f>VLOOKUP(Tabela1[[#This Row],[Cliente]],'BASE DE CLIENTES'!A:C,3,0)</f>
        <v>DF</v>
      </c>
      <c r="E2871" s="4" t="str">
        <f>CONCATENATE(Tabela1[[#This Row],[CIDADE]],",",Tabela1[[#This Row],[UF]])</f>
        <v>Brasília,DF</v>
      </c>
      <c r="F2871" s="2">
        <v>45945</v>
      </c>
      <c r="G2871" s="17">
        <v>293.13</v>
      </c>
      <c r="H2871" s="17">
        <v>400</v>
      </c>
      <c r="I2871" s="6">
        <f>Tabela1[[#This Row],[Valor total]]-Tabela1[[#This Row],[Valor custo]]</f>
        <v>106.87</v>
      </c>
      <c r="J2871" s="7">
        <f>Tabela1[[#This Row],[MARGEM BRUTA]]/Tabela1[[#This Row],[Valor total]]</f>
        <v>0.267175</v>
      </c>
      <c r="K2871" s="1" t="str">
        <f>VLOOKUP(Tabela1[[#This Row],[Cliente]],'BASE DE CLIENTES'!A:D,4,0)</f>
        <v>CLIENTE NOVO S/ IDENT.</v>
      </c>
      <c r="L2871" s="1" t="str">
        <f>VLOOKUP(Tabela1[[#This Row],[Cliente]],'BASE DE CLIENTES'!A:E,5,0)</f>
        <v>Brasília</v>
      </c>
    </row>
    <row r="2872" spans="2:12" x14ac:dyDescent="0.3">
      <c r="B2872" s="1" t="s">
        <v>96</v>
      </c>
      <c r="C2872" s="4" t="str">
        <f>VLOOKUP(Tabela1[[#This Row],[Cliente]],'BASE DE CLIENTES'!A:E,2,0)</f>
        <v>Brasília</v>
      </c>
      <c r="D2872" s="1" t="str">
        <f>VLOOKUP(Tabela1[[#This Row],[Cliente]],'BASE DE CLIENTES'!A:C,3,0)</f>
        <v>DF</v>
      </c>
      <c r="E2872" s="4" t="str">
        <f>CONCATENATE(Tabela1[[#This Row],[CIDADE]],",",Tabela1[[#This Row],[UF]])</f>
        <v>Brasília,DF</v>
      </c>
      <c r="F2872" s="2">
        <v>45944</v>
      </c>
      <c r="G2872" s="17">
        <v>382.3</v>
      </c>
      <c r="H2872" s="17">
        <v>615</v>
      </c>
      <c r="I2872" s="6">
        <f>Tabela1[[#This Row],[Valor total]]-Tabela1[[#This Row],[Valor custo]]</f>
        <v>232.7</v>
      </c>
      <c r="J2872" s="7">
        <f>Tabela1[[#This Row],[MARGEM BRUTA]]/Tabela1[[#This Row],[Valor total]]</f>
        <v>0.37837398373983738</v>
      </c>
      <c r="K2872" s="1" t="str">
        <f>VLOOKUP(Tabela1[[#This Row],[Cliente]],'BASE DE CLIENTES'!A:D,4,0)</f>
        <v>EMPRESA SEM MAQUINA</v>
      </c>
      <c r="L2872" s="1" t="str">
        <f>VLOOKUP(Tabela1[[#This Row],[Cliente]],'BASE DE CLIENTES'!A:E,5,0)</f>
        <v>CEILANDIA NORTE (CEILANDIA)</v>
      </c>
    </row>
    <row r="2873" spans="2:12" x14ac:dyDescent="0.3">
      <c r="B2873" s="1" t="s">
        <v>27</v>
      </c>
      <c r="C2873" s="4" t="str">
        <f>VLOOKUP(Tabela1[[#This Row],[Cliente]],'BASE DE CLIENTES'!A:E,2,0)</f>
        <v>Brasília</v>
      </c>
      <c r="D2873" s="1" t="str">
        <f>VLOOKUP(Tabela1[[#This Row],[Cliente]],'BASE DE CLIENTES'!A:C,3,0)</f>
        <v>DF</v>
      </c>
      <c r="E2873" s="4" t="str">
        <f>CONCATENATE(Tabela1[[#This Row],[CIDADE]],",",Tabela1[[#This Row],[UF]])</f>
        <v>Brasília,DF</v>
      </c>
      <c r="F2873" s="2">
        <v>45945</v>
      </c>
      <c r="G2873" s="17">
        <v>289</v>
      </c>
      <c r="H2873" s="17">
        <v>520</v>
      </c>
      <c r="I2873" s="6">
        <f>Tabela1[[#This Row],[Valor total]]-Tabela1[[#This Row],[Valor custo]]</f>
        <v>231</v>
      </c>
      <c r="J2873" s="7">
        <f>Tabela1[[#This Row],[MARGEM BRUTA]]/Tabela1[[#This Row],[Valor total]]</f>
        <v>0.44423076923076921</v>
      </c>
      <c r="K2873" s="1" t="str">
        <f>VLOOKUP(Tabela1[[#This Row],[Cliente]],'BASE DE CLIENTES'!A:D,4,0)</f>
        <v>EMPRESA SEM MAQUINA</v>
      </c>
      <c r="L2873" s="1" t="str">
        <f>VLOOKUP(Tabela1[[#This Row],[Cliente]],'BASE DE CLIENTES'!A:E,5,0)</f>
        <v>RECANTO DAS EMAS</v>
      </c>
    </row>
    <row r="2874" spans="2:12" x14ac:dyDescent="0.3">
      <c r="B2874" s="1" t="s">
        <v>106</v>
      </c>
      <c r="C2874" s="4" t="str">
        <f>VLOOKUP(Tabela1[[#This Row],[Cliente]],'BASE DE CLIENTES'!A:E,2,0)</f>
        <v>Brasília</v>
      </c>
      <c r="D2874" s="1" t="str">
        <f>VLOOKUP(Tabela1[[#This Row],[Cliente]],'BASE DE CLIENTES'!A:C,3,0)</f>
        <v>DF</v>
      </c>
      <c r="E2874" s="4" t="str">
        <f>CONCATENATE(Tabela1[[#This Row],[CIDADE]],",",Tabela1[[#This Row],[UF]])</f>
        <v>Brasília,DF</v>
      </c>
      <c r="F2874" s="2">
        <v>45944</v>
      </c>
      <c r="G2874" s="17">
        <v>432.79</v>
      </c>
      <c r="H2874" s="17">
        <v>650</v>
      </c>
      <c r="I2874" s="6">
        <f>Tabela1[[#This Row],[Valor total]]-Tabela1[[#This Row],[Valor custo]]</f>
        <v>217.20999999999998</v>
      </c>
      <c r="J2874" s="7">
        <f>Tabela1[[#This Row],[MARGEM BRUTA]]/Tabela1[[#This Row],[Valor total]]</f>
        <v>0.33416923076923072</v>
      </c>
      <c r="K2874" s="1" t="str">
        <f>VLOOKUP(Tabela1[[#This Row],[Cliente]],'BASE DE CLIENTES'!A:D,4,0)</f>
        <v>EMPRESA COM MAQUINA</v>
      </c>
      <c r="L2874" s="1" t="str">
        <f>VLOOKUP(Tabela1[[#This Row],[Cliente]],'BASE DE CLIENTES'!A:E,5,0)</f>
        <v>26 DE SETEMBRO</v>
      </c>
    </row>
    <row r="2875" spans="2:12" x14ac:dyDescent="0.3">
      <c r="B2875" s="1" t="s">
        <v>340</v>
      </c>
      <c r="C2875" s="4" t="str">
        <f>VLOOKUP(Tabela1[[#This Row],[Cliente]],'BASE DE CLIENTES'!A:E,2,0)</f>
        <v>Brasília</v>
      </c>
      <c r="D2875" s="1" t="str">
        <f>VLOOKUP(Tabela1[[#This Row],[Cliente]],'BASE DE CLIENTES'!A:C,3,0)</f>
        <v>DF</v>
      </c>
      <c r="E2875" s="4" t="str">
        <f>CONCATENATE(Tabela1[[#This Row],[CIDADE]],",",Tabela1[[#This Row],[UF]])</f>
        <v>Brasília,DF</v>
      </c>
      <c r="F2875" s="2">
        <v>45944</v>
      </c>
      <c r="G2875" s="17">
        <v>738.56</v>
      </c>
      <c r="H2875" s="17">
        <v>1735</v>
      </c>
      <c r="I2875" s="6">
        <f>Tabela1[[#This Row],[Valor total]]-Tabela1[[#This Row],[Valor custo]]</f>
        <v>996.44</v>
      </c>
      <c r="J2875" s="7">
        <f>Tabela1[[#This Row],[MARGEM BRUTA]]/Tabela1[[#This Row],[Valor total]]</f>
        <v>0.5743170028818444</v>
      </c>
      <c r="K2875" s="1" t="str">
        <f>VLOOKUP(Tabela1[[#This Row],[Cliente]],'BASE DE CLIENTES'!A:D,4,0)</f>
        <v>CLIENTE NOVO S/ IDENT.</v>
      </c>
      <c r="L2875" s="1" t="str">
        <f>VLOOKUP(Tabela1[[#This Row],[Cliente]],'BASE DE CLIENTES'!A:E,5,0)</f>
        <v>Brasília</v>
      </c>
    </row>
    <row r="2876" spans="2:12" x14ac:dyDescent="0.3">
      <c r="B2876" s="1" t="s">
        <v>183</v>
      </c>
      <c r="C2876" s="4" t="str">
        <f>VLOOKUP(Tabela1[[#This Row],[Cliente]],'BASE DE CLIENTES'!A:E,2,0)</f>
        <v>Caldas Novas</v>
      </c>
      <c r="D2876" s="1" t="str">
        <f>VLOOKUP(Tabela1[[#This Row],[Cliente]],'BASE DE CLIENTES'!A:C,3,0)</f>
        <v>GO</v>
      </c>
      <c r="E2876" s="4" t="str">
        <f>CONCATENATE(Tabela1[[#This Row],[CIDADE]],",",Tabela1[[#This Row],[UF]])</f>
        <v>Caldas Novas,GO</v>
      </c>
      <c r="F2876" s="2">
        <v>45944</v>
      </c>
      <c r="G2876" s="17">
        <v>3996</v>
      </c>
      <c r="H2876" s="17">
        <v>5790</v>
      </c>
      <c r="I2876" s="6">
        <f>Tabela1[[#This Row],[Valor total]]-Tabela1[[#This Row],[Valor custo]]</f>
        <v>1794</v>
      </c>
      <c r="J2876" s="7">
        <f>Tabela1[[#This Row],[MARGEM BRUTA]]/Tabela1[[#This Row],[Valor total]]</f>
        <v>0.30984455958549223</v>
      </c>
      <c r="K2876" s="1" t="str">
        <f>VLOOKUP(Tabela1[[#This Row],[Cliente]],'BASE DE CLIENTES'!A:D,4,0)</f>
        <v>EMPRESA COM MAQUINA</v>
      </c>
      <c r="L2876" s="1" t="str">
        <f>VLOOKUP(Tabela1[[#This Row],[Cliente]],'BASE DE CLIENTES'!A:E,5,0)</f>
        <v>Caldas Novas</v>
      </c>
    </row>
    <row r="2877" spans="2:12" x14ac:dyDescent="0.3">
      <c r="B2877" s="1" t="s">
        <v>111</v>
      </c>
      <c r="C2877" s="4" t="str">
        <f>VLOOKUP(Tabela1[[#This Row],[Cliente]],'BASE DE CLIENTES'!A:E,2,0)</f>
        <v>Brasília</v>
      </c>
      <c r="D2877" s="1" t="str">
        <f>VLOOKUP(Tabela1[[#This Row],[Cliente]],'BASE DE CLIENTES'!A:C,3,0)</f>
        <v>DF</v>
      </c>
      <c r="E2877" s="4" t="str">
        <f>CONCATENATE(Tabela1[[#This Row],[CIDADE]],",",Tabela1[[#This Row],[UF]])</f>
        <v>Brasília,DF</v>
      </c>
      <c r="F2877" s="2">
        <v>45944</v>
      </c>
      <c r="G2877" s="17">
        <v>5829.76</v>
      </c>
      <c r="H2877" s="17">
        <v>9405</v>
      </c>
      <c r="I2877" s="6">
        <f>Tabela1[[#This Row],[Valor total]]-Tabela1[[#This Row],[Valor custo]]</f>
        <v>3575.24</v>
      </c>
      <c r="J2877" s="7">
        <f>Tabela1[[#This Row],[MARGEM BRUTA]]/Tabela1[[#This Row],[Valor total]]</f>
        <v>0.38014247740563528</v>
      </c>
      <c r="K2877" s="1" t="str">
        <f>VLOOKUP(Tabela1[[#This Row],[Cliente]],'BASE DE CLIENTES'!A:D,4,0)</f>
        <v>EMPRESA SEM MAQUINA</v>
      </c>
      <c r="L2877" s="1" t="str">
        <f>VLOOKUP(Tabela1[[#This Row],[Cliente]],'BASE DE CLIENTES'!A:E,5,0)</f>
        <v>TAGUATINGA SUL (TAGUATINGA)</v>
      </c>
    </row>
    <row r="2878" spans="2:12" x14ac:dyDescent="0.3">
      <c r="B2878" s="1" t="s">
        <v>17</v>
      </c>
      <c r="C2878" s="4" t="str">
        <f>VLOOKUP(Tabela1[[#This Row],[Cliente]],'BASE DE CLIENTES'!A:E,2,0)</f>
        <v>Águas Lindas de Goiás</v>
      </c>
      <c r="D2878" s="1" t="str">
        <f>VLOOKUP(Tabela1[[#This Row],[Cliente]],'BASE DE CLIENTES'!A:C,3,0)</f>
        <v>GO</v>
      </c>
      <c r="E2878" s="4" t="str">
        <f>CONCATENATE(Tabela1[[#This Row],[CIDADE]],",",Tabela1[[#This Row],[UF]])</f>
        <v>Águas Lindas de Goiás,GO</v>
      </c>
      <c r="F2878" s="2">
        <v>45944</v>
      </c>
      <c r="G2878" s="17">
        <v>534</v>
      </c>
      <c r="H2878" s="17">
        <v>920</v>
      </c>
      <c r="I2878" s="6">
        <f>Tabela1[[#This Row],[Valor total]]-Tabela1[[#This Row],[Valor custo]]</f>
        <v>386</v>
      </c>
      <c r="J2878" s="7">
        <f>Tabela1[[#This Row],[MARGEM BRUTA]]/Tabela1[[#This Row],[Valor total]]</f>
        <v>0.41956521739130437</v>
      </c>
      <c r="K2878" s="1" t="str">
        <f>VLOOKUP(Tabela1[[#This Row],[Cliente]],'BASE DE CLIENTES'!A:D,4,0)</f>
        <v>SERRALHEIRO</v>
      </c>
      <c r="L2878" s="1" t="str">
        <f>VLOOKUP(Tabela1[[#This Row],[Cliente]],'BASE DE CLIENTES'!A:E,5,0)</f>
        <v>Águas Lindas de Goiás</v>
      </c>
    </row>
    <row r="2879" spans="2:12" x14ac:dyDescent="0.3">
      <c r="B2879" s="1" t="s">
        <v>183</v>
      </c>
      <c r="C2879" s="4" t="str">
        <f>VLOOKUP(Tabela1[[#This Row],[Cliente]],'BASE DE CLIENTES'!A:E,2,0)</f>
        <v>Caldas Novas</v>
      </c>
      <c r="D2879" s="1" t="str">
        <f>VLOOKUP(Tabela1[[#This Row],[Cliente]],'BASE DE CLIENTES'!A:C,3,0)</f>
        <v>GO</v>
      </c>
      <c r="E2879" s="4" t="str">
        <f>CONCATENATE(Tabela1[[#This Row],[CIDADE]],",",Tabela1[[#This Row],[UF]])</f>
        <v>Caldas Novas,GO</v>
      </c>
      <c r="F2879" s="2">
        <v>45944</v>
      </c>
      <c r="G2879" s="17">
        <v>1197.3900000000001</v>
      </c>
      <c r="H2879" s="17">
        <v>1750</v>
      </c>
      <c r="I2879" s="6">
        <f>Tabela1[[#This Row],[Valor total]]-Tabela1[[#This Row],[Valor custo]]</f>
        <v>552.6099999999999</v>
      </c>
      <c r="J2879" s="7">
        <f>Tabela1[[#This Row],[MARGEM BRUTA]]/Tabela1[[#This Row],[Valor total]]</f>
        <v>0.31577714285714281</v>
      </c>
      <c r="K2879" s="1" t="str">
        <f>VLOOKUP(Tabela1[[#This Row],[Cliente]],'BASE DE CLIENTES'!A:D,4,0)</f>
        <v>EMPRESA COM MAQUINA</v>
      </c>
      <c r="L2879" s="1" t="str">
        <f>VLOOKUP(Tabela1[[#This Row],[Cliente]],'BASE DE CLIENTES'!A:E,5,0)</f>
        <v>Caldas Novas</v>
      </c>
    </row>
    <row r="2880" spans="2:12" x14ac:dyDescent="0.3">
      <c r="B2880" s="1" t="s">
        <v>27</v>
      </c>
      <c r="C2880" s="4" t="str">
        <f>VLOOKUP(Tabela1[[#This Row],[Cliente]],'BASE DE CLIENTES'!A:E,2,0)</f>
        <v>Brasília</v>
      </c>
      <c r="D2880" s="1" t="str">
        <f>VLOOKUP(Tabela1[[#This Row],[Cliente]],'BASE DE CLIENTES'!A:C,3,0)</f>
        <v>DF</v>
      </c>
      <c r="E2880" s="4" t="str">
        <f>CONCATENATE(Tabela1[[#This Row],[CIDADE]],",",Tabela1[[#This Row],[UF]])</f>
        <v>Brasília,DF</v>
      </c>
      <c r="F2880" s="2">
        <v>45944</v>
      </c>
      <c r="G2880" s="17">
        <v>432.79</v>
      </c>
      <c r="H2880" s="17">
        <v>615</v>
      </c>
      <c r="I2880" s="6">
        <f>Tabela1[[#This Row],[Valor total]]-Tabela1[[#This Row],[Valor custo]]</f>
        <v>182.20999999999998</v>
      </c>
      <c r="J2880" s="7">
        <f>Tabela1[[#This Row],[MARGEM BRUTA]]/Tabela1[[#This Row],[Valor total]]</f>
        <v>0.29627642276422761</v>
      </c>
      <c r="K2880" s="1" t="str">
        <f>VLOOKUP(Tabela1[[#This Row],[Cliente]],'BASE DE CLIENTES'!A:D,4,0)</f>
        <v>EMPRESA SEM MAQUINA</v>
      </c>
      <c r="L2880" s="1" t="str">
        <f>VLOOKUP(Tabela1[[#This Row],[Cliente]],'BASE DE CLIENTES'!A:E,5,0)</f>
        <v>RECANTO DAS EMAS</v>
      </c>
    </row>
    <row r="2881" spans="2:12" x14ac:dyDescent="0.3">
      <c r="B2881" s="1" t="s">
        <v>52</v>
      </c>
      <c r="C2881" s="4" t="str">
        <f>VLOOKUP(Tabela1[[#This Row],[Cliente]],'BASE DE CLIENTES'!A:E,2,0)</f>
        <v>Brasília</v>
      </c>
      <c r="D2881" s="1" t="str">
        <f>VLOOKUP(Tabela1[[#This Row],[Cliente]],'BASE DE CLIENTES'!A:C,3,0)</f>
        <v>DF</v>
      </c>
      <c r="E2881" s="4" t="str">
        <f>CONCATENATE(Tabela1[[#This Row],[CIDADE]],",",Tabela1[[#This Row],[UF]])</f>
        <v>Brasília,DF</v>
      </c>
      <c r="F2881" s="2">
        <v>45944</v>
      </c>
      <c r="G2881" s="17">
        <v>394.49</v>
      </c>
      <c r="H2881" s="17">
        <v>661</v>
      </c>
      <c r="I2881" s="6">
        <f>Tabela1[[#This Row],[Valor total]]-Tabela1[[#This Row],[Valor custo]]</f>
        <v>266.51</v>
      </c>
      <c r="J2881" s="7">
        <f>Tabela1[[#This Row],[MARGEM BRUTA]]/Tabela1[[#This Row],[Valor total]]</f>
        <v>0.40319213313161872</v>
      </c>
      <c r="K2881" s="1" t="str">
        <f>VLOOKUP(Tabela1[[#This Row],[Cliente]],'BASE DE CLIENTES'!A:D,4,0)</f>
        <v>SERRALHEIRO</v>
      </c>
      <c r="L2881" s="1" t="str">
        <f>VLOOKUP(Tabela1[[#This Row],[Cliente]],'BASE DE CLIENTES'!A:E,5,0)</f>
        <v>Ceilândia Sul (Ceilândia)</v>
      </c>
    </row>
    <row r="2882" spans="2:12" x14ac:dyDescent="0.3">
      <c r="B2882" s="1" t="s">
        <v>42</v>
      </c>
      <c r="C2882" s="4" t="str">
        <f>VLOOKUP(Tabela1[[#This Row],[Cliente]],'BASE DE CLIENTES'!A:E,2,0)</f>
        <v>Brasília</v>
      </c>
      <c r="D2882" s="1" t="str">
        <f>VLOOKUP(Tabela1[[#This Row],[Cliente]],'BASE DE CLIENTES'!A:C,3,0)</f>
        <v>DF</v>
      </c>
      <c r="E2882" s="4" t="str">
        <f>CONCATENATE(Tabela1[[#This Row],[CIDADE]],",",Tabela1[[#This Row],[UF]])</f>
        <v>Brasília,DF</v>
      </c>
      <c r="F2882" s="2">
        <v>45944</v>
      </c>
      <c r="G2882" s="17">
        <v>1193</v>
      </c>
      <c r="H2882" s="17">
        <v>1850</v>
      </c>
      <c r="I2882" s="6">
        <f>Tabela1[[#This Row],[Valor total]]-Tabela1[[#This Row],[Valor custo]]</f>
        <v>657</v>
      </c>
      <c r="J2882" s="7">
        <f>Tabela1[[#This Row],[MARGEM BRUTA]]/Tabela1[[#This Row],[Valor total]]</f>
        <v>0.35513513513513512</v>
      </c>
      <c r="K2882" s="1" t="str">
        <f>VLOOKUP(Tabela1[[#This Row],[Cliente]],'BASE DE CLIENTES'!A:D,4,0)</f>
        <v>EMPRESA SEM MAQUINA</v>
      </c>
      <c r="L2882" s="1" t="str">
        <f>VLOOKUP(Tabela1[[#This Row],[Cliente]],'BASE DE CLIENTES'!A:E,5,0)</f>
        <v>SAMAMBAIA</v>
      </c>
    </row>
    <row r="2883" spans="2:12" x14ac:dyDescent="0.3">
      <c r="B2883" s="1" t="s">
        <v>81</v>
      </c>
      <c r="C2883" s="4" t="str">
        <f>VLOOKUP(Tabela1[[#This Row],[Cliente]],'BASE DE CLIENTES'!A:E,2,0)</f>
        <v>Águas Lindas de Goiás</v>
      </c>
      <c r="D2883" s="1" t="str">
        <f>VLOOKUP(Tabela1[[#This Row],[Cliente]],'BASE DE CLIENTES'!A:C,3,0)</f>
        <v>GO</v>
      </c>
      <c r="E2883" s="4" t="str">
        <f>CONCATENATE(Tabela1[[#This Row],[CIDADE]],",",Tabela1[[#This Row],[UF]])</f>
        <v>Águas Lindas de Goiás,GO</v>
      </c>
      <c r="F2883" s="2">
        <v>45944</v>
      </c>
      <c r="G2883" s="17">
        <v>94.06</v>
      </c>
      <c r="H2883" s="17">
        <v>160</v>
      </c>
      <c r="I2883" s="6">
        <f>Tabela1[[#This Row],[Valor total]]-Tabela1[[#This Row],[Valor custo]]</f>
        <v>65.94</v>
      </c>
      <c r="J2883" s="7">
        <f>Tabela1[[#This Row],[MARGEM BRUTA]]/Tabela1[[#This Row],[Valor total]]</f>
        <v>0.41212499999999996</v>
      </c>
      <c r="K2883" s="1" t="str">
        <f>VLOOKUP(Tabela1[[#This Row],[Cliente]],'BASE DE CLIENTES'!A:D,4,0)</f>
        <v>SEM CLASSIFICAÇÃO</v>
      </c>
      <c r="L2883" s="1" t="str">
        <f>VLOOKUP(Tabela1[[#This Row],[Cliente]],'BASE DE CLIENTES'!A:E,5,0)</f>
        <v>Águas Lindas de Goiás</v>
      </c>
    </row>
    <row r="2884" spans="2:12" x14ac:dyDescent="0.3">
      <c r="B2884" s="1" t="s">
        <v>322</v>
      </c>
      <c r="C2884" s="4" t="str">
        <f>VLOOKUP(Tabela1[[#This Row],[Cliente]],'BASE DE CLIENTES'!A:E,2,0)</f>
        <v>Brasília</v>
      </c>
      <c r="D2884" s="1" t="str">
        <f>VLOOKUP(Tabela1[[#This Row],[Cliente]],'BASE DE CLIENTES'!A:C,3,0)</f>
        <v>DF</v>
      </c>
      <c r="E2884" s="4" t="str">
        <f>CONCATENATE(Tabela1[[#This Row],[CIDADE]],",",Tabela1[[#This Row],[UF]])</f>
        <v>Brasília,DF</v>
      </c>
      <c r="F2884" s="2">
        <v>45944</v>
      </c>
      <c r="G2884" s="17">
        <v>293.13</v>
      </c>
      <c r="H2884" s="17">
        <v>460</v>
      </c>
      <c r="I2884" s="6">
        <f>Tabela1[[#This Row],[Valor total]]-Tabela1[[#This Row],[Valor custo]]</f>
        <v>166.87</v>
      </c>
      <c r="J2884" s="7">
        <f>Tabela1[[#This Row],[MARGEM BRUTA]]/Tabela1[[#This Row],[Valor total]]</f>
        <v>0.36276086956521741</v>
      </c>
      <c r="K2884" s="1" t="str">
        <f>VLOOKUP(Tabela1[[#This Row],[Cliente]],'BASE DE CLIENTES'!A:D,4,0)</f>
        <v>SERRALHEIRO</v>
      </c>
      <c r="L2884" s="1" t="str">
        <f>VLOOKUP(Tabela1[[#This Row],[Cliente]],'BASE DE CLIENTES'!A:E,5,0)</f>
        <v>RIACHO FUNDO I</v>
      </c>
    </row>
    <row r="2885" spans="2:12" x14ac:dyDescent="0.3">
      <c r="B2885" s="1" t="s">
        <v>99</v>
      </c>
      <c r="C2885" s="4" t="str">
        <f>VLOOKUP(Tabela1[[#This Row],[Cliente]],'BASE DE CLIENTES'!A:E,2,0)</f>
        <v>Brasília</v>
      </c>
      <c r="D2885" s="1" t="str">
        <f>VLOOKUP(Tabela1[[#This Row],[Cliente]],'BASE DE CLIENTES'!A:C,3,0)</f>
        <v>DF</v>
      </c>
      <c r="E2885" s="4" t="str">
        <f>CONCATENATE(Tabela1[[#This Row],[CIDADE]],",",Tabela1[[#This Row],[UF]])</f>
        <v>Brasília,DF</v>
      </c>
      <c r="F2885" s="2">
        <v>45944</v>
      </c>
      <c r="G2885" s="17">
        <v>4625.8</v>
      </c>
      <c r="H2885" s="17">
        <v>7285</v>
      </c>
      <c r="I2885" s="6">
        <f>Tabela1[[#This Row],[Valor total]]-Tabela1[[#This Row],[Valor custo]]</f>
        <v>2659.2</v>
      </c>
      <c r="J2885" s="7">
        <f>Tabela1[[#This Row],[MARGEM BRUTA]]/Tabela1[[#This Row],[Valor total]]</f>
        <v>0.36502402196293754</v>
      </c>
      <c r="K2885" s="1" t="str">
        <f>VLOOKUP(Tabela1[[#This Row],[Cliente]],'BASE DE CLIENTES'!A:D,4,0)</f>
        <v>EMPRESA COM MAQUINA</v>
      </c>
      <c r="L2885" s="1" t="str">
        <f>VLOOKUP(Tabela1[[#This Row],[Cliente]],'BASE DE CLIENTES'!A:E,5,0)</f>
        <v>ARAPOANGA (PLANALTINA)</v>
      </c>
    </row>
    <row r="2886" spans="2:12" x14ac:dyDescent="0.3">
      <c r="B2886" s="1" t="s">
        <v>120</v>
      </c>
      <c r="C2886" s="4" t="str">
        <f>VLOOKUP(Tabela1[[#This Row],[Cliente]],'BASE DE CLIENTES'!A:E,2,0)</f>
        <v>Brasília</v>
      </c>
      <c r="D2886" s="1" t="str">
        <f>VLOOKUP(Tabela1[[#This Row],[Cliente]],'BASE DE CLIENTES'!A:C,3,0)</f>
        <v>DF</v>
      </c>
      <c r="E2886" s="4" t="str">
        <f>CONCATENATE(Tabela1[[#This Row],[CIDADE]],",",Tabela1[[#This Row],[UF]])</f>
        <v>Brasília,DF</v>
      </c>
      <c r="F2886" s="2">
        <v>45944</v>
      </c>
      <c r="G2886" s="17">
        <v>1776.39</v>
      </c>
      <c r="H2886" s="17">
        <v>2520</v>
      </c>
      <c r="I2886" s="6">
        <f>Tabela1[[#This Row],[Valor total]]-Tabela1[[#This Row],[Valor custo]]</f>
        <v>743.6099999999999</v>
      </c>
      <c r="J2886" s="7">
        <f>Tabela1[[#This Row],[MARGEM BRUTA]]/Tabela1[[#This Row],[Valor total]]</f>
        <v>0.29508333333333331</v>
      </c>
      <c r="K2886" s="1" t="str">
        <f>VLOOKUP(Tabela1[[#This Row],[Cliente]],'BASE DE CLIENTES'!A:D,4,0)</f>
        <v>EMPRESA SEM MAQUINA</v>
      </c>
      <c r="L2886" s="1" t="str">
        <f>VLOOKUP(Tabela1[[#This Row],[Cliente]],'BASE DE CLIENTES'!A:E,5,0)</f>
        <v>SAMAMBAIA</v>
      </c>
    </row>
    <row r="2887" spans="2:12" x14ac:dyDescent="0.3">
      <c r="B2887" s="1" t="s">
        <v>25</v>
      </c>
      <c r="C2887" s="4" t="str">
        <f>VLOOKUP(Tabela1[[#This Row],[Cliente]],'BASE DE CLIENTES'!A:E,2,0)</f>
        <v>Brasília</v>
      </c>
      <c r="D2887" s="1" t="str">
        <f>VLOOKUP(Tabela1[[#This Row],[Cliente]],'BASE DE CLIENTES'!A:C,3,0)</f>
        <v>DF</v>
      </c>
      <c r="E2887" s="4" t="str">
        <f>CONCATENATE(Tabela1[[#This Row],[CIDADE]],",",Tabela1[[#This Row],[UF]])</f>
        <v>Brasília,DF</v>
      </c>
      <c r="F2887" s="2">
        <v>45944</v>
      </c>
      <c r="G2887" s="17">
        <v>60.85</v>
      </c>
      <c r="H2887" s="17">
        <v>90</v>
      </c>
      <c r="I2887" s="6">
        <f>Tabela1[[#This Row],[Valor total]]-Tabela1[[#This Row],[Valor custo]]</f>
        <v>29.15</v>
      </c>
      <c r="J2887" s="7">
        <f>Tabela1[[#This Row],[MARGEM BRUTA]]/Tabela1[[#This Row],[Valor total]]</f>
        <v>0.32388888888888889</v>
      </c>
      <c r="K2887" s="1" t="str">
        <f>VLOOKUP(Tabela1[[#This Row],[Cliente]],'BASE DE CLIENTES'!A:D,4,0)</f>
        <v>EMPRESA COM MAQUINA</v>
      </c>
      <c r="L2887" s="1" t="str">
        <f>VLOOKUP(Tabela1[[#This Row],[Cliente]],'BASE DE CLIENTES'!A:E,5,0)</f>
        <v>CEILANDIA NORTE (CEILANDIA)</v>
      </c>
    </row>
    <row r="2888" spans="2:12" x14ac:dyDescent="0.3">
      <c r="B2888" s="1" t="s">
        <v>66</v>
      </c>
      <c r="C2888" s="4" t="str">
        <f>VLOOKUP(Tabela1[[#This Row],[Cliente]],'BASE DE CLIENTES'!A:E,2,0)</f>
        <v>Águas Lindas de Goiás</v>
      </c>
      <c r="D2888" s="1" t="str">
        <f>VLOOKUP(Tabela1[[#This Row],[Cliente]],'BASE DE CLIENTES'!A:C,3,0)</f>
        <v>GO</v>
      </c>
      <c r="E2888" s="4" t="str">
        <f>CONCATENATE(Tabela1[[#This Row],[CIDADE]],",",Tabela1[[#This Row],[UF]])</f>
        <v>Águas Lindas de Goiás,GO</v>
      </c>
      <c r="F2888" s="2">
        <v>45944</v>
      </c>
      <c r="G2888" s="17">
        <v>534</v>
      </c>
      <c r="H2888" s="17">
        <v>880</v>
      </c>
      <c r="I2888" s="6">
        <f>Tabela1[[#This Row],[Valor total]]-Tabela1[[#This Row],[Valor custo]]</f>
        <v>346</v>
      </c>
      <c r="J2888" s="7">
        <f>Tabela1[[#This Row],[MARGEM BRUTA]]/Tabela1[[#This Row],[Valor total]]</f>
        <v>0.39318181818181819</v>
      </c>
      <c r="K2888" s="1" t="str">
        <f>VLOOKUP(Tabela1[[#This Row],[Cliente]],'BASE DE CLIENTES'!A:D,4,0)</f>
        <v>EMPRESA COM MAQUINA</v>
      </c>
      <c r="L2888" s="1" t="str">
        <f>VLOOKUP(Tabela1[[#This Row],[Cliente]],'BASE DE CLIENTES'!A:E,5,0)</f>
        <v>Águas Lindas de Goiás</v>
      </c>
    </row>
    <row r="2889" spans="2:12" x14ac:dyDescent="0.3">
      <c r="B2889" s="1" t="s">
        <v>162</v>
      </c>
      <c r="C2889" s="4" t="str">
        <f>VLOOKUP(Tabela1[[#This Row],[Cliente]],'BASE DE CLIENTES'!A:E,2,0)</f>
        <v>Brasília</v>
      </c>
      <c r="D2889" s="1" t="str">
        <f>VLOOKUP(Tabela1[[#This Row],[Cliente]],'BASE DE CLIENTES'!A:C,3,0)</f>
        <v>DF</v>
      </c>
      <c r="E2889" s="4" t="str">
        <f>CONCATENATE(Tabela1[[#This Row],[CIDADE]],",",Tabela1[[#This Row],[UF]])</f>
        <v>Brasília,DF</v>
      </c>
      <c r="F2889" s="2">
        <v>45944</v>
      </c>
      <c r="G2889" s="17">
        <v>4377.97</v>
      </c>
      <c r="H2889" s="17">
        <v>7450</v>
      </c>
      <c r="I2889" s="6">
        <f>Tabela1[[#This Row],[Valor total]]-Tabela1[[#This Row],[Valor custo]]</f>
        <v>3072.0299999999997</v>
      </c>
      <c r="J2889" s="7">
        <f>Tabela1[[#This Row],[MARGEM BRUTA]]/Tabela1[[#This Row],[Valor total]]</f>
        <v>0.41235302013422814</v>
      </c>
      <c r="K2889" s="1" t="str">
        <f>VLOOKUP(Tabela1[[#This Row],[Cliente]],'BASE DE CLIENTES'!A:D,4,0)</f>
        <v>SEM CLASSIFICAÇÃO</v>
      </c>
      <c r="L2889" s="1" t="str">
        <f>VLOOKUP(Tabela1[[#This Row],[Cliente]],'BASE DE CLIENTES'!A:E,5,0)</f>
        <v>CEILANDIA</v>
      </c>
    </row>
    <row r="2890" spans="2:12" x14ac:dyDescent="0.3">
      <c r="B2890" s="1" t="s">
        <v>25</v>
      </c>
      <c r="C2890" s="4" t="str">
        <f>VLOOKUP(Tabela1[[#This Row],[Cliente]],'BASE DE CLIENTES'!A:E,2,0)</f>
        <v>Brasília</v>
      </c>
      <c r="D2890" s="1" t="str">
        <f>VLOOKUP(Tabela1[[#This Row],[Cliente]],'BASE DE CLIENTES'!A:C,3,0)</f>
        <v>DF</v>
      </c>
      <c r="E2890" s="4" t="str">
        <f>CONCATENATE(Tabela1[[#This Row],[CIDADE]],",",Tabela1[[#This Row],[UF]])</f>
        <v>Brasília,DF</v>
      </c>
      <c r="F2890" s="2">
        <v>45944</v>
      </c>
      <c r="G2890" s="17">
        <v>1413.6</v>
      </c>
      <c r="H2890" s="17">
        <v>2230</v>
      </c>
      <c r="I2890" s="6">
        <f>Tabela1[[#This Row],[Valor total]]-Tabela1[[#This Row],[Valor custo]]</f>
        <v>816.40000000000009</v>
      </c>
      <c r="J2890" s="7">
        <f>Tabela1[[#This Row],[MARGEM BRUTA]]/Tabela1[[#This Row],[Valor total]]</f>
        <v>0.36609865470852021</v>
      </c>
      <c r="K2890" s="1" t="str">
        <f>VLOOKUP(Tabela1[[#This Row],[Cliente]],'BASE DE CLIENTES'!A:D,4,0)</f>
        <v>EMPRESA COM MAQUINA</v>
      </c>
      <c r="L2890" s="1" t="str">
        <f>VLOOKUP(Tabela1[[#This Row],[Cliente]],'BASE DE CLIENTES'!A:E,5,0)</f>
        <v>CEILANDIA NORTE (CEILANDIA)</v>
      </c>
    </row>
    <row r="2891" spans="2:12" x14ac:dyDescent="0.3">
      <c r="B2891" s="1" t="s">
        <v>25</v>
      </c>
      <c r="C2891" s="4" t="str">
        <f>VLOOKUP(Tabela1[[#This Row],[Cliente]],'BASE DE CLIENTES'!A:E,2,0)</f>
        <v>Brasília</v>
      </c>
      <c r="D2891" s="1" t="str">
        <f>VLOOKUP(Tabela1[[#This Row],[Cliente]],'BASE DE CLIENTES'!A:C,3,0)</f>
        <v>DF</v>
      </c>
      <c r="E2891" s="4" t="str">
        <f>CONCATENATE(Tabela1[[#This Row],[CIDADE]],",",Tabela1[[#This Row],[UF]])</f>
        <v>Brasília,DF</v>
      </c>
      <c r="F2891" s="2">
        <v>45944</v>
      </c>
      <c r="G2891" s="17">
        <v>2157.9</v>
      </c>
      <c r="H2891" s="17">
        <v>3524</v>
      </c>
      <c r="I2891" s="6">
        <f>Tabela1[[#This Row],[Valor total]]-Tabela1[[#This Row],[Valor custo]]</f>
        <v>1366.1</v>
      </c>
      <c r="J2891" s="7">
        <f>Tabela1[[#This Row],[MARGEM BRUTA]]/Tabela1[[#This Row],[Valor total]]</f>
        <v>0.38765607264472191</v>
      </c>
      <c r="K2891" s="1" t="str">
        <f>VLOOKUP(Tabela1[[#This Row],[Cliente]],'BASE DE CLIENTES'!A:D,4,0)</f>
        <v>EMPRESA COM MAQUINA</v>
      </c>
      <c r="L2891" s="1" t="str">
        <f>VLOOKUP(Tabela1[[#This Row],[Cliente]],'BASE DE CLIENTES'!A:E,5,0)</f>
        <v>CEILANDIA NORTE (CEILANDIA)</v>
      </c>
    </row>
    <row r="2892" spans="2:12" x14ac:dyDescent="0.3">
      <c r="B2892" s="1" t="s">
        <v>221</v>
      </c>
      <c r="C2892" s="4" t="str">
        <f>VLOOKUP(Tabela1[[#This Row],[Cliente]],'BASE DE CLIENTES'!A:E,2,0)</f>
        <v>Goiânia</v>
      </c>
      <c r="D2892" s="1" t="str">
        <f>VLOOKUP(Tabela1[[#This Row],[Cliente]],'BASE DE CLIENTES'!A:C,3,0)</f>
        <v>GO</v>
      </c>
      <c r="E2892" s="4" t="str">
        <f>CONCATENATE(Tabela1[[#This Row],[CIDADE]],",",Tabela1[[#This Row],[UF]])</f>
        <v>Goiânia,GO</v>
      </c>
      <c r="F2892" s="2">
        <v>45944</v>
      </c>
      <c r="G2892" s="17">
        <v>3156.3</v>
      </c>
      <c r="H2892" s="17">
        <v>4750</v>
      </c>
      <c r="I2892" s="6">
        <f>Tabela1[[#This Row],[Valor total]]-Tabela1[[#This Row],[Valor custo]]</f>
        <v>1593.6999999999998</v>
      </c>
      <c r="J2892" s="7">
        <f>Tabela1[[#This Row],[MARGEM BRUTA]]/Tabela1[[#This Row],[Valor total]]</f>
        <v>0.33551578947368416</v>
      </c>
      <c r="K2892" s="1" t="str">
        <f>VLOOKUP(Tabela1[[#This Row],[Cliente]],'BASE DE CLIENTES'!A:D,4,0)</f>
        <v>EMPRESA COM MAQUINA</v>
      </c>
      <c r="L2892" s="1" t="str">
        <f>VLOOKUP(Tabela1[[#This Row],[Cliente]],'BASE DE CLIENTES'!A:E,5,0)</f>
        <v>Goiânia</v>
      </c>
    </row>
    <row r="2893" spans="2:12" x14ac:dyDescent="0.3">
      <c r="B2893" s="1" t="s">
        <v>321</v>
      </c>
      <c r="C2893" s="4" t="str">
        <f>VLOOKUP(Tabela1[[#This Row],[Cliente]],'BASE DE CLIENTES'!A:E,2,0)</f>
        <v>Valparaíso de Goiás</v>
      </c>
      <c r="D2893" s="1" t="str">
        <f>VLOOKUP(Tabela1[[#This Row],[Cliente]],'BASE DE CLIENTES'!A:C,3,0)</f>
        <v>GO</v>
      </c>
      <c r="E2893" s="4" t="str">
        <f>CONCATENATE(Tabela1[[#This Row],[CIDADE]],",",Tabela1[[#This Row],[UF]])</f>
        <v>Valparaíso de Goiás,GO</v>
      </c>
      <c r="F2893" s="2">
        <v>45944</v>
      </c>
      <c r="G2893" s="17">
        <v>1031.3</v>
      </c>
      <c r="H2893" s="17">
        <v>1615</v>
      </c>
      <c r="I2893" s="6">
        <f>Tabela1[[#This Row],[Valor total]]-Tabela1[[#This Row],[Valor custo]]</f>
        <v>583.70000000000005</v>
      </c>
      <c r="J2893" s="7">
        <f>Tabela1[[#This Row],[MARGEM BRUTA]]/Tabela1[[#This Row],[Valor total]]</f>
        <v>0.36142414860681116</v>
      </c>
      <c r="K2893" s="1" t="str">
        <f>VLOOKUP(Tabela1[[#This Row],[Cliente]],'BASE DE CLIENTES'!A:D,4,0)</f>
        <v>EMPRESA COM MAQUINA</v>
      </c>
      <c r="L2893" s="1" t="str">
        <f>VLOOKUP(Tabela1[[#This Row],[Cliente]],'BASE DE CLIENTES'!A:E,5,0)</f>
        <v>Valparaíso de Goiás</v>
      </c>
    </row>
    <row r="2894" spans="2:12" x14ac:dyDescent="0.3">
      <c r="B2894" s="1" t="s">
        <v>316</v>
      </c>
      <c r="C2894" s="4" t="str">
        <f>VLOOKUP(Tabela1[[#This Row],[Cliente]],'BASE DE CLIENTES'!A:E,2,0)</f>
        <v>Valparaíso de Goiás</v>
      </c>
      <c r="D2894" s="1" t="str">
        <f>VLOOKUP(Tabela1[[#This Row],[Cliente]],'BASE DE CLIENTES'!A:C,3,0)</f>
        <v>GO</v>
      </c>
      <c r="E2894" s="4" t="str">
        <f>CONCATENATE(Tabela1[[#This Row],[CIDADE]],",",Tabela1[[#This Row],[UF]])</f>
        <v>Valparaíso de Goiás,GO</v>
      </c>
      <c r="F2894" s="2">
        <v>45944</v>
      </c>
      <c r="G2894" s="17">
        <v>954</v>
      </c>
      <c r="H2894" s="17">
        <v>1680</v>
      </c>
      <c r="I2894" s="6">
        <f>Tabela1[[#This Row],[Valor total]]-Tabela1[[#This Row],[Valor custo]]</f>
        <v>726</v>
      </c>
      <c r="J2894" s="7">
        <f>Tabela1[[#This Row],[MARGEM BRUTA]]/Tabela1[[#This Row],[Valor total]]</f>
        <v>0.43214285714285716</v>
      </c>
      <c r="K2894" s="1" t="str">
        <f>VLOOKUP(Tabela1[[#This Row],[Cliente]],'BASE DE CLIENTES'!A:D,4,0)</f>
        <v>SERRALHEIRO</v>
      </c>
      <c r="L2894" s="1" t="str">
        <f>VLOOKUP(Tabela1[[#This Row],[Cliente]],'BASE DE CLIENTES'!A:E,5,0)</f>
        <v>Valparaíso de Goiás</v>
      </c>
    </row>
    <row r="2895" spans="2:12" x14ac:dyDescent="0.3">
      <c r="B2895" s="1" t="s">
        <v>106</v>
      </c>
      <c r="C2895" s="4" t="str">
        <f>VLOOKUP(Tabela1[[#This Row],[Cliente]],'BASE DE CLIENTES'!A:E,2,0)</f>
        <v>Brasília</v>
      </c>
      <c r="D2895" s="1" t="str">
        <f>VLOOKUP(Tabela1[[#This Row],[Cliente]],'BASE DE CLIENTES'!A:C,3,0)</f>
        <v>DF</v>
      </c>
      <c r="E2895" s="4" t="str">
        <f>CONCATENATE(Tabela1[[#This Row],[CIDADE]],",",Tabela1[[#This Row],[UF]])</f>
        <v>Brasília,DF</v>
      </c>
      <c r="F2895" s="2">
        <v>45944</v>
      </c>
      <c r="G2895" s="17">
        <v>960.93</v>
      </c>
      <c r="H2895" s="17">
        <v>1490</v>
      </c>
      <c r="I2895" s="6">
        <f>Tabela1[[#This Row],[Valor total]]-Tabela1[[#This Row],[Valor custo]]</f>
        <v>529.07000000000005</v>
      </c>
      <c r="J2895" s="7">
        <f>Tabela1[[#This Row],[MARGEM BRUTA]]/Tabela1[[#This Row],[Valor total]]</f>
        <v>0.35508053691275171</v>
      </c>
      <c r="K2895" s="1" t="str">
        <f>VLOOKUP(Tabela1[[#This Row],[Cliente]],'BASE DE CLIENTES'!A:D,4,0)</f>
        <v>EMPRESA COM MAQUINA</v>
      </c>
      <c r="L2895" s="1" t="str">
        <f>VLOOKUP(Tabela1[[#This Row],[Cliente]],'BASE DE CLIENTES'!A:E,5,0)</f>
        <v>26 DE SETEMBRO</v>
      </c>
    </row>
    <row r="2896" spans="2:12" x14ac:dyDescent="0.3">
      <c r="B2896" s="1" t="s">
        <v>177</v>
      </c>
      <c r="C2896" s="4" t="str">
        <f>VLOOKUP(Tabela1[[#This Row],[Cliente]],'BASE DE CLIENTES'!A:E,2,0)</f>
        <v xml:space="preserve">Belém </v>
      </c>
      <c r="D2896" s="1" t="str">
        <f>VLOOKUP(Tabela1[[#This Row],[Cliente]],'BASE DE CLIENTES'!A:C,3,0)</f>
        <v>PA</v>
      </c>
      <c r="E2896" s="4" t="str">
        <f>CONCATENATE(Tabela1[[#This Row],[CIDADE]],",",Tabela1[[#This Row],[UF]])</f>
        <v>Belém ,PA</v>
      </c>
      <c r="F2896" s="2">
        <v>45944</v>
      </c>
      <c r="G2896" s="17">
        <v>5650</v>
      </c>
      <c r="H2896" s="17">
        <v>7800</v>
      </c>
      <c r="I2896" s="6">
        <f>Tabela1[[#This Row],[Valor total]]-Tabela1[[#This Row],[Valor custo]]</f>
        <v>2150</v>
      </c>
      <c r="J2896" s="7">
        <f>Tabela1[[#This Row],[MARGEM BRUTA]]/Tabela1[[#This Row],[Valor total]]</f>
        <v>0.27564102564102566</v>
      </c>
      <c r="K2896" s="1" t="str">
        <f>VLOOKUP(Tabela1[[#This Row],[Cliente]],'BASE DE CLIENTES'!A:D,4,0)</f>
        <v>EMPRESA COM MAQUINA</v>
      </c>
      <c r="L2896" s="1" t="str">
        <f>VLOOKUP(Tabela1[[#This Row],[Cliente]],'BASE DE CLIENTES'!A:E,5,0)</f>
        <v xml:space="preserve">Belém </v>
      </c>
    </row>
    <row r="2897" spans="2:12" x14ac:dyDescent="0.3">
      <c r="B2897" s="1" t="s">
        <v>70</v>
      </c>
      <c r="C2897" s="4" t="str">
        <f>VLOOKUP(Tabela1[[#This Row],[Cliente]],'BASE DE CLIENTES'!A:E,2,0)</f>
        <v>Brasília</v>
      </c>
      <c r="D2897" s="1" t="str">
        <f>VLOOKUP(Tabela1[[#This Row],[Cliente]],'BASE DE CLIENTES'!A:C,3,0)</f>
        <v>DF</v>
      </c>
      <c r="E2897" s="4" t="str">
        <f>CONCATENATE(Tabela1[[#This Row],[CIDADE]],",",Tabela1[[#This Row],[UF]])</f>
        <v>Brasília,DF</v>
      </c>
      <c r="F2897" s="2">
        <v>45944</v>
      </c>
      <c r="G2897" s="17">
        <v>979.67</v>
      </c>
      <c r="H2897" s="17">
        <v>1360</v>
      </c>
      <c r="I2897" s="6">
        <f>Tabela1[[#This Row],[Valor total]]-Tabela1[[#This Row],[Valor custo]]</f>
        <v>380.33000000000004</v>
      </c>
      <c r="J2897" s="7">
        <f>Tabela1[[#This Row],[MARGEM BRUTA]]/Tabela1[[#This Row],[Valor total]]</f>
        <v>0.2796544117647059</v>
      </c>
      <c r="K2897" s="1" t="str">
        <f>VLOOKUP(Tabela1[[#This Row],[Cliente]],'BASE DE CLIENTES'!A:D,4,0)</f>
        <v>EMPRESA COM MAQUINA</v>
      </c>
      <c r="L2897" s="1" t="str">
        <f>VLOOKUP(Tabela1[[#This Row],[Cliente]],'BASE DE CLIENTES'!A:E,5,0)</f>
        <v>TAGUATINGA NORTE (TAGUATINGA)</v>
      </c>
    </row>
    <row r="2898" spans="2:12" x14ac:dyDescent="0.3">
      <c r="B2898" s="1" t="s">
        <v>206</v>
      </c>
      <c r="C2898" s="4" t="str">
        <f>VLOOKUP(Tabela1[[#This Row],[Cliente]],'BASE DE CLIENTES'!A:E,2,0)</f>
        <v>Goiânia</v>
      </c>
      <c r="D2898" s="1" t="str">
        <f>VLOOKUP(Tabela1[[#This Row],[Cliente]],'BASE DE CLIENTES'!A:C,3,0)</f>
        <v>GO</v>
      </c>
      <c r="E2898" s="4" t="str">
        <f>CONCATENATE(Tabela1[[#This Row],[CIDADE]],",",Tabela1[[#This Row],[UF]])</f>
        <v>Goiânia,GO</v>
      </c>
      <c r="F2898" s="2">
        <v>45943</v>
      </c>
      <c r="G2898" s="17">
        <v>12627</v>
      </c>
      <c r="H2898" s="17">
        <v>20460</v>
      </c>
      <c r="I2898" s="6">
        <f>Tabela1[[#This Row],[Valor total]]-Tabela1[[#This Row],[Valor custo]]</f>
        <v>7833</v>
      </c>
      <c r="J2898" s="7">
        <f>Tabela1[[#This Row],[MARGEM BRUTA]]/Tabela1[[#This Row],[Valor total]]</f>
        <v>0.38284457478005868</v>
      </c>
      <c r="K2898" s="1" t="str">
        <f>VLOOKUP(Tabela1[[#This Row],[Cliente]],'BASE DE CLIENTES'!A:D,4,0)</f>
        <v>EMPRESA COM MAQUINA</v>
      </c>
      <c r="L2898" s="1" t="str">
        <f>VLOOKUP(Tabela1[[#This Row],[Cliente]],'BASE DE CLIENTES'!A:E,5,0)</f>
        <v>Goiânia</v>
      </c>
    </row>
    <row r="2899" spans="2:12" x14ac:dyDescent="0.3">
      <c r="B2899" s="1" t="s">
        <v>236</v>
      </c>
      <c r="C2899" s="4" t="str">
        <f>VLOOKUP(Tabela1[[#This Row],[Cliente]],'BASE DE CLIENTES'!A:E,2,0)</f>
        <v>Goiânia</v>
      </c>
      <c r="D2899" s="1" t="str">
        <f>VLOOKUP(Tabela1[[#This Row],[Cliente]],'BASE DE CLIENTES'!A:C,3,0)</f>
        <v>GO</v>
      </c>
      <c r="E2899" s="4" t="str">
        <f>CONCATENATE(Tabela1[[#This Row],[CIDADE]],",",Tabela1[[#This Row],[UF]])</f>
        <v>Goiânia,GO</v>
      </c>
      <c r="F2899" s="2">
        <v>45943</v>
      </c>
      <c r="G2899" s="17">
        <v>1292.0899999999999</v>
      </c>
      <c r="H2899" s="17">
        <v>1835</v>
      </c>
      <c r="I2899" s="6">
        <f>Tabela1[[#This Row],[Valor total]]-Tabela1[[#This Row],[Valor custo]]</f>
        <v>542.91000000000008</v>
      </c>
      <c r="J2899" s="7">
        <f>Tabela1[[#This Row],[MARGEM BRUTA]]/Tabela1[[#This Row],[Valor total]]</f>
        <v>0.29586376021798372</v>
      </c>
      <c r="K2899" s="1" t="str">
        <f>VLOOKUP(Tabela1[[#This Row],[Cliente]],'BASE DE CLIENTES'!A:D,4,0)</f>
        <v>EMPRESA COM MAQUINA</v>
      </c>
      <c r="L2899" s="1" t="str">
        <f>VLOOKUP(Tabela1[[#This Row],[Cliente]],'BASE DE CLIENTES'!A:E,5,0)</f>
        <v>Goiânia</v>
      </c>
    </row>
    <row r="2900" spans="2:12" x14ac:dyDescent="0.3">
      <c r="B2900" s="1" t="s">
        <v>314</v>
      </c>
      <c r="C2900" s="4" t="str">
        <f>VLOOKUP(Tabela1[[#This Row],[Cliente]],'BASE DE CLIENTES'!A:E,2,0)</f>
        <v xml:space="preserve">Valparaíso </v>
      </c>
      <c r="D2900" s="1" t="str">
        <f>VLOOKUP(Tabela1[[#This Row],[Cliente]],'BASE DE CLIENTES'!A:C,3,0)</f>
        <v>GO</v>
      </c>
      <c r="E2900" s="4" t="str">
        <f>CONCATENATE(Tabela1[[#This Row],[CIDADE]],",",Tabela1[[#This Row],[UF]])</f>
        <v>Valparaíso ,GO</v>
      </c>
      <c r="F2900" s="2">
        <v>45943</v>
      </c>
      <c r="G2900" s="17">
        <v>2293.8000000000002</v>
      </c>
      <c r="H2900" s="17">
        <v>4200</v>
      </c>
      <c r="I2900" s="6">
        <f>Tabela1[[#This Row],[Valor total]]-Tabela1[[#This Row],[Valor custo]]</f>
        <v>1906.1999999999998</v>
      </c>
      <c r="J2900" s="7">
        <f>Tabela1[[#This Row],[MARGEM BRUTA]]/Tabela1[[#This Row],[Valor total]]</f>
        <v>0.45385714285714279</v>
      </c>
      <c r="K2900" s="1" t="str">
        <f>VLOOKUP(Tabela1[[#This Row],[Cliente]],'BASE DE CLIENTES'!A:D,4,0)</f>
        <v>SERRALHEIRO</v>
      </c>
      <c r="L2900" s="1" t="str">
        <f>VLOOKUP(Tabela1[[#This Row],[Cliente]],'BASE DE CLIENTES'!A:E,5,0)</f>
        <v xml:space="preserve">Valparaíso </v>
      </c>
    </row>
    <row r="2901" spans="2:12" x14ac:dyDescent="0.3">
      <c r="B2901" s="1" t="s">
        <v>66</v>
      </c>
      <c r="C2901" s="4" t="str">
        <f>VLOOKUP(Tabela1[[#This Row],[Cliente]],'BASE DE CLIENTES'!A:E,2,0)</f>
        <v>Águas Lindas de Goiás</v>
      </c>
      <c r="D2901" s="1" t="str">
        <f>VLOOKUP(Tabela1[[#This Row],[Cliente]],'BASE DE CLIENTES'!A:C,3,0)</f>
        <v>GO</v>
      </c>
      <c r="E2901" s="4" t="str">
        <f>CONCATENATE(Tabela1[[#This Row],[CIDADE]],",",Tabela1[[#This Row],[UF]])</f>
        <v>Águas Lindas de Goiás,GO</v>
      </c>
      <c r="F2901" s="2">
        <v>45943</v>
      </c>
      <c r="G2901" s="17">
        <v>25</v>
      </c>
      <c r="H2901" s="17">
        <v>30</v>
      </c>
      <c r="I2901" s="6">
        <f>Tabela1[[#This Row],[Valor total]]-Tabela1[[#This Row],[Valor custo]]</f>
        <v>5</v>
      </c>
      <c r="J2901" s="7">
        <f>Tabela1[[#This Row],[MARGEM BRUTA]]/Tabela1[[#This Row],[Valor total]]</f>
        <v>0.16666666666666666</v>
      </c>
      <c r="K2901" s="1" t="str">
        <f>VLOOKUP(Tabela1[[#This Row],[Cliente]],'BASE DE CLIENTES'!A:D,4,0)</f>
        <v>EMPRESA COM MAQUINA</v>
      </c>
      <c r="L2901" s="1" t="str">
        <f>VLOOKUP(Tabela1[[#This Row],[Cliente]],'BASE DE CLIENTES'!A:E,5,0)</f>
        <v>Águas Lindas de Goiás</v>
      </c>
    </row>
    <row r="2902" spans="2:12" x14ac:dyDescent="0.3">
      <c r="B2902" s="1" t="s">
        <v>66</v>
      </c>
      <c r="C2902" s="4" t="str">
        <f>VLOOKUP(Tabela1[[#This Row],[Cliente]],'BASE DE CLIENTES'!A:E,2,0)</f>
        <v>Águas Lindas de Goiás</v>
      </c>
      <c r="D2902" s="1" t="str">
        <f>VLOOKUP(Tabela1[[#This Row],[Cliente]],'BASE DE CLIENTES'!A:C,3,0)</f>
        <v>GO</v>
      </c>
      <c r="E2902" s="4" t="str">
        <f>CONCATENATE(Tabela1[[#This Row],[CIDADE]],",",Tabela1[[#This Row],[UF]])</f>
        <v>Águas Lindas de Goiás,GO</v>
      </c>
      <c r="F2902" s="2">
        <v>45943</v>
      </c>
      <c r="G2902" s="17">
        <v>382.3</v>
      </c>
      <c r="H2902" s="17">
        <v>620</v>
      </c>
      <c r="I2902" s="6">
        <f>Tabela1[[#This Row],[Valor total]]-Tabela1[[#This Row],[Valor custo]]</f>
        <v>237.7</v>
      </c>
      <c r="J2902" s="7">
        <f>Tabela1[[#This Row],[MARGEM BRUTA]]/Tabela1[[#This Row],[Valor total]]</f>
        <v>0.38338709677419353</v>
      </c>
      <c r="K2902" s="1" t="str">
        <f>VLOOKUP(Tabela1[[#This Row],[Cliente]],'BASE DE CLIENTES'!A:D,4,0)</f>
        <v>EMPRESA COM MAQUINA</v>
      </c>
      <c r="L2902" s="1" t="str">
        <f>VLOOKUP(Tabela1[[#This Row],[Cliente]],'BASE DE CLIENTES'!A:E,5,0)</f>
        <v>Águas Lindas de Goiás</v>
      </c>
    </row>
    <row r="2903" spans="2:12" x14ac:dyDescent="0.3">
      <c r="B2903" s="1" t="s">
        <v>17</v>
      </c>
      <c r="C2903" s="4" t="str">
        <f>VLOOKUP(Tabela1[[#This Row],[Cliente]],'BASE DE CLIENTES'!A:E,2,0)</f>
        <v>Águas Lindas de Goiás</v>
      </c>
      <c r="D2903" s="1" t="str">
        <f>VLOOKUP(Tabela1[[#This Row],[Cliente]],'BASE DE CLIENTES'!A:C,3,0)</f>
        <v>GO</v>
      </c>
      <c r="E2903" s="4" t="str">
        <f>CONCATENATE(Tabela1[[#This Row],[CIDADE]],",",Tabela1[[#This Row],[UF]])</f>
        <v>Águas Lindas de Goiás,GO</v>
      </c>
      <c r="F2903" s="2">
        <v>45943</v>
      </c>
      <c r="G2903" s="17">
        <v>133.32</v>
      </c>
      <c r="H2903" s="17">
        <v>200</v>
      </c>
      <c r="I2903" s="6">
        <f>Tabela1[[#This Row],[Valor total]]-Tabela1[[#This Row],[Valor custo]]</f>
        <v>66.680000000000007</v>
      </c>
      <c r="J2903" s="7">
        <f>Tabela1[[#This Row],[MARGEM BRUTA]]/Tabela1[[#This Row],[Valor total]]</f>
        <v>0.33340000000000003</v>
      </c>
      <c r="K2903" s="1" t="str">
        <f>VLOOKUP(Tabela1[[#This Row],[Cliente]],'BASE DE CLIENTES'!A:D,4,0)</f>
        <v>SERRALHEIRO</v>
      </c>
      <c r="L2903" s="1" t="str">
        <f>VLOOKUP(Tabela1[[#This Row],[Cliente]],'BASE DE CLIENTES'!A:E,5,0)</f>
        <v>Águas Lindas de Goiás</v>
      </c>
    </row>
    <row r="2904" spans="2:12" x14ac:dyDescent="0.3">
      <c r="B2904" s="1" t="s">
        <v>25</v>
      </c>
      <c r="C2904" s="4" t="str">
        <f>VLOOKUP(Tabela1[[#This Row],[Cliente]],'BASE DE CLIENTES'!A:E,2,0)</f>
        <v>Brasília</v>
      </c>
      <c r="D2904" s="1" t="str">
        <f>VLOOKUP(Tabela1[[#This Row],[Cliente]],'BASE DE CLIENTES'!A:C,3,0)</f>
        <v>DF</v>
      </c>
      <c r="E2904" s="4" t="str">
        <f>CONCATENATE(Tabela1[[#This Row],[CIDADE]],",",Tabela1[[#This Row],[UF]])</f>
        <v>Brasília,DF</v>
      </c>
      <c r="F2904" s="2">
        <v>45943</v>
      </c>
      <c r="G2904" s="17">
        <v>1146.9000000000001</v>
      </c>
      <c r="H2904" s="17">
        <v>1845</v>
      </c>
      <c r="I2904" s="6">
        <f>Tabela1[[#This Row],[Valor total]]-Tabela1[[#This Row],[Valor custo]]</f>
        <v>698.09999999999991</v>
      </c>
      <c r="J2904" s="7">
        <f>Tabela1[[#This Row],[MARGEM BRUTA]]/Tabela1[[#This Row],[Valor total]]</f>
        <v>0.37837398373983733</v>
      </c>
      <c r="K2904" s="1" t="str">
        <f>VLOOKUP(Tabela1[[#This Row],[Cliente]],'BASE DE CLIENTES'!A:D,4,0)</f>
        <v>EMPRESA COM MAQUINA</v>
      </c>
      <c r="L2904" s="1" t="str">
        <f>VLOOKUP(Tabela1[[#This Row],[Cliente]],'BASE DE CLIENTES'!A:E,5,0)</f>
        <v>CEILANDIA NORTE (CEILANDIA)</v>
      </c>
    </row>
    <row r="2905" spans="2:12" x14ac:dyDescent="0.3">
      <c r="B2905" s="1" t="s">
        <v>27</v>
      </c>
      <c r="C2905" s="4" t="str">
        <f>VLOOKUP(Tabela1[[#This Row],[Cliente]],'BASE DE CLIENTES'!A:E,2,0)</f>
        <v>Brasília</v>
      </c>
      <c r="D2905" s="1" t="str">
        <f>VLOOKUP(Tabela1[[#This Row],[Cliente]],'BASE DE CLIENTES'!A:C,3,0)</f>
        <v>DF</v>
      </c>
      <c r="E2905" s="4" t="str">
        <f>CONCATENATE(Tabela1[[#This Row],[CIDADE]],",",Tabela1[[#This Row],[UF]])</f>
        <v>Brasília,DF</v>
      </c>
      <c r="F2905" s="2">
        <v>45943</v>
      </c>
      <c r="G2905" s="17">
        <v>545</v>
      </c>
      <c r="H2905" s="17">
        <v>900</v>
      </c>
      <c r="I2905" s="6">
        <f>Tabela1[[#This Row],[Valor total]]-Tabela1[[#This Row],[Valor custo]]</f>
        <v>355</v>
      </c>
      <c r="J2905" s="7">
        <f>Tabela1[[#This Row],[MARGEM BRUTA]]/Tabela1[[#This Row],[Valor total]]</f>
        <v>0.39444444444444443</v>
      </c>
      <c r="K2905" s="1" t="str">
        <f>VLOOKUP(Tabela1[[#This Row],[Cliente]],'BASE DE CLIENTES'!A:D,4,0)</f>
        <v>EMPRESA SEM MAQUINA</v>
      </c>
      <c r="L2905" s="1" t="str">
        <f>VLOOKUP(Tabela1[[#This Row],[Cliente]],'BASE DE CLIENTES'!A:E,5,0)</f>
        <v>RECANTO DAS EMAS</v>
      </c>
    </row>
    <row r="2906" spans="2:12" x14ac:dyDescent="0.3">
      <c r="B2906" s="1" t="s">
        <v>106</v>
      </c>
      <c r="C2906" s="4" t="str">
        <f>VLOOKUP(Tabela1[[#This Row],[Cliente]],'BASE DE CLIENTES'!A:E,2,0)</f>
        <v>Brasília</v>
      </c>
      <c r="D2906" s="1" t="str">
        <f>VLOOKUP(Tabela1[[#This Row],[Cliente]],'BASE DE CLIENTES'!A:C,3,0)</f>
        <v>DF</v>
      </c>
      <c r="E2906" s="4" t="str">
        <f>CONCATENATE(Tabela1[[#This Row],[CIDADE]],",",Tabela1[[#This Row],[UF]])</f>
        <v>Brasília,DF</v>
      </c>
      <c r="F2906" s="2">
        <v>45943</v>
      </c>
      <c r="G2906" s="17">
        <v>289.75</v>
      </c>
      <c r="H2906" s="17">
        <v>351.5</v>
      </c>
      <c r="I2906" s="6">
        <f>Tabela1[[#This Row],[Valor total]]-Tabela1[[#This Row],[Valor custo]]</f>
        <v>61.75</v>
      </c>
      <c r="J2906" s="7">
        <f>Tabela1[[#This Row],[MARGEM BRUTA]]/Tabela1[[#This Row],[Valor total]]</f>
        <v>0.17567567567567569</v>
      </c>
      <c r="K2906" s="1" t="str">
        <f>VLOOKUP(Tabela1[[#This Row],[Cliente]],'BASE DE CLIENTES'!A:D,4,0)</f>
        <v>EMPRESA COM MAQUINA</v>
      </c>
      <c r="L2906" s="1" t="str">
        <f>VLOOKUP(Tabela1[[#This Row],[Cliente]],'BASE DE CLIENTES'!A:E,5,0)</f>
        <v>26 DE SETEMBRO</v>
      </c>
    </row>
    <row r="2907" spans="2:12" x14ac:dyDescent="0.3">
      <c r="B2907" s="1" t="s">
        <v>106</v>
      </c>
      <c r="C2907" s="4" t="str">
        <f>VLOOKUP(Tabela1[[#This Row],[Cliente]],'BASE DE CLIENTES'!A:E,2,0)</f>
        <v>Brasília</v>
      </c>
      <c r="D2907" s="1" t="str">
        <f>VLOOKUP(Tabela1[[#This Row],[Cliente]],'BASE DE CLIENTES'!A:C,3,0)</f>
        <v>DF</v>
      </c>
      <c r="E2907" s="4" t="str">
        <f>CONCATENATE(Tabela1[[#This Row],[CIDADE]],",",Tabela1[[#This Row],[UF]])</f>
        <v>Brasília,DF</v>
      </c>
      <c r="F2907" s="2">
        <v>45943</v>
      </c>
      <c r="G2907" s="17">
        <v>2180.5300000000002</v>
      </c>
      <c r="H2907" s="17">
        <v>3440</v>
      </c>
      <c r="I2907" s="6">
        <f>Tabela1[[#This Row],[Valor total]]-Tabela1[[#This Row],[Valor custo]]</f>
        <v>1259.4699999999998</v>
      </c>
      <c r="J2907" s="7">
        <f>Tabela1[[#This Row],[MARGEM BRUTA]]/Tabela1[[#This Row],[Valor total]]</f>
        <v>0.36612499999999992</v>
      </c>
      <c r="K2907" s="1" t="str">
        <f>VLOOKUP(Tabela1[[#This Row],[Cliente]],'BASE DE CLIENTES'!A:D,4,0)</f>
        <v>EMPRESA COM MAQUINA</v>
      </c>
      <c r="L2907" s="1" t="str">
        <f>VLOOKUP(Tabela1[[#This Row],[Cliente]],'BASE DE CLIENTES'!A:E,5,0)</f>
        <v>26 DE SETEMBRO</v>
      </c>
    </row>
    <row r="2908" spans="2:12" x14ac:dyDescent="0.3">
      <c r="B2908" s="1" t="s">
        <v>85</v>
      </c>
      <c r="C2908" s="4" t="str">
        <f>VLOOKUP(Tabela1[[#This Row],[Cliente]],'BASE DE CLIENTES'!A:E,2,0)</f>
        <v>Brasília</v>
      </c>
      <c r="D2908" s="1" t="str">
        <f>VLOOKUP(Tabela1[[#This Row],[Cliente]],'BASE DE CLIENTES'!A:C,3,0)</f>
        <v>DF</v>
      </c>
      <c r="E2908" s="4" t="str">
        <f>CONCATENATE(Tabela1[[#This Row],[CIDADE]],",",Tabela1[[#This Row],[UF]])</f>
        <v>Brasília,DF</v>
      </c>
      <c r="F2908" s="2">
        <v>45943</v>
      </c>
      <c r="G2908" s="17">
        <v>42</v>
      </c>
      <c r="H2908" s="17">
        <v>55</v>
      </c>
      <c r="I2908" s="6">
        <f>Tabela1[[#This Row],[Valor total]]-Tabela1[[#This Row],[Valor custo]]</f>
        <v>13</v>
      </c>
      <c r="J2908" s="7">
        <f>Tabela1[[#This Row],[MARGEM BRUTA]]/Tabela1[[#This Row],[Valor total]]</f>
        <v>0.23636363636363636</v>
      </c>
      <c r="K2908" s="1" t="str">
        <f>VLOOKUP(Tabela1[[#This Row],[Cliente]],'BASE DE CLIENTES'!A:D,4,0)</f>
        <v>SERRALHEIRO</v>
      </c>
      <c r="L2908" s="1" t="str">
        <f>VLOOKUP(Tabela1[[#This Row],[Cliente]],'BASE DE CLIENTES'!A:E,5,0)</f>
        <v>SAMAMBAIA NORTE (SAMAMBAIA)</v>
      </c>
    </row>
    <row r="2909" spans="2:12" x14ac:dyDescent="0.3">
      <c r="B2909" s="1" t="s">
        <v>319</v>
      </c>
      <c r="C2909" s="4" t="str">
        <f>VLOOKUP(Tabela1[[#This Row],[Cliente]],'BASE DE CLIENTES'!A:E,2,0)</f>
        <v>Valparaíso de Goiás</v>
      </c>
      <c r="D2909" s="1" t="str">
        <f>VLOOKUP(Tabela1[[#This Row],[Cliente]],'BASE DE CLIENTES'!A:C,3,0)</f>
        <v>GO</v>
      </c>
      <c r="E2909" s="4" t="str">
        <f>CONCATENATE(Tabela1[[#This Row],[CIDADE]],",",Tabela1[[#This Row],[UF]])</f>
        <v>Valparaíso de Goiás,GO</v>
      </c>
      <c r="F2909" s="2">
        <v>45943</v>
      </c>
      <c r="G2909" s="17">
        <v>916.3</v>
      </c>
      <c r="H2909" s="17">
        <v>1484</v>
      </c>
      <c r="I2909" s="6">
        <f>Tabela1[[#This Row],[Valor total]]-Tabela1[[#This Row],[Valor custo]]</f>
        <v>567.70000000000005</v>
      </c>
      <c r="J2909" s="7">
        <f>Tabela1[[#This Row],[MARGEM BRUTA]]/Tabela1[[#This Row],[Valor total]]</f>
        <v>0.38254716981132081</v>
      </c>
      <c r="K2909" s="1" t="str">
        <f>VLOOKUP(Tabela1[[#This Row],[Cliente]],'BASE DE CLIENTES'!A:D,4,0)</f>
        <v>EMPRESA COM MAQUINA</v>
      </c>
      <c r="L2909" s="1" t="str">
        <f>VLOOKUP(Tabela1[[#This Row],[Cliente]],'BASE DE CLIENTES'!A:E,5,0)</f>
        <v>Valparaíso de Goiás</v>
      </c>
    </row>
    <row r="2910" spans="2:12" x14ac:dyDescent="0.3">
      <c r="B2910" s="1" t="s">
        <v>78</v>
      </c>
      <c r="C2910" s="4" t="str">
        <f>VLOOKUP(Tabela1[[#This Row],[Cliente]],'BASE DE CLIENTES'!A:E,2,0)</f>
        <v>Brasília</v>
      </c>
      <c r="D2910" s="1" t="str">
        <f>VLOOKUP(Tabela1[[#This Row],[Cliente]],'BASE DE CLIENTES'!A:C,3,0)</f>
        <v>DF</v>
      </c>
      <c r="E2910" s="4" t="str">
        <f>CONCATENATE(Tabela1[[#This Row],[CIDADE]],",",Tabela1[[#This Row],[UF]])</f>
        <v>Brasília,DF</v>
      </c>
      <c r="F2910" s="2">
        <v>45943</v>
      </c>
      <c r="G2910" s="17">
        <v>118.74</v>
      </c>
      <c r="H2910" s="17">
        <v>160</v>
      </c>
      <c r="I2910" s="6">
        <f>Tabela1[[#This Row],[Valor total]]-Tabela1[[#This Row],[Valor custo]]</f>
        <v>41.260000000000005</v>
      </c>
      <c r="J2910" s="7">
        <f>Tabela1[[#This Row],[MARGEM BRUTA]]/Tabela1[[#This Row],[Valor total]]</f>
        <v>0.25787500000000002</v>
      </c>
      <c r="K2910" s="1" t="str">
        <f>VLOOKUP(Tabela1[[#This Row],[Cliente]],'BASE DE CLIENTES'!A:D,4,0)</f>
        <v>SERRALHEIRO</v>
      </c>
      <c r="L2910" s="1" t="str">
        <f>VLOOKUP(Tabela1[[#This Row],[Cliente]],'BASE DE CLIENTES'!A:E,5,0)</f>
        <v>Vila do Boa (São Sebastião)</v>
      </c>
    </row>
    <row r="2911" spans="2:12" x14ac:dyDescent="0.3">
      <c r="B2911" s="1" t="s">
        <v>78</v>
      </c>
      <c r="C2911" s="4" t="str">
        <f>VLOOKUP(Tabela1[[#This Row],[Cliente]],'BASE DE CLIENTES'!A:E,2,0)</f>
        <v>Brasília</v>
      </c>
      <c r="D2911" s="1" t="str">
        <f>VLOOKUP(Tabela1[[#This Row],[Cliente]],'BASE DE CLIENTES'!A:C,3,0)</f>
        <v>DF</v>
      </c>
      <c r="E2911" s="4" t="str">
        <f>CONCATENATE(Tabela1[[#This Row],[CIDADE]],",",Tabela1[[#This Row],[UF]])</f>
        <v>Brasília,DF</v>
      </c>
      <c r="F2911" s="2">
        <v>45943</v>
      </c>
      <c r="G2911" s="17">
        <v>1553.6</v>
      </c>
      <c r="H2911" s="17">
        <v>2750</v>
      </c>
      <c r="I2911" s="6">
        <f>Tabela1[[#This Row],[Valor total]]-Tabela1[[#This Row],[Valor custo]]</f>
        <v>1196.4000000000001</v>
      </c>
      <c r="J2911" s="7">
        <f>Tabela1[[#This Row],[MARGEM BRUTA]]/Tabela1[[#This Row],[Valor total]]</f>
        <v>0.43505454545454547</v>
      </c>
      <c r="K2911" s="1" t="str">
        <f>VLOOKUP(Tabela1[[#This Row],[Cliente]],'BASE DE CLIENTES'!A:D,4,0)</f>
        <v>SERRALHEIRO</v>
      </c>
      <c r="L2911" s="1" t="str">
        <f>VLOOKUP(Tabela1[[#This Row],[Cliente]],'BASE DE CLIENTES'!A:E,5,0)</f>
        <v>Vila do Boa (São Sebastião)</v>
      </c>
    </row>
    <row r="2912" spans="2:12" x14ac:dyDescent="0.3">
      <c r="B2912" s="1" t="s">
        <v>96</v>
      </c>
      <c r="C2912" s="4" t="str">
        <f>VLOOKUP(Tabela1[[#This Row],[Cliente]],'BASE DE CLIENTES'!A:E,2,0)</f>
        <v>Brasília</v>
      </c>
      <c r="D2912" s="1" t="str">
        <f>VLOOKUP(Tabela1[[#This Row],[Cliente]],'BASE DE CLIENTES'!A:C,3,0)</f>
        <v>DF</v>
      </c>
      <c r="E2912" s="4" t="str">
        <f>CONCATENATE(Tabela1[[#This Row],[CIDADE]],",",Tabela1[[#This Row],[UF]])</f>
        <v>Brasília,DF</v>
      </c>
      <c r="F2912" s="2">
        <v>45941</v>
      </c>
      <c r="G2912" s="17">
        <v>289</v>
      </c>
      <c r="H2912" s="17">
        <v>425</v>
      </c>
      <c r="I2912" s="6">
        <f>Tabela1[[#This Row],[Valor total]]-Tabela1[[#This Row],[Valor custo]]</f>
        <v>136</v>
      </c>
      <c r="J2912" s="7">
        <f>Tabela1[[#This Row],[MARGEM BRUTA]]/Tabela1[[#This Row],[Valor total]]</f>
        <v>0.32</v>
      </c>
      <c r="K2912" s="1" t="str">
        <f>VLOOKUP(Tabela1[[#This Row],[Cliente]],'BASE DE CLIENTES'!A:D,4,0)</f>
        <v>EMPRESA SEM MAQUINA</v>
      </c>
      <c r="L2912" s="1" t="str">
        <f>VLOOKUP(Tabela1[[#This Row],[Cliente]],'BASE DE CLIENTES'!A:E,5,0)</f>
        <v>CEILANDIA NORTE (CEILANDIA)</v>
      </c>
    </row>
    <row r="2913" spans="2:12" x14ac:dyDescent="0.3">
      <c r="B2913" s="1" t="s">
        <v>96</v>
      </c>
      <c r="C2913" s="4" t="str">
        <f>VLOOKUP(Tabela1[[#This Row],[Cliente]],'BASE DE CLIENTES'!A:E,2,0)</f>
        <v>Brasília</v>
      </c>
      <c r="D2913" s="1" t="str">
        <f>VLOOKUP(Tabela1[[#This Row],[Cliente]],'BASE DE CLIENTES'!A:C,3,0)</f>
        <v>DF</v>
      </c>
      <c r="E2913" s="4" t="str">
        <f>CONCATENATE(Tabela1[[#This Row],[CIDADE]],",",Tabela1[[#This Row],[UF]])</f>
        <v>Brasília,DF</v>
      </c>
      <c r="F2913" s="2">
        <v>45940</v>
      </c>
      <c r="G2913" s="17">
        <v>165</v>
      </c>
      <c r="H2913" s="17">
        <v>540</v>
      </c>
      <c r="I2913" s="6">
        <f>Tabela1[[#This Row],[Valor total]]-Tabela1[[#This Row],[Valor custo]]</f>
        <v>375</v>
      </c>
      <c r="J2913" s="7">
        <f>Tabela1[[#This Row],[MARGEM BRUTA]]/Tabela1[[#This Row],[Valor total]]</f>
        <v>0.69444444444444442</v>
      </c>
      <c r="K2913" s="1" t="str">
        <f>VLOOKUP(Tabela1[[#This Row],[Cliente]],'BASE DE CLIENTES'!A:D,4,0)</f>
        <v>EMPRESA SEM MAQUINA</v>
      </c>
      <c r="L2913" s="1" t="str">
        <f>VLOOKUP(Tabela1[[#This Row],[Cliente]],'BASE DE CLIENTES'!A:E,5,0)</f>
        <v>CEILANDIA NORTE (CEILANDIA)</v>
      </c>
    </row>
    <row r="2914" spans="2:12" x14ac:dyDescent="0.3">
      <c r="B2914" s="1" t="s">
        <v>96</v>
      </c>
      <c r="C2914" s="4" t="str">
        <f>VLOOKUP(Tabela1[[#This Row],[Cliente]],'BASE DE CLIENTES'!A:E,2,0)</f>
        <v>Brasília</v>
      </c>
      <c r="D2914" s="1" t="str">
        <f>VLOOKUP(Tabela1[[#This Row],[Cliente]],'BASE DE CLIENTES'!A:C,3,0)</f>
        <v>DF</v>
      </c>
      <c r="E2914" s="4" t="str">
        <f>CONCATENATE(Tabela1[[#This Row],[CIDADE]],",",Tabela1[[#This Row],[UF]])</f>
        <v>Brasília,DF</v>
      </c>
      <c r="F2914" s="2">
        <v>45940</v>
      </c>
      <c r="G2914" s="17">
        <v>583.79999999999995</v>
      </c>
      <c r="H2914" s="17">
        <v>1035</v>
      </c>
      <c r="I2914" s="6">
        <f>Tabela1[[#This Row],[Valor total]]-Tabela1[[#This Row],[Valor custo]]</f>
        <v>451.20000000000005</v>
      </c>
      <c r="J2914" s="7">
        <f>Tabela1[[#This Row],[MARGEM BRUTA]]/Tabela1[[#This Row],[Valor total]]</f>
        <v>0.43594202898550727</v>
      </c>
      <c r="K2914" s="1" t="str">
        <f>VLOOKUP(Tabela1[[#This Row],[Cliente]],'BASE DE CLIENTES'!A:D,4,0)</f>
        <v>EMPRESA SEM MAQUINA</v>
      </c>
      <c r="L2914" s="1" t="str">
        <f>VLOOKUP(Tabela1[[#This Row],[Cliente]],'BASE DE CLIENTES'!A:E,5,0)</f>
        <v>CEILANDIA NORTE (CEILANDIA)</v>
      </c>
    </row>
    <row r="2915" spans="2:12" x14ac:dyDescent="0.3">
      <c r="B2915" s="1" t="s">
        <v>66</v>
      </c>
      <c r="C2915" s="4" t="str">
        <f>VLOOKUP(Tabela1[[#This Row],[Cliente]],'BASE DE CLIENTES'!A:E,2,0)</f>
        <v>Águas Lindas de Goiás</v>
      </c>
      <c r="D2915" s="1" t="str">
        <f>VLOOKUP(Tabela1[[#This Row],[Cliente]],'BASE DE CLIENTES'!A:C,3,0)</f>
        <v>GO</v>
      </c>
      <c r="E2915" s="4" t="str">
        <f>CONCATENATE(Tabela1[[#This Row],[CIDADE]],",",Tabela1[[#This Row],[UF]])</f>
        <v>Águas Lindas de Goiás,GO</v>
      </c>
      <c r="F2915" s="2">
        <v>45940</v>
      </c>
      <c r="G2915" s="17">
        <v>889.6</v>
      </c>
      <c r="H2915" s="17">
        <v>1390</v>
      </c>
      <c r="I2915" s="6">
        <f>Tabela1[[#This Row],[Valor total]]-Tabela1[[#This Row],[Valor custo]]</f>
        <v>500.4</v>
      </c>
      <c r="J2915" s="7">
        <f>Tabela1[[#This Row],[MARGEM BRUTA]]/Tabela1[[#This Row],[Valor total]]</f>
        <v>0.36</v>
      </c>
      <c r="K2915" s="1" t="str">
        <f>VLOOKUP(Tabela1[[#This Row],[Cliente]],'BASE DE CLIENTES'!A:D,4,0)</f>
        <v>EMPRESA COM MAQUINA</v>
      </c>
      <c r="L2915" s="1" t="str">
        <f>VLOOKUP(Tabela1[[#This Row],[Cliente]],'BASE DE CLIENTES'!A:E,5,0)</f>
        <v>Águas Lindas de Goiás</v>
      </c>
    </row>
    <row r="2916" spans="2:12" x14ac:dyDescent="0.3">
      <c r="B2916" s="1" t="s">
        <v>215</v>
      </c>
      <c r="C2916" s="4" t="str">
        <f>VLOOKUP(Tabela1[[#This Row],[Cliente]],'BASE DE CLIENTES'!A:E,2,0)</f>
        <v>Goiânia</v>
      </c>
      <c r="D2916" s="1" t="str">
        <f>VLOOKUP(Tabela1[[#This Row],[Cliente]],'BASE DE CLIENTES'!A:C,3,0)</f>
        <v>GO</v>
      </c>
      <c r="E2916" s="4" t="str">
        <f>CONCATENATE(Tabela1[[#This Row],[CIDADE]],",",Tabela1[[#This Row],[UF]])</f>
        <v>Goiânia,GO</v>
      </c>
      <c r="F2916" s="2">
        <v>45940</v>
      </c>
      <c r="G2916" s="17">
        <v>491</v>
      </c>
      <c r="H2916" s="17">
        <v>750</v>
      </c>
      <c r="I2916" s="6">
        <f>Tabela1[[#This Row],[Valor total]]-Tabela1[[#This Row],[Valor custo]]</f>
        <v>259</v>
      </c>
      <c r="J2916" s="7">
        <f>Tabela1[[#This Row],[MARGEM BRUTA]]/Tabela1[[#This Row],[Valor total]]</f>
        <v>0.34533333333333333</v>
      </c>
      <c r="K2916" s="1" t="str">
        <f>VLOOKUP(Tabela1[[#This Row],[Cliente]],'BASE DE CLIENTES'!A:D,4,0)</f>
        <v>EMPRESA COM MAQUINA</v>
      </c>
      <c r="L2916" s="1" t="str">
        <f>VLOOKUP(Tabela1[[#This Row],[Cliente]],'BASE DE CLIENTES'!A:E,5,0)</f>
        <v>Goiânia</v>
      </c>
    </row>
    <row r="2917" spans="2:12" x14ac:dyDescent="0.3">
      <c r="B2917" s="1" t="s">
        <v>152</v>
      </c>
      <c r="C2917" s="4" t="str">
        <f>VLOOKUP(Tabela1[[#This Row],[Cliente]],'BASE DE CLIENTES'!A:E,2,0)</f>
        <v>Aparecida de Goiânia</v>
      </c>
      <c r="D2917" s="1" t="str">
        <f>VLOOKUP(Tabela1[[#This Row],[Cliente]],'BASE DE CLIENTES'!A:C,3,0)</f>
        <v>GO</v>
      </c>
      <c r="E2917" s="4" t="str">
        <f>CONCATENATE(Tabela1[[#This Row],[CIDADE]],",",Tabela1[[#This Row],[UF]])</f>
        <v>Aparecida de Goiânia,GO</v>
      </c>
      <c r="F2917" s="2">
        <v>45940</v>
      </c>
      <c r="G2917" s="17">
        <v>649</v>
      </c>
      <c r="H2917" s="17">
        <v>900</v>
      </c>
      <c r="I2917" s="6">
        <f>Tabela1[[#This Row],[Valor total]]-Tabela1[[#This Row],[Valor custo]]</f>
        <v>251</v>
      </c>
      <c r="J2917" s="7">
        <f>Tabela1[[#This Row],[MARGEM BRUTA]]/Tabela1[[#This Row],[Valor total]]</f>
        <v>0.27888888888888891</v>
      </c>
      <c r="K2917" s="1" t="str">
        <f>VLOOKUP(Tabela1[[#This Row],[Cliente]],'BASE DE CLIENTES'!A:D,4,0)</f>
        <v>TECNICO</v>
      </c>
      <c r="L2917" s="1" t="str">
        <f>VLOOKUP(Tabela1[[#This Row],[Cliente]],'BASE DE CLIENTES'!A:E,5,0)</f>
        <v>Aparecida de Goiânia</v>
      </c>
    </row>
    <row r="2918" spans="2:12" x14ac:dyDescent="0.3">
      <c r="B2918" s="1" t="s">
        <v>230</v>
      </c>
      <c r="C2918" s="4" t="str">
        <f>VLOOKUP(Tabela1[[#This Row],[Cliente]],'BASE DE CLIENTES'!A:E,2,0)</f>
        <v>Brasília</v>
      </c>
      <c r="D2918" s="1" t="str">
        <f>VLOOKUP(Tabela1[[#This Row],[Cliente]],'BASE DE CLIENTES'!A:C,3,0)</f>
        <v>DF</v>
      </c>
      <c r="E2918" s="4" t="str">
        <f>CONCATENATE(Tabela1[[#This Row],[CIDADE]],",",Tabela1[[#This Row],[UF]])</f>
        <v>Brasília,DF</v>
      </c>
      <c r="F2918" s="2">
        <v>45940</v>
      </c>
      <c r="G2918" s="17">
        <v>21.63</v>
      </c>
      <c r="H2918" s="17">
        <v>100</v>
      </c>
      <c r="I2918" s="6">
        <f>Tabela1[[#This Row],[Valor total]]-Tabela1[[#This Row],[Valor custo]]</f>
        <v>78.37</v>
      </c>
      <c r="J2918" s="7">
        <f>Tabela1[[#This Row],[MARGEM BRUTA]]/Tabela1[[#This Row],[Valor total]]</f>
        <v>0.78370000000000006</v>
      </c>
      <c r="K2918" s="1" t="str">
        <f>VLOOKUP(Tabela1[[#This Row],[Cliente]],'BASE DE CLIENTES'!A:D,4,0)</f>
        <v>SERRALHEIRO</v>
      </c>
      <c r="L2918" s="1" t="str">
        <f>VLOOKUP(Tabela1[[#This Row],[Cliente]],'BASE DE CLIENTES'!A:E,5,0)</f>
        <v>SETOR HABITACIONAL SAMAMBAIA (VICENTE PIRES)</v>
      </c>
    </row>
    <row r="2919" spans="2:12" x14ac:dyDescent="0.3">
      <c r="B2919" s="1" t="s">
        <v>230</v>
      </c>
      <c r="C2919" s="4" t="str">
        <f>VLOOKUP(Tabela1[[#This Row],[Cliente]],'BASE DE CLIENTES'!A:E,2,0)</f>
        <v>Brasília</v>
      </c>
      <c r="D2919" s="1" t="str">
        <f>VLOOKUP(Tabela1[[#This Row],[Cliente]],'BASE DE CLIENTES'!A:C,3,0)</f>
        <v>DF</v>
      </c>
      <c r="E2919" s="4" t="str">
        <f>CONCATENATE(Tabela1[[#This Row],[CIDADE]],",",Tabela1[[#This Row],[UF]])</f>
        <v>Brasília,DF</v>
      </c>
      <c r="F2919" s="2">
        <v>45940</v>
      </c>
      <c r="G2919" s="17">
        <v>403.93</v>
      </c>
      <c r="H2919" s="17">
        <v>700</v>
      </c>
      <c r="I2919" s="6">
        <f>Tabela1[[#This Row],[Valor total]]-Tabela1[[#This Row],[Valor custo]]</f>
        <v>296.07</v>
      </c>
      <c r="J2919" s="7">
        <f>Tabela1[[#This Row],[MARGEM BRUTA]]/Tabela1[[#This Row],[Valor total]]</f>
        <v>0.42295714285714286</v>
      </c>
      <c r="K2919" s="1" t="str">
        <f>VLOOKUP(Tabela1[[#This Row],[Cliente]],'BASE DE CLIENTES'!A:D,4,0)</f>
        <v>SERRALHEIRO</v>
      </c>
      <c r="L2919" s="1" t="str">
        <f>VLOOKUP(Tabela1[[#This Row],[Cliente]],'BASE DE CLIENTES'!A:E,5,0)</f>
        <v>SETOR HABITACIONAL SAMAMBAIA (VICENTE PIRES)</v>
      </c>
    </row>
    <row r="2920" spans="2:12" x14ac:dyDescent="0.3">
      <c r="B2920" s="1" t="s">
        <v>97</v>
      </c>
      <c r="C2920" s="4" t="str">
        <f>VLOOKUP(Tabela1[[#This Row],[Cliente]],'BASE DE CLIENTES'!A:E,2,0)</f>
        <v>Brasília</v>
      </c>
      <c r="D2920" s="1" t="str">
        <f>VLOOKUP(Tabela1[[#This Row],[Cliente]],'BASE DE CLIENTES'!A:C,3,0)</f>
        <v>DF</v>
      </c>
      <c r="E2920" s="4" t="str">
        <f>CONCATENATE(Tabela1[[#This Row],[CIDADE]],",",Tabela1[[#This Row],[UF]])</f>
        <v>Brasília,DF</v>
      </c>
      <c r="F2920" s="2">
        <v>45940</v>
      </c>
      <c r="G2920" s="17">
        <v>938.72</v>
      </c>
      <c r="H2920" s="17">
        <v>1530</v>
      </c>
      <c r="I2920" s="6">
        <f>Tabela1[[#This Row],[Valor total]]-Tabela1[[#This Row],[Valor custo]]</f>
        <v>591.28</v>
      </c>
      <c r="J2920" s="7">
        <f>Tabela1[[#This Row],[MARGEM BRUTA]]/Tabela1[[#This Row],[Valor total]]</f>
        <v>0.38645751633986924</v>
      </c>
      <c r="K2920" s="1" t="str">
        <f>VLOOKUP(Tabela1[[#This Row],[Cliente]],'BASE DE CLIENTES'!A:D,4,0)</f>
        <v>SERRALHEIRO</v>
      </c>
      <c r="L2920" s="1" t="str">
        <f>VLOOKUP(Tabela1[[#This Row],[Cliente]],'BASE DE CLIENTES'!A:E,5,0)</f>
        <v>CEILANDIA NORTE</v>
      </c>
    </row>
    <row r="2921" spans="2:12" x14ac:dyDescent="0.3">
      <c r="B2921" s="1" t="s">
        <v>106</v>
      </c>
      <c r="C2921" s="4" t="str">
        <f>VLOOKUP(Tabela1[[#This Row],[Cliente]],'BASE DE CLIENTES'!A:E,2,0)</f>
        <v>Brasília</v>
      </c>
      <c r="D2921" s="1" t="str">
        <f>VLOOKUP(Tabela1[[#This Row],[Cliente]],'BASE DE CLIENTES'!A:C,3,0)</f>
        <v>DF</v>
      </c>
      <c r="E2921" s="4" t="str">
        <f>CONCATENATE(Tabela1[[#This Row],[CIDADE]],",",Tabela1[[#This Row],[UF]])</f>
        <v>Brasília,DF</v>
      </c>
      <c r="F2921" s="2">
        <v>45940</v>
      </c>
      <c r="G2921" s="17">
        <v>1779.2</v>
      </c>
      <c r="H2921" s="17">
        <v>2690</v>
      </c>
      <c r="I2921" s="6">
        <f>Tabela1[[#This Row],[Valor total]]-Tabela1[[#This Row],[Valor custo]]</f>
        <v>910.8</v>
      </c>
      <c r="J2921" s="7">
        <f>Tabela1[[#This Row],[MARGEM BRUTA]]/Tabela1[[#This Row],[Valor total]]</f>
        <v>0.33858736059479549</v>
      </c>
      <c r="K2921" s="1" t="str">
        <f>VLOOKUP(Tabela1[[#This Row],[Cliente]],'BASE DE CLIENTES'!A:D,4,0)</f>
        <v>EMPRESA COM MAQUINA</v>
      </c>
      <c r="L2921" s="1" t="str">
        <f>VLOOKUP(Tabela1[[#This Row],[Cliente]],'BASE DE CLIENTES'!A:E,5,0)</f>
        <v>26 DE SETEMBRO</v>
      </c>
    </row>
    <row r="2922" spans="2:12" x14ac:dyDescent="0.3">
      <c r="B2922" s="1" t="s">
        <v>25</v>
      </c>
      <c r="C2922" s="4" t="str">
        <f>VLOOKUP(Tabela1[[#This Row],[Cliente]],'BASE DE CLIENTES'!A:E,2,0)</f>
        <v>Brasília</v>
      </c>
      <c r="D2922" s="1" t="str">
        <f>VLOOKUP(Tabela1[[#This Row],[Cliente]],'BASE DE CLIENTES'!A:C,3,0)</f>
        <v>DF</v>
      </c>
      <c r="E2922" s="4" t="str">
        <f>CONCATENATE(Tabela1[[#This Row],[CIDADE]],",",Tabela1[[#This Row],[UF]])</f>
        <v>Brasília,DF</v>
      </c>
      <c r="F2922" s="2">
        <v>45940</v>
      </c>
      <c r="G2922" s="17">
        <v>382.3</v>
      </c>
      <c r="H2922" s="17">
        <v>615</v>
      </c>
      <c r="I2922" s="6">
        <f>Tabela1[[#This Row],[Valor total]]-Tabela1[[#This Row],[Valor custo]]</f>
        <v>232.7</v>
      </c>
      <c r="J2922" s="7">
        <f>Tabela1[[#This Row],[MARGEM BRUTA]]/Tabela1[[#This Row],[Valor total]]</f>
        <v>0.37837398373983738</v>
      </c>
      <c r="K2922" s="1" t="str">
        <f>VLOOKUP(Tabela1[[#This Row],[Cliente]],'BASE DE CLIENTES'!A:D,4,0)</f>
        <v>EMPRESA COM MAQUINA</v>
      </c>
      <c r="L2922" s="1" t="str">
        <f>VLOOKUP(Tabela1[[#This Row],[Cliente]],'BASE DE CLIENTES'!A:E,5,0)</f>
        <v>CEILANDIA NORTE (CEILANDIA)</v>
      </c>
    </row>
    <row r="2923" spans="2:12" x14ac:dyDescent="0.3">
      <c r="B2923" s="1" t="s">
        <v>27</v>
      </c>
      <c r="C2923" s="4" t="str">
        <f>VLOOKUP(Tabela1[[#This Row],[Cliente]],'BASE DE CLIENTES'!A:E,2,0)</f>
        <v>Brasília</v>
      </c>
      <c r="D2923" s="1" t="str">
        <f>VLOOKUP(Tabela1[[#This Row],[Cliente]],'BASE DE CLIENTES'!A:C,3,0)</f>
        <v>DF</v>
      </c>
      <c r="E2923" s="4" t="str">
        <f>CONCATENATE(Tabela1[[#This Row],[CIDADE]],",",Tabela1[[#This Row],[UF]])</f>
        <v>Brasília,DF</v>
      </c>
      <c r="F2923" s="2">
        <v>45940</v>
      </c>
      <c r="G2923" s="17">
        <v>1466</v>
      </c>
      <c r="H2923" s="17">
        <v>1980</v>
      </c>
      <c r="I2923" s="6">
        <f>Tabela1[[#This Row],[Valor total]]-Tabela1[[#This Row],[Valor custo]]</f>
        <v>514</v>
      </c>
      <c r="J2923" s="7">
        <f>Tabela1[[#This Row],[MARGEM BRUTA]]/Tabela1[[#This Row],[Valor total]]</f>
        <v>0.2595959595959596</v>
      </c>
      <c r="K2923" s="1" t="str">
        <f>VLOOKUP(Tabela1[[#This Row],[Cliente]],'BASE DE CLIENTES'!A:D,4,0)</f>
        <v>EMPRESA SEM MAQUINA</v>
      </c>
      <c r="L2923" s="1" t="str">
        <f>VLOOKUP(Tabela1[[#This Row],[Cliente]],'BASE DE CLIENTES'!A:E,5,0)</f>
        <v>RECANTO DAS EMAS</v>
      </c>
    </row>
    <row r="2924" spans="2:12" x14ac:dyDescent="0.3">
      <c r="B2924" s="1" t="s">
        <v>107</v>
      </c>
      <c r="C2924" s="4" t="str">
        <f>VLOOKUP(Tabela1[[#This Row],[Cliente]],'BASE DE CLIENTES'!A:E,2,0)</f>
        <v>Planaltina</v>
      </c>
      <c r="D2924" s="1" t="str">
        <f>VLOOKUP(Tabela1[[#This Row],[Cliente]],'BASE DE CLIENTES'!A:C,3,0)</f>
        <v>DF</v>
      </c>
      <c r="E2924" s="4" t="str">
        <f>CONCATENATE(Tabela1[[#This Row],[CIDADE]],",",Tabela1[[#This Row],[UF]])</f>
        <v>Planaltina,DF</v>
      </c>
      <c r="F2924" s="2">
        <v>45940</v>
      </c>
      <c r="G2924" s="17">
        <v>1820</v>
      </c>
      <c r="H2924" s="17">
        <v>2800</v>
      </c>
      <c r="I2924" s="6">
        <f>Tabela1[[#This Row],[Valor total]]-Tabela1[[#This Row],[Valor custo]]</f>
        <v>980</v>
      </c>
      <c r="J2924" s="7">
        <f>Tabela1[[#This Row],[MARGEM BRUTA]]/Tabela1[[#This Row],[Valor total]]</f>
        <v>0.35</v>
      </c>
      <c r="K2924" s="1" t="str">
        <f>VLOOKUP(Tabela1[[#This Row],[Cliente]],'BASE DE CLIENTES'!A:D,4,0)</f>
        <v>EMPRESA COM MAQUINA</v>
      </c>
      <c r="L2924" s="1" t="str">
        <f>VLOOKUP(Tabela1[[#This Row],[Cliente]],'BASE DE CLIENTES'!A:E,5,0)</f>
        <v>SETOR LESTE</v>
      </c>
    </row>
    <row r="2925" spans="2:12" x14ac:dyDescent="0.3">
      <c r="B2925" s="1" t="s">
        <v>297</v>
      </c>
      <c r="C2925" s="4" t="str">
        <f>VLOOKUP(Tabela1[[#This Row],[Cliente]],'BASE DE CLIENTES'!A:E,2,0)</f>
        <v>Brasília</v>
      </c>
      <c r="D2925" s="1" t="str">
        <f>VLOOKUP(Tabela1[[#This Row],[Cliente]],'BASE DE CLIENTES'!A:C,3,0)</f>
        <v>DF</v>
      </c>
      <c r="E2925" s="4" t="str">
        <f>CONCATENATE(Tabela1[[#This Row],[CIDADE]],",",Tabela1[[#This Row],[UF]])</f>
        <v>Brasília,DF</v>
      </c>
      <c r="F2925" s="2">
        <v>45940</v>
      </c>
      <c r="G2925" s="17">
        <v>72.099999999999994</v>
      </c>
      <c r="H2925" s="17">
        <v>200</v>
      </c>
      <c r="I2925" s="6">
        <f>Tabela1[[#This Row],[Valor total]]-Tabela1[[#This Row],[Valor custo]]</f>
        <v>127.9</v>
      </c>
      <c r="J2925" s="7">
        <f>Tabela1[[#This Row],[MARGEM BRUTA]]/Tabela1[[#This Row],[Valor total]]</f>
        <v>0.63950000000000007</v>
      </c>
      <c r="K2925" s="1" t="str">
        <f>VLOOKUP(Tabela1[[#This Row],[Cliente]],'BASE DE CLIENTES'!A:D,4,0)</f>
        <v>SERRALHEIRO</v>
      </c>
      <c r="L2925" s="1" t="str">
        <f>VLOOKUP(Tabela1[[#This Row],[Cliente]],'BASE DE CLIENTES'!A:E,5,0)</f>
        <v>NA</v>
      </c>
    </row>
    <row r="2926" spans="2:12" x14ac:dyDescent="0.3">
      <c r="B2926" s="1" t="s">
        <v>236</v>
      </c>
      <c r="C2926" s="4" t="str">
        <f>VLOOKUP(Tabela1[[#This Row],[Cliente]],'BASE DE CLIENTES'!A:E,2,0)</f>
        <v>Goiânia</v>
      </c>
      <c r="D2926" s="1" t="str">
        <f>VLOOKUP(Tabela1[[#This Row],[Cliente]],'BASE DE CLIENTES'!A:C,3,0)</f>
        <v>GO</v>
      </c>
      <c r="E2926" s="4" t="str">
        <f>CONCATENATE(Tabela1[[#This Row],[CIDADE]],",",Tabela1[[#This Row],[UF]])</f>
        <v>Goiânia,GO</v>
      </c>
      <c r="F2926" s="2">
        <v>45940</v>
      </c>
      <c r="G2926" s="17">
        <v>534</v>
      </c>
      <c r="H2926" s="17">
        <v>790</v>
      </c>
      <c r="I2926" s="6">
        <f>Tabela1[[#This Row],[Valor total]]-Tabela1[[#This Row],[Valor custo]]</f>
        <v>256</v>
      </c>
      <c r="J2926" s="7">
        <f>Tabela1[[#This Row],[MARGEM BRUTA]]/Tabela1[[#This Row],[Valor total]]</f>
        <v>0.32405063291139241</v>
      </c>
      <c r="K2926" s="1" t="str">
        <f>VLOOKUP(Tabela1[[#This Row],[Cliente]],'BASE DE CLIENTES'!A:D,4,0)</f>
        <v>EMPRESA COM MAQUINA</v>
      </c>
      <c r="L2926" s="1" t="str">
        <f>VLOOKUP(Tabela1[[#This Row],[Cliente]],'BASE DE CLIENTES'!A:E,5,0)</f>
        <v>Goiânia</v>
      </c>
    </row>
    <row r="2927" spans="2:12" x14ac:dyDescent="0.3">
      <c r="B2927" s="1" t="s">
        <v>68</v>
      </c>
      <c r="C2927" s="4" t="str">
        <f>VLOOKUP(Tabela1[[#This Row],[Cliente]],'BASE DE CLIENTES'!A:E,2,0)</f>
        <v>Brasília</v>
      </c>
      <c r="D2927" s="1" t="str">
        <f>VLOOKUP(Tabela1[[#This Row],[Cliente]],'BASE DE CLIENTES'!A:C,3,0)</f>
        <v>DF</v>
      </c>
      <c r="E2927" s="4" t="str">
        <f>CONCATENATE(Tabela1[[#This Row],[CIDADE]],",",Tabela1[[#This Row],[UF]])</f>
        <v>Brasília,DF</v>
      </c>
      <c r="F2927" s="2">
        <v>45940</v>
      </c>
      <c r="G2927" s="17">
        <v>920</v>
      </c>
      <c r="H2927" s="17">
        <v>1150</v>
      </c>
      <c r="I2927" s="6">
        <f>Tabela1[[#This Row],[Valor total]]-Tabela1[[#This Row],[Valor custo]]</f>
        <v>230</v>
      </c>
      <c r="J2927" s="7">
        <f>Tabela1[[#This Row],[MARGEM BRUTA]]/Tabela1[[#This Row],[Valor total]]</f>
        <v>0.2</v>
      </c>
      <c r="K2927" s="1" t="str">
        <f>VLOOKUP(Tabela1[[#This Row],[Cliente]],'BASE DE CLIENTES'!A:D,4,0)</f>
        <v>EMPRESA COM MAQUINA</v>
      </c>
      <c r="L2927" s="1" t="str">
        <f>VLOOKUP(Tabela1[[#This Row],[Cliente]],'BASE DE CLIENTES'!A:E,5,0)</f>
        <v>SAMAMBAIA SUL (SAMAMBAIA)</v>
      </c>
    </row>
    <row r="2928" spans="2:12" x14ac:dyDescent="0.3">
      <c r="B2928" s="1" t="s">
        <v>52</v>
      </c>
      <c r="C2928" s="4" t="str">
        <f>VLOOKUP(Tabela1[[#This Row],[Cliente]],'BASE DE CLIENTES'!A:E,2,0)</f>
        <v>Brasília</v>
      </c>
      <c r="D2928" s="1" t="str">
        <f>VLOOKUP(Tabela1[[#This Row],[Cliente]],'BASE DE CLIENTES'!A:C,3,0)</f>
        <v>DF</v>
      </c>
      <c r="E2928" s="4" t="str">
        <f>CONCATENATE(Tabela1[[#This Row],[CIDADE]],",",Tabela1[[#This Row],[UF]])</f>
        <v>Brasília,DF</v>
      </c>
      <c r="F2928" s="2">
        <v>45940</v>
      </c>
      <c r="G2928" s="17">
        <v>522.79</v>
      </c>
      <c r="H2928" s="17">
        <v>875</v>
      </c>
      <c r="I2928" s="6">
        <f>Tabela1[[#This Row],[Valor total]]-Tabela1[[#This Row],[Valor custo]]</f>
        <v>352.21000000000004</v>
      </c>
      <c r="J2928" s="7">
        <f>Tabela1[[#This Row],[MARGEM BRUTA]]/Tabela1[[#This Row],[Valor total]]</f>
        <v>0.40252571428571432</v>
      </c>
      <c r="K2928" s="1" t="str">
        <f>VLOOKUP(Tabela1[[#This Row],[Cliente]],'BASE DE CLIENTES'!A:D,4,0)</f>
        <v>SERRALHEIRO</v>
      </c>
      <c r="L2928" s="1" t="str">
        <f>VLOOKUP(Tabela1[[#This Row],[Cliente]],'BASE DE CLIENTES'!A:E,5,0)</f>
        <v>Ceilândia Sul (Ceilândia)</v>
      </c>
    </row>
    <row r="2929" spans="2:12" x14ac:dyDescent="0.3">
      <c r="B2929" s="1" t="s">
        <v>149</v>
      </c>
      <c r="C2929" s="4" t="str">
        <f>VLOOKUP(Tabela1[[#This Row],[Cliente]],'BASE DE CLIENTES'!A:E,2,0)</f>
        <v>Anápolis</v>
      </c>
      <c r="D2929" s="1" t="str">
        <f>VLOOKUP(Tabela1[[#This Row],[Cliente]],'BASE DE CLIENTES'!A:C,3,0)</f>
        <v>GO</v>
      </c>
      <c r="E2929" s="4" t="str">
        <f>CONCATENATE(Tabela1[[#This Row],[CIDADE]],",",Tabela1[[#This Row],[UF]])</f>
        <v>Anápolis,GO</v>
      </c>
      <c r="F2929" s="2">
        <v>45939</v>
      </c>
      <c r="G2929" s="17">
        <v>2704</v>
      </c>
      <c r="H2929" s="17">
        <v>3990</v>
      </c>
      <c r="I2929" s="6">
        <f>Tabela1[[#This Row],[Valor total]]-Tabela1[[#This Row],[Valor custo]]</f>
        <v>1286</v>
      </c>
      <c r="J2929" s="7">
        <f>Tabela1[[#This Row],[MARGEM BRUTA]]/Tabela1[[#This Row],[Valor total]]</f>
        <v>0.3223057644110276</v>
      </c>
      <c r="K2929" s="1" t="str">
        <f>VLOOKUP(Tabela1[[#This Row],[Cliente]],'BASE DE CLIENTES'!A:D,4,0)</f>
        <v>EMPRESA COM MAQUINA</v>
      </c>
      <c r="L2929" s="1" t="str">
        <f>VLOOKUP(Tabela1[[#This Row],[Cliente]],'BASE DE CLIENTES'!A:E,5,0)</f>
        <v>Anápolis</v>
      </c>
    </row>
    <row r="2930" spans="2:12" x14ac:dyDescent="0.3">
      <c r="B2930" s="1" t="s">
        <v>206</v>
      </c>
      <c r="C2930" s="4" t="str">
        <f>VLOOKUP(Tabela1[[#This Row],[Cliente]],'BASE DE CLIENTES'!A:E,2,0)</f>
        <v>Goiânia</v>
      </c>
      <c r="D2930" s="1" t="str">
        <f>VLOOKUP(Tabela1[[#This Row],[Cliente]],'BASE DE CLIENTES'!A:C,3,0)</f>
        <v>GO</v>
      </c>
      <c r="E2930" s="4" t="str">
        <f>CONCATENATE(Tabela1[[#This Row],[CIDADE]],",",Tabela1[[#This Row],[UF]])</f>
        <v>Goiânia,GO</v>
      </c>
      <c r="F2930" s="2">
        <v>45939</v>
      </c>
      <c r="G2930" s="17">
        <v>10891.85</v>
      </c>
      <c r="H2930" s="17">
        <v>13500</v>
      </c>
      <c r="I2930" s="6">
        <f>Tabela1[[#This Row],[Valor total]]-Tabela1[[#This Row],[Valor custo]]</f>
        <v>2608.1499999999996</v>
      </c>
      <c r="J2930" s="7">
        <f>Tabela1[[#This Row],[MARGEM BRUTA]]/Tabela1[[#This Row],[Valor total]]</f>
        <v>0.19319629629629628</v>
      </c>
      <c r="K2930" s="1" t="str">
        <f>VLOOKUP(Tabela1[[#This Row],[Cliente]],'BASE DE CLIENTES'!A:D,4,0)</f>
        <v>EMPRESA COM MAQUINA</v>
      </c>
      <c r="L2930" s="1" t="str">
        <f>VLOOKUP(Tabela1[[#This Row],[Cliente]],'BASE DE CLIENTES'!A:E,5,0)</f>
        <v>Goiânia</v>
      </c>
    </row>
    <row r="2931" spans="2:12" x14ac:dyDescent="0.3">
      <c r="B2931" s="1" t="s">
        <v>27</v>
      </c>
      <c r="C2931" s="4" t="str">
        <f>VLOOKUP(Tabela1[[#This Row],[Cliente]],'BASE DE CLIENTES'!A:E,2,0)</f>
        <v>Brasília</v>
      </c>
      <c r="D2931" s="1" t="str">
        <f>VLOOKUP(Tabela1[[#This Row],[Cliente]],'BASE DE CLIENTES'!A:C,3,0)</f>
        <v>DF</v>
      </c>
      <c r="E2931" s="4" t="str">
        <f>CONCATENATE(Tabela1[[#This Row],[CIDADE]],",",Tabela1[[#This Row],[UF]])</f>
        <v>Brasília,DF</v>
      </c>
      <c r="F2931" s="2">
        <v>45939</v>
      </c>
      <c r="G2931" s="17">
        <v>649</v>
      </c>
      <c r="H2931" s="17">
        <v>1000</v>
      </c>
      <c r="I2931" s="6">
        <f>Tabela1[[#This Row],[Valor total]]-Tabela1[[#This Row],[Valor custo]]</f>
        <v>351</v>
      </c>
      <c r="J2931" s="7">
        <f>Tabela1[[#This Row],[MARGEM BRUTA]]/Tabela1[[#This Row],[Valor total]]</f>
        <v>0.35099999999999998</v>
      </c>
      <c r="K2931" s="1" t="str">
        <f>VLOOKUP(Tabela1[[#This Row],[Cliente]],'BASE DE CLIENTES'!A:D,4,0)</f>
        <v>EMPRESA SEM MAQUINA</v>
      </c>
      <c r="L2931" s="1" t="str">
        <f>VLOOKUP(Tabela1[[#This Row],[Cliente]],'BASE DE CLIENTES'!A:E,5,0)</f>
        <v>RECANTO DAS EMAS</v>
      </c>
    </row>
    <row r="2932" spans="2:12" x14ac:dyDescent="0.3">
      <c r="B2932" s="1" t="s">
        <v>106</v>
      </c>
      <c r="C2932" s="4" t="str">
        <f>VLOOKUP(Tabela1[[#This Row],[Cliente]],'BASE DE CLIENTES'!A:E,2,0)</f>
        <v>Brasília</v>
      </c>
      <c r="D2932" s="1" t="str">
        <f>VLOOKUP(Tabela1[[#This Row],[Cliente]],'BASE DE CLIENTES'!A:C,3,0)</f>
        <v>DF</v>
      </c>
      <c r="E2932" s="4" t="str">
        <f>CONCATENATE(Tabela1[[#This Row],[CIDADE]],",",Tabela1[[#This Row],[UF]])</f>
        <v>Brasília,DF</v>
      </c>
      <c r="F2932" s="2">
        <v>45939</v>
      </c>
      <c r="G2932" s="17">
        <v>2307.4899999999998</v>
      </c>
      <c r="H2932" s="17">
        <v>3600</v>
      </c>
      <c r="I2932" s="6">
        <f>Tabela1[[#This Row],[Valor total]]-Tabela1[[#This Row],[Valor custo]]</f>
        <v>1292.5100000000002</v>
      </c>
      <c r="J2932" s="7">
        <f>Tabela1[[#This Row],[MARGEM BRUTA]]/Tabela1[[#This Row],[Valor total]]</f>
        <v>0.35903055555555563</v>
      </c>
      <c r="K2932" s="1" t="str">
        <f>VLOOKUP(Tabela1[[#This Row],[Cliente]],'BASE DE CLIENTES'!A:D,4,0)</f>
        <v>EMPRESA COM MAQUINA</v>
      </c>
      <c r="L2932" s="1" t="str">
        <f>VLOOKUP(Tabela1[[#This Row],[Cliente]],'BASE DE CLIENTES'!A:E,5,0)</f>
        <v>26 DE SETEMBRO</v>
      </c>
    </row>
    <row r="2933" spans="2:12" x14ac:dyDescent="0.3">
      <c r="B2933" s="1" t="s">
        <v>55</v>
      </c>
      <c r="C2933" s="4" t="str">
        <f>VLOOKUP(Tabela1[[#This Row],[Cliente]],'BASE DE CLIENTES'!A:E,2,0)</f>
        <v>Brasília</v>
      </c>
      <c r="D2933" s="1" t="str">
        <f>VLOOKUP(Tabela1[[#This Row],[Cliente]],'BASE DE CLIENTES'!A:C,3,0)</f>
        <v>DF</v>
      </c>
      <c r="E2933" s="4" t="str">
        <f>CONCATENATE(Tabela1[[#This Row],[CIDADE]],",",Tabela1[[#This Row],[UF]])</f>
        <v>Brasília,DF</v>
      </c>
      <c r="F2933" s="2">
        <v>45939</v>
      </c>
      <c r="G2933" s="17">
        <v>2652.55</v>
      </c>
      <c r="H2933" s="17">
        <v>5410</v>
      </c>
      <c r="I2933" s="6">
        <f>Tabela1[[#This Row],[Valor total]]-Tabela1[[#This Row],[Valor custo]]</f>
        <v>2757.45</v>
      </c>
      <c r="J2933" s="7">
        <f>Tabela1[[#This Row],[MARGEM BRUTA]]/Tabela1[[#This Row],[Valor total]]</f>
        <v>0.50969500924214417</v>
      </c>
      <c r="K2933" s="1" t="str">
        <f>VLOOKUP(Tabela1[[#This Row],[Cliente]],'BASE DE CLIENTES'!A:D,4,0)</f>
        <v>EMPRESA SEM MAQUINA</v>
      </c>
      <c r="L2933" s="1" t="str">
        <f>VLOOKUP(Tabela1[[#This Row],[Cliente]],'BASE DE CLIENTES'!A:E,5,0)</f>
        <v>RECANTO DAS EMAS</v>
      </c>
    </row>
    <row r="2934" spans="2:12" x14ac:dyDescent="0.3">
      <c r="B2934" s="1" t="s">
        <v>88</v>
      </c>
      <c r="C2934" s="4" t="str">
        <f>VLOOKUP(Tabela1[[#This Row],[Cliente]],'BASE DE CLIENTES'!A:E,2,0)</f>
        <v>Brasília</v>
      </c>
      <c r="D2934" s="1" t="str">
        <f>VLOOKUP(Tabela1[[#This Row],[Cliente]],'BASE DE CLIENTES'!A:C,3,0)</f>
        <v>DF</v>
      </c>
      <c r="E2934" s="4" t="str">
        <f>CONCATENATE(Tabela1[[#This Row],[CIDADE]],",",Tabela1[[#This Row],[UF]])</f>
        <v>Brasília,DF</v>
      </c>
      <c r="F2934" s="2">
        <v>45939</v>
      </c>
      <c r="G2934" s="17">
        <v>1136.79</v>
      </c>
      <c r="H2934" s="17">
        <v>1980</v>
      </c>
      <c r="I2934" s="6">
        <f>Tabela1[[#This Row],[Valor total]]-Tabela1[[#This Row],[Valor custo]]</f>
        <v>843.21</v>
      </c>
      <c r="J2934" s="7">
        <f>Tabela1[[#This Row],[MARGEM BRUTA]]/Tabela1[[#This Row],[Valor total]]</f>
        <v>0.42586363636363639</v>
      </c>
      <c r="K2934" s="1" t="str">
        <f>VLOOKUP(Tabela1[[#This Row],[Cliente]],'BASE DE CLIENTES'!A:D,4,0)</f>
        <v>SERRALHEIRO</v>
      </c>
      <c r="L2934" s="1" t="str">
        <f>VLOOKUP(Tabela1[[#This Row],[Cliente]],'BASE DE CLIENTES'!A:E,5,0)</f>
        <v>RECANTO DAS EMAS</v>
      </c>
    </row>
    <row r="2935" spans="2:12" x14ac:dyDescent="0.3">
      <c r="B2935" s="1" t="s">
        <v>321</v>
      </c>
      <c r="C2935" s="4" t="str">
        <f>VLOOKUP(Tabela1[[#This Row],[Cliente]],'BASE DE CLIENTES'!A:E,2,0)</f>
        <v>Valparaíso de Goiás</v>
      </c>
      <c r="D2935" s="1" t="str">
        <f>VLOOKUP(Tabela1[[#This Row],[Cliente]],'BASE DE CLIENTES'!A:C,3,0)</f>
        <v>GO</v>
      </c>
      <c r="E2935" s="4" t="str">
        <f>CONCATENATE(Tabela1[[#This Row],[CIDADE]],",",Tabela1[[#This Row],[UF]])</f>
        <v>Valparaíso de Goiás,GO</v>
      </c>
      <c r="F2935" s="2">
        <v>45939</v>
      </c>
      <c r="G2935" s="17">
        <v>1031.3</v>
      </c>
      <c r="H2935" s="17">
        <v>1765</v>
      </c>
      <c r="I2935" s="6">
        <f>Tabela1[[#This Row],[Valor total]]-Tabela1[[#This Row],[Valor custo]]</f>
        <v>733.7</v>
      </c>
      <c r="J2935" s="7">
        <f>Tabela1[[#This Row],[MARGEM BRUTA]]/Tabela1[[#This Row],[Valor total]]</f>
        <v>0.41569405099150142</v>
      </c>
      <c r="K2935" s="1" t="str">
        <f>VLOOKUP(Tabela1[[#This Row],[Cliente]],'BASE DE CLIENTES'!A:D,4,0)</f>
        <v>EMPRESA COM MAQUINA</v>
      </c>
      <c r="L2935" s="1" t="str">
        <f>VLOOKUP(Tabela1[[#This Row],[Cliente]],'BASE DE CLIENTES'!A:E,5,0)</f>
        <v>Valparaíso de Goiás</v>
      </c>
    </row>
    <row r="2936" spans="2:12" x14ac:dyDescent="0.3">
      <c r="B2936" s="1" t="s">
        <v>66</v>
      </c>
      <c r="C2936" s="4" t="str">
        <f>VLOOKUP(Tabela1[[#This Row],[Cliente]],'BASE DE CLIENTES'!A:E,2,0)</f>
        <v>Águas Lindas de Goiás</v>
      </c>
      <c r="D2936" s="1" t="str">
        <f>VLOOKUP(Tabela1[[#This Row],[Cliente]],'BASE DE CLIENTES'!A:C,3,0)</f>
        <v>GO</v>
      </c>
      <c r="E2936" s="4" t="str">
        <f>CONCATENATE(Tabela1[[#This Row],[CIDADE]],",",Tabela1[[#This Row],[UF]])</f>
        <v>Águas Lindas de Goiás,GO</v>
      </c>
      <c r="F2936" s="2">
        <v>45939</v>
      </c>
      <c r="G2936" s="17">
        <v>725</v>
      </c>
      <c r="H2936" s="17">
        <v>1330</v>
      </c>
      <c r="I2936" s="6">
        <f>Tabela1[[#This Row],[Valor total]]-Tabela1[[#This Row],[Valor custo]]</f>
        <v>605</v>
      </c>
      <c r="J2936" s="7">
        <f>Tabela1[[#This Row],[MARGEM BRUTA]]/Tabela1[[#This Row],[Valor total]]</f>
        <v>0.45488721804511278</v>
      </c>
      <c r="K2936" s="1" t="str">
        <f>VLOOKUP(Tabela1[[#This Row],[Cliente]],'BASE DE CLIENTES'!A:D,4,0)</f>
        <v>EMPRESA COM MAQUINA</v>
      </c>
      <c r="L2936" s="1" t="str">
        <f>VLOOKUP(Tabela1[[#This Row],[Cliente]],'BASE DE CLIENTES'!A:E,5,0)</f>
        <v>Águas Lindas de Goiás</v>
      </c>
    </row>
    <row r="2937" spans="2:12" x14ac:dyDescent="0.3">
      <c r="B2937" s="1" t="s">
        <v>230</v>
      </c>
      <c r="C2937" s="4" t="str">
        <f>VLOOKUP(Tabela1[[#This Row],[Cliente]],'BASE DE CLIENTES'!A:E,2,0)</f>
        <v>Brasília</v>
      </c>
      <c r="D2937" s="1" t="str">
        <f>VLOOKUP(Tabela1[[#This Row],[Cliente]],'BASE DE CLIENTES'!A:C,3,0)</f>
        <v>DF</v>
      </c>
      <c r="E2937" s="4" t="str">
        <f>CONCATENATE(Tabela1[[#This Row],[CIDADE]],",",Tabela1[[#This Row],[UF]])</f>
        <v>Brasília,DF</v>
      </c>
      <c r="F2937" s="2">
        <v>45939</v>
      </c>
      <c r="G2937" s="17">
        <v>1031.3</v>
      </c>
      <c r="H2937" s="17">
        <v>1800</v>
      </c>
      <c r="I2937" s="6">
        <f>Tabela1[[#This Row],[Valor total]]-Tabela1[[#This Row],[Valor custo]]</f>
        <v>768.7</v>
      </c>
      <c r="J2937" s="7">
        <f>Tabela1[[#This Row],[MARGEM BRUTA]]/Tabela1[[#This Row],[Valor total]]</f>
        <v>0.42705555555555558</v>
      </c>
      <c r="K2937" s="1" t="str">
        <f>VLOOKUP(Tabela1[[#This Row],[Cliente]],'BASE DE CLIENTES'!A:D,4,0)</f>
        <v>SERRALHEIRO</v>
      </c>
      <c r="L2937" s="1" t="str">
        <f>VLOOKUP(Tabela1[[#This Row],[Cliente]],'BASE DE CLIENTES'!A:E,5,0)</f>
        <v>SETOR HABITACIONAL SAMAMBAIA (VICENTE PIRES)</v>
      </c>
    </row>
    <row r="2938" spans="2:12" x14ac:dyDescent="0.3">
      <c r="B2938" s="1" t="s">
        <v>19</v>
      </c>
      <c r="C2938" s="4" t="str">
        <f>VLOOKUP(Tabela1[[#This Row],[Cliente]],'BASE DE CLIENTES'!A:E,2,0)</f>
        <v>Águas Lindas de Goiás</v>
      </c>
      <c r="D2938" s="1" t="str">
        <f>VLOOKUP(Tabela1[[#This Row],[Cliente]],'BASE DE CLIENTES'!A:C,3,0)</f>
        <v>GO</v>
      </c>
      <c r="E2938" s="4" t="str">
        <f>CONCATENATE(Tabela1[[#This Row],[CIDADE]],",",Tabela1[[#This Row],[UF]])</f>
        <v>Águas Lindas de Goiás,GO</v>
      </c>
      <c r="F2938" s="2">
        <v>45939</v>
      </c>
      <c r="G2938" s="17">
        <v>382.3</v>
      </c>
      <c r="H2938" s="17">
        <v>644.5</v>
      </c>
      <c r="I2938" s="6">
        <f>Tabela1[[#This Row],[Valor total]]-Tabela1[[#This Row],[Valor custo]]</f>
        <v>262.2</v>
      </c>
      <c r="J2938" s="7">
        <f>Tabela1[[#This Row],[MARGEM BRUTA]]/Tabela1[[#This Row],[Valor total]]</f>
        <v>0.40682699767261443</v>
      </c>
      <c r="K2938" s="1" t="str">
        <f>VLOOKUP(Tabela1[[#This Row],[Cliente]],'BASE DE CLIENTES'!A:D,4,0)</f>
        <v>SERRALHEIRO</v>
      </c>
      <c r="L2938" s="1" t="str">
        <f>VLOOKUP(Tabela1[[#This Row],[Cliente]],'BASE DE CLIENTES'!A:E,5,0)</f>
        <v>Águas Lindas de Goiás</v>
      </c>
    </row>
    <row r="2939" spans="2:12" x14ac:dyDescent="0.3">
      <c r="B2939" s="1" t="s">
        <v>161</v>
      </c>
      <c r="C2939" s="4" t="str">
        <f>VLOOKUP(Tabela1[[#This Row],[Cliente]],'BASE DE CLIENTES'!A:E,2,0)</f>
        <v>Brasília</v>
      </c>
      <c r="D2939" s="1" t="str">
        <f>VLOOKUP(Tabela1[[#This Row],[Cliente]],'BASE DE CLIENTES'!A:C,3,0)</f>
        <v>DF</v>
      </c>
      <c r="E2939" s="4" t="str">
        <f>CONCATENATE(Tabela1[[#This Row],[CIDADE]],",",Tabela1[[#This Row],[UF]])</f>
        <v>Brasília,DF</v>
      </c>
      <c r="F2939" s="2">
        <v>45939</v>
      </c>
      <c r="G2939" s="17">
        <v>14976</v>
      </c>
      <c r="H2939" s="17">
        <v>21875</v>
      </c>
      <c r="I2939" s="6">
        <f>Tabela1[[#This Row],[Valor total]]-Tabela1[[#This Row],[Valor custo]]</f>
        <v>6899</v>
      </c>
      <c r="J2939" s="7">
        <f>Tabela1[[#This Row],[MARGEM BRUTA]]/Tabela1[[#This Row],[Valor total]]</f>
        <v>0.31538285714285713</v>
      </c>
      <c r="K2939" s="1" t="str">
        <f>VLOOKUP(Tabela1[[#This Row],[Cliente]],'BASE DE CLIENTES'!A:D,4,0)</f>
        <v>EMPRESA COM MAQUINA</v>
      </c>
      <c r="L2939" s="1" t="str">
        <f>VLOOKUP(Tabela1[[#This Row],[Cliente]],'BASE DE CLIENTES'!A:E,5,0)</f>
        <v>RIACHO FUNDO II</v>
      </c>
    </row>
    <row r="2940" spans="2:12" x14ac:dyDescent="0.3">
      <c r="B2940" s="1" t="s">
        <v>97</v>
      </c>
      <c r="C2940" s="4" t="str">
        <f>VLOOKUP(Tabela1[[#This Row],[Cliente]],'BASE DE CLIENTES'!A:E,2,0)</f>
        <v>Brasília</v>
      </c>
      <c r="D2940" s="1" t="str">
        <f>VLOOKUP(Tabela1[[#This Row],[Cliente]],'BASE DE CLIENTES'!A:C,3,0)</f>
        <v>DF</v>
      </c>
      <c r="E2940" s="4" t="str">
        <f>CONCATENATE(Tabela1[[#This Row],[CIDADE]],",",Tabela1[[#This Row],[UF]])</f>
        <v>Brasília,DF</v>
      </c>
      <c r="F2940" s="2">
        <v>45939</v>
      </c>
      <c r="G2940" s="17">
        <v>382.3</v>
      </c>
      <c r="H2940" s="17">
        <v>650</v>
      </c>
      <c r="I2940" s="6">
        <f>Tabela1[[#This Row],[Valor total]]-Tabela1[[#This Row],[Valor custo]]</f>
        <v>267.7</v>
      </c>
      <c r="J2940" s="7">
        <f>Tabela1[[#This Row],[MARGEM BRUTA]]/Tabela1[[#This Row],[Valor total]]</f>
        <v>0.41184615384615381</v>
      </c>
      <c r="K2940" s="1" t="str">
        <f>VLOOKUP(Tabela1[[#This Row],[Cliente]],'BASE DE CLIENTES'!A:D,4,0)</f>
        <v>SERRALHEIRO</v>
      </c>
      <c r="L2940" s="1" t="str">
        <f>VLOOKUP(Tabela1[[#This Row],[Cliente]],'BASE DE CLIENTES'!A:E,5,0)</f>
        <v>CEILANDIA NORTE</v>
      </c>
    </row>
    <row r="2941" spans="2:12" x14ac:dyDescent="0.3">
      <c r="B2941" s="1" t="s">
        <v>152</v>
      </c>
      <c r="C2941" s="4" t="str">
        <f>VLOOKUP(Tabela1[[#This Row],[Cliente]],'BASE DE CLIENTES'!A:E,2,0)</f>
        <v>Aparecida de Goiânia</v>
      </c>
      <c r="D2941" s="1" t="str">
        <f>VLOOKUP(Tabela1[[#This Row],[Cliente]],'BASE DE CLIENTES'!A:C,3,0)</f>
        <v>GO</v>
      </c>
      <c r="E2941" s="4" t="str">
        <f>CONCATENATE(Tabela1[[#This Row],[CIDADE]],",",Tabela1[[#This Row],[UF]])</f>
        <v>Aparecida de Goiânia,GO</v>
      </c>
      <c r="F2941" s="2">
        <v>45939</v>
      </c>
      <c r="G2941" s="17">
        <v>250</v>
      </c>
      <c r="H2941" s="17">
        <v>300</v>
      </c>
      <c r="I2941" s="6">
        <f>Tabela1[[#This Row],[Valor total]]-Tabela1[[#This Row],[Valor custo]]</f>
        <v>50</v>
      </c>
      <c r="J2941" s="7">
        <f>Tabela1[[#This Row],[MARGEM BRUTA]]/Tabela1[[#This Row],[Valor total]]</f>
        <v>0.16666666666666666</v>
      </c>
      <c r="K2941" s="1" t="str">
        <f>VLOOKUP(Tabela1[[#This Row],[Cliente]],'BASE DE CLIENTES'!A:D,4,0)</f>
        <v>TECNICO</v>
      </c>
      <c r="L2941" s="1" t="str">
        <f>VLOOKUP(Tabela1[[#This Row],[Cliente]],'BASE DE CLIENTES'!A:E,5,0)</f>
        <v>Aparecida de Goiânia</v>
      </c>
    </row>
    <row r="2942" spans="2:12" x14ac:dyDescent="0.3">
      <c r="B2942" s="1" t="s">
        <v>106</v>
      </c>
      <c r="C2942" s="4" t="str">
        <f>VLOOKUP(Tabela1[[#This Row],[Cliente]],'BASE DE CLIENTES'!A:E,2,0)</f>
        <v>Brasília</v>
      </c>
      <c r="D2942" s="1" t="str">
        <f>VLOOKUP(Tabela1[[#This Row],[Cliente]],'BASE DE CLIENTES'!A:C,3,0)</f>
        <v>DF</v>
      </c>
      <c r="E2942" s="4" t="str">
        <f>CONCATENATE(Tabela1[[#This Row],[CIDADE]],",",Tabela1[[#This Row],[UF]])</f>
        <v>Brasília,DF</v>
      </c>
      <c r="F2942" s="2">
        <v>45938</v>
      </c>
      <c r="G2942" s="17">
        <v>382.3</v>
      </c>
      <c r="H2942" s="17">
        <v>600</v>
      </c>
      <c r="I2942" s="6">
        <f>Tabela1[[#This Row],[Valor total]]-Tabela1[[#This Row],[Valor custo]]</f>
        <v>217.7</v>
      </c>
      <c r="J2942" s="7">
        <f>Tabela1[[#This Row],[MARGEM BRUTA]]/Tabela1[[#This Row],[Valor total]]</f>
        <v>0.36283333333333334</v>
      </c>
      <c r="K2942" s="1" t="str">
        <f>VLOOKUP(Tabela1[[#This Row],[Cliente]],'BASE DE CLIENTES'!A:D,4,0)</f>
        <v>EMPRESA COM MAQUINA</v>
      </c>
      <c r="L2942" s="1" t="str">
        <f>VLOOKUP(Tabela1[[#This Row],[Cliente]],'BASE DE CLIENTES'!A:E,5,0)</f>
        <v>26 DE SETEMBRO</v>
      </c>
    </row>
    <row r="2943" spans="2:12" x14ac:dyDescent="0.3">
      <c r="B2943" s="1" t="s">
        <v>254</v>
      </c>
      <c r="C2943" s="4" t="str">
        <f>VLOOKUP(Tabela1[[#This Row],[Cliente]],'BASE DE CLIENTES'!A:E,2,0)</f>
        <v>Luziânia</v>
      </c>
      <c r="D2943" s="1" t="str">
        <f>VLOOKUP(Tabela1[[#This Row],[Cliente]],'BASE DE CLIENTES'!A:C,3,0)</f>
        <v>GO</v>
      </c>
      <c r="E2943" s="4" t="str">
        <f>CONCATENATE(Tabela1[[#This Row],[CIDADE]],",",Tabela1[[#This Row],[UF]])</f>
        <v>Luziânia,GO</v>
      </c>
      <c r="F2943" s="2">
        <v>45938</v>
      </c>
      <c r="G2943" s="17">
        <v>424.98</v>
      </c>
      <c r="H2943" s="17">
        <v>699</v>
      </c>
      <c r="I2943" s="6">
        <f>Tabela1[[#This Row],[Valor total]]-Tabela1[[#This Row],[Valor custo]]</f>
        <v>274.02</v>
      </c>
      <c r="J2943" s="7">
        <f>Tabela1[[#This Row],[MARGEM BRUTA]]/Tabela1[[#This Row],[Valor total]]</f>
        <v>0.39201716738197423</v>
      </c>
      <c r="K2943" s="1" t="str">
        <f>VLOOKUP(Tabela1[[#This Row],[Cliente]],'BASE DE CLIENTES'!A:D,4,0)</f>
        <v>SERRALHEIRO</v>
      </c>
      <c r="L2943" s="1" t="str">
        <f>VLOOKUP(Tabela1[[#This Row],[Cliente]],'BASE DE CLIENTES'!A:E,5,0)</f>
        <v>Luziânia</v>
      </c>
    </row>
    <row r="2944" spans="2:12" x14ac:dyDescent="0.3">
      <c r="B2944" s="1" t="s">
        <v>296</v>
      </c>
      <c r="C2944" s="4" t="str">
        <f>VLOOKUP(Tabela1[[#This Row],[Cliente]],'BASE DE CLIENTES'!A:E,2,0)</f>
        <v>Santo Antônio Descoberto</v>
      </c>
      <c r="D2944" s="1" t="str">
        <f>VLOOKUP(Tabela1[[#This Row],[Cliente]],'BASE DE CLIENTES'!A:C,3,0)</f>
        <v>GO</v>
      </c>
      <c r="E2944" s="4" t="str">
        <f>CONCATENATE(Tabela1[[#This Row],[CIDADE]],",",Tabela1[[#This Row],[UF]])</f>
        <v>Santo Antônio Descoberto,GO</v>
      </c>
      <c r="F2944" s="2">
        <v>45938</v>
      </c>
      <c r="G2944" s="17">
        <v>2293.8000000000002</v>
      </c>
      <c r="H2944" s="17">
        <v>3500</v>
      </c>
      <c r="I2944" s="6">
        <f>Tabela1[[#This Row],[Valor total]]-Tabela1[[#This Row],[Valor custo]]</f>
        <v>1206.1999999999998</v>
      </c>
      <c r="J2944" s="7">
        <f>Tabela1[[#This Row],[MARGEM BRUTA]]/Tabela1[[#This Row],[Valor total]]</f>
        <v>0.3446285714285714</v>
      </c>
      <c r="K2944" s="1" t="str">
        <f>VLOOKUP(Tabela1[[#This Row],[Cliente]],'BASE DE CLIENTES'!A:D,4,0)</f>
        <v>EMPRESA COM MAQUINA</v>
      </c>
      <c r="L2944" s="1" t="str">
        <f>VLOOKUP(Tabela1[[#This Row],[Cliente]],'BASE DE CLIENTES'!A:E,5,0)</f>
        <v>Santo Antônio Descoberto</v>
      </c>
    </row>
    <row r="2945" spans="2:12" x14ac:dyDescent="0.3">
      <c r="B2945" s="1" t="s">
        <v>27</v>
      </c>
      <c r="C2945" s="4" t="str">
        <f>VLOOKUP(Tabela1[[#This Row],[Cliente]],'BASE DE CLIENTES'!A:E,2,0)</f>
        <v>Brasília</v>
      </c>
      <c r="D2945" s="1" t="str">
        <f>VLOOKUP(Tabela1[[#This Row],[Cliente]],'BASE DE CLIENTES'!A:C,3,0)</f>
        <v>DF</v>
      </c>
      <c r="E2945" s="4" t="str">
        <f>CONCATENATE(Tabela1[[#This Row],[CIDADE]],",",Tabela1[[#This Row],[UF]])</f>
        <v>Brasília,DF</v>
      </c>
      <c r="F2945" s="2">
        <v>45938</v>
      </c>
      <c r="G2945" s="17">
        <v>789.6</v>
      </c>
      <c r="H2945" s="17">
        <v>1250</v>
      </c>
      <c r="I2945" s="6">
        <f>Tabela1[[#This Row],[Valor total]]-Tabela1[[#This Row],[Valor custo]]</f>
        <v>460.4</v>
      </c>
      <c r="J2945" s="7">
        <f>Tabela1[[#This Row],[MARGEM BRUTA]]/Tabela1[[#This Row],[Valor total]]</f>
        <v>0.36831999999999998</v>
      </c>
      <c r="K2945" s="1" t="str">
        <f>VLOOKUP(Tabela1[[#This Row],[Cliente]],'BASE DE CLIENTES'!A:D,4,0)</f>
        <v>EMPRESA SEM MAQUINA</v>
      </c>
      <c r="L2945" s="1" t="str">
        <f>VLOOKUP(Tabela1[[#This Row],[Cliente]],'BASE DE CLIENTES'!A:E,5,0)</f>
        <v>RECANTO DAS EMAS</v>
      </c>
    </row>
    <row r="2946" spans="2:12" x14ac:dyDescent="0.3">
      <c r="B2946" s="1" t="s">
        <v>199</v>
      </c>
      <c r="C2946" s="4" t="str">
        <f>VLOOKUP(Tabela1[[#This Row],[Cliente]],'BASE DE CLIENTES'!A:E,2,0)</f>
        <v>Goiânia</v>
      </c>
      <c r="D2946" s="1" t="str">
        <f>VLOOKUP(Tabela1[[#This Row],[Cliente]],'BASE DE CLIENTES'!A:C,3,0)</f>
        <v>GO</v>
      </c>
      <c r="E2946" s="4" t="str">
        <f>CONCATENATE(Tabela1[[#This Row],[CIDADE]],",",Tabela1[[#This Row],[UF]])</f>
        <v>Goiânia,GO</v>
      </c>
      <c r="F2946" s="2">
        <v>45938</v>
      </c>
      <c r="G2946" s="17">
        <v>900</v>
      </c>
      <c r="H2946" s="17">
        <v>1500</v>
      </c>
      <c r="I2946" s="6">
        <f>Tabela1[[#This Row],[Valor total]]-Tabela1[[#This Row],[Valor custo]]</f>
        <v>600</v>
      </c>
      <c r="J2946" s="7">
        <f>Tabela1[[#This Row],[MARGEM BRUTA]]/Tabela1[[#This Row],[Valor total]]</f>
        <v>0.4</v>
      </c>
      <c r="K2946" s="1" t="str">
        <f>VLOOKUP(Tabela1[[#This Row],[Cliente]],'BASE DE CLIENTES'!A:D,4,0)</f>
        <v>EMPRESA COM MAQUINA</v>
      </c>
      <c r="L2946" s="1" t="str">
        <f>VLOOKUP(Tabela1[[#This Row],[Cliente]],'BASE DE CLIENTES'!A:E,5,0)</f>
        <v>Goiânia</v>
      </c>
    </row>
    <row r="2947" spans="2:12" x14ac:dyDescent="0.3">
      <c r="B2947" s="1" t="s">
        <v>291</v>
      </c>
      <c r="C2947" s="4" t="str">
        <f>VLOOKUP(Tabela1[[#This Row],[Cliente]],'BASE DE CLIENTES'!A:E,2,0)</f>
        <v>Rio Verde</v>
      </c>
      <c r="D2947" s="1" t="str">
        <f>VLOOKUP(Tabela1[[#This Row],[Cliente]],'BASE DE CLIENTES'!A:C,3,0)</f>
        <v>GO</v>
      </c>
      <c r="E2947" s="4" t="str">
        <f>CONCATENATE(Tabela1[[#This Row],[CIDADE]],",",Tabela1[[#This Row],[UF]])</f>
        <v>Rio Verde,GO</v>
      </c>
      <c r="F2947" s="2">
        <v>45938</v>
      </c>
      <c r="G2947" s="17">
        <v>679</v>
      </c>
      <c r="H2947" s="17">
        <v>1400</v>
      </c>
      <c r="I2947" s="6">
        <f>Tabela1[[#This Row],[Valor total]]-Tabela1[[#This Row],[Valor custo]]</f>
        <v>721</v>
      </c>
      <c r="J2947" s="7">
        <f>Tabela1[[#This Row],[MARGEM BRUTA]]/Tabela1[[#This Row],[Valor total]]</f>
        <v>0.51500000000000001</v>
      </c>
      <c r="K2947" s="1" t="str">
        <f>VLOOKUP(Tabela1[[#This Row],[Cliente]],'BASE DE CLIENTES'!A:D,4,0)</f>
        <v>EMPRESA COM MAQUINA</v>
      </c>
      <c r="L2947" s="1" t="str">
        <f>VLOOKUP(Tabela1[[#This Row],[Cliente]],'BASE DE CLIENTES'!A:E,5,0)</f>
        <v>Rio Verde</v>
      </c>
    </row>
    <row r="2948" spans="2:12" x14ac:dyDescent="0.3">
      <c r="B2948" s="1" t="s">
        <v>152</v>
      </c>
      <c r="C2948" s="4" t="str">
        <f>VLOOKUP(Tabela1[[#This Row],[Cliente]],'BASE DE CLIENTES'!A:E,2,0)</f>
        <v>Aparecida de Goiânia</v>
      </c>
      <c r="D2948" s="1" t="str">
        <f>VLOOKUP(Tabela1[[#This Row],[Cliente]],'BASE DE CLIENTES'!A:C,3,0)</f>
        <v>GO</v>
      </c>
      <c r="E2948" s="4" t="str">
        <f>CONCATENATE(Tabela1[[#This Row],[CIDADE]],",",Tabela1[[#This Row],[UF]])</f>
        <v>Aparecida de Goiânia,GO</v>
      </c>
      <c r="F2948" s="2">
        <v>45938</v>
      </c>
      <c r="G2948" s="17">
        <v>534</v>
      </c>
      <c r="H2948" s="17">
        <v>860</v>
      </c>
      <c r="I2948" s="6">
        <f>Tabela1[[#This Row],[Valor total]]-Tabela1[[#This Row],[Valor custo]]</f>
        <v>326</v>
      </c>
      <c r="J2948" s="7">
        <f>Tabela1[[#This Row],[MARGEM BRUTA]]/Tabela1[[#This Row],[Valor total]]</f>
        <v>0.37906976744186044</v>
      </c>
      <c r="K2948" s="1" t="str">
        <f>VLOOKUP(Tabela1[[#This Row],[Cliente]],'BASE DE CLIENTES'!A:D,4,0)</f>
        <v>TECNICO</v>
      </c>
      <c r="L2948" s="1" t="str">
        <f>VLOOKUP(Tabela1[[#This Row],[Cliente]],'BASE DE CLIENTES'!A:E,5,0)</f>
        <v>Aparecida de Goiânia</v>
      </c>
    </row>
    <row r="2949" spans="2:12" x14ac:dyDescent="0.3">
      <c r="B2949" s="1" t="s">
        <v>25</v>
      </c>
      <c r="C2949" s="4" t="str">
        <f>VLOOKUP(Tabela1[[#This Row],[Cliente]],'BASE DE CLIENTES'!A:E,2,0)</f>
        <v>Brasília</v>
      </c>
      <c r="D2949" s="1" t="str">
        <f>VLOOKUP(Tabela1[[#This Row],[Cliente]],'BASE DE CLIENTES'!A:C,3,0)</f>
        <v>DF</v>
      </c>
      <c r="E2949" s="4" t="str">
        <f>CONCATENATE(Tabela1[[#This Row],[CIDADE]],",",Tabela1[[#This Row],[UF]])</f>
        <v>Brasília,DF</v>
      </c>
      <c r="F2949" s="2">
        <v>45938</v>
      </c>
      <c r="G2949" s="17">
        <v>649</v>
      </c>
      <c r="H2949" s="17">
        <v>1150</v>
      </c>
      <c r="I2949" s="6">
        <f>Tabela1[[#This Row],[Valor total]]-Tabela1[[#This Row],[Valor custo]]</f>
        <v>501</v>
      </c>
      <c r="J2949" s="7">
        <f>Tabela1[[#This Row],[MARGEM BRUTA]]/Tabela1[[#This Row],[Valor total]]</f>
        <v>0.43565217391304351</v>
      </c>
      <c r="K2949" s="1" t="str">
        <f>VLOOKUP(Tabela1[[#This Row],[Cliente]],'BASE DE CLIENTES'!A:D,4,0)</f>
        <v>EMPRESA COM MAQUINA</v>
      </c>
      <c r="L2949" s="1" t="str">
        <f>VLOOKUP(Tabela1[[#This Row],[Cliente]],'BASE DE CLIENTES'!A:E,5,0)</f>
        <v>CEILANDIA NORTE (CEILANDIA)</v>
      </c>
    </row>
    <row r="2950" spans="2:12" x14ac:dyDescent="0.3">
      <c r="B2950" s="1" t="s">
        <v>236</v>
      </c>
      <c r="C2950" s="4" t="str">
        <f>VLOOKUP(Tabela1[[#This Row],[Cliente]],'BASE DE CLIENTES'!A:E,2,0)</f>
        <v>Goiânia</v>
      </c>
      <c r="D2950" s="1" t="str">
        <f>VLOOKUP(Tabela1[[#This Row],[Cliente]],'BASE DE CLIENTES'!A:C,3,0)</f>
        <v>GO</v>
      </c>
      <c r="E2950" s="4" t="str">
        <f>CONCATENATE(Tabela1[[#This Row],[CIDADE]],",",Tabela1[[#This Row],[UF]])</f>
        <v>Goiânia,GO</v>
      </c>
      <c r="F2950" s="2">
        <v>45938</v>
      </c>
      <c r="G2950" s="17">
        <v>534</v>
      </c>
      <c r="H2950" s="17">
        <v>790</v>
      </c>
      <c r="I2950" s="6">
        <f>Tabela1[[#This Row],[Valor total]]-Tabela1[[#This Row],[Valor custo]]</f>
        <v>256</v>
      </c>
      <c r="J2950" s="7">
        <f>Tabela1[[#This Row],[MARGEM BRUTA]]/Tabela1[[#This Row],[Valor total]]</f>
        <v>0.32405063291139241</v>
      </c>
      <c r="K2950" s="1" t="str">
        <f>VLOOKUP(Tabela1[[#This Row],[Cliente]],'BASE DE CLIENTES'!A:D,4,0)</f>
        <v>EMPRESA COM MAQUINA</v>
      </c>
      <c r="L2950" s="1" t="str">
        <f>VLOOKUP(Tabela1[[#This Row],[Cliente]],'BASE DE CLIENTES'!A:E,5,0)</f>
        <v>Goiânia</v>
      </c>
    </row>
    <row r="2951" spans="2:12" x14ac:dyDescent="0.3">
      <c r="B2951" s="1" t="s">
        <v>70</v>
      </c>
      <c r="C2951" s="4" t="str">
        <f>VLOOKUP(Tabela1[[#This Row],[Cliente]],'BASE DE CLIENTES'!A:E,2,0)</f>
        <v>Brasília</v>
      </c>
      <c r="D2951" s="1" t="str">
        <f>VLOOKUP(Tabela1[[#This Row],[Cliente]],'BASE DE CLIENTES'!A:C,3,0)</f>
        <v>DF</v>
      </c>
      <c r="E2951" s="4" t="str">
        <f>CONCATENATE(Tabela1[[#This Row],[CIDADE]],",",Tabela1[[#This Row],[UF]])</f>
        <v>Brasília,DF</v>
      </c>
      <c r="F2951" s="2">
        <v>45938</v>
      </c>
      <c r="G2951" s="17">
        <v>545</v>
      </c>
      <c r="H2951" s="17">
        <v>900</v>
      </c>
      <c r="I2951" s="6">
        <f>Tabela1[[#This Row],[Valor total]]-Tabela1[[#This Row],[Valor custo]]</f>
        <v>355</v>
      </c>
      <c r="J2951" s="7">
        <f>Tabela1[[#This Row],[MARGEM BRUTA]]/Tabela1[[#This Row],[Valor total]]</f>
        <v>0.39444444444444443</v>
      </c>
      <c r="K2951" s="1" t="str">
        <f>VLOOKUP(Tabela1[[#This Row],[Cliente]],'BASE DE CLIENTES'!A:D,4,0)</f>
        <v>EMPRESA COM MAQUINA</v>
      </c>
      <c r="L2951" s="1" t="str">
        <f>VLOOKUP(Tabela1[[#This Row],[Cliente]],'BASE DE CLIENTES'!A:E,5,0)</f>
        <v>TAGUATINGA NORTE (TAGUATINGA)</v>
      </c>
    </row>
    <row r="2952" spans="2:12" x14ac:dyDescent="0.3">
      <c r="B2952" s="1" t="s">
        <v>104</v>
      </c>
      <c r="C2952" s="4" t="str">
        <f>VLOOKUP(Tabela1[[#This Row],[Cliente]],'BASE DE CLIENTES'!A:E,2,0)</f>
        <v>Águas Lindas de Goiás</v>
      </c>
      <c r="D2952" s="1" t="str">
        <f>VLOOKUP(Tabela1[[#This Row],[Cliente]],'BASE DE CLIENTES'!A:C,3,0)</f>
        <v>GO</v>
      </c>
      <c r="E2952" s="4" t="str">
        <f>CONCATENATE(Tabela1[[#This Row],[CIDADE]],",",Tabela1[[#This Row],[UF]])</f>
        <v>Águas Lindas de Goiás,GO</v>
      </c>
      <c r="F2952" s="2">
        <v>45938</v>
      </c>
      <c r="G2952" s="17">
        <v>2075.1999999999998</v>
      </c>
      <c r="H2952" s="17">
        <v>3354</v>
      </c>
      <c r="I2952" s="6">
        <f>Tabela1[[#This Row],[Valor total]]-Tabela1[[#This Row],[Valor custo]]</f>
        <v>1278.8000000000002</v>
      </c>
      <c r="J2952" s="7">
        <f>Tabela1[[#This Row],[MARGEM BRUTA]]/Tabela1[[#This Row],[Valor total]]</f>
        <v>0.38127608825283249</v>
      </c>
      <c r="K2952" s="1" t="str">
        <f>VLOOKUP(Tabela1[[#This Row],[Cliente]],'BASE DE CLIENTES'!A:D,4,0)</f>
        <v>EMPRESA SEM MAQUINA</v>
      </c>
      <c r="L2952" s="1" t="str">
        <f>VLOOKUP(Tabela1[[#This Row],[Cliente]],'BASE DE CLIENTES'!A:E,5,0)</f>
        <v>Águas Lindas de Goiás</v>
      </c>
    </row>
    <row r="2953" spans="2:12" x14ac:dyDescent="0.3">
      <c r="B2953" s="1" t="s">
        <v>319</v>
      </c>
      <c r="C2953" s="4" t="str">
        <f>VLOOKUP(Tabela1[[#This Row],[Cliente]],'BASE DE CLIENTES'!A:E,2,0)</f>
        <v>Valparaíso de Goiás</v>
      </c>
      <c r="D2953" s="1" t="str">
        <f>VLOOKUP(Tabela1[[#This Row],[Cliente]],'BASE DE CLIENTES'!A:C,3,0)</f>
        <v>GO</v>
      </c>
      <c r="E2953" s="4" t="str">
        <f>CONCATENATE(Tabela1[[#This Row],[CIDADE]],",",Tabela1[[#This Row],[UF]])</f>
        <v>Valparaíso de Goiás,GO</v>
      </c>
      <c r="F2953" s="2">
        <v>45938</v>
      </c>
      <c r="G2953" s="17">
        <v>3640</v>
      </c>
      <c r="H2953" s="17">
        <v>800</v>
      </c>
      <c r="I2953" s="6">
        <f>Tabela1[[#This Row],[Valor total]]-Tabela1[[#This Row],[Valor custo]]</f>
        <v>-2840</v>
      </c>
      <c r="J2953" s="7">
        <f>Tabela1[[#This Row],[MARGEM BRUTA]]/Tabela1[[#This Row],[Valor total]]</f>
        <v>-3.55</v>
      </c>
      <c r="K2953" s="1" t="str">
        <f>VLOOKUP(Tabela1[[#This Row],[Cliente]],'BASE DE CLIENTES'!A:D,4,0)</f>
        <v>EMPRESA COM MAQUINA</v>
      </c>
      <c r="L2953" s="1" t="str">
        <f>VLOOKUP(Tabela1[[#This Row],[Cliente]],'BASE DE CLIENTES'!A:E,5,0)</f>
        <v>Valparaíso de Goiás</v>
      </c>
    </row>
    <row r="2954" spans="2:12" x14ac:dyDescent="0.3">
      <c r="B2954" s="1" t="s">
        <v>107</v>
      </c>
      <c r="C2954" s="4" t="str">
        <f>VLOOKUP(Tabela1[[#This Row],[Cliente]],'BASE DE CLIENTES'!A:E,2,0)</f>
        <v>Planaltina</v>
      </c>
      <c r="D2954" s="1" t="str">
        <f>VLOOKUP(Tabela1[[#This Row],[Cliente]],'BASE DE CLIENTES'!A:C,3,0)</f>
        <v>DF</v>
      </c>
      <c r="E2954" s="4" t="str">
        <f>CONCATENATE(Tabela1[[#This Row],[CIDADE]],",",Tabela1[[#This Row],[UF]])</f>
        <v>Planaltina,DF</v>
      </c>
      <c r="F2954" s="2">
        <v>45938</v>
      </c>
      <c r="G2954" s="17">
        <v>289</v>
      </c>
      <c r="H2954" s="17">
        <v>560</v>
      </c>
      <c r="I2954" s="6">
        <f>Tabela1[[#This Row],[Valor total]]-Tabela1[[#This Row],[Valor custo]]</f>
        <v>271</v>
      </c>
      <c r="J2954" s="7">
        <f>Tabela1[[#This Row],[MARGEM BRUTA]]/Tabela1[[#This Row],[Valor total]]</f>
        <v>0.48392857142857143</v>
      </c>
      <c r="K2954" s="1" t="str">
        <f>VLOOKUP(Tabela1[[#This Row],[Cliente]],'BASE DE CLIENTES'!A:D,4,0)</f>
        <v>EMPRESA COM MAQUINA</v>
      </c>
      <c r="L2954" s="1" t="str">
        <f>VLOOKUP(Tabela1[[#This Row],[Cliente]],'BASE DE CLIENTES'!A:E,5,0)</f>
        <v>SETOR LESTE</v>
      </c>
    </row>
    <row r="2955" spans="2:12" x14ac:dyDescent="0.3">
      <c r="B2955" s="1" t="s">
        <v>111</v>
      </c>
      <c r="C2955" s="4" t="str">
        <f>VLOOKUP(Tabela1[[#This Row],[Cliente]],'BASE DE CLIENTES'!A:E,2,0)</f>
        <v>Brasília</v>
      </c>
      <c r="D2955" s="1" t="str">
        <f>VLOOKUP(Tabela1[[#This Row],[Cliente]],'BASE DE CLIENTES'!A:C,3,0)</f>
        <v>DF</v>
      </c>
      <c r="E2955" s="4" t="str">
        <f>CONCATENATE(Tabela1[[#This Row],[CIDADE]],",",Tabela1[[#This Row],[UF]])</f>
        <v>Brasília,DF</v>
      </c>
      <c r="F2955" s="2">
        <v>45938</v>
      </c>
      <c r="G2955" s="17">
        <v>1824</v>
      </c>
      <c r="H2955" s="17">
        <v>3350</v>
      </c>
      <c r="I2955" s="6">
        <f>Tabela1[[#This Row],[Valor total]]-Tabela1[[#This Row],[Valor custo]]</f>
        <v>1526</v>
      </c>
      <c r="J2955" s="7">
        <f>Tabela1[[#This Row],[MARGEM BRUTA]]/Tabela1[[#This Row],[Valor total]]</f>
        <v>0.45552238805970147</v>
      </c>
      <c r="K2955" s="1" t="str">
        <f>VLOOKUP(Tabela1[[#This Row],[Cliente]],'BASE DE CLIENTES'!A:D,4,0)</f>
        <v>EMPRESA SEM MAQUINA</v>
      </c>
      <c r="L2955" s="1" t="str">
        <f>VLOOKUP(Tabela1[[#This Row],[Cliente]],'BASE DE CLIENTES'!A:E,5,0)</f>
        <v>TAGUATINGA SUL (TAGUATINGA)</v>
      </c>
    </row>
    <row r="2956" spans="2:12" x14ac:dyDescent="0.3">
      <c r="B2956" s="1" t="s">
        <v>152</v>
      </c>
      <c r="C2956" s="4" t="str">
        <f>VLOOKUP(Tabela1[[#This Row],[Cliente]],'BASE DE CLIENTES'!A:E,2,0)</f>
        <v>Aparecida de Goiânia</v>
      </c>
      <c r="D2956" s="1" t="str">
        <f>VLOOKUP(Tabela1[[#This Row],[Cliente]],'BASE DE CLIENTES'!A:C,3,0)</f>
        <v>GO</v>
      </c>
      <c r="E2956" s="4" t="str">
        <f>CONCATENATE(Tabela1[[#This Row],[CIDADE]],",",Tabela1[[#This Row],[UF]])</f>
        <v>Aparecida de Goiânia,GO</v>
      </c>
      <c r="F2956" s="2">
        <v>45937</v>
      </c>
      <c r="G2956" s="17">
        <v>4000.09</v>
      </c>
      <c r="H2956" s="17">
        <v>6510</v>
      </c>
      <c r="I2956" s="6">
        <f>Tabela1[[#This Row],[Valor total]]-Tabela1[[#This Row],[Valor custo]]</f>
        <v>2509.91</v>
      </c>
      <c r="J2956" s="7">
        <f>Tabela1[[#This Row],[MARGEM BRUTA]]/Tabela1[[#This Row],[Valor total]]</f>
        <v>0.38554685099846386</v>
      </c>
      <c r="K2956" s="1" t="str">
        <f>VLOOKUP(Tabela1[[#This Row],[Cliente]],'BASE DE CLIENTES'!A:D,4,0)</f>
        <v>TECNICO</v>
      </c>
      <c r="L2956" s="1" t="str">
        <f>VLOOKUP(Tabela1[[#This Row],[Cliente]],'BASE DE CLIENTES'!A:E,5,0)</f>
        <v>Aparecida de Goiânia</v>
      </c>
    </row>
    <row r="2957" spans="2:12" x14ac:dyDescent="0.3">
      <c r="B2957" s="1" t="s">
        <v>52</v>
      </c>
      <c r="C2957" s="4" t="str">
        <f>VLOOKUP(Tabela1[[#This Row],[Cliente]],'BASE DE CLIENTES'!A:E,2,0)</f>
        <v>Brasília</v>
      </c>
      <c r="D2957" s="1" t="str">
        <f>VLOOKUP(Tabela1[[#This Row],[Cliente]],'BASE DE CLIENTES'!A:C,3,0)</f>
        <v>DF</v>
      </c>
      <c r="E2957" s="4" t="str">
        <f>CONCATENATE(Tabela1[[#This Row],[CIDADE]],",",Tabela1[[#This Row],[UF]])</f>
        <v>Brasília,DF</v>
      </c>
      <c r="F2957" s="2">
        <v>45937</v>
      </c>
      <c r="G2957" s="17">
        <v>432.79</v>
      </c>
      <c r="H2957" s="17">
        <v>700</v>
      </c>
      <c r="I2957" s="6">
        <f>Tabela1[[#This Row],[Valor total]]-Tabela1[[#This Row],[Valor custo]]</f>
        <v>267.20999999999998</v>
      </c>
      <c r="J2957" s="7">
        <f>Tabela1[[#This Row],[MARGEM BRUTA]]/Tabela1[[#This Row],[Valor total]]</f>
        <v>0.38172857142857142</v>
      </c>
      <c r="K2957" s="1" t="str">
        <f>VLOOKUP(Tabela1[[#This Row],[Cliente]],'BASE DE CLIENTES'!A:D,4,0)</f>
        <v>SERRALHEIRO</v>
      </c>
      <c r="L2957" s="1" t="str">
        <f>VLOOKUP(Tabela1[[#This Row],[Cliente]],'BASE DE CLIENTES'!A:E,5,0)</f>
        <v>Ceilândia Sul (Ceilândia)</v>
      </c>
    </row>
    <row r="2958" spans="2:12" x14ac:dyDescent="0.3">
      <c r="B2958" s="1" t="s">
        <v>66</v>
      </c>
      <c r="C2958" s="4" t="str">
        <f>VLOOKUP(Tabela1[[#This Row],[Cliente]],'BASE DE CLIENTES'!A:E,2,0)</f>
        <v>Águas Lindas de Goiás</v>
      </c>
      <c r="D2958" s="1" t="str">
        <f>VLOOKUP(Tabela1[[#This Row],[Cliente]],'BASE DE CLIENTES'!A:C,3,0)</f>
        <v>GO</v>
      </c>
      <c r="E2958" s="4" t="str">
        <f>CONCATENATE(Tabela1[[#This Row],[CIDADE]],",",Tabela1[[#This Row],[UF]])</f>
        <v>Águas Lindas de Goiás,GO</v>
      </c>
      <c r="F2958" s="2">
        <v>45937</v>
      </c>
      <c r="G2958" s="17">
        <v>889.6</v>
      </c>
      <c r="H2958" s="17">
        <v>1400</v>
      </c>
      <c r="I2958" s="6">
        <f>Tabela1[[#This Row],[Valor total]]-Tabela1[[#This Row],[Valor custo]]</f>
        <v>510.4</v>
      </c>
      <c r="J2958" s="7">
        <f>Tabela1[[#This Row],[MARGEM BRUTA]]/Tabela1[[#This Row],[Valor total]]</f>
        <v>0.36457142857142855</v>
      </c>
      <c r="K2958" s="1" t="str">
        <f>VLOOKUP(Tabela1[[#This Row],[Cliente]],'BASE DE CLIENTES'!A:D,4,0)</f>
        <v>EMPRESA COM MAQUINA</v>
      </c>
      <c r="L2958" s="1" t="str">
        <f>VLOOKUP(Tabela1[[#This Row],[Cliente]],'BASE DE CLIENTES'!A:E,5,0)</f>
        <v>Águas Lindas de Goiás</v>
      </c>
    </row>
    <row r="2959" spans="2:12" x14ac:dyDescent="0.3">
      <c r="B2959" s="1" t="s">
        <v>106</v>
      </c>
      <c r="C2959" s="4" t="str">
        <f>VLOOKUP(Tabela1[[#This Row],[Cliente]],'BASE DE CLIENTES'!A:E,2,0)</f>
        <v>Brasília</v>
      </c>
      <c r="D2959" s="1" t="str">
        <f>VLOOKUP(Tabela1[[#This Row],[Cliente]],'BASE DE CLIENTES'!A:C,3,0)</f>
        <v>DF</v>
      </c>
      <c r="E2959" s="4" t="str">
        <f>CONCATENATE(Tabela1[[#This Row],[CIDADE]],",",Tabela1[[#This Row],[UF]])</f>
        <v>Brasília,DF</v>
      </c>
      <c r="F2959" s="2">
        <v>45937</v>
      </c>
      <c r="G2959" s="17">
        <v>455</v>
      </c>
      <c r="H2959" s="17">
        <v>750</v>
      </c>
      <c r="I2959" s="6">
        <f>Tabela1[[#This Row],[Valor total]]-Tabela1[[#This Row],[Valor custo]]</f>
        <v>295</v>
      </c>
      <c r="J2959" s="7">
        <f>Tabela1[[#This Row],[MARGEM BRUTA]]/Tabela1[[#This Row],[Valor total]]</f>
        <v>0.39333333333333331</v>
      </c>
      <c r="K2959" s="1" t="str">
        <f>VLOOKUP(Tabela1[[#This Row],[Cliente]],'BASE DE CLIENTES'!A:D,4,0)</f>
        <v>EMPRESA COM MAQUINA</v>
      </c>
      <c r="L2959" s="1" t="str">
        <f>VLOOKUP(Tabela1[[#This Row],[Cliente]],'BASE DE CLIENTES'!A:E,5,0)</f>
        <v>26 DE SETEMBRO</v>
      </c>
    </row>
    <row r="2960" spans="2:12" x14ac:dyDescent="0.3">
      <c r="B2960" s="1" t="s">
        <v>106</v>
      </c>
      <c r="C2960" s="4" t="str">
        <f>VLOOKUP(Tabela1[[#This Row],[Cliente]],'BASE DE CLIENTES'!A:E,2,0)</f>
        <v>Brasília</v>
      </c>
      <c r="D2960" s="1" t="str">
        <f>VLOOKUP(Tabela1[[#This Row],[Cliente]],'BASE DE CLIENTES'!A:C,3,0)</f>
        <v>DF</v>
      </c>
      <c r="E2960" s="4" t="str">
        <f>CONCATENATE(Tabela1[[#This Row],[CIDADE]],",",Tabela1[[#This Row],[UF]])</f>
        <v>Brasília,DF</v>
      </c>
      <c r="F2960" s="2">
        <v>45937</v>
      </c>
      <c r="G2960" s="17">
        <v>382.3</v>
      </c>
      <c r="H2960" s="17">
        <v>600</v>
      </c>
      <c r="I2960" s="6">
        <f>Tabela1[[#This Row],[Valor total]]-Tabela1[[#This Row],[Valor custo]]</f>
        <v>217.7</v>
      </c>
      <c r="J2960" s="7">
        <f>Tabela1[[#This Row],[MARGEM BRUTA]]/Tabela1[[#This Row],[Valor total]]</f>
        <v>0.36283333333333334</v>
      </c>
      <c r="K2960" s="1" t="str">
        <f>VLOOKUP(Tabela1[[#This Row],[Cliente]],'BASE DE CLIENTES'!A:D,4,0)</f>
        <v>EMPRESA COM MAQUINA</v>
      </c>
      <c r="L2960" s="1" t="str">
        <f>VLOOKUP(Tabela1[[#This Row],[Cliente]],'BASE DE CLIENTES'!A:E,5,0)</f>
        <v>26 DE SETEMBRO</v>
      </c>
    </row>
    <row r="2961" spans="2:12" x14ac:dyDescent="0.3">
      <c r="B2961" s="1" t="s">
        <v>152</v>
      </c>
      <c r="C2961" s="4" t="str">
        <f>VLOOKUP(Tabela1[[#This Row],[Cliente]],'BASE DE CLIENTES'!A:E,2,0)</f>
        <v>Aparecida de Goiânia</v>
      </c>
      <c r="D2961" s="1" t="str">
        <f>VLOOKUP(Tabela1[[#This Row],[Cliente]],'BASE DE CLIENTES'!A:C,3,0)</f>
        <v>GO</v>
      </c>
      <c r="E2961" s="4" t="str">
        <f>CONCATENATE(Tabela1[[#This Row],[CIDADE]],",",Tabela1[[#This Row],[UF]])</f>
        <v>Aparecida de Goiânia,GO</v>
      </c>
      <c r="F2961" s="2">
        <v>45937</v>
      </c>
      <c r="G2961" s="17">
        <v>289</v>
      </c>
      <c r="H2961" s="17">
        <v>550</v>
      </c>
      <c r="I2961" s="6">
        <f>Tabela1[[#This Row],[Valor total]]-Tabela1[[#This Row],[Valor custo]]</f>
        <v>261</v>
      </c>
      <c r="J2961" s="7">
        <f>Tabela1[[#This Row],[MARGEM BRUTA]]/Tabela1[[#This Row],[Valor total]]</f>
        <v>0.47454545454545455</v>
      </c>
      <c r="K2961" s="1" t="str">
        <f>VLOOKUP(Tabela1[[#This Row],[Cliente]],'BASE DE CLIENTES'!A:D,4,0)</f>
        <v>TECNICO</v>
      </c>
      <c r="L2961" s="1" t="str">
        <f>VLOOKUP(Tabela1[[#This Row],[Cliente]],'BASE DE CLIENTES'!A:E,5,0)</f>
        <v>Aparecida de Goiânia</v>
      </c>
    </row>
    <row r="2962" spans="2:12" x14ac:dyDescent="0.3">
      <c r="B2962" s="1" t="s">
        <v>100</v>
      </c>
      <c r="C2962" s="4" t="str">
        <f>VLOOKUP(Tabela1[[#This Row],[Cliente]],'BASE DE CLIENTES'!A:E,2,0)</f>
        <v>Águas Lindas de Goiás</v>
      </c>
      <c r="D2962" s="1" t="str">
        <f>VLOOKUP(Tabela1[[#This Row],[Cliente]],'BASE DE CLIENTES'!A:C,3,0)</f>
        <v>GO</v>
      </c>
      <c r="E2962" s="4" t="str">
        <f>CONCATENATE(Tabela1[[#This Row],[CIDADE]],",",Tabela1[[#This Row],[UF]])</f>
        <v>Águas Lindas de Goiás,GO</v>
      </c>
      <c r="F2962" s="2">
        <v>45937</v>
      </c>
      <c r="G2962" s="17">
        <v>455</v>
      </c>
      <c r="H2962" s="17">
        <v>650</v>
      </c>
      <c r="I2962" s="6">
        <f>Tabela1[[#This Row],[Valor total]]-Tabela1[[#This Row],[Valor custo]]</f>
        <v>195</v>
      </c>
      <c r="J2962" s="7">
        <f>Tabela1[[#This Row],[MARGEM BRUTA]]/Tabela1[[#This Row],[Valor total]]</f>
        <v>0.3</v>
      </c>
      <c r="K2962" s="1" t="str">
        <f>VLOOKUP(Tabela1[[#This Row],[Cliente]],'BASE DE CLIENTES'!A:D,4,0)</f>
        <v>EMPRESA SEM MAQUINA</v>
      </c>
      <c r="L2962" s="1" t="str">
        <f>VLOOKUP(Tabela1[[#This Row],[Cliente]],'BASE DE CLIENTES'!A:E,5,0)</f>
        <v>Águas Lindas de Goiás</v>
      </c>
    </row>
    <row r="2963" spans="2:12" x14ac:dyDescent="0.3">
      <c r="B2963" s="1" t="s">
        <v>184</v>
      </c>
      <c r="C2963" s="4" t="str">
        <f>VLOOKUP(Tabela1[[#This Row],[Cliente]],'BASE DE CLIENTES'!A:E,2,0)</f>
        <v>Castanhal</v>
      </c>
      <c r="D2963" s="1" t="str">
        <f>VLOOKUP(Tabela1[[#This Row],[Cliente]],'BASE DE CLIENTES'!A:C,3,0)</f>
        <v>PA</v>
      </c>
      <c r="E2963" s="4" t="str">
        <f>CONCATENATE(Tabela1[[#This Row],[CIDADE]],",",Tabela1[[#This Row],[UF]])</f>
        <v>Castanhal,PA</v>
      </c>
      <c r="F2963" s="2">
        <v>45937</v>
      </c>
      <c r="G2963" s="17">
        <v>343</v>
      </c>
      <c r="H2963" s="17">
        <v>675</v>
      </c>
      <c r="I2963" s="6">
        <f>Tabela1[[#This Row],[Valor total]]-Tabela1[[#This Row],[Valor custo]]</f>
        <v>332</v>
      </c>
      <c r="J2963" s="7">
        <f>Tabela1[[#This Row],[MARGEM BRUTA]]/Tabela1[[#This Row],[Valor total]]</f>
        <v>0.49185185185185187</v>
      </c>
      <c r="K2963" s="1" t="str">
        <f>VLOOKUP(Tabela1[[#This Row],[Cliente]],'BASE DE CLIENTES'!A:D,4,0)</f>
        <v>EMPRESA COM MAQUINA</v>
      </c>
      <c r="L2963" s="1" t="str">
        <f>VLOOKUP(Tabela1[[#This Row],[Cliente]],'BASE DE CLIENTES'!A:E,5,0)</f>
        <v>Castanhal</v>
      </c>
    </row>
    <row r="2964" spans="2:12" x14ac:dyDescent="0.3">
      <c r="B2964" s="1" t="s">
        <v>223</v>
      </c>
      <c r="C2964" s="4" t="str">
        <f>VLOOKUP(Tabela1[[#This Row],[Cliente]],'BASE DE CLIENTES'!A:E,2,0)</f>
        <v>Goiânia</v>
      </c>
      <c r="D2964" s="1" t="str">
        <f>VLOOKUP(Tabela1[[#This Row],[Cliente]],'BASE DE CLIENTES'!A:C,3,0)</f>
        <v>GO</v>
      </c>
      <c r="E2964" s="4" t="str">
        <f>CONCATENATE(Tabela1[[#This Row],[CIDADE]],",",Tabela1[[#This Row],[UF]])</f>
        <v>Goiânia,GO</v>
      </c>
      <c r="F2964" s="2">
        <v>45937</v>
      </c>
      <c r="G2964" s="17">
        <v>491</v>
      </c>
      <c r="H2964" s="17">
        <v>750</v>
      </c>
      <c r="I2964" s="6">
        <f>Tabela1[[#This Row],[Valor total]]-Tabela1[[#This Row],[Valor custo]]</f>
        <v>259</v>
      </c>
      <c r="J2964" s="7">
        <f>Tabela1[[#This Row],[MARGEM BRUTA]]/Tabela1[[#This Row],[Valor total]]</f>
        <v>0.34533333333333333</v>
      </c>
      <c r="K2964" s="1" t="str">
        <f>VLOOKUP(Tabela1[[#This Row],[Cliente]],'BASE DE CLIENTES'!A:D,4,0)</f>
        <v>EMPRESA COM MAQUINA</v>
      </c>
      <c r="L2964" s="1" t="str">
        <f>VLOOKUP(Tabela1[[#This Row],[Cliente]],'BASE DE CLIENTES'!A:E,5,0)</f>
        <v>Goiânia</v>
      </c>
    </row>
    <row r="2965" spans="2:12" x14ac:dyDescent="0.3">
      <c r="B2965" s="1" t="s">
        <v>17</v>
      </c>
      <c r="C2965" s="4" t="str">
        <f>VLOOKUP(Tabela1[[#This Row],[Cliente]],'BASE DE CLIENTES'!A:E,2,0)</f>
        <v>Águas Lindas de Goiás</v>
      </c>
      <c r="D2965" s="1" t="str">
        <f>VLOOKUP(Tabela1[[#This Row],[Cliente]],'BASE DE CLIENTES'!A:C,3,0)</f>
        <v>GO</v>
      </c>
      <c r="E2965" s="4" t="str">
        <f>CONCATENATE(Tabela1[[#This Row],[CIDADE]],",",Tabela1[[#This Row],[UF]])</f>
        <v>Águas Lindas de Goiás,GO</v>
      </c>
      <c r="F2965" s="2">
        <v>45937</v>
      </c>
      <c r="G2965" s="17">
        <v>494</v>
      </c>
      <c r="H2965" s="17">
        <v>830</v>
      </c>
      <c r="I2965" s="6">
        <f>Tabela1[[#This Row],[Valor total]]-Tabela1[[#This Row],[Valor custo]]</f>
        <v>336</v>
      </c>
      <c r="J2965" s="7">
        <f>Tabela1[[#This Row],[MARGEM BRUTA]]/Tabela1[[#This Row],[Valor total]]</f>
        <v>0.40481927710843374</v>
      </c>
      <c r="K2965" s="1" t="str">
        <f>VLOOKUP(Tabela1[[#This Row],[Cliente]],'BASE DE CLIENTES'!A:D,4,0)</f>
        <v>SERRALHEIRO</v>
      </c>
      <c r="L2965" s="1" t="str">
        <f>VLOOKUP(Tabela1[[#This Row],[Cliente]],'BASE DE CLIENTES'!A:E,5,0)</f>
        <v>Águas Lindas de Goiás</v>
      </c>
    </row>
    <row r="2966" spans="2:12" x14ac:dyDescent="0.3">
      <c r="B2966" s="1" t="s">
        <v>161</v>
      </c>
      <c r="C2966" s="4" t="str">
        <f>VLOOKUP(Tabela1[[#This Row],[Cliente]],'BASE DE CLIENTES'!A:E,2,0)</f>
        <v>Brasília</v>
      </c>
      <c r="D2966" s="1" t="str">
        <f>VLOOKUP(Tabela1[[#This Row],[Cliente]],'BASE DE CLIENTES'!A:C,3,0)</f>
        <v>DF</v>
      </c>
      <c r="E2966" s="4" t="str">
        <f>CONCATENATE(Tabela1[[#This Row],[CIDADE]],",",Tabela1[[#This Row],[UF]])</f>
        <v>Brasília,DF</v>
      </c>
      <c r="F2966" s="2">
        <v>45937</v>
      </c>
      <c r="G2966" s="17">
        <v>610</v>
      </c>
      <c r="H2966" s="17">
        <v>800</v>
      </c>
      <c r="I2966" s="6">
        <f>Tabela1[[#This Row],[Valor total]]-Tabela1[[#This Row],[Valor custo]]</f>
        <v>190</v>
      </c>
      <c r="J2966" s="7">
        <f>Tabela1[[#This Row],[MARGEM BRUTA]]/Tabela1[[#This Row],[Valor total]]</f>
        <v>0.23749999999999999</v>
      </c>
      <c r="K2966" s="1" t="str">
        <f>VLOOKUP(Tabela1[[#This Row],[Cliente]],'BASE DE CLIENTES'!A:D,4,0)</f>
        <v>EMPRESA COM MAQUINA</v>
      </c>
      <c r="L2966" s="1" t="str">
        <f>VLOOKUP(Tabela1[[#This Row],[Cliente]],'BASE DE CLIENTES'!A:E,5,0)</f>
        <v>RIACHO FUNDO II</v>
      </c>
    </row>
    <row r="2967" spans="2:12" x14ac:dyDescent="0.3">
      <c r="B2967" s="1" t="s">
        <v>216</v>
      </c>
      <c r="C2967" s="4" t="str">
        <f>VLOOKUP(Tabela1[[#This Row],[Cliente]],'BASE DE CLIENTES'!A:E,2,0)</f>
        <v>Brasília</v>
      </c>
      <c r="D2967" s="1" t="str">
        <f>VLOOKUP(Tabela1[[#This Row],[Cliente]],'BASE DE CLIENTES'!A:C,3,0)</f>
        <v>DF</v>
      </c>
      <c r="E2967" s="4" t="str">
        <f>CONCATENATE(Tabela1[[#This Row],[CIDADE]],",",Tabela1[[#This Row],[UF]])</f>
        <v>Brasília,DF</v>
      </c>
      <c r="F2967" s="2">
        <v>45937</v>
      </c>
      <c r="G2967" s="17">
        <v>630.55999999999995</v>
      </c>
      <c r="H2967" s="17">
        <v>920</v>
      </c>
      <c r="I2967" s="6">
        <f>Tabela1[[#This Row],[Valor total]]-Tabela1[[#This Row],[Valor custo]]</f>
        <v>289.44000000000005</v>
      </c>
      <c r="J2967" s="7">
        <f>Tabela1[[#This Row],[MARGEM BRUTA]]/Tabela1[[#This Row],[Valor total]]</f>
        <v>0.31460869565217398</v>
      </c>
      <c r="K2967" s="1" t="str">
        <f>VLOOKUP(Tabela1[[#This Row],[Cliente]],'BASE DE CLIENTES'!A:D,4,0)</f>
        <v>EMPRESA COM MAQUINA</v>
      </c>
      <c r="L2967" s="1" t="str">
        <f>VLOOKUP(Tabela1[[#This Row],[Cliente]],'BASE DE CLIENTES'!A:E,5,0)</f>
        <v>RIACHO FUNDO II</v>
      </c>
    </row>
    <row r="2968" spans="2:12" x14ac:dyDescent="0.3">
      <c r="B2968" s="1" t="s">
        <v>27</v>
      </c>
      <c r="C2968" s="4" t="str">
        <f>VLOOKUP(Tabela1[[#This Row],[Cliente]],'BASE DE CLIENTES'!A:E,2,0)</f>
        <v>Brasília</v>
      </c>
      <c r="D2968" s="1" t="str">
        <f>VLOOKUP(Tabela1[[#This Row],[Cliente]],'BASE DE CLIENTES'!A:C,3,0)</f>
        <v>DF</v>
      </c>
      <c r="E2968" s="4" t="str">
        <f>CONCATENATE(Tabela1[[#This Row],[CIDADE]],",",Tabela1[[#This Row],[UF]])</f>
        <v>Brasília,DF</v>
      </c>
      <c r="F2968" s="2">
        <v>45937</v>
      </c>
      <c r="G2968" s="17">
        <v>1961.99</v>
      </c>
      <c r="H2968" s="17">
        <v>2915</v>
      </c>
      <c r="I2968" s="6">
        <f>Tabela1[[#This Row],[Valor total]]-Tabela1[[#This Row],[Valor custo]]</f>
        <v>953.01</v>
      </c>
      <c r="J2968" s="7">
        <f>Tabela1[[#This Row],[MARGEM BRUTA]]/Tabela1[[#This Row],[Valor total]]</f>
        <v>0.32693310463121783</v>
      </c>
      <c r="K2968" s="1" t="str">
        <f>VLOOKUP(Tabela1[[#This Row],[Cliente]],'BASE DE CLIENTES'!A:D,4,0)</f>
        <v>EMPRESA SEM MAQUINA</v>
      </c>
      <c r="L2968" s="1" t="str">
        <f>VLOOKUP(Tabela1[[#This Row],[Cliente]],'BASE DE CLIENTES'!A:E,5,0)</f>
        <v>RECANTO DAS EMAS</v>
      </c>
    </row>
    <row r="2969" spans="2:12" x14ac:dyDescent="0.3">
      <c r="B2969" s="1" t="s">
        <v>70</v>
      </c>
      <c r="C2969" s="4" t="str">
        <f>VLOOKUP(Tabela1[[#This Row],[Cliente]],'BASE DE CLIENTES'!A:E,2,0)</f>
        <v>Brasília</v>
      </c>
      <c r="D2969" s="1" t="str">
        <f>VLOOKUP(Tabela1[[#This Row],[Cliente]],'BASE DE CLIENTES'!A:C,3,0)</f>
        <v>DF</v>
      </c>
      <c r="E2969" s="4" t="str">
        <f>CONCATENATE(Tabela1[[#This Row],[CIDADE]],",",Tabela1[[#This Row],[UF]])</f>
        <v>Brasília,DF</v>
      </c>
      <c r="F2969" s="2">
        <v>45937</v>
      </c>
      <c r="G2969" s="17">
        <v>1417.3</v>
      </c>
      <c r="H2969" s="17">
        <v>2184</v>
      </c>
      <c r="I2969" s="6">
        <f>Tabela1[[#This Row],[Valor total]]-Tabela1[[#This Row],[Valor custo]]</f>
        <v>766.7</v>
      </c>
      <c r="J2969" s="7">
        <f>Tabela1[[#This Row],[MARGEM BRUTA]]/Tabela1[[#This Row],[Valor total]]</f>
        <v>0.35105311355311358</v>
      </c>
      <c r="K2969" s="1" t="str">
        <f>VLOOKUP(Tabela1[[#This Row],[Cliente]],'BASE DE CLIENTES'!A:D,4,0)</f>
        <v>EMPRESA COM MAQUINA</v>
      </c>
      <c r="L2969" s="1" t="str">
        <f>VLOOKUP(Tabela1[[#This Row],[Cliente]],'BASE DE CLIENTES'!A:E,5,0)</f>
        <v>TAGUATINGA NORTE (TAGUATINGA)</v>
      </c>
    </row>
    <row r="2970" spans="2:12" x14ac:dyDescent="0.3">
      <c r="B2970" s="1" t="s">
        <v>68</v>
      </c>
      <c r="C2970" s="4" t="str">
        <f>VLOOKUP(Tabela1[[#This Row],[Cliente]],'BASE DE CLIENTES'!A:E,2,0)</f>
        <v>Brasília</v>
      </c>
      <c r="D2970" s="1" t="str">
        <f>VLOOKUP(Tabela1[[#This Row],[Cliente]],'BASE DE CLIENTES'!A:C,3,0)</f>
        <v>DF</v>
      </c>
      <c r="E2970" s="4" t="str">
        <f>CONCATENATE(Tabela1[[#This Row],[CIDADE]],",",Tabela1[[#This Row],[UF]])</f>
        <v>Brasília,DF</v>
      </c>
      <c r="F2970" s="2">
        <v>45937</v>
      </c>
      <c r="G2970" s="17">
        <v>1104</v>
      </c>
      <c r="H2970" s="17">
        <v>1575</v>
      </c>
      <c r="I2970" s="6">
        <f>Tabela1[[#This Row],[Valor total]]-Tabela1[[#This Row],[Valor custo]]</f>
        <v>471</v>
      </c>
      <c r="J2970" s="7">
        <f>Tabela1[[#This Row],[MARGEM BRUTA]]/Tabela1[[#This Row],[Valor total]]</f>
        <v>0.29904761904761906</v>
      </c>
      <c r="K2970" s="1" t="str">
        <f>VLOOKUP(Tabela1[[#This Row],[Cliente]],'BASE DE CLIENTES'!A:D,4,0)</f>
        <v>EMPRESA COM MAQUINA</v>
      </c>
      <c r="L2970" s="1" t="str">
        <f>VLOOKUP(Tabela1[[#This Row],[Cliente]],'BASE DE CLIENTES'!A:E,5,0)</f>
        <v>SAMAMBAIA SUL (SAMAMBAIA)</v>
      </c>
    </row>
    <row r="2971" spans="2:12" x14ac:dyDescent="0.3">
      <c r="B2971" s="1" t="s">
        <v>55</v>
      </c>
      <c r="C2971" s="4" t="str">
        <f>VLOOKUP(Tabela1[[#This Row],[Cliente]],'BASE DE CLIENTES'!A:E,2,0)</f>
        <v>Brasília</v>
      </c>
      <c r="D2971" s="1" t="str">
        <f>VLOOKUP(Tabela1[[#This Row],[Cliente]],'BASE DE CLIENTES'!A:C,3,0)</f>
        <v>DF</v>
      </c>
      <c r="E2971" s="4" t="str">
        <f>CONCATENATE(Tabela1[[#This Row],[CIDADE]],",",Tabela1[[#This Row],[UF]])</f>
        <v>Brasília,DF</v>
      </c>
      <c r="F2971" s="2">
        <v>45937</v>
      </c>
      <c r="G2971" s="17">
        <v>865.58</v>
      </c>
      <c r="H2971" s="17">
        <v>1440</v>
      </c>
      <c r="I2971" s="6">
        <f>Tabela1[[#This Row],[Valor total]]-Tabela1[[#This Row],[Valor custo]]</f>
        <v>574.41999999999996</v>
      </c>
      <c r="J2971" s="7">
        <f>Tabela1[[#This Row],[MARGEM BRUTA]]/Tabela1[[#This Row],[Valor total]]</f>
        <v>0.39890277777777777</v>
      </c>
      <c r="K2971" s="1" t="str">
        <f>VLOOKUP(Tabela1[[#This Row],[Cliente]],'BASE DE CLIENTES'!A:D,4,0)</f>
        <v>EMPRESA SEM MAQUINA</v>
      </c>
      <c r="L2971" s="1" t="str">
        <f>VLOOKUP(Tabela1[[#This Row],[Cliente]],'BASE DE CLIENTES'!A:E,5,0)</f>
        <v>RECANTO DAS EMAS</v>
      </c>
    </row>
    <row r="2972" spans="2:12" x14ac:dyDescent="0.3">
      <c r="B2972" s="1" t="s">
        <v>236</v>
      </c>
      <c r="C2972" s="4" t="str">
        <f>VLOOKUP(Tabela1[[#This Row],[Cliente]],'BASE DE CLIENTES'!A:E,2,0)</f>
        <v>Goiânia</v>
      </c>
      <c r="D2972" s="1" t="str">
        <f>VLOOKUP(Tabela1[[#This Row],[Cliente]],'BASE DE CLIENTES'!A:C,3,0)</f>
        <v>GO</v>
      </c>
      <c r="E2972" s="4" t="str">
        <f>CONCATENATE(Tabela1[[#This Row],[CIDADE]],",",Tabela1[[#This Row],[UF]])</f>
        <v>Goiânia,GO</v>
      </c>
      <c r="F2972" s="2">
        <v>45936</v>
      </c>
      <c r="G2972" s="17">
        <v>1011</v>
      </c>
      <c r="H2972" s="17">
        <v>1525</v>
      </c>
      <c r="I2972" s="6">
        <f>Tabela1[[#This Row],[Valor total]]-Tabela1[[#This Row],[Valor custo]]</f>
        <v>514</v>
      </c>
      <c r="J2972" s="7">
        <f>Tabela1[[#This Row],[MARGEM BRUTA]]/Tabela1[[#This Row],[Valor total]]</f>
        <v>0.33704918032786885</v>
      </c>
      <c r="K2972" s="1" t="str">
        <f>VLOOKUP(Tabela1[[#This Row],[Cliente]],'BASE DE CLIENTES'!A:D,4,0)</f>
        <v>EMPRESA COM MAQUINA</v>
      </c>
      <c r="L2972" s="1" t="str">
        <f>VLOOKUP(Tabela1[[#This Row],[Cliente]],'BASE DE CLIENTES'!A:E,5,0)</f>
        <v>Goiânia</v>
      </c>
    </row>
    <row r="2973" spans="2:12" x14ac:dyDescent="0.3">
      <c r="B2973" s="1" t="s">
        <v>236</v>
      </c>
      <c r="C2973" s="4" t="str">
        <f>VLOOKUP(Tabela1[[#This Row],[Cliente]],'BASE DE CLIENTES'!A:E,2,0)</f>
        <v>Goiânia</v>
      </c>
      <c r="D2973" s="1" t="str">
        <f>VLOOKUP(Tabela1[[#This Row],[Cliente]],'BASE DE CLIENTES'!A:C,3,0)</f>
        <v>GO</v>
      </c>
      <c r="E2973" s="4" t="str">
        <f>CONCATENATE(Tabela1[[#This Row],[CIDADE]],",",Tabela1[[#This Row],[UF]])</f>
        <v>Goiânia,GO</v>
      </c>
      <c r="F2973" s="2">
        <v>45936</v>
      </c>
      <c r="G2973" s="17">
        <v>382.3</v>
      </c>
      <c r="H2973" s="17">
        <v>520</v>
      </c>
      <c r="I2973" s="6">
        <f>Tabela1[[#This Row],[Valor total]]-Tabela1[[#This Row],[Valor custo]]</f>
        <v>137.69999999999999</v>
      </c>
      <c r="J2973" s="7">
        <f>Tabela1[[#This Row],[MARGEM BRUTA]]/Tabela1[[#This Row],[Valor total]]</f>
        <v>0.2648076923076923</v>
      </c>
      <c r="K2973" s="1" t="str">
        <f>VLOOKUP(Tabela1[[#This Row],[Cliente]],'BASE DE CLIENTES'!A:D,4,0)</f>
        <v>EMPRESA COM MAQUINA</v>
      </c>
      <c r="L2973" s="1" t="str">
        <f>VLOOKUP(Tabela1[[#This Row],[Cliente]],'BASE DE CLIENTES'!A:E,5,0)</f>
        <v>Goiânia</v>
      </c>
    </row>
    <row r="2974" spans="2:12" x14ac:dyDescent="0.3">
      <c r="B2974" s="1" t="s">
        <v>299</v>
      </c>
      <c r="C2974" s="4" t="str">
        <f>VLOOKUP(Tabela1[[#This Row],[Cliente]],'BASE DE CLIENTES'!A:E,2,0)</f>
        <v>Santo Antônio Descoberto</v>
      </c>
      <c r="D2974" s="1" t="str">
        <f>VLOOKUP(Tabela1[[#This Row],[Cliente]],'BASE DE CLIENTES'!A:C,3,0)</f>
        <v>GO</v>
      </c>
      <c r="E2974" s="4" t="str">
        <f>CONCATENATE(Tabela1[[#This Row],[CIDADE]],",",Tabela1[[#This Row],[UF]])</f>
        <v>Santo Antônio Descoberto,GO</v>
      </c>
      <c r="F2974" s="2">
        <v>45936</v>
      </c>
      <c r="G2974" s="17">
        <v>1446.81</v>
      </c>
      <c r="H2974" s="17">
        <v>3200</v>
      </c>
      <c r="I2974" s="6">
        <f>Tabela1[[#This Row],[Valor total]]-Tabela1[[#This Row],[Valor custo]]</f>
        <v>1753.19</v>
      </c>
      <c r="J2974" s="7">
        <f>Tabela1[[#This Row],[MARGEM BRUTA]]/Tabela1[[#This Row],[Valor total]]</f>
        <v>0.54787187500000001</v>
      </c>
      <c r="K2974" s="1" t="str">
        <f>VLOOKUP(Tabela1[[#This Row],[Cliente]],'BASE DE CLIENTES'!A:D,4,0)</f>
        <v>SERRALHEIRO</v>
      </c>
      <c r="L2974" s="1" t="str">
        <f>VLOOKUP(Tabela1[[#This Row],[Cliente]],'BASE DE CLIENTES'!A:E,5,0)</f>
        <v>Santo Antônio Descoberto</v>
      </c>
    </row>
    <row r="2975" spans="2:12" x14ac:dyDescent="0.3">
      <c r="B2975" s="1" t="s">
        <v>161</v>
      </c>
      <c r="C2975" s="4" t="str">
        <f>VLOOKUP(Tabela1[[#This Row],[Cliente]],'BASE DE CLIENTES'!A:E,2,0)</f>
        <v>Brasília</v>
      </c>
      <c r="D2975" s="1" t="str">
        <f>VLOOKUP(Tabela1[[#This Row],[Cliente]],'BASE DE CLIENTES'!A:C,3,0)</f>
        <v>DF</v>
      </c>
      <c r="E2975" s="4" t="str">
        <f>CONCATENATE(Tabela1[[#This Row],[CIDADE]],",",Tabela1[[#This Row],[UF]])</f>
        <v>Brasília,DF</v>
      </c>
      <c r="F2975" s="2">
        <v>45936</v>
      </c>
      <c r="G2975" s="17">
        <v>150</v>
      </c>
      <c r="H2975" s="17">
        <v>206</v>
      </c>
      <c r="I2975" s="6">
        <f>Tabela1[[#This Row],[Valor total]]-Tabela1[[#This Row],[Valor custo]]</f>
        <v>56</v>
      </c>
      <c r="J2975" s="7">
        <f>Tabela1[[#This Row],[MARGEM BRUTA]]/Tabela1[[#This Row],[Valor total]]</f>
        <v>0.27184466019417475</v>
      </c>
      <c r="K2975" s="1" t="str">
        <f>VLOOKUP(Tabela1[[#This Row],[Cliente]],'BASE DE CLIENTES'!A:D,4,0)</f>
        <v>EMPRESA COM MAQUINA</v>
      </c>
      <c r="L2975" s="1" t="str">
        <f>VLOOKUP(Tabela1[[#This Row],[Cliente]],'BASE DE CLIENTES'!A:E,5,0)</f>
        <v>RIACHO FUNDO II</v>
      </c>
    </row>
    <row r="2976" spans="2:12" x14ac:dyDescent="0.3">
      <c r="B2976" s="1" t="s">
        <v>59</v>
      </c>
      <c r="C2976" s="4" t="str">
        <f>VLOOKUP(Tabela1[[#This Row],[Cliente]],'BASE DE CLIENTES'!A:E,2,0)</f>
        <v>Brasília</v>
      </c>
      <c r="D2976" s="1" t="str">
        <f>VLOOKUP(Tabela1[[#This Row],[Cliente]],'BASE DE CLIENTES'!A:C,3,0)</f>
        <v>DF</v>
      </c>
      <c r="E2976" s="4" t="str">
        <f>CONCATENATE(Tabela1[[#This Row],[CIDADE]],",",Tabela1[[#This Row],[UF]])</f>
        <v>Brasília,DF</v>
      </c>
      <c r="F2976" s="2">
        <v>45936</v>
      </c>
      <c r="G2976" s="17">
        <v>0</v>
      </c>
      <c r="H2976" s="17">
        <v>270</v>
      </c>
      <c r="I2976" s="6">
        <f>Tabela1[[#This Row],[Valor total]]-Tabela1[[#This Row],[Valor custo]]</f>
        <v>270</v>
      </c>
      <c r="J2976" s="7">
        <f>Tabela1[[#This Row],[MARGEM BRUTA]]/Tabela1[[#This Row],[Valor total]]</f>
        <v>1</v>
      </c>
      <c r="K2976" s="1" t="str">
        <f>VLOOKUP(Tabela1[[#This Row],[Cliente]],'BASE DE CLIENTES'!A:D,4,0)</f>
        <v>EMPRESA COM MAQUINA</v>
      </c>
      <c r="L2976" s="1" t="str">
        <f>VLOOKUP(Tabela1[[#This Row],[Cliente]],'BASE DE CLIENTES'!A:E,5,0)</f>
        <v>SETOR HABITACIONAL VICENTE PIRES</v>
      </c>
    </row>
    <row r="2977" spans="2:12" x14ac:dyDescent="0.3">
      <c r="B2977" s="1" t="s">
        <v>183</v>
      </c>
      <c r="C2977" s="4" t="str">
        <f>VLOOKUP(Tabela1[[#This Row],[Cliente]],'BASE DE CLIENTES'!A:E,2,0)</f>
        <v>Caldas Novas</v>
      </c>
      <c r="D2977" s="1" t="str">
        <f>VLOOKUP(Tabela1[[#This Row],[Cliente]],'BASE DE CLIENTES'!A:C,3,0)</f>
        <v>GO</v>
      </c>
      <c r="E2977" s="4" t="str">
        <f>CONCATENATE(Tabela1[[#This Row],[CIDADE]],",",Tabela1[[#This Row],[UF]])</f>
        <v>Caldas Novas,GO</v>
      </c>
      <c r="F2977" s="2">
        <v>45936</v>
      </c>
      <c r="G2977" s="17">
        <v>1197.3900000000001</v>
      </c>
      <c r="H2977" s="17">
        <v>1750</v>
      </c>
      <c r="I2977" s="6">
        <f>Tabela1[[#This Row],[Valor total]]-Tabela1[[#This Row],[Valor custo]]</f>
        <v>552.6099999999999</v>
      </c>
      <c r="J2977" s="7">
        <f>Tabela1[[#This Row],[MARGEM BRUTA]]/Tabela1[[#This Row],[Valor total]]</f>
        <v>0.31577714285714281</v>
      </c>
      <c r="K2977" s="1" t="str">
        <f>VLOOKUP(Tabela1[[#This Row],[Cliente]],'BASE DE CLIENTES'!A:D,4,0)</f>
        <v>EMPRESA COM MAQUINA</v>
      </c>
      <c r="L2977" s="1" t="str">
        <f>VLOOKUP(Tabela1[[#This Row],[Cliente]],'BASE DE CLIENTES'!A:E,5,0)</f>
        <v>Caldas Novas</v>
      </c>
    </row>
    <row r="2978" spans="2:12" x14ac:dyDescent="0.3">
      <c r="B2978" s="1" t="s">
        <v>316</v>
      </c>
      <c r="C2978" s="4" t="str">
        <f>VLOOKUP(Tabela1[[#This Row],[Cliente]],'BASE DE CLIENTES'!A:E,2,0)</f>
        <v>Valparaíso de Goiás</v>
      </c>
      <c r="D2978" s="1" t="str">
        <f>VLOOKUP(Tabela1[[#This Row],[Cliente]],'BASE DE CLIENTES'!A:C,3,0)</f>
        <v>GO</v>
      </c>
      <c r="E2978" s="4" t="str">
        <f>CONCATENATE(Tabela1[[#This Row],[CIDADE]],",",Tabela1[[#This Row],[UF]])</f>
        <v>Valparaíso de Goiás,GO</v>
      </c>
      <c r="F2978" s="2">
        <v>45936</v>
      </c>
      <c r="G2978" s="17">
        <v>477</v>
      </c>
      <c r="H2978" s="17">
        <v>840</v>
      </c>
      <c r="I2978" s="6">
        <f>Tabela1[[#This Row],[Valor total]]-Tabela1[[#This Row],[Valor custo]]</f>
        <v>363</v>
      </c>
      <c r="J2978" s="7">
        <f>Tabela1[[#This Row],[MARGEM BRUTA]]/Tabela1[[#This Row],[Valor total]]</f>
        <v>0.43214285714285716</v>
      </c>
      <c r="K2978" s="1" t="str">
        <f>VLOOKUP(Tabela1[[#This Row],[Cliente]],'BASE DE CLIENTES'!A:D,4,0)</f>
        <v>SERRALHEIRO</v>
      </c>
      <c r="L2978" s="1" t="str">
        <f>VLOOKUP(Tabela1[[#This Row],[Cliente]],'BASE DE CLIENTES'!A:E,5,0)</f>
        <v>Valparaíso de Goiás</v>
      </c>
    </row>
    <row r="2979" spans="2:12" x14ac:dyDescent="0.3">
      <c r="B2979" s="1" t="s">
        <v>120</v>
      </c>
      <c r="C2979" s="4" t="str">
        <f>VLOOKUP(Tabela1[[#This Row],[Cliente]],'BASE DE CLIENTES'!A:E,2,0)</f>
        <v>Brasília</v>
      </c>
      <c r="D2979" s="1" t="str">
        <f>VLOOKUP(Tabela1[[#This Row],[Cliente]],'BASE DE CLIENTES'!A:C,3,0)</f>
        <v>DF</v>
      </c>
      <c r="E2979" s="4" t="str">
        <f>CONCATENATE(Tabela1[[#This Row],[CIDADE]],",",Tabela1[[#This Row],[UF]])</f>
        <v>Brasília,DF</v>
      </c>
      <c r="F2979" s="2">
        <v>45936</v>
      </c>
      <c r="G2979" s="17">
        <v>432.79</v>
      </c>
      <c r="H2979" s="17">
        <v>655</v>
      </c>
      <c r="I2979" s="6">
        <f>Tabela1[[#This Row],[Valor total]]-Tabela1[[#This Row],[Valor custo]]</f>
        <v>222.20999999999998</v>
      </c>
      <c r="J2979" s="7">
        <f>Tabela1[[#This Row],[MARGEM BRUTA]]/Tabela1[[#This Row],[Valor total]]</f>
        <v>0.33925190839694652</v>
      </c>
      <c r="K2979" s="1" t="str">
        <f>VLOOKUP(Tabela1[[#This Row],[Cliente]],'BASE DE CLIENTES'!A:D,4,0)</f>
        <v>EMPRESA SEM MAQUINA</v>
      </c>
      <c r="L2979" s="1" t="str">
        <f>VLOOKUP(Tabela1[[#This Row],[Cliente]],'BASE DE CLIENTES'!A:E,5,0)</f>
        <v>SAMAMBAIA</v>
      </c>
    </row>
    <row r="2980" spans="2:12" x14ac:dyDescent="0.3">
      <c r="B2980" s="1" t="s">
        <v>327</v>
      </c>
      <c r="C2980" s="4" t="str">
        <f>VLOOKUP(Tabela1[[#This Row],[Cliente]],'BASE DE CLIENTES'!A:E,2,0)</f>
        <v>Brasília</v>
      </c>
      <c r="D2980" s="1" t="str">
        <f>VLOOKUP(Tabela1[[#This Row],[Cliente]],'BASE DE CLIENTES'!A:C,3,0)</f>
        <v>DF</v>
      </c>
      <c r="E2980" s="4" t="str">
        <f>CONCATENATE(Tabela1[[#This Row],[CIDADE]],",",Tabela1[[#This Row],[UF]])</f>
        <v>Brasília,DF</v>
      </c>
      <c r="F2980" s="2">
        <v>45936</v>
      </c>
      <c r="G2980" s="17">
        <v>19.79</v>
      </c>
      <c r="H2980" s="17">
        <v>129</v>
      </c>
      <c r="I2980" s="6">
        <f>Tabela1[[#This Row],[Valor total]]-Tabela1[[#This Row],[Valor custo]]</f>
        <v>109.21000000000001</v>
      </c>
      <c r="J2980" s="7">
        <f>Tabela1[[#This Row],[MARGEM BRUTA]]/Tabela1[[#This Row],[Valor total]]</f>
        <v>0.84658914728682177</v>
      </c>
      <c r="K2980" s="1" t="str">
        <f>VLOOKUP(Tabela1[[#This Row],[Cliente]],'BASE DE CLIENTES'!A:D,4,0)</f>
        <v>SERRALHEIRO</v>
      </c>
      <c r="L2980" s="1" t="str">
        <f>VLOOKUP(Tabela1[[#This Row],[Cliente]],'BASE DE CLIENTES'!A:E,5,0)</f>
        <v>NA</v>
      </c>
    </row>
    <row r="2981" spans="2:12" x14ac:dyDescent="0.3">
      <c r="B2981" s="1" t="s">
        <v>187</v>
      </c>
      <c r="C2981" s="4" t="str">
        <f>VLOOKUP(Tabela1[[#This Row],[Cliente]],'BASE DE CLIENTES'!A:E,2,0)</f>
        <v>Brasília</v>
      </c>
      <c r="D2981" s="1" t="str">
        <f>VLOOKUP(Tabela1[[#This Row],[Cliente]],'BASE DE CLIENTES'!A:C,3,0)</f>
        <v>DF</v>
      </c>
      <c r="E2981" s="4" t="str">
        <f>CONCATENATE(Tabela1[[#This Row],[CIDADE]],",",Tabela1[[#This Row],[UF]])</f>
        <v>Brasília,DF</v>
      </c>
      <c r="F2981" s="2">
        <v>45936</v>
      </c>
      <c r="G2981" s="17">
        <v>1096.79</v>
      </c>
      <c r="H2981" s="17">
        <v>2000</v>
      </c>
      <c r="I2981" s="6">
        <f>Tabela1[[#This Row],[Valor total]]-Tabela1[[#This Row],[Valor custo]]</f>
        <v>903.21</v>
      </c>
      <c r="J2981" s="7">
        <f>Tabela1[[#This Row],[MARGEM BRUTA]]/Tabela1[[#This Row],[Valor total]]</f>
        <v>0.45160500000000003</v>
      </c>
      <c r="K2981" s="1" t="str">
        <f>VLOOKUP(Tabela1[[#This Row],[Cliente]],'BASE DE CLIENTES'!A:D,4,0)</f>
        <v>SERRALHEIRO</v>
      </c>
      <c r="L2981" s="1" t="str">
        <f>VLOOKUP(Tabela1[[#This Row],[Cliente]],'BASE DE CLIENTES'!A:E,5,0)</f>
        <v>CEILANDIA SUL (CEILANDIA)</v>
      </c>
    </row>
    <row r="2982" spans="2:12" x14ac:dyDescent="0.3">
      <c r="B2982" s="1" t="s">
        <v>319</v>
      </c>
      <c r="C2982" s="4" t="str">
        <f>VLOOKUP(Tabela1[[#This Row],[Cliente]],'BASE DE CLIENTES'!A:E,2,0)</f>
        <v>Valparaíso de Goiás</v>
      </c>
      <c r="D2982" s="1" t="str">
        <f>VLOOKUP(Tabela1[[#This Row],[Cliente]],'BASE DE CLIENTES'!A:C,3,0)</f>
        <v>GO</v>
      </c>
      <c r="E2982" s="4" t="str">
        <f>CONCATENATE(Tabela1[[#This Row],[CIDADE]],",",Tabela1[[#This Row],[UF]])</f>
        <v>Valparaíso de Goiás,GO</v>
      </c>
      <c r="F2982" s="2">
        <v>45936</v>
      </c>
      <c r="G2982" s="17">
        <v>491</v>
      </c>
      <c r="H2982" s="17">
        <v>730</v>
      </c>
      <c r="I2982" s="6">
        <f>Tabela1[[#This Row],[Valor total]]-Tabela1[[#This Row],[Valor custo]]</f>
        <v>239</v>
      </c>
      <c r="J2982" s="7">
        <f>Tabela1[[#This Row],[MARGEM BRUTA]]/Tabela1[[#This Row],[Valor total]]</f>
        <v>0.32739726027397259</v>
      </c>
      <c r="K2982" s="1" t="str">
        <f>VLOOKUP(Tabela1[[#This Row],[Cliente]],'BASE DE CLIENTES'!A:D,4,0)</f>
        <v>EMPRESA COM MAQUINA</v>
      </c>
      <c r="L2982" s="1" t="str">
        <f>VLOOKUP(Tabela1[[#This Row],[Cliente]],'BASE DE CLIENTES'!A:E,5,0)</f>
        <v>Valparaíso de Goiás</v>
      </c>
    </row>
    <row r="2983" spans="2:12" x14ac:dyDescent="0.3">
      <c r="B2983" s="1" t="s">
        <v>27</v>
      </c>
      <c r="C2983" s="4" t="str">
        <f>VLOOKUP(Tabela1[[#This Row],[Cliente]],'BASE DE CLIENTES'!A:E,2,0)</f>
        <v>Brasília</v>
      </c>
      <c r="D2983" s="1" t="str">
        <f>VLOOKUP(Tabela1[[#This Row],[Cliente]],'BASE DE CLIENTES'!A:C,3,0)</f>
        <v>DF</v>
      </c>
      <c r="E2983" s="4" t="str">
        <f>CONCATENATE(Tabela1[[#This Row],[CIDADE]],",",Tabela1[[#This Row],[UF]])</f>
        <v>Brasília,DF</v>
      </c>
      <c r="F2983" s="2">
        <v>45936</v>
      </c>
      <c r="G2983" s="17">
        <v>649</v>
      </c>
      <c r="H2983" s="17">
        <v>1000</v>
      </c>
      <c r="I2983" s="6">
        <f>Tabela1[[#This Row],[Valor total]]-Tabela1[[#This Row],[Valor custo]]</f>
        <v>351</v>
      </c>
      <c r="J2983" s="7">
        <f>Tabela1[[#This Row],[MARGEM BRUTA]]/Tabela1[[#This Row],[Valor total]]</f>
        <v>0.35099999999999998</v>
      </c>
      <c r="K2983" s="1" t="str">
        <f>VLOOKUP(Tabela1[[#This Row],[Cliente]],'BASE DE CLIENTES'!A:D,4,0)</f>
        <v>EMPRESA SEM MAQUINA</v>
      </c>
      <c r="L2983" s="1" t="str">
        <f>VLOOKUP(Tabela1[[#This Row],[Cliente]],'BASE DE CLIENTES'!A:E,5,0)</f>
        <v>RECANTO DAS EMAS</v>
      </c>
    </row>
    <row r="2984" spans="2:12" x14ac:dyDescent="0.3">
      <c r="B2984" s="1" t="s">
        <v>78</v>
      </c>
      <c r="C2984" s="4" t="str">
        <f>VLOOKUP(Tabela1[[#This Row],[Cliente]],'BASE DE CLIENTES'!A:E,2,0)</f>
        <v>Brasília</v>
      </c>
      <c r="D2984" s="1" t="str">
        <f>VLOOKUP(Tabela1[[#This Row],[Cliente]],'BASE DE CLIENTES'!A:C,3,0)</f>
        <v>DF</v>
      </c>
      <c r="E2984" s="4" t="str">
        <f>CONCATENATE(Tabela1[[#This Row],[CIDADE]],",",Tabela1[[#This Row],[UF]])</f>
        <v>Brasília,DF</v>
      </c>
      <c r="F2984" s="2">
        <v>45936</v>
      </c>
      <c r="G2984" s="17">
        <v>7.21</v>
      </c>
      <c r="H2984" s="17">
        <v>35</v>
      </c>
      <c r="I2984" s="6">
        <f>Tabela1[[#This Row],[Valor total]]-Tabela1[[#This Row],[Valor custo]]</f>
        <v>27.79</v>
      </c>
      <c r="J2984" s="7">
        <f>Tabela1[[#This Row],[MARGEM BRUTA]]/Tabela1[[#This Row],[Valor total]]</f>
        <v>0.79399999999999993</v>
      </c>
      <c r="K2984" s="1" t="str">
        <f>VLOOKUP(Tabela1[[#This Row],[Cliente]],'BASE DE CLIENTES'!A:D,4,0)</f>
        <v>SERRALHEIRO</v>
      </c>
      <c r="L2984" s="1" t="str">
        <f>VLOOKUP(Tabela1[[#This Row],[Cliente]],'BASE DE CLIENTES'!A:E,5,0)</f>
        <v>Vila do Boa (São Sebastião)</v>
      </c>
    </row>
    <row r="2985" spans="2:12" x14ac:dyDescent="0.3">
      <c r="B2985" s="1" t="s">
        <v>88</v>
      </c>
      <c r="C2985" s="4" t="str">
        <f>VLOOKUP(Tabela1[[#This Row],[Cliente]],'BASE DE CLIENTES'!A:E,2,0)</f>
        <v>Brasília</v>
      </c>
      <c r="D2985" s="1" t="str">
        <f>VLOOKUP(Tabela1[[#This Row],[Cliente]],'BASE DE CLIENTES'!A:C,3,0)</f>
        <v>DF</v>
      </c>
      <c r="E2985" s="4" t="str">
        <f>CONCATENATE(Tabela1[[#This Row],[CIDADE]],",",Tabela1[[#This Row],[UF]])</f>
        <v>Brasília,DF</v>
      </c>
      <c r="F2985" s="2">
        <v>45936</v>
      </c>
      <c r="G2985" s="17">
        <v>122.74</v>
      </c>
      <c r="H2985" s="17">
        <v>105</v>
      </c>
      <c r="I2985" s="6">
        <f>Tabela1[[#This Row],[Valor total]]-Tabela1[[#This Row],[Valor custo]]</f>
        <v>-17.739999999999995</v>
      </c>
      <c r="J2985" s="7">
        <f>Tabela1[[#This Row],[MARGEM BRUTA]]/Tabela1[[#This Row],[Valor total]]</f>
        <v>-0.16895238095238091</v>
      </c>
      <c r="K2985" s="1" t="str">
        <f>VLOOKUP(Tabela1[[#This Row],[Cliente]],'BASE DE CLIENTES'!A:D,4,0)</f>
        <v>SERRALHEIRO</v>
      </c>
      <c r="L2985" s="1" t="str">
        <f>VLOOKUP(Tabela1[[#This Row],[Cliente]],'BASE DE CLIENTES'!A:E,5,0)</f>
        <v>RECANTO DAS EMAS</v>
      </c>
    </row>
    <row r="2986" spans="2:12" x14ac:dyDescent="0.3">
      <c r="B2986" s="1" t="s">
        <v>88</v>
      </c>
      <c r="C2986" s="4" t="str">
        <f>VLOOKUP(Tabela1[[#This Row],[Cliente]],'BASE DE CLIENTES'!A:E,2,0)</f>
        <v>Brasília</v>
      </c>
      <c r="D2986" s="1" t="str">
        <f>VLOOKUP(Tabela1[[#This Row],[Cliente]],'BASE DE CLIENTES'!A:C,3,0)</f>
        <v>DF</v>
      </c>
      <c r="E2986" s="4" t="str">
        <f>CONCATENATE(Tabela1[[#This Row],[CIDADE]],",",Tabela1[[#This Row],[UF]])</f>
        <v>Brasília,DF</v>
      </c>
      <c r="F2986" s="2">
        <v>45936</v>
      </c>
      <c r="G2986" s="17">
        <v>465.79</v>
      </c>
      <c r="H2986" s="17">
        <v>670</v>
      </c>
      <c r="I2986" s="6">
        <f>Tabela1[[#This Row],[Valor total]]-Tabela1[[#This Row],[Valor custo]]</f>
        <v>204.20999999999998</v>
      </c>
      <c r="J2986" s="7">
        <f>Tabela1[[#This Row],[MARGEM BRUTA]]/Tabela1[[#This Row],[Valor total]]</f>
        <v>0.30479104477611935</v>
      </c>
      <c r="K2986" s="1" t="str">
        <f>VLOOKUP(Tabela1[[#This Row],[Cliente]],'BASE DE CLIENTES'!A:D,4,0)</f>
        <v>SERRALHEIRO</v>
      </c>
      <c r="L2986" s="1" t="str">
        <f>VLOOKUP(Tabela1[[#This Row],[Cliente]],'BASE DE CLIENTES'!A:E,5,0)</f>
        <v>RECANTO DAS EMAS</v>
      </c>
    </row>
    <row r="2987" spans="2:12" x14ac:dyDescent="0.3">
      <c r="B2987" s="1" t="s">
        <v>140</v>
      </c>
      <c r="C2987" s="4" t="str">
        <f>VLOOKUP(Tabela1[[#This Row],[Cliente]],'BASE DE CLIENTES'!A:E,2,0)</f>
        <v>Brasília</v>
      </c>
      <c r="D2987" s="1" t="str">
        <f>VLOOKUP(Tabela1[[#This Row],[Cliente]],'BASE DE CLIENTES'!A:C,3,0)</f>
        <v>DF</v>
      </c>
      <c r="E2987" s="4" t="str">
        <f>CONCATENATE(Tabela1[[#This Row],[CIDADE]],",",Tabela1[[#This Row],[UF]])</f>
        <v>Brasília,DF</v>
      </c>
      <c r="F2987" s="2">
        <v>45936</v>
      </c>
      <c r="G2987" s="17">
        <v>491</v>
      </c>
      <c r="H2987" s="17">
        <v>700</v>
      </c>
      <c r="I2987" s="6">
        <f>Tabela1[[#This Row],[Valor total]]-Tabela1[[#This Row],[Valor custo]]</f>
        <v>209</v>
      </c>
      <c r="J2987" s="7">
        <f>Tabela1[[#This Row],[MARGEM BRUTA]]/Tabela1[[#This Row],[Valor total]]</f>
        <v>0.2985714285714286</v>
      </c>
      <c r="K2987" s="1" t="str">
        <f>VLOOKUP(Tabela1[[#This Row],[Cliente]],'BASE DE CLIENTES'!A:D,4,0)</f>
        <v>EMPRESA COM MAQUINA</v>
      </c>
      <c r="L2987" s="1" t="str">
        <f>VLOOKUP(Tabela1[[#This Row],[Cliente]],'BASE DE CLIENTES'!A:E,5,0)</f>
        <v>RECANTO DAS EMAS</v>
      </c>
    </row>
    <row r="2988" spans="2:12" x14ac:dyDescent="0.3">
      <c r="B2988" s="1" t="s">
        <v>308</v>
      </c>
      <c r="C2988" s="4" t="str">
        <f>VLOOKUP(Tabela1[[#This Row],[Cliente]],'BASE DE CLIENTES'!A:E,2,0)</f>
        <v>Uberaba</v>
      </c>
      <c r="D2988" s="1" t="str">
        <f>VLOOKUP(Tabela1[[#This Row],[Cliente]],'BASE DE CLIENTES'!A:C,3,0)</f>
        <v>MG</v>
      </c>
      <c r="E2988" s="4" t="str">
        <f>CONCATENATE(Tabela1[[#This Row],[CIDADE]],",",Tabela1[[#This Row],[UF]])</f>
        <v>Uberaba,MG</v>
      </c>
      <c r="F2988" s="2">
        <v>45936</v>
      </c>
      <c r="G2988" s="17">
        <v>22489.08</v>
      </c>
      <c r="H2988" s="17">
        <v>33718</v>
      </c>
      <c r="I2988" s="6">
        <f>Tabela1[[#This Row],[Valor total]]-Tabela1[[#This Row],[Valor custo]]</f>
        <v>11228.919999999998</v>
      </c>
      <c r="J2988" s="7">
        <f>Tabela1[[#This Row],[MARGEM BRUTA]]/Tabela1[[#This Row],[Valor total]]</f>
        <v>0.33302449730114475</v>
      </c>
      <c r="K2988" s="1" t="str">
        <f>VLOOKUP(Tabela1[[#This Row],[Cliente]],'BASE DE CLIENTES'!A:D,4,0)</f>
        <v>EMPRESA COM MAQUINA</v>
      </c>
      <c r="L2988" s="1" t="str">
        <f>VLOOKUP(Tabela1[[#This Row],[Cliente]],'BASE DE CLIENTES'!A:E,5,0)</f>
        <v>Uberaba</v>
      </c>
    </row>
    <row r="2989" spans="2:12" x14ac:dyDescent="0.3">
      <c r="B2989" s="1" t="s">
        <v>232</v>
      </c>
      <c r="C2989" s="4" t="str">
        <f>VLOOKUP(Tabela1[[#This Row],[Cliente]],'BASE DE CLIENTES'!A:E,2,0)</f>
        <v>Brasília</v>
      </c>
      <c r="D2989" s="1" t="str">
        <f>VLOOKUP(Tabela1[[#This Row],[Cliente]],'BASE DE CLIENTES'!A:C,3,0)</f>
        <v>DF</v>
      </c>
      <c r="E2989" s="4" t="str">
        <f>CONCATENATE(Tabela1[[#This Row],[CIDADE]],",",Tabela1[[#This Row],[UF]])</f>
        <v>Brasília,DF</v>
      </c>
      <c r="F2989" s="2">
        <v>45936</v>
      </c>
      <c r="G2989" s="17">
        <v>293.13</v>
      </c>
      <c r="H2989" s="17">
        <v>450</v>
      </c>
      <c r="I2989" s="6">
        <f>Tabela1[[#This Row],[Valor total]]-Tabela1[[#This Row],[Valor custo]]</f>
        <v>156.87</v>
      </c>
      <c r="J2989" s="7">
        <f>Tabela1[[#This Row],[MARGEM BRUTA]]/Tabela1[[#This Row],[Valor total]]</f>
        <v>0.34860000000000002</v>
      </c>
      <c r="K2989" s="1" t="str">
        <f>VLOOKUP(Tabela1[[#This Row],[Cliente]],'BASE DE CLIENTES'!A:D,4,0)</f>
        <v>CHAVEIRO</v>
      </c>
      <c r="L2989" s="1" t="str">
        <f>VLOOKUP(Tabela1[[#This Row],[Cliente]],'BASE DE CLIENTES'!A:E,5,0)</f>
        <v>Areal (Águas Claras)</v>
      </c>
    </row>
    <row r="2990" spans="2:12" x14ac:dyDescent="0.3">
      <c r="B2990" s="1" t="s">
        <v>96</v>
      </c>
      <c r="C2990" s="4" t="str">
        <f>VLOOKUP(Tabela1[[#This Row],[Cliente]],'BASE DE CLIENTES'!A:E,2,0)</f>
        <v>Brasília</v>
      </c>
      <c r="D2990" s="1" t="str">
        <f>VLOOKUP(Tabela1[[#This Row],[Cliente]],'BASE DE CLIENTES'!A:C,3,0)</f>
        <v>DF</v>
      </c>
      <c r="E2990" s="4" t="str">
        <f>CONCATENATE(Tabela1[[#This Row],[CIDADE]],",",Tabela1[[#This Row],[UF]])</f>
        <v>Brasília,DF</v>
      </c>
      <c r="F2990" s="2">
        <v>45936</v>
      </c>
      <c r="G2990" s="17">
        <v>1579.69</v>
      </c>
      <c r="H2990" s="17">
        <v>2355</v>
      </c>
      <c r="I2990" s="6">
        <f>Tabela1[[#This Row],[Valor total]]-Tabela1[[#This Row],[Valor custo]]</f>
        <v>775.31</v>
      </c>
      <c r="J2990" s="7">
        <f>Tabela1[[#This Row],[MARGEM BRUTA]]/Tabela1[[#This Row],[Valor total]]</f>
        <v>0.32921868365180462</v>
      </c>
      <c r="K2990" s="1" t="str">
        <f>VLOOKUP(Tabela1[[#This Row],[Cliente]],'BASE DE CLIENTES'!A:D,4,0)</f>
        <v>EMPRESA SEM MAQUINA</v>
      </c>
      <c r="L2990" s="1" t="str">
        <f>VLOOKUP(Tabela1[[#This Row],[Cliente]],'BASE DE CLIENTES'!A:E,5,0)</f>
        <v>CEILANDIA NORTE (CEILANDIA)</v>
      </c>
    </row>
    <row r="2991" spans="2:12" x14ac:dyDescent="0.3">
      <c r="B2991" s="1" t="s">
        <v>78</v>
      </c>
      <c r="C2991" s="4" t="str">
        <f>VLOOKUP(Tabela1[[#This Row],[Cliente]],'BASE DE CLIENTES'!A:E,2,0)</f>
        <v>Brasília</v>
      </c>
      <c r="D2991" s="1" t="str">
        <f>VLOOKUP(Tabela1[[#This Row],[Cliente]],'BASE DE CLIENTES'!A:C,3,0)</f>
        <v>DF</v>
      </c>
      <c r="E2991" s="4" t="str">
        <f>CONCATENATE(Tabela1[[#This Row],[CIDADE]],",",Tabela1[[#This Row],[UF]])</f>
        <v>Brasília,DF</v>
      </c>
      <c r="F2991" s="2">
        <v>45936</v>
      </c>
      <c r="G2991" s="17">
        <v>489.2</v>
      </c>
      <c r="H2991" s="17">
        <v>866</v>
      </c>
      <c r="I2991" s="6">
        <f>Tabela1[[#This Row],[Valor total]]-Tabela1[[#This Row],[Valor custo]]</f>
        <v>376.8</v>
      </c>
      <c r="J2991" s="7">
        <f>Tabela1[[#This Row],[MARGEM BRUTA]]/Tabela1[[#This Row],[Valor total]]</f>
        <v>0.43510392609699772</v>
      </c>
      <c r="K2991" s="1" t="str">
        <f>VLOOKUP(Tabela1[[#This Row],[Cliente]],'BASE DE CLIENTES'!A:D,4,0)</f>
        <v>SERRALHEIRO</v>
      </c>
      <c r="L2991" s="1" t="str">
        <f>VLOOKUP(Tabela1[[#This Row],[Cliente]],'BASE DE CLIENTES'!A:E,5,0)</f>
        <v>Vila do Boa (São Sebastião)</v>
      </c>
    </row>
    <row r="2992" spans="2:12" x14ac:dyDescent="0.3">
      <c r="B2992" s="1" t="s">
        <v>19</v>
      </c>
      <c r="C2992" s="4" t="str">
        <f>VLOOKUP(Tabela1[[#This Row],[Cliente]],'BASE DE CLIENTES'!A:E,2,0)</f>
        <v>Águas Lindas de Goiás</v>
      </c>
      <c r="D2992" s="1" t="str">
        <f>VLOOKUP(Tabela1[[#This Row],[Cliente]],'BASE DE CLIENTES'!A:C,3,0)</f>
        <v>GO</v>
      </c>
      <c r="E2992" s="4" t="str">
        <f>CONCATENATE(Tabela1[[#This Row],[CIDADE]],",",Tabela1[[#This Row],[UF]])</f>
        <v>Águas Lindas de Goiás,GO</v>
      </c>
      <c r="F2992" s="2">
        <v>45936</v>
      </c>
      <c r="G2992" s="17">
        <v>125</v>
      </c>
      <c r="H2992" s="17">
        <v>152.5</v>
      </c>
      <c r="I2992" s="6">
        <f>Tabela1[[#This Row],[Valor total]]-Tabela1[[#This Row],[Valor custo]]</f>
        <v>27.5</v>
      </c>
      <c r="J2992" s="7">
        <f>Tabela1[[#This Row],[MARGEM BRUTA]]/Tabela1[[#This Row],[Valor total]]</f>
        <v>0.18032786885245902</v>
      </c>
      <c r="K2992" s="1" t="str">
        <f>VLOOKUP(Tabela1[[#This Row],[Cliente]],'BASE DE CLIENTES'!A:D,4,0)</f>
        <v>SERRALHEIRO</v>
      </c>
      <c r="L2992" s="1" t="str">
        <f>VLOOKUP(Tabela1[[#This Row],[Cliente]],'BASE DE CLIENTES'!A:E,5,0)</f>
        <v>Águas Lindas de Goiás</v>
      </c>
    </row>
    <row r="2993" spans="2:12" x14ac:dyDescent="0.3">
      <c r="B2993" s="1" t="s">
        <v>216</v>
      </c>
      <c r="C2993" s="4" t="str">
        <f>VLOOKUP(Tabela1[[#This Row],[Cliente]],'BASE DE CLIENTES'!A:E,2,0)</f>
        <v>Brasília</v>
      </c>
      <c r="D2993" s="1" t="str">
        <f>VLOOKUP(Tabela1[[#This Row],[Cliente]],'BASE DE CLIENTES'!A:C,3,0)</f>
        <v>DF</v>
      </c>
      <c r="E2993" s="4" t="str">
        <f>CONCATENATE(Tabela1[[#This Row],[CIDADE]],",",Tabela1[[#This Row],[UF]])</f>
        <v>Brasília,DF</v>
      </c>
      <c r="F2993" s="2">
        <v>45936</v>
      </c>
      <c r="G2993" s="17">
        <v>215</v>
      </c>
      <c r="H2993" s="17">
        <v>330</v>
      </c>
      <c r="I2993" s="6">
        <f>Tabela1[[#This Row],[Valor total]]-Tabela1[[#This Row],[Valor custo]]</f>
        <v>115</v>
      </c>
      <c r="J2993" s="7">
        <f>Tabela1[[#This Row],[MARGEM BRUTA]]/Tabela1[[#This Row],[Valor total]]</f>
        <v>0.34848484848484851</v>
      </c>
      <c r="K2993" s="1" t="str">
        <f>VLOOKUP(Tabela1[[#This Row],[Cliente]],'BASE DE CLIENTES'!A:D,4,0)</f>
        <v>EMPRESA COM MAQUINA</v>
      </c>
      <c r="L2993" s="1" t="str">
        <f>VLOOKUP(Tabela1[[#This Row],[Cliente]],'BASE DE CLIENTES'!A:E,5,0)</f>
        <v>RIACHO FUNDO II</v>
      </c>
    </row>
    <row r="2994" spans="2:12" x14ac:dyDescent="0.3">
      <c r="B2994" s="1" t="s">
        <v>117</v>
      </c>
      <c r="C2994" s="4" t="str">
        <f>VLOOKUP(Tabela1[[#This Row],[Cliente]],'BASE DE CLIENTES'!A:E,2,0)</f>
        <v>Brasília</v>
      </c>
      <c r="D2994" s="1" t="str">
        <f>VLOOKUP(Tabela1[[#This Row],[Cliente]],'BASE DE CLIENTES'!A:C,3,0)</f>
        <v>DF</v>
      </c>
      <c r="E2994" s="4" t="str">
        <f>CONCATENATE(Tabela1[[#This Row],[CIDADE]],",",Tabela1[[#This Row],[UF]])</f>
        <v>Brasília,DF</v>
      </c>
      <c r="F2994" s="2">
        <v>45936</v>
      </c>
      <c r="G2994" s="17">
        <v>125</v>
      </c>
      <c r="H2994" s="17">
        <v>150</v>
      </c>
      <c r="I2994" s="6">
        <f>Tabela1[[#This Row],[Valor total]]-Tabela1[[#This Row],[Valor custo]]</f>
        <v>25</v>
      </c>
      <c r="J2994" s="7">
        <f>Tabela1[[#This Row],[MARGEM BRUTA]]/Tabela1[[#This Row],[Valor total]]</f>
        <v>0.16666666666666666</v>
      </c>
      <c r="K2994" s="1" t="str">
        <f>VLOOKUP(Tabela1[[#This Row],[Cliente]],'BASE DE CLIENTES'!A:D,4,0)</f>
        <v>EMPRESA COM MAQUINA</v>
      </c>
      <c r="L2994" s="1" t="str">
        <f>VLOOKUP(Tabela1[[#This Row],[Cliente]],'BASE DE CLIENTES'!A:E,5,0)</f>
        <v>SETOR HABITACIONAL ARNIQUEIRA (AGUAS CLARAS)</v>
      </c>
    </row>
    <row r="2995" spans="2:12" x14ac:dyDescent="0.3">
      <c r="B2995" s="1" t="s">
        <v>106</v>
      </c>
      <c r="C2995" s="4" t="str">
        <f>VLOOKUP(Tabela1[[#This Row],[Cliente]],'BASE DE CLIENTES'!A:E,2,0)</f>
        <v>Brasília</v>
      </c>
      <c r="D2995" s="1" t="str">
        <f>VLOOKUP(Tabela1[[#This Row],[Cliente]],'BASE DE CLIENTES'!A:C,3,0)</f>
        <v>DF</v>
      </c>
      <c r="E2995" s="4" t="str">
        <f>CONCATENATE(Tabela1[[#This Row],[CIDADE]],",",Tabela1[[#This Row],[UF]])</f>
        <v>Brasília,DF</v>
      </c>
      <c r="F2995" s="2">
        <v>45936</v>
      </c>
      <c r="G2995" s="17">
        <v>432.79</v>
      </c>
      <c r="H2995" s="17">
        <v>650</v>
      </c>
      <c r="I2995" s="6">
        <f>Tabela1[[#This Row],[Valor total]]-Tabela1[[#This Row],[Valor custo]]</f>
        <v>217.20999999999998</v>
      </c>
      <c r="J2995" s="7">
        <f>Tabela1[[#This Row],[MARGEM BRUTA]]/Tabela1[[#This Row],[Valor total]]</f>
        <v>0.33416923076923072</v>
      </c>
      <c r="K2995" s="1" t="str">
        <f>VLOOKUP(Tabela1[[#This Row],[Cliente]],'BASE DE CLIENTES'!A:D,4,0)</f>
        <v>EMPRESA COM MAQUINA</v>
      </c>
      <c r="L2995" s="1" t="str">
        <f>VLOOKUP(Tabela1[[#This Row],[Cliente]],'BASE DE CLIENTES'!A:E,5,0)</f>
        <v>26 DE SETEMBRO</v>
      </c>
    </row>
    <row r="2996" spans="2:12" x14ac:dyDescent="0.3">
      <c r="B2996" s="1" t="s">
        <v>307</v>
      </c>
      <c r="C2996" s="4" t="str">
        <f>VLOOKUP(Tabela1[[#This Row],[Cliente]],'BASE DE CLIENTES'!A:E,2,0)</f>
        <v>Uberaba</v>
      </c>
      <c r="D2996" s="1" t="str">
        <f>VLOOKUP(Tabela1[[#This Row],[Cliente]],'BASE DE CLIENTES'!A:C,3,0)</f>
        <v>MG</v>
      </c>
      <c r="E2996" s="4" t="str">
        <f>CONCATENATE(Tabela1[[#This Row],[CIDADE]],",",Tabela1[[#This Row],[UF]])</f>
        <v>Uberaba,MG</v>
      </c>
      <c r="F2996" s="2">
        <v>45936</v>
      </c>
      <c r="G2996" s="17">
        <v>10820.9</v>
      </c>
      <c r="H2996" s="17">
        <v>15800</v>
      </c>
      <c r="I2996" s="6">
        <f>Tabela1[[#This Row],[Valor total]]-Tabela1[[#This Row],[Valor custo]]</f>
        <v>4979.1000000000004</v>
      </c>
      <c r="J2996" s="7">
        <f>Tabela1[[#This Row],[MARGEM BRUTA]]/Tabela1[[#This Row],[Valor total]]</f>
        <v>0.31513291139240507</v>
      </c>
      <c r="K2996" s="1" t="str">
        <f>VLOOKUP(Tabela1[[#This Row],[Cliente]],'BASE DE CLIENTES'!A:D,4,0)</f>
        <v>EMPRESA COM MAQUINA</v>
      </c>
      <c r="L2996" s="1" t="str">
        <f>VLOOKUP(Tabela1[[#This Row],[Cliente]],'BASE DE CLIENTES'!A:E,5,0)</f>
        <v>Uberaba</v>
      </c>
    </row>
    <row r="2997" spans="2:12" x14ac:dyDescent="0.3">
      <c r="B2997" s="1" t="s">
        <v>20</v>
      </c>
      <c r="C2997" s="4" t="str">
        <f>VLOOKUP(Tabela1[[#This Row],[Cliente]],'BASE DE CLIENTES'!A:E,2,0)</f>
        <v>Brasília</v>
      </c>
      <c r="D2997" s="1" t="str">
        <f>VLOOKUP(Tabela1[[#This Row],[Cliente]],'BASE DE CLIENTES'!A:C,3,0)</f>
        <v>DF</v>
      </c>
      <c r="E2997" s="4" t="str">
        <f>CONCATENATE(Tabela1[[#This Row],[CIDADE]],",",Tabela1[[#This Row],[UF]])</f>
        <v>Brasília,DF</v>
      </c>
      <c r="F2997" s="2">
        <v>45934</v>
      </c>
      <c r="G2997" s="17">
        <v>293.13</v>
      </c>
      <c r="H2997" s="17">
        <v>400</v>
      </c>
      <c r="I2997" s="6">
        <f>Tabela1[[#This Row],[Valor total]]-Tabela1[[#This Row],[Valor custo]]</f>
        <v>106.87</v>
      </c>
      <c r="J2997" s="7">
        <f>Tabela1[[#This Row],[MARGEM BRUTA]]/Tabela1[[#This Row],[Valor total]]</f>
        <v>0.267175</v>
      </c>
      <c r="K2997" s="1" t="str">
        <f>VLOOKUP(Tabela1[[#This Row],[Cliente]],'BASE DE CLIENTES'!A:D,4,0)</f>
        <v>CHAVEIRO</v>
      </c>
      <c r="L2997" s="1" t="str">
        <f>VLOOKUP(Tabela1[[#This Row],[Cliente]],'BASE DE CLIENTES'!A:E,5,0)</f>
        <v>NA</v>
      </c>
    </row>
    <row r="2998" spans="2:12" x14ac:dyDescent="0.3">
      <c r="B2998" s="1" t="s">
        <v>27</v>
      </c>
      <c r="C2998" s="4" t="str">
        <f>VLOOKUP(Tabela1[[#This Row],[Cliente]],'BASE DE CLIENTES'!A:E,2,0)</f>
        <v>Brasília</v>
      </c>
      <c r="D2998" s="1" t="str">
        <f>VLOOKUP(Tabela1[[#This Row],[Cliente]],'BASE DE CLIENTES'!A:C,3,0)</f>
        <v>DF</v>
      </c>
      <c r="E2998" s="4" t="str">
        <f>CONCATENATE(Tabela1[[#This Row],[CIDADE]],",",Tabela1[[#This Row],[UF]])</f>
        <v>Brasília,DF</v>
      </c>
      <c r="F2998" s="2">
        <v>45934</v>
      </c>
      <c r="G2998" s="17">
        <v>53.84</v>
      </c>
      <c r="H2998" s="17">
        <v>90</v>
      </c>
      <c r="I2998" s="6">
        <f>Tabela1[[#This Row],[Valor total]]-Tabela1[[#This Row],[Valor custo]]</f>
        <v>36.159999999999997</v>
      </c>
      <c r="J2998" s="7">
        <f>Tabela1[[#This Row],[MARGEM BRUTA]]/Tabela1[[#This Row],[Valor total]]</f>
        <v>0.40177777777777773</v>
      </c>
      <c r="K2998" s="1" t="str">
        <f>VLOOKUP(Tabela1[[#This Row],[Cliente]],'BASE DE CLIENTES'!A:D,4,0)</f>
        <v>EMPRESA SEM MAQUINA</v>
      </c>
      <c r="L2998" s="1" t="str">
        <f>VLOOKUP(Tabela1[[#This Row],[Cliente]],'BASE DE CLIENTES'!A:E,5,0)</f>
        <v>RECANTO DAS EMAS</v>
      </c>
    </row>
    <row r="2999" spans="2:12" x14ac:dyDescent="0.3">
      <c r="B2999" s="1" t="s">
        <v>27</v>
      </c>
      <c r="C2999" s="4" t="str">
        <f>VLOOKUP(Tabela1[[#This Row],[Cliente]],'BASE DE CLIENTES'!A:E,2,0)</f>
        <v>Brasília</v>
      </c>
      <c r="D2999" s="1" t="str">
        <f>VLOOKUP(Tabela1[[#This Row],[Cliente]],'BASE DE CLIENTES'!A:C,3,0)</f>
        <v>DF</v>
      </c>
      <c r="E2999" s="4" t="str">
        <f>CONCATENATE(Tabela1[[#This Row],[CIDADE]],",",Tabela1[[#This Row],[UF]])</f>
        <v>Brasília,DF</v>
      </c>
      <c r="F2999" s="2">
        <v>45934</v>
      </c>
      <c r="G2999" s="17">
        <v>477</v>
      </c>
      <c r="H2999" s="17">
        <v>820</v>
      </c>
      <c r="I2999" s="6">
        <f>Tabela1[[#This Row],[Valor total]]-Tabela1[[#This Row],[Valor custo]]</f>
        <v>343</v>
      </c>
      <c r="J2999" s="7">
        <f>Tabela1[[#This Row],[MARGEM BRUTA]]/Tabela1[[#This Row],[Valor total]]</f>
        <v>0.41829268292682925</v>
      </c>
      <c r="K2999" s="1" t="str">
        <f>VLOOKUP(Tabela1[[#This Row],[Cliente]],'BASE DE CLIENTES'!A:D,4,0)</f>
        <v>EMPRESA SEM MAQUINA</v>
      </c>
      <c r="L2999" s="1" t="str">
        <f>VLOOKUP(Tabela1[[#This Row],[Cliente]],'BASE DE CLIENTES'!A:E,5,0)</f>
        <v>RECANTO DAS EMAS</v>
      </c>
    </row>
    <row r="3000" spans="2:12" x14ac:dyDescent="0.3">
      <c r="B3000" s="1" t="s">
        <v>149</v>
      </c>
      <c r="C3000" s="4" t="str">
        <f>VLOOKUP(Tabela1[[#This Row],[Cliente]],'BASE DE CLIENTES'!A:E,2,0)</f>
        <v>Anápolis</v>
      </c>
      <c r="D3000" s="1" t="str">
        <f>VLOOKUP(Tabela1[[#This Row],[Cliente]],'BASE DE CLIENTES'!A:C,3,0)</f>
        <v>GO</v>
      </c>
      <c r="E3000" s="4" t="str">
        <f>CONCATENATE(Tabela1[[#This Row],[CIDADE]],",",Tabela1[[#This Row],[UF]])</f>
        <v>Anápolis,GO</v>
      </c>
      <c r="F3000" s="2">
        <v>45933</v>
      </c>
      <c r="G3000" s="17">
        <v>477</v>
      </c>
      <c r="H3000" s="17">
        <v>810</v>
      </c>
      <c r="I3000" s="6">
        <f>Tabela1[[#This Row],[Valor total]]-Tabela1[[#This Row],[Valor custo]]</f>
        <v>333</v>
      </c>
      <c r="J3000" s="7">
        <f>Tabela1[[#This Row],[MARGEM BRUTA]]/Tabela1[[#This Row],[Valor total]]</f>
        <v>0.41111111111111109</v>
      </c>
      <c r="K3000" s="1" t="str">
        <f>VLOOKUP(Tabela1[[#This Row],[Cliente]],'BASE DE CLIENTES'!A:D,4,0)</f>
        <v>EMPRESA COM MAQUINA</v>
      </c>
      <c r="L3000" s="1" t="str">
        <f>VLOOKUP(Tabela1[[#This Row],[Cliente]],'BASE DE CLIENTES'!A:E,5,0)</f>
        <v>Anápolis</v>
      </c>
    </row>
    <row r="3001" spans="2:12" x14ac:dyDescent="0.3">
      <c r="B3001" s="1" t="s">
        <v>55</v>
      </c>
      <c r="C3001" s="4" t="str">
        <f>VLOOKUP(Tabela1[[#This Row],[Cliente]],'BASE DE CLIENTES'!A:E,2,0)</f>
        <v>Brasília</v>
      </c>
      <c r="D3001" s="1" t="str">
        <f>VLOOKUP(Tabela1[[#This Row],[Cliente]],'BASE DE CLIENTES'!A:C,3,0)</f>
        <v>DF</v>
      </c>
      <c r="E3001" s="4" t="str">
        <f>CONCATENATE(Tabela1[[#This Row],[CIDADE]],",",Tabela1[[#This Row],[UF]])</f>
        <v>Brasília,DF</v>
      </c>
      <c r="F3001" s="2">
        <v>45933</v>
      </c>
      <c r="G3001" s="17">
        <v>84.92</v>
      </c>
      <c r="H3001" s="17">
        <v>90</v>
      </c>
      <c r="I3001" s="6">
        <f>Tabela1[[#This Row],[Valor total]]-Tabela1[[#This Row],[Valor custo]]</f>
        <v>5.0799999999999983</v>
      </c>
      <c r="J3001" s="7">
        <f>Tabela1[[#This Row],[MARGEM BRUTA]]/Tabela1[[#This Row],[Valor total]]</f>
        <v>5.6444444444444422E-2</v>
      </c>
      <c r="K3001" s="1" t="str">
        <f>VLOOKUP(Tabela1[[#This Row],[Cliente]],'BASE DE CLIENTES'!A:D,4,0)</f>
        <v>EMPRESA SEM MAQUINA</v>
      </c>
      <c r="L3001" s="1" t="str">
        <f>VLOOKUP(Tabela1[[#This Row],[Cliente]],'BASE DE CLIENTES'!A:E,5,0)</f>
        <v>RECANTO DAS EMAS</v>
      </c>
    </row>
    <row r="3002" spans="2:12" x14ac:dyDescent="0.3">
      <c r="B3002" s="1" t="s">
        <v>106</v>
      </c>
      <c r="C3002" s="4" t="str">
        <f>VLOOKUP(Tabela1[[#This Row],[Cliente]],'BASE DE CLIENTES'!A:E,2,0)</f>
        <v>Brasília</v>
      </c>
      <c r="D3002" s="1" t="str">
        <f>VLOOKUP(Tabela1[[#This Row],[Cliente]],'BASE DE CLIENTES'!A:C,3,0)</f>
        <v>DF</v>
      </c>
      <c r="E3002" s="4" t="str">
        <f>CONCATENATE(Tabela1[[#This Row],[CIDADE]],",",Tabela1[[#This Row],[UF]])</f>
        <v>Brasília,DF</v>
      </c>
      <c r="F3002" s="2">
        <v>45933</v>
      </c>
      <c r="G3002" s="17">
        <v>455</v>
      </c>
      <c r="H3002" s="17">
        <v>750</v>
      </c>
      <c r="I3002" s="6">
        <f>Tabela1[[#This Row],[Valor total]]-Tabela1[[#This Row],[Valor custo]]</f>
        <v>295</v>
      </c>
      <c r="J3002" s="7">
        <f>Tabela1[[#This Row],[MARGEM BRUTA]]/Tabela1[[#This Row],[Valor total]]</f>
        <v>0.39333333333333331</v>
      </c>
      <c r="K3002" s="1" t="str">
        <f>VLOOKUP(Tabela1[[#This Row],[Cliente]],'BASE DE CLIENTES'!A:D,4,0)</f>
        <v>EMPRESA COM MAQUINA</v>
      </c>
      <c r="L3002" s="1" t="str">
        <f>VLOOKUP(Tabela1[[#This Row],[Cliente]],'BASE DE CLIENTES'!A:E,5,0)</f>
        <v>26 DE SETEMBRO</v>
      </c>
    </row>
    <row r="3003" spans="2:12" x14ac:dyDescent="0.3">
      <c r="B3003" s="1" t="s">
        <v>206</v>
      </c>
      <c r="C3003" s="4" t="str">
        <f>VLOOKUP(Tabela1[[#This Row],[Cliente]],'BASE DE CLIENTES'!A:E,2,0)</f>
        <v>Goiânia</v>
      </c>
      <c r="D3003" s="1" t="str">
        <f>VLOOKUP(Tabela1[[#This Row],[Cliente]],'BASE DE CLIENTES'!A:C,3,0)</f>
        <v>GO</v>
      </c>
      <c r="E3003" s="4" t="str">
        <f>CONCATENATE(Tabela1[[#This Row],[CIDADE]],",",Tabela1[[#This Row],[UF]])</f>
        <v>Goiânia,GO</v>
      </c>
      <c r="F3003" s="2">
        <v>45933</v>
      </c>
      <c r="G3003" s="17">
        <v>360.5</v>
      </c>
      <c r="H3003" s="17">
        <v>850</v>
      </c>
      <c r="I3003" s="6">
        <f>Tabela1[[#This Row],[Valor total]]-Tabela1[[#This Row],[Valor custo]]</f>
        <v>489.5</v>
      </c>
      <c r="J3003" s="7">
        <f>Tabela1[[#This Row],[MARGEM BRUTA]]/Tabela1[[#This Row],[Valor total]]</f>
        <v>0.57588235294117651</v>
      </c>
      <c r="K3003" s="1" t="str">
        <f>VLOOKUP(Tabela1[[#This Row],[Cliente]],'BASE DE CLIENTES'!A:D,4,0)</f>
        <v>EMPRESA COM MAQUINA</v>
      </c>
      <c r="L3003" s="1" t="str">
        <f>VLOOKUP(Tabela1[[#This Row],[Cliente]],'BASE DE CLIENTES'!A:E,5,0)</f>
        <v>Goiânia</v>
      </c>
    </row>
    <row r="3004" spans="2:12" x14ac:dyDescent="0.3">
      <c r="B3004" s="1" t="s">
        <v>66</v>
      </c>
      <c r="C3004" s="4" t="str">
        <f>VLOOKUP(Tabela1[[#This Row],[Cliente]],'BASE DE CLIENTES'!A:E,2,0)</f>
        <v>Águas Lindas de Goiás</v>
      </c>
      <c r="D3004" s="1" t="str">
        <f>VLOOKUP(Tabela1[[#This Row],[Cliente]],'BASE DE CLIENTES'!A:C,3,0)</f>
        <v>GO</v>
      </c>
      <c r="E3004" s="4" t="str">
        <f>CONCATENATE(Tabela1[[#This Row],[CIDADE]],",",Tabela1[[#This Row],[UF]])</f>
        <v>Águas Lindas de Goiás,GO</v>
      </c>
      <c r="F3004" s="2">
        <v>45933</v>
      </c>
      <c r="G3004" s="17">
        <v>1612.75</v>
      </c>
      <c r="H3004" s="17">
        <v>2580</v>
      </c>
      <c r="I3004" s="6">
        <f>Tabela1[[#This Row],[Valor total]]-Tabela1[[#This Row],[Valor custo]]</f>
        <v>967.25</v>
      </c>
      <c r="J3004" s="7">
        <f>Tabela1[[#This Row],[MARGEM BRUTA]]/Tabela1[[#This Row],[Valor total]]</f>
        <v>0.37490310077519379</v>
      </c>
      <c r="K3004" s="1" t="str">
        <f>VLOOKUP(Tabela1[[#This Row],[Cliente]],'BASE DE CLIENTES'!A:D,4,0)</f>
        <v>EMPRESA COM MAQUINA</v>
      </c>
      <c r="L3004" s="1" t="str">
        <f>VLOOKUP(Tabela1[[#This Row],[Cliente]],'BASE DE CLIENTES'!A:E,5,0)</f>
        <v>Águas Lindas de Goiás</v>
      </c>
    </row>
    <row r="3005" spans="2:12" x14ac:dyDescent="0.3">
      <c r="B3005" s="1" t="s">
        <v>55</v>
      </c>
      <c r="C3005" s="4" t="str">
        <f>VLOOKUP(Tabela1[[#This Row],[Cliente]],'BASE DE CLIENTES'!A:E,2,0)</f>
        <v>Brasília</v>
      </c>
      <c r="D3005" s="1" t="str">
        <f>VLOOKUP(Tabela1[[#This Row],[Cliente]],'BASE DE CLIENTES'!A:C,3,0)</f>
        <v>DF</v>
      </c>
      <c r="E3005" s="4" t="str">
        <f>CONCATENATE(Tabela1[[#This Row],[CIDADE]],",",Tabela1[[#This Row],[UF]])</f>
        <v>Brasília,DF</v>
      </c>
      <c r="F3005" s="2">
        <v>45933</v>
      </c>
      <c r="G3005" s="17">
        <v>815.09</v>
      </c>
      <c r="H3005" s="17">
        <v>1324</v>
      </c>
      <c r="I3005" s="6">
        <f>Tabela1[[#This Row],[Valor total]]-Tabela1[[#This Row],[Valor custo]]</f>
        <v>508.90999999999997</v>
      </c>
      <c r="J3005" s="7">
        <f>Tabela1[[#This Row],[MARGEM BRUTA]]/Tabela1[[#This Row],[Valor total]]</f>
        <v>0.38437311178247729</v>
      </c>
      <c r="K3005" s="1" t="str">
        <f>VLOOKUP(Tabela1[[#This Row],[Cliente]],'BASE DE CLIENTES'!A:D,4,0)</f>
        <v>EMPRESA SEM MAQUINA</v>
      </c>
      <c r="L3005" s="1" t="str">
        <f>VLOOKUP(Tabela1[[#This Row],[Cliente]],'BASE DE CLIENTES'!A:E,5,0)</f>
        <v>RECANTO DAS EMAS</v>
      </c>
    </row>
    <row r="3006" spans="2:12" x14ac:dyDescent="0.3">
      <c r="B3006" s="1" t="s">
        <v>20</v>
      </c>
      <c r="C3006" s="4" t="str">
        <f>VLOOKUP(Tabela1[[#This Row],[Cliente]],'BASE DE CLIENTES'!A:E,2,0)</f>
        <v>Brasília</v>
      </c>
      <c r="D3006" s="1" t="str">
        <f>VLOOKUP(Tabela1[[#This Row],[Cliente]],'BASE DE CLIENTES'!A:C,3,0)</f>
        <v>DF</v>
      </c>
      <c r="E3006" s="4" t="str">
        <f>CONCATENATE(Tabela1[[#This Row],[CIDADE]],",",Tabela1[[#This Row],[UF]])</f>
        <v>Brasília,DF</v>
      </c>
      <c r="F3006" s="2">
        <v>45933</v>
      </c>
      <c r="G3006" s="17">
        <v>293.13</v>
      </c>
      <c r="H3006" s="17">
        <v>400</v>
      </c>
      <c r="I3006" s="6">
        <f>Tabela1[[#This Row],[Valor total]]-Tabela1[[#This Row],[Valor custo]]</f>
        <v>106.87</v>
      </c>
      <c r="J3006" s="7">
        <f>Tabela1[[#This Row],[MARGEM BRUTA]]/Tabela1[[#This Row],[Valor total]]</f>
        <v>0.267175</v>
      </c>
      <c r="K3006" s="1" t="str">
        <f>VLOOKUP(Tabela1[[#This Row],[Cliente]],'BASE DE CLIENTES'!A:D,4,0)</f>
        <v>CHAVEIRO</v>
      </c>
      <c r="L3006" s="1" t="str">
        <f>VLOOKUP(Tabela1[[#This Row],[Cliente]],'BASE DE CLIENTES'!A:E,5,0)</f>
        <v>NA</v>
      </c>
    </row>
    <row r="3007" spans="2:12" x14ac:dyDescent="0.3">
      <c r="B3007" s="1" t="s">
        <v>321</v>
      </c>
      <c r="C3007" s="4" t="str">
        <f>VLOOKUP(Tabela1[[#This Row],[Cliente]],'BASE DE CLIENTES'!A:E,2,0)</f>
        <v>Valparaíso de Goiás</v>
      </c>
      <c r="D3007" s="1" t="str">
        <f>VLOOKUP(Tabela1[[#This Row],[Cliente]],'BASE DE CLIENTES'!A:C,3,0)</f>
        <v>GO</v>
      </c>
      <c r="E3007" s="4" t="str">
        <f>CONCATENATE(Tabela1[[#This Row],[CIDADE]],",",Tabela1[[#This Row],[UF]])</f>
        <v>Valparaíso de Goiás,GO</v>
      </c>
      <c r="F3007" s="2">
        <v>45933</v>
      </c>
      <c r="G3007" s="17">
        <v>649</v>
      </c>
      <c r="H3007" s="17">
        <v>1150</v>
      </c>
      <c r="I3007" s="6">
        <f>Tabela1[[#This Row],[Valor total]]-Tabela1[[#This Row],[Valor custo]]</f>
        <v>501</v>
      </c>
      <c r="J3007" s="7">
        <f>Tabela1[[#This Row],[MARGEM BRUTA]]/Tabela1[[#This Row],[Valor total]]</f>
        <v>0.43565217391304351</v>
      </c>
      <c r="K3007" s="1" t="str">
        <f>VLOOKUP(Tabela1[[#This Row],[Cliente]],'BASE DE CLIENTES'!A:D,4,0)</f>
        <v>EMPRESA COM MAQUINA</v>
      </c>
      <c r="L3007" s="1" t="str">
        <f>VLOOKUP(Tabela1[[#This Row],[Cliente]],'BASE DE CLIENTES'!A:E,5,0)</f>
        <v>Valparaíso de Goiás</v>
      </c>
    </row>
    <row r="3008" spans="2:12" x14ac:dyDescent="0.3">
      <c r="B3008" s="1" t="s">
        <v>70</v>
      </c>
      <c r="C3008" s="4" t="str">
        <f>VLOOKUP(Tabela1[[#This Row],[Cliente]],'BASE DE CLIENTES'!A:E,2,0)</f>
        <v>Brasília</v>
      </c>
      <c r="D3008" s="1" t="str">
        <f>VLOOKUP(Tabela1[[#This Row],[Cliente]],'BASE DE CLIENTES'!A:C,3,0)</f>
        <v>DF</v>
      </c>
      <c r="E3008" s="4" t="str">
        <f>CONCATENATE(Tabela1[[#This Row],[CIDADE]],",",Tabela1[[#This Row],[UF]])</f>
        <v>Brasília,DF</v>
      </c>
      <c r="F3008" s="2">
        <v>45933</v>
      </c>
      <c r="G3008" s="17">
        <v>1820</v>
      </c>
      <c r="H3008" s="17">
        <v>2848</v>
      </c>
      <c r="I3008" s="6">
        <f>Tabela1[[#This Row],[Valor total]]-Tabela1[[#This Row],[Valor custo]]</f>
        <v>1028</v>
      </c>
      <c r="J3008" s="7">
        <f>Tabela1[[#This Row],[MARGEM BRUTA]]/Tabela1[[#This Row],[Valor total]]</f>
        <v>0.3609550561797753</v>
      </c>
      <c r="K3008" s="1" t="str">
        <f>VLOOKUP(Tabela1[[#This Row],[Cliente]],'BASE DE CLIENTES'!A:D,4,0)</f>
        <v>EMPRESA COM MAQUINA</v>
      </c>
      <c r="L3008" s="1" t="str">
        <f>VLOOKUP(Tabela1[[#This Row],[Cliente]],'BASE DE CLIENTES'!A:E,5,0)</f>
        <v>TAGUATINGA NORTE (TAGUATINGA)</v>
      </c>
    </row>
    <row r="3009" spans="2:12" x14ac:dyDescent="0.3">
      <c r="B3009" s="1" t="s">
        <v>27</v>
      </c>
      <c r="C3009" s="4" t="str">
        <f>VLOOKUP(Tabela1[[#This Row],[Cliente]],'BASE DE CLIENTES'!A:E,2,0)</f>
        <v>Brasília</v>
      </c>
      <c r="D3009" s="1" t="str">
        <f>VLOOKUP(Tabela1[[#This Row],[Cliente]],'BASE DE CLIENTES'!A:C,3,0)</f>
        <v>DF</v>
      </c>
      <c r="E3009" s="4" t="str">
        <f>CONCATENATE(Tabela1[[#This Row],[CIDADE]],",",Tabela1[[#This Row],[UF]])</f>
        <v>Brasília,DF</v>
      </c>
      <c r="F3009" s="2">
        <v>45933</v>
      </c>
      <c r="G3009" s="17">
        <v>382.3</v>
      </c>
      <c r="H3009" s="17">
        <v>615</v>
      </c>
      <c r="I3009" s="6">
        <f>Tabela1[[#This Row],[Valor total]]-Tabela1[[#This Row],[Valor custo]]</f>
        <v>232.7</v>
      </c>
      <c r="J3009" s="7">
        <f>Tabela1[[#This Row],[MARGEM BRUTA]]/Tabela1[[#This Row],[Valor total]]</f>
        <v>0.37837398373983738</v>
      </c>
      <c r="K3009" s="1" t="str">
        <f>VLOOKUP(Tabela1[[#This Row],[Cliente]],'BASE DE CLIENTES'!A:D,4,0)</f>
        <v>EMPRESA SEM MAQUINA</v>
      </c>
      <c r="L3009" s="1" t="str">
        <f>VLOOKUP(Tabela1[[#This Row],[Cliente]],'BASE DE CLIENTES'!A:E,5,0)</f>
        <v>RECANTO DAS EMAS</v>
      </c>
    </row>
    <row r="3010" spans="2:12" x14ac:dyDescent="0.3">
      <c r="B3010" s="1" t="s">
        <v>96</v>
      </c>
      <c r="C3010" s="4" t="str">
        <f>VLOOKUP(Tabela1[[#This Row],[Cliente]],'BASE DE CLIENTES'!A:E,2,0)</f>
        <v>Brasília</v>
      </c>
      <c r="D3010" s="1" t="str">
        <f>VLOOKUP(Tabela1[[#This Row],[Cliente]],'BASE DE CLIENTES'!A:C,3,0)</f>
        <v>DF</v>
      </c>
      <c r="E3010" s="4" t="str">
        <f>CONCATENATE(Tabela1[[#This Row],[CIDADE]],",",Tabela1[[#This Row],[UF]])</f>
        <v>Brasília,DF</v>
      </c>
      <c r="F3010" s="2">
        <v>45933</v>
      </c>
      <c r="G3010" s="17">
        <v>491</v>
      </c>
      <c r="H3010" s="17">
        <v>766</v>
      </c>
      <c r="I3010" s="6">
        <f>Tabela1[[#This Row],[Valor total]]-Tabela1[[#This Row],[Valor custo]]</f>
        <v>275</v>
      </c>
      <c r="J3010" s="7">
        <f>Tabela1[[#This Row],[MARGEM BRUTA]]/Tabela1[[#This Row],[Valor total]]</f>
        <v>0.35900783289817234</v>
      </c>
      <c r="K3010" s="1" t="str">
        <f>VLOOKUP(Tabela1[[#This Row],[Cliente]],'BASE DE CLIENTES'!A:D,4,0)</f>
        <v>EMPRESA SEM MAQUINA</v>
      </c>
      <c r="L3010" s="1" t="str">
        <f>VLOOKUP(Tabela1[[#This Row],[Cliente]],'BASE DE CLIENTES'!A:E,5,0)</f>
        <v>CEILANDIA NORTE (CEILANDIA)</v>
      </c>
    </row>
    <row r="3011" spans="2:12" x14ac:dyDescent="0.3">
      <c r="B3011" s="1" t="s">
        <v>331</v>
      </c>
      <c r="C3011" s="4" t="str">
        <f>VLOOKUP(Tabela1[[#This Row],[Cliente]],'BASE DE CLIENTES'!A:E,2,0)</f>
        <v>Águas Lindas de Goiás</v>
      </c>
      <c r="D3011" s="1" t="str">
        <f>VLOOKUP(Tabela1[[#This Row],[Cliente]],'BASE DE CLIENTES'!A:C,3,0)</f>
        <v>GO</v>
      </c>
      <c r="E3011" s="4" t="str">
        <f>CONCATENATE(Tabela1[[#This Row],[CIDADE]],",",Tabela1[[#This Row],[UF]])</f>
        <v>Águas Lindas de Goiás,GO</v>
      </c>
      <c r="F3011" s="2">
        <v>45933</v>
      </c>
      <c r="G3011" s="17">
        <v>700.21</v>
      </c>
      <c r="H3011" s="17">
        <v>1450</v>
      </c>
      <c r="I3011" s="6">
        <f>Tabela1[[#This Row],[Valor total]]-Tabela1[[#This Row],[Valor custo]]</f>
        <v>749.79</v>
      </c>
      <c r="J3011" s="7">
        <f>Tabela1[[#This Row],[MARGEM BRUTA]]/Tabela1[[#This Row],[Valor total]]</f>
        <v>0.51709655172413793</v>
      </c>
      <c r="K3011" s="1" t="str">
        <f>VLOOKUP(Tabela1[[#This Row],[Cliente]],'BASE DE CLIENTES'!A:D,4,0)</f>
        <v>EMPRESA SEM MAQUINA</v>
      </c>
      <c r="L3011" s="1" t="str">
        <f>VLOOKUP(Tabela1[[#This Row],[Cliente]],'BASE DE CLIENTES'!A:E,5,0)</f>
        <v>Águas Lindas de Goiás</v>
      </c>
    </row>
    <row r="3012" spans="2:12" x14ac:dyDescent="0.3">
      <c r="B3012" s="1" t="s">
        <v>316</v>
      </c>
      <c r="C3012" s="4" t="str">
        <f>VLOOKUP(Tabela1[[#This Row],[Cliente]],'BASE DE CLIENTES'!A:E,2,0)</f>
        <v>Valparaíso de Goiás</v>
      </c>
      <c r="D3012" s="1" t="str">
        <f>VLOOKUP(Tabela1[[#This Row],[Cliente]],'BASE DE CLIENTES'!A:C,3,0)</f>
        <v>GO</v>
      </c>
      <c r="E3012" s="4" t="str">
        <f>CONCATENATE(Tabela1[[#This Row],[CIDADE]],",",Tabela1[[#This Row],[UF]])</f>
        <v>Valparaíso de Goiás,GO</v>
      </c>
      <c r="F3012" s="2">
        <v>45933</v>
      </c>
      <c r="G3012" s="17">
        <v>865.58</v>
      </c>
      <c r="H3012" s="17">
        <v>1360</v>
      </c>
      <c r="I3012" s="6">
        <f>Tabela1[[#This Row],[Valor total]]-Tabela1[[#This Row],[Valor custo]]</f>
        <v>494.41999999999996</v>
      </c>
      <c r="J3012" s="7">
        <f>Tabela1[[#This Row],[MARGEM BRUTA]]/Tabela1[[#This Row],[Valor total]]</f>
        <v>0.3635441176470588</v>
      </c>
      <c r="K3012" s="1" t="str">
        <f>VLOOKUP(Tabela1[[#This Row],[Cliente]],'BASE DE CLIENTES'!A:D,4,0)</f>
        <v>SERRALHEIRO</v>
      </c>
      <c r="L3012" s="1" t="str">
        <f>VLOOKUP(Tabela1[[#This Row],[Cliente]],'BASE DE CLIENTES'!A:E,5,0)</f>
        <v>Valparaíso de Goiás</v>
      </c>
    </row>
    <row r="3013" spans="2:12" x14ac:dyDescent="0.3">
      <c r="B3013" s="1" t="s">
        <v>183</v>
      </c>
      <c r="C3013" s="4" t="str">
        <f>VLOOKUP(Tabela1[[#This Row],[Cliente]],'BASE DE CLIENTES'!A:E,2,0)</f>
        <v>Caldas Novas</v>
      </c>
      <c r="D3013" s="1" t="str">
        <f>VLOOKUP(Tabela1[[#This Row],[Cliente]],'BASE DE CLIENTES'!A:C,3,0)</f>
        <v>GO</v>
      </c>
      <c r="E3013" s="4" t="str">
        <f>CONCATENATE(Tabela1[[#This Row],[CIDADE]],",",Tabela1[[#This Row],[UF]])</f>
        <v>Caldas Novas,GO</v>
      </c>
      <c r="F3013" s="2">
        <v>45933</v>
      </c>
      <c r="G3013" s="17">
        <v>1586.88</v>
      </c>
      <c r="H3013" s="17">
        <v>2140</v>
      </c>
      <c r="I3013" s="6">
        <f>Tabela1[[#This Row],[Valor total]]-Tabela1[[#This Row],[Valor custo]]</f>
        <v>553.11999999999989</v>
      </c>
      <c r="J3013" s="7">
        <f>Tabela1[[#This Row],[MARGEM BRUTA]]/Tabela1[[#This Row],[Valor total]]</f>
        <v>0.25846728971962613</v>
      </c>
      <c r="K3013" s="1" t="str">
        <f>VLOOKUP(Tabela1[[#This Row],[Cliente]],'BASE DE CLIENTES'!A:D,4,0)</f>
        <v>EMPRESA COM MAQUINA</v>
      </c>
      <c r="L3013" s="1" t="str">
        <f>VLOOKUP(Tabela1[[#This Row],[Cliente]],'BASE DE CLIENTES'!A:E,5,0)</f>
        <v>Caldas Novas</v>
      </c>
    </row>
    <row r="3014" spans="2:12" x14ac:dyDescent="0.3">
      <c r="B3014" s="1" t="s">
        <v>206</v>
      </c>
      <c r="C3014" s="4" t="str">
        <f>VLOOKUP(Tabela1[[#This Row],[Cliente]],'BASE DE CLIENTES'!A:E,2,0)</f>
        <v>Goiânia</v>
      </c>
      <c r="D3014" s="1" t="str">
        <f>VLOOKUP(Tabela1[[#This Row],[Cliente]],'BASE DE CLIENTES'!A:C,3,0)</f>
        <v>GO</v>
      </c>
      <c r="E3014" s="4" t="str">
        <f>CONCATENATE(Tabela1[[#This Row],[CIDADE]],",",Tabela1[[#This Row],[UF]])</f>
        <v>Goiânia,GO</v>
      </c>
      <c r="F3014" s="2">
        <v>45933</v>
      </c>
      <c r="G3014" s="17">
        <v>5504</v>
      </c>
      <c r="H3014" s="17">
        <v>7560</v>
      </c>
      <c r="I3014" s="6">
        <f>Tabela1[[#This Row],[Valor total]]-Tabela1[[#This Row],[Valor custo]]</f>
        <v>2056</v>
      </c>
      <c r="J3014" s="7">
        <f>Tabela1[[#This Row],[MARGEM BRUTA]]/Tabela1[[#This Row],[Valor total]]</f>
        <v>0.27195767195767195</v>
      </c>
      <c r="K3014" s="1" t="str">
        <f>VLOOKUP(Tabela1[[#This Row],[Cliente]],'BASE DE CLIENTES'!A:D,4,0)</f>
        <v>EMPRESA COM MAQUINA</v>
      </c>
      <c r="L3014" s="1" t="str">
        <f>VLOOKUP(Tabela1[[#This Row],[Cliente]],'BASE DE CLIENTES'!A:E,5,0)</f>
        <v>Goiânia</v>
      </c>
    </row>
    <row r="3015" spans="2:12" x14ac:dyDescent="0.3">
      <c r="B3015" s="1" t="s">
        <v>236</v>
      </c>
      <c r="C3015" s="4" t="str">
        <f>VLOOKUP(Tabela1[[#This Row],[Cliente]],'BASE DE CLIENTES'!A:E,2,0)</f>
        <v>Goiânia</v>
      </c>
      <c r="D3015" s="1" t="str">
        <f>VLOOKUP(Tabela1[[#This Row],[Cliente]],'BASE DE CLIENTES'!A:C,3,0)</f>
        <v>GO</v>
      </c>
      <c r="E3015" s="4" t="str">
        <f>CONCATENATE(Tabela1[[#This Row],[CIDADE]],",",Tabela1[[#This Row],[UF]])</f>
        <v>Goiânia,GO</v>
      </c>
      <c r="F3015" s="2">
        <v>45932</v>
      </c>
      <c r="G3015" s="17">
        <v>865.58</v>
      </c>
      <c r="H3015" s="17">
        <v>1100</v>
      </c>
      <c r="I3015" s="6">
        <f>Tabela1[[#This Row],[Valor total]]-Tabela1[[#This Row],[Valor custo]]</f>
        <v>234.41999999999996</v>
      </c>
      <c r="J3015" s="7">
        <f>Tabela1[[#This Row],[MARGEM BRUTA]]/Tabela1[[#This Row],[Valor total]]</f>
        <v>0.21310909090909086</v>
      </c>
      <c r="K3015" s="1" t="str">
        <f>VLOOKUP(Tabela1[[#This Row],[Cliente]],'BASE DE CLIENTES'!A:D,4,0)</f>
        <v>EMPRESA COM MAQUINA</v>
      </c>
      <c r="L3015" s="1" t="str">
        <f>VLOOKUP(Tabela1[[#This Row],[Cliente]],'BASE DE CLIENTES'!A:E,5,0)</f>
        <v>Goiânia</v>
      </c>
    </row>
    <row r="3016" spans="2:12" x14ac:dyDescent="0.3">
      <c r="B3016" s="1" t="s">
        <v>52</v>
      </c>
      <c r="C3016" s="4" t="str">
        <f>VLOOKUP(Tabela1[[#This Row],[Cliente]],'BASE DE CLIENTES'!A:E,2,0)</f>
        <v>Brasília</v>
      </c>
      <c r="D3016" s="1" t="str">
        <f>VLOOKUP(Tabela1[[#This Row],[Cliente]],'BASE DE CLIENTES'!A:C,3,0)</f>
        <v>DF</v>
      </c>
      <c r="E3016" s="4" t="str">
        <f>CONCATENATE(Tabela1[[#This Row],[CIDADE]],",",Tabela1[[#This Row],[UF]])</f>
        <v>Brasília,DF</v>
      </c>
      <c r="F3016" s="2">
        <v>45932</v>
      </c>
      <c r="G3016" s="17">
        <v>103.69</v>
      </c>
      <c r="H3016" s="17">
        <v>150</v>
      </c>
      <c r="I3016" s="6">
        <f>Tabela1[[#This Row],[Valor total]]-Tabela1[[#This Row],[Valor custo]]</f>
        <v>46.31</v>
      </c>
      <c r="J3016" s="7">
        <f>Tabela1[[#This Row],[MARGEM BRUTA]]/Tabela1[[#This Row],[Valor total]]</f>
        <v>0.30873333333333336</v>
      </c>
      <c r="K3016" s="1" t="str">
        <f>VLOOKUP(Tabela1[[#This Row],[Cliente]],'BASE DE CLIENTES'!A:D,4,0)</f>
        <v>SERRALHEIRO</v>
      </c>
      <c r="L3016" s="1" t="str">
        <f>VLOOKUP(Tabela1[[#This Row],[Cliente]],'BASE DE CLIENTES'!A:E,5,0)</f>
        <v>Ceilândia Sul (Ceilândia)</v>
      </c>
    </row>
    <row r="3017" spans="2:12" x14ac:dyDescent="0.3">
      <c r="B3017" s="1" t="s">
        <v>313</v>
      </c>
      <c r="C3017" s="4" t="str">
        <f>VLOOKUP(Tabela1[[#This Row],[Cliente]],'BASE DE CLIENTES'!A:E,2,0)</f>
        <v>Unaí</v>
      </c>
      <c r="D3017" s="1" t="str">
        <f>VLOOKUP(Tabela1[[#This Row],[Cliente]],'BASE DE CLIENTES'!A:C,3,0)</f>
        <v>MG</v>
      </c>
      <c r="E3017" s="4" t="str">
        <f>CONCATENATE(Tabela1[[#This Row],[CIDADE]],",",Tabela1[[#This Row],[UF]])</f>
        <v>Unaí,MG</v>
      </c>
      <c r="F3017" s="2">
        <v>45932</v>
      </c>
      <c r="G3017" s="17">
        <v>455</v>
      </c>
      <c r="H3017" s="17">
        <v>770</v>
      </c>
      <c r="I3017" s="6">
        <f>Tabela1[[#This Row],[Valor total]]-Tabela1[[#This Row],[Valor custo]]</f>
        <v>315</v>
      </c>
      <c r="J3017" s="7">
        <f>Tabela1[[#This Row],[MARGEM BRUTA]]/Tabela1[[#This Row],[Valor total]]</f>
        <v>0.40909090909090912</v>
      </c>
      <c r="K3017" s="1" t="str">
        <f>VLOOKUP(Tabela1[[#This Row],[Cliente]],'BASE DE CLIENTES'!A:D,4,0)</f>
        <v>SEM CLASSIFICAÇÃO</v>
      </c>
      <c r="L3017" s="1" t="str">
        <f>VLOOKUP(Tabela1[[#This Row],[Cliente]],'BASE DE CLIENTES'!A:E,5,0)</f>
        <v>Unaí</v>
      </c>
    </row>
    <row r="3018" spans="2:12" x14ac:dyDescent="0.3">
      <c r="B3018" s="1" t="s">
        <v>111</v>
      </c>
      <c r="C3018" s="4" t="str">
        <f>VLOOKUP(Tabela1[[#This Row],[Cliente]],'BASE DE CLIENTES'!A:E,2,0)</f>
        <v>Brasília</v>
      </c>
      <c r="D3018" s="1" t="str">
        <f>VLOOKUP(Tabela1[[#This Row],[Cliente]],'BASE DE CLIENTES'!A:C,3,0)</f>
        <v>DF</v>
      </c>
      <c r="E3018" s="4" t="str">
        <f>CONCATENATE(Tabela1[[#This Row],[CIDADE]],",",Tabela1[[#This Row],[UF]])</f>
        <v>Brasília,DF</v>
      </c>
      <c r="F3018" s="2">
        <v>45932</v>
      </c>
      <c r="G3018" s="17">
        <v>1695.3</v>
      </c>
      <c r="H3018" s="17">
        <v>2800</v>
      </c>
      <c r="I3018" s="6">
        <f>Tabela1[[#This Row],[Valor total]]-Tabela1[[#This Row],[Valor custo]]</f>
        <v>1104.7</v>
      </c>
      <c r="J3018" s="7">
        <f>Tabela1[[#This Row],[MARGEM BRUTA]]/Tabela1[[#This Row],[Valor total]]</f>
        <v>0.39453571428571432</v>
      </c>
      <c r="K3018" s="1" t="str">
        <f>VLOOKUP(Tabela1[[#This Row],[Cliente]],'BASE DE CLIENTES'!A:D,4,0)</f>
        <v>EMPRESA SEM MAQUINA</v>
      </c>
      <c r="L3018" s="1" t="str">
        <f>VLOOKUP(Tabela1[[#This Row],[Cliente]],'BASE DE CLIENTES'!A:E,5,0)</f>
        <v>TAGUATINGA SUL (TAGUATINGA)</v>
      </c>
    </row>
    <row r="3019" spans="2:12" x14ac:dyDescent="0.3">
      <c r="B3019" s="1" t="s">
        <v>161</v>
      </c>
      <c r="C3019" s="4" t="str">
        <f>VLOOKUP(Tabela1[[#This Row],[Cliente]],'BASE DE CLIENTES'!A:E,2,0)</f>
        <v>Brasília</v>
      </c>
      <c r="D3019" s="1" t="str">
        <f>VLOOKUP(Tabela1[[#This Row],[Cliente]],'BASE DE CLIENTES'!A:C,3,0)</f>
        <v>DF</v>
      </c>
      <c r="E3019" s="4" t="str">
        <f>CONCATENATE(Tabela1[[#This Row],[CIDADE]],",",Tabela1[[#This Row],[UF]])</f>
        <v>Brasília,DF</v>
      </c>
      <c r="F3019" s="2">
        <v>45932</v>
      </c>
      <c r="G3019" s="17">
        <v>909</v>
      </c>
      <c r="H3019" s="17">
        <v>900</v>
      </c>
      <c r="I3019" s="6">
        <f>Tabela1[[#This Row],[Valor total]]-Tabela1[[#This Row],[Valor custo]]</f>
        <v>-9</v>
      </c>
      <c r="J3019" s="7">
        <f>Tabela1[[#This Row],[MARGEM BRUTA]]/Tabela1[[#This Row],[Valor total]]</f>
        <v>-0.01</v>
      </c>
      <c r="K3019" s="1" t="str">
        <f>VLOOKUP(Tabela1[[#This Row],[Cliente]],'BASE DE CLIENTES'!A:D,4,0)</f>
        <v>EMPRESA COM MAQUINA</v>
      </c>
      <c r="L3019" s="1" t="str">
        <f>VLOOKUP(Tabela1[[#This Row],[Cliente]],'BASE DE CLIENTES'!A:E,5,0)</f>
        <v>RIACHO FUNDO II</v>
      </c>
    </row>
    <row r="3020" spans="2:12" x14ac:dyDescent="0.3">
      <c r="B3020" s="1" t="s">
        <v>197</v>
      </c>
      <c r="C3020" s="4" t="str">
        <f>VLOOKUP(Tabela1[[#This Row],[Cliente]],'BASE DE CLIENTES'!A:E,2,0)</f>
        <v>Goiânia</v>
      </c>
      <c r="D3020" s="1" t="str">
        <f>VLOOKUP(Tabela1[[#This Row],[Cliente]],'BASE DE CLIENTES'!A:C,3,0)</f>
        <v>GO</v>
      </c>
      <c r="E3020" s="4" t="str">
        <f>CONCATENATE(Tabela1[[#This Row],[CIDADE]],",",Tabela1[[#This Row],[UF]])</f>
        <v>Goiânia,GO</v>
      </c>
      <c r="F3020" s="2">
        <v>45932</v>
      </c>
      <c r="G3020" s="17">
        <v>2850.16</v>
      </c>
      <c r="H3020" s="17">
        <v>4620</v>
      </c>
      <c r="I3020" s="6">
        <f>Tabela1[[#This Row],[Valor total]]-Tabela1[[#This Row],[Valor custo]]</f>
        <v>1769.8400000000001</v>
      </c>
      <c r="J3020" s="7">
        <f>Tabela1[[#This Row],[MARGEM BRUTA]]/Tabela1[[#This Row],[Valor total]]</f>
        <v>0.38308225108225114</v>
      </c>
      <c r="K3020" s="1" t="str">
        <f>VLOOKUP(Tabela1[[#This Row],[Cliente]],'BASE DE CLIENTES'!A:D,4,0)</f>
        <v>EMPRESA COM MAQUINA</v>
      </c>
      <c r="L3020" s="1" t="str">
        <f>VLOOKUP(Tabela1[[#This Row],[Cliente]],'BASE DE CLIENTES'!A:E,5,0)</f>
        <v>Goiânia</v>
      </c>
    </row>
    <row r="3021" spans="2:12" x14ac:dyDescent="0.3">
      <c r="B3021" s="1" t="s">
        <v>98</v>
      </c>
      <c r="C3021" s="4" t="str">
        <f>VLOOKUP(Tabela1[[#This Row],[Cliente]],'BASE DE CLIENTES'!A:E,2,0)</f>
        <v>Brasília</v>
      </c>
      <c r="D3021" s="1" t="str">
        <f>VLOOKUP(Tabela1[[#This Row],[Cliente]],'BASE DE CLIENTES'!A:C,3,0)</f>
        <v>DF</v>
      </c>
      <c r="E3021" s="4" t="str">
        <f>CONCATENATE(Tabela1[[#This Row],[CIDADE]],",",Tabela1[[#This Row],[UF]])</f>
        <v>Brasília,DF</v>
      </c>
      <c r="F3021" s="2">
        <v>45932</v>
      </c>
      <c r="G3021" s="17">
        <v>289</v>
      </c>
      <c r="H3021" s="17">
        <v>600</v>
      </c>
      <c r="I3021" s="6">
        <f>Tabela1[[#This Row],[Valor total]]-Tabela1[[#This Row],[Valor custo]]</f>
        <v>311</v>
      </c>
      <c r="J3021" s="7">
        <f>Tabela1[[#This Row],[MARGEM BRUTA]]/Tabela1[[#This Row],[Valor total]]</f>
        <v>0.51833333333333331</v>
      </c>
      <c r="K3021" s="1" t="str">
        <f>VLOOKUP(Tabela1[[#This Row],[Cliente]],'BASE DE CLIENTES'!A:D,4,0)</f>
        <v>SERRALHEIRO</v>
      </c>
      <c r="L3021" s="1" t="str">
        <f>VLOOKUP(Tabela1[[#This Row],[Cliente]],'BASE DE CLIENTES'!A:E,5,0)</f>
        <v>SANTA MARIA</v>
      </c>
    </row>
    <row r="3022" spans="2:12" x14ac:dyDescent="0.3">
      <c r="B3022" s="1" t="s">
        <v>216</v>
      </c>
      <c r="C3022" s="4" t="str">
        <f>VLOOKUP(Tabela1[[#This Row],[Cliente]],'BASE DE CLIENTES'!A:E,2,0)</f>
        <v>Brasília</v>
      </c>
      <c r="D3022" s="1" t="str">
        <f>VLOOKUP(Tabela1[[#This Row],[Cliente]],'BASE DE CLIENTES'!A:C,3,0)</f>
        <v>DF</v>
      </c>
      <c r="E3022" s="4" t="str">
        <f>CONCATENATE(Tabela1[[#This Row],[CIDADE]],",",Tabela1[[#This Row],[UF]])</f>
        <v>Brasília,DF</v>
      </c>
      <c r="F3022" s="2">
        <v>45932</v>
      </c>
      <c r="G3022" s="17">
        <v>534</v>
      </c>
      <c r="H3022" s="17">
        <v>950</v>
      </c>
      <c r="I3022" s="6">
        <f>Tabela1[[#This Row],[Valor total]]-Tabela1[[#This Row],[Valor custo]]</f>
        <v>416</v>
      </c>
      <c r="J3022" s="7">
        <f>Tabela1[[#This Row],[MARGEM BRUTA]]/Tabela1[[#This Row],[Valor total]]</f>
        <v>0.43789473684210528</v>
      </c>
      <c r="K3022" s="1" t="str">
        <f>VLOOKUP(Tabela1[[#This Row],[Cliente]],'BASE DE CLIENTES'!A:D,4,0)</f>
        <v>EMPRESA COM MAQUINA</v>
      </c>
      <c r="L3022" s="1" t="str">
        <f>VLOOKUP(Tabela1[[#This Row],[Cliente]],'BASE DE CLIENTES'!A:E,5,0)</f>
        <v>RIACHO FUNDO II</v>
      </c>
    </row>
    <row r="3023" spans="2:12" x14ac:dyDescent="0.3">
      <c r="B3023" s="1" t="s">
        <v>178</v>
      </c>
      <c r="C3023" s="4" t="str">
        <f>VLOOKUP(Tabela1[[#This Row],[Cliente]],'BASE DE CLIENTES'!A:E,2,0)</f>
        <v xml:space="preserve">Belém </v>
      </c>
      <c r="D3023" s="1" t="str">
        <f>VLOOKUP(Tabela1[[#This Row],[Cliente]],'BASE DE CLIENTES'!A:C,3,0)</f>
        <v>PA</v>
      </c>
      <c r="E3023" s="4" t="str">
        <f>CONCATENATE(Tabela1[[#This Row],[CIDADE]],",",Tabela1[[#This Row],[UF]])</f>
        <v>Belém ,PA</v>
      </c>
      <c r="F3023" s="2">
        <v>45932</v>
      </c>
      <c r="G3023" s="17">
        <v>4708.6000000000004</v>
      </c>
      <c r="H3023" s="17">
        <v>8590</v>
      </c>
      <c r="I3023" s="6">
        <f>Tabela1[[#This Row],[Valor total]]-Tabela1[[#This Row],[Valor custo]]</f>
        <v>3881.3999999999996</v>
      </c>
      <c r="J3023" s="7">
        <f>Tabela1[[#This Row],[MARGEM BRUTA]]/Tabela1[[#This Row],[Valor total]]</f>
        <v>0.45185098952270075</v>
      </c>
      <c r="K3023" s="1" t="str">
        <f>VLOOKUP(Tabela1[[#This Row],[Cliente]],'BASE DE CLIENTES'!A:D,4,0)</f>
        <v>EMPRESA COM MAQUINA</v>
      </c>
      <c r="L3023" s="1" t="str">
        <f>VLOOKUP(Tabela1[[#This Row],[Cliente]],'BASE DE CLIENTES'!A:E,5,0)</f>
        <v xml:space="preserve">Belém </v>
      </c>
    </row>
    <row r="3024" spans="2:12" x14ac:dyDescent="0.3">
      <c r="B3024" s="1" t="s">
        <v>236</v>
      </c>
      <c r="C3024" s="4" t="str">
        <f>VLOOKUP(Tabela1[[#This Row],[Cliente]],'BASE DE CLIENTES'!A:E,2,0)</f>
        <v>Goiânia</v>
      </c>
      <c r="D3024" s="1" t="str">
        <f>VLOOKUP(Tabela1[[#This Row],[Cliente]],'BASE DE CLIENTES'!A:C,3,0)</f>
        <v>GO</v>
      </c>
      <c r="E3024" s="4" t="str">
        <f>CONCATENATE(Tabela1[[#This Row],[CIDADE]],",",Tabela1[[#This Row],[UF]])</f>
        <v>Goiânia,GO</v>
      </c>
      <c r="F3024" s="2">
        <v>45932</v>
      </c>
      <c r="G3024" s="17">
        <v>1911.5</v>
      </c>
      <c r="H3024" s="17">
        <v>2600</v>
      </c>
      <c r="I3024" s="6">
        <f>Tabela1[[#This Row],[Valor total]]-Tabela1[[#This Row],[Valor custo]]</f>
        <v>688.5</v>
      </c>
      <c r="J3024" s="7">
        <f>Tabela1[[#This Row],[MARGEM BRUTA]]/Tabela1[[#This Row],[Valor total]]</f>
        <v>0.2648076923076923</v>
      </c>
      <c r="K3024" s="1" t="str">
        <f>VLOOKUP(Tabela1[[#This Row],[Cliente]],'BASE DE CLIENTES'!A:D,4,0)</f>
        <v>EMPRESA COM MAQUINA</v>
      </c>
      <c r="L3024" s="1" t="str">
        <f>VLOOKUP(Tabela1[[#This Row],[Cliente]],'BASE DE CLIENTES'!A:E,5,0)</f>
        <v>Goiânia</v>
      </c>
    </row>
    <row r="3025" spans="2:12" x14ac:dyDescent="0.3">
      <c r="B3025" s="1" t="s">
        <v>184</v>
      </c>
      <c r="C3025" s="4" t="str">
        <f>VLOOKUP(Tabela1[[#This Row],[Cliente]],'BASE DE CLIENTES'!A:E,2,0)</f>
        <v>Castanhal</v>
      </c>
      <c r="D3025" s="1" t="str">
        <f>VLOOKUP(Tabela1[[#This Row],[Cliente]],'BASE DE CLIENTES'!A:C,3,0)</f>
        <v>PA</v>
      </c>
      <c r="E3025" s="4" t="str">
        <f>CONCATENATE(Tabela1[[#This Row],[CIDADE]],",",Tabela1[[#This Row],[UF]])</f>
        <v>Castanhal,PA</v>
      </c>
      <c r="F3025" s="2">
        <v>45932</v>
      </c>
      <c r="G3025" s="17">
        <v>550</v>
      </c>
      <c r="H3025" s="17">
        <v>1650</v>
      </c>
      <c r="I3025" s="6">
        <f>Tabela1[[#This Row],[Valor total]]-Tabela1[[#This Row],[Valor custo]]</f>
        <v>1100</v>
      </c>
      <c r="J3025" s="7">
        <f>Tabela1[[#This Row],[MARGEM BRUTA]]/Tabela1[[#This Row],[Valor total]]</f>
        <v>0.66666666666666663</v>
      </c>
      <c r="K3025" s="1" t="str">
        <f>VLOOKUP(Tabela1[[#This Row],[Cliente]],'BASE DE CLIENTES'!A:D,4,0)</f>
        <v>EMPRESA COM MAQUINA</v>
      </c>
      <c r="L3025" s="1" t="str">
        <f>VLOOKUP(Tabela1[[#This Row],[Cliente]],'BASE DE CLIENTES'!A:E,5,0)</f>
        <v>Castanhal</v>
      </c>
    </row>
    <row r="3026" spans="2:12" x14ac:dyDescent="0.3">
      <c r="B3026" s="1" t="s">
        <v>70</v>
      </c>
      <c r="C3026" s="4" t="str">
        <f>VLOOKUP(Tabela1[[#This Row],[Cliente]],'BASE DE CLIENTES'!A:E,2,0)</f>
        <v>Brasília</v>
      </c>
      <c r="D3026" s="1" t="str">
        <f>VLOOKUP(Tabela1[[#This Row],[Cliente]],'BASE DE CLIENTES'!A:C,3,0)</f>
        <v>DF</v>
      </c>
      <c r="E3026" s="4" t="str">
        <f>CONCATENATE(Tabela1[[#This Row],[CIDADE]],",",Tabela1[[#This Row],[UF]])</f>
        <v>Brasília,DF</v>
      </c>
      <c r="F3026" s="2">
        <v>45932</v>
      </c>
      <c r="G3026" s="17">
        <v>270</v>
      </c>
      <c r="H3026" s="17">
        <v>150</v>
      </c>
      <c r="I3026" s="6">
        <f>Tabela1[[#This Row],[Valor total]]-Tabela1[[#This Row],[Valor custo]]</f>
        <v>-120</v>
      </c>
      <c r="J3026" s="7">
        <f>Tabela1[[#This Row],[MARGEM BRUTA]]/Tabela1[[#This Row],[Valor total]]</f>
        <v>-0.8</v>
      </c>
      <c r="K3026" s="1" t="str">
        <f>VLOOKUP(Tabela1[[#This Row],[Cliente]],'BASE DE CLIENTES'!A:D,4,0)</f>
        <v>EMPRESA COM MAQUINA</v>
      </c>
      <c r="L3026" s="1" t="str">
        <f>VLOOKUP(Tabela1[[#This Row],[Cliente]],'BASE DE CLIENTES'!A:E,5,0)</f>
        <v>TAGUATINGA NORTE (TAGUATINGA)</v>
      </c>
    </row>
    <row r="3027" spans="2:12" x14ac:dyDescent="0.3">
      <c r="B3027" s="1" t="s">
        <v>321</v>
      </c>
      <c r="C3027" s="4" t="str">
        <f>VLOOKUP(Tabela1[[#This Row],[Cliente]],'BASE DE CLIENTES'!A:E,2,0)</f>
        <v>Valparaíso de Goiás</v>
      </c>
      <c r="D3027" s="1" t="str">
        <f>VLOOKUP(Tabela1[[#This Row],[Cliente]],'BASE DE CLIENTES'!A:C,3,0)</f>
        <v>GO</v>
      </c>
      <c r="E3027" s="4" t="str">
        <f>CONCATENATE(Tabela1[[#This Row],[CIDADE]],",",Tabela1[[#This Row],[UF]])</f>
        <v>Valparaíso de Goiás,GO</v>
      </c>
      <c r="F3027" s="2">
        <v>45932</v>
      </c>
      <c r="G3027" s="17">
        <v>664</v>
      </c>
      <c r="H3027" s="17">
        <v>1200</v>
      </c>
      <c r="I3027" s="6">
        <f>Tabela1[[#This Row],[Valor total]]-Tabela1[[#This Row],[Valor custo]]</f>
        <v>536</v>
      </c>
      <c r="J3027" s="7">
        <f>Tabela1[[#This Row],[MARGEM BRUTA]]/Tabela1[[#This Row],[Valor total]]</f>
        <v>0.44666666666666666</v>
      </c>
      <c r="K3027" s="1" t="str">
        <f>VLOOKUP(Tabela1[[#This Row],[Cliente]],'BASE DE CLIENTES'!A:D,4,0)</f>
        <v>EMPRESA COM MAQUINA</v>
      </c>
      <c r="L3027" s="1" t="str">
        <f>VLOOKUP(Tabela1[[#This Row],[Cliente]],'BASE DE CLIENTES'!A:E,5,0)</f>
        <v>Valparaíso de Goiás</v>
      </c>
    </row>
    <row r="3028" spans="2:12" x14ac:dyDescent="0.3">
      <c r="B3028" s="1" t="s">
        <v>325</v>
      </c>
      <c r="C3028" s="4" t="str">
        <f>VLOOKUP(Tabela1[[#This Row],[Cliente]],'BASE DE CLIENTES'!A:E,2,0)</f>
        <v>Valparaíso de Goiás</v>
      </c>
      <c r="D3028" s="1" t="str">
        <f>VLOOKUP(Tabela1[[#This Row],[Cliente]],'BASE DE CLIENTES'!A:C,3,0)</f>
        <v>GO</v>
      </c>
      <c r="E3028" s="4" t="str">
        <f>CONCATENATE(Tabela1[[#This Row],[CIDADE]],",",Tabela1[[#This Row],[UF]])</f>
        <v>Valparaíso de Goiás,GO</v>
      </c>
      <c r="F3028" s="2">
        <v>45932</v>
      </c>
      <c r="G3028" s="17">
        <v>477</v>
      </c>
      <c r="H3028" s="17">
        <v>850</v>
      </c>
      <c r="I3028" s="6">
        <f>Tabela1[[#This Row],[Valor total]]-Tabela1[[#This Row],[Valor custo]]</f>
        <v>373</v>
      </c>
      <c r="J3028" s="7">
        <f>Tabela1[[#This Row],[MARGEM BRUTA]]/Tabela1[[#This Row],[Valor total]]</f>
        <v>0.43882352941176472</v>
      </c>
      <c r="K3028" s="1" t="str">
        <f>VLOOKUP(Tabela1[[#This Row],[Cliente]],'BASE DE CLIENTES'!A:D,4,0)</f>
        <v>SERRALHEIRO</v>
      </c>
      <c r="L3028" s="1" t="str">
        <f>VLOOKUP(Tabela1[[#This Row],[Cliente]],'BASE DE CLIENTES'!A:E,5,0)</f>
        <v>Valparaíso de Goiás</v>
      </c>
    </row>
    <row r="3029" spans="2:12" x14ac:dyDescent="0.3">
      <c r="B3029" s="1" t="s">
        <v>96</v>
      </c>
      <c r="C3029" s="4" t="str">
        <f>VLOOKUP(Tabela1[[#This Row],[Cliente]],'BASE DE CLIENTES'!A:E,2,0)</f>
        <v>Brasília</v>
      </c>
      <c r="D3029" s="1" t="str">
        <f>VLOOKUP(Tabela1[[#This Row],[Cliente]],'BASE DE CLIENTES'!A:C,3,0)</f>
        <v>DF</v>
      </c>
      <c r="E3029" s="4" t="str">
        <f>CONCATENATE(Tabela1[[#This Row],[CIDADE]],",",Tabela1[[#This Row],[UF]])</f>
        <v>Brasília,DF</v>
      </c>
      <c r="F3029" s="2">
        <v>45932</v>
      </c>
      <c r="G3029" s="17">
        <v>837.3</v>
      </c>
      <c r="H3029" s="17">
        <v>1265</v>
      </c>
      <c r="I3029" s="6">
        <f>Tabela1[[#This Row],[Valor total]]-Tabela1[[#This Row],[Valor custo]]</f>
        <v>427.70000000000005</v>
      </c>
      <c r="J3029" s="7">
        <f>Tabela1[[#This Row],[MARGEM BRUTA]]/Tabela1[[#This Row],[Valor total]]</f>
        <v>0.338102766798419</v>
      </c>
      <c r="K3029" s="1" t="str">
        <f>VLOOKUP(Tabela1[[#This Row],[Cliente]],'BASE DE CLIENTES'!A:D,4,0)</f>
        <v>EMPRESA SEM MAQUINA</v>
      </c>
      <c r="L3029" s="1" t="str">
        <f>VLOOKUP(Tabela1[[#This Row],[Cliente]],'BASE DE CLIENTES'!A:E,5,0)</f>
        <v>CEILANDIA NORTE (CEILANDIA)</v>
      </c>
    </row>
    <row r="3030" spans="2:12" x14ac:dyDescent="0.3">
      <c r="B3030" s="1" t="s">
        <v>127</v>
      </c>
      <c r="C3030" s="4" t="str">
        <f>VLOOKUP(Tabela1[[#This Row],[Cliente]],'BASE DE CLIENTES'!A:E,2,0)</f>
        <v>Brasília</v>
      </c>
      <c r="D3030" s="1" t="str">
        <f>VLOOKUP(Tabela1[[#This Row],[Cliente]],'BASE DE CLIENTES'!A:C,3,0)</f>
        <v>DF</v>
      </c>
      <c r="E3030" s="4" t="str">
        <f>CONCATENATE(Tabela1[[#This Row],[CIDADE]],",",Tabela1[[#This Row],[UF]])</f>
        <v>Brasília,DF</v>
      </c>
      <c r="F3030" s="2">
        <v>45932</v>
      </c>
      <c r="G3030" s="17">
        <v>411.14</v>
      </c>
      <c r="H3030" s="17">
        <v>690</v>
      </c>
      <c r="I3030" s="6">
        <f>Tabela1[[#This Row],[Valor total]]-Tabela1[[#This Row],[Valor custo]]</f>
        <v>278.86</v>
      </c>
      <c r="J3030" s="7">
        <f>Tabela1[[#This Row],[MARGEM BRUTA]]/Tabela1[[#This Row],[Valor total]]</f>
        <v>0.40414492753623188</v>
      </c>
      <c r="K3030" s="1" t="str">
        <f>VLOOKUP(Tabela1[[#This Row],[Cliente]],'BASE DE CLIENTES'!A:D,4,0)</f>
        <v>EMPRESA COM MAQUINA</v>
      </c>
      <c r="L3030" s="1" t="str">
        <f>VLOOKUP(Tabela1[[#This Row],[Cliente]],'BASE DE CLIENTES'!A:E,5,0)</f>
        <v>CEILANDIA SUL (CEILANDIA)</v>
      </c>
    </row>
    <row r="3031" spans="2:12" x14ac:dyDescent="0.3">
      <c r="B3031" s="1" t="s">
        <v>92</v>
      </c>
      <c r="C3031" s="4" t="str">
        <f>VLOOKUP(Tabela1[[#This Row],[Cliente]],'BASE DE CLIENTES'!A:E,2,0)</f>
        <v>Brasília</v>
      </c>
      <c r="D3031" s="1" t="str">
        <f>VLOOKUP(Tabela1[[#This Row],[Cliente]],'BASE DE CLIENTES'!A:C,3,0)</f>
        <v>DF</v>
      </c>
      <c r="E3031" s="4" t="str">
        <f>CONCATENATE(Tabela1[[#This Row],[CIDADE]],",",Tabela1[[#This Row],[UF]])</f>
        <v>Brasília,DF</v>
      </c>
      <c r="F3031" s="2">
        <v>45932</v>
      </c>
      <c r="G3031" s="17">
        <v>73.14</v>
      </c>
      <c r="H3031" s="17">
        <v>90</v>
      </c>
      <c r="I3031" s="6">
        <f>Tabela1[[#This Row],[Valor total]]-Tabela1[[#This Row],[Valor custo]]</f>
        <v>16.86</v>
      </c>
      <c r="J3031" s="7">
        <f>Tabela1[[#This Row],[MARGEM BRUTA]]/Tabela1[[#This Row],[Valor total]]</f>
        <v>0.18733333333333332</v>
      </c>
      <c r="K3031" s="1" t="str">
        <f>VLOOKUP(Tabela1[[#This Row],[Cliente]],'BASE DE CLIENTES'!A:D,4,0)</f>
        <v>EMPRESA SEM MAQUINA</v>
      </c>
      <c r="L3031" s="1" t="str">
        <f>VLOOKUP(Tabela1[[#This Row],[Cliente]],'BASE DE CLIENTES'!A:E,5,0)</f>
        <v>SOBRADINHO</v>
      </c>
    </row>
    <row r="3032" spans="2:12" x14ac:dyDescent="0.3">
      <c r="B3032" s="1" t="s">
        <v>66</v>
      </c>
      <c r="C3032" s="4" t="str">
        <f>VLOOKUP(Tabela1[[#This Row],[Cliente]],'BASE DE CLIENTES'!A:E,2,0)</f>
        <v>Águas Lindas de Goiás</v>
      </c>
      <c r="D3032" s="1" t="str">
        <f>VLOOKUP(Tabela1[[#This Row],[Cliente]],'BASE DE CLIENTES'!A:C,3,0)</f>
        <v>GO</v>
      </c>
      <c r="E3032" s="4" t="str">
        <f>CONCATENATE(Tabela1[[#This Row],[CIDADE]],",",Tabela1[[#This Row],[UF]])</f>
        <v>Águas Lindas de Goiás,GO</v>
      </c>
      <c r="F3032" s="2">
        <v>45932</v>
      </c>
      <c r="G3032" s="17">
        <v>125</v>
      </c>
      <c r="H3032" s="17">
        <v>150</v>
      </c>
      <c r="I3032" s="6">
        <f>Tabela1[[#This Row],[Valor total]]-Tabela1[[#This Row],[Valor custo]]</f>
        <v>25</v>
      </c>
      <c r="J3032" s="7">
        <f>Tabela1[[#This Row],[MARGEM BRUTA]]/Tabela1[[#This Row],[Valor total]]</f>
        <v>0.16666666666666666</v>
      </c>
      <c r="K3032" s="1" t="str">
        <f>VLOOKUP(Tabela1[[#This Row],[Cliente]],'BASE DE CLIENTES'!A:D,4,0)</f>
        <v>EMPRESA COM MAQUINA</v>
      </c>
      <c r="L3032" s="1" t="str">
        <f>VLOOKUP(Tabela1[[#This Row],[Cliente]],'BASE DE CLIENTES'!A:E,5,0)</f>
        <v>Águas Lindas de Goiás</v>
      </c>
    </row>
    <row r="3033" spans="2:12" x14ac:dyDescent="0.3">
      <c r="B3033" s="1" t="s">
        <v>66</v>
      </c>
      <c r="C3033" s="4" t="str">
        <f>VLOOKUP(Tabela1[[#This Row],[Cliente]],'BASE DE CLIENTES'!A:E,2,0)</f>
        <v>Águas Lindas de Goiás</v>
      </c>
      <c r="D3033" s="1" t="str">
        <f>VLOOKUP(Tabela1[[#This Row],[Cliente]],'BASE DE CLIENTES'!A:C,3,0)</f>
        <v>GO</v>
      </c>
      <c r="E3033" s="4" t="str">
        <f>CONCATENATE(Tabela1[[#This Row],[CIDADE]],",",Tabela1[[#This Row],[UF]])</f>
        <v>Águas Lindas de Goiás,GO</v>
      </c>
      <c r="F3033" s="2">
        <v>45932</v>
      </c>
      <c r="G3033" s="17">
        <v>382.3</v>
      </c>
      <c r="H3033" s="17">
        <v>620</v>
      </c>
      <c r="I3033" s="6">
        <f>Tabela1[[#This Row],[Valor total]]-Tabela1[[#This Row],[Valor custo]]</f>
        <v>237.7</v>
      </c>
      <c r="J3033" s="7">
        <f>Tabela1[[#This Row],[MARGEM BRUTA]]/Tabela1[[#This Row],[Valor total]]</f>
        <v>0.38338709677419353</v>
      </c>
      <c r="K3033" s="1" t="str">
        <f>VLOOKUP(Tabela1[[#This Row],[Cliente]],'BASE DE CLIENTES'!A:D,4,0)</f>
        <v>EMPRESA COM MAQUINA</v>
      </c>
      <c r="L3033" s="1" t="str">
        <f>VLOOKUP(Tabela1[[#This Row],[Cliente]],'BASE DE CLIENTES'!A:E,5,0)</f>
        <v>Águas Lindas de Goiás</v>
      </c>
    </row>
    <row r="3034" spans="2:12" x14ac:dyDescent="0.3">
      <c r="B3034" s="1" t="s">
        <v>38</v>
      </c>
      <c r="C3034" s="4" t="str">
        <f>VLOOKUP(Tabela1[[#This Row],[Cliente]],'BASE DE CLIENTES'!A:E,2,0)</f>
        <v>Brasília</v>
      </c>
      <c r="D3034" s="1" t="str">
        <f>VLOOKUP(Tabela1[[#This Row],[Cliente]],'BASE DE CLIENTES'!A:C,3,0)</f>
        <v>DF</v>
      </c>
      <c r="E3034" s="4" t="str">
        <f>CONCATENATE(Tabela1[[#This Row],[CIDADE]],",",Tabela1[[#This Row],[UF]])</f>
        <v>Brasília,DF</v>
      </c>
      <c r="F3034" s="2">
        <v>45932</v>
      </c>
      <c r="G3034" s="17">
        <v>649</v>
      </c>
      <c r="H3034" s="17">
        <v>1170</v>
      </c>
      <c r="I3034" s="6">
        <f>Tabela1[[#This Row],[Valor total]]-Tabela1[[#This Row],[Valor custo]]</f>
        <v>521</v>
      </c>
      <c r="J3034" s="7">
        <f>Tabela1[[#This Row],[MARGEM BRUTA]]/Tabela1[[#This Row],[Valor total]]</f>
        <v>0.44529914529914527</v>
      </c>
      <c r="K3034" s="1" t="str">
        <f>VLOOKUP(Tabela1[[#This Row],[Cliente]],'BASE DE CLIENTES'!A:D,4,0)</f>
        <v>EMPRESA SEM MAQUINA</v>
      </c>
      <c r="L3034" s="1" t="str">
        <f>VLOOKUP(Tabela1[[#This Row],[Cliente]],'BASE DE CLIENTES'!A:E,5,0)</f>
        <v>PONTE ALTA NORTE (GAMA)</v>
      </c>
    </row>
    <row r="3035" spans="2:12" x14ac:dyDescent="0.3">
      <c r="B3035" s="1" t="s">
        <v>68</v>
      </c>
      <c r="C3035" s="4" t="str">
        <f>VLOOKUP(Tabela1[[#This Row],[Cliente]],'BASE DE CLIENTES'!A:E,2,0)</f>
        <v>Brasília</v>
      </c>
      <c r="D3035" s="1" t="str">
        <f>VLOOKUP(Tabela1[[#This Row],[Cliente]],'BASE DE CLIENTES'!A:C,3,0)</f>
        <v>DF</v>
      </c>
      <c r="E3035" s="4" t="str">
        <f>CONCATENATE(Tabela1[[#This Row],[CIDADE]],",",Tabela1[[#This Row],[UF]])</f>
        <v>Brasília,DF</v>
      </c>
      <c r="F3035" s="2">
        <v>45932</v>
      </c>
      <c r="G3035" s="17">
        <v>8431.58</v>
      </c>
      <c r="H3035" s="17">
        <v>12850</v>
      </c>
      <c r="I3035" s="6">
        <f>Tabela1[[#This Row],[Valor total]]-Tabela1[[#This Row],[Valor custo]]</f>
        <v>4418.42</v>
      </c>
      <c r="J3035" s="7">
        <f>Tabela1[[#This Row],[MARGEM BRUTA]]/Tabela1[[#This Row],[Valor total]]</f>
        <v>0.34384591439688716</v>
      </c>
      <c r="K3035" s="1" t="str">
        <f>VLOOKUP(Tabela1[[#This Row],[Cliente]],'BASE DE CLIENTES'!A:D,4,0)</f>
        <v>EMPRESA COM MAQUINA</v>
      </c>
      <c r="L3035" s="1" t="str">
        <f>VLOOKUP(Tabela1[[#This Row],[Cliente]],'BASE DE CLIENTES'!A:E,5,0)</f>
        <v>SAMAMBAIA SUL (SAMAMBAIA)</v>
      </c>
    </row>
    <row r="3036" spans="2:12" x14ac:dyDescent="0.3">
      <c r="B3036" s="1" t="s">
        <v>275</v>
      </c>
      <c r="C3036" s="4" t="str">
        <f>VLOOKUP(Tabela1[[#This Row],[Cliente]],'BASE DE CLIENTES'!A:E,2,0)</f>
        <v>Palmeiras de Goiás</v>
      </c>
      <c r="D3036" s="1" t="str">
        <f>VLOOKUP(Tabela1[[#This Row],[Cliente]],'BASE DE CLIENTES'!A:C,3,0)</f>
        <v>GO</v>
      </c>
      <c r="E3036" s="4" t="str">
        <f>CONCATENATE(Tabela1[[#This Row],[CIDADE]],",",Tabela1[[#This Row],[UF]])</f>
        <v>Palmeiras de Goiás,GO</v>
      </c>
      <c r="F3036" s="2">
        <v>45931</v>
      </c>
      <c r="G3036" s="17">
        <v>705</v>
      </c>
      <c r="H3036" s="17">
        <v>1300</v>
      </c>
      <c r="I3036" s="6">
        <f>Tabela1[[#This Row],[Valor total]]-Tabela1[[#This Row],[Valor custo]]</f>
        <v>595</v>
      </c>
      <c r="J3036" s="7">
        <f>Tabela1[[#This Row],[MARGEM BRUTA]]/Tabela1[[#This Row],[Valor total]]</f>
        <v>0.45769230769230768</v>
      </c>
      <c r="K3036" s="1" t="str">
        <f>VLOOKUP(Tabela1[[#This Row],[Cliente]],'BASE DE CLIENTES'!A:D,4,0)</f>
        <v>EMPRESA COM MAQUINA</v>
      </c>
      <c r="L3036" s="1" t="str">
        <f>VLOOKUP(Tabela1[[#This Row],[Cliente]],'BASE DE CLIENTES'!A:E,5,0)</f>
        <v>Palmeiras de Goiás</v>
      </c>
    </row>
    <row r="3037" spans="2:12" x14ac:dyDescent="0.3">
      <c r="B3037" s="1" t="s">
        <v>152</v>
      </c>
      <c r="C3037" s="4" t="str">
        <f>VLOOKUP(Tabela1[[#This Row],[Cliente]],'BASE DE CLIENTES'!A:E,2,0)</f>
        <v>Aparecida de Goiânia</v>
      </c>
      <c r="D3037" s="1" t="str">
        <f>VLOOKUP(Tabela1[[#This Row],[Cliente]],'BASE DE CLIENTES'!A:C,3,0)</f>
        <v>GO</v>
      </c>
      <c r="E3037" s="4" t="str">
        <f>CONCATENATE(Tabela1[[#This Row],[CIDADE]],",",Tabela1[[#This Row],[UF]])</f>
        <v>Aparecida de Goiânia,GO</v>
      </c>
      <c r="F3037" s="2">
        <v>45931</v>
      </c>
      <c r="G3037" s="17">
        <v>382.3</v>
      </c>
      <c r="H3037" s="17">
        <v>615</v>
      </c>
      <c r="I3037" s="6">
        <f>Tabela1[[#This Row],[Valor total]]-Tabela1[[#This Row],[Valor custo]]</f>
        <v>232.7</v>
      </c>
      <c r="J3037" s="7">
        <f>Tabela1[[#This Row],[MARGEM BRUTA]]/Tabela1[[#This Row],[Valor total]]</f>
        <v>0.37837398373983738</v>
      </c>
      <c r="K3037" s="1" t="str">
        <f>VLOOKUP(Tabela1[[#This Row],[Cliente]],'BASE DE CLIENTES'!A:D,4,0)</f>
        <v>TECNICO</v>
      </c>
      <c r="L3037" s="1" t="str">
        <f>VLOOKUP(Tabela1[[#This Row],[Cliente]],'BASE DE CLIENTES'!A:E,5,0)</f>
        <v>Aparecida de Goiânia</v>
      </c>
    </row>
    <row r="3038" spans="2:12" x14ac:dyDescent="0.3">
      <c r="B3038" s="1" t="s">
        <v>205</v>
      </c>
      <c r="C3038" s="4" t="str">
        <f>VLOOKUP(Tabela1[[#This Row],[Cliente]],'BASE DE CLIENTES'!A:E,2,0)</f>
        <v>Brasília</v>
      </c>
      <c r="D3038" s="1" t="str">
        <f>VLOOKUP(Tabela1[[#This Row],[Cliente]],'BASE DE CLIENTES'!A:C,3,0)</f>
        <v>DF</v>
      </c>
      <c r="E3038" s="4" t="str">
        <f>CONCATENATE(Tabela1[[#This Row],[CIDADE]],",",Tabela1[[#This Row],[UF]])</f>
        <v>Brasília,DF</v>
      </c>
      <c r="F3038" s="2">
        <v>45931</v>
      </c>
      <c r="G3038" s="17">
        <v>360.5</v>
      </c>
      <c r="H3038" s="17">
        <v>1000</v>
      </c>
      <c r="I3038" s="6">
        <f>Tabela1[[#This Row],[Valor total]]-Tabela1[[#This Row],[Valor custo]]</f>
        <v>639.5</v>
      </c>
      <c r="J3038" s="7">
        <f>Tabela1[[#This Row],[MARGEM BRUTA]]/Tabela1[[#This Row],[Valor total]]</f>
        <v>0.63949999999999996</v>
      </c>
      <c r="K3038" s="1" t="str">
        <f>VLOOKUP(Tabela1[[#This Row],[Cliente]],'BASE DE CLIENTES'!A:D,4,0)</f>
        <v>PRODUTOS ELETRONICOS</v>
      </c>
      <c r="L3038" s="1" t="str">
        <f>VLOOKUP(Tabela1[[#This Row],[Cliente]],'BASE DE CLIENTES'!A:E,5,0)</f>
        <v>AREAL (AGUAS CLARAS)</v>
      </c>
    </row>
    <row r="3039" spans="2:12" x14ac:dyDescent="0.3">
      <c r="B3039" s="1" t="s">
        <v>132</v>
      </c>
      <c r="C3039" s="4" t="str">
        <f>VLOOKUP(Tabela1[[#This Row],[Cliente]],'BASE DE CLIENTES'!A:E,2,0)</f>
        <v>Águas Lindas de Goiás</v>
      </c>
      <c r="D3039" s="1" t="str">
        <f>VLOOKUP(Tabela1[[#This Row],[Cliente]],'BASE DE CLIENTES'!A:C,3,0)</f>
        <v>GO</v>
      </c>
      <c r="E3039" s="4" t="str">
        <f>CONCATENATE(Tabela1[[#This Row],[CIDADE]],",",Tabela1[[#This Row],[UF]])</f>
        <v>Águas Lindas de Goiás,GO</v>
      </c>
      <c r="F3039" s="2">
        <v>45931</v>
      </c>
      <c r="G3039" s="17">
        <v>1056.3</v>
      </c>
      <c r="H3039" s="17">
        <v>2030</v>
      </c>
      <c r="I3039" s="6">
        <f>Tabela1[[#This Row],[Valor total]]-Tabela1[[#This Row],[Valor custo]]</f>
        <v>973.7</v>
      </c>
      <c r="J3039" s="7">
        <f>Tabela1[[#This Row],[MARGEM BRUTA]]/Tabela1[[#This Row],[Valor total]]</f>
        <v>0.47965517241379313</v>
      </c>
      <c r="K3039" s="1" t="str">
        <f>VLOOKUP(Tabela1[[#This Row],[Cliente]],'BASE DE CLIENTES'!A:D,4,0)</f>
        <v>SERRALHEIRO</v>
      </c>
      <c r="L3039" s="1" t="str">
        <f>VLOOKUP(Tabela1[[#This Row],[Cliente]],'BASE DE CLIENTES'!A:E,5,0)</f>
        <v>Águas Lindas de Goiás</v>
      </c>
    </row>
    <row r="3040" spans="2:12" x14ac:dyDescent="0.3">
      <c r="B3040" s="1" t="s">
        <v>152</v>
      </c>
      <c r="C3040" s="4" t="str">
        <f>VLOOKUP(Tabela1[[#This Row],[Cliente]],'BASE DE CLIENTES'!A:E,2,0)</f>
        <v>Aparecida de Goiânia</v>
      </c>
      <c r="D3040" s="1" t="str">
        <f>VLOOKUP(Tabela1[[#This Row],[Cliente]],'BASE DE CLIENTES'!A:C,3,0)</f>
        <v>GO</v>
      </c>
      <c r="E3040" s="4" t="str">
        <f>CONCATENATE(Tabela1[[#This Row],[CIDADE]],",",Tabela1[[#This Row],[UF]])</f>
        <v>Aparecida de Goiânia,GO</v>
      </c>
      <c r="F3040" s="2">
        <v>45931</v>
      </c>
      <c r="G3040" s="17">
        <v>382.3</v>
      </c>
      <c r="H3040" s="17">
        <v>615</v>
      </c>
      <c r="I3040" s="6">
        <f>Tabela1[[#This Row],[Valor total]]-Tabela1[[#This Row],[Valor custo]]</f>
        <v>232.7</v>
      </c>
      <c r="J3040" s="7">
        <f>Tabela1[[#This Row],[MARGEM BRUTA]]/Tabela1[[#This Row],[Valor total]]</f>
        <v>0.37837398373983738</v>
      </c>
      <c r="K3040" s="1" t="str">
        <f>VLOOKUP(Tabela1[[#This Row],[Cliente]],'BASE DE CLIENTES'!A:D,4,0)</f>
        <v>TECNICO</v>
      </c>
      <c r="L3040" s="1" t="str">
        <f>VLOOKUP(Tabela1[[#This Row],[Cliente]],'BASE DE CLIENTES'!A:E,5,0)</f>
        <v>Aparecida de Goiânia</v>
      </c>
    </row>
    <row r="3041" spans="2:12" x14ac:dyDescent="0.3">
      <c r="B3041" s="1" t="s">
        <v>298</v>
      </c>
      <c r="C3041" s="4" t="str">
        <f>VLOOKUP(Tabela1[[#This Row],[Cliente]],'BASE DE CLIENTES'!A:E,2,0)</f>
        <v>Brasília</v>
      </c>
      <c r="D3041" s="1" t="str">
        <f>VLOOKUP(Tabela1[[#This Row],[Cliente]],'BASE DE CLIENTES'!A:C,3,0)</f>
        <v>DF</v>
      </c>
      <c r="E3041" s="4" t="str">
        <f>CONCATENATE(Tabela1[[#This Row],[CIDADE]],",",Tabela1[[#This Row],[UF]])</f>
        <v>Brasília,DF</v>
      </c>
      <c r="F3041" s="2">
        <v>45931</v>
      </c>
      <c r="G3041" s="17">
        <v>477</v>
      </c>
      <c r="H3041" s="17">
        <v>750</v>
      </c>
      <c r="I3041" s="6">
        <f>Tabela1[[#This Row],[Valor total]]-Tabela1[[#This Row],[Valor custo]]</f>
        <v>273</v>
      </c>
      <c r="J3041" s="7">
        <f>Tabela1[[#This Row],[MARGEM BRUTA]]/Tabela1[[#This Row],[Valor total]]</f>
        <v>0.36399999999999999</v>
      </c>
      <c r="K3041" s="1" t="str">
        <f>VLOOKUP(Tabela1[[#This Row],[Cliente]],'BASE DE CLIENTES'!A:D,4,0)</f>
        <v>SERRALHEIRO</v>
      </c>
      <c r="L3041" s="1" t="str">
        <f>VLOOKUP(Tabela1[[#This Row],[Cliente]],'BASE DE CLIENTES'!A:E,5,0)</f>
        <v>SETOR DE MANSOES DE SOBRADINHO</v>
      </c>
    </row>
    <row r="3042" spans="2:12" x14ac:dyDescent="0.3">
      <c r="B3042" s="1" t="s">
        <v>153</v>
      </c>
      <c r="C3042" s="4" t="str">
        <f>VLOOKUP(Tabela1[[#This Row],[Cliente]],'BASE DE CLIENTES'!A:E,2,0)</f>
        <v>Brasília</v>
      </c>
      <c r="D3042" s="1" t="str">
        <f>VLOOKUP(Tabela1[[#This Row],[Cliente]],'BASE DE CLIENTES'!A:C,3,0)</f>
        <v>DF</v>
      </c>
      <c r="E3042" s="4" t="str">
        <f>CONCATENATE(Tabela1[[#This Row],[CIDADE]],",",Tabela1[[#This Row],[UF]])</f>
        <v>Brasília,DF</v>
      </c>
      <c r="F3042" s="2">
        <v>45931</v>
      </c>
      <c r="G3042" s="17">
        <v>1146.9000000000001</v>
      </c>
      <c r="H3042" s="17">
        <v>1845</v>
      </c>
      <c r="I3042" s="6">
        <f>Tabela1[[#This Row],[Valor total]]-Tabela1[[#This Row],[Valor custo]]</f>
        <v>698.09999999999991</v>
      </c>
      <c r="J3042" s="7">
        <f>Tabela1[[#This Row],[MARGEM BRUTA]]/Tabela1[[#This Row],[Valor total]]</f>
        <v>0.37837398373983733</v>
      </c>
      <c r="K3042" s="1" t="str">
        <f>VLOOKUP(Tabela1[[#This Row],[Cliente]],'BASE DE CLIENTES'!A:D,4,0)</f>
        <v>SERRALHEIRO</v>
      </c>
      <c r="L3042" s="1" t="str">
        <f>VLOOKUP(Tabela1[[#This Row],[Cliente]],'BASE DE CLIENTES'!A:E,5,0)</f>
        <v>PLANALTINA</v>
      </c>
    </row>
    <row r="3043" spans="2:12" x14ac:dyDescent="0.3">
      <c r="B3043" s="1" t="s">
        <v>92</v>
      </c>
      <c r="C3043" s="4" t="str">
        <f>VLOOKUP(Tabela1[[#This Row],[Cliente]],'BASE DE CLIENTES'!A:E,2,0)</f>
        <v>Brasília</v>
      </c>
      <c r="D3043" s="1" t="str">
        <f>VLOOKUP(Tabela1[[#This Row],[Cliente]],'BASE DE CLIENTES'!A:C,3,0)</f>
        <v>DF</v>
      </c>
      <c r="E3043" s="4" t="str">
        <f>CONCATENATE(Tabela1[[#This Row],[CIDADE]],",",Tabela1[[#This Row],[UF]])</f>
        <v>Brasília,DF</v>
      </c>
      <c r="F3043" s="2">
        <v>45931</v>
      </c>
      <c r="G3043" s="17">
        <v>1787.6</v>
      </c>
      <c r="H3043" s="17">
        <v>3000</v>
      </c>
      <c r="I3043" s="6">
        <f>Tabela1[[#This Row],[Valor total]]-Tabela1[[#This Row],[Valor custo]]</f>
        <v>1212.4000000000001</v>
      </c>
      <c r="J3043" s="7">
        <f>Tabela1[[#This Row],[MARGEM BRUTA]]/Tabela1[[#This Row],[Valor total]]</f>
        <v>0.40413333333333334</v>
      </c>
      <c r="K3043" s="1" t="str">
        <f>VLOOKUP(Tabela1[[#This Row],[Cliente]],'BASE DE CLIENTES'!A:D,4,0)</f>
        <v>EMPRESA SEM MAQUINA</v>
      </c>
      <c r="L3043" s="1" t="str">
        <f>VLOOKUP(Tabela1[[#This Row],[Cliente]],'BASE DE CLIENTES'!A:E,5,0)</f>
        <v>SOBRADINHO</v>
      </c>
    </row>
    <row r="3044" spans="2:12" x14ac:dyDescent="0.3">
      <c r="B3044" s="1" t="s">
        <v>161</v>
      </c>
      <c r="C3044" s="4" t="str">
        <f>VLOOKUP(Tabela1[[#This Row],[Cliente]],'BASE DE CLIENTES'!A:E,2,0)</f>
        <v>Brasília</v>
      </c>
      <c r="D3044" s="1" t="str">
        <f>VLOOKUP(Tabela1[[#This Row],[Cliente]],'BASE DE CLIENTES'!A:C,3,0)</f>
        <v>DF</v>
      </c>
      <c r="E3044" s="4" t="str">
        <f>CONCATENATE(Tabela1[[#This Row],[CIDADE]],",",Tabela1[[#This Row],[UF]])</f>
        <v>Brasília,DF</v>
      </c>
      <c r="F3044" s="2">
        <v>45931</v>
      </c>
      <c r="G3044" s="17">
        <v>16301.8</v>
      </c>
      <c r="H3044" s="17">
        <v>21400</v>
      </c>
      <c r="I3044" s="6">
        <f>Tabela1[[#This Row],[Valor total]]-Tabela1[[#This Row],[Valor custo]]</f>
        <v>5098.2000000000007</v>
      </c>
      <c r="J3044" s="7">
        <f>Tabela1[[#This Row],[MARGEM BRUTA]]/Tabela1[[#This Row],[Valor total]]</f>
        <v>0.23823364485981313</v>
      </c>
      <c r="K3044" s="1" t="str">
        <f>VLOOKUP(Tabela1[[#This Row],[Cliente]],'BASE DE CLIENTES'!A:D,4,0)</f>
        <v>EMPRESA COM MAQUINA</v>
      </c>
      <c r="L3044" s="1" t="str">
        <f>VLOOKUP(Tabela1[[#This Row],[Cliente]],'BASE DE CLIENTES'!A:E,5,0)</f>
        <v>RIACHO FUNDO II</v>
      </c>
    </row>
    <row r="3045" spans="2:12" x14ac:dyDescent="0.3">
      <c r="B3045" s="1" t="s">
        <v>111</v>
      </c>
      <c r="C3045" s="4" t="str">
        <f>VLOOKUP(Tabela1[[#This Row],[Cliente]],'BASE DE CLIENTES'!A:E,2,0)</f>
        <v>Brasília</v>
      </c>
      <c r="D3045" s="1" t="str">
        <f>VLOOKUP(Tabela1[[#This Row],[Cliente]],'BASE DE CLIENTES'!A:C,3,0)</f>
        <v>DF</v>
      </c>
      <c r="E3045" s="4" t="str">
        <f>CONCATENATE(Tabela1[[#This Row],[CIDADE]],",",Tabela1[[#This Row],[UF]])</f>
        <v>Brasília,DF</v>
      </c>
      <c r="F3045" s="2">
        <v>45931</v>
      </c>
      <c r="G3045" s="17">
        <v>392.56</v>
      </c>
      <c r="H3045" s="17">
        <v>480</v>
      </c>
      <c r="I3045" s="6">
        <f>Tabela1[[#This Row],[Valor total]]-Tabela1[[#This Row],[Valor custo]]</f>
        <v>87.44</v>
      </c>
      <c r="J3045" s="7">
        <f>Tabela1[[#This Row],[MARGEM BRUTA]]/Tabela1[[#This Row],[Valor total]]</f>
        <v>0.18216666666666667</v>
      </c>
      <c r="K3045" s="1" t="str">
        <f>VLOOKUP(Tabela1[[#This Row],[Cliente]],'BASE DE CLIENTES'!A:D,4,0)</f>
        <v>EMPRESA SEM MAQUINA</v>
      </c>
      <c r="L3045" s="1" t="str">
        <f>VLOOKUP(Tabela1[[#This Row],[Cliente]],'BASE DE CLIENTES'!A:E,5,0)</f>
        <v>TAGUATINGA SUL (TAGUATINGA)</v>
      </c>
    </row>
    <row r="3046" spans="2:12" x14ac:dyDescent="0.3">
      <c r="B3046" s="1" t="s">
        <v>38</v>
      </c>
      <c r="C3046" s="4" t="str">
        <f>VLOOKUP(Tabela1[[#This Row],[Cliente]],'BASE DE CLIENTES'!A:E,2,0)</f>
        <v>Brasília</v>
      </c>
      <c r="D3046" s="1" t="str">
        <f>VLOOKUP(Tabela1[[#This Row],[Cliente]],'BASE DE CLIENTES'!A:C,3,0)</f>
        <v>DF</v>
      </c>
      <c r="E3046" s="4" t="str">
        <f>CONCATENATE(Tabela1[[#This Row],[CIDADE]],",",Tabela1[[#This Row],[UF]])</f>
        <v>Brasília,DF</v>
      </c>
      <c r="F3046" s="2">
        <v>45931</v>
      </c>
      <c r="G3046" s="17">
        <v>649</v>
      </c>
      <c r="H3046" s="17">
        <v>1176</v>
      </c>
      <c r="I3046" s="6">
        <f>Tabela1[[#This Row],[Valor total]]-Tabela1[[#This Row],[Valor custo]]</f>
        <v>527</v>
      </c>
      <c r="J3046" s="7">
        <f>Tabela1[[#This Row],[MARGEM BRUTA]]/Tabela1[[#This Row],[Valor total]]</f>
        <v>0.4481292517006803</v>
      </c>
      <c r="K3046" s="1" t="str">
        <f>VLOOKUP(Tabela1[[#This Row],[Cliente]],'BASE DE CLIENTES'!A:D,4,0)</f>
        <v>EMPRESA SEM MAQUINA</v>
      </c>
      <c r="L3046" s="1" t="str">
        <f>VLOOKUP(Tabela1[[#This Row],[Cliente]],'BASE DE CLIENTES'!A:E,5,0)</f>
        <v>PONTE ALTA NORTE (GAMA)</v>
      </c>
    </row>
    <row r="3047" spans="2:12" x14ac:dyDescent="0.3">
      <c r="B3047" s="1" t="s">
        <v>27</v>
      </c>
      <c r="C3047" s="4" t="str">
        <f>VLOOKUP(Tabela1[[#This Row],[Cliente]],'BASE DE CLIENTES'!A:E,2,0)</f>
        <v>Brasília</v>
      </c>
      <c r="D3047" s="1" t="str">
        <f>VLOOKUP(Tabela1[[#This Row],[Cliente]],'BASE DE CLIENTES'!A:C,3,0)</f>
        <v>DF</v>
      </c>
      <c r="E3047" s="4" t="str">
        <f>CONCATENATE(Tabela1[[#This Row],[CIDADE]],",",Tabela1[[#This Row],[UF]])</f>
        <v>Brasília,DF</v>
      </c>
      <c r="F3047" s="2">
        <v>45931</v>
      </c>
      <c r="G3047" s="17">
        <v>534</v>
      </c>
      <c r="H3047" s="17">
        <v>669</v>
      </c>
      <c r="I3047" s="6">
        <f>Tabela1[[#This Row],[Valor total]]-Tabela1[[#This Row],[Valor custo]]</f>
        <v>135</v>
      </c>
      <c r="J3047" s="7">
        <f>Tabela1[[#This Row],[MARGEM BRUTA]]/Tabela1[[#This Row],[Valor total]]</f>
        <v>0.20179372197309417</v>
      </c>
      <c r="K3047" s="1" t="str">
        <f>VLOOKUP(Tabela1[[#This Row],[Cliente]],'BASE DE CLIENTES'!A:D,4,0)</f>
        <v>EMPRESA SEM MAQUINA</v>
      </c>
      <c r="L3047" s="1" t="str">
        <f>VLOOKUP(Tabela1[[#This Row],[Cliente]],'BASE DE CLIENTES'!A:E,5,0)</f>
        <v>RECANTO DAS EMAS</v>
      </c>
    </row>
    <row r="3048" spans="2:12" x14ac:dyDescent="0.3">
      <c r="B3048" s="1" t="s">
        <v>104</v>
      </c>
      <c r="C3048" s="4" t="str">
        <f>VLOOKUP(Tabela1[[#This Row],[Cliente]],'BASE DE CLIENTES'!A:E,2,0)</f>
        <v>Águas Lindas de Goiás</v>
      </c>
      <c r="D3048" s="1" t="str">
        <f>VLOOKUP(Tabela1[[#This Row],[Cliente]],'BASE DE CLIENTES'!A:C,3,0)</f>
        <v>GO</v>
      </c>
      <c r="E3048" s="4" t="str">
        <f>CONCATENATE(Tabela1[[#This Row],[CIDADE]],",",Tabela1[[#This Row],[UF]])</f>
        <v>Águas Lindas de Goiás,GO</v>
      </c>
      <c r="F3048" s="2">
        <v>45931</v>
      </c>
      <c r="G3048" s="17">
        <v>1914.97</v>
      </c>
      <c r="H3048" s="17">
        <v>2913</v>
      </c>
      <c r="I3048" s="6">
        <f>Tabela1[[#This Row],[Valor total]]-Tabela1[[#This Row],[Valor custo]]</f>
        <v>998.03</v>
      </c>
      <c r="J3048" s="7">
        <f>Tabela1[[#This Row],[MARGEM BRUTA]]/Tabela1[[#This Row],[Valor total]]</f>
        <v>0.34261242705115003</v>
      </c>
      <c r="K3048" s="1" t="str">
        <f>VLOOKUP(Tabela1[[#This Row],[Cliente]],'BASE DE CLIENTES'!A:D,4,0)</f>
        <v>EMPRESA SEM MAQUINA</v>
      </c>
      <c r="L3048" s="1" t="str">
        <f>VLOOKUP(Tabela1[[#This Row],[Cliente]],'BASE DE CLIENTES'!A:E,5,0)</f>
        <v>Águas Lindas de Goiás</v>
      </c>
    </row>
    <row r="3049" spans="2:12" x14ac:dyDescent="0.3">
      <c r="B3049" s="1" t="s">
        <v>66</v>
      </c>
      <c r="C3049" s="4" t="str">
        <f>VLOOKUP(Tabela1[[#This Row],[Cliente]],'BASE DE CLIENTES'!A:E,2,0)</f>
        <v>Águas Lindas de Goiás</v>
      </c>
      <c r="D3049" s="1" t="str">
        <f>VLOOKUP(Tabela1[[#This Row],[Cliente]],'BASE DE CLIENTES'!A:C,3,0)</f>
        <v>GO</v>
      </c>
      <c r="E3049" s="4" t="str">
        <f>CONCATENATE(Tabela1[[#This Row],[CIDADE]],",",Tabela1[[#This Row],[UF]])</f>
        <v>Águas Lindas de Goiás,GO</v>
      </c>
      <c r="F3049" s="2">
        <v>45931</v>
      </c>
      <c r="G3049" s="17">
        <v>397.55</v>
      </c>
      <c r="H3049" s="17">
        <v>640</v>
      </c>
      <c r="I3049" s="6">
        <f>Tabela1[[#This Row],[Valor total]]-Tabela1[[#This Row],[Valor custo]]</f>
        <v>242.45</v>
      </c>
      <c r="J3049" s="7">
        <f>Tabela1[[#This Row],[MARGEM BRUTA]]/Tabela1[[#This Row],[Valor total]]</f>
        <v>0.37882812499999996</v>
      </c>
      <c r="K3049" s="1" t="str">
        <f>VLOOKUP(Tabela1[[#This Row],[Cliente]],'BASE DE CLIENTES'!A:D,4,0)</f>
        <v>EMPRESA COM MAQUINA</v>
      </c>
      <c r="L3049" s="1" t="str">
        <f>VLOOKUP(Tabela1[[#This Row],[Cliente]],'BASE DE CLIENTES'!A:E,5,0)</f>
        <v>Águas Lindas de Goiás</v>
      </c>
    </row>
    <row r="3050" spans="2:12" x14ac:dyDescent="0.3">
      <c r="B3050" s="1" t="s">
        <v>19</v>
      </c>
      <c r="C3050" s="4" t="str">
        <f>VLOOKUP(Tabela1[[#This Row],[Cliente]],'BASE DE CLIENTES'!A:E,2,0)</f>
        <v>Águas Lindas de Goiás</v>
      </c>
      <c r="D3050" s="1" t="str">
        <f>VLOOKUP(Tabela1[[#This Row],[Cliente]],'BASE DE CLIENTES'!A:C,3,0)</f>
        <v>GO</v>
      </c>
      <c r="E3050" s="4" t="str">
        <f>CONCATENATE(Tabela1[[#This Row],[CIDADE]],",",Tabela1[[#This Row],[UF]])</f>
        <v>Águas Lindas de Goiás,GO</v>
      </c>
      <c r="F3050" s="2">
        <v>45931</v>
      </c>
      <c r="G3050" s="17">
        <v>55.5</v>
      </c>
      <c r="H3050" s="17">
        <v>70</v>
      </c>
      <c r="I3050" s="6">
        <f>Tabela1[[#This Row],[Valor total]]-Tabela1[[#This Row],[Valor custo]]</f>
        <v>14.5</v>
      </c>
      <c r="J3050" s="7">
        <f>Tabela1[[#This Row],[MARGEM BRUTA]]/Tabela1[[#This Row],[Valor total]]</f>
        <v>0.20714285714285716</v>
      </c>
      <c r="K3050" s="1" t="str">
        <f>VLOOKUP(Tabela1[[#This Row],[Cliente]],'BASE DE CLIENTES'!A:D,4,0)</f>
        <v>SERRALHEIRO</v>
      </c>
      <c r="L3050" s="1" t="str">
        <f>VLOOKUP(Tabela1[[#This Row],[Cliente]],'BASE DE CLIENTES'!A:E,5,0)</f>
        <v>Águas Lindas de Goiás</v>
      </c>
    </row>
    <row r="3051" spans="2:12" x14ac:dyDescent="0.3">
      <c r="B3051" s="1" t="s">
        <v>19</v>
      </c>
      <c r="C3051" s="4" t="str">
        <f>VLOOKUP(Tabela1[[#This Row],[Cliente]],'BASE DE CLIENTES'!A:E,2,0)</f>
        <v>Águas Lindas de Goiás</v>
      </c>
      <c r="D3051" s="1" t="str">
        <f>VLOOKUP(Tabela1[[#This Row],[Cliente]],'BASE DE CLIENTES'!A:C,3,0)</f>
        <v>GO</v>
      </c>
      <c r="E3051" s="4" t="str">
        <f>CONCATENATE(Tabela1[[#This Row],[CIDADE]],",",Tabela1[[#This Row],[UF]])</f>
        <v>Águas Lindas de Goiás,GO</v>
      </c>
      <c r="F3051" s="2">
        <v>45931</v>
      </c>
      <c r="G3051" s="17">
        <v>815.09</v>
      </c>
      <c r="H3051" s="17">
        <v>1365</v>
      </c>
      <c r="I3051" s="6">
        <f>Tabela1[[#This Row],[Valor total]]-Tabela1[[#This Row],[Valor custo]]</f>
        <v>549.91</v>
      </c>
      <c r="J3051" s="7">
        <f>Tabela1[[#This Row],[MARGEM BRUTA]]/Tabela1[[#This Row],[Valor total]]</f>
        <v>0.40286446886446886</v>
      </c>
      <c r="K3051" s="1" t="str">
        <f>VLOOKUP(Tabela1[[#This Row],[Cliente]],'BASE DE CLIENTES'!A:D,4,0)</f>
        <v>SERRALHEIRO</v>
      </c>
      <c r="L3051" s="1" t="str">
        <f>VLOOKUP(Tabela1[[#This Row],[Cliente]],'BASE DE CLIENTES'!A:E,5,0)</f>
        <v>Águas Lindas de Goiás</v>
      </c>
    </row>
    <row r="3052" spans="2:12" x14ac:dyDescent="0.3">
      <c r="B3052" s="1" t="s">
        <v>341</v>
      </c>
      <c r="C3052" s="4" t="str">
        <f>VLOOKUP(Tabela1[[#This Row],[Cliente]],'BASE DE CLIENTES'!A:E,2,0)</f>
        <v>Brasília</v>
      </c>
      <c r="D3052" s="1" t="str">
        <f>VLOOKUP(Tabela1[[#This Row],[Cliente]],'BASE DE CLIENTES'!A:C,3,0)</f>
        <v>DF</v>
      </c>
      <c r="E3052" s="4" t="str">
        <f>CONCATENATE(Tabela1[[#This Row],[CIDADE]],",",Tabela1[[#This Row],[UF]])</f>
        <v>Brasília,DF</v>
      </c>
      <c r="F3052" s="2">
        <v>45931</v>
      </c>
      <c r="G3052" s="17">
        <v>49.01</v>
      </c>
      <c r="H3052" s="17">
        <v>340</v>
      </c>
      <c r="I3052" s="6">
        <f>Tabela1[[#This Row],[Valor total]]-Tabela1[[#This Row],[Valor custo]]</f>
        <v>290.99</v>
      </c>
      <c r="J3052" s="7">
        <f>Tabela1[[#This Row],[MARGEM BRUTA]]/Tabela1[[#This Row],[Valor total]]</f>
        <v>0.85585294117647059</v>
      </c>
      <c r="K3052" s="1" t="str">
        <f>VLOOKUP(Tabela1[[#This Row],[Cliente]],'BASE DE CLIENTES'!A:D,4,0)</f>
        <v>CLIENTE NOVO S/ IDENT.</v>
      </c>
      <c r="L3052" s="1" t="str">
        <f>VLOOKUP(Tabela1[[#This Row],[Cliente]],'BASE DE CLIENTES'!A:E,5,0)</f>
        <v>Brasília</v>
      </c>
    </row>
    <row r="3053" spans="2:12" x14ac:dyDescent="0.3">
      <c r="B3053" s="1" t="s">
        <v>111</v>
      </c>
      <c r="C3053" s="4" t="str">
        <f>VLOOKUP(Tabela1[[#This Row],[Cliente]],'BASE DE CLIENTES'!A:E,2,0)</f>
        <v>Brasília</v>
      </c>
      <c r="D3053" s="1" t="str">
        <f>VLOOKUP(Tabela1[[#This Row],[Cliente]],'BASE DE CLIENTES'!A:C,3,0)</f>
        <v>DF</v>
      </c>
      <c r="E3053" s="4" t="str">
        <f>CONCATENATE(Tabela1[[#This Row],[CIDADE]],",",Tabela1[[#This Row],[UF]])</f>
        <v>Brasília,DF</v>
      </c>
      <c r="F3053" s="2">
        <v>45931</v>
      </c>
      <c r="G3053" s="17">
        <v>837.3</v>
      </c>
      <c r="H3053" s="17">
        <v>1350</v>
      </c>
      <c r="I3053" s="6">
        <f>Tabela1[[#This Row],[Valor total]]-Tabela1[[#This Row],[Valor custo]]</f>
        <v>512.70000000000005</v>
      </c>
      <c r="J3053" s="7">
        <f>Tabela1[[#This Row],[MARGEM BRUTA]]/Tabela1[[#This Row],[Valor total]]</f>
        <v>0.37977777777777783</v>
      </c>
      <c r="K3053" s="1" t="str">
        <f>VLOOKUP(Tabela1[[#This Row],[Cliente]],'BASE DE CLIENTES'!A:D,4,0)</f>
        <v>EMPRESA SEM MAQUINA</v>
      </c>
      <c r="L3053" s="1" t="str">
        <f>VLOOKUP(Tabela1[[#This Row],[Cliente]],'BASE DE CLIENTES'!A:E,5,0)</f>
        <v>TAGUATINGA SUL (TAGUATINGA)</v>
      </c>
    </row>
    <row r="3054" spans="2:12" x14ac:dyDescent="0.3">
      <c r="B3054" s="1" t="s">
        <v>183</v>
      </c>
      <c r="C3054" s="4" t="str">
        <f>VLOOKUP(Tabela1[[#This Row],[Cliente]],'BASE DE CLIENTES'!A:E,2,0)</f>
        <v>Caldas Novas</v>
      </c>
      <c r="D3054" s="1" t="str">
        <f>VLOOKUP(Tabela1[[#This Row],[Cliente]],'BASE DE CLIENTES'!A:C,3,0)</f>
        <v>GO</v>
      </c>
      <c r="E3054" s="4" t="str">
        <f>CONCATENATE(Tabela1[[#This Row],[CIDADE]],",",Tabela1[[#This Row],[UF]])</f>
        <v>Caldas Novas,GO</v>
      </c>
      <c r="F3054" s="2">
        <v>45931</v>
      </c>
      <c r="G3054" s="17">
        <v>1529.2</v>
      </c>
      <c r="H3054" s="17">
        <v>2240</v>
      </c>
      <c r="I3054" s="6">
        <f>Tabela1[[#This Row],[Valor total]]-Tabela1[[#This Row],[Valor custo]]</f>
        <v>710.8</v>
      </c>
      <c r="J3054" s="7">
        <f>Tabela1[[#This Row],[MARGEM BRUTA]]/Tabela1[[#This Row],[Valor total]]</f>
        <v>0.31732142857142853</v>
      </c>
      <c r="K3054" s="1" t="str">
        <f>VLOOKUP(Tabela1[[#This Row],[Cliente]],'BASE DE CLIENTES'!A:D,4,0)</f>
        <v>EMPRESA COM MAQUINA</v>
      </c>
      <c r="L3054" s="1" t="str">
        <f>VLOOKUP(Tabela1[[#This Row],[Cliente]],'BASE DE CLIENTES'!A:E,5,0)</f>
        <v>Caldas Novas</v>
      </c>
    </row>
    <row r="3055" spans="2:12" x14ac:dyDescent="0.3">
      <c r="B3055" s="1" t="s">
        <v>25</v>
      </c>
      <c r="C3055" s="4" t="str">
        <f>VLOOKUP(Tabela1[[#This Row],[Cliente]],'BASE DE CLIENTES'!A:E,2,0)</f>
        <v>Brasília</v>
      </c>
      <c r="D3055" s="1" t="str">
        <f>VLOOKUP(Tabela1[[#This Row],[Cliente]],'BASE DE CLIENTES'!A:C,3,0)</f>
        <v>DF</v>
      </c>
      <c r="E3055" s="4" t="str">
        <f>CONCATENATE(Tabela1[[#This Row],[CIDADE]],",",Tabela1[[#This Row],[UF]])</f>
        <v>Brasília,DF</v>
      </c>
      <c r="F3055" s="2">
        <v>45931</v>
      </c>
      <c r="G3055" s="17">
        <v>75</v>
      </c>
      <c r="H3055" s="17">
        <v>90</v>
      </c>
      <c r="I3055" s="6">
        <f>Tabela1[[#This Row],[Valor total]]-Tabela1[[#This Row],[Valor custo]]</f>
        <v>15</v>
      </c>
      <c r="J3055" s="7">
        <f>Tabela1[[#This Row],[MARGEM BRUTA]]/Tabela1[[#This Row],[Valor total]]</f>
        <v>0.16666666666666666</v>
      </c>
      <c r="K3055" s="1" t="str">
        <f>VLOOKUP(Tabela1[[#This Row],[Cliente]],'BASE DE CLIENTES'!A:D,4,0)</f>
        <v>EMPRESA COM MAQUINA</v>
      </c>
      <c r="L3055" s="1" t="str">
        <f>VLOOKUP(Tabela1[[#This Row],[Cliente]],'BASE DE CLIENTES'!A:E,5,0)</f>
        <v>CEILANDIA NORTE (CEILANDIA)</v>
      </c>
    </row>
    <row r="3056" spans="2:12" x14ac:dyDescent="0.3">
      <c r="B3056" s="1" t="s">
        <v>254</v>
      </c>
      <c r="C3056" s="4" t="str">
        <f>VLOOKUP(Tabela1[[#This Row],[Cliente]],'BASE DE CLIENTES'!A:E,2,0)</f>
        <v>Luziânia</v>
      </c>
      <c r="D3056" s="1" t="str">
        <f>VLOOKUP(Tabela1[[#This Row],[Cliente]],'BASE DE CLIENTES'!A:C,3,0)</f>
        <v>GO</v>
      </c>
      <c r="E3056" s="4" t="str">
        <f>CONCATENATE(Tabela1[[#This Row],[CIDADE]],",",Tabela1[[#This Row],[UF]])</f>
        <v>Luziânia,GO</v>
      </c>
      <c r="F3056" s="2">
        <v>45931</v>
      </c>
      <c r="G3056" s="17">
        <v>764.6</v>
      </c>
      <c r="H3056" s="17">
        <v>1250</v>
      </c>
      <c r="I3056" s="6">
        <f>Tabela1[[#This Row],[Valor total]]-Tabela1[[#This Row],[Valor custo]]</f>
        <v>485.4</v>
      </c>
      <c r="J3056" s="7">
        <f>Tabela1[[#This Row],[MARGEM BRUTA]]/Tabela1[[#This Row],[Valor total]]</f>
        <v>0.38832</v>
      </c>
      <c r="K3056" s="1" t="str">
        <f>VLOOKUP(Tabela1[[#This Row],[Cliente]],'BASE DE CLIENTES'!A:D,4,0)</f>
        <v>SERRALHEIRO</v>
      </c>
      <c r="L3056" s="1" t="str">
        <f>VLOOKUP(Tabela1[[#This Row],[Cliente]],'BASE DE CLIENTES'!A:E,5,0)</f>
        <v>Luziânia</v>
      </c>
    </row>
    <row r="3057" spans="2:12" x14ac:dyDescent="0.3">
      <c r="B3057" s="1" t="s">
        <v>140</v>
      </c>
      <c r="C3057" s="4" t="str">
        <f>VLOOKUP(Tabela1[[#This Row],[Cliente]],'BASE DE CLIENTES'!A:E,2,0)</f>
        <v>Brasília</v>
      </c>
      <c r="D3057" s="1" t="str">
        <f>VLOOKUP(Tabela1[[#This Row],[Cliente]],'BASE DE CLIENTES'!A:C,3,0)</f>
        <v>DF</v>
      </c>
      <c r="E3057" s="4" t="str">
        <f>CONCATENATE(Tabela1[[#This Row],[CIDADE]],",",Tabela1[[#This Row],[UF]])</f>
        <v>Brasília,DF</v>
      </c>
      <c r="F3057" s="2">
        <v>45931</v>
      </c>
      <c r="G3057" s="17">
        <v>390</v>
      </c>
      <c r="H3057" s="17">
        <v>510</v>
      </c>
      <c r="I3057" s="6">
        <f>Tabela1[[#This Row],[Valor total]]-Tabela1[[#This Row],[Valor custo]]</f>
        <v>120</v>
      </c>
      <c r="J3057" s="7">
        <f>Tabela1[[#This Row],[MARGEM BRUTA]]/Tabela1[[#This Row],[Valor total]]</f>
        <v>0.23529411764705882</v>
      </c>
      <c r="K3057" s="1" t="str">
        <f>VLOOKUP(Tabela1[[#This Row],[Cliente]],'BASE DE CLIENTES'!A:D,4,0)</f>
        <v>EMPRESA COM MAQUINA</v>
      </c>
      <c r="L3057" s="1" t="str">
        <f>VLOOKUP(Tabela1[[#This Row],[Cliente]],'BASE DE CLIENTES'!A:E,5,0)</f>
        <v>RECANTO DAS EMAS</v>
      </c>
    </row>
    <row r="3058" spans="2:12" x14ac:dyDescent="0.3">
      <c r="B3058" s="1" t="s">
        <v>42</v>
      </c>
      <c r="C3058" s="4" t="str">
        <f>VLOOKUP(Tabela1[[#This Row],[Cliente]],'BASE DE CLIENTES'!A:E,2,0)</f>
        <v>Brasília</v>
      </c>
      <c r="D3058" s="1" t="str">
        <f>VLOOKUP(Tabela1[[#This Row],[Cliente]],'BASE DE CLIENTES'!A:C,3,0)</f>
        <v>DF</v>
      </c>
      <c r="E3058" s="4" t="str">
        <f>CONCATENATE(Tabela1[[#This Row],[CIDADE]],",",Tabela1[[#This Row],[UF]])</f>
        <v>Brasília,DF</v>
      </c>
      <c r="F3058" s="2">
        <v>45931</v>
      </c>
      <c r="G3058" s="17">
        <v>5777.73</v>
      </c>
      <c r="H3058" s="17">
        <v>8540</v>
      </c>
      <c r="I3058" s="6">
        <f>Tabela1[[#This Row],[Valor total]]-Tabela1[[#This Row],[Valor custo]]</f>
        <v>2762.2700000000004</v>
      </c>
      <c r="J3058" s="7">
        <f>Tabela1[[#This Row],[MARGEM BRUTA]]/Tabela1[[#This Row],[Valor total]]</f>
        <v>0.32345081967213118</v>
      </c>
      <c r="K3058" s="1" t="str">
        <f>VLOOKUP(Tabela1[[#This Row],[Cliente]],'BASE DE CLIENTES'!A:D,4,0)</f>
        <v>EMPRESA SEM MAQUINA</v>
      </c>
      <c r="L3058" s="1" t="str">
        <f>VLOOKUP(Tabela1[[#This Row],[Cliente]],'BASE DE CLIENTES'!A:E,5,0)</f>
        <v>SAMAMBAIA</v>
      </c>
    </row>
    <row r="3059" spans="2:12" x14ac:dyDescent="0.3">
      <c r="B3059" s="1" t="s">
        <v>253</v>
      </c>
      <c r="C3059" s="4" t="str">
        <f>VLOOKUP(Tabela1[[#This Row],[Cliente]],'BASE DE CLIENTES'!A:E,2,0)</f>
        <v>Luziânia</v>
      </c>
      <c r="D3059" s="1" t="str">
        <f>VLOOKUP(Tabela1[[#This Row],[Cliente]],'BASE DE CLIENTES'!A:C,3,0)</f>
        <v>GO</v>
      </c>
      <c r="E3059" s="4" t="str">
        <f>CONCATENATE(Tabela1[[#This Row],[CIDADE]],",",Tabela1[[#This Row],[UF]])</f>
        <v>Luziânia,GO</v>
      </c>
      <c r="F3059" s="2">
        <v>45931</v>
      </c>
      <c r="G3059" s="17">
        <v>289</v>
      </c>
      <c r="H3059" s="17">
        <v>0</v>
      </c>
      <c r="I3059" s="6">
        <f>Tabela1[[#This Row],[Valor total]]-Tabela1[[#This Row],[Valor custo]]</f>
        <v>-289</v>
      </c>
      <c r="J3059" s="7" t="e">
        <f>Tabela1[[#This Row],[MARGEM BRUTA]]/Tabela1[[#This Row],[Valor total]]</f>
        <v>#DIV/0!</v>
      </c>
      <c r="K3059" s="1" t="str">
        <f>VLOOKUP(Tabela1[[#This Row],[Cliente]],'BASE DE CLIENTES'!A:D,4,0)</f>
        <v>EMPRESA COM MAQUINA</v>
      </c>
      <c r="L3059" s="1" t="str">
        <f>VLOOKUP(Tabela1[[#This Row],[Cliente]],'BASE DE CLIENTES'!A:E,5,0)</f>
        <v>Luziânia</v>
      </c>
    </row>
    <row r="3060" spans="2:12" x14ac:dyDescent="0.3">
      <c r="B3060" s="1" t="s">
        <v>319</v>
      </c>
      <c r="C3060" s="4" t="str">
        <f>VLOOKUP(Tabela1[[#This Row],[Cliente]],'BASE DE CLIENTES'!A:E,2,0)</f>
        <v>Valparaíso de Goiás</v>
      </c>
      <c r="D3060" s="1" t="str">
        <f>VLOOKUP(Tabela1[[#This Row],[Cliente]],'BASE DE CLIENTES'!A:C,3,0)</f>
        <v>GO</v>
      </c>
      <c r="E3060" s="4" t="str">
        <f>CONCATENATE(Tabela1[[#This Row],[CIDADE]],",",Tabela1[[#This Row],[UF]])</f>
        <v>Valparaíso de Goiás,GO</v>
      </c>
      <c r="F3060" s="2">
        <v>45931</v>
      </c>
      <c r="G3060" s="17">
        <v>4287.74</v>
      </c>
      <c r="H3060" s="17">
        <v>6310</v>
      </c>
      <c r="I3060" s="6">
        <f>Tabela1[[#This Row],[Valor total]]-Tabela1[[#This Row],[Valor custo]]</f>
        <v>2022.2600000000002</v>
      </c>
      <c r="J3060" s="7">
        <f>Tabela1[[#This Row],[MARGEM BRUTA]]/Tabela1[[#This Row],[Valor total]]</f>
        <v>0.32048494453248816</v>
      </c>
      <c r="K3060" s="1" t="str">
        <f>VLOOKUP(Tabela1[[#This Row],[Cliente]],'BASE DE CLIENTES'!A:D,4,0)</f>
        <v>EMPRESA COM MAQUINA</v>
      </c>
      <c r="L3060" s="1" t="str">
        <f>VLOOKUP(Tabela1[[#This Row],[Cliente]],'BASE DE CLIENTES'!A:E,5,0)</f>
        <v>Valparaíso de Goiás</v>
      </c>
    </row>
    <row r="3061" spans="2:12" x14ac:dyDescent="0.3">
      <c r="B3061" s="1" t="s">
        <v>106</v>
      </c>
      <c r="C3061" s="4" t="str">
        <f>VLOOKUP(Tabela1[[#This Row],[Cliente]],'BASE DE CLIENTES'!A:E,2,0)</f>
        <v>Brasília</v>
      </c>
      <c r="D3061" s="1" t="str">
        <f>VLOOKUP(Tabela1[[#This Row],[Cliente]],'BASE DE CLIENTES'!A:C,3,0)</f>
        <v>DF</v>
      </c>
      <c r="E3061" s="4" t="str">
        <f>CONCATENATE(Tabela1[[#This Row],[CIDADE]],",",Tabela1[[#This Row],[UF]])</f>
        <v>Brasília,DF</v>
      </c>
      <c r="F3061" s="2">
        <v>45931</v>
      </c>
      <c r="G3061" s="17">
        <v>2902.08</v>
      </c>
      <c r="H3061" s="17">
        <v>4450</v>
      </c>
      <c r="I3061" s="6">
        <f>Tabela1[[#This Row],[Valor total]]-Tabela1[[#This Row],[Valor custo]]</f>
        <v>1547.92</v>
      </c>
      <c r="J3061" s="7">
        <f>Tabela1[[#This Row],[MARGEM BRUTA]]/Tabela1[[#This Row],[Valor total]]</f>
        <v>0.34784719101123596</v>
      </c>
      <c r="K3061" s="1" t="str">
        <f>VLOOKUP(Tabela1[[#This Row],[Cliente]],'BASE DE CLIENTES'!A:D,4,0)</f>
        <v>EMPRESA COM MAQUINA</v>
      </c>
      <c r="L3061" s="1" t="str">
        <f>VLOOKUP(Tabela1[[#This Row],[Cliente]],'BASE DE CLIENTES'!A:E,5,0)</f>
        <v>26 DE SETEMBRO</v>
      </c>
    </row>
    <row r="3062" spans="2:12" x14ac:dyDescent="0.3">
      <c r="B3062" s="1" t="s">
        <v>152</v>
      </c>
      <c r="C3062" s="4" t="str">
        <f>VLOOKUP(Tabela1[[#This Row],[Cliente]],'BASE DE CLIENTES'!A:E,2,0)</f>
        <v>Aparecida de Goiânia</v>
      </c>
      <c r="D3062" s="1" t="str">
        <f>VLOOKUP(Tabela1[[#This Row],[Cliente]],'BASE DE CLIENTES'!A:C,3,0)</f>
        <v>GO</v>
      </c>
      <c r="E3062" s="4" t="str">
        <f>CONCATENATE(Tabela1[[#This Row],[CIDADE]],",",Tabela1[[#This Row],[UF]])</f>
        <v>Aparecida de Goiânia,GO</v>
      </c>
      <c r="F3062" s="2">
        <v>45931</v>
      </c>
      <c r="G3062" s="17">
        <v>500</v>
      </c>
      <c r="H3062" s="17">
        <v>620</v>
      </c>
      <c r="I3062" s="6">
        <f>Tabela1[[#This Row],[Valor total]]-Tabela1[[#This Row],[Valor custo]]</f>
        <v>120</v>
      </c>
      <c r="J3062" s="7">
        <f>Tabela1[[#This Row],[MARGEM BRUTA]]/Tabela1[[#This Row],[Valor total]]</f>
        <v>0.19354838709677419</v>
      </c>
      <c r="K3062" s="1" t="str">
        <f>VLOOKUP(Tabela1[[#This Row],[Cliente]],'BASE DE CLIENTES'!A:D,4,0)</f>
        <v>TECNICO</v>
      </c>
      <c r="L3062" s="1" t="str">
        <f>VLOOKUP(Tabela1[[#This Row],[Cliente]],'BASE DE CLIENTES'!A:E,5,0)</f>
        <v>Aparecida de Goiânia</v>
      </c>
    </row>
    <row r="3063" spans="2:12" x14ac:dyDescent="0.3">
      <c r="B3063" s="1" t="s">
        <v>195</v>
      </c>
      <c r="C3063" s="4" t="str">
        <f>VLOOKUP(Tabela1[[#This Row],[Cliente]],'BASE DE CLIENTES'!A:E,2,0)</f>
        <v>Goiânia</v>
      </c>
      <c r="D3063" s="1" t="str">
        <f>VLOOKUP(Tabela1[[#This Row],[Cliente]],'BASE DE CLIENTES'!A:C,3,0)</f>
        <v>GO</v>
      </c>
      <c r="E3063" s="4" t="str">
        <f>CONCATENATE(Tabela1[[#This Row],[CIDADE]],",",Tabela1[[#This Row],[UF]])</f>
        <v>Goiânia,GO</v>
      </c>
      <c r="F3063" s="2">
        <v>45931</v>
      </c>
      <c r="G3063" s="17">
        <v>6550</v>
      </c>
      <c r="H3063" s="17">
        <v>10200</v>
      </c>
      <c r="I3063" s="6">
        <f>Tabela1[[#This Row],[Valor total]]-Tabela1[[#This Row],[Valor custo]]</f>
        <v>3650</v>
      </c>
      <c r="J3063" s="7">
        <f>Tabela1[[#This Row],[MARGEM BRUTA]]/Tabela1[[#This Row],[Valor total]]</f>
        <v>0.35784313725490197</v>
      </c>
      <c r="K3063" s="1" t="str">
        <f>VLOOKUP(Tabela1[[#This Row],[Cliente]],'BASE DE CLIENTES'!A:D,4,0)</f>
        <v>EMPRESA COM MAQUINA</v>
      </c>
      <c r="L3063" s="1" t="str">
        <f>VLOOKUP(Tabela1[[#This Row],[Cliente]],'BASE DE CLIENTES'!A:E,5,0)</f>
        <v>Goiânia</v>
      </c>
    </row>
    <row r="3064" spans="2:12" x14ac:dyDescent="0.3">
      <c r="B3064" s="1" t="s">
        <v>199</v>
      </c>
      <c r="C3064" s="4" t="str">
        <f>VLOOKUP(Tabela1[[#This Row],[Cliente]],'BASE DE CLIENTES'!A:E,2,0)</f>
        <v>Goiânia</v>
      </c>
      <c r="D3064" s="1" t="str">
        <f>VLOOKUP(Tabela1[[#This Row],[Cliente]],'BASE DE CLIENTES'!A:C,3,0)</f>
        <v>GO</v>
      </c>
      <c r="E3064" s="4" t="str">
        <f>CONCATENATE(Tabela1[[#This Row],[CIDADE]],",",Tabela1[[#This Row],[UF]])</f>
        <v>Goiânia,GO</v>
      </c>
      <c r="F3064" s="2">
        <v>45931</v>
      </c>
      <c r="G3064" s="17">
        <v>2977</v>
      </c>
      <c r="H3064" s="17">
        <v>6550</v>
      </c>
      <c r="I3064" s="6">
        <f>Tabela1[[#This Row],[Valor total]]-Tabela1[[#This Row],[Valor custo]]</f>
        <v>3573</v>
      </c>
      <c r="J3064" s="7">
        <f>Tabela1[[#This Row],[MARGEM BRUTA]]/Tabela1[[#This Row],[Valor total]]</f>
        <v>0.54549618320610682</v>
      </c>
      <c r="K3064" s="1" t="str">
        <f>VLOOKUP(Tabela1[[#This Row],[Cliente]],'BASE DE CLIENTES'!A:D,4,0)</f>
        <v>EMPRESA COM MAQUINA</v>
      </c>
      <c r="L3064" s="1" t="str">
        <f>VLOOKUP(Tabela1[[#This Row],[Cliente]],'BASE DE CLIENTES'!A:E,5,0)</f>
        <v>Goiânia</v>
      </c>
    </row>
    <row r="3065" spans="2:12" x14ac:dyDescent="0.3">
      <c r="B3065" s="1" t="s">
        <v>311</v>
      </c>
      <c r="C3065" s="4" t="str">
        <f>VLOOKUP(Tabela1[[#This Row],[Cliente]],'BASE DE CLIENTES'!A:E,2,0)</f>
        <v>Uberlândia</v>
      </c>
      <c r="D3065" s="1" t="str">
        <f>VLOOKUP(Tabela1[[#This Row],[Cliente]],'BASE DE CLIENTES'!A:C,3,0)</f>
        <v>MG</v>
      </c>
      <c r="E3065" s="4" t="str">
        <f>CONCATENATE(Tabela1[[#This Row],[CIDADE]],",",Tabela1[[#This Row],[UF]])</f>
        <v>Uberlândia,MG</v>
      </c>
      <c r="F3065" s="2">
        <v>45931</v>
      </c>
      <c r="G3065" s="17">
        <v>18753.2</v>
      </c>
      <c r="H3065" s="17">
        <v>26630</v>
      </c>
      <c r="I3065" s="6">
        <f>Tabela1[[#This Row],[Valor total]]-Tabela1[[#This Row],[Valor custo]]</f>
        <v>7876.7999999999993</v>
      </c>
      <c r="J3065" s="7">
        <f>Tabela1[[#This Row],[MARGEM BRUTA]]/Tabela1[[#This Row],[Valor total]]</f>
        <v>0.29578670672174234</v>
      </c>
      <c r="K3065" s="1" t="str">
        <f>VLOOKUP(Tabela1[[#This Row],[Cliente]],'BASE DE CLIENTES'!A:D,4,0)</f>
        <v>EMPRESA COM MAQUINA</v>
      </c>
      <c r="L3065" s="1" t="str">
        <f>VLOOKUP(Tabela1[[#This Row],[Cliente]],'BASE DE CLIENTES'!A:E,5,0)</f>
        <v>Uberlândia</v>
      </c>
    </row>
    <row r="3066" spans="2:12" x14ac:dyDescent="0.3">
      <c r="B3066" s="1" t="s">
        <v>147</v>
      </c>
      <c r="C3066" s="4" t="str">
        <f>VLOOKUP(Tabela1[[#This Row],[Cliente]],'BASE DE CLIENTES'!A:E,2,0)</f>
        <v>Brasília</v>
      </c>
      <c r="D3066" s="1" t="str">
        <f>VLOOKUP(Tabela1[[#This Row],[Cliente]],'BASE DE CLIENTES'!A:C,3,0)</f>
        <v>DF</v>
      </c>
      <c r="E3066" s="4" t="str">
        <f>CONCATENATE(Tabela1[[#This Row],[CIDADE]],",",Tabela1[[#This Row],[UF]])</f>
        <v>Brasília,DF</v>
      </c>
      <c r="F3066" s="2">
        <v>45989</v>
      </c>
      <c r="G3066" s="17">
        <v>360.5</v>
      </c>
      <c r="H3066" s="17">
        <v>749.5</v>
      </c>
      <c r="I3066" s="6">
        <f>Tabela1[[#This Row],[Valor total]]-Tabela1[[#This Row],[Valor custo]]</f>
        <v>389</v>
      </c>
      <c r="J3066" s="7">
        <f>Tabela1[[#This Row],[MARGEM BRUTA]]/Tabela1[[#This Row],[Valor total]]</f>
        <v>0.51901267511674454</v>
      </c>
      <c r="K3066" s="1" t="str">
        <f>VLOOKUP(Tabela1[[#This Row],[Cliente]],'BASE DE CLIENTES'!A:D,4,0)</f>
        <v>SEM CLASSIFICAÇÃO</v>
      </c>
      <c r="L3066" s="1" t="str">
        <f>VLOOKUP(Tabela1[[#This Row],[Cliente]],'BASE DE CLIENTES'!A:E,5,0)</f>
        <v>AREAL (AGUAS CLARAS)</v>
      </c>
    </row>
    <row r="3067" spans="2:12" x14ac:dyDescent="0.3">
      <c r="B3067" s="1" t="s">
        <v>70</v>
      </c>
      <c r="C3067" s="4" t="str">
        <f>VLOOKUP(Tabela1[[#This Row],[Cliente]],'BASE DE CLIENTES'!A:E,2,0)</f>
        <v>Brasília</v>
      </c>
      <c r="D3067" s="1" t="str">
        <f>VLOOKUP(Tabela1[[#This Row],[Cliente]],'BASE DE CLIENTES'!A:C,3,0)</f>
        <v>DF</v>
      </c>
      <c r="E3067" s="4" t="str">
        <f>CONCATENATE(Tabela1[[#This Row],[CIDADE]],",",Tabela1[[#This Row],[UF]])</f>
        <v>Brasília,DF</v>
      </c>
      <c r="F3067" s="2">
        <v>45989</v>
      </c>
      <c r="G3067" s="17">
        <v>0</v>
      </c>
      <c r="H3067" s="17">
        <v>180</v>
      </c>
      <c r="I3067" s="6">
        <f>Tabela1[[#This Row],[Valor total]]-Tabela1[[#This Row],[Valor custo]]</f>
        <v>180</v>
      </c>
      <c r="J3067" s="7">
        <f>Tabela1[[#This Row],[MARGEM BRUTA]]/Tabela1[[#This Row],[Valor total]]</f>
        <v>1</v>
      </c>
      <c r="K3067" s="1" t="str">
        <f>VLOOKUP(Tabela1[[#This Row],[Cliente]],'BASE DE CLIENTES'!A:D,4,0)</f>
        <v>EMPRESA COM MAQUINA</v>
      </c>
      <c r="L3067" s="1" t="str">
        <f>VLOOKUP(Tabela1[[#This Row],[Cliente]],'BASE DE CLIENTES'!A:E,5,0)</f>
        <v>TAGUATINGA NORTE (TAGUATINGA)</v>
      </c>
    </row>
    <row r="3068" spans="2:12" x14ac:dyDescent="0.3">
      <c r="B3068" s="1" t="s">
        <v>107</v>
      </c>
      <c r="C3068" s="4" t="str">
        <f>VLOOKUP(Tabela1[[#This Row],[Cliente]],'BASE DE CLIENTES'!A:E,2,0)</f>
        <v>Planaltina</v>
      </c>
      <c r="D3068" s="1" t="str">
        <f>VLOOKUP(Tabela1[[#This Row],[Cliente]],'BASE DE CLIENTES'!A:C,3,0)</f>
        <v>DF</v>
      </c>
      <c r="E3068" s="4" t="str">
        <f>CONCATENATE(Tabela1[[#This Row],[CIDADE]],",",Tabela1[[#This Row],[UF]])</f>
        <v>Planaltina,DF</v>
      </c>
      <c r="F3068" s="2">
        <v>45989</v>
      </c>
      <c r="G3068" s="17">
        <v>1358.79</v>
      </c>
      <c r="H3068" s="17">
        <v>2135</v>
      </c>
      <c r="I3068" s="6">
        <f>Tabela1[[#This Row],[Valor total]]-Tabela1[[#This Row],[Valor custo]]</f>
        <v>776.21</v>
      </c>
      <c r="J3068" s="7">
        <f>Tabela1[[#This Row],[MARGEM BRUTA]]/Tabela1[[#This Row],[Valor total]]</f>
        <v>0.36356440281030444</v>
      </c>
      <c r="K3068" s="1" t="str">
        <f>VLOOKUP(Tabela1[[#This Row],[Cliente]],'BASE DE CLIENTES'!A:D,4,0)</f>
        <v>EMPRESA COM MAQUINA</v>
      </c>
      <c r="L3068" s="1" t="str">
        <f>VLOOKUP(Tabela1[[#This Row],[Cliente]],'BASE DE CLIENTES'!A:E,5,0)</f>
        <v>SETOR LESTE</v>
      </c>
    </row>
    <row r="3069" spans="2:12" x14ac:dyDescent="0.3">
      <c r="B3069" s="1" t="s">
        <v>127</v>
      </c>
      <c r="C3069" s="4" t="str">
        <f>VLOOKUP(Tabela1[[#This Row],[Cliente]],'BASE DE CLIENTES'!A:E,2,0)</f>
        <v>Brasília</v>
      </c>
      <c r="D3069" s="1" t="str">
        <f>VLOOKUP(Tabela1[[#This Row],[Cliente]],'BASE DE CLIENTES'!A:C,3,0)</f>
        <v>DF</v>
      </c>
      <c r="E3069" s="4" t="str">
        <f>CONCATENATE(Tabela1[[#This Row],[CIDADE]],",",Tabela1[[#This Row],[UF]])</f>
        <v>Brasília,DF</v>
      </c>
      <c r="F3069" s="2">
        <v>45989</v>
      </c>
      <c r="G3069" s="17">
        <v>679</v>
      </c>
      <c r="H3069" s="17">
        <v>1090</v>
      </c>
      <c r="I3069" s="6">
        <f>Tabela1[[#This Row],[Valor total]]-Tabela1[[#This Row],[Valor custo]]</f>
        <v>411</v>
      </c>
      <c r="J3069" s="7">
        <f>Tabela1[[#This Row],[MARGEM BRUTA]]/Tabela1[[#This Row],[Valor total]]</f>
        <v>0.37706422018348623</v>
      </c>
      <c r="K3069" s="1" t="str">
        <f>VLOOKUP(Tabela1[[#This Row],[Cliente]],'BASE DE CLIENTES'!A:D,4,0)</f>
        <v>EMPRESA COM MAQUINA</v>
      </c>
      <c r="L3069" s="1" t="str">
        <f>VLOOKUP(Tabela1[[#This Row],[Cliente]],'BASE DE CLIENTES'!A:E,5,0)</f>
        <v>CEILANDIA SUL (CEILANDIA)</v>
      </c>
    </row>
    <row r="3070" spans="2:12" x14ac:dyDescent="0.3">
      <c r="B3070" s="1" t="s">
        <v>286</v>
      </c>
      <c r="C3070" s="4" t="str">
        <f>VLOOKUP(Tabela1[[#This Row],[Cliente]],'BASE DE CLIENTES'!A:E,2,0)</f>
        <v>Planaltina</v>
      </c>
      <c r="D3070" s="1" t="str">
        <f>VLOOKUP(Tabela1[[#This Row],[Cliente]],'BASE DE CLIENTES'!A:C,3,0)</f>
        <v>GO</v>
      </c>
      <c r="E3070" s="4" t="str">
        <f>CONCATENATE(Tabela1[[#This Row],[CIDADE]],",",Tabela1[[#This Row],[UF]])</f>
        <v>Planaltina,GO</v>
      </c>
      <c r="F3070" s="2">
        <v>45989</v>
      </c>
      <c r="G3070" s="17">
        <v>1706.42</v>
      </c>
      <c r="H3070" s="17">
        <v>2599</v>
      </c>
      <c r="I3070" s="6">
        <f>Tabela1[[#This Row],[Valor total]]-Tabela1[[#This Row],[Valor custo]]</f>
        <v>892.57999999999993</v>
      </c>
      <c r="J3070" s="7">
        <f>Tabela1[[#This Row],[MARGEM BRUTA]]/Tabela1[[#This Row],[Valor total]]</f>
        <v>0.34343208926510194</v>
      </c>
      <c r="K3070" s="1" t="str">
        <f>VLOOKUP(Tabela1[[#This Row],[Cliente]],'BASE DE CLIENTES'!A:D,4,0)</f>
        <v>SERRALHEIRO</v>
      </c>
      <c r="L3070" s="1" t="str">
        <f>VLOOKUP(Tabela1[[#This Row],[Cliente]],'BASE DE CLIENTES'!A:E,5,0)</f>
        <v>Planaltina</v>
      </c>
    </row>
    <row r="3071" spans="2:12" x14ac:dyDescent="0.3">
      <c r="B3071" s="1" t="s">
        <v>19</v>
      </c>
      <c r="C3071" s="4" t="str">
        <f>VLOOKUP(Tabela1[[#This Row],[Cliente]],'BASE DE CLIENTES'!A:E,2,0)</f>
        <v>Águas Lindas de Goiás</v>
      </c>
      <c r="D3071" s="1" t="str">
        <f>VLOOKUP(Tabela1[[#This Row],[Cliente]],'BASE DE CLIENTES'!A:C,3,0)</f>
        <v>GO</v>
      </c>
      <c r="E3071" s="4" t="str">
        <f>CONCATENATE(Tabela1[[#This Row],[CIDADE]],",",Tabela1[[#This Row],[UF]])</f>
        <v>Águas Lindas de Goiás,GO</v>
      </c>
      <c r="F3071" s="2">
        <v>45989</v>
      </c>
      <c r="G3071" s="17">
        <v>98.14</v>
      </c>
      <c r="H3071" s="17">
        <v>120</v>
      </c>
      <c r="I3071" s="6">
        <f>Tabela1[[#This Row],[Valor total]]-Tabela1[[#This Row],[Valor custo]]</f>
        <v>21.86</v>
      </c>
      <c r="J3071" s="7">
        <f>Tabela1[[#This Row],[MARGEM BRUTA]]/Tabela1[[#This Row],[Valor total]]</f>
        <v>0.18216666666666667</v>
      </c>
      <c r="K3071" s="1" t="str">
        <f>VLOOKUP(Tabela1[[#This Row],[Cliente]],'BASE DE CLIENTES'!A:D,4,0)</f>
        <v>SERRALHEIRO</v>
      </c>
      <c r="L3071" s="1" t="str">
        <f>VLOOKUP(Tabela1[[#This Row],[Cliente]],'BASE DE CLIENTES'!A:E,5,0)</f>
        <v>Águas Lindas de Goiás</v>
      </c>
    </row>
    <row r="3072" spans="2:12" x14ac:dyDescent="0.3">
      <c r="B3072" s="1" t="s">
        <v>152</v>
      </c>
      <c r="C3072" s="4" t="str">
        <f>VLOOKUP(Tabela1[[#This Row],[Cliente]],'BASE DE CLIENTES'!A:E,2,0)</f>
        <v>Aparecida de Goiânia</v>
      </c>
      <c r="D3072" s="1" t="str">
        <f>VLOOKUP(Tabela1[[#This Row],[Cliente]],'BASE DE CLIENTES'!A:C,3,0)</f>
        <v>GO</v>
      </c>
      <c r="E3072" s="4" t="str">
        <f>CONCATENATE(Tabela1[[#This Row],[CIDADE]],",",Tabela1[[#This Row],[UF]])</f>
        <v>Aparecida de Goiânia,GO</v>
      </c>
      <c r="F3072" s="2">
        <v>45989</v>
      </c>
      <c r="G3072" s="17">
        <v>288.39999999999998</v>
      </c>
      <c r="H3072" s="17">
        <v>600</v>
      </c>
      <c r="I3072" s="6">
        <f>Tabela1[[#This Row],[Valor total]]-Tabela1[[#This Row],[Valor custo]]</f>
        <v>311.60000000000002</v>
      </c>
      <c r="J3072" s="7">
        <f>Tabela1[[#This Row],[MARGEM BRUTA]]/Tabela1[[#This Row],[Valor total]]</f>
        <v>0.51933333333333342</v>
      </c>
      <c r="K3072" s="1" t="str">
        <f>VLOOKUP(Tabela1[[#This Row],[Cliente]],'BASE DE CLIENTES'!A:D,4,0)</f>
        <v>TECNICO</v>
      </c>
      <c r="L3072" s="1" t="str">
        <f>VLOOKUP(Tabela1[[#This Row],[Cliente]],'BASE DE CLIENTES'!A:E,5,0)</f>
        <v>Aparecida de Goiânia</v>
      </c>
    </row>
    <row r="3073" spans="2:12" x14ac:dyDescent="0.3">
      <c r="B3073" s="1" t="s">
        <v>152</v>
      </c>
      <c r="C3073" s="4" t="str">
        <f>VLOOKUP(Tabela1[[#This Row],[Cliente]],'BASE DE CLIENTES'!A:E,2,0)</f>
        <v>Aparecida de Goiânia</v>
      </c>
      <c r="D3073" s="1" t="str">
        <f>VLOOKUP(Tabela1[[#This Row],[Cliente]],'BASE DE CLIENTES'!A:C,3,0)</f>
        <v>GO</v>
      </c>
      <c r="E3073" s="4" t="str">
        <f>CONCATENATE(Tabela1[[#This Row],[CIDADE]],",",Tabela1[[#This Row],[UF]])</f>
        <v>Aparecida de Goiânia,GO</v>
      </c>
      <c r="F3073" s="2">
        <v>45989</v>
      </c>
      <c r="G3073" s="17">
        <v>108.15</v>
      </c>
      <c r="H3073" s="17">
        <v>225</v>
      </c>
      <c r="I3073" s="6">
        <f>Tabela1[[#This Row],[Valor total]]-Tabela1[[#This Row],[Valor custo]]</f>
        <v>116.85</v>
      </c>
      <c r="J3073" s="7">
        <f>Tabela1[[#This Row],[MARGEM BRUTA]]/Tabela1[[#This Row],[Valor total]]</f>
        <v>0.51933333333333331</v>
      </c>
      <c r="K3073" s="1" t="str">
        <f>VLOOKUP(Tabela1[[#This Row],[Cliente]],'BASE DE CLIENTES'!A:D,4,0)</f>
        <v>TECNICO</v>
      </c>
      <c r="L3073" s="1" t="str">
        <f>VLOOKUP(Tabela1[[#This Row],[Cliente]],'BASE DE CLIENTES'!A:E,5,0)</f>
        <v>Aparecida de Goiânia</v>
      </c>
    </row>
    <row r="3074" spans="2:12" x14ac:dyDescent="0.3">
      <c r="B3074" s="1" t="s">
        <v>152</v>
      </c>
      <c r="C3074" s="4" t="str">
        <f>VLOOKUP(Tabela1[[#This Row],[Cliente]],'BASE DE CLIENTES'!A:E,2,0)</f>
        <v>Aparecida de Goiânia</v>
      </c>
      <c r="D3074" s="1" t="str">
        <f>VLOOKUP(Tabela1[[#This Row],[Cliente]],'BASE DE CLIENTES'!A:C,3,0)</f>
        <v>GO</v>
      </c>
      <c r="E3074" s="4" t="str">
        <f>CONCATENATE(Tabela1[[#This Row],[CIDADE]],",",Tabela1[[#This Row],[UF]])</f>
        <v>Aparecida de Goiânia,GO</v>
      </c>
      <c r="F3074" s="2">
        <v>45989</v>
      </c>
      <c r="G3074" s="17">
        <v>108.15</v>
      </c>
      <c r="H3074" s="17">
        <v>225</v>
      </c>
      <c r="I3074" s="6">
        <f>Tabela1[[#This Row],[Valor total]]-Tabela1[[#This Row],[Valor custo]]</f>
        <v>116.85</v>
      </c>
      <c r="J3074" s="7">
        <f>Tabela1[[#This Row],[MARGEM BRUTA]]/Tabela1[[#This Row],[Valor total]]</f>
        <v>0.51933333333333331</v>
      </c>
      <c r="K3074" s="1" t="str">
        <f>VLOOKUP(Tabela1[[#This Row],[Cliente]],'BASE DE CLIENTES'!A:D,4,0)</f>
        <v>TECNICO</v>
      </c>
      <c r="L3074" s="1" t="str">
        <f>VLOOKUP(Tabela1[[#This Row],[Cliente]],'BASE DE CLIENTES'!A:E,5,0)</f>
        <v>Aparecida de Goiânia</v>
      </c>
    </row>
    <row r="3075" spans="2:12" x14ac:dyDescent="0.3">
      <c r="B3075" s="1" t="s">
        <v>189</v>
      </c>
      <c r="C3075" s="4" t="str">
        <f>VLOOKUP(Tabela1[[#This Row],[Cliente]],'BASE DE CLIENTES'!A:E,2,0)</f>
        <v>Formosa</v>
      </c>
      <c r="D3075" s="1" t="str">
        <f>VLOOKUP(Tabela1[[#This Row],[Cliente]],'BASE DE CLIENTES'!A:C,3,0)</f>
        <v>GO</v>
      </c>
      <c r="E3075" s="4" t="str">
        <f>CONCATENATE(Tabela1[[#This Row],[CIDADE]],",",Tabela1[[#This Row],[UF]])</f>
        <v>Formosa,GO</v>
      </c>
      <c r="F3075" s="2">
        <v>45989</v>
      </c>
      <c r="G3075" s="17">
        <v>419.2</v>
      </c>
      <c r="H3075" s="17">
        <v>799.3</v>
      </c>
      <c r="I3075" s="6">
        <f>Tabela1[[#This Row],[Valor total]]-Tabela1[[#This Row],[Valor custo]]</f>
        <v>380.09999999999997</v>
      </c>
      <c r="J3075" s="7">
        <f>Tabela1[[#This Row],[MARGEM BRUTA]]/Tabela1[[#This Row],[Valor total]]</f>
        <v>0.4755410984611535</v>
      </c>
      <c r="K3075" s="1" t="str">
        <f>VLOOKUP(Tabela1[[#This Row],[Cliente]],'BASE DE CLIENTES'!A:D,4,0)</f>
        <v>SEM CLASSIFICAÇÃO</v>
      </c>
      <c r="L3075" s="1" t="str">
        <f>VLOOKUP(Tabela1[[#This Row],[Cliente]],'BASE DE CLIENTES'!A:E,5,0)</f>
        <v>Formosa</v>
      </c>
    </row>
    <row r="3076" spans="2:12" x14ac:dyDescent="0.3">
      <c r="B3076" s="1" t="s">
        <v>30</v>
      </c>
      <c r="C3076" s="4" t="str">
        <f>VLOOKUP(Tabela1[[#This Row],[Cliente]],'BASE DE CLIENTES'!A:E,2,0)</f>
        <v>Águas Lindas de Goiás</v>
      </c>
      <c r="D3076" s="1" t="str">
        <f>VLOOKUP(Tabela1[[#This Row],[Cliente]],'BASE DE CLIENTES'!A:C,3,0)</f>
        <v>GO</v>
      </c>
      <c r="E3076" s="4" t="str">
        <f>CONCATENATE(Tabela1[[#This Row],[CIDADE]],",",Tabela1[[#This Row],[UF]])</f>
        <v>Águas Lindas de Goiás,GO</v>
      </c>
      <c r="F3076" s="2">
        <v>45989</v>
      </c>
      <c r="G3076" s="17">
        <v>127.1</v>
      </c>
      <c r="H3076" s="17">
        <v>250</v>
      </c>
      <c r="I3076" s="6">
        <f>Tabela1[[#This Row],[Valor total]]-Tabela1[[#This Row],[Valor custo]]</f>
        <v>122.9</v>
      </c>
      <c r="J3076" s="7">
        <f>Tabela1[[#This Row],[MARGEM BRUTA]]/Tabela1[[#This Row],[Valor total]]</f>
        <v>0.49160000000000004</v>
      </c>
      <c r="K3076" s="1" t="str">
        <f>VLOOKUP(Tabela1[[#This Row],[Cliente]],'BASE DE CLIENTES'!A:D,4,0)</f>
        <v>SERRALHEIRO</v>
      </c>
      <c r="L3076" s="1" t="str">
        <f>VLOOKUP(Tabela1[[#This Row],[Cliente]],'BASE DE CLIENTES'!A:E,5,0)</f>
        <v>Águas Lindas de Goiás</v>
      </c>
    </row>
    <row r="3077" spans="2:12" x14ac:dyDescent="0.3">
      <c r="B3077" s="1" t="s">
        <v>96</v>
      </c>
      <c r="C3077" s="4" t="str">
        <f>VLOOKUP(Tabela1[[#This Row],[Cliente]],'BASE DE CLIENTES'!A:E,2,0)</f>
        <v>Brasília</v>
      </c>
      <c r="D3077" s="1" t="str">
        <f>VLOOKUP(Tabela1[[#This Row],[Cliente]],'BASE DE CLIENTES'!A:C,3,0)</f>
        <v>DF</v>
      </c>
      <c r="E3077" s="4" t="str">
        <f>CONCATENATE(Tabela1[[#This Row],[CIDADE]],",",Tabela1[[#This Row],[UF]])</f>
        <v>Brasília,DF</v>
      </c>
      <c r="F3077" s="2">
        <v>45989</v>
      </c>
      <c r="G3077" s="17">
        <v>580.5</v>
      </c>
      <c r="H3077" s="17">
        <v>1149</v>
      </c>
      <c r="I3077" s="6">
        <f>Tabela1[[#This Row],[Valor total]]-Tabela1[[#This Row],[Valor custo]]</f>
        <v>568.5</v>
      </c>
      <c r="J3077" s="7">
        <f>Tabela1[[#This Row],[MARGEM BRUTA]]/Tabela1[[#This Row],[Valor total]]</f>
        <v>0.49477806788511747</v>
      </c>
      <c r="K3077" s="1" t="str">
        <f>VLOOKUP(Tabela1[[#This Row],[Cliente]],'BASE DE CLIENTES'!A:D,4,0)</f>
        <v>EMPRESA SEM MAQUINA</v>
      </c>
      <c r="L3077" s="1" t="str">
        <f>VLOOKUP(Tabela1[[#This Row],[Cliente]],'BASE DE CLIENTES'!A:E,5,0)</f>
        <v>CEILANDIA NORTE (CEILANDIA)</v>
      </c>
    </row>
    <row r="3078" spans="2:12" x14ac:dyDescent="0.3">
      <c r="B3078" s="1" t="s">
        <v>13</v>
      </c>
      <c r="C3078" s="4" t="str">
        <f>VLOOKUP(Tabela1[[#This Row],[Cliente]],'BASE DE CLIENTES'!A:E,2,0)</f>
        <v>Brasília</v>
      </c>
      <c r="D3078" s="1" t="str">
        <f>VLOOKUP(Tabela1[[#This Row],[Cliente]],'BASE DE CLIENTES'!A:C,3,0)</f>
        <v>DF</v>
      </c>
      <c r="E3078" s="4" t="str">
        <f>CONCATENATE(Tabela1[[#This Row],[CIDADE]],",",Tabela1[[#This Row],[UF]])</f>
        <v>Brasília,DF</v>
      </c>
      <c r="F3078" s="2">
        <v>45989</v>
      </c>
      <c r="G3078" s="17">
        <v>893.2</v>
      </c>
      <c r="H3078" s="17">
        <v>1500</v>
      </c>
      <c r="I3078" s="6">
        <f>Tabela1[[#This Row],[Valor total]]-Tabela1[[#This Row],[Valor custo]]</f>
        <v>606.79999999999995</v>
      </c>
      <c r="J3078" s="7">
        <f>Tabela1[[#This Row],[MARGEM BRUTA]]/Tabela1[[#This Row],[Valor total]]</f>
        <v>0.4045333333333333</v>
      </c>
      <c r="K3078" s="1" t="str">
        <f>VLOOKUP(Tabela1[[#This Row],[Cliente]],'BASE DE CLIENTES'!A:D,4,0)</f>
        <v>EMPRESA COM MAQUINA</v>
      </c>
      <c r="L3078" s="1" t="str">
        <f>VLOOKUP(Tabela1[[#This Row],[Cliente]],'BASE DE CLIENTES'!A:E,5,0)</f>
        <v>CANDANGOLANDIA</v>
      </c>
    </row>
    <row r="3079" spans="2:12" x14ac:dyDescent="0.3">
      <c r="B3079" s="1" t="s">
        <v>19</v>
      </c>
      <c r="C3079" s="4" t="str">
        <f>VLOOKUP(Tabela1[[#This Row],[Cliente]],'BASE DE CLIENTES'!A:E,2,0)</f>
        <v>Águas Lindas de Goiás</v>
      </c>
      <c r="D3079" s="1" t="str">
        <f>VLOOKUP(Tabela1[[#This Row],[Cliente]],'BASE DE CLIENTES'!A:C,3,0)</f>
        <v>GO</v>
      </c>
      <c r="E3079" s="4" t="str">
        <f>CONCATENATE(Tabela1[[#This Row],[CIDADE]],",",Tabela1[[#This Row],[UF]])</f>
        <v>Águas Lindas de Goiás,GO</v>
      </c>
      <c r="F3079" s="2">
        <v>45989</v>
      </c>
      <c r="G3079" s="17">
        <v>2362.58</v>
      </c>
      <c r="H3079" s="17">
        <v>3970</v>
      </c>
      <c r="I3079" s="6">
        <f>Tabela1[[#This Row],[Valor total]]-Tabela1[[#This Row],[Valor custo]]</f>
        <v>1607.42</v>
      </c>
      <c r="J3079" s="7">
        <f>Tabela1[[#This Row],[MARGEM BRUTA]]/Tabela1[[#This Row],[Valor total]]</f>
        <v>0.40489168765743072</v>
      </c>
      <c r="K3079" s="1" t="str">
        <f>VLOOKUP(Tabela1[[#This Row],[Cliente]],'BASE DE CLIENTES'!A:D,4,0)</f>
        <v>SERRALHEIRO</v>
      </c>
      <c r="L3079" s="1" t="str">
        <f>VLOOKUP(Tabela1[[#This Row],[Cliente]],'BASE DE CLIENTES'!A:E,5,0)</f>
        <v>Águas Lindas de Goiás</v>
      </c>
    </row>
    <row r="3080" spans="2:12" x14ac:dyDescent="0.3">
      <c r="B3080" s="1" t="s">
        <v>66</v>
      </c>
      <c r="C3080" s="4" t="str">
        <f>VLOOKUP(Tabela1[[#This Row],[Cliente]],'BASE DE CLIENTES'!A:E,2,0)</f>
        <v>Águas Lindas de Goiás</v>
      </c>
      <c r="D3080" s="1" t="str">
        <f>VLOOKUP(Tabela1[[#This Row],[Cliente]],'BASE DE CLIENTES'!A:C,3,0)</f>
        <v>GO</v>
      </c>
      <c r="E3080" s="4" t="str">
        <f>CONCATENATE(Tabela1[[#This Row],[CIDADE]],",",Tabela1[[#This Row],[UF]])</f>
        <v>Águas Lindas de Goiás,GO</v>
      </c>
      <c r="F3080" s="2">
        <v>45989</v>
      </c>
      <c r="G3080" s="17">
        <v>385</v>
      </c>
      <c r="H3080" s="17">
        <v>600</v>
      </c>
      <c r="I3080" s="6">
        <f>Tabela1[[#This Row],[Valor total]]-Tabela1[[#This Row],[Valor custo]]</f>
        <v>215</v>
      </c>
      <c r="J3080" s="7">
        <f>Tabela1[[#This Row],[MARGEM BRUTA]]/Tabela1[[#This Row],[Valor total]]</f>
        <v>0.35833333333333334</v>
      </c>
      <c r="K3080" s="1" t="str">
        <f>VLOOKUP(Tabela1[[#This Row],[Cliente]],'BASE DE CLIENTES'!A:D,4,0)</f>
        <v>EMPRESA COM MAQUINA</v>
      </c>
      <c r="L3080" s="1" t="str">
        <f>VLOOKUP(Tabela1[[#This Row],[Cliente]],'BASE DE CLIENTES'!A:E,5,0)</f>
        <v>Águas Lindas de Goiás</v>
      </c>
    </row>
    <row r="3081" spans="2:12" x14ac:dyDescent="0.3">
      <c r="B3081" s="1" t="s">
        <v>17</v>
      </c>
      <c r="C3081" s="4" t="str">
        <f>VLOOKUP(Tabela1[[#This Row],[Cliente]],'BASE DE CLIENTES'!A:E,2,0)</f>
        <v>Águas Lindas de Goiás</v>
      </c>
      <c r="D3081" s="1" t="str">
        <f>VLOOKUP(Tabela1[[#This Row],[Cliente]],'BASE DE CLIENTES'!A:C,3,0)</f>
        <v>GO</v>
      </c>
      <c r="E3081" s="4" t="str">
        <f>CONCATENATE(Tabela1[[#This Row],[CIDADE]],",",Tabela1[[#This Row],[UF]])</f>
        <v>Águas Lindas de Goiás,GO</v>
      </c>
      <c r="F3081" s="2">
        <v>45989</v>
      </c>
      <c r="G3081" s="17">
        <v>531.21</v>
      </c>
      <c r="H3081" s="17">
        <v>848</v>
      </c>
      <c r="I3081" s="6">
        <f>Tabela1[[#This Row],[Valor total]]-Tabela1[[#This Row],[Valor custo]]</f>
        <v>316.78999999999996</v>
      </c>
      <c r="J3081" s="7">
        <f>Tabela1[[#This Row],[MARGEM BRUTA]]/Tabela1[[#This Row],[Valor total]]</f>
        <v>0.3735731132075471</v>
      </c>
      <c r="K3081" s="1" t="str">
        <f>VLOOKUP(Tabela1[[#This Row],[Cliente]],'BASE DE CLIENTES'!A:D,4,0)</f>
        <v>SERRALHEIRO</v>
      </c>
      <c r="L3081" s="1" t="str">
        <f>VLOOKUP(Tabela1[[#This Row],[Cliente]],'BASE DE CLIENTES'!A:E,5,0)</f>
        <v>Águas Lindas de Goiás</v>
      </c>
    </row>
    <row r="3082" spans="2:12" x14ac:dyDescent="0.3">
      <c r="B3082" s="1" t="s">
        <v>36</v>
      </c>
      <c r="C3082" s="4" t="str">
        <f>VLOOKUP(Tabela1[[#This Row],[Cliente]],'BASE DE CLIENTES'!A:E,2,0)</f>
        <v>Brasília</v>
      </c>
      <c r="D3082" s="1" t="str">
        <f>VLOOKUP(Tabela1[[#This Row],[Cliente]],'BASE DE CLIENTES'!A:C,3,0)</f>
        <v>DF</v>
      </c>
      <c r="E3082" s="4" t="str">
        <f>CONCATENATE(Tabela1[[#This Row],[CIDADE]],",",Tabela1[[#This Row],[UF]])</f>
        <v>Brasília,DF</v>
      </c>
      <c r="F3082" s="2">
        <v>45989</v>
      </c>
      <c r="G3082" s="17">
        <v>90</v>
      </c>
      <c r="H3082" s="17">
        <v>180</v>
      </c>
      <c r="I3082" s="6">
        <f>Tabela1[[#This Row],[Valor total]]-Tabela1[[#This Row],[Valor custo]]</f>
        <v>90</v>
      </c>
      <c r="J3082" s="7">
        <f>Tabela1[[#This Row],[MARGEM BRUTA]]/Tabela1[[#This Row],[Valor total]]</f>
        <v>0.5</v>
      </c>
      <c r="K3082" s="1" t="str">
        <f>VLOOKUP(Tabela1[[#This Row],[Cliente]],'BASE DE CLIENTES'!A:D,4,0)</f>
        <v>SERRALHEIRO</v>
      </c>
      <c r="L3082" s="1" t="str">
        <f>VLOOKUP(Tabela1[[#This Row],[Cliente]],'BASE DE CLIENTES'!A:E,5,0)</f>
        <v>CEILANDIA SUL (CEILANDIA)</v>
      </c>
    </row>
    <row r="3083" spans="2:12" x14ac:dyDescent="0.3">
      <c r="B3083" s="1" t="s">
        <v>127</v>
      </c>
      <c r="C3083" s="4" t="str">
        <f>VLOOKUP(Tabela1[[#This Row],[Cliente]],'BASE DE CLIENTES'!A:E,2,0)</f>
        <v>Brasília</v>
      </c>
      <c r="D3083" s="1" t="str">
        <f>VLOOKUP(Tabela1[[#This Row],[Cliente]],'BASE DE CLIENTES'!A:C,3,0)</f>
        <v>DF</v>
      </c>
      <c r="E3083" s="4" t="str">
        <f>CONCATENATE(Tabela1[[#This Row],[CIDADE]],",",Tabela1[[#This Row],[UF]])</f>
        <v>Brasília,DF</v>
      </c>
      <c r="F3083" s="2">
        <v>45989</v>
      </c>
      <c r="G3083" s="17">
        <v>984</v>
      </c>
      <c r="H3083" s="17">
        <v>389.9</v>
      </c>
      <c r="I3083" s="6">
        <f>Tabela1[[#This Row],[Valor total]]-Tabela1[[#This Row],[Valor custo]]</f>
        <v>-594.1</v>
      </c>
      <c r="J3083" s="7">
        <f>Tabela1[[#This Row],[MARGEM BRUTA]]/Tabela1[[#This Row],[Valor total]]</f>
        <v>-1.5237240318030265</v>
      </c>
      <c r="K3083" s="1" t="str">
        <f>VLOOKUP(Tabela1[[#This Row],[Cliente]],'BASE DE CLIENTES'!A:D,4,0)</f>
        <v>EMPRESA COM MAQUINA</v>
      </c>
      <c r="L3083" s="1" t="str">
        <f>VLOOKUP(Tabela1[[#This Row],[Cliente]],'BASE DE CLIENTES'!A:E,5,0)</f>
        <v>CEILANDIA SUL (CEILANDIA)</v>
      </c>
    </row>
    <row r="3084" spans="2:12" x14ac:dyDescent="0.3">
      <c r="B3084" s="1" t="s">
        <v>25</v>
      </c>
      <c r="C3084" s="4" t="str">
        <f>VLOOKUP(Tabela1[[#This Row],[Cliente]],'BASE DE CLIENTES'!A:E,2,0)</f>
        <v>Brasília</v>
      </c>
      <c r="D3084" s="1" t="str">
        <f>VLOOKUP(Tabela1[[#This Row],[Cliente]],'BASE DE CLIENTES'!A:C,3,0)</f>
        <v>DF</v>
      </c>
      <c r="E3084" s="4" t="str">
        <f>CONCATENATE(Tabela1[[#This Row],[CIDADE]],",",Tabela1[[#This Row],[UF]])</f>
        <v>Brasília,DF</v>
      </c>
      <c r="F3084" s="2">
        <v>45989</v>
      </c>
      <c r="G3084" s="17">
        <v>776.1</v>
      </c>
      <c r="H3084" s="17">
        <v>1139</v>
      </c>
      <c r="I3084" s="6">
        <f>Tabela1[[#This Row],[Valor total]]-Tabela1[[#This Row],[Valor custo]]</f>
        <v>362.9</v>
      </c>
      <c r="J3084" s="7">
        <f>Tabela1[[#This Row],[MARGEM BRUTA]]/Tabela1[[#This Row],[Valor total]]</f>
        <v>0.31861281826163301</v>
      </c>
      <c r="K3084" s="1" t="str">
        <f>VLOOKUP(Tabela1[[#This Row],[Cliente]],'BASE DE CLIENTES'!A:D,4,0)</f>
        <v>EMPRESA COM MAQUINA</v>
      </c>
      <c r="L3084" s="1" t="str">
        <f>VLOOKUP(Tabela1[[#This Row],[Cliente]],'BASE DE CLIENTES'!A:E,5,0)</f>
        <v>CEILANDIA NORTE (CEILANDIA)</v>
      </c>
    </row>
    <row r="3085" spans="2:12" x14ac:dyDescent="0.3">
      <c r="B3085" s="1" t="s">
        <v>342</v>
      </c>
      <c r="C3085" s="4" t="str">
        <f>VLOOKUP(Tabela1[[#This Row],[Cliente]],'BASE DE CLIENTES'!A:E,2,0)</f>
        <v>Santo Antônio Descoberto</v>
      </c>
      <c r="D3085" s="1" t="str">
        <f>VLOOKUP(Tabela1[[#This Row],[Cliente]],'BASE DE CLIENTES'!A:C,3,0)</f>
        <v>GO</v>
      </c>
      <c r="E3085" s="4" t="str">
        <f>CONCATENATE(Tabela1[[#This Row],[CIDADE]],",",Tabela1[[#This Row],[UF]])</f>
        <v>Santo Antônio Descoberto,GO</v>
      </c>
      <c r="F3085" s="2">
        <v>45989</v>
      </c>
      <c r="G3085" s="17">
        <v>1607.29</v>
      </c>
      <c r="H3085" s="17">
        <v>2592</v>
      </c>
      <c r="I3085" s="6">
        <f>Tabela1[[#This Row],[Valor total]]-Tabela1[[#This Row],[Valor custo]]</f>
        <v>984.71</v>
      </c>
      <c r="J3085" s="7">
        <f>Tabela1[[#This Row],[MARGEM BRUTA]]/Tabela1[[#This Row],[Valor total]]</f>
        <v>0.37990354938271609</v>
      </c>
      <c r="K3085" s="1" t="str">
        <f>VLOOKUP(Tabela1[[#This Row],[Cliente]],'BASE DE CLIENTES'!A:D,4,0)</f>
        <v>CLIENTE NOVO S/ IDENT.</v>
      </c>
      <c r="L3085" s="1" t="str">
        <f>VLOOKUP(Tabela1[[#This Row],[Cliente]],'BASE DE CLIENTES'!A:E,5,0)</f>
        <v>Santo Antônio Descoberto</v>
      </c>
    </row>
    <row r="3086" spans="2:12" x14ac:dyDescent="0.3">
      <c r="B3086" s="1" t="s">
        <v>27</v>
      </c>
      <c r="C3086" s="4" t="str">
        <f>VLOOKUP(Tabela1[[#This Row],[Cliente]],'BASE DE CLIENTES'!A:E,2,0)</f>
        <v>Brasília</v>
      </c>
      <c r="D3086" s="1" t="str">
        <f>VLOOKUP(Tabela1[[#This Row],[Cliente]],'BASE DE CLIENTES'!A:C,3,0)</f>
        <v>DF</v>
      </c>
      <c r="E3086" s="4" t="str">
        <f>CONCATENATE(Tabela1[[#This Row],[CIDADE]],",",Tabela1[[#This Row],[UF]])</f>
        <v>Brasília,DF</v>
      </c>
      <c r="F3086" s="2">
        <v>45989</v>
      </c>
      <c r="G3086" s="17">
        <v>693</v>
      </c>
      <c r="H3086" s="17">
        <v>1300</v>
      </c>
      <c r="I3086" s="6">
        <f>Tabela1[[#This Row],[Valor total]]-Tabela1[[#This Row],[Valor custo]]</f>
        <v>607</v>
      </c>
      <c r="J3086" s="7">
        <f>Tabela1[[#This Row],[MARGEM BRUTA]]/Tabela1[[#This Row],[Valor total]]</f>
        <v>0.46692307692307694</v>
      </c>
      <c r="K3086" s="1" t="str">
        <f>VLOOKUP(Tabela1[[#This Row],[Cliente]],'BASE DE CLIENTES'!A:D,4,0)</f>
        <v>EMPRESA SEM MAQUINA</v>
      </c>
      <c r="L3086" s="1" t="str">
        <f>VLOOKUP(Tabela1[[#This Row],[Cliente]],'BASE DE CLIENTES'!A:E,5,0)</f>
        <v>RECANTO DAS EMAS</v>
      </c>
    </row>
    <row r="3087" spans="2:12" x14ac:dyDescent="0.3">
      <c r="B3087" s="1" t="s">
        <v>316</v>
      </c>
      <c r="C3087" s="4" t="str">
        <f>VLOOKUP(Tabela1[[#This Row],[Cliente]],'BASE DE CLIENTES'!A:E,2,0)</f>
        <v>Valparaíso de Goiás</v>
      </c>
      <c r="D3087" s="1" t="str">
        <f>VLOOKUP(Tabela1[[#This Row],[Cliente]],'BASE DE CLIENTES'!A:C,3,0)</f>
        <v>GO</v>
      </c>
      <c r="E3087" s="4" t="str">
        <f>CONCATENATE(Tabela1[[#This Row],[CIDADE]],",",Tabela1[[#This Row],[UF]])</f>
        <v>Valparaíso de Goiás,GO</v>
      </c>
      <c r="F3087" s="2">
        <v>45989</v>
      </c>
      <c r="G3087" s="17">
        <v>1646.79</v>
      </c>
      <c r="H3087" s="17">
        <v>2589</v>
      </c>
      <c r="I3087" s="6">
        <f>Tabela1[[#This Row],[Valor total]]-Tabela1[[#This Row],[Valor custo]]</f>
        <v>942.21</v>
      </c>
      <c r="J3087" s="7">
        <f>Tabela1[[#This Row],[MARGEM BRUTA]]/Tabela1[[#This Row],[Valor total]]</f>
        <v>0.36392815758980301</v>
      </c>
      <c r="K3087" s="1" t="str">
        <f>VLOOKUP(Tabela1[[#This Row],[Cliente]],'BASE DE CLIENTES'!A:D,4,0)</f>
        <v>SERRALHEIRO</v>
      </c>
      <c r="L3087" s="1" t="str">
        <f>VLOOKUP(Tabela1[[#This Row],[Cliente]],'BASE DE CLIENTES'!A:E,5,0)</f>
        <v>Valparaíso de Goiás</v>
      </c>
    </row>
    <row r="3088" spans="2:12" x14ac:dyDescent="0.3">
      <c r="B3088" s="1" t="s">
        <v>85</v>
      </c>
      <c r="C3088" s="4" t="str">
        <f>VLOOKUP(Tabela1[[#This Row],[Cliente]],'BASE DE CLIENTES'!A:E,2,0)</f>
        <v>Brasília</v>
      </c>
      <c r="D3088" s="1" t="str">
        <f>VLOOKUP(Tabela1[[#This Row],[Cliente]],'BASE DE CLIENTES'!A:C,3,0)</f>
        <v>DF</v>
      </c>
      <c r="E3088" s="4" t="str">
        <f>CONCATENATE(Tabela1[[#This Row],[CIDADE]],",",Tabela1[[#This Row],[UF]])</f>
        <v>Brasília,DF</v>
      </c>
      <c r="F3088" s="2">
        <v>45989</v>
      </c>
      <c r="G3088" s="17">
        <v>136.06</v>
      </c>
      <c r="H3088" s="17">
        <v>208</v>
      </c>
      <c r="I3088" s="6">
        <f>Tabela1[[#This Row],[Valor total]]-Tabela1[[#This Row],[Valor custo]]</f>
        <v>71.94</v>
      </c>
      <c r="J3088" s="7">
        <f>Tabela1[[#This Row],[MARGEM BRUTA]]/Tabela1[[#This Row],[Valor total]]</f>
        <v>0.34586538461538463</v>
      </c>
      <c r="K3088" s="1" t="str">
        <f>VLOOKUP(Tabela1[[#This Row],[Cliente]],'BASE DE CLIENTES'!A:D,4,0)</f>
        <v>SERRALHEIRO</v>
      </c>
      <c r="L3088" s="1" t="str">
        <f>VLOOKUP(Tabela1[[#This Row],[Cliente]],'BASE DE CLIENTES'!A:E,5,0)</f>
        <v>SAMAMBAIA NORTE (SAMAMBAIA)</v>
      </c>
    </row>
    <row r="3089" spans="2:12" x14ac:dyDescent="0.3">
      <c r="B3089" s="1" t="s">
        <v>152</v>
      </c>
      <c r="C3089" s="4" t="str">
        <f>VLOOKUP(Tabela1[[#This Row],[Cliente]],'BASE DE CLIENTES'!A:E,2,0)</f>
        <v>Aparecida de Goiânia</v>
      </c>
      <c r="D3089" s="1" t="str">
        <f>VLOOKUP(Tabela1[[#This Row],[Cliente]],'BASE DE CLIENTES'!A:C,3,0)</f>
        <v>GO</v>
      </c>
      <c r="E3089" s="4" t="str">
        <f>CONCATENATE(Tabela1[[#This Row],[CIDADE]],",",Tabela1[[#This Row],[UF]])</f>
        <v>Aparecida de Goiânia,GO</v>
      </c>
      <c r="F3089" s="2">
        <v>45989</v>
      </c>
      <c r="G3089" s="17">
        <v>693</v>
      </c>
      <c r="H3089" s="17">
        <v>1150</v>
      </c>
      <c r="I3089" s="6">
        <f>Tabela1[[#This Row],[Valor total]]-Tabela1[[#This Row],[Valor custo]]</f>
        <v>457</v>
      </c>
      <c r="J3089" s="7">
        <f>Tabela1[[#This Row],[MARGEM BRUTA]]/Tabela1[[#This Row],[Valor total]]</f>
        <v>0.3973913043478261</v>
      </c>
      <c r="K3089" s="1" t="str">
        <f>VLOOKUP(Tabela1[[#This Row],[Cliente]],'BASE DE CLIENTES'!A:D,4,0)</f>
        <v>TECNICO</v>
      </c>
      <c r="L3089" s="1" t="str">
        <f>VLOOKUP(Tabela1[[#This Row],[Cliente]],'BASE DE CLIENTES'!A:E,5,0)</f>
        <v>Aparecida de Goiânia</v>
      </c>
    </row>
    <row r="3090" spans="2:12" x14ac:dyDescent="0.3">
      <c r="B3090" s="1" t="s">
        <v>99</v>
      </c>
      <c r="C3090" s="4" t="str">
        <f>VLOOKUP(Tabela1[[#This Row],[Cliente]],'BASE DE CLIENTES'!A:E,2,0)</f>
        <v>Brasília</v>
      </c>
      <c r="D3090" s="1" t="str">
        <f>VLOOKUP(Tabela1[[#This Row],[Cliente]],'BASE DE CLIENTES'!A:C,3,0)</f>
        <v>DF</v>
      </c>
      <c r="E3090" s="4" t="str">
        <f>CONCATENATE(Tabela1[[#This Row],[CIDADE]],",",Tabela1[[#This Row],[UF]])</f>
        <v>Brasília,DF</v>
      </c>
      <c r="F3090" s="2">
        <v>45989</v>
      </c>
      <c r="G3090" s="17">
        <v>4090.46</v>
      </c>
      <c r="H3090" s="17">
        <v>5850</v>
      </c>
      <c r="I3090" s="6">
        <f>Tabela1[[#This Row],[Valor total]]-Tabela1[[#This Row],[Valor custo]]</f>
        <v>1759.54</v>
      </c>
      <c r="J3090" s="7">
        <f>Tabela1[[#This Row],[MARGEM BRUTA]]/Tabela1[[#This Row],[Valor total]]</f>
        <v>0.30077606837606835</v>
      </c>
      <c r="K3090" s="1" t="str">
        <f>VLOOKUP(Tabela1[[#This Row],[Cliente]],'BASE DE CLIENTES'!A:D,4,0)</f>
        <v>EMPRESA COM MAQUINA</v>
      </c>
      <c r="L3090" s="1" t="str">
        <f>VLOOKUP(Tabela1[[#This Row],[Cliente]],'BASE DE CLIENTES'!A:E,5,0)</f>
        <v>ARAPOANGA (PLANALTINA)</v>
      </c>
    </row>
    <row r="3091" spans="2:12" x14ac:dyDescent="0.3">
      <c r="B3091" s="1" t="s">
        <v>161</v>
      </c>
      <c r="C3091" s="4" t="str">
        <f>VLOOKUP(Tabela1[[#This Row],[Cliente]],'BASE DE CLIENTES'!A:E,2,0)</f>
        <v>Brasília</v>
      </c>
      <c r="D3091" s="1" t="str">
        <f>VLOOKUP(Tabela1[[#This Row],[Cliente]],'BASE DE CLIENTES'!A:C,3,0)</f>
        <v>DF</v>
      </c>
      <c r="E3091" s="4" t="str">
        <f>CONCATENATE(Tabela1[[#This Row],[CIDADE]],",",Tabela1[[#This Row],[UF]])</f>
        <v>Brasília,DF</v>
      </c>
      <c r="F3091" s="2">
        <v>45989</v>
      </c>
      <c r="G3091" s="17">
        <v>14604</v>
      </c>
      <c r="H3091" s="17">
        <v>20298.5</v>
      </c>
      <c r="I3091" s="6">
        <f>Tabela1[[#This Row],[Valor total]]-Tabela1[[#This Row],[Valor custo]]</f>
        <v>5694.5</v>
      </c>
      <c r="J3091" s="7">
        <f>Tabela1[[#This Row],[MARGEM BRUTA]]/Tabela1[[#This Row],[Valor total]]</f>
        <v>0.28053797078601866</v>
      </c>
      <c r="K3091" s="1" t="str">
        <f>VLOOKUP(Tabela1[[#This Row],[Cliente]],'BASE DE CLIENTES'!A:D,4,0)</f>
        <v>EMPRESA COM MAQUINA</v>
      </c>
      <c r="L3091" s="1" t="str">
        <f>VLOOKUP(Tabela1[[#This Row],[Cliente]],'BASE DE CLIENTES'!A:E,5,0)</f>
        <v>RIACHO FUNDO II</v>
      </c>
    </row>
    <row r="3092" spans="2:12" x14ac:dyDescent="0.3">
      <c r="B3092" s="1" t="s">
        <v>254</v>
      </c>
      <c r="C3092" s="4" t="str">
        <f>VLOOKUP(Tabela1[[#This Row],[Cliente]],'BASE DE CLIENTES'!A:E,2,0)</f>
        <v>Luziânia</v>
      </c>
      <c r="D3092" s="1" t="str">
        <f>VLOOKUP(Tabela1[[#This Row],[Cliente]],'BASE DE CLIENTES'!A:C,3,0)</f>
        <v>GO</v>
      </c>
      <c r="E3092" s="4" t="str">
        <f>CONCATENATE(Tabela1[[#This Row],[CIDADE]],",",Tabela1[[#This Row],[UF]])</f>
        <v>Luziânia,GO</v>
      </c>
      <c r="F3092" s="2">
        <v>45989</v>
      </c>
      <c r="G3092" s="17">
        <v>649</v>
      </c>
      <c r="H3092" s="17">
        <v>370</v>
      </c>
      <c r="I3092" s="6">
        <f>Tabela1[[#This Row],[Valor total]]-Tabela1[[#This Row],[Valor custo]]</f>
        <v>-279</v>
      </c>
      <c r="J3092" s="7">
        <f>Tabela1[[#This Row],[MARGEM BRUTA]]/Tabela1[[#This Row],[Valor total]]</f>
        <v>-0.75405405405405401</v>
      </c>
      <c r="K3092" s="1" t="str">
        <f>VLOOKUP(Tabela1[[#This Row],[Cliente]],'BASE DE CLIENTES'!A:D,4,0)</f>
        <v>SERRALHEIRO</v>
      </c>
      <c r="L3092" s="1" t="str">
        <f>VLOOKUP(Tabela1[[#This Row],[Cliente]],'BASE DE CLIENTES'!A:E,5,0)</f>
        <v>Luziânia</v>
      </c>
    </row>
    <row r="3093" spans="2:12" x14ac:dyDescent="0.3">
      <c r="B3093" s="1" t="s">
        <v>106</v>
      </c>
      <c r="C3093" s="4" t="str">
        <f>VLOOKUP(Tabela1[[#This Row],[Cliente]],'BASE DE CLIENTES'!A:E,2,0)</f>
        <v>Brasília</v>
      </c>
      <c r="D3093" s="1" t="str">
        <f>VLOOKUP(Tabela1[[#This Row],[Cliente]],'BASE DE CLIENTES'!A:C,3,0)</f>
        <v>DF</v>
      </c>
      <c r="E3093" s="4" t="str">
        <f>CONCATENATE(Tabela1[[#This Row],[CIDADE]],",",Tabela1[[#This Row],[UF]])</f>
        <v>Brasília,DF</v>
      </c>
      <c r="F3093" s="2">
        <v>45989</v>
      </c>
      <c r="G3093" s="17">
        <v>1298.3699999999999</v>
      </c>
      <c r="H3093" s="17">
        <v>1800</v>
      </c>
      <c r="I3093" s="6">
        <f>Tabela1[[#This Row],[Valor total]]-Tabela1[[#This Row],[Valor custo]]</f>
        <v>501.63000000000011</v>
      </c>
      <c r="J3093" s="7">
        <f>Tabela1[[#This Row],[MARGEM BRUTA]]/Tabela1[[#This Row],[Valor total]]</f>
        <v>0.27868333333333339</v>
      </c>
      <c r="K3093" s="1" t="str">
        <f>VLOOKUP(Tabela1[[#This Row],[Cliente]],'BASE DE CLIENTES'!A:D,4,0)</f>
        <v>EMPRESA COM MAQUINA</v>
      </c>
      <c r="L3093" s="1" t="str">
        <f>VLOOKUP(Tabela1[[#This Row],[Cliente]],'BASE DE CLIENTES'!A:E,5,0)</f>
        <v>26 DE SETEMBRO</v>
      </c>
    </row>
    <row r="3094" spans="2:12" x14ac:dyDescent="0.3">
      <c r="B3094" s="1" t="s">
        <v>343</v>
      </c>
      <c r="C3094" s="4" t="str">
        <f>VLOOKUP(Tabela1[[#This Row],[Cliente]],'BASE DE CLIENTES'!A:E,2,0)</f>
        <v>Brasília</v>
      </c>
      <c r="D3094" s="1" t="str">
        <f>VLOOKUP(Tabela1[[#This Row],[Cliente]],'BASE DE CLIENTES'!A:C,3,0)</f>
        <v>DF</v>
      </c>
      <c r="E3094" s="4" t="str">
        <f>CONCATENATE(Tabela1[[#This Row],[CIDADE]],",",Tabela1[[#This Row],[UF]])</f>
        <v>Brasília,DF</v>
      </c>
      <c r="F3094" s="2">
        <v>45988</v>
      </c>
      <c r="G3094" s="17">
        <v>106.05</v>
      </c>
      <c r="H3094" s="17">
        <v>240</v>
      </c>
      <c r="I3094" s="6">
        <f>Tabela1[[#This Row],[Valor total]]-Tabela1[[#This Row],[Valor custo]]</f>
        <v>133.94999999999999</v>
      </c>
      <c r="J3094" s="7">
        <f>Tabela1[[#This Row],[MARGEM BRUTA]]/Tabela1[[#This Row],[Valor total]]</f>
        <v>0.55812499999999998</v>
      </c>
      <c r="K3094" s="1" t="str">
        <f>VLOOKUP(Tabela1[[#This Row],[Cliente]],'BASE DE CLIENTES'!A:D,4,0)</f>
        <v>CLIENTE NOVO S/ IDENT.</v>
      </c>
      <c r="L3094" s="1" t="str">
        <f>VLOOKUP(Tabela1[[#This Row],[Cliente]],'BASE DE CLIENTES'!A:E,5,0)</f>
        <v>Brasília</v>
      </c>
    </row>
    <row r="3095" spans="2:12" x14ac:dyDescent="0.3">
      <c r="B3095" s="1" t="s">
        <v>88</v>
      </c>
      <c r="C3095" s="4" t="str">
        <f>VLOOKUP(Tabela1[[#This Row],[Cliente]],'BASE DE CLIENTES'!A:E,2,0)</f>
        <v>Brasília</v>
      </c>
      <c r="D3095" s="1" t="str">
        <f>VLOOKUP(Tabela1[[#This Row],[Cliente]],'BASE DE CLIENTES'!A:C,3,0)</f>
        <v>DF</v>
      </c>
      <c r="E3095" s="4" t="str">
        <f>CONCATENATE(Tabela1[[#This Row],[CIDADE]],",",Tabela1[[#This Row],[UF]])</f>
        <v>Brasília,DF</v>
      </c>
      <c r="F3095" s="2">
        <v>45988</v>
      </c>
      <c r="G3095" s="17">
        <v>1388</v>
      </c>
      <c r="H3095" s="17">
        <v>670</v>
      </c>
      <c r="I3095" s="6">
        <f>Tabela1[[#This Row],[Valor total]]-Tabela1[[#This Row],[Valor custo]]</f>
        <v>-718</v>
      </c>
      <c r="J3095" s="7">
        <f>Tabela1[[#This Row],[MARGEM BRUTA]]/Tabela1[[#This Row],[Valor total]]</f>
        <v>-1.0716417910447762</v>
      </c>
      <c r="K3095" s="1" t="str">
        <f>VLOOKUP(Tabela1[[#This Row],[Cliente]],'BASE DE CLIENTES'!A:D,4,0)</f>
        <v>SERRALHEIRO</v>
      </c>
      <c r="L3095" s="1" t="str">
        <f>VLOOKUP(Tabela1[[#This Row],[Cliente]],'BASE DE CLIENTES'!A:E,5,0)</f>
        <v>RECANTO DAS EMAS</v>
      </c>
    </row>
    <row r="3096" spans="2:12" x14ac:dyDescent="0.3">
      <c r="B3096" s="1" t="s">
        <v>216</v>
      </c>
      <c r="C3096" s="4" t="str">
        <f>VLOOKUP(Tabela1[[#This Row],[Cliente]],'BASE DE CLIENTES'!A:E,2,0)</f>
        <v>Brasília</v>
      </c>
      <c r="D3096" s="1" t="str">
        <f>VLOOKUP(Tabela1[[#This Row],[Cliente]],'BASE DE CLIENTES'!A:C,3,0)</f>
        <v>DF</v>
      </c>
      <c r="E3096" s="4" t="str">
        <f>CONCATENATE(Tabela1[[#This Row],[CIDADE]],",",Tabela1[[#This Row],[UF]])</f>
        <v>Brasília,DF</v>
      </c>
      <c r="F3096" s="2">
        <v>45988</v>
      </c>
      <c r="G3096" s="17">
        <v>375</v>
      </c>
      <c r="H3096" s="17">
        <v>450</v>
      </c>
      <c r="I3096" s="6">
        <f>Tabela1[[#This Row],[Valor total]]-Tabela1[[#This Row],[Valor custo]]</f>
        <v>75</v>
      </c>
      <c r="J3096" s="7">
        <f>Tabela1[[#This Row],[MARGEM BRUTA]]/Tabela1[[#This Row],[Valor total]]</f>
        <v>0.16666666666666666</v>
      </c>
      <c r="K3096" s="1" t="str">
        <f>VLOOKUP(Tabela1[[#This Row],[Cliente]],'BASE DE CLIENTES'!A:D,4,0)</f>
        <v>EMPRESA COM MAQUINA</v>
      </c>
      <c r="L3096" s="1" t="str">
        <f>VLOOKUP(Tabela1[[#This Row],[Cliente]],'BASE DE CLIENTES'!A:E,5,0)</f>
        <v>RIACHO FUNDO II</v>
      </c>
    </row>
    <row r="3097" spans="2:12" x14ac:dyDescent="0.3">
      <c r="B3097" s="1" t="s">
        <v>290</v>
      </c>
      <c r="C3097" s="4" t="str">
        <f>VLOOKUP(Tabela1[[#This Row],[Cliente]],'BASE DE CLIENTES'!A:E,2,0)</f>
        <v>Rio Verde</v>
      </c>
      <c r="D3097" s="1" t="str">
        <f>VLOOKUP(Tabela1[[#This Row],[Cliente]],'BASE DE CLIENTES'!A:C,3,0)</f>
        <v>GO</v>
      </c>
      <c r="E3097" s="4" t="str">
        <f>CONCATENATE(Tabela1[[#This Row],[CIDADE]],",",Tabela1[[#This Row],[UF]])</f>
        <v>Rio Verde,GO</v>
      </c>
      <c r="F3097" s="2">
        <v>45988</v>
      </c>
      <c r="G3097" s="17">
        <v>664</v>
      </c>
      <c r="H3097" s="17">
        <v>1000</v>
      </c>
      <c r="I3097" s="6">
        <f>Tabela1[[#This Row],[Valor total]]-Tabela1[[#This Row],[Valor custo]]</f>
        <v>336</v>
      </c>
      <c r="J3097" s="7">
        <f>Tabela1[[#This Row],[MARGEM BRUTA]]/Tabela1[[#This Row],[Valor total]]</f>
        <v>0.33600000000000002</v>
      </c>
      <c r="K3097" s="1" t="str">
        <f>VLOOKUP(Tabela1[[#This Row],[Cliente]],'BASE DE CLIENTES'!A:D,4,0)</f>
        <v>EMPRESA COM MAQUINA</v>
      </c>
      <c r="L3097" s="1" t="str">
        <f>VLOOKUP(Tabela1[[#This Row],[Cliente]],'BASE DE CLIENTES'!A:E,5,0)</f>
        <v>Rio Verde</v>
      </c>
    </row>
    <row r="3098" spans="2:12" x14ac:dyDescent="0.3">
      <c r="B3098" s="1" t="s">
        <v>174</v>
      </c>
      <c r="C3098" s="4" t="str">
        <f>VLOOKUP(Tabela1[[#This Row],[Cliente]],'BASE DE CLIENTES'!A:E,2,0)</f>
        <v>Araguari</v>
      </c>
      <c r="D3098" s="1" t="str">
        <f>VLOOKUP(Tabela1[[#This Row],[Cliente]],'BASE DE CLIENTES'!A:C,3,0)</f>
        <v>MG</v>
      </c>
      <c r="E3098" s="4" t="str">
        <f>CONCATENATE(Tabela1[[#This Row],[CIDADE]],",",Tabela1[[#This Row],[UF]])</f>
        <v>Araguari,MG</v>
      </c>
      <c r="F3098" s="2">
        <v>45988</v>
      </c>
      <c r="G3098" s="17">
        <v>3120.16</v>
      </c>
      <c r="H3098" s="17">
        <v>5128</v>
      </c>
      <c r="I3098" s="6">
        <f>Tabela1[[#This Row],[Valor total]]-Tabela1[[#This Row],[Valor custo]]</f>
        <v>2007.8400000000001</v>
      </c>
      <c r="J3098" s="7">
        <f>Tabela1[[#This Row],[MARGEM BRUTA]]/Tabela1[[#This Row],[Valor total]]</f>
        <v>0.39154446177847119</v>
      </c>
      <c r="K3098" s="1" t="str">
        <f>VLOOKUP(Tabela1[[#This Row],[Cliente]],'BASE DE CLIENTES'!A:D,4,0)</f>
        <v>EMPRESA COM MAQUINA</v>
      </c>
      <c r="L3098" s="1" t="str">
        <f>VLOOKUP(Tabela1[[#This Row],[Cliente]],'BASE DE CLIENTES'!A:E,5,0)</f>
        <v>Araguari</v>
      </c>
    </row>
    <row r="3099" spans="2:12" x14ac:dyDescent="0.3">
      <c r="B3099" s="1" t="s">
        <v>216</v>
      </c>
      <c r="C3099" s="4" t="str">
        <f>VLOOKUP(Tabela1[[#This Row],[Cliente]],'BASE DE CLIENTES'!A:E,2,0)</f>
        <v>Brasília</v>
      </c>
      <c r="D3099" s="1" t="str">
        <f>VLOOKUP(Tabela1[[#This Row],[Cliente]],'BASE DE CLIENTES'!A:C,3,0)</f>
        <v>DF</v>
      </c>
      <c r="E3099" s="4" t="str">
        <f>CONCATENATE(Tabela1[[#This Row],[CIDADE]],",",Tabela1[[#This Row],[UF]])</f>
        <v>Brasília,DF</v>
      </c>
      <c r="F3099" s="2">
        <v>45988</v>
      </c>
      <c r="G3099" s="17">
        <v>4976.8999999999996</v>
      </c>
      <c r="H3099" s="17">
        <v>7500</v>
      </c>
      <c r="I3099" s="6">
        <f>Tabela1[[#This Row],[Valor total]]-Tabela1[[#This Row],[Valor custo]]</f>
        <v>2523.1000000000004</v>
      </c>
      <c r="J3099" s="7">
        <f>Tabela1[[#This Row],[MARGEM BRUTA]]/Tabela1[[#This Row],[Valor total]]</f>
        <v>0.3364133333333334</v>
      </c>
      <c r="K3099" s="1" t="str">
        <f>VLOOKUP(Tabela1[[#This Row],[Cliente]],'BASE DE CLIENTES'!A:D,4,0)</f>
        <v>EMPRESA COM MAQUINA</v>
      </c>
      <c r="L3099" s="1" t="str">
        <f>VLOOKUP(Tabela1[[#This Row],[Cliente]],'BASE DE CLIENTES'!A:E,5,0)</f>
        <v>RIACHO FUNDO II</v>
      </c>
    </row>
    <row r="3100" spans="2:12" x14ac:dyDescent="0.3">
      <c r="B3100" s="1" t="s">
        <v>66</v>
      </c>
      <c r="C3100" s="4" t="str">
        <f>VLOOKUP(Tabela1[[#This Row],[Cliente]],'BASE DE CLIENTES'!A:E,2,0)</f>
        <v>Águas Lindas de Goiás</v>
      </c>
      <c r="D3100" s="1" t="str">
        <f>VLOOKUP(Tabela1[[#This Row],[Cliente]],'BASE DE CLIENTES'!A:C,3,0)</f>
        <v>GO</v>
      </c>
      <c r="E3100" s="4" t="str">
        <f>CONCATENATE(Tabela1[[#This Row],[CIDADE]],",",Tabela1[[#This Row],[UF]])</f>
        <v>Águas Lindas de Goiás,GO</v>
      </c>
      <c r="F3100" s="2">
        <v>45988</v>
      </c>
      <c r="G3100" s="17">
        <v>457.19</v>
      </c>
      <c r="H3100" s="17">
        <v>682</v>
      </c>
      <c r="I3100" s="6">
        <f>Tabela1[[#This Row],[Valor total]]-Tabela1[[#This Row],[Valor custo]]</f>
        <v>224.81</v>
      </c>
      <c r="J3100" s="7">
        <f>Tabela1[[#This Row],[MARGEM BRUTA]]/Tabela1[[#This Row],[Valor total]]</f>
        <v>0.329633431085044</v>
      </c>
      <c r="K3100" s="1" t="str">
        <f>VLOOKUP(Tabela1[[#This Row],[Cliente]],'BASE DE CLIENTES'!A:D,4,0)</f>
        <v>EMPRESA COM MAQUINA</v>
      </c>
      <c r="L3100" s="1" t="str">
        <f>VLOOKUP(Tabela1[[#This Row],[Cliente]],'BASE DE CLIENTES'!A:E,5,0)</f>
        <v>Águas Lindas de Goiás</v>
      </c>
    </row>
    <row r="3101" spans="2:12" x14ac:dyDescent="0.3">
      <c r="B3101" s="1" t="s">
        <v>152</v>
      </c>
      <c r="C3101" s="4" t="str">
        <f>VLOOKUP(Tabela1[[#This Row],[Cliente]],'BASE DE CLIENTES'!A:E,2,0)</f>
        <v>Aparecida de Goiânia</v>
      </c>
      <c r="D3101" s="1" t="str">
        <f>VLOOKUP(Tabela1[[#This Row],[Cliente]],'BASE DE CLIENTES'!A:C,3,0)</f>
        <v>GO</v>
      </c>
      <c r="E3101" s="4" t="str">
        <f>CONCATENATE(Tabela1[[#This Row],[CIDADE]],",",Tabela1[[#This Row],[UF]])</f>
        <v>Aparecida de Goiânia,GO</v>
      </c>
      <c r="F3101" s="2">
        <v>45988</v>
      </c>
      <c r="G3101" s="17">
        <v>463</v>
      </c>
      <c r="H3101" s="17">
        <v>750</v>
      </c>
      <c r="I3101" s="6">
        <f>Tabela1[[#This Row],[Valor total]]-Tabela1[[#This Row],[Valor custo]]</f>
        <v>287</v>
      </c>
      <c r="J3101" s="7">
        <f>Tabela1[[#This Row],[MARGEM BRUTA]]/Tabela1[[#This Row],[Valor total]]</f>
        <v>0.38266666666666665</v>
      </c>
      <c r="K3101" s="1" t="str">
        <f>VLOOKUP(Tabela1[[#This Row],[Cliente]],'BASE DE CLIENTES'!A:D,4,0)</f>
        <v>TECNICO</v>
      </c>
      <c r="L3101" s="1" t="str">
        <f>VLOOKUP(Tabela1[[#This Row],[Cliente]],'BASE DE CLIENTES'!A:E,5,0)</f>
        <v>Aparecida de Goiânia</v>
      </c>
    </row>
    <row r="3102" spans="2:12" x14ac:dyDescent="0.3">
      <c r="B3102" s="1" t="s">
        <v>152</v>
      </c>
      <c r="C3102" s="4" t="str">
        <f>VLOOKUP(Tabela1[[#This Row],[Cliente]],'BASE DE CLIENTES'!A:E,2,0)</f>
        <v>Aparecida de Goiânia</v>
      </c>
      <c r="D3102" s="1" t="str">
        <f>VLOOKUP(Tabela1[[#This Row],[Cliente]],'BASE DE CLIENTES'!A:C,3,0)</f>
        <v>GO</v>
      </c>
      <c r="E3102" s="4" t="str">
        <f>CONCATENATE(Tabela1[[#This Row],[CIDADE]],",",Tabela1[[#This Row],[UF]])</f>
        <v>Aparecida de Goiânia,GO</v>
      </c>
      <c r="F3102" s="2">
        <v>45988</v>
      </c>
      <c r="G3102" s="17">
        <v>1007</v>
      </c>
      <c r="H3102" s="17">
        <v>1475</v>
      </c>
      <c r="I3102" s="6">
        <f>Tabela1[[#This Row],[Valor total]]-Tabela1[[#This Row],[Valor custo]]</f>
        <v>468</v>
      </c>
      <c r="J3102" s="7">
        <f>Tabela1[[#This Row],[MARGEM BRUTA]]/Tabela1[[#This Row],[Valor total]]</f>
        <v>0.31728813559322033</v>
      </c>
      <c r="K3102" s="1" t="str">
        <f>VLOOKUP(Tabela1[[#This Row],[Cliente]],'BASE DE CLIENTES'!A:D,4,0)</f>
        <v>TECNICO</v>
      </c>
      <c r="L3102" s="1" t="str">
        <f>VLOOKUP(Tabela1[[#This Row],[Cliente]],'BASE DE CLIENTES'!A:E,5,0)</f>
        <v>Aparecida de Goiânia</v>
      </c>
    </row>
    <row r="3103" spans="2:12" x14ac:dyDescent="0.3">
      <c r="B3103" s="1" t="s">
        <v>254</v>
      </c>
      <c r="C3103" s="4" t="str">
        <f>VLOOKUP(Tabela1[[#This Row],[Cliente]],'BASE DE CLIENTES'!A:E,2,0)</f>
        <v>Luziânia</v>
      </c>
      <c r="D3103" s="1" t="str">
        <f>VLOOKUP(Tabela1[[#This Row],[Cliente]],'BASE DE CLIENTES'!A:C,3,0)</f>
        <v>GO</v>
      </c>
      <c r="E3103" s="4" t="str">
        <f>CONCATENATE(Tabela1[[#This Row],[CIDADE]],",",Tabela1[[#This Row],[UF]])</f>
        <v>Luziânia,GO</v>
      </c>
      <c r="F3103" s="2">
        <v>45988</v>
      </c>
      <c r="G3103" s="17">
        <v>391.1</v>
      </c>
      <c r="H3103" s="17">
        <v>638</v>
      </c>
      <c r="I3103" s="6">
        <f>Tabela1[[#This Row],[Valor total]]-Tabela1[[#This Row],[Valor custo]]</f>
        <v>246.89999999999998</v>
      </c>
      <c r="J3103" s="7">
        <f>Tabela1[[#This Row],[MARGEM BRUTA]]/Tabela1[[#This Row],[Valor total]]</f>
        <v>0.38699059561128524</v>
      </c>
      <c r="K3103" s="1" t="str">
        <f>VLOOKUP(Tabela1[[#This Row],[Cliente]],'BASE DE CLIENTES'!A:D,4,0)</f>
        <v>SERRALHEIRO</v>
      </c>
      <c r="L3103" s="1" t="str">
        <f>VLOOKUP(Tabela1[[#This Row],[Cliente]],'BASE DE CLIENTES'!A:E,5,0)</f>
        <v>Luziânia</v>
      </c>
    </row>
    <row r="3104" spans="2:12" x14ac:dyDescent="0.3">
      <c r="B3104" s="1" t="s">
        <v>70</v>
      </c>
      <c r="C3104" s="4" t="str">
        <f>VLOOKUP(Tabela1[[#This Row],[Cliente]],'BASE DE CLIENTES'!A:E,2,0)</f>
        <v>Brasília</v>
      </c>
      <c r="D3104" s="1" t="str">
        <f>VLOOKUP(Tabela1[[#This Row],[Cliente]],'BASE DE CLIENTES'!A:C,3,0)</f>
        <v>DF</v>
      </c>
      <c r="E3104" s="4" t="str">
        <f>CONCATENATE(Tabela1[[#This Row],[CIDADE]],",",Tabela1[[#This Row],[UF]])</f>
        <v>Brasília,DF</v>
      </c>
      <c r="F3104" s="2">
        <v>45988</v>
      </c>
      <c r="G3104" s="17">
        <v>649</v>
      </c>
      <c r="H3104" s="17">
        <v>927</v>
      </c>
      <c r="I3104" s="6">
        <f>Tabela1[[#This Row],[Valor total]]-Tabela1[[#This Row],[Valor custo]]</f>
        <v>278</v>
      </c>
      <c r="J3104" s="7">
        <f>Tabela1[[#This Row],[MARGEM BRUTA]]/Tabela1[[#This Row],[Valor total]]</f>
        <v>0.29989212513484359</v>
      </c>
      <c r="K3104" s="1" t="str">
        <f>VLOOKUP(Tabela1[[#This Row],[Cliente]],'BASE DE CLIENTES'!A:D,4,0)</f>
        <v>EMPRESA COM MAQUINA</v>
      </c>
      <c r="L3104" s="1" t="str">
        <f>VLOOKUP(Tabela1[[#This Row],[Cliente]],'BASE DE CLIENTES'!A:E,5,0)</f>
        <v>TAGUATINGA NORTE (TAGUATINGA)</v>
      </c>
    </row>
    <row r="3105" spans="2:12" x14ac:dyDescent="0.3">
      <c r="B3105" s="1" t="s">
        <v>108</v>
      </c>
      <c r="C3105" s="4" t="str">
        <f>VLOOKUP(Tabela1[[#This Row],[Cliente]],'BASE DE CLIENTES'!A:E,2,0)</f>
        <v>Brasília</v>
      </c>
      <c r="D3105" s="1" t="str">
        <f>VLOOKUP(Tabela1[[#This Row],[Cliente]],'BASE DE CLIENTES'!A:C,3,0)</f>
        <v>DF</v>
      </c>
      <c r="E3105" s="4" t="str">
        <f>CONCATENATE(Tabela1[[#This Row],[CIDADE]],",",Tabela1[[#This Row],[UF]])</f>
        <v>Brasília,DF</v>
      </c>
      <c r="F3105" s="2">
        <v>45988</v>
      </c>
      <c r="G3105" s="17">
        <v>159.19</v>
      </c>
      <c r="H3105" s="17">
        <v>300</v>
      </c>
      <c r="I3105" s="6">
        <f>Tabela1[[#This Row],[Valor total]]-Tabela1[[#This Row],[Valor custo]]</f>
        <v>140.81</v>
      </c>
      <c r="J3105" s="7">
        <f>Tabela1[[#This Row],[MARGEM BRUTA]]/Tabela1[[#This Row],[Valor total]]</f>
        <v>0.46936666666666665</v>
      </c>
      <c r="K3105" s="1" t="str">
        <f>VLOOKUP(Tabela1[[#This Row],[Cliente]],'BASE DE CLIENTES'!A:D,4,0)</f>
        <v>SERRALHEIRO</v>
      </c>
      <c r="L3105" s="1" t="str">
        <f>VLOOKUP(Tabela1[[#This Row],[Cliente]],'BASE DE CLIENTES'!A:E,5,0)</f>
        <v>Vila Planalto</v>
      </c>
    </row>
    <row r="3106" spans="2:12" x14ac:dyDescent="0.3">
      <c r="B3106" s="1" t="s">
        <v>106</v>
      </c>
      <c r="C3106" s="4" t="str">
        <f>VLOOKUP(Tabela1[[#This Row],[Cliente]],'BASE DE CLIENTES'!A:E,2,0)</f>
        <v>Brasília</v>
      </c>
      <c r="D3106" s="1" t="str">
        <f>VLOOKUP(Tabela1[[#This Row],[Cliente]],'BASE DE CLIENTES'!A:C,3,0)</f>
        <v>DF</v>
      </c>
      <c r="E3106" s="4" t="str">
        <f>CONCATENATE(Tabela1[[#This Row],[CIDADE]],",",Tabela1[[#This Row],[UF]])</f>
        <v>Brasília,DF</v>
      </c>
      <c r="F3106" s="2">
        <v>45988</v>
      </c>
      <c r="G3106" s="17">
        <v>463</v>
      </c>
      <c r="H3106" s="17">
        <v>650</v>
      </c>
      <c r="I3106" s="6">
        <f>Tabela1[[#This Row],[Valor total]]-Tabela1[[#This Row],[Valor custo]]</f>
        <v>187</v>
      </c>
      <c r="J3106" s="7">
        <f>Tabela1[[#This Row],[MARGEM BRUTA]]/Tabela1[[#This Row],[Valor total]]</f>
        <v>0.28769230769230769</v>
      </c>
      <c r="K3106" s="1" t="str">
        <f>VLOOKUP(Tabela1[[#This Row],[Cliente]],'BASE DE CLIENTES'!A:D,4,0)</f>
        <v>EMPRESA COM MAQUINA</v>
      </c>
      <c r="L3106" s="1" t="str">
        <f>VLOOKUP(Tabela1[[#This Row],[Cliente]],'BASE DE CLIENTES'!A:E,5,0)</f>
        <v>26 DE SETEMBRO</v>
      </c>
    </row>
    <row r="3107" spans="2:12" x14ac:dyDescent="0.3">
      <c r="B3107" s="1" t="s">
        <v>70</v>
      </c>
      <c r="C3107" s="4" t="str">
        <f>VLOOKUP(Tabela1[[#This Row],[Cliente]],'BASE DE CLIENTES'!A:E,2,0)</f>
        <v>Brasília</v>
      </c>
      <c r="D3107" s="1" t="str">
        <f>VLOOKUP(Tabela1[[#This Row],[Cliente]],'BASE DE CLIENTES'!A:C,3,0)</f>
        <v>DF</v>
      </c>
      <c r="E3107" s="4" t="str">
        <f>CONCATENATE(Tabela1[[#This Row],[CIDADE]],",",Tabela1[[#This Row],[UF]])</f>
        <v>Brasília,DF</v>
      </c>
      <c r="F3107" s="2">
        <v>45988</v>
      </c>
      <c r="G3107" s="17">
        <v>2685.3</v>
      </c>
      <c r="H3107" s="17">
        <v>4075</v>
      </c>
      <c r="I3107" s="6">
        <f>Tabela1[[#This Row],[Valor total]]-Tabela1[[#This Row],[Valor custo]]</f>
        <v>1389.6999999999998</v>
      </c>
      <c r="J3107" s="7">
        <f>Tabela1[[#This Row],[MARGEM BRUTA]]/Tabela1[[#This Row],[Valor total]]</f>
        <v>0.34103067484662575</v>
      </c>
      <c r="K3107" s="1" t="str">
        <f>VLOOKUP(Tabela1[[#This Row],[Cliente]],'BASE DE CLIENTES'!A:D,4,0)</f>
        <v>EMPRESA COM MAQUINA</v>
      </c>
      <c r="L3107" s="1" t="str">
        <f>VLOOKUP(Tabela1[[#This Row],[Cliente]],'BASE DE CLIENTES'!A:E,5,0)</f>
        <v>TAGUATINGA NORTE (TAGUATINGA)</v>
      </c>
    </row>
    <row r="3108" spans="2:12" x14ac:dyDescent="0.3">
      <c r="B3108" s="1" t="s">
        <v>183</v>
      </c>
      <c r="C3108" s="4" t="str">
        <f>VLOOKUP(Tabela1[[#This Row],[Cliente]],'BASE DE CLIENTES'!A:E,2,0)</f>
        <v>Caldas Novas</v>
      </c>
      <c r="D3108" s="1" t="str">
        <f>VLOOKUP(Tabela1[[#This Row],[Cliente]],'BASE DE CLIENTES'!A:C,3,0)</f>
        <v>GO</v>
      </c>
      <c r="E3108" s="4" t="str">
        <f>CONCATENATE(Tabela1[[#This Row],[CIDADE]],",",Tabela1[[#This Row],[UF]])</f>
        <v>Caldas Novas,GO</v>
      </c>
      <c r="F3108" s="2">
        <v>45988</v>
      </c>
      <c r="G3108" s="17">
        <v>2695</v>
      </c>
      <c r="H3108" s="17">
        <v>4060</v>
      </c>
      <c r="I3108" s="6">
        <f>Tabela1[[#This Row],[Valor total]]-Tabela1[[#This Row],[Valor custo]]</f>
        <v>1365</v>
      </c>
      <c r="J3108" s="7">
        <f>Tabela1[[#This Row],[MARGEM BRUTA]]/Tabela1[[#This Row],[Valor total]]</f>
        <v>0.33620689655172414</v>
      </c>
      <c r="K3108" s="1" t="str">
        <f>VLOOKUP(Tabela1[[#This Row],[Cliente]],'BASE DE CLIENTES'!A:D,4,0)</f>
        <v>EMPRESA COM MAQUINA</v>
      </c>
      <c r="L3108" s="1" t="str">
        <f>VLOOKUP(Tabela1[[#This Row],[Cliente]],'BASE DE CLIENTES'!A:E,5,0)</f>
        <v>Caldas Novas</v>
      </c>
    </row>
    <row r="3109" spans="2:12" x14ac:dyDescent="0.3">
      <c r="B3109" s="1" t="s">
        <v>149</v>
      </c>
      <c r="C3109" s="4" t="str">
        <f>VLOOKUP(Tabela1[[#This Row],[Cliente]],'BASE DE CLIENTES'!A:E,2,0)</f>
        <v>Anápolis</v>
      </c>
      <c r="D3109" s="1" t="str">
        <f>VLOOKUP(Tabela1[[#This Row],[Cliente]],'BASE DE CLIENTES'!A:C,3,0)</f>
        <v>GO</v>
      </c>
      <c r="E3109" s="4" t="str">
        <f>CONCATENATE(Tabela1[[#This Row],[CIDADE]],",",Tabela1[[#This Row],[UF]])</f>
        <v>Anápolis,GO</v>
      </c>
      <c r="F3109" s="2">
        <v>45988</v>
      </c>
      <c r="G3109" s="17">
        <v>1250</v>
      </c>
      <c r="H3109" s="17">
        <v>1400</v>
      </c>
      <c r="I3109" s="6">
        <f>Tabela1[[#This Row],[Valor total]]-Tabela1[[#This Row],[Valor custo]]</f>
        <v>150</v>
      </c>
      <c r="J3109" s="7">
        <f>Tabela1[[#This Row],[MARGEM BRUTA]]/Tabela1[[#This Row],[Valor total]]</f>
        <v>0.10714285714285714</v>
      </c>
      <c r="K3109" s="1" t="str">
        <f>VLOOKUP(Tabela1[[#This Row],[Cliente]],'BASE DE CLIENTES'!A:D,4,0)</f>
        <v>EMPRESA COM MAQUINA</v>
      </c>
      <c r="L3109" s="1" t="str">
        <f>VLOOKUP(Tabela1[[#This Row],[Cliente]],'BASE DE CLIENTES'!A:E,5,0)</f>
        <v>Anápolis</v>
      </c>
    </row>
    <row r="3110" spans="2:12" x14ac:dyDescent="0.3">
      <c r="B3110" s="1" t="s">
        <v>68</v>
      </c>
      <c r="C3110" s="4" t="str">
        <f>VLOOKUP(Tabela1[[#This Row],[Cliente]],'BASE DE CLIENTES'!A:E,2,0)</f>
        <v>Brasília</v>
      </c>
      <c r="D3110" s="1" t="str">
        <f>VLOOKUP(Tabela1[[#This Row],[Cliente]],'BASE DE CLIENTES'!A:C,3,0)</f>
        <v>DF</v>
      </c>
      <c r="E3110" s="4" t="str">
        <f>CONCATENATE(Tabela1[[#This Row],[CIDADE]],",",Tabela1[[#This Row],[UF]])</f>
        <v>Brasília,DF</v>
      </c>
      <c r="F3110" s="2">
        <v>45987</v>
      </c>
      <c r="G3110" s="17">
        <v>60</v>
      </c>
      <c r="H3110" s="17">
        <v>105</v>
      </c>
      <c r="I3110" s="6">
        <f>Tabela1[[#This Row],[Valor total]]-Tabela1[[#This Row],[Valor custo]]</f>
        <v>45</v>
      </c>
      <c r="J3110" s="7">
        <f>Tabela1[[#This Row],[MARGEM BRUTA]]/Tabela1[[#This Row],[Valor total]]</f>
        <v>0.42857142857142855</v>
      </c>
      <c r="K3110" s="1" t="str">
        <f>VLOOKUP(Tabela1[[#This Row],[Cliente]],'BASE DE CLIENTES'!A:D,4,0)</f>
        <v>EMPRESA COM MAQUINA</v>
      </c>
      <c r="L3110" s="1" t="str">
        <f>VLOOKUP(Tabela1[[#This Row],[Cliente]],'BASE DE CLIENTES'!A:E,5,0)</f>
        <v>SAMAMBAIA SUL (SAMAMBAIA)</v>
      </c>
    </row>
    <row r="3111" spans="2:12" x14ac:dyDescent="0.3">
      <c r="B3111" s="1" t="s">
        <v>152</v>
      </c>
      <c r="C3111" s="4" t="str">
        <f>VLOOKUP(Tabela1[[#This Row],[Cliente]],'BASE DE CLIENTES'!A:E,2,0)</f>
        <v>Aparecida de Goiânia</v>
      </c>
      <c r="D3111" s="1" t="str">
        <f>VLOOKUP(Tabela1[[#This Row],[Cliente]],'BASE DE CLIENTES'!A:C,3,0)</f>
        <v>GO</v>
      </c>
      <c r="E3111" s="4" t="str">
        <f>CONCATENATE(Tabela1[[#This Row],[CIDADE]],",",Tabela1[[#This Row],[UF]])</f>
        <v>Aparecida de Goiânia,GO</v>
      </c>
      <c r="F3111" s="2">
        <v>45987</v>
      </c>
      <c r="G3111" s="17">
        <v>1386</v>
      </c>
      <c r="H3111" s="17">
        <v>2000</v>
      </c>
      <c r="I3111" s="6">
        <f>Tabela1[[#This Row],[Valor total]]-Tabela1[[#This Row],[Valor custo]]</f>
        <v>614</v>
      </c>
      <c r="J3111" s="7">
        <f>Tabela1[[#This Row],[MARGEM BRUTA]]/Tabela1[[#This Row],[Valor total]]</f>
        <v>0.307</v>
      </c>
      <c r="K3111" s="1" t="str">
        <f>VLOOKUP(Tabela1[[#This Row],[Cliente]],'BASE DE CLIENTES'!A:D,4,0)</f>
        <v>TECNICO</v>
      </c>
      <c r="L3111" s="1" t="str">
        <f>VLOOKUP(Tabela1[[#This Row],[Cliente]],'BASE DE CLIENTES'!A:E,5,0)</f>
        <v>Aparecida de Goiânia</v>
      </c>
    </row>
    <row r="3112" spans="2:12" x14ac:dyDescent="0.3">
      <c r="B3112" s="1" t="s">
        <v>298</v>
      </c>
      <c r="C3112" s="4" t="str">
        <f>VLOOKUP(Tabela1[[#This Row],[Cliente]],'BASE DE CLIENTES'!A:E,2,0)</f>
        <v>Brasília</v>
      </c>
      <c r="D3112" s="1" t="str">
        <f>VLOOKUP(Tabela1[[#This Row],[Cliente]],'BASE DE CLIENTES'!A:C,3,0)</f>
        <v>DF</v>
      </c>
      <c r="E3112" s="4" t="str">
        <f>CONCATENATE(Tabela1[[#This Row],[CIDADE]],",",Tabela1[[#This Row],[UF]])</f>
        <v>Brasília,DF</v>
      </c>
      <c r="F3112" s="2">
        <v>45987</v>
      </c>
      <c r="G3112" s="17">
        <v>88.56</v>
      </c>
      <c r="H3112" s="17">
        <v>265</v>
      </c>
      <c r="I3112" s="6">
        <f>Tabela1[[#This Row],[Valor total]]-Tabela1[[#This Row],[Valor custo]]</f>
        <v>176.44</v>
      </c>
      <c r="J3112" s="7">
        <f>Tabela1[[#This Row],[MARGEM BRUTA]]/Tabela1[[#This Row],[Valor total]]</f>
        <v>0.66581132075471694</v>
      </c>
      <c r="K3112" s="1" t="str">
        <f>VLOOKUP(Tabela1[[#This Row],[Cliente]],'BASE DE CLIENTES'!A:D,4,0)</f>
        <v>SERRALHEIRO</v>
      </c>
      <c r="L3112" s="1" t="str">
        <f>VLOOKUP(Tabela1[[#This Row],[Cliente]],'BASE DE CLIENTES'!A:E,5,0)</f>
        <v>SETOR DE MANSOES DE SOBRADINHO</v>
      </c>
    </row>
    <row r="3113" spans="2:12" x14ac:dyDescent="0.3">
      <c r="B3113" s="1" t="s">
        <v>298</v>
      </c>
      <c r="C3113" s="4" t="str">
        <f>VLOOKUP(Tabela1[[#This Row],[Cliente]],'BASE DE CLIENTES'!A:E,2,0)</f>
        <v>Brasília</v>
      </c>
      <c r="D3113" s="1" t="str">
        <f>VLOOKUP(Tabela1[[#This Row],[Cliente]],'BASE DE CLIENTES'!A:C,3,0)</f>
        <v>DF</v>
      </c>
      <c r="E3113" s="4" t="str">
        <f>CONCATENATE(Tabela1[[#This Row],[CIDADE]],",",Tabela1[[#This Row],[UF]])</f>
        <v>Brasília,DF</v>
      </c>
      <c r="F3113" s="2">
        <v>45987</v>
      </c>
      <c r="G3113" s="17">
        <v>679</v>
      </c>
      <c r="H3113" s="17">
        <v>1120</v>
      </c>
      <c r="I3113" s="6">
        <f>Tabela1[[#This Row],[Valor total]]-Tabela1[[#This Row],[Valor custo]]</f>
        <v>441</v>
      </c>
      <c r="J3113" s="7">
        <f>Tabela1[[#This Row],[MARGEM BRUTA]]/Tabela1[[#This Row],[Valor total]]</f>
        <v>0.39374999999999999</v>
      </c>
      <c r="K3113" s="1" t="str">
        <f>VLOOKUP(Tabela1[[#This Row],[Cliente]],'BASE DE CLIENTES'!A:D,4,0)</f>
        <v>SERRALHEIRO</v>
      </c>
      <c r="L3113" s="1" t="str">
        <f>VLOOKUP(Tabela1[[#This Row],[Cliente]],'BASE DE CLIENTES'!A:E,5,0)</f>
        <v>SETOR DE MANSOES DE SOBRADINHO</v>
      </c>
    </row>
    <row r="3114" spans="2:12" x14ac:dyDescent="0.3">
      <c r="B3114" s="1" t="s">
        <v>36</v>
      </c>
      <c r="C3114" s="4" t="str">
        <f>VLOOKUP(Tabela1[[#This Row],[Cliente]],'BASE DE CLIENTES'!A:E,2,0)</f>
        <v>Brasília</v>
      </c>
      <c r="D3114" s="1" t="str">
        <f>VLOOKUP(Tabela1[[#This Row],[Cliente]],'BASE DE CLIENTES'!A:C,3,0)</f>
        <v>DF</v>
      </c>
      <c r="E3114" s="4" t="str">
        <f>CONCATENATE(Tabela1[[#This Row],[CIDADE]],",",Tabela1[[#This Row],[UF]])</f>
        <v>Brasília,DF</v>
      </c>
      <c r="F3114" s="2">
        <v>45987</v>
      </c>
      <c r="G3114" s="17">
        <v>110</v>
      </c>
      <c r="H3114" s="17">
        <v>360</v>
      </c>
      <c r="I3114" s="6">
        <f>Tabela1[[#This Row],[Valor total]]-Tabela1[[#This Row],[Valor custo]]</f>
        <v>250</v>
      </c>
      <c r="J3114" s="7">
        <f>Tabela1[[#This Row],[MARGEM BRUTA]]/Tabela1[[#This Row],[Valor total]]</f>
        <v>0.69444444444444442</v>
      </c>
      <c r="K3114" s="1" t="str">
        <f>VLOOKUP(Tabela1[[#This Row],[Cliente]],'BASE DE CLIENTES'!A:D,4,0)</f>
        <v>SERRALHEIRO</v>
      </c>
      <c r="L3114" s="1" t="str">
        <f>VLOOKUP(Tabela1[[#This Row],[Cliente]],'BASE DE CLIENTES'!A:E,5,0)</f>
        <v>CEILANDIA SUL (CEILANDIA)</v>
      </c>
    </row>
    <row r="3115" spans="2:12" x14ac:dyDescent="0.3">
      <c r="B3115" s="1" t="s">
        <v>68</v>
      </c>
      <c r="C3115" s="4" t="str">
        <f>VLOOKUP(Tabela1[[#This Row],[Cliente]],'BASE DE CLIENTES'!A:E,2,0)</f>
        <v>Brasília</v>
      </c>
      <c r="D3115" s="1" t="str">
        <f>VLOOKUP(Tabela1[[#This Row],[Cliente]],'BASE DE CLIENTES'!A:C,3,0)</f>
        <v>DF</v>
      </c>
      <c r="E3115" s="4" t="str">
        <f>CONCATENATE(Tabela1[[#This Row],[CIDADE]],",",Tabela1[[#This Row],[UF]])</f>
        <v>Brasília,DF</v>
      </c>
      <c r="F3115" s="2">
        <v>45987</v>
      </c>
      <c r="G3115" s="17">
        <v>500</v>
      </c>
      <c r="H3115" s="17">
        <v>600</v>
      </c>
      <c r="I3115" s="6">
        <f>Tabela1[[#This Row],[Valor total]]-Tabela1[[#This Row],[Valor custo]]</f>
        <v>100</v>
      </c>
      <c r="J3115" s="7">
        <f>Tabela1[[#This Row],[MARGEM BRUTA]]/Tabela1[[#This Row],[Valor total]]</f>
        <v>0.16666666666666666</v>
      </c>
      <c r="K3115" s="1" t="str">
        <f>VLOOKUP(Tabela1[[#This Row],[Cliente]],'BASE DE CLIENTES'!A:D,4,0)</f>
        <v>EMPRESA COM MAQUINA</v>
      </c>
      <c r="L3115" s="1" t="str">
        <f>VLOOKUP(Tabela1[[#This Row],[Cliente]],'BASE DE CLIENTES'!A:E,5,0)</f>
        <v>SAMAMBAIA SUL (SAMAMBAIA)</v>
      </c>
    </row>
    <row r="3116" spans="2:12" x14ac:dyDescent="0.3">
      <c r="B3116" s="1" t="s">
        <v>66</v>
      </c>
      <c r="C3116" s="4" t="str">
        <f>VLOOKUP(Tabela1[[#This Row],[Cliente]],'BASE DE CLIENTES'!A:E,2,0)</f>
        <v>Águas Lindas de Goiás</v>
      </c>
      <c r="D3116" s="1" t="str">
        <f>VLOOKUP(Tabela1[[#This Row],[Cliente]],'BASE DE CLIENTES'!A:C,3,0)</f>
        <v>GO</v>
      </c>
      <c r="E3116" s="4" t="str">
        <f>CONCATENATE(Tabela1[[#This Row],[CIDADE]],",",Tabela1[[#This Row],[UF]])</f>
        <v>Águas Lindas de Goiás,GO</v>
      </c>
      <c r="F3116" s="2">
        <v>45987</v>
      </c>
      <c r="G3116" s="17">
        <v>1298.3699999999999</v>
      </c>
      <c r="H3116" s="17">
        <v>1950</v>
      </c>
      <c r="I3116" s="6">
        <f>Tabela1[[#This Row],[Valor total]]-Tabela1[[#This Row],[Valor custo]]</f>
        <v>651.63000000000011</v>
      </c>
      <c r="J3116" s="7">
        <f>Tabela1[[#This Row],[MARGEM BRUTA]]/Tabela1[[#This Row],[Valor total]]</f>
        <v>0.33416923076923083</v>
      </c>
      <c r="K3116" s="1" t="str">
        <f>VLOOKUP(Tabela1[[#This Row],[Cliente]],'BASE DE CLIENTES'!A:D,4,0)</f>
        <v>EMPRESA COM MAQUINA</v>
      </c>
      <c r="L3116" s="1" t="str">
        <f>VLOOKUP(Tabela1[[#This Row],[Cliente]],'BASE DE CLIENTES'!A:E,5,0)</f>
        <v>Águas Lindas de Goiás</v>
      </c>
    </row>
    <row r="3117" spans="2:12" x14ac:dyDescent="0.3">
      <c r="B3117" s="1" t="s">
        <v>316</v>
      </c>
      <c r="C3117" s="4" t="str">
        <f>VLOOKUP(Tabela1[[#This Row],[Cliente]],'BASE DE CLIENTES'!A:E,2,0)</f>
        <v>Valparaíso de Goiás</v>
      </c>
      <c r="D3117" s="1" t="str">
        <f>VLOOKUP(Tabela1[[#This Row],[Cliente]],'BASE DE CLIENTES'!A:C,3,0)</f>
        <v>GO</v>
      </c>
      <c r="E3117" s="4" t="str">
        <f>CONCATENATE(Tabela1[[#This Row],[CIDADE]],",",Tabela1[[#This Row],[UF]])</f>
        <v>Valparaíso de Goiás,GO</v>
      </c>
      <c r="F3117" s="2">
        <v>45987</v>
      </c>
      <c r="G3117" s="17">
        <v>1529.58</v>
      </c>
      <c r="H3117" s="17">
        <v>2420</v>
      </c>
      <c r="I3117" s="6">
        <f>Tabela1[[#This Row],[Valor total]]-Tabela1[[#This Row],[Valor custo]]</f>
        <v>890.42000000000007</v>
      </c>
      <c r="J3117" s="7">
        <f>Tabela1[[#This Row],[MARGEM BRUTA]]/Tabela1[[#This Row],[Valor total]]</f>
        <v>0.3679421487603306</v>
      </c>
      <c r="K3117" s="1" t="str">
        <f>VLOOKUP(Tabela1[[#This Row],[Cliente]],'BASE DE CLIENTES'!A:D,4,0)</f>
        <v>SERRALHEIRO</v>
      </c>
      <c r="L3117" s="1" t="str">
        <f>VLOOKUP(Tabela1[[#This Row],[Cliente]],'BASE DE CLIENTES'!A:E,5,0)</f>
        <v>Valparaíso de Goiás</v>
      </c>
    </row>
    <row r="3118" spans="2:12" x14ac:dyDescent="0.3">
      <c r="B3118" s="1" t="s">
        <v>106</v>
      </c>
      <c r="C3118" s="4" t="str">
        <f>VLOOKUP(Tabela1[[#This Row],[Cliente]],'BASE DE CLIENTES'!A:E,2,0)</f>
        <v>Brasília</v>
      </c>
      <c r="D3118" s="1" t="str">
        <f>VLOOKUP(Tabela1[[#This Row],[Cliente]],'BASE DE CLIENTES'!A:C,3,0)</f>
        <v>DF</v>
      </c>
      <c r="E3118" s="4" t="str">
        <f>CONCATENATE(Tabela1[[#This Row],[CIDADE]],",",Tabela1[[#This Row],[UF]])</f>
        <v>Brasília,DF</v>
      </c>
      <c r="F3118" s="2">
        <v>45987</v>
      </c>
      <c r="G3118" s="17">
        <v>865.58</v>
      </c>
      <c r="H3118" s="17">
        <v>1250</v>
      </c>
      <c r="I3118" s="6">
        <f>Tabela1[[#This Row],[Valor total]]-Tabela1[[#This Row],[Valor custo]]</f>
        <v>384.41999999999996</v>
      </c>
      <c r="J3118" s="7">
        <f>Tabela1[[#This Row],[MARGEM BRUTA]]/Tabela1[[#This Row],[Valor total]]</f>
        <v>0.30753599999999998</v>
      </c>
      <c r="K3118" s="1" t="str">
        <f>VLOOKUP(Tabela1[[#This Row],[Cliente]],'BASE DE CLIENTES'!A:D,4,0)</f>
        <v>EMPRESA COM MAQUINA</v>
      </c>
      <c r="L3118" s="1" t="str">
        <f>VLOOKUP(Tabela1[[#This Row],[Cliente]],'BASE DE CLIENTES'!A:E,5,0)</f>
        <v>26 DE SETEMBRO</v>
      </c>
    </row>
    <row r="3119" spans="2:12" x14ac:dyDescent="0.3">
      <c r="B3119" s="1" t="s">
        <v>88</v>
      </c>
      <c r="C3119" s="4" t="str">
        <f>VLOOKUP(Tabela1[[#This Row],[Cliente]],'BASE DE CLIENTES'!A:E,2,0)</f>
        <v>Brasília</v>
      </c>
      <c r="D3119" s="1" t="str">
        <f>VLOOKUP(Tabela1[[#This Row],[Cliente]],'BASE DE CLIENTES'!A:C,3,0)</f>
        <v>DF</v>
      </c>
      <c r="E3119" s="4" t="str">
        <f>CONCATENATE(Tabela1[[#This Row],[CIDADE]],",",Tabela1[[#This Row],[UF]])</f>
        <v>Brasília,DF</v>
      </c>
      <c r="F3119" s="2">
        <v>45986</v>
      </c>
      <c r="G3119" s="17">
        <v>1925</v>
      </c>
      <c r="H3119" s="17">
        <v>2980</v>
      </c>
      <c r="I3119" s="6">
        <f>Tabela1[[#This Row],[Valor total]]-Tabela1[[#This Row],[Valor custo]]</f>
        <v>1055</v>
      </c>
      <c r="J3119" s="7">
        <f>Tabela1[[#This Row],[MARGEM BRUTA]]/Tabela1[[#This Row],[Valor total]]</f>
        <v>0.35402684563758391</v>
      </c>
      <c r="K3119" s="1" t="str">
        <f>VLOOKUP(Tabela1[[#This Row],[Cliente]],'BASE DE CLIENTES'!A:D,4,0)</f>
        <v>SERRALHEIRO</v>
      </c>
      <c r="L3119" s="1" t="str">
        <f>VLOOKUP(Tabela1[[#This Row],[Cliente]],'BASE DE CLIENTES'!A:E,5,0)</f>
        <v>RECANTO DAS EMAS</v>
      </c>
    </row>
    <row r="3120" spans="2:12" x14ac:dyDescent="0.3">
      <c r="B3120" s="1" t="s">
        <v>111</v>
      </c>
      <c r="C3120" s="4" t="str">
        <f>VLOOKUP(Tabela1[[#This Row],[Cliente]],'BASE DE CLIENTES'!A:E,2,0)</f>
        <v>Brasília</v>
      </c>
      <c r="D3120" s="1" t="str">
        <f>VLOOKUP(Tabela1[[#This Row],[Cliente]],'BASE DE CLIENTES'!A:C,3,0)</f>
        <v>DF</v>
      </c>
      <c r="E3120" s="4" t="str">
        <f>CONCATENATE(Tabela1[[#This Row],[CIDADE]],",",Tabela1[[#This Row],[UF]])</f>
        <v>Brasília,DF</v>
      </c>
      <c r="F3120" s="2">
        <v>45986</v>
      </c>
      <c r="G3120" s="17">
        <v>664</v>
      </c>
      <c r="H3120" s="17">
        <v>1150</v>
      </c>
      <c r="I3120" s="6">
        <f>Tabela1[[#This Row],[Valor total]]-Tabela1[[#This Row],[Valor custo]]</f>
        <v>486</v>
      </c>
      <c r="J3120" s="7">
        <f>Tabela1[[#This Row],[MARGEM BRUTA]]/Tabela1[[#This Row],[Valor total]]</f>
        <v>0.4226086956521739</v>
      </c>
      <c r="K3120" s="1" t="str">
        <f>VLOOKUP(Tabela1[[#This Row],[Cliente]],'BASE DE CLIENTES'!A:D,4,0)</f>
        <v>EMPRESA SEM MAQUINA</v>
      </c>
      <c r="L3120" s="1" t="str">
        <f>VLOOKUP(Tabela1[[#This Row],[Cliente]],'BASE DE CLIENTES'!A:E,5,0)</f>
        <v>TAGUATINGA SUL (TAGUATINGA)</v>
      </c>
    </row>
    <row r="3121" spans="2:12" x14ac:dyDescent="0.3">
      <c r="B3121" s="1" t="s">
        <v>66</v>
      </c>
      <c r="C3121" s="4" t="str">
        <f>VLOOKUP(Tabela1[[#This Row],[Cliente]],'BASE DE CLIENTES'!A:E,2,0)</f>
        <v>Águas Lindas de Goiás</v>
      </c>
      <c r="D3121" s="1" t="str">
        <f>VLOOKUP(Tabela1[[#This Row],[Cliente]],'BASE DE CLIENTES'!A:C,3,0)</f>
        <v>GO</v>
      </c>
      <c r="E3121" s="4" t="str">
        <f>CONCATENATE(Tabela1[[#This Row],[CIDADE]],",",Tabela1[[#This Row],[UF]])</f>
        <v>Águas Lindas de Goiás,GO</v>
      </c>
      <c r="F3121" s="2">
        <v>45986</v>
      </c>
      <c r="G3121" s="17">
        <v>73.14</v>
      </c>
      <c r="H3121" s="17">
        <v>90</v>
      </c>
      <c r="I3121" s="6">
        <f>Tabela1[[#This Row],[Valor total]]-Tabela1[[#This Row],[Valor custo]]</f>
        <v>16.86</v>
      </c>
      <c r="J3121" s="7">
        <f>Tabela1[[#This Row],[MARGEM BRUTA]]/Tabela1[[#This Row],[Valor total]]</f>
        <v>0.18733333333333332</v>
      </c>
      <c r="K3121" s="1" t="str">
        <f>VLOOKUP(Tabela1[[#This Row],[Cliente]],'BASE DE CLIENTES'!A:D,4,0)</f>
        <v>EMPRESA COM MAQUINA</v>
      </c>
      <c r="L3121" s="1" t="str">
        <f>VLOOKUP(Tabela1[[#This Row],[Cliente]],'BASE DE CLIENTES'!A:E,5,0)</f>
        <v>Águas Lindas de Goiás</v>
      </c>
    </row>
    <row r="3122" spans="2:12" x14ac:dyDescent="0.3">
      <c r="B3122" s="1" t="s">
        <v>66</v>
      </c>
      <c r="C3122" s="4" t="str">
        <f>VLOOKUP(Tabela1[[#This Row],[Cliente]],'BASE DE CLIENTES'!A:E,2,0)</f>
        <v>Águas Lindas de Goiás</v>
      </c>
      <c r="D3122" s="1" t="str">
        <f>VLOOKUP(Tabela1[[#This Row],[Cliente]],'BASE DE CLIENTES'!A:C,3,0)</f>
        <v>GO</v>
      </c>
      <c r="E3122" s="4" t="str">
        <f>CONCATENATE(Tabela1[[#This Row],[CIDADE]],",",Tabela1[[#This Row],[UF]])</f>
        <v>Águas Lindas de Goiás,GO</v>
      </c>
      <c r="F3122" s="2">
        <v>45986</v>
      </c>
      <c r="G3122" s="17">
        <v>1298</v>
      </c>
      <c r="H3122" s="17">
        <v>2000</v>
      </c>
      <c r="I3122" s="6">
        <f>Tabela1[[#This Row],[Valor total]]-Tabela1[[#This Row],[Valor custo]]</f>
        <v>702</v>
      </c>
      <c r="J3122" s="7">
        <f>Tabela1[[#This Row],[MARGEM BRUTA]]/Tabela1[[#This Row],[Valor total]]</f>
        <v>0.35099999999999998</v>
      </c>
      <c r="K3122" s="1" t="str">
        <f>VLOOKUP(Tabela1[[#This Row],[Cliente]],'BASE DE CLIENTES'!A:D,4,0)</f>
        <v>EMPRESA COM MAQUINA</v>
      </c>
      <c r="L3122" s="1" t="str">
        <f>VLOOKUP(Tabela1[[#This Row],[Cliente]],'BASE DE CLIENTES'!A:E,5,0)</f>
        <v>Águas Lindas de Goiás</v>
      </c>
    </row>
    <row r="3123" spans="2:12" x14ac:dyDescent="0.3">
      <c r="B3123" s="1" t="s">
        <v>42</v>
      </c>
      <c r="C3123" s="4" t="str">
        <f>VLOOKUP(Tabela1[[#This Row],[Cliente]],'BASE DE CLIENTES'!A:E,2,0)</f>
        <v>Brasília</v>
      </c>
      <c r="D3123" s="1" t="str">
        <f>VLOOKUP(Tabela1[[#This Row],[Cliente]],'BASE DE CLIENTES'!A:C,3,0)</f>
        <v>DF</v>
      </c>
      <c r="E3123" s="4" t="str">
        <f>CONCATENATE(Tabela1[[#This Row],[CIDADE]],",",Tabela1[[#This Row],[UF]])</f>
        <v>Brasília,DF</v>
      </c>
      <c r="F3123" s="2">
        <v>45986</v>
      </c>
      <c r="G3123" s="17">
        <v>1217.21</v>
      </c>
      <c r="H3123" s="17">
        <v>1870</v>
      </c>
      <c r="I3123" s="6">
        <f>Tabela1[[#This Row],[Valor total]]-Tabela1[[#This Row],[Valor custo]]</f>
        <v>652.79</v>
      </c>
      <c r="J3123" s="7">
        <f>Tabela1[[#This Row],[MARGEM BRUTA]]/Tabela1[[#This Row],[Valor total]]</f>
        <v>0.34908556149732617</v>
      </c>
      <c r="K3123" s="1" t="str">
        <f>VLOOKUP(Tabela1[[#This Row],[Cliente]],'BASE DE CLIENTES'!A:D,4,0)</f>
        <v>EMPRESA SEM MAQUINA</v>
      </c>
      <c r="L3123" s="1" t="str">
        <f>VLOOKUP(Tabela1[[#This Row],[Cliente]],'BASE DE CLIENTES'!A:E,5,0)</f>
        <v>SAMAMBAIA</v>
      </c>
    </row>
    <row r="3124" spans="2:12" x14ac:dyDescent="0.3">
      <c r="B3124" s="1" t="s">
        <v>38</v>
      </c>
      <c r="C3124" s="4" t="str">
        <f>VLOOKUP(Tabela1[[#This Row],[Cliente]],'BASE DE CLIENTES'!A:E,2,0)</f>
        <v>Brasília</v>
      </c>
      <c r="D3124" s="1" t="str">
        <f>VLOOKUP(Tabela1[[#This Row],[Cliente]],'BASE DE CLIENTES'!A:C,3,0)</f>
        <v>DF</v>
      </c>
      <c r="E3124" s="4" t="str">
        <f>CONCATENATE(Tabela1[[#This Row],[CIDADE]],",",Tabela1[[#This Row],[UF]])</f>
        <v>Brasília,DF</v>
      </c>
      <c r="F3124" s="2">
        <v>45986</v>
      </c>
      <c r="G3124" s="17">
        <v>1328</v>
      </c>
      <c r="H3124" s="17">
        <v>2300</v>
      </c>
      <c r="I3124" s="6">
        <f>Tabela1[[#This Row],[Valor total]]-Tabela1[[#This Row],[Valor custo]]</f>
        <v>972</v>
      </c>
      <c r="J3124" s="7">
        <f>Tabela1[[#This Row],[MARGEM BRUTA]]/Tabela1[[#This Row],[Valor total]]</f>
        <v>0.4226086956521739</v>
      </c>
      <c r="K3124" s="1" t="str">
        <f>VLOOKUP(Tabela1[[#This Row],[Cliente]],'BASE DE CLIENTES'!A:D,4,0)</f>
        <v>EMPRESA SEM MAQUINA</v>
      </c>
      <c r="L3124" s="1" t="str">
        <f>VLOOKUP(Tabela1[[#This Row],[Cliente]],'BASE DE CLIENTES'!A:E,5,0)</f>
        <v>PONTE ALTA NORTE (GAMA)</v>
      </c>
    </row>
    <row r="3125" spans="2:12" x14ac:dyDescent="0.3">
      <c r="B3125" s="1" t="s">
        <v>70</v>
      </c>
      <c r="C3125" s="4" t="str">
        <f>VLOOKUP(Tabela1[[#This Row],[Cliente]],'BASE DE CLIENTES'!A:E,2,0)</f>
        <v>Brasília</v>
      </c>
      <c r="D3125" s="1" t="str">
        <f>VLOOKUP(Tabela1[[#This Row],[Cliente]],'BASE DE CLIENTES'!A:C,3,0)</f>
        <v>DF</v>
      </c>
      <c r="E3125" s="4" t="str">
        <f>CONCATENATE(Tabela1[[#This Row],[CIDADE]],",",Tabela1[[#This Row],[UF]])</f>
        <v>Brasília,DF</v>
      </c>
      <c r="F3125" s="2">
        <v>45986</v>
      </c>
      <c r="G3125" s="17">
        <v>385</v>
      </c>
      <c r="H3125" s="17">
        <v>580</v>
      </c>
      <c r="I3125" s="6">
        <f>Tabela1[[#This Row],[Valor total]]-Tabela1[[#This Row],[Valor custo]]</f>
        <v>195</v>
      </c>
      <c r="J3125" s="7">
        <f>Tabela1[[#This Row],[MARGEM BRUTA]]/Tabela1[[#This Row],[Valor total]]</f>
        <v>0.33620689655172414</v>
      </c>
      <c r="K3125" s="1" t="str">
        <f>VLOOKUP(Tabela1[[#This Row],[Cliente]],'BASE DE CLIENTES'!A:D,4,0)</f>
        <v>EMPRESA COM MAQUINA</v>
      </c>
      <c r="L3125" s="1" t="str">
        <f>VLOOKUP(Tabela1[[#This Row],[Cliente]],'BASE DE CLIENTES'!A:E,5,0)</f>
        <v>TAGUATINGA NORTE (TAGUATINGA)</v>
      </c>
    </row>
    <row r="3126" spans="2:12" x14ac:dyDescent="0.3">
      <c r="B3126" s="1" t="s">
        <v>236</v>
      </c>
      <c r="C3126" s="4" t="str">
        <f>VLOOKUP(Tabela1[[#This Row],[Cliente]],'BASE DE CLIENTES'!A:E,2,0)</f>
        <v>Goiânia</v>
      </c>
      <c r="D3126" s="1" t="str">
        <f>VLOOKUP(Tabela1[[#This Row],[Cliente]],'BASE DE CLIENTES'!A:C,3,0)</f>
        <v>GO</v>
      </c>
      <c r="E3126" s="4" t="str">
        <f>CONCATENATE(Tabela1[[#This Row],[CIDADE]],",",Tabela1[[#This Row],[UF]])</f>
        <v>Goiânia,GO</v>
      </c>
      <c r="F3126" s="2">
        <v>45986</v>
      </c>
      <c r="G3126" s="17">
        <v>485</v>
      </c>
      <c r="H3126" s="17">
        <v>735</v>
      </c>
      <c r="I3126" s="6">
        <f>Tabela1[[#This Row],[Valor total]]-Tabela1[[#This Row],[Valor custo]]</f>
        <v>250</v>
      </c>
      <c r="J3126" s="7">
        <f>Tabela1[[#This Row],[MARGEM BRUTA]]/Tabela1[[#This Row],[Valor total]]</f>
        <v>0.3401360544217687</v>
      </c>
      <c r="K3126" s="1" t="str">
        <f>VLOOKUP(Tabela1[[#This Row],[Cliente]],'BASE DE CLIENTES'!A:D,4,0)</f>
        <v>EMPRESA COM MAQUINA</v>
      </c>
      <c r="L3126" s="1" t="str">
        <f>VLOOKUP(Tabela1[[#This Row],[Cliente]],'BASE DE CLIENTES'!A:E,5,0)</f>
        <v>Goiânia</v>
      </c>
    </row>
    <row r="3127" spans="2:12" x14ac:dyDescent="0.3">
      <c r="B3127" s="1" t="s">
        <v>78</v>
      </c>
      <c r="C3127" s="4" t="str">
        <f>VLOOKUP(Tabela1[[#This Row],[Cliente]],'BASE DE CLIENTES'!A:E,2,0)</f>
        <v>Brasília</v>
      </c>
      <c r="D3127" s="1" t="str">
        <f>VLOOKUP(Tabela1[[#This Row],[Cliente]],'BASE DE CLIENTES'!A:C,3,0)</f>
        <v>DF</v>
      </c>
      <c r="E3127" s="4" t="str">
        <f>CONCATENATE(Tabela1[[#This Row],[CIDADE]],",",Tabela1[[#This Row],[UF]])</f>
        <v>Brasília,DF</v>
      </c>
      <c r="F3127" s="2">
        <v>45986</v>
      </c>
      <c r="G3127" s="17">
        <v>1804.3</v>
      </c>
      <c r="H3127" s="17">
        <v>2590</v>
      </c>
      <c r="I3127" s="6">
        <f>Tabela1[[#This Row],[Valor total]]-Tabela1[[#This Row],[Valor custo]]</f>
        <v>785.7</v>
      </c>
      <c r="J3127" s="7">
        <f>Tabela1[[#This Row],[MARGEM BRUTA]]/Tabela1[[#This Row],[Valor total]]</f>
        <v>0.30335907335907336</v>
      </c>
      <c r="K3127" s="1" t="str">
        <f>VLOOKUP(Tabela1[[#This Row],[Cliente]],'BASE DE CLIENTES'!A:D,4,0)</f>
        <v>SERRALHEIRO</v>
      </c>
      <c r="L3127" s="1" t="str">
        <f>VLOOKUP(Tabela1[[#This Row],[Cliente]],'BASE DE CLIENTES'!A:E,5,0)</f>
        <v>Vila do Boa (São Sebastião)</v>
      </c>
    </row>
    <row r="3128" spans="2:12" x14ac:dyDescent="0.3">
      <c r="B3128" s="1" t="s">
        <v>144</v>
      </c>
      <c r="C3128" s="4" t="str">
        <f>VLOOKUP(Tabela1[[#This Row],[Cliente]],'BASE DE CLIENTES'!A:E,2,0)</f>
        <v>Alexânia</v>
      </c>
      <c r="D3128" s="1" t="str">
        <f>VLOOKUP(Tabela1[[#This Row],[Cliente]],'BASE DE CLIENTES'!A:C,3,0)</f>
        <v>GO</v>
      </c>
      <c r="E3128" s="4" t="str">
        <f>CONCATENATE(Tabela1[[#This Row],[CIDADE]],",",Tabela1[[#This Row],[UF]])</f>
        <v>Alexânia,GO</v>
      </c>
      <c r="F3128" s="2">
        <v>45986</v>
      </c>
      <c r="G3128" s="17">
        <v>649</v>
      </c>
      <c r="H3128" s="17">
        <v>900</v>
      </c>
      <c r="I3128" s="6">
        <f>Tabela1[[#This Row],[Valor total]]-Tabela1[[#This Row],[Valor custo]]</f>
        <v>251</v>
      </c>
      <c r="J3128" s="7">
        <f>Tabela1[[#This Row],[MARGEM BRUTA]]/Tabela1[[#This Row],[Valor total]]</f>
        <v>0.27888888888888891</v>
      </c>
      <c r="K3128" s="1" t="str">
        <f>VLOOKUP(Tabela1[[#This Row],[Cliente]],'BASE DE CLIENTES'!A:D,4,0)</f>
        <v>SERRALHEIRO</v>
      </c>
      <c r="L3128" s="1" t="str">
        <f>VLOOKUP(Tabela1[[#This Row],[Cliente]],'BASE DE CLIENTES'!A:E,5,0)</f>
        <v>Alexânia</v>
      </c>
    </row>
    <row r="3129" spans="2:12" x14ac:dyDescent="0.3">
      <c r="B3129" s="1" t="s">
        <v>309</v>
      </c>
      <c r="C3129" s="4" t="str">
        <f>VLOOKUP(Tabela1[[#This Row],[Cliente]],'BASE DE CLIENTES'!A:E,2,0)</f>
        <v>Uberlândia</v>
      </c>
      <c r="D3129" s="1" t="str">
        <f>VLOOKUP(Tabela1[[#This Row],[Cliente]],'BASE DE CLIENTES'!A:C,3,0)</f>
        <v>MG</v>
      </c>
      <c r="E3129" s="4" t="str">
        <f>CONCATENATE(Tabela1[[#This Row],[CIDADE]],",",Tabela1[[#This Row],[UF]])</f>
        <v>Uberlândia,MG</v>
      </c>
      <c r="F3129" s="2">
        <v>45986</v>
      </c>
      <c r="G3129" s="17">
        <v>2063.58</v>
      </c>
      <c r="H3129" s="17">
        <v>3290</v>
      </c>
      <c r="I3129" s="6">
        <f>Tabela1[[#This Row],[Valor total]]-Tabela1[[#This Row],[Valor custo]]</f>
        <v>1226.42</v>
      </c>
      <c r="J3129" s="7">
        <f>Tabela1[[#This Row],[MARGEM BRUTA]]/Tabela1[[#This Row],[Valor total]]</f>
        <v>0.37277203647416418</v>
      </c>
      <c r="K3129" s="1" t="str">
        <f>VLOOKUP(Tabela1[[#This Row],[Cliente]],'BASE DE CLIENTES'!A:D,4,0)</f>
        <v>EMPRESA COM MAQUINA</v>
      </c>
      <c r="L3129" s="1" t="str">
        <f>VLOOKUP(Tabela1[[#This Row],[Cliente]],'BASE DE CLIENTES'!A:E,5,0)</f>
        <v>Uberlândia</v>
      </c>
    </row>
    <row r="3130" spans="2:12" x14ac:dyDescent="0.3">
      <c r="B3130" s="1" t="s">
        <v>307</v>
      </c>
      <c r="C3130" s="4" t="str">
        <f>VLOOKUP(Tabela1[[#This Row],[Cliente]],'BASE DE CLIENTES'!A:E,2,0)</f>
        <v>Uberaba</v>
      </c>
      <c r="D3130" s="1" t="str">
        <f>VLOOKUP(Tabela1[[#This Row],[Cliente]],'BASE DE CLIENTES'!A:C,3,0)</f>
        <v>MG</v>
      </c>
      <c r="E3130" s="4" t="str">
        <f>CONCATENATE(Tabela1[[#This Row],[CIDADE]],",",Tabela1[[#This Row],[UF]])</f>
        <v>Uberaba,MG</v>
      </c>
      <c r="F3130" s="2">
        <v>45986</v>
      </c>
      <c r="G3130" s="17">
        <v>13935</v>
      </c>
      <c r="H3130" s="17">
        <v>20775</v>
      </c>
      <c r="I3130" s="6">
        <f>Tabela1[[#This Row],[Valor total]]-Tabela1[[#This Row],[Valor custo]]</f>
        <v>6840</v>
      </c>
      <c r="J3130" s="7">
        <f>Tabela1[[#This Row],[MARGEM BRUTA]]/Tabela1[[#This Row],[Valor total]]</f>
        <v>0.32924187725631771</v>
      </c>
      <c r="K3130" s="1" t="str">
        <f>VLOOKUP(Tabela1[[#This Row],[Cliente]],'BASE DE CLIENTES'!A:D,4,0)</f>
        <v>EMPRESA COM MAQUINA</v>
      </c>
      <c r="L3130" s="1" t="str">
        <f>VLOOKUP(Tabela1[[#This Row],[Cliente]],'BASE DE CLIENTES'!A:E,5,0)</f>
        <v>Uberaba</v>
      </c>
    </row>
    <row r="3131" spans="2:12" x14ac:dyDescent="0.3">
      <c r="B3131" s="1" t="s">
        <v>256</v>
      </c>
      <c r="C3131" s="4" t="str">
        <f>VLOOKUP(Tabela1[[#This Row],[Cliente]],'BASE DE CLIENTES'!A:E,2,0)</f>
        <v>Luziânia</v>
      </c>
      <c r="D3131" s="1" t="str">
        <f>VLOOKUP(Tabela1[[#This Row],[Cliente]],'BASE DE CLIENTES'!A:C,3,0)</f>
        <v>GO</v>
      </c>
      <c r="E3131" s="4" t="str">
        <f>CONCATENATE(Tabela1[[#This Row],[CIDADE]],",",Tabela1[[#This Row],[UF]])</f>
        <v>Luziânia,GO</v>
      </c>
      <c r="F3131" s="2">
        <v>45986</v>
      </c>
      <c r="G3131" s="17">
        <v>700.6</v>
      </c>
      <c r="H3131" s="17">
        <v>1198</v>
      </c>
      <c r="I3131" s="6">
        <f>Tabela1[[#This Row],[Valor total]]-Tabela1[[#This Row],[Valor custo]]</f>
        <v>497.4</v>
      </c>
      <c r="J3131" s="7">
        <f>Tabela1[[#This Row],[MARGEM BRUTA]]/Tabela1[[#This Row],[Valor total]]</f>
        <v>0.41519198664440732</v>
      </c>
      <c r="K3131" s="1" t="str">
        <f>VLOOKUP(Tabela1[[#This Row],[Cliente]],'BASE DE CLIENTES'!A:D,4,0)</f>
        <v>SERRALHEIRO</v>
      </c>
      <c r="L3131" s="1" t="str">
        <f>VLOOKUP(Tabela1[[#This Row],[Cliente]],'BASE DE CLIENTES'!A:E,5,0)</f>
        <v>Luziânia</v>
      </c>
    </row>
    <row r="3132" spans="2:12" x14ac:dyDescent="0.3">
      <c r="B3132" s="1" t="s">
        <v>154</v>
      </c>
      <c r="C3132" s="4" t="str">
        <f>VLOOKUP(Tabela1[[#This Row],[Cliente]],'BASE DE CLIENTES'!A:E,2,0)</f>
        <v>Aparecida de Goiânia</v>
      </c>
      <c r="D3132" s="1" t="str">
        <f>VLOOKUP(Tabela1[[#This Row],[Cliente]],'BASE DE CLIENTES'!A:C,3,0)</f>
        <v>GO</v>
      </c>
      <c r="E3132" s="4" t="str">
        <f>CONCATENATE(Tabela1[[#This Row],[CIDADE]],",",Tabela1[[#This Row],[UF]])</f>
        <v>Aparecida de Goiânia,GO</v>
      </c>
      <c r="F3132" s="2">
        <v>45986</v>
      </c>
      <c r="G3132" s="17">
        <v>1298</v>
      </c>
      <c r="H3132" s="17">
        <v>1700</v>
      </c>
      <c r="I3132" s="6">
        <f>Tabela1[[#This Row],[Valor total]]-Tabela1[[#This Row],[Valor custo]]</f>
        <v>402</v>
      </c>
      <c r="J3132" s="7">
        <f>Tabela1[[#This Row],[MARGEM BRUTA]]/Tabela1[[#This Row],[Valor total]]</f>
        <v>0.23647058823529413</v>
      </c>
      <c r="K3132" s="1" t="str">
        <f>VLOOKUP(Tabela1[[#This Row],[Cliente]],'BASE DE CLIENTES'!A:D,4,0)</f>
        <v>TECNICO</v>
      </c>
      <c r="L3132" s="1" t="str">
        <f>VLOOKUP(Tabela1[[#This Row],[Cliente]],'BASE DE CLIENTES'!A:E,5,0)</f>
        <v>Aparecida de Goiânia</v>
      </c>
    </row>
    <row r="3133" spans="2:12" x14ac:dyDescent="0.3">
      <c r="B3133" s="1" t="s">
        <v>120</v>
      </c>
      <c r="C3133" s="4" t="str">
        <f>VLOOKUP(Tabela1[[#This Row],[Cliente]],'BASE DE CLIENTES'!A:E,2,0)</f>
        <v>Brasília</v>
      </c>
      <c r="D3133" s="1" t="str">
        <f>VLOOKUP(Tabela1[[#This Row],[Cliente]],'BASE DE CLIENTES'!A:C,3,0)</f>
        <v>DF</v>
      </c>
      <c r="E3133" s="4" t="str">
        <f>CONCATENATE(Tabela1[[#This Row],[CIDADE]],",",Tabela1[[#This Row],[UF]])</f>
        <v>Brasília,DF</v>
      </c>
      <c r="F3133" s="2">
        <v>45986</v>
      </c>
      <c r="G3133" s="17">
        <v>1514.58</v>
      </c>
      <c r="H3133" s="17">
        <v>2180</v>
      </c>
      <c r="I3133" s="6">
        <f>Tabela1[[#This Row],[Valor total]]-Tabela1[[#This Row],[Valor custo]]</f>
        <v>665.42000000000007</v>
      </c>
      <c r="J3133" s="7">
        <f>Tabela1[[#This Row],[MARGEM BRUTA]]/Tabela1[[#This Row],[Valor total]]</f>
        <v>0.30523853211009178</v>
      </c>
      <c r="K3133" s="1" t="str">
        <f>VLOOKUP(Tabela1[[#This Row],[Cliente]],'BASE DE CLIENTES'!A:D,4,0)</f>
        <v>EMPRESA SEM MAQUINA</v>
      </c>
      <c r="L3133" s="1" t="str">
        <f>VLOOKUP(Tabela1[[#This Row],[Cliente]],'BASE DE CLIENTES'!A:E,5,0)</f>
        <v>SAMAMBAIA</v>
      </c>
    </row>
    <row r="3134" spans="2:12" x14ac:dyDescent="0.3">
      <c r="B3134" s="1" t="s">
        <v>321</v>
      </c>
      <c r="C3134" s="4" t="str">
        <f>VLOOKUP(Tabela1[[#This Row],[Cliente]],'BASE DE CLIENTES'!A:E,2,0)</f>
        <v>Valparaíso de Goiás</v>
      </c>
      <c r="D3134" s="1" t="str">
        <f>VLOOKUP(Tabela1[[#This Row],[Cliente]],'BASE DE CLIENTES'!A:C,3,0)</f>
        <v>GO</v>
      </c>
      <c r="E3134" s="4" t="str">
        <f>CONCATENATE(Tabela1[[#This Row],[CIDADE]],",",Tabela1[[#This Row],[UF]])</f>
        <v>Valparaíso de Goiás,GO</v>
      </c>
      <c r="F3134" s="2">
        <v>45986</v>
      </c>
      <c r="G3134" s="17">
        <v>150</v>
      </c>
      <c r="H3134" s="17">
        <v>180</v>
      </c>
      <c r="I3134" s="6">
        <f>Tabela1[[#This Row],[Valor total]]-Tabela1[[#This Row],[Valor custo]]</f>
        <v>30</v>
      </c>
      <c r="J3134" s="7">
        <f>Tabela1[[#This Row],[MARGEM BRUTA]]/Tabela1[[#This Row],[Valor total]]</f>
        <v>0.16666666666666666</v>
      </c>
      <c r="K3134" s="1" t="str">
        <f>VLOOKUP(Tabela1[[#This Row],[Cliente]],'BASE DE CLIENTES'!A:D,4,0)</f>
        <v>EMPRESA COM MAQUINA</v>
      </c>
      <c r="L3134" s="1" t="str">
        <f>VLOOKUP(Tabela1[[#This Row],[Cliente]],'BASE DE CLIENTES'!A:E,5,0)</f>
        <v>Valparaíso de Goiás</v>
      </c>
    </row>
    <row r="3135" spans="2:12" x14ac:dyDescent="0.3">
      <c r="B3135" s="1" t="s">
        <v>176</v>
      </c>
      <c r="C3135" s="4" t="str">
        <f>VLOOKUP(Tabela1[[#This Row],[Cliente]],'BASE DE CLIENTES'!A:E,2,0)</f>
        <v>Brasília</v>
      </c>
      <c r="D3135" s="1" t="str">
        <f>VLOOKUP(Tabela1[[#This Row],[Cliente]],'BASE DE CLIENTES'!A:C,3,0)</f>
        <v>DF</v>
      </c>
      <c r="E3135" s="4" t="str">
        <f>CONCATENATE(Tabela1[[#This Row],[CIDADE]],",",Tabela1[[#This Row],[UF]])</f>
        <v>Brasília,DF</v>
      </c>
      <c r="F3135" s="2">
        <v>45986</v>
      </c>
      <c r="G3135" s="17">
        <v>491</v>
      </c>
      <c r="H3135" s="17">
        <v>720</v>
      </c>
      <c r="I3135" s="6">
        <f>Tabela1[[#This Row],[Valor total]]-Tabela1[[#This Row],[Valor custo]]</f>
        <v>229</v>
      </c>
      <c r="J3135" s="7">
        <f>Tabela1[[#This Row],[MARGEM BRUTA]]/Tabela1[[#This Row],[Valor total]]</f>
        <v>0.31805555555555554</v>
      </c>
      <c r="K3135" s="1" t="str">
        <f>VLOOKUP(Tabela1[[#This Row],[Cliente]],'BASE DE CLIENTES'!A:D,4,0)</f>
        <v>OUTROS RAMOS</v>
      </c>
      <c r="L3135" s="1" t="str">
        <f>VLOOKUP(Tabela1[[#This Row],[Cliente]],'BASE DE CLIENTES'!A:E,5,0)</f>
        <v>CEILANDIA NORTE</v>
      </c>
    </row>
    <row r="3136" spans="2:12" x14ac:dyDescent="0.3">
      <c r="B3136" s="1" t="s">
        <v>344</v>
      </c>
      <c r="C3136" s="4" t="str">
        <f>VLOOKUP(Tabela1[[#This Row],[Cliente]],'BASE DE CLIENTES'!A:E,2,0)</f>
        <v>Brasília</v>
      </c>
      <c r="D3136" s="1" t="str">
        <f>VLOOKUP(Tabela1[[#This Row],[Cliente]],'BASE DE CLIENTES'!A:C,3,0)</f>
        <v>DF</v>
      </c>
      <c r="E3136" s="4" t="str">
        <f>CONCATENATE(Tabela1[[#This Row],[CIDADE]],",",Tabela1[[#This Row],[UF]])</f>
        <v>Brasília,DF</v>
      </c>
      <c r="F3136" s="2">
        <v>45986</v>
      </c>
      <c r="G3136" s="17">
        <v>1010</v>
      </c>
      <c r="H3136" s="17">
        <v>1950</v>
      </c>
      <c r="I3136" s="6">
        <f>Tabela1[[#This Row],[Valor total]]-Tabela1[[#This Row],[Valor custo]]</f>
        <v>940</v>
      </c>
      <c r="J3136" s="7">
        <f>Tabela1[[#This Row],[MARGEM BRUTA]]/Tabela1[[#This Row],[Valor total]]</f>
        <v>0.48205128205128206</v>
      </c>
      <c r="K3136" s="1" t="str">
        <f>VLOOKUP(Tabela1[[#This Row],[Cliente]],'BASE DE CLIENTES'!A:D,4,0)</f>
        <v>CLIENTE NOVO S/ IDENT.</v>
      </c>
      <c r="L3136" s="1" t="str">
        <f>VLOOKUP(Tabela1[[#This Row],[Cliente]],'BASE DE CLIENTES'!A:E,5,0)</f>
        <v>Brasília</v>
      </c>
    </row>
    <row r="3137" spans="2:12" x14ac:dyDescent="0.3">
      <c r="B3137" s="1" t="s">
        <v>321</v>
      </c>
      <c r="C3137" s="4" t="str">
        <f>VLOOKUP(Tabela1[[#This Row],[Cliente]],'BASE DE CLIENTES'!A:E,2,0)</f>
        <v>Valparaíso de Goiás</v>
      </c>
      <c r="D3137" s="1" t="str">
        <f>VLOOKUP(Tabela1[[#This Row],[Cliente]],'BASE DE CLIENTES'!A:C,3,0)</f>
        <v>GO</v>
      </c>
      <c r="E3137" s="4" t="str">
        <f>CONCATENATE(Tabela1[[#This Row],[CIDADE]],",",Tabela1[[#This Row],[UF]])</f>
        <v>Valparaíso de Goiás,GO</v>
      </c>
      <c r="F3137" s="2">
        <v>45986</v>
      </c>
      <c r="G3137" s="17">
        <v>2713.79</v>
      </c>
      <c r="H3137" s="17">
        <v>4242</v>
      </c>
      <c r="I3137" s="6">
        <f>Tabela1[[#This Row],[Valor total]]-Tabela1[[#This Row],[Valor custo]]</f>
        <v>1528.21</v>
      </c>
      <c r="J3137" s="7">
        <f>Tabela1[[#This Row],[MARGEM BRUTA]]/Tabela1[[#This Row],[Valor total]]</f>
        <v>0.36025695426685528</v>
      </c>
      <c r="K3137" s="1" t="str">
        <f>VLOOKUP(Tabela1[[#This Row],[Cliente]],'BASE DE CLIENTES'!A:D,4,0)</f>
        <v>EMPRESA COM MAQUINA</v>
      </c>
      <c r="L3137" s="1" t="str">
        <f>VLOOKUP(Tabela1[[#This Row],[Cliente]],'BASE DE CLIENTES'!A:E,5,0)</f>
        <v>Valparaíso de Goiás</v>
      </c>
    </row>
    <row r="3138" spans="2:12" x14ac:dyDescent="0.3">
      <c r="B3138" s="1" t="s">
        <v>20</v>
      </c>
      <c r="C3138" s="4" t="str">
        <f>VLOOKUP(Tabela1[[#This Row],[Cliente]],'BASE DE CLIENTES'!A:E,2,0)</f>
        <v>Brasília</v>
      </c>
      <c r="D3138" s="1" t="str">
        <f>VLOOKUP(Tabela1[[#This Row],[Cliente]],'BASE DE CLIENTES'!A:C,3,0)</f>
        <v>DF</v>
      </c>
      <c r="E3138" s="4" t="str">
        <f>CONCATENATE(Tabela1[[#This Row],[CIDADE]],",",Tabela1[[#This Row],[UF]])</f>
        <v>Brasília,DF</v>
      </c>
      <c r="F3138" s="2">
        <v>45986</v>
      </c>
      <c r="G3138" s="17">
        <v>293.13</v>
      </c>
      <c r="H3138" s="17">
        <v>470</v>
      </c>
      <c r="I3138" s="6">
        <f>Tabela1[[#This Row],[Valor total]]-Tabela1[[#This Row],[Valor custo]]</f>
        <v>176.87</v>
      </c>
      <c r="J3138" s="7">
        <f>Tabela1[[#This Row],[MARGEM BRUTA]]/Tabela1[[#This Row],[Valor total]]</f>
        <v>0.37631914893617024</v>
      </c>
      <c r="K3138" s="1" t="str">
        <f>VLOOKUP(Tabela1[[#This Row],[Cliente]],'BASE DE CLIENTES'!A:D,4,0)</f>
        <v>CHAVEIRO</v>
      </c>
      <c r="L3138" s="1" t="str">
        <f>VLOOKUP(Tabela1[[#This Row],[Cliente]],'BASE DE CLIENTES'!A:E,5,0)</f>
        <v>NA</v>
      </c>
    </row>
    <row r="3139" spans="2:12" x14ac:dyDescent="0.3">
      <c r="B3139" s="1" t="s">
        <v>184</v>
      </c>
      <c r="C3139" s="4" t="str">
        <f>VLOOKUP(Tabela1[[#This Row],[Cliente]],'BASE DE CLIENTES'!A:E,2,0)</f>
        <v>Castanhal</v>
      </c>
      <c r="D3139" s="1" t="str">
        <f>VLOOKUP(Tabela1[[#This Row],[Cliente]],'BASE DE CLIENTES'!A:C,3,0)</f>
        <v>PA</v>
      </c>
      <c r="E3139" s="4" t="str">
        <f>CONCATENATE(Tabela1[[#This Row],[CIDADE]],",",Tabela1[[#This Row],[UF]])</f>
        <v>Castanhal,PA</v>
      </c>
      <c r="F3139" s="2">
        <v>45986</v>
      </c>
      <c r="G3139" s="17">
        <v>8177.9</v>
      </c>
      <c r="H3139" s="17">
        <v>12700</v>
      </c>
      <c r="I3139" s="6">
        <f>Tabela1[[#This Row],[Valor total]]-Tabela1[[#This Row],[Valor custo]]</f>
        <v>4522.1000000000004</v>
      </c>
      <c r="J3139" s="7">
        <f>Tabela1[[#This Row],[MARGEM BRUTA]]/Tabela1[[#This Row],[Valor total]]</f>
        <v>0.35607086614173233</v>
      </c>
      <c r="K3139" s="1" t="str">
        <f>VLOOKUP(Tabela1[[#This Row],[Cliente]],'BASE DE CLIENTES'!A:D,4,0)</f>
        <v>EMPRESA COM MAQUINA</v>
      </c>
      <c r="L3139" s="1" t="str">
        <f>VLOOKUP(Tabela1[[#This Row],[Cliente]],'BASE DE CLIENTES'!A:E,5,0)</f>
        <v>Castanhal</v>
      </c>
    </row>
    <row r="3140" spans="2:12" x14ac:dyDescent="0.3">
      <c r="B3140" s="1" t="s">
        <v>147</v>
      </c>
      <c r="C3140" s="4" t="str">
        <f>VLOOKUP(Tabela1[[#This Row],[Cliente]],'BASE DE CLIENTES'!A:E,2,0)</f>
        <v>Brasília</v>
      </c>
      <c r="D3140" s="1" t="str">
        <f>VLOOKUP(Tabela1[[#This Row],[Cliente]],'BASE DE CLIENTES'!A:C,3,0)</f>
        <v>DF</v>
      </c>
      <c r="E3140" s="4" t="str">
        <f>CONCATENATE(Tabela1[[#This Row],[CIDADE]],",",Tabela1[[#This Row],[UF]])</f>
        <v>Brasília,DF</v>
      </c>
      <c r="F3140" s="2">
        <v>45985</v>
      </c>
      <c r="G3140" s="17">
        <v>721</v>
      </c>
      <c r="H3140" s="17">
        <v>1500</v>
      </c>
      <c r="I3140" s="6">
        <f>Tabela1[[#This Row],[Valor total]]-Tabela1[[#This Row],[Valor custo]]</f>
        <v>779</v>
      </c>
      <c r="J3140" s="7">
        <f>Tabela1[[#This Row],[MARGEM BRUTA]]/Tabela1[[#This Row],[Valor total]]</f>
        <v>0.51933333333333331</v>
      </c>
      <c r="K3140" s="1" t="str">
        <f>VLOOKUP(Tabela1[[#This Row],[Cliente]],'BASE DE CLIENTES'!A:D,4,0)</f>
        <v>SEM CLASSIFICAÇÃO</v>
      </c>
      <c r="L3140" s="1" t="str">
        <f>VLOOKUP(Tabela1[[#This Row],[Cliente]],'BASE DE CLIENTES'!A:E,5,0)</f>
        <v>AREAL (AGUAS CLARAS)</v>
      </c>
    </row>
    <row r="3141" spans="2:12" x14ac:dyDescent="0.3">
      <c r="B3141" s="1" t="s">
        <v>117</v>
      </c>
      <c r="C3141" s="4" t="str">
        <f>VLOOKUP(Tabela1[[#This Row],[Cliente]],'BASE DE CLIENTES'!A:E,2,0)</f>
        <v>Brasília</v>
      </c>
      <c r="D3141" s="1" t="str">
        <f>VLOOKUP(Tabela1[[#This Row],[Cliente]],'BASE DE CLIENTES'!A:C,3,0)</f>
        <v>DF</v>
      </c>
      <c r="E3141" s="4" t="str">
        <f>CONCATENATE(Tabela1[[#This Row],[CIDADE]],",",Tabela1[[#This Row],[UF]])</f>
        <v>Brasília,DF</v>
      </c>
      <c r="F3141" s="2">
        <v>45985</v>
      </c>
      <c r="G3141" s="17">
        <v>544</v>
      </c>
      <c r="H3141" s="17">
        <v>869</v>
      </c>
      <c r="I3141" s="6">
        <f>Tabela1[[#This Row],[Valor total]]-Tabela1[[#This Row],[Valor custo]]</f>
        <v>325</v>
      </c>
      <c r="J3141" s="7">
        <f>Tabela1[[#This Row],[MARGEM BRUTA]]/Tabela1[[#This Row],[Valor total]]</f>
        <v>0.37399309551208287</v>
      </c>
      <c r="K3141" s="1" t="str">
        <f>VLOOKUP(Tabela1[[#This Row],[Cliente]],'BASE DE CLIENTES'!A:D,4,0)</f>
        <v>EMPRESA COM MAQUINA</v>
      </c>
      <c r="L3141" s="1" t="str">
        <f>VLOOKUP(Tabela1[[#This Row],[Cliente]],'BASE DE CLIENTES'!A:E,5,0)</f>
        <v>SETOR HABITACIONAL ARNIQUEIRA (AGUAS CLARAS)</v>
      </c>
    </row>
    <row r="3142" spans="2:12" x14ac:dyDescent="0.3">
      <c r="B3142" s="1" t="s">
        <v>230</v>
      </c>
      <c r="C3142" s="4" t="str">
        <f>VLOOKUP(Tabela1[[#This Row],[Cliente]],'BASE DE CLIENTES'!A:E,2,0)</f>
        <v>Brasília</v>
      </c>
      <c r="D3142" s="1" t="str">
        <f>VLOOKUP(Tabela1[[#This Row],[Cliente]],'BASE DE CLIENTES'!A:C,3,0)</f>
        <v>DF</v>
      </c>
      <c r="E3142" s="4" t="str">
        <f>CONCATENATE(Tabela1[[#This Row],[CIDADE]],",",Tabela1[[#This Row],[UF]])</f>
        <v>Brasília,DF</v>
      </c>
      <c r="F3142" s="2">
        <v>45985</v>
      </c>
      <c r="G3142" s="17">
        <v>865.58</v>
      </c>
      <c r="H3142" s="17">
        <v>1400</v>
      </c>
      <c r="I3142" s="6">
        <f>Tabela1[[#This Row],[Valor total]]-Tabela1[[#This Row],[Valor custo]]</f>
        <v>534.41999999999996</v>
      </c>
      <c r="J3142" s="7">
        <f>Tabela1[[#This Row],[MARGEM BRUTA]]/Tabela1[[#This Row],[Valor total]]</f>
        <v>0.38172857142857142</v>
      </c>
      <c r="K3142" s="1" t="str">
        <f>VLOOKUP(Tabela1[[#This Row],[Cliente]],'BASE DE CLIENTES'!A:D,4,0)</f>
        <v>SERRALHEIRO</v>
      </c>
      <c r="L3142" s="1" t="str">
        <f>VLOOKUP(Tabela1[[#This Row],[Cliente]],'BASE DE CLIENTES'!A:E,5,0)</f>
        <v>SETOR HABITACIONAL SAMAMBAIA (VICENTE PIRES)</v>
      </c>
    </row>
    <row r="3143" spans="2:12" x14ac:dyDescent="0.3">
      <c r="B3143" s="1" t="s">
        <v>187</v>
      </c>
      <c r="C3143" s="4" t="str">
        <f>VLOOKUP(Tabela1[[#This Row],[Cliente]],'BASE DE CLIENTES'!A:E,2,0)</f>
        <v>Brasília</v>
      </c>
      <c r="D3143" s="1" t="str">
        <f>VLOOKUP(Tabela1[[#This Row],[Cliente]],'BASE DE CLIENTES'!A:C,3,0)</f>
        <v>DF</v>
      </c>
      <c r="E3143" s="4" t="str">
        <f>CONCATENATE(Tabela1[[#This Row],[CIDADE]],",",Tabela1[[#This Row],[UF]])</f>
        <v>Brasília,DF</v>
      </c>
      <c r="F3143" s="2">
        <v>45985</v>
      </c>
      <c r="G3143" s="17">
        <v>1156.81</v>
      </c>
      <c r="H3143" s="17">
        <v>1960</v>
      </c>
      <c r="I3143" s="6">
        <f>Tabela1[[#This Row],[Valor total]]-Tabela1[[#This Row],[Valor custo]]</f>
        <v>803.19</v>
      </c>
      <c r="J3143" s="7">
        <f>Tabela1[[#This Row],[MARGEM BRUTA]]/Tabela1[[#This Row],[Valor total]]</f>
        <v>0.40979081632653064</v>
      </c>
      <c r="K3143" s="1" t="str">
        <f>VLOOKUP(Tabela1[[#This Row],[Cliente]],'BASE DE CLIENTES'!A:D,4,0)</f>
        <v>SERRALHEIRO</v>
      </c>
      <c r="L3143" s="1" t="str">
        <f>VLOOKUP(Tabela1[[#This Row],[Cliente]],'BASE DE CLIENTES'!A:E,5,0)</f>
        <v>CEILANDIA SUL (CEILANDIA)</v>
      </c>
    </row>
    <row r="3144" spans="2:12" x14ac:dyDescent="0.3">
      <c r="B3144" s="1" t="s">
        <v>291</v>
      </c>
      <c r="C3144" s="4" t="str">
        <f>VLOOKUP(Tabela1[[#This Row],[Cliente]],'BASE DE CLIENTES'!A:E,2,0)</f>
        <v>Rio Verde</v>
      </c>
      <c r="D3144" s="1" t="str">
        <f>VLOOKUP(Tabela1[[#This Row],[Cliente]],'BASE DE CLIENTES'!A:C,3,0)</f>
        <v>GO</v>
      </c>
      <c r="E3144" s="4" t="str">
        <f>CONCATENATE(Tabela1[[#This Row],[CIDADE]],",",Tabela1[[#This Row],[UF]])</f>
        <v>Rio Verde,GO</v>
      </c>
      <c r="F3144" s="2">
        <v>45985</v>
      </c>
      <c r="G3144" s="17">
        <v>463</v>
      </c>
      <c r="H3144" s="17">
        <v>750</v>
      </c>
      <c r="I3144" s="6">
        <f>Tabela1[[#This Row],[Valor total]]-Tabela1[[#This Row],[Valor custo]]</f>
        <v>287</v>
      </c>
      <c r="J3144" s="7">
        <f>Tabela1[[#This Row],[MARGEM BRUTA]]/Tabela1[[#This Row],[Valor total]]</f>
        <v>0.38266666666666665</v>
      </c>
      <c r="K3144" s="1" t="str">
        <f>VLOOKUP(Tabela1[[#This Row],[Cliente]],'BASE DE CLIENTES'!A:D,4,0)</f>
        <v>EMPRESA COM MAQUINA</v>
      </c>
      <c r="L3144" s="1" t="str">
        <f>VLOOKUP(Tabela1[[#This Row],[Cliente]],'BASE DE CLIENTES'!A:E,5,0)</f>
        <v>Rio Verde</v>
      </c>
    </row>
    <row r="3145" spans="2:12" x14ac:dyDescent="0.3">
      <c r="B3145" s="1" t="s">
        <v>236</v>
      </c>
      <c r="C3145" s="4" t="str">
        <f>VLOOKUP(Tabela1[[#This Row],[Cliente]],'BASE DE CLIENTES'!A:E,2,0)</f>
        <v>Goiânia</v>
      </c>
      <c r="D3145" s="1" t="str">
        <f>VLOOKUP(Tabela1[[#This Row],[Cliente]],'BASE DE CLIENTES'!A:C,3,0)</f>
        <v>GO</v>
      </c>
      <c r="E3145" s="4" t="str">
        <f>CONCATENATE(Tabela1[[#This Row],[CIDADE]],",",Tabela1[[#This Row],[UF]])</f>
        <v>Goiânia,GO</v>
      </c>
      <c r="F3145" s="2">
        <v>45985</v>
      </c>
      <c r="G3145" s="17">
        <v>432.79</v>
      </c>
      <c r="H3145" s="17">
        <v>585</v>
      </c>
      <c r="I3145" s="6">
        <f>Tabela1[[#This Row],[Valor total]]-Tabela1[[#This Row],[Valor custo]]</f>
        <v>152.20999999999998</v>
      </c>
      <c r="J3145" s="7">
        <f>Tabela1[[#This Row],[MARGEM BRUTA]]/Tabela1[[#This Row],[Valor total]]</f>
        <v>0.26018803418803416</v>
      </c>
      <c r="K3145" s="1" t="str">
        <f>VLOOKUP(Tabela1[[#This Row],[Cliente]],'BASE DE CLIENTES'!A:D,4,0)</f>
        <v>EMPRESA COM MAQUINA</v>
      </c>
      <c r="L3145" s="1" t="str">
        <f>VLOOKUP(Tabela1[[#This Row],[Cliente]],'BASE DE CLIENTES'!A:E,5,0)</f>
        <v>Goiânia</v>
      </c>
    </row>
    <row r="3146" spans="2:12" x14ac:dyDescent="0.3">
      <c r="B3146" s="1" t="s">
        <v>345</v>
      </c>
      <c r="C3146" s="4" t="str">
        <f>VLOOKUP(Tabela1[[#This Row],[Cliente]],'BASE DE CLIENTES'!A:E,2,0)</f>
        <v>Brasília</v>
      </c>
      <c r="D3146" s="1" t="str">
        <f>VLOOKUP(Tabela1[[#This Row],[Cliente]],'BASE DE CLIENTES'!A:C,3,0)</f>
        <v>DF</v>
      </c>
      <c r="E3146" s="4" t="str">
        <f>CONCATENATE(Tabela1[[#This Row],[CIDADE]],",",Tabela1[[#This Row],[UF]])</f>
        <v>Brasília,DF</v>
      </c>
      <c r="F3146" s="2">
        <v>45985</v>
      </c>
      <c r="G3146" s="17">
        <v>70</v>
      </c>
      <c r="H3146" s="17">
        <v>90</v>
      </c>
      <c r="I3146" s="6">
        <f>Tabela1[[#This Row],[Valor total]]-Tabela1[[#This Row],[Valor custo]]</f>
        <v>20</v>
      </c>
      <c r="J3146" s="7">
        <f>Tabela1[[#This Row],[MARGEM BRUTA]]/Tabela1[[#This Row],[Valor total]]</f>
        <v>0.22222222222222221</v>
      </c>
      <c r="K3146" s="1" t="str">
        <f>VLOOKUP(Tabela1[[#This Row],[Cliente]],'BASE DE CLIENTES'!A:D,4,0)</f>
        <v>CLIENTE NOVO S/ IDENT.</v>
      </c>
      <c r="L3146" s="1" t="str">
        <f>VLOOKUP(Tabela1[[#This Row],[Cliente]],'BASE DE CLIENTES'!A:E,5,0)</f>
        <v>Brasília</v>
      </c>
    </row>
    <row r="3147" spans="2:12" x14ac:dyDescent="0.3">
      <c r="B3147" s="1" t="s">
        <v>68</v>
      </c>
      <c r="C3147" s="4" t="str">
        <f>VLOOKUP(Tabela1[[#This Row],[Cliente]],'BASE DE CLIENTES'!A:E,2,0)</f>
        <v>Brasília</v>
      </c>
      <c r="D3147" s="1" t="str">
        <f>VLOOKUP(Tabela1[[#This Row],[Cliente]],'BASE DE CLIENTES'!A:C,3,0)</f>
        <v>DF</v>
      </c>
      <c r="E3147" s="4" t="str">
        <f>CONCATENATE(Tabela1[[#This Row],[CIDADE]],",",Tabela1[[#This Row],[UF]])</f>
        <v>Brasília,DF</v>
      </c>
      <c r="F3147" s="2">
        <v>45985</v>
      </c>
      <c r="G3147" s="17">
        <v>705</v>
      </c>
      <c r="H3147" s="17">
        <v>1300</v>
      </c>
      <c r="I3147" s="6">
        <f>Tabela1[[#This Row],[Valor total]]-Tabela1[[#This Row],[Valor custo]]</f>
        <v>595</v>
      </c>
      <c r="J3147" s="7">
        <f>Tabela1[[#This Row],[MARGEM BRUTA]]/Tabela1[[#This Row],[Valor total]]</f>
        <v>0.45769230769230768</v>
      </c>
      <c r="K3147" s="1" t="str">
        <f>VLOOKUP(Tabela1[[#This Row],[Cliente]],'BASE DE CLIENTES'!A:D,4,0)</f>
        <v>EMPRESA COM MAQUINA</v>
      </c>
      <c r="L3147" s="1" t="str">
        <f>VLOOKUP(Tabela1[[#This Row],[Cliente]],'BASE DE CLIENTES'!A:E,5,0)</f>
        <v>SAMAMBAIA SUL (SAMAMBAIA)</v>
      </c>
    </row>
    <row r="3148" spans="2:12" x14ac:dyDescent="0.3">
      <c r="B3148" s="1" t="s">
        <v>42</v>
      </c>
      <c r="C3148" s="4" t="str">
        <f>VLOOKUP(Tabela1[[#This Row],[Cliente]],'BASE DE CLIENTES'!A:E,2,0)</f>
        <v>Brasília</v>
      </c>
      <c r="D3148" s="1" t="str">
        <f>VLOOKUP(Tabela1[[#This Row],[Cliente]],'BASE DE CLIENTES'!A:C,3,0)</f>
        <v>DF</v>
      </c>
      <c r="E3148" s="4" t="str">
        <f>CONCATENATE(Tabela1[[#This Row],[CIDADE]],",",Tabela1[[#This Row],[UF]])</f>
        <v>Brasília,DF</v>
      </c>
      <c r="F3148" s="2">
        <v>45985</v>
      </c>
      <c r="G3148" s="17">
        <v>865.58</v>
      </c>
      <c r="H3148" s="17">
        <v>1230</v>
      </c>
      <c r="I3148" s="6">
        <f>Tabela1[[#This Row],[Valor total]]-Tabela1[[#This Row],[Valor custo]]</f>
        <v>364.41999999999996</v>
      </c>
      <c r="J3148" s="7">
        <f>Tabela1[[#This Row],[MARGEM BRUTA]]/Tabela1[[#This Row],[Valor total]]</f>
        <v>0.29627642276422761</v>
      </c>
      <c r="K3148" s="1" t="str">
        <f>VLOOKUP(Tabela1[[#This Row],[Cliente]],'BASE DE CLIENTES'!A:D,4,0)</f>
        <v>EMPRESA SEM MAQUINA</v>
      </c>
      <c r="L3148" s="1" t="str">
        <f>VLOOKUP(Tabela1[[#This Row],[Cliente]],'BASE DE CLIENTES'!A:E,5,0)</f>
        <v>SAMAMBAIA</v>
      </c>
    </row>
    <row r="3149" spans="2:12" x14ac:dyDescent="0.3">
      <c r="B3149" s="1" t="s">
        <v>305</v>
      </c>
      <c r="C3149" s="4" t="str">
        <f>VLOOKUP(Tabela1[[#This Row],[Cliente]],'BASE DE CLIENTES'!A:E,2,0)</f>
        <v>Brasília</v>
      </c>
      <c r="D3149" s="1" t="str">
        <f>VLOOKUP(Tabela1[[#This Row],[Cliente]],'BASE DE CLIENTES'!A:C,3,0)</f>
        <v>DF</v>
      </c>
      <c r="E3149" s="4" t="str">
        <f>CONCATENATE(Tabela1[[#This Row],[CIDADE]],",",Tabela1[[#This Row],[UF]])</f>
        <v>Brasília,DF</v>
      </c>
      <c r="F3149" s="2">
        <v>45985</v>
      </c>
      <c r="G3149" s="17">
        <v>1403.42</v>
      </c>
      <c r="H3149" s="17">
        <v>2350</v>
      </c>
      <c r="I3149" s="6">
        <f>Tabela1[[#This Row],[Valor total]]-Tabela1[[#This Row],[Valor custo]]</f>
        <v>946.57999999999993</v>
      </c>
      <c r="J3149" s="7">
        <f>Tabela1[[#This Row],[MARGEM BRUTA]]/Tabela1[[#This Row],[Valor total]]</f>
        <v>0.40279999999999999</v>
      </c>
      <c r="K3149" s="1" t="str">
        <f>VLOOKUP(Tabela1[[#This Row],[Cliente]],'BASE DE CLIENTES'!A:D,4,0)</f>
        <v>SERRALHEIRO</v>
      </c>
      <c r="L3149" s="1" t="str">
        <f>VLOOKUP(Tabela1[[#This Row],[Cliente]],'BASE DE CLIENTES'!A:E,5,0)</f>
        <v>RIACHO FUNDO I</v>
      </c>
    </row>
    <row r="3150" spans="2:12" x14ac:dyDescent="0.3">
      <c r="B3150" s="1" t="s">
        <v>97</v>
      </c>
      <c r="C3150" s="4" t="str">
        <f>VLOOKUP(Tabela1[[#This Row],[Cliente]],'BASE DE CLIENTES'!A:E,2,0)</f>
        <v>Brasília</v>
      </c>
      <c r="D3150" s="1" t="str">
        <f>VLOOKUP(Tabela1[[#This Row],[Cliente]],'BASE DE CLIENTES'!A:C,3,0)</f>
        <v>DF</v>
      </c>
      <c r="E3150" s="4" t="str">
        <f>CONCATENATE(Tabela1[[#This Row],[CIDADE]],",",Tabela1[[#This Row],[UF]])</f>
        <v>Brasília,DF</v>
      </c>
      <c r="F3150" s="2">
        <v>45985</v>
      </c>
      <c r="G3150" s="17">
        <v>432.79</v>
      </c>
      <c r="H3150" s="17">
        <v>720</v>
      </c>
      <c r="I3150" s="6">
        <f>Tabela1[[#This Row],[Valor total]]-Tabela1[[#This Row],[Valor custo]]</f>
        <v>287.20999999999998</v>
      </c>
      <c r="J3150" s="7">
        <f>Tabela1[[#This Row],[MARGEM BRUTA]]/Tabela1[[#This Row],[Valor total]]</f>
        <v>0.39890277777777777</v>
      </c>
      <c r="K3150" s="1" t="str">
        <f>VLOOKUP(Tabela1[[#This Row],[Cliente]],'BASE DE CLIENTES'!A:D,4,0)</f>
        <v>SERRALHEIRO</v>
      </c>
      <c r="L3150" s="1" t="str">
        <f>VLOOKUP(Tabela1[[#This Row],[Cliente]],'BASE DE CLIENTES'!A:E,5,0)</f>
        <v>CEILANDIA NORTE</v>
      </c>
    </row>
    <row r="3151" spans="2:12" x14ac:dyDescent="0.3">
      <c r="B3151" s="1" t="s">
        <v>291</v>
      </c>
      <c r="C3151" s="4" t="str">
        <f>VLOOKUP(Tabela1[[#This Row],[Cliente]],'BASE DE CLIENTES'!A:E,2,0)</f>
        <v>Rio Verde</v>
      </c>
      <c r="D3151" s="1" t="str">
        <f>VLOOKUP(Tabela1[[#This Row],[Cliente]],'BASE DE CLIENTES'!A:C,3,0)</f>
        <v>GO</v>
      </c>
      <c r="E3151" s="4" t="str">
        <f>CONCATENATE(Tabela1[[#This Row],[CIDADE]],",",Tabela1[[#This Row],[UF]])</f>
        <v>Rio Verde,GO</v>
      </c>
      <c r="F3151" s="2">
        <v>45985</v>
      </c>
      <c r="G3151" s="17">
        <v>544</v>
      </c>
      <c r="H3151" s="17">
        <v>869</v>
      </c>
      <c r="I3151" s="6">
        <f>Tabela1[[#This Row],[Valor total]]-Tabela1[[#This Row],[Valor custo]]</f>
        <v>325</v>
      </c>
      <c r="J3151" s="7">
        <f>Tabela1[[#This Row],[MARGEM BRUTA]]/Tabela1[[#This Row],[Valor total]]</f>
        <v>0.37399309551208287</v>
      </c>
      <c r="K3151" s="1" t="str">
        <f>VLOOKUP(Tabela1[[#This Row],[Cliente]],'BASE DE CLIENTES'!A:D,4,0)</f>
        <v>EMPRESA COM MAQUINA</v>
      </c>
      <c r="L3151" s="1" t="str">
        <f>VLOOKUP(Tabela1[[#This Row],[Cliente]],'BASE DE CLIENTES'!A:E,5,0)</f>
        <v>Rio Verde</v>
      </c>
    </row>
    <row r="3152" spans="2:12" x14ac:dyDescent="0.3">
      <c r="B3152" s="1" t="s">
        <v>106</v>
      </c>
      <c r="C3152" s="4" t="str">
        <f>VLOOKUP(Tabela1[[#This Row],[Cliente]],'BASE DE CLIENTES'!A:E,2,0)</f>
        <v>Brasília</v>
      </c>
      <c r="D3152" s="1" t="str">
        <f>VLOOKUP(Tabela1[[#This Row],[Cliente]],'BASE DE CLIENTES'!A:C,3,0)</f>
        <v>DF</v>
      </c>
      <c r="E3152" s="4" t="str">
        <f>CONCATENATE(Tabela1[[#This Row],[CIDADE]],",",Tabela1[[#This Row],[UF]])</f>
        <v>Brasília,DF</v>
      </c>
      <c r="F3152" s="2">
        <v>45985</v>
      </c>
      <c r="G3152" s="17">
        <v>1409.58</v>
      </c>
      <c r="H3152" s="17">
        <v>1200</v>
      </c>
      <c r="I3152" s="6">
        <f>Tabela1[[#This Row],[Valor total]]-Tabela1[[#This Row],[Valor custo]]</f>
        <v>-209.57999999999993</v>
      </c>
      <c r="J3152" s="7">
        <f>Tabela1[[#This Row],[MARGEM BRUTA]]/Tabela1[[#This Row],[Valor total]]</f>
        <v>-0.17464999999999994</v>
      </c>
      <c r="K3152" s="1" t="str">
        <f>VLOOKUP(Tabela1[[#This Row],[Cliente]],'BASE DE CLIENTES'!A:D,4,0)</f>
        <v>EMPRESA COM MAQUINA</v>
      </c>
      <c r="L3152" s="1" t="str">
        <f>VLOOKUP(Tabela1[[#This Row],[Cliente]],'BASE DE CLIENTES'!A:E,5,0)</f>
        <v>26 DE SETEMBRO</v>
      </c>
    </row>
    <row r="3153" spans="2:12" x14ac:dyDescent="0.3">
      <c r="B3153" s="1" t="s">
        <v>17</v>
      </c>
      <c r="C3153" s="4" t="str">
        <f>VLOOKUP(Tabela1[[#This Row],[Cliente]],'BASE DE CLIENTES'!A:E,2,0)</f>
        <v>Águas Lindas de Goiás</v>
      </c>
      <c r="D3153" s="1" t="str">
        <f>VLOOKUP(Tabela1[[#This Row],[Cliente]],'BASE DE CLIENTES'!A:C,3,0)</f>
        <v>GO</v>
      </c>
      <c r="E3153" s="4" t="str">
        <f>CONCATENATE(Tabela1[[#This Row],[CIDADE]],",",Tabela1[[#This Row],[UF]])</f>
        <v>Águas Lindas de Goiás,GO</v>
      </c>
      <c r="F3153" s="2">
        <v>45982</v>
      </c>
      <c r="G3153" s="17">
        <v>256.10000000000002</v>
      </c>
      <c r="H3153" s="17">
        <v>308</v>
      </c>
      <c r="I3153" s="6">
        <f>Tabela1[[#This Row],[Valor total]]-Tabela1[[#This Row],[Valor custo]]</f>
        <v>51.899999999999977</v>
      </c>
      <c r="J3153" s="7">
        <f>Tabela1[[#This Row],[MARGEM BRUTA]]/Tabela1[[#This Row],[Valor total]]</f>
        <v>0.16850649350649344</v>
      </c>
      <c r="K3153" s="1" t="str">
        <f>VLOOKUP(Tabela1[[#This Row],[Cliente]],'BASE DE CLIENTES'!A:D,4,0)</f>
        <v>SERRALHEIRO</v>
      </c>
      <c r="L3153" s="1" t="str">
        <f>VLOOKUP(Tabela1[[#This Row],[Cliente]],'BASE DE CLIENTES'!A:E,5,0)</f>
        <v>Águas Lindas de Goiás</v>
      </c>
    </row>
    <row r="3154" spans="2:12" x14ac:dyDescent="0.3">
      <c r="B3154" s="1" t="s">
        <v>27</v>
      </c>
      <c r="C3154" s="4" t="str">
        <f>VLOOKUP(Tabela1[[#This Row],[Cliente]],'BASE DE CLIENTES'!A:E,2,0)</f>
        <v>Brasília</v>
      </c>
      <c r="D3154" s="1" t="str">
        <f>VLOOKUP(Tabela1[[#This Row],[Cliente]],'BASE DE CLIENTES'!A:C,3,0)</f>
        <v>DF</v>
      </c>
      <c r="E3154" s="4" t="str">
        <f>CONCATENATE(Tabela1[[#This Row],[CIDADE]],",",Tabela1[[#This Row],[UF]])</f>
        <v>Brasília,DF</v>
      </c>
      <c r="F3154" s="2">
        <v>45982</v>
      </c>
      <c r="G3154" s="17">
        <v>544</v>
      </c>
      <c r="H3154" s="17">
        <v>780</v>
      </c>
      <c r="I3154" s="6">
        <f>Tabela1[[#This Row],[Valor total]]-Tabela1[[#This Row],[Valor custo]]</f>
        <v>236</v>
      </c>
      <c r="J3154" s="7">
        <f>Tabela1[[#This Row],[MARGEM BRUTA]]/Tabela1[[#This Row],[Valor total]]</f>
        <v>0.30256410256410254</v>
      </c>
      <c r="K3154" s="1" t="str">
        <f>VLOOKUP(Tabela1[[#This Row],[Cliente]],'BASE DE CLIENTES'!A:D,4,0)</f>
        <v>EMPRESA SEM MAQUINA</v>
      </c>
      <c r="L3154" s="1" t="str">
        <f>VLOOKUP(Tabela1[[#This Row],[Cliente]],'BASE DE CLIENTES'!A:E,5,0)</f>
        <v>RECANTO DAS EMAS</v>
      </c>
    </row>
    <row r="3155" spans="2:12" x14ac:dyDescent="0.3">
      <c r="B3155" s="1" t="s">
        <v>152</v>
      </c>
      <c r="C3155" s="4" t="str">
        <f>VLOOKUP(Tabela1[[#This Row],[Cliente]],'BASE DE CLIENTES'!A:E,2,0)</f>
        <v>Aparecida de Goiânia</v>
      </c>
      <c r="D3155" s="1" t="str">
        <f>VLOOKUP(Tabela1[[#This Row],[Cliente]],'BASE DE CLIENTES'!A:C,3,0)</f>
        <v>GO</v>
      </c>
      <c r="E3155" s="4" t="str">
        <f>CONCATENATE(Tabela1[[#This Row],[CIDADE]],",",Tabela1[[#This Row],[UF]])</f>
        <v>Aparecida de Goiânia,GO</v>
      </c>
      <c r="F3155" s="2">
        <v>45982</v>
      </c>
      <c r="G3155" s="17">
        <v>463</v>
      </c>
      <c r="H3155" s="17">
        <v>750</v>
      </c>
      <c r="I3155" s="6">
        <f>Tabela1[[#This Row],[Valor total]]-Tabela1[[#This Row],[Valor custo]]</f>
        <v>287</v>
      </c>
      <c r="J3155" s="7">
        <f>Tabela1[[#This Row],[MARGEM BRUTA]]/Tabela1[[#This Row],[Valor total]]</f>
        <v>0.38266666666666665</v>
      </c>
      <c r="K3155" s="1" t="str">
        <f>VLOOKUP(Tabela1[[#This Row],[Cliente]],'BASE DE CLIENTES'!A:D,4,0)</f>
        <v>TECNICO</v>
      </c>
      <c r="L3155" s="1" t="str">
        <f>VLOOKUP(Tabela1[[#This Row],[Cliente]],'BASE DE CLIENTES'!A:E,5,0)</f>
        <v>Aparecida de Goiânia</v>
      </c>
    </row>
    <row r="3156" spans="2:12" x14ac:dyDescent="0.3">
      <c r="B3156" s="1" t="s">
        <v>236</v>
      </c>
      <c r="C3156" s="4" t="str">
        <f>VLOOKUP(Tabela1[[#This Row],[Cliente]],'BASE DE CLIENTES'!A:E,2,0)</f>
        <v>Goiânia</v>
      </c>
      <c r="D3156" s="1" t="str">
        <f>VLOOKUP(Tabela1[[#This Row],[Cliente]],'BASE DE CLIENTES'!A:C,3,0)</f>
        <v>GO</v>
      </c>
      <c r="E3156" s="4" t="str">
        <f>CONCATENATE(Tabela1[[#This Row],[CIDADE]],",",Tabela1[[#This Row],[UF]])</f>
        <v>Goiânia,GO</v>
      </c>
      <c r="F3156" s="2">
        <v>45982</v>
      </c>
      <c r="G3156" s="17">
        <v>2866</v>
      </c>
      <c r="H3156" s="17">
        <v>4310</v>
      </c>
      <c r="I3156" s="6">
        <f>Tabela1[[#This Row],[Valor total]]-Tabela1[[#This Row],[Valor custo]]</f>
        <v>1444</v>
      </c>
      <c r="J3156" s="7">
        <f>Tabela1[[#This Row],[MARGEM BRUTA]]/Tabela1[[#This Row],[Valor total]]</f>
        <v>0.33503480278422276</v>
      </c>
      <c r="K3156" s="1" t="str">
        <f>VLOOKUP(Tabela1[[#This Row],[Cliente]],'BASE DE CLIENTES'!A:D,4,0)</f>
        <v>EMPRESA COM MAQUINA</v>
      </c>
      <c r="L3156" s="1" t="str">
        <f>VLOOKUP(Tabela1[[#This Row],[Cliente]],'BASE DE CLIENTES'!A:E,5,0)</f>
        <v>Goiânia</v>
      </c>
    </row>
    <row r="3157" spans="2:12" x14ac:dyDescent="0.3">
      <c r="B3157" s="1" t="s">
        <v>199</v>
      </c>
      <c r="C3157" s="4" t="str">
        <f>VLOOKUP(Tabela1[[#This Row],[Cliente]],'BASE DE CLIENTES'!A:E,2,0)</f>
        <v>Goiânia</v>
      </c>
      <c r="D3157" s="1" t="str">
        <f>VLOOKUP(Tabela1[[#This Row],[Cliente]],'BASE DE CLIENTES'!A:C,3,0)</f>
        <v>GO</v>
      </c>
      <c r="E3157" s="4" t="str">
        <f>CONCATENATE(Tabela1[[#This Row],[CIDADE]],",",Tabela1[[#This Row],[UF]])</f>
        <v>Goiânia,GO</v>
      </c>
      <c r="F3157" s="2">
        <v>45982</v>
      </c>
      <c r="G3157" s="17">
        <v>4850</v>
      </c>
      <c r="H3157" s="17">
        <v>6800</v>
      </c>
      <c r="I3157" s="6">
        <f>Tabela1[[#This Row],[Valor total]]-Tabela1[[#This Row],[Valor custo]]</f>
        <v>1950</v>
      </c>
      <c r="J3157" s="7">
        <f>Tabela1[[#This Row],[MARGEM BRUTA]]/Tabela1[[#This Row],[Valor total]]</f>
        <v>0.28676470588235292</v>
      </c>
      <c r="K3157" s="1" t="str">
        <f>VLOOKUP(Tabela1[[#This Row],[Cliente]],'BASE DE CLIENTES'!A:D,4,0)</f>
        <v>EMPRESA COM MAQUINA</v>
      </c>
      <c r="L3157" s="1" t="str">
        <f>VLOOKUP(Tabela1[[#This Row],[Cliente]],'BASE DE CLIENTES'!A:E,5,0)</f>
        <v>Goiânia</v>
      </c>
    </row>
    <row r="3158" spans="2:12" x14ac:dyDescent="0.3">
      <c r="B3158" s="1" t="s">
        <v>321</v>
      </c>
      <c r="C3158" s="4" t="str">
        <f>VLOOKUP(Tabela1[[#This Row],[Cliente]],'BASE DE CLIENTES'!A:E,2,0)</f>
        <v>Valparaíso de Goiás</v>
      </c>
      <c r="D3158" s="1" t="str">
        <f>VLOOKUP(Tabela1[[#This Row],[Cliente]],'BASE DE CLIENTES'!A:C,3,0)</f>
        <v>GO</v>
      </c>
      <c r="E3158" s="4" t="str">
        <f>CONCATENATE(Tabela1[[#This Row],[CIDADE]],",",Tabela1[[#This Row],[UF]])</f>
        <v>Valparaíso de Goiás,GO</v>
      </c>
      <c r="F3158" s="2">
        <v>45982</v>
      </c>
      <c r="G3158" s="17">
        <v>562.79</v>
      </c>
      <c r="H3158" s="17">
        <v>800</v>
      </c>
      <c r="I3158" s="6">
        <f>Tabela1[[#This Row],[Valor total]]-Tabela1[[#This Row],[Valor custo]]</f>
        <v>237.21000000000004</v>
      </c>
      <c r="J3158" s="7">
        <f>Tabela1[[#This Row],[MARGEM BRUTA]]/Tabela1[[#This Row],[Valor total]]</f>
        <v>0.29651250000000007</v>
      </c>
      <c r="K3158" s="1" t="str">
        <f>VLOOKUP(Tabela1[[#This Row],[Cliente]],'BASE DE CLIENTES'!A:D,4,0)</f>
        <v>EMPRESA COM MAQUINA</v>
      </c>
      <c r="L3158" s="1" t="str">
        <f>VLOOKUP(Tabela1[[#This Row],[Cliente]],'BASE DE CLIENTES'!A:E,5,0)</f>
        <v>Valparaíso de Goiás</v>
      </c>
    </row>
    <row r="3159" spans="2:12" x14ac:dyDescent="0.3">
      <c r="B3159" s="1" t="s">
        <v>239</v>
      </c>
      <c r="C3159" s="4" t="str">
        <f>VLOOKUP(Tabela1[[#This Row],[Cliente]],'BASE DE CLIENTES'!A:E,2,0)</f>
        <v>Brasília</v>
      </c>
      <c r="D3159" s="1" t="str">
        <f>VLOOKUP(Tabela1[[#This Row],[Cliente]],'BASE DE CLIENTES'!A:C,3,0)</f>
        <v>DF</v>
      </c>
      <c r="E3159" s="4" t="str">
        <f>CONCATENATE(Tabela1[[#This Row],[CIDADE]],",",Tabela1[[#This Row],[UF]])</f>
        <v>Brasília,DF</v>
      </c>
      <c r="F3159" s="2">
        <v>45982</v>
      </c>
      <c r="G3159" s="17">
        <v>322.56</v>
      </c>
      <c r="H3159" s="17">
        <v>613</v>
      </c>
      <c r="I3159" s="6">
        <f>Tabela1[[#This Row],[Valor total]]-Tabela1[[#This Row],[Valor custo]]</f>
        <v>290.44</v>
      </c>
      <c r="J3159" s="7">
        <f>Tabela1[[#This Row],[MARGEM BRUTA]]/Tabela1[[#This Row],[Valor total]]</f>
        <v>0.47380097879282218</v>
      </c>
      <c r="K3159" s="1" t="str">
        <f>VLOOKUP(Tabela1[[#This Row],[Cliente]],'BASE DE CLIENTES'!A:D,4,0)</f>
        <v>EMPRESA COM MAQUINA</v>
      </c>
      <c r="L3159" s="1" t="str">
        <f>VLOOKUP(Tabela1[[#This Row],[Cliente]],'BASE DE CLIENTES'!A:E,5,0)</f>
        <v>RIACHO FUNDO II</v>
      </c>
    </row>
    <row r="3160" spans="2:12" x14ac:dyDescent="0.3">
      <c r="B3160" s="1" t="s">
        <v>254</v>
      </c>
      <c r="C3160" s="4" t="str">
        <f>VLOOKUP(Tabela1[[#This Row],[Cliente]],'BASE DE CLIENTES'!A:E,2,0)</f>
        <v>Luziânia</v>
      </c>
      <c r="D3160" s="1" t="str">
        <f>VLOOKUP(Tabela1[[#This Row],[Cliente]],'BASE DE CLIENTES'!A:C,3,0)</f>
        <v>GO</v>
      </c>
      <c r="E3160" s="4" t="str">
        <f>CONCATENATE(Tabela1[[#This Row],[CIDADE]],",",Tabela1[[#This Row],[UF]])</f>
        <v>Luziânia,GO</v>
      </c>
      <c r="F3160" s="2">
        <v>45982</v>
      </c>
      <c r="G3160" s="17">
        <v>48.76</v>
      </c>
      <c r="H3160" s="17">
        <v>60</v>
      </c>
      <c r="I3160" s="6">
        <f>Tabela1[[#This Row],[Valor total]]-Tabela1[[#This Row],[Valor custo]]</f>
        <v>11.240000000000002</v>
      </c>
      <c r="J3160" s="7">
        <f>Tabela1[[#This Row],[MARGEM BRUTA]]/Tabela1[[#This Row],[Valor total]]</f>
        <v>0.18733333333333338</v>
      </c>
      <c r="K3160" s="1" t="str">
        <f>VLOOKUP(Tabela1[[#This Row],[Cliente]],'BASE DE CLIENTES'!A:D,4,0)</f>
        <v>SERRALHEIRO</v>
      </c>
      <c r="L3160" s="1" t="str">
        <f>VLOOKUP(Tabela1[[#This Row],[Cliente]],'BASE DE CLIENTES'!A:E,5,0)</f>
        <v>Luziânia</v>
      </c>
    </row>
    <row r="3161" spans="2:12" x14ac:dyDescent="0.3">
      <c r="B3161" s="1" t="s">
        <v>254</v>
      </c>
      <c r="C3161" s="4" t="str">
        <f>VLOOKUP(Tabela1[[#This Row],[Cliente]],'BASE DE CLIENTES'!A:E,2,0)</f>
        <v>Luziânia</v>
      </c>
      <c r="D3161" s="1" t="str">
        <f>VLOOKUP(Tabela1[[#This Row],[Cliente]],'BASE DE CLIENTES'!A:C,3,0)</f>
        <v>GO</v>
      </c>
      <c r="E3161" s="4" t="str">
        <f>CONCATENATE(Tabela1[[#This Row],[CIDADE]],",",Tabela1[[#This Row],[UF]])</f>
        <v>Luziânia,GO</v>
      </c>
      <c r="F3161" s="2">
        <v>45982</v>
      </c>
      <c r="G3161" s="17">
        <v>6.1</v>
      </c>
      <c r="H3161" s="17">
        <v>8</v>
      </c>
      <c r="I3161" s="6">
        <f>Tabela1[[#This Row],[Valor total]]-Tabela1[[#This Row],[Valor custo]]</f>
        <v>1.9000000000000004</v>
      </c>
      <c r="J3161" s="7">
        <f>Tabela1[[#This Row],[MARGEM BRUTA]]/Tabela1[[#This Row],[Valor total]]</f>
        <v>0.23750000000000004</v>
      </c>
      <c r="K3161" s="1" t="str">
        <f>VLOOKUP(Tabela1[[#This Row],[Cliente]],'BASE DE CLIENTES'!A:D,4,0)</f>
        <v>SERRALHEIRO</v>
      </c>
      <c r="L3161" s="1" t="str">
        <f>VLOOKUP(Tabela1[[#This Row],[Cliente]],'BASE DE CLIENTES'!A:E,5,0)</f>
        <v>Luziânia</v>
      </c>
    </row>
    <row r="3162" spans="2:12" x14ac:dyDescent="0.3">
      <c r="B3162" s="1" t="s">
        <v>70</v>
      </c>
      <c r="C3162" s="4" t="str">
        <f>VLOOKUP(Tabela1[[#This Row],[Cliente]],'BASE DE CLIENTES'!A:E,2,0)</f>
        <v>Brasília</v>
      </c>
      <c r="D3162" s="1" t="str">
        <f>VLOOKUP(Tabela1[[#This Row],[Cliente]],'BASE DE CLIENTES'!A:C,3,0)</f>
        <v>DF</v>
      </c>
      <c r="E3162" s="4" t="str">
        <f>CONCATENATE(Tabela1[[#This Row],[CIDADE]],",",Tabela1[[#This Row],[UF]])</f>
        <v>Brasília,DF</v>
      </c>
      <c r="F3162" s="2">
        <v>45982</v>
      </c>
      <c r="G3162" s="17">
        <v>487.22</v>
      </c>
      <c r="H3162" s="17">
        <v>700</v>
      </c>
      <c r="I3162" s="6">
        <f>Tabela1[[#This Row],[Valor total]]-Tabela1[[#This Row],[Valor custo]]</f>
        <v>212.77999999999997</v>
      </c>
      <c r="J3162" s="7">
        <f>Tabela1[[#This Row],[MARGEM BRUTA]]/Tabela1[[#This Row],[Valor total]]</f>
        <v>0.30397142857142856</v>
      </c>
      <c r="K3162" s="1" t="str">
        <f>VLOOKUP(Tabela1[[#This Row],[Cliente]],'BASE DE CLIENTES'!A:D,4,0)</f>
        <v>EMPRESA COM MAQUINA</v>
      </c>
      <c r="L3162" s="1" t="str">
        <f>VLOOKUP(Tabela1[[#This Row],[Cliente]],'BASE DE CLIENTES'!A:E,5,0)</f>
        <v>TAGUATINGA NORTE (TAGUATINGA)</v>
      </c>
    </row>
    <row r="3163" spans="2:12" x14ac:dyDescent="0.3">
      <c r="B3163" s="1" t="s">
        <v>106</v>
      </c>
      <c r="C3163" s="4" t="str">
        <f>VLOOKUP(Tabela1[[#This Row],[Cliente]],'BASE DE CLIENTES'!A:E,2,0)</f>
        <v>Brasília</v>
      </c>
      <c r="D3163" s="1" t="str">
        <f>VLOOKUP(Tabela1[[#This Row],[Cliente]],'BASE DE CLIENTES'!A:C,3,0)</f>
        <v>DF</v>
      </c>
      <c r="E3163" s="4" t="str">
        <f>CONCATENATE(Tabela1[[#This Row],[CIDADE]],",",Tabela1[[#This Row],[UF]])</f>
        <v>Brasília,DF</v>
      </c>
      <c r="F3163" s="2">
        <v>45982</v>
      </c>
      <c r="G3163" s="17">
        <v>3133.95</v>
      </c>
      <c r="H3163" s="17">
        <v>4830</v>
      </c>
      <c r="I3163" s="6">
        <f>Tabela1[[#This Row],[Valor total]]-Tabela1[[#This Row],[Valor custo]]</f>
        <v>1696.0500000000002</v>
      </c>
      <c r="J3163" s="7">
        <f>Tabela1[[#This Row],[MARGEM BRUTA]]/Tabela1[[#This Row],[Valor total]]</f>
        <v>0.35114906832298143</v>
      </c>
      <c r="K3163" s="1" t="str">
        <f>VLOOKUP(Tabela1[[#This Row],[Cliente]],'BASE DE CLIENTES'!A:D,4,0)</f>
        <v>EMPRESA COM MAQUINA</v>
      </c>
      <c r="L3163" s="1" t="str">
        <f>VLOOKUP(Tabela1[[#This Row],[Cliente]],'BASE DE CLIENTES'!A:E,5,0)</f>
        <v>26 DE SETEMBRO</v>
      </c>
    </row>
    <row r="3164" spans="2:12" x14ac:dyDescent="0.3">
      <c r="B3164" s="1" t="s">
        <v>236</v>
      </c>
      <c r="C3164" s="4" t="str">
        <f>VLOOKUP(Tabela1[[#This Row],[Cliente]],'BASE DE CLIENTES'!A:E,2,0)</f>
        <v>Goiânia</v>
      </c>
      <c r="D3164" s="1" t="str">
        <f>VLOOKUP(Tabela1[[#This Row],[Cliente]],'BASE DE CLIENTES'!A:C,3,0)</f>
        <v>GO</v>
      </c>
      <c r="E3164" s="4" t="str">
        <f>CONCATENATE(Tabela1[[#This Row],[CIDADE]],",",Tabela1[[#This Row],[UF]])</f>
        <v>Goiânia,GO</v>
      </c>
      <c r="F3164" s="2">
        <v>45982</v>
      </c>
      <c r="G3164" s="17">
        <v>770</v>
      </c>
      <c r="H3164" s="17">
        <v>1040</v>
      </c>
      <c r="I3164" s="6">
        <f>Tabela1[[#This Row],[Valor total]]-Tabela1[[#This Row],[Valor custo]]</f>
        <v>270</v>
      </c>
      <c r="J3164" s="7">
        <f>Tabela1[[#This Row],[MARGEM BRUTA]]/Tabela1[[#This Row],[Valor total]]</f>
        <v>0.25961538461538464</v>
      </c>
      <c r="K3164" s="1" t="str">
        <f>VLOOKUP(Tabela1[[#This Row],[Cliente]],'BASE DE CLIENTES'!A:D,4,0)</f>
        <v>EMPRESA COM MAQUINA</v>
      </c>
      <c r="L3164" s="1" t="str">
        <f>VLOOKUP(Tabela1[[#This Row],[Cliente]],'BASE DE CLIENTES'!A:E,5,0)</f>
        <v>Goiânia</v>
      </c>
    </row>
    <row r="3165" spans="2:12" x14ac:dyDescent="0.3">
      <c r="B3165" s="1" t="s">
        <v>322</v>
      </c>
      <c r="C3165" s="4" t="str">
        <f>VLOOKUP(Tabela1[[#This Row],[Cliente]],'BASE DE CLIENTES'!A:E,2,0)</f>
        <v>Brasília</v>
      </c>
      <c r="D3165" s="1" t="str">
        <f>VLOOKUP(Tabela1[[#This Row],[Cliente]],'BASE DE CLIENTES'!A:C,3,0)</f>
        <v>DF</v>
      </c>
      <c r="E3165" s="4" t="str">
        <f>CONCATENATE(Tabela1[[#This Row],[CIDADE]],",",Tabela1[[#This Row],[UF]])</f>
        <v>Brasília,DF</v>
      </c>
      <c r="F3165" s="2">
        <v>45982</v>
      </c>
      <c r="G3165" s="17">
        <v>293.13</v>
      </c>
      <c r="H3165" s="17">
        <v>400</v>
      </c>
      <c r="I3165" s="6">
        <f>Tabela1[[#This Row],[Valor total]]-Tabela1[[#This Row],[Valor custo]]</f>
        <v>106.87</v>
      </c>
      <c r="J3165" s="7">
        <f>Tabela1[[#This Row],[MARGEM BRUTA]]/Tabela1[[#This Row],[Valor total]]</f>
        <v>0.267175</v>
      </c>
      <c r="K3165" s="1" t="str">
        <f>VLOOKUP(Tabela1[[#This Row],[Cliente]],'BASE DE CLIENTES'!A:D,4,0)</f>
        <v>SERRALHEIRO</v>
      </c>
      <c r="L3165" s="1" t="str">
        <f>VLOOKUP(Tabela1[[#This Row],[Cliente]],'BASE DE CLIENTES'!A:E,5,0)</f>
        <v>RIACHO FUNDO I</v>
      </c>
    </row>
    <row r="3166" spans="2:12" x14ac:dyDescent="0.3">
      <c r="B3166" s="1" t="s">
        <v>230</v>
      </c>
      <c r="C3166" s="4" t="str">
        <f>VLOOKUP(Tabela1[[#This Row],[Cliente]],'BASE DE CLIENTES'!A:E,2,0)</f>
        <v>Brasília</v>
      </c>
      <c r="D3166" s="1" t="str">
        <f>VLOOKUP(Tabela1[[#This Row],[Cliente]],'BASE DE CLIENTES'!A:C,3,0)</f>
        <v>DF</v>
      </c>
      <c r="E3166" s="4" t="str">
        <f>CONCATENATE(Tabela1[[#This Row],[CIDADE]],",",Tabela1[[#This Row],[UF]])</f>
        <v>Brasília,DF</v>
      </c>
      <c r="F3166" s="2">
        <v>45980</v>
      </c>
      <c r="G3166" s="17">
        <v>55</v>
      </c>
      <c r="H3166" s="17">
        <v>180</v>
      </c>
      <c r="I3166" s="6">
        <f>Tabela1[[#This Row],[Valor total]]-Tabela1[[#This Row],[Valor custo]]</f>
        <v>125</v>
      </c>
      <c r="J3166" s="7">
        <f>Tabela1[[#This Row],[MARGEM BRUTA]]/Tabela1[[#This Row],[Valor total]]</f>
        <v>0.69444444444444442</v>
      </c>
      <c r="K3166" s="1" t="str">
        <f>VLOOKUP(Tabela1[[#This Row],[Cliente]],'BASE DE CLIENTES'!A:D,4,0)</f>
        <v>SERRALHEIRO</v>
      </c>
      <c r="L3166" s="1" t="str">
        <f>VLOOKUP(Tabela1[[#This Row],[Cliente]],'BASE DE CLIENTES'!A:E,5,0)</f>
        <v>SETOR HABITACIONAL SAMAMBAIA (VICENTE PIRES)</v>
      </c>
    </row>
    <row r="3167" spans="2:12" x14ac:dyDescent="0.3">
      <c r="B3167" s="1" t="s">
        <v>106</v>
      </c>
      <c r="C3167" s="4" t="str">
        <f>VLOOKUP(Tabela1[[#This Row],[Cliente]],'BASE DE CLIENTES'!A:E,2,0)</f>
        <v>Brasília</v>
      </c>
      <c r="D3167" s="1" t="str">
        <f>VLOOKUP(Tabela1[[#This Row],[Cliente]],'BASE DE CLIENTES'!A:C,3,0)</f>
        <v>DF</v>
      </c>
      <c r="E3167" s="4" t="str">
        <f>CONCATENATE(Tabela1[[#This Row],[CIDADE]],",",Tabela1[[#This Row],[UF]])</f>
        <v>Brasília,DF</v>
      </c>
      <c r="F3167" s="2">
        <v>45980</v>
      </c>
      <c r="G3167" s="17">
        <v>865.58</v>
      </c>
      <c r="H3167" s="17">
        <v>1200</v>
      </c>
      <c r="I3167" s="6">
        <f>Tabela1[[#This Row],[Valor total]]-Tabela1[[#This Row],[Valor custo]]</f>
        <v>334.41999999999996</v>
      </c>
      <c r="J3167" s="7">
        <f>Tabela1[[#This Row],[MARGEM BRUTA]]/Tabela1[[#This Row],[Valor total]]</f>
        <v>0.27868333333333328</v>
      </c>
      <c r="K3167" s="1" t="str">
        <f>VLOOKUP(Tabela1[[#This Row],[Cliente]],'BASE DE CLIENTES'!A:D,4,0)</f>
        <v>EMPRESA COM MAQUINA</v>
      </c>
      <c r="L3167" s="1" t="str">
        <f>VLOOKUP(Tabela1[[#This Row],[Cliente]],'BASE DE CLIENTES'!A:E,5,0)</f>
        <v>26 DE SETEMBRO</v>
      </c>
    </row>
    <row r="3168" spans="2:12" x14ac:dyDescent="0.3">
      <c r="B3168" s="1" t="s">
        <v>321</v>
      </c>
      <c r="C3168" s="4" t="str">
        <f>VLOOKUP(Tabela1[[#This Row],[Cliente]],'BASE DE CLIENTES'!A:E,2,0)</f>
        <v>Valparaíso de Goiás</v>
      </c>
      <c r="D3168" s="1" t="str">
        <f>VLOOKUP(Tabela1[[#This Row],[Cliente]],'BASE DE CLIENTES'!A:C,3,0)</f>
        <v>GO</v>
      </c>
      <c r="E3168" s="4" t="str">
        <f>CONCATENATE(Tabela1[[#This Row],[CIDADE]],",",Tabela1[[#This Row],[UF]])</f>
        <v>Valparaíso de Goiás,GO</v>
      </c>
      <c r="F3168" s="2">
        <v>45980</v>
      </c>
      <c r="G3168" s="17">
        <v>1947.37</v>
      </c>
      <c r="H3168" s="17">
        <v>2890</v>
      </c>
      <c r="I3168" s="6">
        <f>Tabela1[[#This Row],[Valor total]]-Tabela1[[#This Row],[Valor custo]]</f>
        <v>942.63000000000011</v>
      </c>
      <c r="J3168" s="7">
        <f>Tabela1[[#This Row],[MARGEM BRUTA]]/Tabela1[[#This Row],[Valor total]]</f>
        <v>0.32616955017301041</v>
      </c>
      <c r="K3168" s="1" t="str">
        <f>VLOOKUP(Tabela1[[#This Row],[Cliente]],'BASE DE CLIENTES'!A:D,4,0)</f>
        <v>EMPRESA COM MAQUINA</v>
      </c>
      <c r="L3168" s="1" t="str">
        <f>VLOOKUP(Tabela1[[#This Row],[Cliente]],'BASE DE CLIENTES'!A:E,5,0)</f>
        <v>Valparaíso de Goiás</v>
      </c>
    </row>
    <row r="3169" spans="2:12" x14ac:dyDescent="0.3">
      <c r="B3169" s="1" t="s">
        <v>66</v>
      </c>
      <c r="C3169" s="4" t="str">
        <f>VLOOKUP(Tabela1[[#This Row],[Cliente]],'BASE DE CLIENTES'!A:E,2,0)</f>
        <v>Águas Lindas de Goiás</v>
      </c>
      <c r="D3169" s="1" t="str">
        <f>VLOOKUP(Tabela1[[#This Row],[Cliente]],'BASE DE CLIENTES'!A:C,3,0)</f>
        <v>GO</v>
      </c>
      <c r="E3169" s="4" t="str">
        <f>CONCATENATE(Tabela1[[#This Row],[CIDADE]],",",Tabela1[[#This Row],[UF]])</f>
        <v>Águas Lindas de Goiás,GO</v>
      </c>
      <c r="F3169" s="2">
        <v>45980</v>
      </c>
      <c r="G3169" s="17">
        <v>432.79</v>
      </c>
      <c r="H3169" s="17">
        <v>650</v>
      </c>
      <c r="I3169" s="6">
        <f>Tabela1[[#This Row],[Valor total]]-Tabela1[[#This Row],[Valor custo]]</f>
        <v>217.20999999999998</v>
      </c>
      <c r="J3169" s="7">
        <f>Tabela1[[#This Row],[MARGEM BRUTA]]/Tabela1[[#This Row],[Valor total]]</f>
        <v>0.33416923076923072</v>
      </c>
      <c r="K3169" s="1" t="str">
        <f>VLOOKUP(Tabela1[[#This Row],[Cliente]],'BASE DE CLIENTES'!A:D,4,0)</f>
        <v>EMPRESA COM MAQUINA</v>
      </c>
      <c r="L3169" s="1" t="str">
        <f>VLOOKUP(Tabela1[[#This Row],[Cliente]],'BASE DE CLIENTES'!A:E,5,0)</f>
        <v>Águas Lindas de Goiás</v>
      </c>
    </row>
    <row r="3170" spans="2:12" x14ac:dyDescent="0.3">
      <c r="B3170" s="1" t="s">
        <v>66</v>
      </c>
      <c r="C3170" s="4" t="str">
        <f>VLOOKUP(Tabela1[[#This Row],[Cliente]],'BASE DE CLIENTES'!A:E,2,0)</f>
        <v>Águas Lindas de Goiás</v>
      </c>
      <c r="D3170" s="1" t="str">
        <f>VLOOKUP(Tabela1[[#This Row],[Cliente]],'BASE DE CLIENTES'!A:C,3,0)</f>
        <v>GO</v>
      </c>
      <c r="E3170" s="4" t="str">
        <f>CONCATENATE(Tabela1[[#This Row],[CIDADE]],",",Tabela1[[#This Row],[UF]])</f>
        <v>Águas Lindas de Goiás,GO</v>
      </c>
      <c r="F3170" s="2">
        <v>45980</v>
      </c>
      <c r="G3170" s="17">
        <v>911.33</v>
      </c>
      <c r="H3170" s="17">
        <v>1340</v>
      </c>
      <c r="I3170" s="6">
        <f>Tabela1[[#This Row],[Valor total]]-Tabela1[[#This Row],[Valor custo]]</f>
        <v>428.66999999999996</v>
      </c>
      <c r="J3170" s="7">
        <f>Tabela1[[#This Row],[MARGEM BRUTA]]/Tabela1[[#This Row],[Valor total]]</f>
        <v>0.31990298507462683</v>
      </c>
      <c r="K3170" s="1" t="str">
        <f>VLOOKUP(Tabela1[[#This Row],[Cliente]],'BASE DE CLIENTES'!A:D,4,0)</f>
        <v>EMPRESA COM MAQUINA</v>
      </c>
      <c r="L3170" s="1" t="str">
        <f>VLOOKUP(Tabela1[[#This Row],[Cliente]],'BASE DE CLIENTES'!A:E,5,0)</f>
        <v>Águas Lindas de Goiás</v>
      </c>
    </row>
    <row r="3171" spans="2:12" x14ac:dyDescent="0.3">
      <c r="B3171" s="1" t="s">
        <v>316</v>
      </c>
      <c r="C3171" s="4" t="str">
        <f>VLOOKUP(Tabela1[[#This Row],[Cliente]],'BASE DE CLIENTES'!A:E,2,0)</f>
        <v>Valparaíso de Goiás</v>
      </c>
      <c r="D3171" s="1" t="str">
        <f>VLOOKUP(Tabela1[[#This Row],[Cliente]],'BASE DE CLIENTES'!A:C,3,0)</f>
        <v>GO</v>
      </c>
      <c r="E3171" s="4" t="str">
        <f>CONCATENATE(Tabela1[[#This Row],[CIDADE]],",",Tabela1[[#This Row],[UF]])</f>
        <v>Valparaíso de Goiás,GO</v>
      </c>
      <c r="F3171" s="2">
        <v>45980</v>
      </c>
      <c r="G3171" s="17">
        <v>1147.69</v>
      </c>
      <c r="H3171" s="17">
        <v>1945</v>
      </c>
      <c r="I3171" s="6">
        <f>Tabela1[[#This Row],[Valor total]]-Tabela1[[#This Row],[Valor custo]]</f>
        <v>797.31</v>
      </c>
      <c r="J3171" s="7">
        <f>Tabela1[[#This Row],[MARGEM BRUTA]]/Tabela1[[#This Row],[Valor total]]</f>
        <v>0.40992802056555266</v>
      </c>
      <c r="K3171" s="1" t="str">
        <f>VLOOKUP(Tabela1[[#This Row],[Cliente]],'BASE DE CLIENTES'!A:D,4,0)</f>
        <v>SERRALHEIRO</v>
      </c>
      <c r="L3171" s="1" t="str">
        <f>VLOOKUP(Tabela1[[#This Row],[Cliente]],'BASE DE CLIENTES'!A:E,5,0)</f>
        <v>Valparaíso de Goiás</v>
      </c>
    </row>
    <row r="3172" spans="2:12" x14ac:dyDescent="0.3">
      <c r="B3172" s="1" t="s">
        <v>107</v>
      </c>
      <c r="C3172" s="4" t="str">
        <f>VLOOKUP(Tabela1[[#This Row],[Cliente]],'BASE DE CLIENTES'!A:E,2,0)</f>
        <v>Planaltina</v>
      </c>
      <c r="D3172" s="1" t="str">
        <f>VLOOKUP(Tabela1[[#This Row],[Cliente]],'BASE DE CLIENTES'!A:C,3,0)</f>
        <v>DF</v>
      </c>
      <c r="E3172" s="4" t="str">
        <f>CONCATENATE(Tabela1[[#This Row],[CIDADE]],",",Tabela1[[#This Row],[UF]])</f>
        <v>Planaltina,DF</v>
      </c>
      <c r="F3172" s="2">
        <v>45980</v>
      </c>
      <c r="G3172" s="17">
        <v>2468</v>
      </c>
      <c r="H3172" s="17">
        <v>3660</v>
      </c>
      <c r="I3172" s="6">
        <f>Tabela1[[#This Row],[Valor total]]-Tabela1[[#This Row],[Valor custo]]</f>
        <v>1192</v>
      </c>
      <c r="J3172" s="7">
        <f>Tabela1[[#This Row],[MARGEM BRUTA]]/Tabela1[[#This Row],[Valor total]]</f>
        <v>0.3256830601092896</v>
      </c>
      <c r="K3172" s="1" t="str">
        <f>VLOOKUP(Tabela1[[#This Row],[Cliente]],'BASE DE CLIENTES'!A:D,4,0)</f>
        <v>EMPRESA COM MAQUINA</v>
      </c>
      <c r="L3172" s="1" t="str">
        <f>VLOOKUP(Tabela1[[#This Row],[Cliente]],'BASE DE CLIENTES'!A:E,5,0)</f>
        <v>SETOR LESTE</v>
      </c>
    </row>
    <row r="3173" spans="2:12" x14ac:dyDescent="0.3">
      <c r="B3173" s="1" t="s">
        <v>140</v>
      </c>
      <c r="C3173" s="4" t="str">
        <f>VLOOKUP(Tabela1[[#This Row],[Cliente]],'BASE DE CLIENTES'!A:E,2,0)</f>
        <v>Brasília</v>
      </c>
      <c r="D3173" s="1" t="str">
        <f>VLOOKUP(Tabela1[[#This Row],[Cliente]],'BASE DE CLIENTES'!A:C,3,0)</f>
        <v>DF</v>
      </c>
      <c r="E3173" s="4" t="str">
        <f>CONCATENATE(Tabela1[[#This Row],[CIDADE]],",",Tabela1[[#This Row],[UF]])</f>
        <v>Brasília,DF</v>
      </c>
      <c r="F3173" s="2">
        <v>45980</v>
      </c>
      <c r="G3173" s="17">
        <v>250</v>
      </c>
      <c r="H3173" s="17">
        <v>280</v>
      </c>
      <c r="I3173" s="6">
        <f>Tabela1[[#This Row],[Valor total]]-Tabela1[[#This Row],[Valor custo]]</f>
        <v>30</v>
      </c>
      <c r="J3173" s="7">
        <f>Tabela1[[#This Row],[MARGEM BRUTA]]/Tabela1[[#This Row],[Valor total]]</f>
        <v>0.10714285714285714</v>
      </c>
      <c r="K3173" s="1" t="str">
        <f>VLOOKUP(Tabela1[[#This Row],[Cliente]],'BASE DE CLIENTES'!A:D,4,0)</f>
        <v>EMPRESA COM MAQUINA</v>
      </c>
      <c r="L3173" s="1" t="str">
        <f>VLOOKUP(Tabela1[[#This Row],[Cliente]],'BASE DE CLIENTES'!A:E,5,0)</f>
        <v>RECANTO DAS EMAS</v>
      </c>
    </row>
    <row r="3174" spans="2:12" x14ac:dyDescent="0.3">
      <c r="B3174" s="1" t="s">
        <v>152</v>
      </c>
      <c r="C3174" s="4" t="str">
        <f>VLOOKUP(Tabela1[[#This Row],[Cliente]],'BASE DE CLIENTES'!A:E,2,0)</f>
        <v>Aparecida de Goiânia</v>
      </c>
      <c r="D3174" s="1" t="str">
        <f>VLOOKUP(Tabela1[[#This Row],[Cliente]],'BASE DE CLIENTES'!A:C,3,0)</f>
        <v>GO</v>
      </c>
      <c r="E3174" s="4" t="str">
        <f>CONCATENATE(Tabela1[[#This Row],[CIDADE]],",",Tabela1[[#This Row],[UF]])</f>
        <v>Aparecida de Goiânia,GO</v>
      </c>
      <c r="F3174" s="2">
        <v>45980</v>
      </c>
      <c r="G3174" s="17">
        <v>649</v>
      </c>
      <c r="H3174" s="17">
        <v>900</v>
      </c>
      <c r="I3174" s="6">
        <f>Tabela1[[#This Row],[Valor total]]-Tabela1[[#This Row],[Valor custo]]</f>
        <v>251</v>
      </c>
      <c r="J3174" s="7">
        <f>Tabela1[[#This Row],[MARGEM BRUTA]]/Tabela1[[#This Row],[Valor total]]</f>
        <v>0.27888888888888891</v>
      </c>
      <c r="K3174" s="1" t="str">
        <f>VLOOKUP(Tabela1[[#This Row],[Cliente]],'BASE DE CLIENTES'!A:D,4,0)</f>
        <v>TECNICO</v>
      </c>
      <c r="L3174" s="1" t="str">
        <f>VLOOKUP(Tabela1[[#This Row],[Cliente]],'BASE DE CLIENTES'!A:E,5,0)</f>
        <v>Aparecida de Goiânia</v>
      </c>
    </row>
    <row r="3175" spans="2:12" x14ac:dyDescent="0.3">
      <c r="B3175" s="1" t="s">
        <v>25</v>
      </c>
      <c r="C3175" s="4" t="str">
        <f>VLOOKUP(Tabela1[[#This Row],[Cliente]],'BASE DE CLIENTES'!A:E,2,0)</f>
        <v>Brasília</v>
      </c>
      <c r="D3175" s="1" t="str">
        <f>VLOOKUP(Tabela1[[#This Row],[Cliente]],'BASE DE CLIENTES'!A:C,3,0)</f>
        <v>DF</v>
      </c>
      <c r="E3175" s="4" t="str">
        <f>CONCATENATE(Tabela1[[#This Row],[CIDADE]],",",Tabela1[[#This Row],[UF]])</f>
        <v>Brasília,DF</v>
      </c>
      <c r="F3175" s="2">
        <v>45980</v>
      </c>
      <c r="G3175" s="17">
        <v>485</v>
      </c>
      <c r="H3175" s="17">
        <v>195</v>
      </c>
      <c r="I3175" s="6">
        <f>Tabela1[[#This Row],[Valor total]]-Tabela1[[#This Row],[Valor custo]]</f>
        <v>-290</v>
      </c>
      <c r="J3175" s="7">
        <f>Tabela1[[#This Row],[MARGEM BRUTA]]/Tabela1[[#This Row],[Valor total]]</f>
        <v>-1.4871794871794872</v>
      </c>
      <c r="K3175" s="1" t="str">
        <f>VLOOKUP(Tabela1[[#This Row],[Cliente]],'BASE DE CLIENTES'!A:D,4,0)</f>
        <v>EMPRESA COM MAQUINA</v>
      </c>
      <c r="L3175" s="1" t="str">
        <f>VLOOKUP(Tabela1[[#This Row],[Cliente]],'BASE DE CLIENTES'!A:E,5,0)</f>
        <v>CEILANDIA NORTE (CEILANDIA)</v>
      </c>
    </row>
    <row r="3176" spans="2:12" x14ac:dyDescent="0.3">
      <c r="B3176" s="1" t="s">
        <v>152</v>
      </c>
      <c r="C3176" s="4" t="str">
        <f>VLOOKUP(Tabela1[[#This Row],[Cliente]],'BASE DE CLIENTES'!A:E,2,0)</f>
        <v>Aparecida de Goiânia</v>
      </c>
      <c r="D3176" s="1" t="str">
        <f>VLOOKUP(Tabela1[[#This Row],[Cliente]],'BASE DE CLIENTES'!A:C,3,0)</f>
        <v>GO</v>
      </c>
      <c r="E3176" s="4" t="str">
        <f>CONCATENATE(Tabela1[[#This Row],[CIDADE]],",",Tabela1[[#This Row],[UF]])</f>
        <v>Aparecida de Goiânia,GO</v>
      </c>
      <c r="F3176" s="2">
        <v>45980</v>
      </c>
      <c r="G3176" s="17">
        <v>485</v>
      </c>
      <c r="H3176" s="17">
        <v>850</v>
      </c>
      <c r="I3176" s="6">
        <f>Tabela1[[#This Row],[Valor total]]-Tabela1[[#This Row],[Valor custo]]</f>
        <v>365</v>
      </c>
      <c r="J3176" s="7">
        <f>Tabela1[[#This Row],[MARGEM BRUTA]]/Tabela1[[#This Row],[Valor total]]</f>
        <v>0.42941176470588233</v>
      </c>
      <c r="K3176" s="1" t="str">
        <f>VLOOKUP(Tabela1[[#This Row],[Cliente]],'BASE DE CLIENTES'!A:D,4,0)</f>
        <v>TECNICO</v>
      </c>
      <c r="L3176" s="1" t="str">
        <f>VLOOKUP(Tabela1[[#This Row],[Cliente]],'BASE DE CLIENTES'!A:E,5,0)</f>
        <v>Aparecida de Goiânia</v>
      </c>
    </row>
    <row r="3177" spans="2:12" x14ac:dyDescent="0.3">
      <c r="B3177" s="1" t="s">
        <v>216</v>
      </c>
      <c r="C3177" s="4" t="str">
        <f>VLOOKUP(Tabela1[[#This Row],[Cliente]],'BASE DE CLIENTES'!A:E,2,0)</f>
        <v>Brasília</v>
      </c>
      <c r="D3177" s="1" t="str">
        <f>VLOOKUP(Tabela1[[#This Row],[Cliente]],'BASE DE CLIENTES'!A:C,3,0)</f>
        <v>DF</v>
      </c>
      <c r="E3177" s="4" t="str">
        <f>CONCATENATE(Tabela1[[#This Row],[CIDADE]],",",Tabela1[[#This Row],[UF]])</f>
        <v>Brasília,DF</v>
      </c>
      <c r="F3177" s="2">
        <v>45980</v>
      </c>
      <c r="G3177" s="17">
        <v>8612.43</v>
      </c>
      <c r="H3177" s="17">
        <v>12470</v>
      </c>
      <c r="I3177" s="6">
        <f>Tabela1[[#This Row],[Valor total]]-Tabela1[[#This Row],[Valor custo]]</f>
        <v>3857.5699999999997</v>
      </c>
      <c r="J3177" s="7">
        <f>Tabela1[[#This Row],[MARGEM BRUTA]]/Tabela1[[#This Row],[Valor total]]</f>
        <v>0.30934803528468324</v>
      </c>
      <c r="K3177" s="1" t="str">
        <f>VLOOKUP(Tabela1[[#This Row],[Cliente]],'BASE DE CLIENTES'!A:D,4,0)</f>
        <v>EMPRESA COM MAQUINA</v>
      </c>
      <c r="L3177" s="1" t="str">
        <f>VLOOKUP(Tabela1[[#This Row],[Cliente]],'BASE DE CLIENTES'!A:E,5,0)</f>
        <v>RIACHO FUNDO II</v>
      </c>
    </row>
    <row r="3178" spans="2:12" x14ac:dyDescent="0.3">
      <c r="B3178" s="1" t="s">
        <v>99</v>
      </c>
      <c r="C3178" s="4" t="str">
        <f>VLOOKUP(Tabela1[[#This Row],[Cliente]],'BASE DE CLIENTES'!A:E,2,0)</f>
        <v>Brasília</v>
      </c>
      <c r="D3178" s="1" t="str">
        <f>VLOOKUP(Tabela1[[#This Row],[Cliente]],'BASE DE CLIENTES'!A:C,3,0)</f>
        <v>DF</v>
      </c>
      <c r="E3178" s="4" t="str">
        <f>CONCATENATE(Tabela1[[#This Row],[CIDADE]],",",Tabela1[[#This Row],[UF]])</f>
        <v>Brasília,DF</v>
      </c>
      <c r="F3178" s="2">
        <v>45980</v>
      </c>
      <c r="G3178" s="17">
        <v>3040.58</v>
      </c>
      <c r="H3178" s="17">
        <v>4760</v>
      </c>
      <c r="I3178" s="6">
        <f>Tabela1[[#This Row],[Valor total]]-Tabela1[[#This Row],[Valor custo]]</f>
        <v>1719.42</v>
      </c>
      <c r="J3178" s="7">
        <f>Tabela1[[#This Row],[MARGEM BRUTA]]/Tabela1[[#This Row],[Valor total]]</f>
        <v>0.36122268907563027</v>
      </c>
      <c r="K3178" s="1" t="str">
        <f>VLOOKUP(Tabela1[[#This Row],[Cliente]],'BASE DE CLIENTES'!A:D,4,0)</f>
        <v>EMPRESA COM MAQUINA</v>
      </c>
      <c r="L3178" s="1" t="str">
        <f>VLOOKUP(Tabela1[[#This Row],[Cliente]],'BASE DE CLIENTES'!A:E,5,0)</f>
        <v>ARAPOANGA (PLANALTINA)</v>
      </c>
    </row>
    <row r="3179" spans="2:12" x14ac:dyDescent="0.3">
      <c r="B3179" s="1" t="s">
        <v>161</v>
      </c>
      <c r="C3179" s="4" t="str">
        <f>VLOOKUP(Tabela1[[#This Row],[Cliente]],'BASE DE CLIENTES'!A:E,2,0)</f>
        <v>Brasília</v>
      </c>
      <c r="D3179" s="1" t="str">
        <f>VLOOKUP(Tabela1[[#This Row],[Cliente]],'BASE DE CLIENTES'!A:C,3,0)</f>
        <v>DF</v>
      </c>
      <c r="E3179" s="4" t="str">
        <f>CONCATENATE(Tabela1[[#This Row],[CIDADE]],",",Tabela1[[#This Row],[UF]])</f>
        <v>Brasília,DF</v>
      </c>
      <c r="F3179" s="2">
        <v>45980</v>
      </c>
      <c r="G3179" s="17">
        <v>14239</v>
      </c>
      <c r="H3179" s="17">
        <v>20450</v>
      </c>
      <c r="I3179" s="6">
        <f>Tabela1[[#This Row],[Valor total]]-Tabela1[[#This Row],[Valor custo]]</f>
        <v>6211</v>
      </c>
      <c r="J3179" s="7">
        <f>Tabela1[[#This Row],[MARGEM BRUTA]]/Tabela1[[#This Row],[Valor total]]</f>
        <v>0.30371638141809293</v>
      </c>
      <c r="K3179" s="1" t="str">
        <f>VLOOKUP(Tabela1[[#This Row],[Cliente]],'BASE DE CLIENTES'!A:D,4,0)</f>
        <v>EMPRESA COM MAQUINA</v>
      </c>
      <c r="L3179" s="1" t="str">
        <f>VLOOKUP(Tabela1[[#This Row],[Cliente]],'BASE DE CLIENTES'!A:E,5,0)</f>
        <v>RIACHO FUNDO II</v>
      </c>
    </row>
    <row r="3180" spans="2:12" x14ac:dyDescent="0.3">
      <c r="B3180" s="1" t="s">
        <v>236</v>
      </c>
      <c r="C3180" s="4" t="str">
        <f>VLOOKUP(Tabela1[[#This Row],[Cliente]],'BASE DE CLIENTES'!A:E,2,0)</f>
        <v>Goiânia</v>
      </c>
      <c r="D3180" s="1" t="str">
        <f>VLOOKUP(Tabela1[[#This Row],[Cliente]],'BASE DE CLIENTES'!A:C,3,0)</f>
        <v>GO</v>
      </c>
      <c r="E3180" s="4" t="str">
        <f>CONCATENATE(Tabela1[[#This Row],[CIDADE]],",",Tabela1[[#This Row],[UF]])</f>
        <v>Goiânia,GO</v>
      </c>
      <c r="F3180" s="2">
        <v>45980</v>
      </c>
      <c r="G3180" s="17">
        <v>432.79</v>
      </c>
      <c r="H3180" s="17">
        <v>585</v>
      </c>
      <c r="I3180" s="6">
        <f>Tabela1[[#This Row],[Valor total]]-Tabela1[[#This Row],[Valor custo]]</f>
        <v>152.20999999999998</v>
      </c>
      <c r="J3180" s="7">
        <f>Tabela1[[#This Row],[MARGEM BRUTA]]/Tabela1[[#This Row],[Valor total]]</f>
        <v>0.26018803418803416</v>
      </c>
      <c r="K3180" s="1" t="str">
        <f>VLOOKUP(Tabela1[[#This Row],[Cliente]],'BASE DE CLIENTES'!A:D,4,0)</f>
        <v>EMPRESA COM MAQUINA</v>
      </c>
      <c r="L3180" s="1" t="str">
        <f>VLOOKUP(Tabela1[[#This Row],[Cliente]],'BASE DE CLIENTES'!A:E,5,0)</f>
        <v>Goiânia</v>
      </c>
    </row>
    <row r="3181" spans="2:12" x14ac:dyDescent="0.3">
      <c r="B3181" s="1" t="s">
        <v>254</v>
      </c>
      <c r="C3181" s="4" t="str">
        <f>VLOOKUP(Tabela1[[#This Row],[Cliente]],'BASE DE CLIENTES'!A:E,2,0)</f>
        <v>Luziânia</v>
      </c>
      <c r="D3181" s="1" t="str">
        <f>VLOOKUP(Tabela1[[#This Row],[Cliente]],'BASE DE CLIENTES'!A:C,3,0)</f>
        <v>GO</v>
      </c>
      <c r="E3181" s="4" t="str">
        <f>CONCATENATE(Tabela1[[#This Row],[CIDADE]],",",Tabela1[[#This Row],[UF]])</f>
        <v>Luziânia,GO</v>
      </c>
      <c r="F3181" s="2">
        <v>45980</v>
      </c>
      <c r="G3181" s="17">
        <v>776.1</v>
      </c>
      <c r="H3181" s="17">
        <v>1298</v>
      </c>
      <c r="I3181" s="6">
        <f>Tabela1[[#This Row],[Valor total]]-Tabela1[[#This Row],[Valor custo]]</f>
        <v>521.9</v>
      </c>
      <c r="J3181" s="7">
        <f>Tabela1[[#This Row],[MARGEM BRUTA]]/Tabela1[[#This Row],[Valor total]]</f>
        <v>0.40208012326656395</v>
      </c>
      <c r="K3181" s="1" t="str">
        <f>VLOOKUP(Tabela1[[#This Row],[Cliente]],'BASE DE CLIENTES'!A:D,4,0)</f>
        <v>SERRALHEIRO</v>
      </c>
      <c r="L3181" s="1" t="str">
        <f>VLOOKUP(Tabela1[[#This Row],[Cliente]],'BASE DE CLIENTES'!A:E,5,0)</f>
        <v>Luziânia</v>
      </c>
    </row>
    <row r="3182" spans="2:12" x14ac:dyDescent="0.3">
      <c r="B3182" s="1" t="s">
        <v>96</v>
      </c>
      <c r="C3182" s="4" t="str">
        <f>VLOOKUP(Tabela1[[#This Row],[Cliente]],'BASE DE CLIENTES'!A:E,2,0)</f>
        <v>Brasília</v>
      </c>
      <c r="D3182" s="1" t="str">
        <f>VLOOKUP(Tabela1[[#This Row],[Cliente]],'BASE DE CLIENTES'!A:C,3,0)</f>
        <v>DF</v>
      </c>
      <c r="E3182" s="4" t="str">
        <f>CONCATENATE(Tabela1[[#This Row],[CIDADE]],",",Tabela1[[#This Row],[UF]])</f>
        <v>Brasília,DF</v>
      </c>
      <c r="F3182" s="2">
        <v>45980</v>
      </c>
      <c r="G3182" s="17">
        <v>241.61</v>
      </c>
      <c r="H3182" s="17">
        <v>496.5</v>
      </c>
      <c r="I3182" s="6">
        <f>Tabela1[[#This Row],[Valor total]]-Tabela1[[#This Row],[Valor custo]]</f>
        <v>254.89</v>
      </c>
      <c r="J3182" s="7">
        <f>Tabela1[[#This Row],[MARGEM BRUTA]]/Tabela1[[#This Row],[Valor total]]</f>
        <v>0.51337361530714998</v>
      </c>
      <c r="K3182" s="1" t="str">
        <f>VLOOKUP(Tabela1[[#This Row],[Cliente]],'BASE DE CLIENTES'!A:D,4,0)</f>
        <v>EMPRESA SEM MAQUINA</v>
      </c>
      <c r="L3182" s="1" t="str">
        <f>VLOOKUP(Tabela1[[#This Row],[Cliente]],'BASE DE CLIENTES'!A:E,5,0)</f>
        <v>CEILANDIA NORTE (CEILANDIA)</v>
      </c>
    </row>
    <row r="3183" spans="2:12" x14ac:dyDescent="0.3">
      <c r="B3183" s="1" t="s">
        <v>228</v>
      </c>
      <c r="C3183" s="4" t="str">
        <f>VLOOKUP(Tabela1[[#This Row],[Cliente]],'BASE DE CLIENTES'!A:E,2,0)</f>
        <v>Brasília</v>
      </c>
      <c r="D3183" s="1" t="str">
        <f>VLOOKUP(Tabela1[[#This Row],[Cliente]],'BASE DE CLIENTES'!A:C,3,0)</f>
        <v>DF</v>
      </c>
      <c r="E3183" s="4" t="str">
        <f>CONCATENATE(Tabela1[[#This Row],[CIDADE]],",",Tabela1[[#This Row],[UF]])</f>
        <v>Brasília,DF</v>
      </c>
      <c r="F3183" s="2">
        <v>45980</v>
      </c>
      <c r="G3183" s="17">
        <v>42</v>
      </c>
      <c r="H3183" s="17">
        <v>50</v>
      </c>
      <c r="I3183" s="6">
        <f>Tabela1[[#This Row],[Valor total]]-Tabela1[[#This Row],[Valor custo]]</f>
        <v>8</v>
      </c>
      <c r="J3183" s="7">
        <f>Tabela1[[#This Row],[MARGEM BRUTA]]/Tabela1[[#This Row],[Valor total]]</f>
        <v>0.16</v>
      </c>
      <c r="K3183" s="1" t="str">
        <f>VLOOKUP(Tabela1[[#This Row],[Cliente]],'BASE DE CLIENTES'!A:D,4,0)</f>
        <v>FUNCIONÁRIO</v>
      </c>
      <c r="L3183" s="1" t="str">
        <f>VLOOKUP(Tabela1[[#This Row],[Cliente]],'BASE DE CLIENTES'!A:E,5,0)</f>
        <v>Taguatinga Sul (Taguatinga)</v>
      </c>
    </row>
    <row r="3184" spans="2:12" x14ac:dyDescent="0.3">
      <c r="B3184" s="1" t="s">
        <v>123</v>
      </c>
      <c r="C3184" s="4" t="str">
        <f>VLOOKUP(Tabela1[[#This Row],[Cliente]],'BASE DE CLIENTES'!A:E,2,0)</f>
        <v>Brasília</v>
      </c>
      <c r="D3184" s="1" t="str">
        <f>VLOOKUP(Tabela1[[#This Row],[Cliente]],'BASE DE CLIENTES'!A:C,3,0)</f>
        <v>DF</v>
      </c>
      <c r="E3184" s="4" t="str">
        <f>CONCATENATE(Tabela1[[#This Row],[CIDADE]],",",Tabela1[[#This Row],[UF]])</f>
        <v>Brasília,DF</v>
      </c>
      <c r="F3184" s="2">
        <v>45980</v>
      </c>
      <c r="G3184" s="17">
        <v>432.79</v>
      </c>
      <c r="H3184" s="17">
        <v>680</v>
      </c>
      <c r="I3184" s="6">
        <f>Tabela1[[#This Row],[Valor total]]-Tabela1[[#This Row],[Valor custo]]</f>
        <v>247.20999999999998</v>
      </c>
      <c r="J3184" s="7">
        <f>Tabela1[[#This Row],[MARGEM BRUTA]]/Tabela1[[#This Row],[Valor total]]</f>
        <v>0.3635441176470588</v>
      </c>
      <c r="K3184" s="1" t="str">
        <f>VLOOKUP(Tabela1[[#This Row],[Cliente]],'BASE DE CLIENTES'!A:D,4,0)</f>
        <v>EMPRESA COM MAQUINA</v>
      </c>
      <c r="L3184" s="1" t="str">
        <f>VLOOKUP(Tabela1[[#This Row],[Cliente]],'BASE DE CLIENTES'!A:E,5,0)</f>
        <v>ADE CEILÂNDIA</v>
      </c>
    </row>
    <row r="3185" spans="2:12" x14ac:dyDescent="0.3">
      <c r="B3185" s="1" t="s">
        <v>149</v>
      </c>
      <c r="C3185" s="4" t="str">
        <f>VLOOKUP(Tabela1[[#This Row],[Cliente]],'BASE DE CLIENTES'!A:E,2,0)</f>
        <v>Anápolis</v>
      </c>
      <c r="D3185" s="1" t="str">
        <f>VLOOKUP(Tabela1[[#This Row],[Cliente]],'BASE DE CLIENTES'!A:C,3,0)</f>
        <v>GO</v>
      </c>
      <c r="E3185" s="4" t="str">
        <f>CONCATENATE(Tabela1[[#This Row],[CIDADE]],",",Tabela1[[#This Row],[UF]])</f>
        <v>Anápolis,GO</v>
      </c>
      <c r="F3185" s="2">
        <v>45979</v>
      </c>
      <c r="G3185" s="17">
        <v>7201.9</v>
      </c>
      <c r="H3185" s="17">
        <v>10450</v>
      </c>
      <c r="I3185" s="6">
        <f>Tabela1[[#This Row],[Valor total]]-Tabela1[[#This Row],[Valor custo]]</f>
        <v>3248.1000000000004</v>
      </c>
      <c r="J3185" s="7">
        <f>Tabela1[[#This Row],[MARGEM BRUTA]]/Tabela1[[#This Row],[Valor total]]</f>
        <v>0.31082296650717706</v>
      </c>
      <c r="K3185" s="1" t="str">
        <f>VLOOKUP(Tabela1[[#This Row],[Cliente]],'BASE DE CLIENTES'!A:D,4,0)</f>
        <v>EMPRESA COM MAQUINA</v>
      </c>
      <c r="L3185" s="1" t="str">
        <f>VLOOKUP(Tabela1[[#This Row],[Cliente]],'BASE DE CLIENTES'!A:E,5,0)</f>
        <v>Anápolis</v>
      </c>
    </row>
    <row r="3186" spans="2:12" x14ac:dyDescent="0.3">
      <c r="B3186" s="1" t="s">
        <v>291</v>
      </c>
      <c r="C3186" s="4" t="str">
        <f>VLOOKUP(Tabela1[[#This Row],[Cliente]],'BASE DE CLIENTES'!A:E,2,0)</f>
        <v>Rio Verde</v>
      </c>
      <c r="D3186" s="1" t="str">
        <f>VLOOKUP(Tabela1[[#This Row],[Cliente]],'BASE DE CLIENTES'!A:C,3,0)</f>
        <v>GO</v>
      </c>
      <c r="E3186" s="4" t="str">
        <f>CONCATENATE(Tabela1[[#This Row],[CIDADE]],",",Tabela1[[#This Row],[UF]])</f>
        <v>Rio Verde,GO</v>
      </c>
      <c r="F3186" s="2">
        <v>45979</v>
      </c>
      <c r="G3186" s="17">
        <v>649</v>
      </c>
      <c r="H3186" s="17">
        <v>900</v>
      </c>
      <c r="I3186" s="6">
        <f>Tabela1[[#This Row],[Valor total]]-Tabela1[[#This Row],[Valor custo]]</f>
        <v>251</v>
      </c>
      <c r="J3186" s="7">
        <f>Tabela1[[#This Row],[MARGEM BRUTA]]/Tabela1[[#This Row],[Valor total]]</f>
        <v>0.27888888888888891</v>
      </c>
      <c r="K3186" s="1" t="str">
        <f>VLOOKUP(Tabela1[[#This Row],[Cliente]],'BASE DE CLIENTES'!A:D,4,0)</f>
        <v>EMPRESA COM MAQUINA</v>
      </c>
      <c r="L3186" s="1" t="str">
        <f>VLOOKUP(Tabela1[[#This Row],[Cliente]],'BASE DE CLIENTES'!A:E,5,0)</f>
        <v>Rio Verde</v>
      </c>
    </row>
    <row r="3187" spans="2:12" x14ac:dyDescent="0.3">
      <c r="B3187" s="1" t="s">
        <v>88</v>
      </c>
      <c r="C3187" s="4" t="str">
        <f>VLOOKUP(Tabela1[[#This Row],[Cliente]],'BASE DE CLIENTES'!A:E,2,0)</f>
        <v>Brasília</v>
      </c>
      <c r="D3187" s="1" t="str">
        <f>VLOOKUP(Tabela1[[#This Row],[Cliente]],'BASE DE CLIENTES'!A:C,3,0)</f>
        <v>DF</v>
      </c>
      <c r="E3187" s="4" t="str">
        <f>CONCATENATE(Tabela1[[#This Row],[CIDADE]],",",Tabela1[[#This Row],[UF]])</f>
        <v>Brasília,DF</v>
      </c>
      <c r="F3187" s="2">
        <v>45979</v>
      </c>
      <c r="G3187" s="17">
        <v>1630</v>
      </c>
      <c r="H3187" s="17">
        <v>2640</v>
      </c>
      <c r="I3187" s="6">
        <f>Tabela1[[#This Row],[Valor total]]-Tabela1[[#This Row],[Valor custo]]</f>
        <v>1010</v>
      </c>
      <c r="J3187" s="7">
        <f>Tabela1[[#This Row],[MARGEM BRUTA]]/Tabela1[[#This Row],[Valor total]]</f>
        <v>0.38257575757575757</v>
      </c>
      <c r="K3187" s="1" t="str">
        <f>VLOOKUP(Tabela1[[#This Row],[Cliente]],'BASE DE CLIENTES'!A:D,4,0)</f>
        <v>SERRALHEIRO</v>
      </c>
      <c r="L3187" s="1" t="str">
        <f>VLOOKUP(Tabela1[[#This Row],[Cliente]],'BASE DE CLIENTES'!A:E,5,0)</f>
        <v>RECANTO DAS EMAS</v>
      </c>
    </row>
    <row r="3188" spans="2:12" x14ac:dyDescent="0.3">
      <c r="B3188" s="1" t="s">
        <v>130</v>
      </c>
      <c r="C3188" s="4" t="str">
        <f>VLOOKUP(Tabela1[[#This Row],[Cliente]],'BASE DE CLIENTES'!A:E,2,0)</f>
        <v>Brasília</v>
      </c>
      <c r="D3188" s="1" t="str">
        <f>VLOOKUP(Tabela1[[#This Row],[Cliente]],'BASE DE CLIENTES'!A:C,3,0)</f>
        <v>DF</v>
      </c>
      <c r="E3188" s="4" t="str">
        <f>CONCATENATE(Tabela1[[#This Row],[CIDADE]],",",Tabela1[[#This Row],[UF]])</f>
        <v>Brasília,DF</v>
      </c>
      <c r="F3188" s="2">
        <v>45979</v>
      </c>
      <c r="G3188" s="17">
        <v>0</v>
      </c>
      <c r="H3188" s="17">
        <v>500</v>
      </c>
      <c r="I3188" s="6">
        <f>Tabela1[[#This Row],[Valor total]]-Tabela1[[#This Row],[Valor custo]]</f>
        <v>500</v>
      </c>
      <c r="J3188" s="7">
        <f>Tabela1[[#This Row],[MARGEM BRUTA]]/Tabela1[[#This Row],[Valor total]]</f>
        <v>1</v>
      </c>
      <c r="K3188" s="1" t="str">
        <f>VLOOKUP(Tabela1[[#This Row],[Cliente]],'BASE DE CLIENTES'!A:D,4,0)</f>
        <v>EMPRESA SEM MAQUINA</v>
      </c>
      <c r="L3188" s="1" t="str">
        <f>VLOOKUP(Tabela1[[#This Row],[Cliente]],'BASE DE CLIENTES'!A:E,5,0)</f>
        <v>CEILANDIA NORTE (CEILANDIA)</v>
      </c>
    </row>
    <row r="3189" spans="2:12" x14ac:dyDescent="0.3">
      <c r="B3189" s="1" t="s">
        <v>152</v>
      </c>
      <c r="C3189" s="4" t="str">
        <f>VLOOKUP(Tabela1[[#This Row],[Cliente]],'BASE DE CLIENTES'!A:E,2,0)</f>
        <v>Aparecida de Goiânia</v>
      </c>
      <c r="D3189" s="1" t="str">
        <f>VLOOKUP(Tabela1[[#This Row],[Cliente]],'BASE DE CLIENTES'!A:C,3,0)</f>
        <v>GO</v>
      </c>
      <c r="E3189" s="4" t="str">
        <f>CONCATENATE(Tabela1[[#This Row],[CIDADE]],",",Tabela1[[#This Row],[UF]])</f>
        <v>Aparecida de Goiânia,GO</v>
      </c>
      <c r="F3189" s="2">
        <v>45979</v>
      </c>
      <c r="G3189" s="17">
        <v>91.2</v>
      </c>
      <c r="H3189" s="17">
        <v>160</v>
      </c>
      <c r="I3189" s="6">
        <f>Tabela1[[#This Row],[Valor total]]-Tabela1[[#This Row],[Valor custo]]</f>
        <v>68.8</v>
      </c>
      <c r="J3189" s="7">
        <f>Tabela1[[#This Row],[MARGEM BRUTA]]/Tabela1[[#This Row],[Valor total]]</f>
        <v>0.43</v>
      </c>
      <c r="K3189" s="1" t="str">
        <f>VLOOKUP(Tabela1[[#This Row],[Cliente]],'BASE DE CLIENTES'!A:D,4,0)</f>
        <v>TECNICO</v>
      </c>
      <c r="L3189" s="1" t="str">
        <f>VLOOKUP(Tabela1[[#This Row],[Cliente]],'BASE DE CLIENTES'!A:E,5,0)</f>
        <v>Aparecida de Goiânia</v>
      </c>
    </row>
    <row r="3190" spans="2:12" x14ac:dyDescent="0.3">
      <c r="B3190" s="1" t="s">
        <v>152</v>
      </c>
      <c r="C3190" s="4" t="str">
        <f>VLOOKUP(Tabela1[[#This Row],[Cliente]],'BASE DE CLIENTES'!A:E,2,0)</f>
        <v>Aparecida de Goiânia</v>
      </c>
      <c r="D3190" s="1" t="str">
        <f>VLOOKUP(Tabela1[[#This Row],[Cliente]],'BASE DE CLIENTES'!A:C,3,0)</f>
        <v>GO</v>
      </c>
      <c r="E3190" s="4" t="str">
        <f>CONCATENATE(Tabela1[[#This Row],[CIDADE]],",",Tabela1[[#This Row],[UF]])</f>
        <v>Aparecida de Goiânia,GO</v>
      </c>
      <c r="F3190" s="2">
        <v>45979</v>
      </c>
      <c r="G3190" s="17">
        <v>27.38</v>
      </c>
      <c r="H3190" s="17">
        <v>200</v>
      </c>
      <c r="I3190" s="6">
        <f>Tabela1[[#This Row],[Valor total]]-Tabela1[[#This Row],[Valor custo]]</f>
        <v>172.62</v>
      </c>
      <c r="J3190" s="7">
        <f>Tabela1[[#This Row],[MARGEM BRUTA]]/Tabela1[[#This Row],[Valor total]]</f>
        <v>0.86309999999999998</v>
      </c>
      <c r="K3190" s="1" t="str">
        <f>VLOOKUP(Tabela1[[#This Row],[Cliente]],'BASE DE CLIENTES'!A:D,4,0)</f>
        <v>TECNICO</v>
      </c>
      <c r="L3190" s="1" t="str">
        <f>VLOOKUP(Tabela1[[#This Row],[Cliente]],'BASE DE CLIENTES'!A:E,5,0)</f>
        <v>Aparecida de Goiânia</v>
      </c>
    </row>
    <row r="3191" spans="2:12" x14ac:dyDescent="0.3">
      <c r="B3191" s="1" t="s">
        <v>152</v>
      </c>
      <c r="C3191" s="4" t="str">
        <f>VLOOKUP(Tabela1[[#This Row],[Cliente]],'BASE DE CLIENTES'!A:E,2,0)</f>
        <v>Aparecida de Goiânia</v>
      </c>
      <c r="D3191" s="1" t="str">
        <f>VLOOKUP(Tabela1[[#This Row],[Cliente]],'BASE DE CLIENTES'!A:C,3,0)</f>
        <v>GO</v>
      </c>
      <c r="E3191" s="4" t="str">
        <f>CONCATENATE(Tabela1[[#This Row],[CIDADE]],",",Tabela1[[#This Row],[UF]])</f>
        <v>Aparecida de Goiânia,GO</v>
      </c>
      <c r="F3191" s="2">
        <v>45979</v>
      </c>
      <c r="G3191" s="17">
        <v>926</v>
      </c>
      <c r="H3191" s="17">
        <v>1500</v>
      </c>
      <c r="I3191" s="6">
        <f>Tabela1[[#This Row],[Valor total]]-Tabela1[[#This Row],[Valor custo]]</f>
        <v>574</v>
      </c>
      <c r="J3191" s="7">
        <f>Tabela1[[#This Row],[MARGEM BRUTA]]/Tabela1[[#This Row],[Valor total]]</f>
        <v>0.38266666666666665</v>
      </c>
      <c r="K3191" s="1" t="str">
        <f>VLOOKUP(Tabela1[[#This Row],[Cliente]],'BASE DE CLIENTES'!A:D,4,0)</f>
        <v>TECNICO</v>
      </c>
      <c r="L3191" s="1" t="str">
        <f>VLOOKUP(Tabela1[[#This Row],[Cliente]],'BASE DE CLIENTES'!A:E,5,0)</f>
        <v>Aparecida de Goiânia</v>
      </c>
    </row>
    <row r="3192" spans="2:12" x14ac:dyDescent="0.3">
      <c r="B3192" s="1" t="s">
        <v>42</v>
      </c>
      <c r="C3192" s="4" t="str">
        <f>VLOOKUP(Tabela1[[#This Row],[Cliente]],'BASE DE CLIENTES'!A:E,2,0)</f>
        <v>Brasília</v>
      </c>
      <c r="D3192" s="1" t="str">
        <f>VLOOKUP(Tabela1[[#This Row],[Cliente]],'BASE DE CLIENTES'!A:C,3,0)</f>
        <v>DF</v>
      </c>
      <c r="E3192" s="4" t="str">
        <f>CONCATENATE(Tabela1[[#This Row],[CIDADE]],",",Tabela1[[#This Row],[UF]])</f>
        <v>Brasília,DF</v>
      </c>
      <c r="F3192" s="2">
        <v>45979</v>
      </c>
      <c r="G3192" s="17">
        <v>25</v>
      </c>
      <c r="H3192" s="17">
        <v>30</v>
      </c>
      <c r="I3192" s="6">
        <f>Tabela1[[#This Row],[Valor total]]-Tabela1[[#This Row],[Valor custo]]</f>
        <v>5</v>
      </c>
      <c r="J3192" s="7">
        <f>Tabela1[[#This Row],[MARGEM BRUTA]]/Tabela1[[#This Row],[Valor total]]</f>
        <v>0.16666666666666666</v>
      </c>
      <c r="K3192" s="1" t="str">
        <f>VLOOKUP(Tabela1[[#This Row],[Cliente]],'BASE DE CLIENTES'!A:D,4,0)</f>
        <v>EMPRESA SEM MAQUINA</v>
      </c>
      <c r="L3192" s="1" t="str">
        <f>VLOOKUP(Tabela1[[#This Row],[Cliente]],'BASE DE CLIENTES'!A:E,5,0)</f>
        <v>SAMAMBAIA</v>
      </c>
    </row>
    <row r="3193" spans="2:12" x14ac:dyDescent="0.3">
      <c r="B3193" s="1" t="s">
        <v>19</v>
      </c>
      <c r="C3193" s="4" t="str">
        <f>VLOOKUP(Tabela1[[#This Row],[Cliente]],'BASE DE CLIENTES'!A:E,2,0)</f>
        <v>Águas Lindas de Goiás</v>
      </c>
      <c r="D3193" s="1" t="str">
        <f>VLOOKUP(Tabela1[[#This Row],[Cliente]],'BASE DE CLIENTES'!A:C,3,0)</f>
        <v>GO</v>
      </c>
      <c r="E3193" s="4" t="str">
        <f>CONCATENATE(Tabela1[[#This Row],[CIDADE]],",",Tabela1[[#This Row],[UF]])</f>
        <v>Águas Lindas de Goiás,GO</v>
      </c>
      <c r="F3193" s="2">
        <v>45979</v>
      </c>
      <c r="G3193" s="17">
        <v>26.61</v>
      </c>
      <c r="H3193" s="17">
        <v>86</v>
      </c>
      <c r="I3193" s="6">
        <f>Tabela1[[#This Row],[Valor total]]-Tabela1[[#This Row],[Valor custo]]</f>
        <v>59.39</v>
      </c>
      <c r="J3193" s="7">
        <f>Tabela1[[#This Row],[MARGEM BRUTA]]/Tabela1[[#This Row],[Valor total]]</f>
        <v>0.69058139534883722</v>
      </c>
      <c r="K3193" s="1" t="str">
        <f>VLOOKUP(Tabela1[[#This Row],[Cliente]],'BASE DE CLIENTES'!A:D,4,0)</f>
        <v>SERRALHEIRO</v>
      </c>
      <c r="L3193" s="1" t="str">
        <f>VLOOKUP(Tabela1[[#This Row],[Cliente]],'BASE DE CLIENTES'!A:E,5,0)</f>
        <v>Águas Lindas de Goiás</v>
      </c>
    </row>
    <row r="3194" spans="2:12" x14ac:dyDescent="0.3">
      <c r="B3194" s="1" t="s">
        <v>181</v>
      </c>
      <c r="C3194" s="4" t="str">
        <f>VLOOKUP(Tabela1[[#This Row],[Cliente]],'BASE DE CLIENTES'!A:E,2,0)</f>
        <v>Brasilândia de Minas</v>
      </c>
      <c r="D3194" s="1" t="str">
        <f>VLOOKUP(Tabela1[[#This Row],[Cliente]],'BASE DE CLIENTES'!A:C,3,0)</f>
        <v>MG</v>
      </c>
      <c r="E3194" s="4" t="str">
        <f>CONCATENATE(Tabela1[[#This Row],[CIDADE]],",",Tabela1[[#This Row],[UF]])</f>
        <v>Brasilândia de Minas,MG</v>
      </c>
      <c r="F3194" s="2">
        <v>45979</v>
      </c>
      <c r="G3194" s="17">
        <v>877.78</v>
      </c>
      <c r="H3194" s="17">
        <v>1330</v>
      </c>
      <c r="I3194" s="6">
        <f>Tabela1[[#This Row],[Valor total]]-Tabela1[[#This Row],[Valor custo]]</f>
        <v>452.22</v>
      </c>
      <c r="J3194" s="7">
        <f>Tabela1[[#This Row],[MARGEM BRUTA]]/Tabela1[[#This Row],[Valor total]]</f>
        <v>0.34001503759398499</v>
      </c>
      <c r="K3194" s="1" t="str">
        <f>VLOOKUP(Tabela1[[#This Row],[Cliente]],'BASE DE CLIENTES'!A:D,4,0)</f>
        <v>SERRALHEIRO</v>
      </c>
      <c r="L3194" s="1" t="str">
        <f>VLOOKUP(Tabela1[[#This Row],[Cliente]],'BASE DE CLIENTES'!A:E,5,0)</f>
        <v>Brasilândia de Minas</v>
      </c>
    </row>
    <row r="3195" spans="2:12" x14ac:dyDescent="0.3">
      <c r="B3195" s="1" t="s">
        <v>42</v>
      </c>
      <c r="C3195" s="4" t="str">
        <f>VLOOKUP(Tabela1[[#This Row],[Cliente]],'BASE DE CLIENTES'!A:E,2,0)</f>
        <v>Brasília</v>
      </c>
      <c r="D3195" s="1" t="str">
        <f>VLOOKUP(Tabela1[[#This Row],[Cliente]],'BASE DE CLIENTES'!A:C,3,0)</f>
        <v>DF</v>
      </c>
      <c r="E3195" s="4" t="str">
        <f>CONCATENATE(Tabela1[[#This Row],[CIDADE]],",",Tabela1[[#This Row],[UF]])</f>
        <v>Brasília,DF</v>
      </c>
      <c r="F3195" s="2">
        <v>45979</v>
      </c>
      <c r="G3195" s="17">
        <v>1362.76</v>
      </c>
      <c r="H3195" s="17">
        <v>2025</v>
      </c>
      <c r="I3195" s="6">
        <f>Tabela1[[#This Row],[Valor total]]-Tabela1[[#This Row],[Valor custo]]</f>
        <v>662.24</v>
      </c>
      <c r="J3195" s="7">
        <f>Tabela1[[#This Row],[MARGEM BRUTA]]/Tabela1[[#This Row],[Valor total]]</f>
        <v>0.3270320987654321</v>
      </c>
      <c r="K3195" s="1" t="str">
        <f>VLOOKUP(Tabela1[[#This Row],[Cliente]],'BASE DE CLIENTES'!A:D,4,0)</f>
        <v>EMPRESA SEM MAQUINA</v>
      </c>
      <c r="L3195" s="1" t="str">
        <f>VLOOKUP(Tabela1[[#This Row],[Cliente]],'BASE DE CLIENTES'!A:E,5,0)</f>
        <v>SAMAMBAIA</v>
      </c>
    </row>
    <row r="3196" spans="2:12" x14ac:dyDescent="0.3">
      <c r="B3196" s="1" t="s">
        <v>27</v>
      </c>
      <c r="C3196" s="4" t="str">
        <f>VLOOKUP(Tabela1[[#This Row],[Cliente]],'BASE DE CLIENTES'!A:E,2,0)</f>
        <v>Brasília</v>
      </c>
      <c r="D3196" s="1" t="str">
        <f>VLOOKUP(Tabela1[[#This Row],[Cliente]],'BASE DE CLIENTES'!A:C,3,0)</f>
        <v>DF</v>
      </c>
      <c r="E3196" s="4" t="str">
        <f>CONCATENATE(Tabela1[[#This Row],[CIDADE]],",",Tabela1[[#This Row],[UF]])</f>
        <v>Brasília,DF</v>
      </c>
      <c r="F3196" s="2">
        <v>45979</v>
      </c>
      <c r="G3196" s="17">
        <v>674</v>
      </c>
      <c r="H3196" s="17">
        <v>1165</v>
      </c>
      <c r="I3196" s="6">
        <f>Tabela1[[#This Row],[Valor total]]-Tabela1[[#This Row],[Valor custo]]</f>
        <v>491</v>
      </c>
      <c r="J3196" s="7">
        <f>Tabela1[[#This Row],[MARGEM BRUTA]]/Tabela1[[#This Row],[Valor total]]</f>
        <v>0.42145922746781117</v>
      </c>
      <c r="K3196" s="1" t="str">
        <f>VLOOKUP(Tabela1[[#This Row],[Cliente]],'BASE DE CLIENTES'!A:D,4,0)</f>
        <v>EMPRESA SEM MAQUINA</v>
      </c>
      <c r="L3196" s="1" t="str">
        <f>VLOOKUP(Tabela1[[#This Row],[Cliente]],'BASE DE CLIENTES'!A:E,5,0)</f>
        <v>RECANTO DAS EMAS</v>
      </c>
    </row>
    <row r="3197" spans="2:12" x14ac:dyDescent="0.3">
      <c r="B3197" s="1" t="s">
        <v>85</v>
      </c>
      <c r="C3197" s="4" t="str">
        <f>VLOOKUP(Tabela1[[#This Row],[Cliente]],'BASE DE CLIENTES'!A:E,2,0)</f>
        <v>Brasília</v>
      </c>
      <c r="D3197" s="1" t="str">
        <f>VLOOKUP(Tabela1[[#This Row],[Cliente]],'BASE DE CLIENTES'!A:C,3,0)</f>
        <v>DF</v>
      </c>
      <c r="E3197" s="4" t="str">
        <f>CONCATENATE(Tabela1[[#This Row],[CIDADE]],",",Tabela1[[#This Row],[UF]])</f>
        <v>Brasília,DF</v>
      </c>
      <c r="F3197" s="2">
        <v>45979</v>
      </c>
      <c r="G3197" s="17">
        <v>42</v>
      </c>
      <c r="H3197" s="17">
        <v>55</v>
      </c>
      <c r="I3197" s="6">
        <f>Tabela1[[#This Row],[Valor total]]-Tabela1[[#This Row],[Valor custo]]</f>
        <v>13</v>
      </c>
      <c r="J3197" s="7">
        <f>Tabela1[[#This Row],[MARGEM BRUTA]]/Tabela1[[#This Row],[Valor total]]</f>
        <v>0.23636363636363636</v>
      </c>
      <c r="K3197" s="1" t="str">
        <f>VLOOKUP(Tabela1[[#This Row],[Cliente]],'BASE DE CLIENTES'!A:D,4,0)</f>
        <v>SERRALHEIRO</v>
      </c>
      <c r="L3197" s="1" t="str">
        <f>VLOOKUP(Tabela1[[#This Row],[Cliente]],'BASE DE CLIENTES'!A:E,5,0)</f>
        <v>SAMAMBAIA NORTE (SAMAMBAIA)</v>
      </c>
    </row>
    <row r="3198" spans="2:12" x14ac:dyDescent="0.3">
      <c r="B3198" s="1" t="s">
        <v>322</v>
      </c>
      <c r="C3198" s="4" t="str">
        <f>VLOOKUP(Tabela1[[#This Row],[Cliente]],'BASE DE CLIENTES'!A:E,2,0)</f>
        <v>Brasília</v>
      </c>
      <c r="D3198" s="1" t="str">
        <f>VLOOKUP(Tabela1[[#This Row],[Cliente]],'BASE DE CLIENTES'!A:C,3,0)</f>
        <v>DF</v>
      </c>
      <c r="E3198" s="4" t="str">
        <f>CONCATENATE(Tabela1[[#This Row],[CIDADE]],",",Tabela1[[#This Row],[UF]])</f>
        <v>Brasília,DF</v>
      </c>
      <c r="F3198" s="2">
        <v>45979</v>
      </c>
      <c r="G3198" s="17">
        <v>293.13</v>
      </c>
      <c r="H3198" s="17">
        <v>400</v>
      </c>
      <c r="I3198" s="6">
        <f>Tabela1[[#This Row],[Valor total]]-Tabela1[[#This Row],[Valor custo]]</f>
        <v>106.87</v>
      </c>
      <c r="J3198" s="7">
        <f>Tabela1[[#This Row],[MARGEM BRUTA]]/Tabela1[[#This Row],[Valor total]]</f>
        <v>0.267175</v>
      </c>
      <c r="K3198" s="1" t="str">
        <f>VLOOKUP(Tabela1[[#This Row],[Cliente]],'BASE DE CLIENTES'!A:D,4,0)</f>
        <v>SERRALHEIRO</v>
      </c>
      <c r="L3198" s="1" t="str">
        <f>VLOOKUP(Tabela1[[#This Row],[Cliente]],'BASE DE CLIENTES'!A:E,5,0)</f>
        <v>RIACHO FUNDO I</v>
      </c>
    </row>
    <row r="3199" spans="2:12" x14ac:dyDescent="0.3">
      <c r="B3199" s="1" t="s">
        <v>55</v>
      </c>
      <c r="C3199" s="4" t="str">
        <f>VLOOKUP(Tabela1[[#This Row],[Cliente]],'BASE DE CLIENTES'!A:E,2,0)</f>
        <v>Brasília</v>
      </c>
      <c r="D3199" s="1" t="str">
        <f>VLOOKUP(Tabela1[[#This Row],[Cliente]],'BASE DE CLIENTES'!A:C,3,0)</f>
        <v>DF</v>
      </c>
      <c r="E3199" s="4" t="str">
        <f>CONCATENATE(Tabela1[[#This Row],[CIDADE]],",",Tabela1[[#This Row],[UF]])</f>
        <v>Brasília,DF</v>
      </c>
      <c r="F3199" s="2">
        <v>45979</v>
      </c>
      <c r="G3199" s="17">
        <v>5807.6</v>
      </c>
      <c r="H3199" s="17">
        <v>9315</v>
      </c>
      <c r="I3199" s="6">
        <f>Tabela1[[#This Row],[Valor total]]-Tabela1[[#This Row],[Valor custo]]</f>
        <v>3507.3999999999996</v>
      </c>
      <c r="J3199" s="7">
        <f>Tabela1[[#This Row],[MARGEM BRUTA]]/Tabela1[[#This Row],[Valor total]]</f>
        <v>0.37653247450348898</v>
      </c>
      <c r="K3199" s="1" t="str">
        <f>VLOOKUP(Tabela1[[#This Row],[Cliente]],'BASE DE CLIENTES'!A:D,4,0)</f>
        <v>EMPRESA SEM MAQUINA</v>
      </c>
      <c r="L3199" s="1" t="str">
        <f>VLOOKUP(Tabela1[[#This Row],[Cliente]],'BASE DE CLIENTES'!A:E,5,0)</f>
        <v>RECANTO DAS EMAS</v>
      </c>
    </row>
    <row r="3200" spans="2:12" x14ac:dyDescent="0.3">
      <c r="B3200" s="1" t="s">
        <v>140</v>
      </c>
      <c r="C3200" s="4" t="str">
        <f>VLOOKUP(Tabela1[[#This Row],[Cliente]],'BASE DE CLIENTES'!A:E,2,0)</f>
        <v>Brasília</v>
      </c>
      <c r="D3200" s="1" t="str">
        <f>VLOOKUP(Tabela1[[#This Row],[Cliente]],'BASE DE CLIENTES'!A:C,3,0)</f>
        <v>DF</v>
      </c>
      <c r="E3200" s="4" t="str">
        <f>CONCATENATE(Tabela1[[#This Row],[CIDADE]],",",Tabela1[[#This Row],[UF]])</f>
        <v>Brasília,DF</v>
      </c>
      <c r="F3200" s="2">
        <v>45979</v>
      </c>
      <c r="G3200" s="17">
        <v>8427.9</v>
      </c>
      <c r="H3200" s="17">
        <v>12000</v>
      </c>
      <c r="I3200" s="6">
        <f>Tabela1[[#This Row],[Valor total]]-Tabela1[[#This Row],[Valor custo]]</f>
        <v>3572.1000000000004</v>
      </c>
      <c r="J3200" s="7">
        <f>Tabela1[[#This Row],[MARGEM BRUTA]]/Tabela1[[#This Row],[Valor total]]</f>
        <v>0.29767500000000002</v>
      </c>
      <c r="K3200" s="1" t="str">
        <f>VLOOKUP(Tabela1[[#This Row],[Cliente]],'BASE DE CLIENTES'!A:D,4,0)</f>
        <v>EMPRESA COM MAQUINA</v>
      </c>
      <c r="L3200" s="1" t="str">
        <f>VLOOKUP(Tabela1[[#This Row],[Cliente]],'BASE DE CLIENTES'!A:E,5,0)</f>
        <v>RECANTO DAS EMAS</v>
      </c>
    </row>
    <row r="3201" spans="2:12" x14ac:dyDescent="0.3">
      <c r="B3201" s="1" t="s">
        <v>120</v>
      </c>
      <c r="C3201" s="4" t="str">
        <f>VLOOKUP(Tabela1[[#This Row],[Cliente]],'BASE DE CLIENTES'!A:E,2,0)</f>
        <v>Brasília</v>
      </c>
      <c r="D3201" s="1" t="str">
        <f>VLOOKUP(Tabela1[[#This Row],[Cliente]],'BASE DE CLIENTES'!A:C,3,0)</f>
        <v>DF</v>
      </c>
      <c r="E3201" s="4" t="str">
        <f>CONCATENATE(Tabela1[[#This Row],[CIDADE]],",",Tabela1[[#This Row],[UF]])</f>
        <v>Brasília,DF</v>
      </c>
      <c r="F3201" s="2">
        <v>45979</v>
      </c>
      <c r="G3201" s="17">
        <v>1669.79</v>
      </c>
      <c r="H3201" s="17">
        <v>1855</v>
      </c>
      <c r="I3201" s="6">
        <f>Tabela1[[#This Row],[Valor total]]-Tabela1[[#This Row],[Valor custo]]</f>
        <v>185.21000000000004</v>
      </c>
      <c r="J3201" s="7">
        <f>Tabela1[[#This Row],[MARGEM BRUTA]]/Tabela1[[#This Row],[Valor total]]</f>
        <v>9.984366576819409E-2</v>
      </c>
      <c r="K3201" s="1" t="str">
        <f>VLOOKUP(Tabela1[[#This Row],[Cliente]],'BASE DE CLIENTES'!A:D,4,0)</f>
        <v>EMPRESA SEM MAQUINA</v>
      </c>
      <c r="L3201" s="1" t="str">
        <f>VLOOKUP(Tabela1[[#This Row],[Cliente]],'BASE DE CLIENTES'!A:E,5,0)</f>
        <v>SAMAMBAIA</v>
      </c>
    </row>
    <row r="3202" spans="2:12" x14ac:dyDescent="0.3">
      <c r="B3202" s="1" t="s">
        <v>42</v>
      </c>
      <c r="C3202" s="4" t="str">
        <f>VLOOKUP(Tabela1[[#This Row],[Cliente]],'BASE DE CLIENTES'!A:E,2,0)</f>
        <v>Brasília</v>
      </c>
      <c r="D3202" s="1" t="str">
        <f>VLOOKUP(Tabela1[[#This Row],[Cliente]],'BASE DE CLIENTES'!A:C,3,0)</f>
        <v>DF</v>
      </c>
      <c r="E3202" s="4" t="str">
        <f>CONCATENATE(Tabela1[[#This Row],[CIDADE]],",",Tabela1[[#This Row],[UF]])</f>
        <v>Brasília,DF</v>
      </c>
      <c r="F3202" s="2">
        <v>45979</v>
      </c>
      <c r="G3202" s="17">
        <v>55</v>
      </c>
      <c r="H3202" s="17">
        <v>150</v>
      </c>
      <c r="I3202" s="6">
        <f>Tabela1[[#This Row],[Valor total]]-Tabela1[[#This Row],[Valor custo]]</f>
        <v>95</v>
      </c>
      <c r="J3202" s="7">
        <f>Tabela1[[#This Row],[MARGEM BRUTA]]/Tabela1[[#This Row],[Valor total]]</f>
        <v>0.6333333333333333</v>
      </c>
      <c r="K3202" s="1" t="str">
        <f>VLOOKUP(Tabela1[[#This Row],[Cliente]],'BASE DE CLIENTES'!A:D,4,0)</f>
        <v>EMPRESA SEM MAQUINA</v>
      </c>
      <c r="L3202" s="1" t="str">
        <f>VLOOKUP(Tabela1[[#This Row],[Cliente]],'BASE DE CLIENTES'!A:E,5,0)</f>
        <v>SAMAMBAIA</v>
      </c>
    </row>
    <row r="3203" spans="2:12" x14ac:dyDescent="0.3">
      <c r="B3203" s="1" t="s">
        <v>68</v>
      </c>
      <c r="C3203" s="4" t="str">
        <f>VLOOKUP(Tabela1[[#This Row],[Cliente]],'BASE DE CLIENTES'!A:E,2,0)</f>
        <v>Brasília</v>
      </c>
      <c r="D3203" s="1" t="str">
        <f>VLOOKUP(Tabela1[[#This Row],[Cliente]],'BASE DE CLIENTES'!A:C,3,0)</f>
        <v>DF</v>
      </c>
      <c r="E3203" s="4" t="str">
        <f>CONCATENATE(Tabela1[[#This Row],[CIDADE]],",",Tabela1[[#This Row],[UF]])</f>
        <v>Brasília,DF</v>
      </c>
      <c r="F3203" s="2">
        <v>45979</v>
      </c>
      <c r="G3203" s="17">
        <v>2098.56</v>
      </c>
      <c r="H3203" s="17">
        <v>3305</v>
      </c>
      <c r="I3203" s="6">
        <f>Tabela1[[#This Row],[Valor total]]-Tabela1[[#This Row],[Valor custo]]</f>
        <v>1206.44</v>
      </c>
      <c r="J3203" s="7">
        <f>Tabela1[[#This Row],[MARGEM BRUTA]]/Tabela1[[#This Row],[Valor total]]</f>
        <v>0.36503479576399395</v>
      </c>
      <c r="K3203" s="1" t="str">
        <f>VLOOKUP(Tabela1[[#This Row],[Cliente]],'BASE DE CLIENTES'!A:D,4,0)</f>
        <v>EMPRESA COM MAQUINA</v>
      </c>
      <c r="L3203" s="1" t="str">
        <f>VLOOKUP(Tabela1[[#This Row],[Cliente]],'BASE DE CLIENTES'!A:E,5,0)</f>
        <v>SAMAMBAIA SUL (SAMAMBAIA)</v>
      </c>
    </row>
    <row r="3204" spans="2:12" x14ac:dyDescent="0.3">
      <c r="B3204" s="1" t="s">
        <v>111</v>
      </c>
      <c r="C3204" s="4" t="str">
        <f>VLOOKUP(Tabela1[[#This Row],[Cliente]],'BASE DE CLIENTES'!A:E,2,0)</f>
        <v>Brasília</v>
      </c>
      <c r="D3204" s="1" t="str">
        <f>VLOOKUP(Tabela1[[#This Row],[Cliente]],'BASE DE CLIENTES'!A:C,3,0)</f>
        <v>DF</v>
      </c>
      <c r="E3204" s="4" t="str">
        <f>CONCATENATE(Tabela1[[#This Row],[CIDADE]],",",Tabela1[[#This Row],[UF]])</f>
        <v>Brasília,DF</v>
      </c>
      <c r="F3204" s="2">
        <v>45979</v>
      </c>
      <c r="G3204" s="17">
        <v>305.27999999999997</v>
      </c>
      <c r="H3204" s="17">
        <v>380</v>
      </c>
      <c r="I3204" s="6">
        <f>Tabela1[[#This Row],[Valor total]]-Tabela1[[#This Row],[Valor custo]]</f>
        <v>74.720000000000027</v>
      </c>
      <c r="J3204" s="7">
        <f>Tabela1[[#This Row],[MARGEM BRUTA]]/Tabela1[[#This Row],[Valor total]]</f>
        <v>0.19663157894736849</v>
      </c>
      <c r="K3204" s="1" t="str">
        <f>VLOOKUP(Tabela1[[#This Row],[Cliente]],'BASE DE CLIENTES'!A:D,4,0)</f>
        <v>EMPRESA SEM MAQUINA</v>
      </c>
      <c r="L3204" s="1" t="str">
        <f>VLOOKUP(Tabela1[[#This Row],[Cliente]],'BASE DE CLIENTES'!A:E,5,0)</f>
        <v>TAGUATINGA SUL (TAGUATINGA)</v>
      </c>
    </row>
    <row r="3205" spans="2:12" x14ac:dyDescent="0.3">
      <c r="B3205" s="1" t="s">
        <v>151</v>
      </c>
      <c r="C3205" s="4" t="str">
        <f>VLOOKUP(Tabela1[[#This Row],[Cliente]],'BASE DE CLIENTES'!A:E,2,0)</f>
        <v>Aparecida de Goiânia</v>
      </c>
      <c r="D3205" s="1" t="str">
        <f>VLOOKUP(Tabela1[[#This Row],[Cliente]],'BASE DE CLIENTES'!A:C,3,0)</f>
        <v>GO</v>
      </c>
      <c r="E3205" s="4" t="str">
        <f>CONCATENATE(Tabela1[[#This Row],[CIDADE]],",",Tabela1[[#This Row],[UF]])</f>
        <v>Aparecida de Goiânia,GO</v>
      </c>
      <c r="F3205" s="2">
        <v>45978</v>
      </c>
      <c r="G3205" s="17">
        <v>0</v>
      </c>
      <c r="H3205" s="17">
        <v>150</v>
      </c>
      <c r="I3205" s="6">
        <f>Tabela1[[#This Row],[Valor total]]-Tabela1[[#This Row],[Valor custo]]</f>
        <v>150</v>
      </c>
      <c r="J3205" s="7">
        <f>Tabela1[[#This Row],[MARGEM BRUTA]]/Tabela1[[#This Row],[Valor total]]</f>
        <v>1</v>
      </c>
      <c r="K3205" s="1" t="str">
        <f>VLOOKUP(Tabela1[[#This Row],[Cliente]],'BASE DE CLIENTES'!A:D,4,0)</f>
        <v>EMPRESA COM MAQUINA</v>
      </c>
      <c r="L3205" s="1" t="str">
        <f>VLOOKUP(Tabela1[[#This Row],[Cliente]],'BASE DE CLIENTES'!A:E,5,0)</f>
        <v>Aparecida de Goiânia</v>
      </c>
    </row>
    <row r="3206" spans="2:12" x14ac:dyDescent="0.3">
      <c r="B3206" s="1" t="s">
        <v>123</v>
      </c>
      <c r="C3206" s="4" t="str">
        <f>VLOOKUP(Tabela1[[#This Row],[Cliente]],'BASE DE CLIENTES'!A:E,2,0)</f>
        <v>Brasília</v>
      </c>
      <c r="D3206" s="1" t="str">
        <f>VLOOKUP(Tabela1[[#This Row],[Cliente]],'BASE DE CLIENTES'!A:C,3,0)</f>
        <v>DF</v>
      </c>
      <c r="E3206" s="4" t="str">
        <f>CONCATENATE(Tabela1[[#This Row],[CIDADE]],",",Tabela1[[#This Row],[UF]])</f>
        <v>Brasília,DF</v>
      </c>
      <c r="F3206" s="2">
        <v>45978</v>
      </c>
      <c r="G3206" s="17">
        <v>125</v>
      </c>
      <c r="H3206" s="17">
        <v>150</v>
      </c>
      <c r="I3206" s="6">
        <f>Tabela1[[#This Row],[Valor total]]-Tabela1[[#This Row],[Valor custo]]</f>
        <v>25</v>
      </c>
      <c r="J3206" s="7">
        <f>Tabela1[[#This Row],[MARGEM BRUTA]]/Tabela1[[#This Row],[Valor total]]</f>
        <v>0.16666666666666666</v>
      </c>
      <c r="K3206" s="1" t="str">
        <f>VLOOKUP(Tabela1[[#This Row],[Cliente]],'BASE DE CLIENTES'!A:D,4,0)</f>
        <v>EMPRESA COM MAQUINA</v>
      </c>
      <c r="L3206" s="1" t="str">
        <f>VLOOKUP(Tabela1[[#This Row],[Cliente]],'BASE DE CLIENTES'!A:E,5,0)</f>
        <v>ADE CEILÂNDIA</v>
      </c>
    </row>
    <row r="3207" spans="2:12" x14ac:dyDescent="0.3">
      <c r="B3207" s="1" t="s">
        <v>311</v>
      </c>
      <c r="C3207" s="4" t="str">
        <f>VLOOKUP(Tabela1[[#This Row],[Cliente]],'BASE DE CLIENTES'!A:E,2,0)</f>
        <v>Uberlândia</v>
      </c>
      <c r="D3207" s="1" t="str">
        <f>VLOOKUP(Tabela1[[#This Row],[Cliente]],'BASE DE CLIENTES'!A:C,3,0)</f>
        <v>MG</v>
      </c>
      <c r="E3207" s="4" t="str">
        <f>CONCATENATE(Tabela1[[#This Row],[CIDADE]],",",Tabela1[[#This Row],[UF]])</f>
        <v>Uberlândia,MG</v>
      </c>
      <c r="F3207" s="2">
        <v>45978</v>
      </c>
      <c r="G3207" s="17">
        <v>16390</v>
      </c>
      <c r="H3207" s="17">
        <v>23000</v>
      </c>
      <c r="I3207" s="6">
        <f>Tabela1[[#This Row],[Valor total]]-Tabela1[[#This Row],[Valor custo]]</f>
        <v>6610</v>
      </c>
      <c r="J3207" s="7">
        <f>Tabela1[[#This Row],[MARGEM BRUTA]]/Tabela1[[#This Row],[Valor total]]</f>
        <v>0.28739130434782606</v>
      </c>
      <c r="K3207" s="1" t="str">
        <f>VLOOKUP(Tabela1[[#This Row],[Cliente]],'BASE DE CLIENTES'!A:D,4,0)</f>
        <v>EMPRESA COM MAQUINA</v>
      </c>
      <c r="L3207" s="1" t="str">
        <f>VLOOKUP(Tabela1[[#This Row],[Cliente]],'BASE DE CLIENTES'!A:E,5,0)</f>
        <v>Uberlândia</v>
      </c>
    </row>
    <row r="3208" spans="2:12" x14ac:dyDescent="0.3">
      <c r="B3208" s="1" t="s">
        <v>23</v>
      </c>
      <c r="C3208" s="4" t="str">
        <f>VLOOKUP(Tabela1[[#This Row],[Cliente]],'BASE DE CLIENTES'!A:E,2,0)</f>
        <v>Brasília</v>
      </c>
      <c r="D3208" s="1" t="str">
        <f>VLOOKUP(Tabela1[[#This Row],[Cliente]],'BASE DE CLIENTES'!A:C,3,0)</f>
        <v>DF</v>
      </c>
      <c r="E3208" s="4" t="str">
        <f>CONCATENATE(Tabela1[[#This Row],[CIDADE]],",",Tabela1[[#This Row],[UF]])</f>
        <v>Brasília,DF</v>
      </c>
      <c r="F3208" s="2">
        <v>45978</v>
      </c>
      <c r="G3208" s="17">
        <v>125</v>
      </c>
      <c r="H3208" s="17">
        <v>150</v>
      </c>
      <c r="I3208" s="6">
        <f>Tabela1[[#This Row],[Valor total]]-Tabela1[[#This Row],[Valor custo]]</f>
        <v>25</v>
      </c>
      <c r="J3208" s="7">
        <f>Tabela1[[#This Row],[MARGEM BRUTA]]/Tabela1[[#This Row],[Valor total]]</f>
        <v>0.16666666666666666</v>
      </c>
      <c r="K3208" s="1" t="str">
        <f>VLOOKUP(Tabela1[[#This Row],[Cliente]],'BASE DE CLIENTES'!A:D,4,0)</f>
        <v>EMPRESA SEM MAQUINA</v>
      </c>
      <c r="L3208" s="1" t="str">
        <f>VLOOKUP(Tabela1[[#This Row],[Cliente]],'BASE DE CLIENTES'!A:E,5,0)</f>
        <v>SETOR INDUSTRIAL (TAGUATINGA)</v>
      </c>
    </row>
    <row r="3209" spans="2:12" x14ac:dyDescent="0.3">
      <c r="B3209" s="1" t="s">
        <v>152</v>
      </c>
      <c r="C3209" s="4" t="str">
        <f>VLOOKUP(Tabela1[[#This Row],[Cliente]],'BASE DE CLIENTES'!A:E,2,0)</f>
        <v>Aparecida de Goiânia</v>
      </c>
      <c r="D3209" s="1" t="str">
        <f>VLOOKUP(Tabela1[[#This Row],[Cliente]],'BASE DE CLIENTES'!A:C,3,0)</f>
        <v>GO</v>
      </c>
      <c r="E3209" s="4" t="str">
        <f>CONCATENATE(Tabela1[[#This Row],[CIDADE]],",",Tabela1[[#This Row],[UF]])</f>
        <v>Aparecida de Goiânia,GO</v>
      </c>
      <c r="F3209" s="2">
        <v>45978</v>
      </c>
      <c r="G3209" s="17">
        <v>91.2</v>
      </c>
      <c r="H3209" s="17">
        <v>160</v>
      </c>
      <c r="I3209" s="6">
        <f>Tabela1[[#This Row],[Valor total]]-Tabela1[[#This Row],[Valor custo]]</f>
        <v>68.8</v>
      </c>
      <c r="J3209" s="7">
        <f>Tabela1[[#This Row],[MARGEM BRUTA]]/Tabela1[[#This Row],[Valor total]]</f>
        <v>0.43</v>
      </c>
      <c r="K3209" s="1" t="str">
        <f>VLOOKUP(Tabela1[[#This Row],[Cliente]],'BASE DE CLIENTES'!A:D,4,0)</f>
        <v>TECNICO</v>
      </c>
      <c r="L3209" s="1" t="str">
        <f>VLOOKUP(Tabela1[[#This Row],[Cliente]],'BASE DE CLIENTES'!A:E,5,0)</f>
        <v>Aparecida de Goiânia</v>
      </c>
    </row>
    <row r="3210" spans="2:12" x14ac:dyDescent="0.3">
      <c r="B3210" s="1" t="s">
        <v>25</v>
      </c>
      <c r="C3210" s="4" t="str">
        <f>VLOOKUP(Tabela1[[#This Row],[Cliente]],'BASE DE CLIENTES'!A:E,2,0)</f>
        <v>Brasília</v>
      </c>
      <c r="D3210" s="1" t="str">
        <f>VLOOKUP(Tabela1[[#This Row],[Cliente]],'BASE DE CLIENTES'!A:C,3,0)</f>
        <v>DF</v>
      </c>
      <c r="E3210" s="4" t="str">
        <f>CONCATENATE(Tabela1[[#This Row],[CIDADE]],",",Tabela1[[#This Row],[UF]])</f>
        <v>Brasília,DF</v>
      </c>
      <c r="F3210" s="2">
        <v>45978</v>
      </c>
      <c r="G3210" s="17">
        <v>94.06</v>
      </c>
      <c r="H3210" s="17">
        <v>170</v>
      </c>
      <c r="I3210" s="6">
        <f>Tabela1[[#This Row],[Valor total]]-Tabela1[[#This Row],[Valor custo]]</f>
        <v>75.94</v>
      </c>
      <c r="J3210" s="7">
        <f>Tabela1[[#This Row],[MARGEM BRUTA]]/Tabela1[[#This Row],[Valor total]]</f>
        <v>0.44670588235294117</v>
      </c>
      <c r="K3210" s="1" t="str">
        <f>VLOOKUP(Tabela1[[#This Row],[Cliente]],'BASE DE CLIENTES'!A:D,4,0)</f>
        <v>EMPRESA COM MAQUINA</v>
      </c>
      <c r="L3210" s="1" t="str">
        <f>VLOOKUP(Tabela1[[#This Row],[Cliente]],'BASE DE CLIENTES'!A:E,5,0)</f>
        <v>CEILANDIA NORTE (CEILANDIA)</v>
      </c>
    </row>
    <row r="3211" spans="2:12" x14ac:dyDescent="0.3">
      <c r="B3211" s="1" t="s">
        <v>152</v>
      </c>
      <c r="C3211" s="4" t="str">
        <f>VLOOKUP(Tabela1[[#This Row],[Cliente]],'BASE DE CLIENTES'!A:E,2,0)</f>
        <v>Aparecida de Goiânia</v>
      </c>
      <c r="D3211" s="1" t="str">
        <f>VLOOKUP(Tabela1[[#This Row],[Cliente]],'BASE DE CLIENTES'!A:C,3,0)</f>
        <v>GO</v>
      </c>
      <c r="E3211" s="4" t="str">
        <f>CONCATENATE(Tabela1[[#This Row],[CIDADE]],",",Tabela1[[#This Row],[UF]])</f>
        <v>Aparecida de Goiânia,GO</v>
      </c>
      <c r="F3211" s="2">
        <v>45978</v>
      </c>
      <c r="G3211" s="17">
        <v>705</v>
      </c>
      <c r="H3211" s="17">
        <v>1300</v>
      </c>
      <c r="I3211" s="6">
        <f>Tabela1[[#This Row],[Valor total]]-Tabela1[[#This Row],[Valor custo]]</f>
        <v>595</v>
      </c>
      <c r="J3211" s="7">
        <f>Tabela1[[#This Row],[MARGEM BRUTA]]/Tabela1[[#This Row],[Valor total]]</f>
        <v>0.45769230769230768</v>
      </c>
      <c r="K3211" s="1" t="str">
        <f>VLOOKUP(Tabela1[[#This Row],[Cliente]],'BASE DE CLIENTES'!A:D,4,0)</f>
        <v>TECNICO</v>
      </c>
      <c r="L3211" s="1" t="str">
        <f>VLOOKUP(Tabela1[[#This Row],[Cliente]],'BASE DE CLIENTES'!A:E,5,0)</f>
        <v>Aparecida de Goiânia</v>
      </c>
    </row>
    <row r="3212" spans="2:12" x14ac:dyDescent="0.3">
      <c r="B3212" s="1" t="s">
        <v>25</v>
      </c>
      <c r="C3212" s="4" t="str">
        <f>VLOOKUP(Tabela1[[#This Row],[Cliente]],'BASE DE CLIENTES'!A:E,2,0)</f>
        <v>Brasília</v>
      </c>
      <c r="D3212" s="1" t="str">
        <f>VLOOKUP(Tabela1[[#This Row],[Cliente]],'BASE DE CLIENTES'!A:C,3,0)</f>
        <v>DF</v>
      </c>
      <c r="E3212" s="4" t="str">
        <f>CONCATENATE(Tabela1[[#This Row],[CIDADE]],",",Tabela1[[#This Row],[UF]])</f>
        <v>Brasília,DF</v>
      </c>
      <c r="F3212" s="2">
        <v>45978</v>
      </c>
      <c r="G3212" s="17">
        <v>664</v>
      </c>
      <c r="H3212" s="17">
        <v>1000</v>
      </c>
      <c r="I3212" s="6">
        <f>Tabela1[[#This Row],[Valor total]]-Tabela1[[#This Row],[Valor custo]]</f>
        <v>336</v>
      </c>
      <c r="J3212" s="7">
        <f>Tabela1[[#This Row],[MARGEM BRUTA]]/Tabela1[[#This Row],[Valor total]]</f>
        <v>0.33600000000000002</v>
      </c>
      <c r="K3212" s="1" t="str">
        <f>VLOOKUP(Tabela1[[#This Row],[Cliente]],'BASE DE CLIENTES'!A:D,4,0)</f>
        <v>EMPRESA COM MAQUINA</v>
      </c>
      <c r="L3212" s="1" t="str">
        <f>VLOOKUP(Tabela1[[#This Row],[Cliente]],'BASE DE CLIENTES'!A:E,5,0)</f>
        <v>CEILANDIA NORTE (CEILANDIA)</v>
      </c>
    </row>
    <row r="3213" spans="2:12" x14ac:dyDescent="0.3">
      <c r="B3213" s="1" t="s">
        <v>70</v>
      </c>
      <c r="C3213" s="4" t="str">
        <f>VLOOKUP(Tabela1[[#This Row],[Cliente]],'BASE DE CLIENTES'!A:E,2,0)</f>
        <v>Brasília</v>
      </c>
      <c r="D3213" s="1" t="str">
        <f>VLOOKUP(Tabela1[[#This Row],[Cliente]],'BASE DE CLIENTES'!A:C,3,0)</f>
        <v>DF</v>
      </c>
      <c r="E3213" s="4" t="str">
        <f>CONCATENATE(Tabela1[[#This Row],[CIDADE]],",",Tabela1[[#This Row],[UF]])</f>
        <v>Brasília,DF</v>
      </c>
      <c r="F3213" s="2">
        <v>45978</v>
      </c>
      <c r="G3213" s="17">
        <v>664</v>
      </c>
      <c r="H3213" s="17">
        <v>1000</v>
      </c>
      <c r="I3213" s="6">
        <f>Tabela1[[#This Row],[Valor total]]-Tabela1[[#This Row],[Valor custo]]</f>
        <v>336</v>
      </c>
      <c r="J3213" s="7">
        <f>Tabela1[[#This Row],[MARGEM BRUTA]]/Tabela1[[#This Row],[Valor total]]</f>
        <v>0.33600000000000002</v>
      </c>
      <c r="K3213" s="1" t="str">
        <f>VLOOKUP(Tabela1[[#This Row],[Cliente]],'BASE DE CLIENTES'!A:D,4,0)</f>
        <v>EMPRESA COM MAQUINA</v>
      </c>
      <c r="L3213" s="1" t="str">
        <f>VLOOKUP(Tabela1[[#This Row],[Cliente]],'BASE DE CLIENTES'!A:E,5,0)</f>
        <v>TAGUATINGA NORTE (TAGUATINGA)</v>
      </c>
    </row>
    <row r="3214" spans="2:12" x14ac:dyDescent="0.3">
      <c r="B3214" s="1" t="s">
        <v>150</v>
      </c>
      <c r="C3214" s="4" t="str">
        <f>VLOOKUP(Tabela1[[#This Row],[Cliente]],'BASE DE CLIENTES'!A:E,2,0)</f>
        <v>Anápolis</v>
      </c>
      <c r="D3214" s="1" t="str">
        <f>VLOOKUP(Tabela1[[#This Row],[Cliente]],'BASE DE CLIENTES'!A:C,3,0)</f>
        <v>GO</v>
      </c>
      <c r="E3214" s="4" t="str">
        <f>CONCATENATE(Tabela1[[#This Row],[CIDADE]],",",Tabela1[[#This Row],[UF]])</f>
        <v>Anápolis,GO</v>
      </c>
      <c r="F3214" s="2">
        <v>45978</v>
      </c>
      <c r="G3214" s="17">
        <v>9640.16</v>
      </c>
      <c r="H3214" s="17">
        <v>15342</v>
      </c>
      <c r="I3214" s="6">
        <f>Tabela1[[#This Row],[Valor total]]-Tabela1[[#This Row],[Valor custo]]</f>
        <v>5701.84</v>
      </c>
      <c r="J3214" s="7">
        <f>Tabela1[[#This Row],[MARGEM BRUTA]]/Tabela1[[#This Row],[Valor total]]</f>
        <v>0.37164906791813324</v>
      </c>
      <c r="K3214" s="1" t="str">
        <f>VLOOKUP(Tabela1[[#This Row],[Cliente]],'BASE DE CLIENTES'!A:D,4,0)</f>
        <v>EMPRESA COM MAQUINA</v>
      </c>
      <c r="L3214" s="1" t="str">
        <f>VLOOKUP(Tabela1[[#This Row],[Cliente]],'BASE DE CLIENTES'!A:E,5,0)</f>
        <v>Anápolis</v>
      </c>
    </row>
    <row r="3215" spans="2:12" x14ac:dyDescent="0.3">
      <c r="B3215" s="1" t="s">
        <v>230</v>
      </c>
      <c r="C3215" s="4" t="str">
        <f>VLOOKUP(Tabela1[[#This Row],[Cliente]],'BASE DE CLIENTES'!A:E,2,0)</f>
        <v>Brasília</v>
      </c>
      <c r="D3215" s="1" t="str">
        <f>VLOOKUP(Tabela1[[#This Row],[Cliente]],'BASE DE CLIENTES'!A:C,3,0)</f>
        <v>DF</v>
      </c>
      <c r="E3215" s="4" t="str">
        <f>CONCATENATE(Tabela1[[#This Row],[CIDADE]],",",Tabela1[[#This Row],[UF]])</f>
        <v>Brasília,DF</v>
      </c>
      <c r="F3215" s="2">
        <v>45975</v>
      </c>
      <c r="G3215" s="17">
        <v>7.21</v>
      </c>
      <c r="H3215" s="17">
        <v>35</v>
      </c>
      <c r="I3215" s="6">
        <f>Tabela1[[#This Row],[Valor total]]-Tabela1[[#This Row],[Valor custo]]</f>
        <v>27.79</v>
      </c>
      <c r="J3215" s="7">
        <f>Tabela1[[#This Row],[MARGEM BRUTA]]/Tabela1[[#This Row],[Valor total]]</f>
        <v>0.79399999999999993</v>
      </c>
      <c r="K3215" s="1" t="str">
        <f>VLOOKUP(Tabela1[[#This Row],[Cliente]],'BASE DE CLIENTES'!A:D,4,0)</f>
        <v>SERRALHEIRO</v>
      </c>
      <c r="L3215" s="1" t="str">
        <f>VLOOKUP(Tabela1[[#This Row],[Cliente]],'BASE DE CLIENTES'!A:E,5,0)</f>
        <v>SETOR HABITACIONAL SAMAMBAIA (VICENTE PIRES)</v>
      </c>
    </row>
    <row r="3216" spans="2:12" x14ac:dyDescent="0.3">
      <c r="B3216" s="1" t="s">
        <v>106</v>
      </c>
      <c r="C3216" s="4" t="str">
        <f>VLOOKUP(Tabela1[[#This Row],[Cliente]],'BASE DE CLIENTES'!A:E,2,0)</f>
        <v>Brasília</v>
      </c>
      <c r="D3216" s="1" t="str">
        <f>VLOOKUP(Tabela1[[#This Row],[Cliente]],'BASE DE CLIENTES'!A:C,3,0)</f>
        <v>DF</v>
      </c>
      <c r="E3216" s="4" t="str">
        <f>CONCATENATE(Tabela1[[#This Row],[CIDADE]],",",Tabela1[[#This Row],[UF]])</f>
        <v>Brasília,DF</v>
      </c>
      <c r="F3216" s="2">
        <v>45975</v>
      </c>
      <c r="G3216" s="17">
        <v>8177.9</v>
      </c>
      <c r="H3216" s="17">
        <v>11500</v>
      </c>
      <c r="I3216" s="6">
        <f>Tabela1[[#This Row],[Valor total]]-Tabela1[[#This Row],[Valor custo]]</f>
        <v>3322.1000000000004</v>
      </c>
      <c r="J3216" s="7">
        <f>Tabela1[[#This Row],[MARGEM BRUTA]]/Tabela1[[#This Row],[Valor total]]</f>
        <v>0.28887826086956525</v>
      </c>
      <c r="K3216" s="1" t="str">
        <f>VLOOKUP(Tabela1[[#This Row],[Cliente]],'BASE DE CLIENTES'!A:D,4,0)</f>
        <v>EMPRESA COM MAQUINA</v>
      </c>
      <c r="L3216" s="1" t="str">
        <f>VLOOKUP(Tabela1[[#This Row],[Cliente]],'BASE DE CLIENTES'!A:E,5,0)</f>
        <v>26 DE SETEMBRO</v>
      </c>
    </row>
    <row r="3217" spans="2:12" x14ac:dyDescent="0.3">
      <c r="B3217" s="1" t="s">
        <v>183</v>
      </c>
      <c r="C3217" s="4" t="str">
        <f>VLOOKUP(Tabela1[[#This Row],[Cliente]],'BASE DE CLIENTES'!A:E,2,0)</f>
        <v>Caldas Novas</v>
      </c>
      <c r="D3217" s="1" t="str">
        <f>VLOOKUP(Tabela1[[#This Row],[Cliente]],'BASE DE CLIENTES'!A:C,3,0)</f>
        <v>GO</v>
      </c>
      <c r="E3217" s="4" t="str">
        <f>CONCATENATE(Tabela1[[#This Row],[CIDADE]],",",Tabela1[[#This Row],[UF]])</f>
        <v>Caldas Novas,GO</v>
      </c>
      <c r="F3217" s="2">
        <v>45975</v>
      </c>
      <c r="G3217" s="17">
        <v>12126.95</v>
      </c>
      <c r="H3217" s="17">
        <v>19000</v>
      </c>
      <c r="I3217" s="6">
        <f>Tabela1[[#This Row],[Valor total]]-Tabela1[[#This Row],[Valor custo]]</f>
        <v>6873.0499999999993</v>
      </c>
      <c r="J3217" s="7">
        <f>Tabela1[[#This Row],[MARGEM BRUTA]]/Tabela1[[#This Row],[Valor total]]</f>
        <v>0.3617394736842105</v>
      </c>
      <c r="K3217" s="1" t="str">
        <f>VLOOKUP(Tabela1[[#This Row],[Cliente]],'BASE DE CLIENTES'!A:D,4,0)</f>
        <v>EMPRESA COM MAQUINA</v>
      </c>
      <c r="L3217" s="1" t="str">
        <f>VLOOKUP(Tabela1[[#This Row],[Cliente]],'BASE DE CLIENTES'!A:E,5,0)</f>
        <v>Caldas Novas</v>
      </c>
    </row>
    <row r="3218" spans="2:12" x14ac:dyDescent="0.3">
      <c r="B3218" s="1" t="s">
        <v>106</v>
      </c>
      <c r="C3218" s="4" t="str">
        <f>VLOOKUP(Tabela1[[#This Row],[Cliente]],'BASE DE CLIENTES'!A:E,2,0)</f>
        <v>Brasília</v>
      </c>
      <c r="D3218" s="1" t="str">
        <f>VLOOKUP(Tabela1[[#This Row],[Cliente]],'BASE DE CLIENTES'!A:C,3,0)</f>
        <v>DF</v>
      </c>
      <c r="E3218" s="4" t="str">
        <f>CONCATENATE(Tabela1[[#This Row],[CIDADE]],",",Tabela1[[#This Row],[UF]])</f>
        <v>Brasília,DF</v>
      </c>
      <c r="F3218" s="2">
        <v>45975</v>
      </c>
      <c r="G3218" s="17">
        <v>1117.2</v>
      </c>
      <c r="H3218" s="17">
        <v>1900</v>
      </c>
      <c r="I3218" s="6">
        <f>Tabela1[[#This Row],[Valor total]]-Tabela1[[#This Row],[Valor custo]]</f>
        <v>782.8</v>
      </c>
      <c r="J3218" s="7">
        <f>Tabela1[[#This Row],[MARGEM BRUTA]]/Tabela1[[#This Row],[Valor total]]</f>
        <v>0.41199999999999998</v>
      </c>
      <c r="K3218" s="1" t="str">
        <f>VLOOKUP(Tabela1[[#This Row],[Cliente]],'BASE DE CLIENTES'!A:D,4,0)</f>
        <v>EMPRESA COM MAQUINA</v>
      </c>
      <c r="L3218" s="1" t="str">
        <f>VLOOKUP(Tabela1[[#This Row],[Cliente]],'BASE DE CLIENTES'!A:E,5,0)</f>
        <v>26 DE SETEMBRO</v>
      </c>
    </row>
    <row r="3219" spans="2:12" x14ac:dyDescent="0.3">
      <c r="B3219" s="1" t="s">
        <v>66</v>
      </c>
      <c r="C3219" s="4" t="str">
        <f>VLOOKUP(Tabela1[[#This Row],[Cliente]],'BASE DE CLIENTES'!A:E,2,0)</f>
        <v>Águas Lindas de Goiás</v>
      </c>
      <c r="D3219" s="1" t="str">
        <f>VLOOKUP(Tabela1[[#This Row],[Cliente]],'BASE DE CLIENTES'!A:C,3,0)</f>
        <v>GO</v>
      </c>
      <c r="E3219" s="4" t="str">
        <f>CONCATENATE(Tabela1[[#This Row],[CIDADE]],",",Tabela1[[#This Row],[UF]])</f>
        <v>Águas Lindas de Goiás,GO</v>
      </c>
      <c r="F3219" s="2">
        <v>45975</v>
      </c>
      <c r="G3219" s="17">
        <v>1330</v>
      </c>
      <c r="H3219" s="17">
        <v>2070</v>
      </c>
      <c r="I3219" s="6">
        <f>Tabela1[[#This Row],[Valor total]]-Tabela1[[#This Row],[Valor custo]]</f>
        <v>740</v>
      </c>
      <c r="J3219" s="7">
        <f>Tabela1[[#This Row],[MARGEM BRUTA]]/Tabela1[[#This Row],[Valor total]]</f>
        <v>0.35748792270531399</v>
      </c>
      <c r="K3219" s="1" t="str">
        <f>VLOOKUP(Tabela1[[#This Row],[Cliente]],'BASE DE CLIENTES'!A:D,4,0)</f>
        <v>EMPRESA COM MAQUINA</v>
      </c>
      <c r="L3219" s="1" t="str">
        <f>VLOOKUP(Tabela1[[#This Row],[Cliente]],'BASE DE CLIENTES'!A:E,5,0)</f>
        <v>Águas Lindas de Goiás</v>
      </c>
    </row>
    <row r="3220" spans="2:12" x14ac:dyDescent="0.3">
      <c r="B3220" s="1" t="s">
        <v>216</v>
      </c>
      <c r="C3220" s="4" t="str">
        <f>VLOOKUP(Tabela1[[#This Row],[Cliente]],'BASE DE CLIENTES'!A:E,2,0)</f>
        <v>Brasília</v>
      </c>
      <c r="D3220" s="1" t="str">
        <f>VLOOKUP(Tabela1[[#This Row],[Cliente]],'BASE DE CLIENTES'!A:C,3,0)</f>
        <v>DF</v>
      </c>
      <c r="E3220" s="4" t="str">
        <f>CONCATENATE(Tabela1[[#This Row],[CIDADE]],",",Tabela1[[#This Row],[UF]])</f>
        <v>Brasília,DF</v>
      </c>
      <c r="F3220" s="2">
        <v>45975</v>
      </c>
      <c r="G3220" s="17">
        <v>305</v>
      </c>
      <c r="H3220" s="17">
        <v>390</v>
      </c>
      <c r="I3220" s="6">
        <f>Tabela1[[#This Row],[Valor total]]-Tabela1[[#This Row],[Valor custo]]</f>
        <v>85</v>
      </c>
      <c r="J3220" s="7">
        <f>Tabela1[[#This Row],[MARGEM BRUTA]]/Tabela1[[#This Row],[Valor total]]</f>
        <v>0.21794871794871795</v>
      </c>
      <c r="K3220" s="1" t="str">
        <f>VLOOKUP(Tabela1[[#This Row],[Cliente]],'BASE DE CLIENTES'!A:D,4,0)</f>
        <v>EMPRESA COM MAQUINA</v>
      </c>
      <c r="L3220" s="1" t="str">
        <f>VLOOKUP(Tabela1[[#This Row],[Cliente]],'BASE DE CLIENTES'!A:E,5,0)</f>
        <v>RIACHO FUNDO II</v>
      </c>
    </row>
    <row r="3221" spans="2:12" x14ac:dyDescent="0.3">
      <c r="B3221" s="1" t="s">
        <v>216</v>
      </c>
      <c r="C3221" s="4" t="str">
        <f>VLOOKUP(Tabela1[[#This Row],[Cliente]],'BASE DE CLIENTES'!A:E,2,0)</f>
        <v>Brasília</v>
      </c>
      <c r="D3221" s="1" t="str">
        <f>VLOOKUP(Tabela1[[#This Row],[Cliente]],'BASE DE CLIENTES'!A:C,3,0)</f>
        <v>DF</v>
      </c>
      <c r="E3221" s="4" t="str">
        <f>CONCATENATE(Tabela1[[#This Row],[CIDADE]],",",Tabela1[[#This Row],[UF]])</f>
        <v>Brasília,DF</v>
      </c>
      <c r="F3221" s="2">
        <v>45975</v>
      </c>
      <c r="G3221" s="17">
        <v>94.06</v>
      </c>
      <c r="H3221" s="17">
        <v>0</v>
      </c>
      <c r="I3221" s="6">
        <f>Tabela1[[#This Row],[Valor total]]-Tabela1[[#This Row],[Valor custo]]</f>
        <v>-94.06</v>
      </c>
      <c r="J3221" s="7" t="e">
        <f>Tabela1[[#This Row],[MARGEM BRUTA]]/Tabela1[[#This Row],[Valor total]]</f>
        <v>#DIV/0!</v>
      </c>
      <c r="K3221" s="1" t="str">
        <f>VLOOKUP(Tabela1[[#This Row],[Cliente]],'BASE DE CLIENTES'!A:D,4,0)</f>
        <v>EMPRESA COM MAQUINA</v>
      </c>
      <c r="L3221" s="1" t="str">
        <f>VLOOKUP(Tabela1[[#This Row],[Cliente]],'BASE DE CLIENTES'!A:E,5,0)</f>
        <v>RIACHO FUNDO II</v>
      </c>
    </row>
    <row r="3222" spans="2:12" x14ac:dyDescent="0.3">
      <c r="B3222" s="1" t="s">
        <v>216</v>
      </c>
      <c r="C3222" s="4" t="str">
        <f>VLOOKUP(Tabela1[[#This Row],[Cliente]],'BASE DE CLIENTES'!A:E,2,0)</f>
        <v>Brasília</v>
      </c>
      <c r="D3222" s="1" t="str">
        <f>VLOOKUP(Tabela1[[#This Row],[Cliente]],'BASE DE CLIENTES'!A:C,3,0)</f>
        <v>DF</v>
      </c>
      <c r="E3222" s="4" t="str">
        <f>CONCATENATE(Tabela1[[#This Row],[CIDADE]],",",Tabela1[[#This Row],[UF]])</f>
        <v>Brasília,DF</v>
      </c>
      <c r="F3222" s="2">
        <v>45975</v>
      </c>
      <c r="G3222" s="17">
        <v>2119.0700000000002</v>
      </c>
      <c r="H3222" s="17">
        <v>3295</v>
      </c>
      <c r="I3222" s="6">
        <f>Tabela1[[#This Row],[Valor total]]-Tabela1[[#This Row],[Valor custo]]</f>
        <v>1175.9299999999998</v>
      </c>
      <c r="J3222" s="7">
        <f>Tabela1[[#This Row],[MARGEM BRUTA]]/Tabela1[[#This Row],[Valor total]]</f>
        <v>0.35688315629742029</v>
      </c>
      <c r="K3222" s="1" t="str">
        <f>VLOOKUP(Tabela1[[#This Row],[Cliente]],'BASE DE CLIENTES'!A:D,4,0)</f>
        <v>EMPRESA COM MAQUINA</v>
      </c>
      <c r="L3222" s="1" t="str">
        <f>VLOOKUP(Tabela1[[#This Row],[Cliente]],'BASE DE CLIENTES'!A:E,5,0)</f>
        <v>RIACHO FUNDO II</v>
      </c>
    </row>
    <row r="3223" spans="2:12" x14ac:dyDescent="0.3">
      <c r="B3223" s="1" t="s">
        <v>346</v>
      </c>
      <c r="C3223" s="4" t="str">
        <f>VLOOKUP(Tabela1[[#This Row],[Cliente]],'BASE DE CLIENTES'!A:E,2,0)</f>
        <v>Brasília</v>
      </c>
      <c r="D3223" s="1" t="str">
        <f>VLOOKUP(Tabela1[[#This Row],[Cliente]],'BASE DE CLIENTES'!A:C,3,0)</f>
        <v>DF</v>
      </c>
      <c r="E3223" s="4" t="str">
        <f>CONCATENATE(Tabela1[[#This Row],[CIDADE]],",",Tabela1[[#This Row],[UF]])</f>
        <v>Brasília,DF</v>
      </c>
      <c r="F3223" s="2">
        <v>45975</v>
      </c>
      <c r="G3223" s="17">
        <v>485</v>
      </c>
      <c r="H3223" s="17">
        <v>850</v>
      </c>
      <c r="I3223" s="6">
        <f>Tabela1[[#This Row],[Valor total]]-Tabela1[[#This Row],[Valor custo]]</f>
        <v>365</v>
      </c>
      <c r="J3223" s="7">
        <f>Tabela1[[#This Row],[MARGEM BRUTA]]/Tabela1[[#This Row],[Valor total]]</f>
        <v>0.42941176470588233</v>
      </c>
      <c r="K3223" s="1" t="str">
        <f>VLOOKUP(Tabela1[[#This Row],[Cliente]],'BASE DE CLIENTES'!A:D,4,0)</f>
        <v>CLIENTE NOVO S/ IDENT.</v>
      </c>
      <c r="L3223" s="1" t="str">
        <f>VLOOKUP(Tabela1[[#This Row],[Cliente]],'BASE DE CLIENTES'!A:E,5,0)</f>
        <v>Brasília</v>
      </c>
    </row>
    <row r="3224" spans="2:12" x14ac:dyDescent="0.3">
      <c r="B3224" s="1" t="s">
        <v>144</v>
      </c>
      <c r="C3224" s="4" t="str">
        <f>VLOOKUP(Tabela1[[#This Row],[Cliente]],'BASE DE CLIENTES'!A:E,2,0)</f>
        <v>Alexânia</v>
      </c>
      <c r="D3224" s="1" t="str">
        <f>VLOOKUP(Tabela1[[#This Row],[Cliente]],'BASE DE CLIENTES'!A:C,3,0)</f>
        <v>GO</v>
      </c>
      <c r="E3224" s="4" t="str">
        <f>CONCATENATE(Tabela1[[#This Row],[CIDADE]],",",Tabela1[[#This Row],[UF]])</f>
        <v>Alexânia,GO</v>
      </c>
      <c r="F3224" s="2">
        <v>45975</v>
      </c>
      <c r="G3224" s="17">
        <v>1298</v>
      </c>
      <c r="H3224" s="17">
        <v>1800</v>
      </c>
      <c r="I3224" s="6">
        <f>Tabela1[[#This Row],[Valor total]]-Tabela1[[#This Row],[Valor custo]]</f>
        <v>502</v>
      </c>
      <c r="J3224" s="7">
        <f>Tabela1[[#This Row],[MARGEM BRUTA]]/Tabela1[[#This Row],[Valor total]]</f>
        <v>0.27888888888888891</v>
      </c>
      <c r="K3224" s="1" t="str">
        <f>VLOOKUP(Tabela1[[#This Row],[Cliente]],'BASE DE CLIENTES'!A:D,4,0)</f>
        <v>SERRALHEIRO</v>
      </c>
      <c r="L3224" s="1" t="str">
        <f>VLOOKUP(Tabela1[[#This Row],[Cliente]],'BASE DE CLIENTES'!A:E,5,0)</f>
        <v>Alexânia</v>
      </c>
    </row>
    <row r="3225" spans="2:12" x14ac:dyDescent="0.3">
      <c r="B3225" s="1" t="s">
        <v>55</v>
      </c>
      <c r="C3225" s="4" t="str">
        <f>VLOOKUP(Tabela1[[#This Row],[Cliente]],'BASE DE CLIENTES'!A:E,2,0)</f>
        <v>Brasília</v>
      </c>
      <c r="D3225" s="1" t="str">
        <f>VLOOKUP(Tabela1[[#This Row],[Cliente]],'BASE DE CLIENTES'!A:C,3,0)</f>
        <v>DF</v>
      </c>
      <c r="E3225" s="4" t="str">
        <f>CONCATENATE(Tabela1[[#This Row],[CIDADE]],",",Tabela1[[#This Row],[UF]])</f>
        <v>Brasília,DF</v>
      </c>
      <c r="F3225" s="2">
        <v>45975</v>
      </c>
      <c r="G3225" s="17">
        <v>94.06</v>
      </c>
      <c r="H3225" s="17">
        <v>170</v>
      </c>
      <c r="I3225" s="6">
        <f>Tabela1[[#This Row],[Valor total]]-Tabela1[[#This Row],[Valor custo]]</f>
        <v>75.94</v>
      </c>
      <c r="J3225" s="7">
        <f>Tabela1[[#This Row],[MARGEM BRUTA]]/Tabela1[[#This Row],[Valor total]]</f>
        <v>0.44670588235294117</v>
      </c>
      <c r="K3225" s="1" t="str">
        <f>VLOOKUP(Tabela1[[#This Row],[Cliente]],'BASE DE CLIENTES'!A:D,4,0)</f>
        <v>EMPRESA SEM MAQUINA</v>
      </c>
      <c r="L3225" s="1" t="str">
        <f>VLOOKUP(Tabela1[[#This Row],[Cliente]],'BASE DE CLIENTES'!A:E,5,0)</f>
        <v>RECANTO DAS EMAS</v>
      </c>
    </row>
    <row r="3226" spans="2:12" x14ac:dyDescent="0.3">
      <c r="B3226" s="1" t="s">
        <v>254</v>
      </c>
      <c r="C3226" s="4" t="str">
        <f>VLOOKUP(Tabela1[[#This Row],[Cliente]],'BASE DE CLIENTES'!A:E,2,0)</f>
        <v>Luziânia</v>
      </c>
      <c r="D3226" s="1" t="str">
        <f>VLOOKUP(Tabela1[[#This Row],[Cliente]],'BASE DE CLIENTES'!A:C,3,0)</f>
        <v>GO</v>
      </c>
      <c r="E3226" s="4" t="str">
        <f>CONCATENATE(Tabela1[[#This Row],[CIDADE]],",",Tabela1[[#This Row],[UF]])</f>
        <v>Luziânia,GO</v>
      </c>
      <c r="F3226" s="2">
        <v>45975</v>
      </c>
      <c r="G3226" s="17">
        <v>1251.3</v>
      </c>
      <c r="H3226" s="17">
        <v>2099</v>
      </c>
      <c r="I3226" s="6">
        <f>Tabela1[[#This Row],[Valor total]]-Tabela1[[#This Row],[Valor custo]]</f>
        <v>847.7</v>
      </c>
      <c r="J3226" s="7">
        <f>Tabela1[[#This Row],[MARGEM BRUTA]]/Tabela1[[#This Row],[Valor total]]</f>
        <v>0.40385898046688901</v>
      </c>
      <c r="K3226" s="1" t="str">
        <f>VLOOKUP(Tabela1[[#This Row],[Cliente]],'BASE DE CLIENTES'!A:D,4,0)</f>
        <v>SERRALHEIRO</v>
      </c>
      <c r="L3226" s="1" t="str">
        <f>VLOOKUP(Tabela1[[#This Row],[Cliente]],'BASE DE CLIENTES'!A:E,5,0)</f>
        <v>Luziânia</v>
      </c>
    </row>
    <row r="3227" spans="2:12" x14ac:dyDescent="0.3">
      <c r="B3227" s="1" t="s">
        <v>70</v>
      </c>
      <c r="C3227" s="4" t="str">
        <f>VLOOKUP(Tabela1[[#This Row],[Cliente]],'BASE DE CLIENTES'!A:E,2,0)</f>
        <v>Brasília</v>
      </c>
      <c r="D3227" s="1" t="str">
        <f>VLOOKUP(Tabela1[[#This Row],[Cliente]],'BASE DE CLIENTES'!A:C,3,0)</f>
        <v>DF</v>
      </c>
      <c r="E3227" s="4" t="str">
        <f>CONCATENATE(Tabela1[[#This Row],[CIDADE]],",",Tabela1[[#This Row],[UF]])</f>
        <v>Brasília,DF</v>
      </c>
      <c r="F3227" s="2">
        <v>45975</v>
      </c>
      <c r="G3227" s="17">
        <v>1155</v>
      </c>
      <c r="H3227" s="17">
        <v>1845</v>
      </c>
      <c r="I3227" s="6">
        <f>Tabela1[[#This Row],[Valor total]]-Tabela1[[#This Row],[Valor custo]]</f>
        <v>690</v>
      </c>
      <c r="J3227" s="7">
        <f>Tabela1[[#This Row],[MARGEM BRUTA]]/Tabela1[[#This Row],[Valor total]]</f>
        <v>0.37398373983739835</v>
      </c>
      <c r="K3227" s="1" t="str">
        <f>VLOOKUP(Tabela1[[#This Row],[Cliente]],'BASE DE CLIENTES'!A:D,4,0)</f>
        <v>EMPRESA COM MAQUINA</v>
      </c>
      <c r="L3227" s="1" t="str">
        <f>VLOOKUP(Tabela1[[#This Row],[Cliente]],'BASE DE CLIENTES'!A:E,5,0)</f>
        <v>TAGUATINGA NORTE (TAGUATINGA)</v>
      </c>
    </row>
    <row r="3228" spans="2:12" x14ac:dyDescent="0.3">
      <c r="B3228" s="1" t="s">
        <v>174</v>
      </c>
      <c r="C3228" s="4" t="str">
        <f>VLOOKUP(Tabela1[[#This Row],[Cliente]],'BASE DE CLIENTES'!A:E,2,0)</f>
        <v>Araguari</v>
      </c>
      <c r="D3228" s="1" t="str">
        <f>VLOOKUP(Tabela1[[#This Row],[Cliente]],'BASE DE CLIENTES'!A:C,3,0)</f>
        <v>MG</v>
      </c>
      <c r="E3228" s="4" t="str">
        <f>CONCATENATE(Tabela1[[#This Row],[CIDADE]],",",Tabela1[[#This Row],[UF]])</f>
        <v>Araguari,MG</v>
      </c>
      <c r="F3228" s="2">
        <v>45974</v>
      </c>
      <c r="G3228" s="17">
        <v>1142</v>
      </c>
      <c r="H3228" s="17">
        <v>1950</v>
      </c>
      <c r="I3228" s="6">
        <f>Tabela1[[#This Row],[Valor total]]-Tabela1[[#This Row],[Valor custo]]</f>
        <v>808</v>
      </c>
      <c r="J3228" s="7">
        <f>Tabela1[[#This Row],[MARGEM BRUTA]]/Tabela1[[#This Row],[Valor total]]</f>
        <v>0.41435897435897434</v>
      </c>
      <c r="K3228" s="1" t="str">
        <f>VLOOKUP(Tabela1[[#This Row],[Cliente]],'BASE DE CLIENTES'!A:D,4,0)</f>
        <v>EMPRESA COM MAQUINA</v>
      </c>
      <c r="L3228" s="1" t="str">
        <f>VLOOKUP(Tabela1[[#This Row],[Cliente]],'BASE DE CLIENTES'!A:E,5,0)</f>
        <v>Araguari</v>
      </c>
    </row>
    <row r="3229" spans="2:12" x14ac:dyDescent="0.3">
      <c r="B3229" s="1" t="s">
        <v>190</v>
      </c>
      <c r="C3229" s="4" t="str">
        <f>VLOOKUP(Tabela1[[#This Row],[Cliente]],'BASE DE CLIENTES'!A:E,2,0)</f>
        <v>Brasília</v>
      </c>
      <c r="D3229" s="1" t="str">
        <f>VLOOKUP(Tabela1[[#This Row],[Cliente]],'BASE DE CLIENTES'!A:C,3,0)</f>
        <v>DF</v>
      </c>
      <c r="E3229" s="4" t="str">
        <f>CONCATENATE(Tabela1[[#This Row],[CIDADE]],",",Tabela1[[#This Row],[UF]])</f>
        <v>Brasília,DF</v>
      </c>
      <c r="F3229" s="2">
        <v>45974</v>
      </c>
      <c r="G3229" s="17">
        <v>649</v>
      </c>
      <c r="H3229" s="17">
        <v>1000</v>
      </c>
      <c r="I3229" s="6">
        <f>Tabela1[[#This Row],[Valor total]]-Tabela1[[#This Row],[Valor custo]]</f>
        <v>351</v>
      </c>
      <c r="J3229" s="7">
        <f>Tabela1[[#This Row],[MARGEM BRUTA]]/Tabela1[[#This Row],[Valor total]]</f>
        <v>0.35099999999999998</v>
      </c>
      <c r="K3229" s="1" t="str">
        <f>VLOOKUP(Tabela1[[#This Row],[Cliente]],'BASE DE CLIENTES'!A:D,4,0)</f>
        <v>EMPRESA COM MAQUINA</v>
      </c>
      <c r="L3229" s="1" t="str">
        <f>VLOOKUP(Tabela1[[#This Row],[Cliente]],'BASE DE CLIENTES'!A:E,5,0)</f>
        <v>RIACHO FUNDO I</v>
      </c>
    </row>
    <row r="3230" spans="2:12" x14ac:dyDescent="0.3">
      <c r="B3230" s="1" t="s">
        <v>68</v>
      </c>
      <c r="C3230" s="4" t="str">
        <f>VLOOKUP(Tabela1[[#This Row],[Cliente]],'BASE DE CLIENTES'!A:E,2,0)</f>
        <v>Brasília</v>
      </c>
      <c r="D3230" s="1" t="str">
        <f>VLOOKUP(Tabela1[[#This Row],[Cliente]],'BASE DE CLIENTES'!A:C,3,0)</f>
        <v>DF</v>
      </c>
      <c r="E3230" s="4" t="str">
        <f>CONCATENATE(Tabela1[[#This Row],[CIDADE]],",",Tabela1[[#This Row],[UF]])</f>
        <v>Brasília,DF</v>
      </c>
      <c r="F3230" s="2">
        <v>45974</v>
      </c>
      <c r="G3230" s="17">
        <v>3013</v>
      </c>
      <c r="H3230" s="17">
        <v>4400</v>
      </c>
      <c r="I3230" s="6">
        <f>Tabela1[[#This Row],[Valor total]]-Tabela1[[#This Row],[Valor custo]]</f>
        <v>1387</v>
      </c>
      <c r="J3230" s="7">
        <f>Tabela1[[#This Row],[MARGEM BRUTA]]/Tabela1[[#This Row],[Valor total]]</f>
        <v>0.31522727272727274</v>
      </c>
      <c r="K3230" s="1" t="str">
        <f>VLOOKUP(Tabela1[[#This Row],[Cliente]],'BASE DE CLIENTES'!A:D,4,0)</f>
        <v>EMPRESA COM MAQUINA</v>
      </c>
      <c r="L3230" s="1" t="str">
        <f>VLOOKUP(Tabela1[[#This Row],[Cliente]],'BASE DE CLIENTES'!A:E,5,0)</f>
        <v>SAMAMBAIA SUL (SAMAMBAIA)</v>
      </c>
    </row>
    <row r="3231" spans="2:12" x14ac:dyDescent="0.3">
      <c r="B3231" s="1" t="s">
        <v>20</v>
      </c>
      <c r="C3231" s="4" t="str">
        <f>VLOOKUP(Tabela1[[#This Row],[Cliente]],'BASE DE CLIENTES'!A:E,2,0)</f>
        <v>Brasília</v>
      </c>
      <c r="D3231" s="1" t="str">
        <f>VLOOKUP(Tabela1[[#This Row],[Cliente]],'BASE DE CLIENTES'!A:C,3,0)</f>
        <v>DF</v>
      </c>
      <c r="E3231" s="4" t="str">
        <f>CONCATENATE(Tabela1[[#This Row],[CIDADE]],",",Tabela1[[#This Row],[UF]])</f>
        <v>Brasília,DF</v>
      </c>
      <c r="F3231" s="2">
        <v>45974</v>
      </c>
      <c r="G3231" s="17">
        <v>293.13</v>
      </c>
      <c r="H3231" s="17">
        <v>450</v>
      </c>
      <c r="I3231" s="6">
        <f>Tabela1[[#This Row],[Valor total]]-Tabela1[[#This Row],[Valor custo]]</f>
        <v>156.87</v>
      </c>
      <c r="J3231" s="7">
        <f>Tabela1[[#This Row],[MARGEM BRUTA]]/Tabela1[[#This Row],[Valor total]]</f>
        <v>0.34860000000000002</v>
      </c>
      <c r="K3231" s="1" t="str">
        <f>VLOOKUP(Tabela1[[#This Row],[Cliente]],'BASE DE CLIENTES'!A:D,4,0)</f>
        <v>CHAVEIRO</v>
      </c>
      <c r="L3231" s="1" t="str">
        <f>VLOOKUP(Tabela1[[#This Row],[Cliente]],'BASE DE CLIENTES'!A:E,5,0)</f>
        <v>NA</v>
      </c>
    </row>
    <row r="3232" spans="2:12" x14ac:dyDescent="0.3">
      <c r="B3232" s="1" t="s">
        <v>27</v>
      </c>
      <c r="C3232" s="4" t="str">
        <f>VLOOKUP(Tabela1[[#This Row],[Cliente]],'BASE DE CLIENTES'!A:E,2,0)</f>
        <v>Brasília</v>
      </c>
      <c r="D3232" s="1" t="str">
        <f>VLOOKUP(Tabela1[[#This Row],[Cliente]],'BASE DE CLIENTES'!A:C,3,0)</f>
        <v>DF</v>
      </c>
      <c r="E3232" s="4" t="str">
        <f>CONCATENATE(Tabela1[[#This Row],[CIDADE]],",",Tabela1[[#This Row],[UF]])</f>
        <v>Brasília,DF</v>
      </c>
      <c r="F3232" s="2">
        <v>45974</v>
      </c>
      <c r="G3232" s="17">
        <v>385</v>
      </c>
      <c r="H3232" s="17">
        <v>615</v>
      </c>
      <c r="I3232" s="6">
        <f>Tabela1[[#This Row],[Valor total]]-Tabela1[[#This Row],[Valor custo]]</f>
        <v>230</v>
      </c>
      <c r="J3232" s="7">
        <f>Tabela1[[#This Row],[MARGEM BRUTA]]/Tabela1[[#This Row],[Valor total]]</f>
        <v>0.37398373983739835</v>
      </c>
      <c r="K3232" s="1" t="str">
        <f>VLOOKUP(Tabela1[[#This Row],[Cliente]],'BASE DE CLIENTES'!A:D,4,0)</f>
        <v>EMPRESA SEM MAQUINA</v>
      </c>
      <c r="L3232" s="1" t="str">
        <f>VLOOKUP(Tabela1[[#This Row],[Cliente]],'BASE DE CLIENTES'!A:E,5,0)</f>
        <v>RECANTO DAS EMAS</v>
      </c>
    </row>
    <row r="3233" spans="2:12" x14ac:dyDescent="0.3">
      <c r="B3233" s="1" t="s">
        <v>66</v>
      </c>
      <c r="C3233" s="4" t="str">
        <f>VLOOKUP(Tabela1[[#This Row],[Cliente]],'BASE DE CLIENTES'!A:E,2,0)</f>
        <v>Águas Lindas de Goiás</v>
      </c>
      <c r="D3233" s="1" t="str">
        <f>VLOOKUP(Tabela1[[#This Row],[Cliente]],'BASE DE CLIENTES'!A:C,3,0)</f>
        <v>GO</v>
      </c>
      <c r="E3233" s="4" t="str">
        <f>CONCATENATE(Tabela1[[#This Row],[CIDADE]],",",Tabela1[[#This Row],[UF]])</f>
        <v>Águas Lindas de Goiás,GO</v>
      </c>
      <c r="F3233" s="2">
        <v>45974</v>
      </c>
      <c r="G3233" s="17">
        <v>230.88</v>
      </c>
      <c r="H3233" s="17">
        <v>273</v>
      </c>
      <c r="I3233" s="6">
        <f>Tabela1[[#This Row],[Valor total]]-Tabela1[[#This Row],[Valor custo]]</f>
        <v>42.120000000000005</v>
      </c>
      <c r="J3233" s="7">
        <f>Tabela1[[#This Row],[MARGEM BRUTA]]/Tabela1[[#This Row],[Valor total]]</f>
        <v>0.1542857142857143</v>
      </c>
      <c r="K3233" s="1" t="str">
        <f>VLOOKUP(Tabela1[[#This Row],[Cliente]],'BASE DE CLIENTES'!A:D,4,0)</f>
        <v>EMPRESA COM MAQUINA</v>
      </c>
      <c r="L3233" s="1" t="str">
        <f>VLOOKUP(Tabela1[[#This Row],[Cliente]],'BASE DE CLIENTES'!A:E,5,0)</f>
        <v>Águas Lindas de Goiás</v>
      </c>
    </row>
    <row r="3234" spans="2:12" x14ac:dyDescent="0.3">
      <c r="B3234" s="1" t="s">
        <v>136</v>
      </c>
      <c r="C3234" s="4" t="str">
        <f>VLOOKUP(Tabela1[[#This Row],[Cliente]],'BASE DE CLIENTES'!A:E,2,0)</f>
        <v>Brasília</v>
      </c>
      <c r="D3234" s="1" t="str">
        <f>VLOOKUP(Tabela1[[#This Row],[Cliente]],'BASE DE CLIENTES'!A:C,3,0)</f>
        <v>DF</v>
      </c>
      <c r="E3234" s="4" t="str">
        <f>CONCATENATE(Tabela1[[#This Row],[CIDADE]],",",Tabela1[[#This Row],[UF]])</f>
        <v>Brasília,DF</v>
      </c>
      <c r="F3234" s="2">
        <v>45974</v>
      </c>
      <c r="G3234" s="17">
        <v>84</v>
      </c>
      <c r="H3234" s="17">
        <v>110</v>
      </c>
      <c r="I3234" s="6">
        <f>Tabela1[[#This Row],[Valor total]]-Tabela1[[#This Row],[Valor custo]]</f>
        <v>26</v>
      </c>
      <c r="J3234" s="7">
        <f>Tabela1[[#This Row],[MARGEM BRUTA]]/Tabela1[[#This Row],[Valor total]]</f>
        <v>0.23636363636363636</v>
      </c>
      <c r="K3234" s="1" t="str">
        <f>VLOOKUP(Tabela1[[#This Row],[Cliente]],'BASE DE CLIENTES'!A:D,4,0)</f>
        <v>SEM CLASSIFICAÇÃO</v>
      </c>
      <c r="L3234" s="1" t="str">
        <f>VLOOKUP(Tabela1[[#This Row],[Cliente]],'BASE DE CLIENTES'!A:E,5,0)</f>
        <v>SAMAMBAIA NORTE (SAMAMBAIA)</v>
      </c>
    </row>
    <row r="3235" spans="2:12" x14ac:dyDescent="0.3">
      <c r="B3235" s="1" t="s">
        <v>52</v>
      </c>
      <c r="C3235" s="4" t="str">
        <f>VLOOKUP(Tabela1[[#This Row],[Cliente]],'BASE DE CLIENTES'!A:E,2,0)</f>
        <v>Brasília</v>
      </c>
      <c r="D3235" s="1" t="str">
        <f>VLOOKUP(Tabela1[[#This Row],[Cliente]],'BASE DE CLIENTES'!A:C,3,0)</f>
        <v>DF</v>
      </c>
      <c r="E3235" s="4" t="str">
        <f>CONCATENATE(Tabela1[[#This Row],[CIDADE]],",",Tabela1[[#This Row],[UF]])</f>
        <v>Brasília,DF</v>
      </c>
      <c r="F3235" s="2">
        <v>45974</v>
      </c>
      <c r="G3235" s="17">
        <v>929</v>
      </c>
      <c r="H3235" s="17">
        <v>1545</v>
      </c>
      <c r="I3235" s="6">
        <f>Tabela1[[#This Row],[Valor total]]-Tabela1[[#This Row],[Valor custo]]</f>
        <v>616</v>
      </c>
      <c r="J3235" s="7">
        <f>Tabela1[[#This Row],[MARGEM BRUTA]]/Tabela1[[#This Row],[Valor total]]</f>
        <v>0.39870550161812296</v>
      </c>
      <c r="K3235" s="1" t="str">
        <f>VLOOKUP(Tabela1[[#This Row],[Cliente]],'BASE DE CLIENTES'!A:D,4,0)</f>
        <v>SERRALHEIRO</v>
      </c>
      <c r="L3235" s="1" t="str">
        <f>VLOOKUP(Tabela1[[#This Row],[Cliente]],'BASE DE CLIENTES'!A:E,5,0)</f>
        <v>Ceilândia Sul (Ceilândia)</v>
      </c>
    </row>
    <row r="3236" spans="2:12" x14ac:dyDescent="0.3">
      <c r="B3236" s="1" t="s">
        <v>142</v>
      </c>
      <c r="C3236" s="4" t="str">
        <f>VLOOKUP(Tabela1[[#This Row],[Cliente]],'BASE DE CLIENTES'!A:E,2,0)</f>
        <v>Brasília</v>
      </c>
      <c r="D3236" s="1" t="str">
        <f>VLOOKUP(Tabela1[[#This Row],[Cliente]],'BASE DE CLIENTES'!A:C,3,0)</f>
        <v>DF</v>
      </c>
      <c r="E3236" s="4" t="str">
        <f>CONCATENATE(Tabela1[[#This Row],[CIDADE]],",",Tabela1[[#This Row],[UF]])</f>
        <v>Brasília,DF</v>
      </c>
      <c r="F3236" s="2">
        <v>45974</v>
      </c>
      <c r="G3236" s="17">
        <v>55</v>
      </c>
      <c r="H3236" s="17">
        <v>200</v>
      </c>
      <c r="I3236" s="6">
        <f>Tabela1[[#This Row],[Valor total]]-Tabela1[[#This Row],[Valor custo]]</f>
        <v>145</v>
      </c>
      <c r="J3236" s="7">
        <f>Tabela1[[#This Row],[MARGEM BRUTA]]/Tabela1[[#This Row],[Valor total]]</f>
        <v>0.72499999999999998</v>
      </c>
      <c r="K3236" s="1" t="str">
        <f>VLOOKUP(Tabela1[[#This Row],[Cliente]],'BASE DE CLIENTES'!A:D,4,0)</f>
        <v>OUTROS RAMOS</v>
      </c>
      <c r="L3236" s="1" t="str">
        <f>VLOOKUP(Tabela1[[#This Row],[Cliente]],'BASE DE CLIENTES'!A:E,5,0)</f>
        <v>RIACHO FUNDO II</v>
      </c>
    </row>
    <row r="3237" spans="2:12" x14ac:dyDescent="0.3">
      <c r="B3237" s="1" t="s">
        <v>347</v>
      </c>
      <c r="C3237" s="4" t="str">
        <f>VLOOKUP(Tabela1[[#This Row],[Cliente]],'BASE DE CLIENTES'!A:E,2,0)</f>
        <v>Brasília</v>
      </c>
      <c r="D3237" s="1" t="str">
        <f>VLOOKUP(Tabela1[[#This Row],[Cliente]],'BASE DE CLIENTES'!A:C,3,0)</f>
        <v>DF</v>
      </c>
      <c r="E3237" s="4" t="str">
        <f>CONCATENATE(Tabela1[[#This Row],[CIDADE]],",",Tabela1[[#This Row],[UF]])</f>
        <v>Brasília,DF</v>
      </c>
      <c r="F3237" s="2">
        <v>45974</v>
      </c>
      <c r="G3237" s="17">
        <v>21.63</v>
      </c>
      <c r="H3237" s="17">
        <v>105</v>
      </c>
      <c r="I3237" s="6">
        <f>Tabela1[[#This Row],[Valor total]]-Tabela1[[#This Row],[Valor custo]]</f>
        <v>83.37</v>
      </c>
      <c r="J3237" s="7">
        <f>Tabela1[[#This Row],[MARGEM BRUTA]]/Tabela1[[#This Row],[Valor total]]</f>
        <v>0.79400000000000004</v>
      </c>
      <c r="K3237" s="1" t="str">
        <f>VLOOKUP(Tabela1[[#This Row],[Cliente]],'BASE DE CLIENTES'!A:D,4,0)</f>
        <v>CLIENTE NOVO S/ IDENT.</v>
      </c>
      <c r="L3237" s="1" t="str">
        <f>VLOOKUP(Tabela1[[#This Row],[Cliente]],'BASE DE CLIENTES'!A:E,5,0)</f>
        <v>Brasília</v>
      </c>
    </row>
    <row r="3238" spans="2:12" x14ac:dyDescent="0.3">
      <c r="B3238" s="1" t="s">
        <v>152</v>
      </c>
      <c r="C3238" s="4" t="str">
        <f>VLOOKUP(Tabela1[[#This Row],[Cliente]],'BASE DE CLIENTES'!A:E,2,0)</f>
        <v>Aparecida de Goiânia</v>
      </c>
      <c r="D3238" s="1" t="str">
        <f>VLOOKUP(Tabela1[[#This Row],[Cliente]],'BASE DE CLIENTES'!A:C,3,0)</f>
        <v>GO</v>
      </c>
      <c r="E3238" s="4" t="str">
        <f>CONCATENATE(Tabela1[[#This Row],[CIDADE]],",",Tabela1[[#This Row],[UF]])</f>
        <v>Aparecida de Goiânia,GO</v>
      </c>
      <c r="F3238" s="2">
        <v>45974</v>
      </c>
      <c r="G3238" s="17">
        <v>705</v>
      </c>
      <c r="H3238" s="17">
        <v>1300</v>
      </c>
      <c r="I3238" s="6">
        <f>Tabela1[[#This Row],[Valor total]]-Tabela1[[#This Row],[Valor custo]]</f>
        <v>595</v>
      </c>
      <c r="J3238" s="7">
        <f>Tabela1[[#This Row],[MARGEM BRUTA]]/Tabela1[[#This Row],[Valor total]]</f>
        <v>0.45769230769230768</v>
      </c>
      <c r="K3238" s="1" t="str">
        <f>VLOOKUP(Tabela1[[#This Row],[Cliente]],'BASE DE CLIENTES'!A:D,4,0)</f>
        <v>TECNICO</v>
      </c>
      <c r="L3238" s="1" t="str">
        <f>VLOOKUP(Tabela1[[#This Row],[Cliente]],'BASE DE CLIENTES'!A:E,5,0)</f>
        <v>Aparecida de Goiânia</v>
      </c>
    </row>
    <row r="3239" spans="2:12" x14ac:dyDescent="0.3">
      <c r="B3239" s="1" t="s">
        <v>149</v>
      </c>
      <c r="C3239" s="4" t="str">
        <f>VLOOKUP(Tabela1[[#This Row],[Cliente]],'BASE DE CLIENTES'!A:E,2,0)</f>
        <v>Anápolis</v>
      </c>
      <c r="D3239" s="1" t="str">
        <f>VLOOKUP(Tabela1[[#This Row],[Cliente]],'BASE DE CLIENTES'!A:C,3,0)</f>
        <v>GO</v>
      </c>
      <c r="E3239" s="4" t="str">
        <f>CONCATENATE(Tabela1[[#This Row],[CIDADE]],",",Tabela1[[#This Row],[UF]])</f>
        <v>Anápolis,GO</v>
      </c>
      <c r="F3239" s="2">
        <v>45974</v>
      </c>
      <c r="G3239" s="17">
        <v>705</v>
      </c>
      <c r="H3239" s="17">
        <v>1300</v>
      </c>
      <c r="I3239" s="6">
        <f>Tabela1[[#This Row],[Valor total]]-Tabela1[[#This Row],[Valor custo]]</f>
        <v>595</v>
      </c>
      <c r="J3239" s="7">
        <f>Tabela1[[#This Row],[MARGEM BRUTA]]/Tabela1[[#This Row],[Valor total]]</f>
        <v>0.45769230769230768</v>
      </c>
      <c r="K3239" s="1" t="str">
        <f>VLOOKUP(Tabela1[[#This Row],[Cliente]],'BASE DE CLIENTES'!A:D,4,0)</f>
        <v>EMPRESA COM MAQUINA</v>
      </c>
      <c r="L3239" s="1" t="str">
        <f>VLOOKUP(Tabela1[[#This Row],[Cliente]],'BASE DE CLIENTES'!A:E,5,0)</f>
        <v>Anápolis</v>
      </c>
    </row>
    <row r="3240" spans="2:12" x14ac:dyDescent="0.3">
      <c r="B3240" s="1" t="s">
        <v>154</v>
      </c>
      <c r="C3240" s="4" t="str">
        <f>VLOOKUP(Tabela1[[#This Row],[Cliente]],'BASE DE CLIENTES'!A:E,2,0)</f>
        <v>Aparecida de Goiânia</v>
      </c>
      <c r="D3240" s="1" t="str">
        <f>VLOOKUP(Tabela1[[#This Row],[Cliente]],'BASE DE CLIENTES'!A:C,3,0)</f>
        <v>GO</v>
      </c>
      <c r="E3240" s="4" t="str">
        <f>CONCATENATE(Tabela1[[#This Row],[CIDADE]],",",Tabela1[[#This Row],[UF]])</f>
        <v>Aparecida de Goiânia,GO</v>
      </c>
      <c r="F3240" s="2">
        <v>45974</v>
      </c>
      <c r="G3240" s="17">
        <v>41.07</v>
      </c>
      <c r="H3240" s="17">
        <v>300</v>
      </c>
      <c r="I3240" s="6">
        <f>Tabela1[[#This Row],[Valor total]]-Tabela1[[#This Row],[Valor custo]]</f>
        <v>258.93</v>
      </c>
      <c r="J3240" s="7">
        <f>Tabela1[[#This Row],[MARGEM BRUTA]]/Tabela1[[#This Row],[Valor total]]</f>
        <v>0.86309999999999998</v>
      </c>
      <c r="K3240" s="1" t="str">
        <f>VLOOKUP(Tabela1[[#This Row],[Cliente]],'BASE DE CLIENTES'!A:D,4,0)</f>
        <v>TECNICO</v>
      </c>
      <c r="L3240" s="1" t="str">
        <f>VLOOKUP(Tabela1[[#This Row],[Cliente]],'BASE DE CLIENTES'!A:E,5,0)</f>
        <v>Aparecida de Goiânia</v>
      </c>
    </row>
    <row r="3241" spans="2:12" x14ac:dyDescent="0.3">
      <c r="B3241" s="1" t="s">
        <v>236</v>
      </c>
      <c r="C3241" s="4" t="str">
        <f>VLOOKUP(Tabela1[[#This Row],[Cliente]],'BASE DE CLIENTES'!A:E,2,0)</f>
        <v>Goiânia</v>
      </c>
      <c r="D3241" s="1" t="str">
        <f>VLOOKUP(Tabela1[[#This Row],[Cliente]],'BASE DE CLIENTES'!A:C,3,0)</f>
        <v>GO</v>
      </c>
      <c r="E3241" s="4" t="str">
        <f>CONCATENATE(Tabela1[[#This Row],[CIDADE]],",",Tabela1[[#This Row],[UF]])</f>
        <v>Goiânia,GO</v>
      </c>
      <c r="F3241" s="2">
        <v>45974</v>
      </c>
      <c r="G3241" s="17">
        <v>1029</v>
      </c>
      <c r="H3241" s="17">
        <v>1525</v>
      </c>
      <c r="I3241" s="6">
        <f>Tabela1[[#This Row],[Valor total]]-Tabela1[[#This Row],[Valor custo]]</f>
        <v>496</v>
      </c>
      <c r="J3241" s="7">
        <f>Tabela1[[#This Row],[MARGEM BRUTA]]/Tabela1[[#This Row],[Valor total]]</f>
        <v>0.32524590163934425</v>
      </c>
      <c r="K3241" s="1" t="str">
        <f>VLOOKUP(Tabela1[[#This Row],[Cliente]],'BASE DE CLIENTES'!A:D,4,0)</f>
        <v>EMPRESA COM MAQUINA</v>
      </c>
      <c r="L3241" s="1" t="str">
        <f>VLOOKUP(Tabela1[[#This Row],[Cliente]],'BASE DE CLIENTES'!A:E,5,0)</f>
        <v>Goiânia</v>
      </c>
    </row>
    <row r="3242" spans="2:12" x14ac:dyDescent="0.3">
      <c r="B3242" s="1" t="s">
        <v>236</v>
      </c>
      <c r="C3242" s="4" t="str">
        <f>VLOOKUP(Tabela1[[#This Row],[Cliente]],'BASE DE CLIENTES'!A:E,2,0)</f>
        <v>Goiânia</v>
      </c>
      <c r="D3242" s="1" t="str">
        <f>VLOOKUP(Tabela1[[#This Row],[Cliente]],'BASE DE CLIENTES'!A:C,3,0)</f>
        <v>GO</v>
      </c>
      <c r="E3242" s="4" t="str">
        <f>CONCATENATE(Tabela1[[#This Row],[CIDADE]],",",Tabela1[[#This Row],[UF]])</f>
        <v>Goiânia,GO</v>
      </c>
      <c r="F3242" s="2">
        <v>45974</v>
      </c>
      <c r="G3242" s="17">
        <v>385</v>
      </c>
      <c r="H3242" s="17">
        <v>520</v>
      </c>
      <c r="I3242" s="6">
        <f>Tabela1[[#This Row],[Valor total]]-Tabela1[[#This Row],[Valor custo]]</f>
        <v>135</v>
      </c>
      <c r="J3242" s="7">
        <f>Tabela1[[#This Row],[MARGEM BRUTA]]/Tabela1[[#This Row],[Valor total]]</f>
        <v>0.25961538461538464</v>
      </c>
      <c r="K3242" s="1" t="str">
        <f>VLOOKUP(Tabela1[[#This Row],[Cliente]],'BASE DE CLIENTES'!A:D,4,0)</f>
        <v>EMPRESA COM MAQUINA</v>
      </c>
      <c r="L3242" s="1" t="str">
        <f>VLOOKUP(Tabela1[[#This Row],[Cliente]],'BASE DE CLIENTES'!A:E,5,0)</f>
        <v>Goiânia</v>
      </c>
    </row>
    <row r="3243" spans="2:12" x14ac:dyDescent="0.3">
      <c r="B3243" s="1" t="s">
        <v>236</v>
      </c>
      <c r="C3243" s="4" t="str">
        <f>VLOOKUP(Tabela1[[#This Row],[Cliente]],'BASE DE CLIENTES'!A:E,2,0)</f>
        <v>Goiânia</v>
      </c>
      <c r="D3243" s="1" t="str">
        <f>VLOOKUP(Tabela1[[#This Row],[Cliente]],'BASE DE CLIENTES'!A:C,3,0)</f>
        <v>GO</v>
      </c>
      <c r="E3243" s="4" t="str">
        <f>CONCATENATE(Tabela1[[#This Row],[CIDADE]],",",Tabela1[[#This Row],[UF]])</f>
        <v>Goiânia,GO</v>
      </c>
      <c r="F3243" s="2">
        <v>45973</v>
      </c>
      <c r="G3243" s="17">
        <v>865.58</v>
      </c>
      <c r="H3243" s="17">
        <v>1170</v>
      </c>
      <c r="I3243" s="6">
        <f>Tabela1[[#This Row],[Valor total]]-Tabela1[[#This Row],[Valor custo]]</f>
        <v>304.41999999999996</v>
      </c>
      <c r="J3243" s="7">
        <f>Tabela1[[#This Row],[MARGEM BRUTA]]/Tabela1[[#This Row],[Valor total]]</f>
        <v>0.26018803418803416</v>
      </c>
      <c r="K3243" s="1" t="str">
        <f>VLOOKUP(Tabela1[[#This Row],[Cliente]],'BASE DE CLIENTES'!A:D,4,0)</f>
        <v>EMPRESA COM MAQUINA</v>
      </c>
      <c r="L3243" s="1" t="str">
        <f>VLOOKUP(Tabela1[[#This Row],[Cliente]],'BASE DE CLIENTES'!A:E,5,0)</f>
        <v>Goiânia</v>
      </c>
    </row>
    <row r="3244" spans="2:12" x14ac:dyDescent="0.3">
      <c r="B3244" s="1" t="s">
        <v>85</v>
      </c>
      <c r="C3244" s="4" t="str">
        <f>VLOOKUP(Tabela1[[#This Row],[Cliente]],'BASE DE CLIENTES'!A:E,2,0)</f>
        <v>Brasília</v>
      </c>
      <c r="D3244" s="1" t="str">
        <f>VLOOKUP(Tabela1[[#This Row],[Cliente]],'BASE DE CLIENTES'!A:C,3,0)</f>
        <v>DF</v>
      </c>
      <c r="E3244" s="4" t="str">
        <f>CONCATENATE(Tabela1[[#This Row],[CIDADE]],",",Tabela1[[#This Row],[UF]])</f>
        <v>Brasília,DF</v>
      </c>
      <c r="F3244" s="2">
        <v>45973</v>
      </c>
      <c r="G3244" s="17">
        <v>126</v>
      </c>
      <c r="H3244" s="17">
        <v>165</v>
      </c>
      <c r="I3244" s="6">
        <f>Tabela1[[#This Row],[Valor total]]-Tabela1[[#This Row],[Valor custo]]</f>
        <v>39</v>
      </c>
      <c r="J3244" s="7">
        <f>Tabela1[[#This Row],[MARGEM BRUTA]]/Tabela1[[#This Row],[Valor total]]</f>
        <v>0.23636363636363636</v>
      </c>
      <c r="K3244" s="1" t="str">
        <f>VLOOKUP(Tabela1[[#This Row],[Cliente]],'BASE DE CLIENTES'!A:D,4,0)</f>
        <v>SERRALHEIRO</v>
      </c>
      <c r="L3244" s="1" t="str">
        <f>VLOOKUP(Tabela1[[#This Row],[Cliente]],'BASE DE CLIENTES'!A:E,5,0)</f>
        <v>SAMAMBAIA NORTE (SAMAMBAIA)</v>
      </c>
    </row>
    <row r="3245" spans="2:12" x14ac:dyDescent="0.3">
      <c r="B3245" s="1" t="s">
        <v>298</v>
      </c>
      <c r="C3245" s="4" t="str">
        <f>VLOOKUP(Tabela1[[#This Row],[Cliente]],'BASE DE CLIENTES'!A:E,2,0)</f>
        <v>Brasília</v>
      </c>
      <c r="D3245" s="1" t="str">
        <f>VLOOKUP(Tabela1[[#This Row],[Cliente]],'BASE DE CLIENTES'!A:C,3,0)</f>
        <v>DF</v>
      </c>
      <c r="E3245" s="4" t="str">
        <f>CONCATENATE(Tabela1[[#This Row],[CIDADE]],",",Tabela1[[#This Row],[UF]])</f>
        <v>Brasília,DF</v>
      </c>
      <c r="F3245" s="2">
        <v>45973</v>
      </c>
      <c r="G3245" s="17">
        <v>463</v>
      </c>
      <c r="H3245" s="17">
        <v>685</v>
      </c>
      <c r="I3245" s="6">
        <f>Tabela1[[#This Row],[Valor total]]-Tabela1[[#This Row],[Valor custo]]</f>
        <v>222</v>
      </c>
      <c r="J3245" s="7">
        <f>Tabela1[[#This Row],[MARGEM BRUTA]]/Tabela1[[#This Row],[Valor total]]</f>
        <v>0.32408759124087594</v>
      </c>
      <c r="K3245" s="1" t="str">
        <f>VLOOKUP(Tabela1[[#This Row],[Cliente]],'BASE DE CLIENTES'!A:D,4,0)</f>
        <v>SERRALHEIRO</v>
      </c>
      <c r="L3245" s="1" t="str">
        <f>VLOOKUP(Tabela1[[#This Row],[Cliente]],'BASE DE CLIENTES'!A:E,5,0)</f>
        <v>SETOR DE MANSOES DE SOBRADINHO</v>
      </c>
    </row>
    <row r="3246" spans="2:12" x14ac:dyDescent="0.3">
      <c r="B3246" s="1" t="s">
        <v>23</v>
      </c>
      <c r="C3246" s="4" t="str">
        <f>VLOOKUP(Tabela1[[#This Row],[Cliente]],'BASE DE CLIENTES'!A:E,2,0)</f>
        <v>Brasília</v>
      </c>
      <c r="D3246" s="1" t="str">
        <f>VLOOKUP(Tabela1[[#This Row],[Cliente]],'BASE DE CLIENTES'!A:C,3,0)</f>
        <v>DF</v>
      </c>
      <c r="E3246" s="4" t="str">
        <f>CONCATENATE(Tabela1[[#This Row],[CIDADE]],",",Tabela1[[#This Row],[UF]])</f>
        <v>Brasília,DF</v>
      </c>
      <c r="F3246" s="2">
        <v>45973</v>
      </c>
      <c r="G3246" s="17">
        <v>1632</v>
      </c>
      <c r="H3246" s="17">
        <v>2600</v>
      </c>
      <c r="I3246" s="6">
        <f>Tabela1[[#This Row],[Valor total]]-Tabela1[[#This Row],[Valor custo]]</f>
        <v>968</v>
      </c>
      <c r="J3246" s="7">
        <f>Tabela1[[#This Row],[MARGEM BRUTA]]/Tabela1[[#This Row],[Valor total]]</f>
        <v>0.37230769230769228</v>
      </c>
      <c r="K3246" s="1" t="str">
        <f>VLOOKUP(Tabela1[[#This Row],[Cliente]],'BASE DE CLIENTES'!A:D,4,0)</f>
        <v>EMPRESA SEM MAQUINA</v>
      </c>
      <c r="L3246" s="1" t="str">
        <f>VLOOKUP(Tabela1[[#This Row],[Cliente]],'BASE DE CLIENTES'!A:E,5,0)</f>
        <v>SETOR INDUSTRIAL (TAGUATINGA)</v>
      </c>
    </row>
    <row r="3247" spans="2:12" x14ac:dyDescent="0.3">
      <c r="B3247" s="1" t="s">
        <v>220</v>
      </c>
      <c r="C3247" s="4" t="str">
        <f>VLOOKUP(Tabela1[[#This Row],[Cliente]],'BASE DE CLIENTES'!A:E,2,0)</f>
        <v>Goiânia</v>
      </c>
      <c r="D3247" s="1" t="str">
        <f>VLOOKUP(Tabela1[[#This Row],[Cliente]],'BASE DE CLIENTES'!A:C,3,0)</f>
        <v>GO</v>
      </c>
      <c r="E3247" s="4" t="str">
        <f>CONCATENATE(Tabela1[[#This Row],[CIDADE]],",",Tabela1[[#This Row],[UF]])</f>
        <v>Goiânia,GO</v>
      </c>
      <c r="F3247" s="2">
        <v>45973</v>
      </c>
      <c r="G3247" s="17">
        <v>649</v>
      </c>
      <c r="H3247" s="17">
        <v>900</v>
      </c>
      <c r="I3247" s="6">
        <f>Tabela1[[#This Row],[Valor total]]-Tabela1[[#This Row],[Valor custo]]</f>
        <v>251</v>
      </c>
      <c r="J3247" s="7">
        <f>Tabela1[[#This Row],[MARGEM BRUTA]]/Tabela1[[#This Row],[Valor total]]</f>
        <v>0.27888888888888891</v>
      </c>
      <c r="K3247" s="1" t="str">
        <f>VLOOKUP(Tabela1[[#This Row],[Cliente]],'BASE DE CLIENTES'!A:D,4,0)</f>
        <v>EMPRESA COM MAQUINA</v>
      </c>
      <c r="L3247" s="1" t="str">
        <f>VLOOKUP(Tabela1[[#This Row],[Cliente]],'BASE DE CLIENTES'!A:E,5,0)</f>
        <v>Goiânia</v>
      </c>
    </row>
    <row r="3248" spans="2:12" x14ac:dyDescent="0.3">
      <c r="B3248" s="1" t="s">
        <v>85</v>
      </c>
      <c r="C3248" s="4" t="str">
        <f>VLOOKUP(Tabela1[[#This Row],[Cliente]],'BASE DE CLIENTES'!A:E,2,0)</f>
        <v>Brasília</v>
      </c>
      <c r="D3248" s="1" t="str">
        <f>VLOOKUP(Tabela1[[#This Row],[Cliente]],'BASE DE CLIENTES'!A:C,3,0)</f>
        <v>DF</v>
      </c>
      <c r="E3248" s="4" t="str">
        <f>CONCATENATE(Tabela1[[#This Row],[CIDADE]],",",Tabela1[[#This Row],[UF]])</f>
        <v>Brasília,DF</v>
      </c>
      <c r="F3248" s="2">
        <v>45973</v>
      </c>
      <c r="G3248" s="17">
        <v>126</v>
      </c>
      <c r="H3248" s="17">
        <v>165</v>
      </c>
      <c r="I3248" s="6">
        <f>Tabela1[[#This Row],[Valor total]]-Tabela1[[#This Row],[Valor custo]]</f>
        <v>39</v>
      </c>
      <c r="J3248" s="7">
        <f>Tabela1[[#This Row],[MARGEM BRUTA]]/Tabela1[[#This Row],[Valor total]]</f>
        <v>0.23636363636363636</v>
      </c>
      <c r="K3248" s="1" t="str">
        <f>VLOOKUP(Tabela1[[#This Row],[Cliente]],'BASE DE CLIENTES'!A:D,4,0)</f>
        <v>SERRALHEIRO</v>
      </c>
      <c r="L3248" s="1" t="str">
        <f>VLOOKUP(Tabela1[[#This Row],[Cliente]],'BASE DE CLIENTES'!A:E,5,0)</f>
        <v>SAMAMBAIA NORTE (SAMAMBAIA)</v>
      </c>
    </row>
    <row r="3249" spans="2:12" x14ac:dyDescent="0.3">
      <c r="B3249" s="1" t="s">
        <v>190</v>
      </c>
      <c r="C3249" s="4" t="str">
        <f>VLOOKUP(Tabela1[[#This Row],[Cliente]],'BASE DE CLIENTES'!A:E,2,0)</f>
        <v>Brasília</v>
      </c>
      <c r="D3249" s="1" t="str">
        <f>VLOOKUP(Tabela1[[#This Row],[Cliente]],'BASE DE CLIENTES'!A:C,3,0)</f>
        <v>DF</v>
      </c>
      <c r="E3249" s="4" t="str">
        <f>CONCATENATE(Tabela1[[#This Row],[CIDADE]],",",Tabela1[[#This Row],[UF]])</f>
        <v>Brasília,DF</v>
      </c>
      <c r="F3249" s="2">
        <v>45973</v>
      </c>
      <c r="G3249" s="17">
        <v>1108.49</v>
      </c>
      <c r="H3249" s="17">
        <v>2125</v>
      </c>
      <c r="I3249" s="6">
        <f>Tabela1[[#This Row],[Valor total]]-Tabela1[[#This Row],[Valor custo]]</f>
        <v>1016.51</v>
      </c>
      <c r="J3249" s="7">
        <f>Tabela1[[#This Row],[MARGEM BRUTA]]/Tabela1[[#This Row],[Valor total]]</f>
        <v>0.4783576470588235</v>
      </c>
      <c r="K3249" s="1" t="str">
        <f>VLOOKUP(Tabela1[[#This Row],[Cliente]],'BASE DE CLIENTES'!A:D,4,0)</f>
        <v>EMPRESA COM MAQUINA</v>
      </c>
      <c r="L3249" s="1" t="str">
        <f>VLOOKUP(Tabela1[[#This Row],[Cliente]],'BASE DE CLIENTES'!A:E,5,0)</f>
        <v>RIACHO FUNDO I</v>
      </c>
    </row>
    <row r="3250" spans="2:12" x14ac:dyDescent="0.3">
      <c r="B3250" s="1" t="s">
        <v>42</v>
      </c>
      <c r="C3250" s="4" t="str">
        <f>VLOOKUP(Tabela1[[#This Row],[Cliente]],'BASE DE CLIENTES'!A:E,2,0)</f>
        <v>Brasília</v>
      </c>
      <c r="D3250" s="1" t="str">
        <f>VLOOKUP(Tabela1[[#This Row],[Cliente]],'BASE DE CLIENTES'!A:C,3,0)</f>
        <v>DF</v>
      </c>
      <c r="E3250" s="4" t="str">
        <f>CONCATENATE(Tabela1[[#This Row],[CIDADE]],",",Tabela1[[#This Row],[UF]])</f>
        <v>Brasília,DF</v>
      </c>
      <c r="F3250" s="2">
        <v>45973</v>
      </c>
      <c r="G3250" s="17">
        <v>289</v>
      </c>
      <c r="H3250" s="17">
        <v>480</v>
      </c>
      <c r="I3250" s="6">
        <f>Tabela1[[#This Row],[Valor total]]-Tabela1[[#This Row],[Valor custo]]</f>
        <v>191</v>
      </c>
      <c r="J3250" s="7">
        <f>Tabela1[[#This Row],[MARGEM BRUTA]]/Tabela1[[#This Row],[Valor total]]</f>
        <v>0.39791666666666664</v>
      </c>
      <c r="K3250" s="1" t="str">
        <f>VLOOKUP(Tabela1[[#This Row],[Cliente]],'BASE DE CLIENTES'!A:D,4,0)</f>
        <v>EMPRESA SEM MAQUINA</v>
      </c>
      <c r="L3250" s="1" t="str">
        <f>VLOOKUP(Tabela1[[#This Row],[Cliente]],'BASE DE CLIENTES'!A:E,5,0)</f>
        <v>SAMAMBAIA</v>
      </c>
    </row>
    <row r="3251" spans="2:12" x14ac:dyDescent="0.3">
      <c r="B3251" s="1" t="s">
        <v>66</v>
      </c>
      <c r="C3251" s="4" t="str">
        <f>VLOOKUP(Tabela1[[#This Row],[Cliente]],'BASE DE CLIENTES'!A:E,2,0)</f>
        <v>Águas Lindas de Goiás</v>
      </c>
      <c r="D3251" s="1" t="str">
        <f>VLOOKUP(Tabela1[[#This Row],[Cliente]],'BASE DE CLIENTES'!A:C,3,0)</f>
        <v>GO</v>
      </c>
      <c r="E3251" s="4" t="str">
        <f>CONCATENATE(Tabela1[[#This Row],[CIDADE]],",",Tabela1[[#This Row],[UF]])</f>
        <v>Águas Lindas de Goiás,GO</v>
      </c>
      <c r="F3251" s="2">
        <v>45973</v>
      </c>
      <c r="G3251" s="17">
        <v>1155</v>
      </c>
      <c r="H3251" s="17">
        <v>1860</v>
      </c>
      <c r="I3251" s="6">
        <f>Tabela1[[#This Row],[Valor total]]-Tabela1[[#This Row],[Valor custo]]</f>
        <v>705</v>
      </c>
      <c r="J3251" s="7">
        <f>Tabela1[[#This Row],[MARGEM BRUTA]]/Tabela1[[#This Row],[Valor total]]</f>
        <v>0.37903225806451613</v>
      </c>
      <c r="K3251" s="1" t="str">
        <f>VLOOKUP(Tabela1[[#This Row],[Cliente]],'BASE DE CLIENTES'!A:D,4,0)</f>
        <v>EMPRESA COM MAQUINA</v>
      </c>
      <c r="L3251" s="1" t="str">
        <f>VLOOKUP(Tabela1[[#This Row],[Cliente]],'BASE DE CLIENTES'!A:E,5,0)</f>
        <v>Águas Lindas de Goiás</v>
      </c>
    </row>
    <row r="3252" spans="2:12" x14ac:dyDescent="0.3">
      <c r="B3252" s="1" t="s">
        <v>27</v>
      </c>
      <c r="C3252" s="4" t="str">
        <f>VLOOKUP(Tabela1[[#This Row],[Cliente]],'BASE DE CLIENTES'!A:E,2,0)</f>
        <v>Brasília</v>
      </c>
      <c r="D3252" s="1" t="str">
        <f>VLOOKUP(Tabela1[[#This Row],[Cliente]],'BASE DE CLIENTES'!A:C,3,0)</f>
        <v>DF</v>
      </c>
      <c r="E3252" s="4" t="str">
        <f>CONCATENATE(Tabela1[[#This Row],[CIDADE]],",",Tabela1[[#This Row],[UF]])</f>
        <v>Brasília,DF</v>
      </c>
      <c r="F3252" s="2">
        <v>45973</v>
      </c>
      <c r="G3252" s="17">
        <v>1064</v>
      </c>
      <c r="H3252" s="17">
        <v>1615</v>
      </c>
      <c r="I3252" s="6">
        <f>Tabela1[[#This Row],[Valor total]]-Tabela1[[#This Row],[Valor custo]]</f>
        <v>551</v>
      </c>
      <c r="J3252" s="7">
        <f>Tabela1[[#This Row],[MARGEM BRUTA]]/Tabela1[[#This Row],[Valor total]]</f>
        <v>0.3411764705882353</v>
      </c>
      <c r="K3252" s="1" t="str">
        <f>VLOOKUP(Tabela1[[#This Row],[Cliente]],'BASE DE CLIENTES'!A:D,4,0)</f>
        <v>EMPRESA SEM MAQUINA</v>
      </c>
      <c r="L3252" s="1" t="str">
        <f>VLOOKUP(Tabela1[[#This Row],[Cliente]],'BASE DE CLIENTES'!A:E,5,0)</f>
        <v>RECANTO DAS EMAS</v>
      </c>
    </row>
    <row r="3253" spans="2:12" x14ac:dyDescent="0.3">
      <c r="B3253" s="1" t="s">
        <v>13</v>
      </c>
      <c r="C3253" s="4" t="str">
        <f>VLOOKUP(Tabela1[[#This Row],[Cliente]],'BASE DE CLIENTES'!A:E,2,0)</f>
        <v>Brasília</v>
      </c>
      <c r="D3253" s="1" t="str">
        <f>VLOOKUP(Tabela1[[#This Row],[Cliente]],'BASE DE CLIENTES'!A:C,3,0)</f>
        <v>DF</v>
      </c>
      <c r="E3253" s="4" t="str">
        <f>CONCATENATE(Tabela1[[#This Row],[CIDADE]],",",Tabela1[[#This Row],[UF]])</f>
        <v>Brasília,DF</v>
      </c>
      <c r="F3253" s="2">
        <v>45973</v>
      </c>
      <c r="G3253" s="17">
        <v>72.099999999999994</v>
      </c>
      <c r="H3253" s="17">
        <v>300</v>
      </c>
      <c r="I3253" s="6">
        <f>Tabela1[[#This Row],[Valor total]]-Tabela1[[#This Row],[Valor custo]]</f>
        <v>227.9</v>
      </c>
      <c r="J3253" s="7">
        <f>Tabela1[[#This Row],[MARGEM BRUTA]]/Tabela1[[#This Row],[Valor total]]</f>
        <v>0.75966666666666671</v>
      </c>
      <c r="K3253" s="1" t="str">
        <f>VLOOKUP(Tabela1[[#This Row],[Cliente]],'BASE DE CLIENTES'!A:D,4,0)</f>
        <v>EMPRESA COM MAQUINA</v>
      </c>
      <c r="L3253" s="1" t="str">
        <f>VLOOKUP(Tabela1[[#This Row],[Cliente]],'BASE DE CLIENTES'!A:E,5,0)</f>
        <v>CANDANGOLANDIA</v>
      </c>
    </row>
    <row r="3254" spans="2:12" x14ac:dyDescent="0.3">
      <c r="B3254" s="1" t="s">
        <v>230</v>
      </c>
      <c r="C3254" s="4" t="str">
        <f>VLOOKUP(Tabela1[[#This Row],[Cliente]],'BASE DE CLIENTES'!A:E,2,0)</f>
        <v>Brasília</v>
      </c>
      <c r="D3254" s="1" t="str">
        <f>VLOOKUP(Tabela1[[#This Row],[Cliente]],'BASE DE CLIENTES'!A:C,3,0)</f>
        <v>DF</v>
      </c>
      <c r="E3254" s="4" t="str">
        <f>CONCATENATE(Tabela1[[#This Row],[CIDADE]],",",Tabela1[[#This Row],[UF]])</f>
        <v>Brasília,DF</v>
      </c>
      <c r="F3254" s="2">
        <v>45973</v>
      </c>
      <c r="G3254" s="17">
        <v>385</v>
      </c>
      <c r="H3254" s="17">
        <v>490</v>
      </c>
      <c r="I3254" s="6">
        <f>Tabela1[[#This Row],[Valor total]]-Tabela1[[#This Row],[Valor custo]]</f>
        <v>105</v>
      </c>
      <c r="J3254" s="7">
        <f>Tabela1[[#This Row],[MARGEM BRUTA]]/Tabela1[[#This Row],[Valor total]]</f>
        <v>0.21428571428571427</v>
      </c>
      <c r="K3254" s="1" t="str">
        <f>VLOOKUP(Tabela1[[#This Row],[Cliente]],'BASE DE CLIENTES'!A:D,4,0)</f>
        <v>SERRALHEIRO</v>
      </c>
      <c r="L3254" s="1" t="str">
        <f>VLOOKUP(Tabela1[[#This Row],[Cliente]],'BASE DE CLIENTES'!A:E,5,0)</f>
        <v>SETOR HABITACIONAL SAMAMBAIA (VICENTE PIRES)</v>
      </c>
    </row>
    <row r="3255" spans="2:12" x14ac:dyDescent="0.3">
      <c r="B3255" s="1" t="s">
        <v>13</v>
      </c>
      <c r="C3255" s="4" t="str">
        <f>VLOOKUP(Tabela1[[#This Row],[Cliente]],'BASE DE CLIENTES'!A:E,2,0)</f>
        <v>Brasília</v>
      </c>
      <c r="D3255" s="1" t="str">
        <f>VLOOKUP(Tabela1[[#This Row],[Cliente]],'BASE DE CLIENTES'!A:C,3,0)</f>
        <v>DF</v>
      </c>
      <c r="E3255" s="4" t="str">
        <f>CONCATENATE(Tabela1[[#This Row],[CIDADE]],",",Tabela1[[#This Row],[UF]])</f>
        <v>Brasília,DF</v>
      </c>
      <c r="F3255" s="2">
        <v>45973</v>
      </c>
      <c r="G3255" s="17">
        <v>544</v>
      </c>
      <c r="H3255" s="17">
        <v>860</v>
      </c>
      <c r="I3255" s="6">
        <f>Tabela1[[#This Row],[Valor total]]-Tabela1[[#This Row],[Valor custo]]</f>
        <v>316</v>
      </c>
      <c r="J3255" s="7">
        <f>Tabela1[[#This Row],[MARGEM BRUTA]]/Tabela1[[#This Row],[Valor total]]</f>
        <v>0.36744186046511629</v>
      </c>
      <c r="K3255" s="1" t="str">
        <f>VLOOKUP(Tabela1[[#This Row],[Cliente]],'BASE DE CLIENTES'!A:D,4,0)</f>
        <v>EMPRESA COM MAQUINA</v>
      </c>
      <c r="L3255" s="1" t="str">
        <f>VLOOKUP(Tabela1[[#This Row],[Cliente]],'BASE DE CLIENTES'!A:E,5,0)</f>
        <v>CANDANGOLANDIA</v>
      </c>
    </row>
    <row r="3256" spans="2:12" x14ac:dyDescent="0.3">
      <c r="B3256" s="1" t="s">
        <v>127</v>
      </c>
      <c r="C3256" s="4" t="str">
        <f>VLOOKUP(Tabela1[[#This Row],[Cliente]],'BASE DE CLIENTES'!A:E,2,0)</f>
        <v>Brasília</v>
      </c>
      <c r="D3256" s="1" t="str">
        <f>VLOOKUP(Tabela1[[#This Row],[Cliente]],'BASE DE CLIENTES'!A:C,3,0)</f>
        <v>DF</v>
      </c>
      <c r="E3256" s="4" t="str">
        <f>CONCATENATE(Tabela1[[#This Row],[CIDADE]],",",Tabela1[[#This Row],[UF]])</f>
        <v>Brasília,DF</v>
      </c>
      <c r="F3256" s="2">
        <v>45973</v>
      </c>
      <c r="G3256" s="17">
        <v>6624.53</v>
      </c>
      <c r="H3256" s="17">
        <v>10700</v>
      </c>
      <c r="I3256" s="6">
        <f>Tabela1[[#This Row],[Valor total]]-Tabela1[[#This Row],[Valor custo]]</f>
        <v>4075.4700000000003</v>
      </c>
      <c r="J3256" s="7">
        <f>Tabela1[[#This Row],[MARGEM BRUTA]]/Tabela1[[#This Row],[Valor total]]</f>
        <v>0.380885046728972</v>
      </c>
      <c r="K3256" s="1" t="str">
        <f>VLOOKUP(Tabela1[[#This Row],[Cliente]],'BASE DE CLIENTES'!A:D,4,0)</f>
        <v>EMPRESA COM MAQUINA</v>
      </c>
      <c r="L3256" s="1" t="str">
        <f>VLOOKUP(Tabela1[[#This Row],[Cliente]],'BASE DE CLIENTES'!A:E,5,0)</f>
        <v>CEILANDIA SUL (CEILANDIA)</v>
      </c>
    </row>
    <row r="3257" spans="2:12" x14ac:dyDescent="0.3">
      <c r="B3257" s="1" t="s">
        <v>36</v>
      </c>
      <c r="C3257" s="4" t="str">
        <f>VLOOKUP(Tabela1[[#This Row],[Cliente]],'BASE DE CLIENTES'!A:E,2,0)</f>
        <v>Brasília</v>
      </c>
      <c r="D3257" s="1" t="str">
        <f>VLOOKUP(Tabela1[[#This Row],[Cliente]],'BASE DE CLIENTES'!A:C,3,0)</f>
        <v>DF</v>
      </c>
      <c r="E3257" s="4" t="str">
        <f>CONCATENATE(Tabela1[[#This Row],[CIDADE]],",",Tabela1[[#This Row],[UF]])</f>
        <v>Brasília,DF</v>
      </c>
      <c r="F3257" s="2">
        <v>45973</v>
      </c>
      <c r="G3257" s="17">
        <v>33.56</v>
      </c>
      <c r="H3257" s="17">
        <v>85</v>
      </c>
      <c r="I3257" s="6">
        <f>Tabela1[[#This Row],[Valor total]]-Tabela1[[#This Row],[Valor custo]]</f>
        <v>51.44</v>
      </c>
      <c r="J3257" s="7">
        <f>Tabela1[[#This Row],[MARGEM BRUTA]]/Tabela1[[#This Row],[Valor total]]</f>
        <v>0.60517647058823532</v>
      </c>
      <c r="K3257" s="1" t="str">
        <f>VLOOKUP(Tabela1[[#This Row],[Cliente]],'BASE DE CLIENTES'!A:D,4,0)</f>
        <v>SERRALHEIRO</v>
      </c>
      <c r="L3257" s="1" t="str">
        <f>VLOOKUP(Tabela1[[#This Row],[Cliente]],'BASE DE CLIENTES'!A:E,5,0)</f>
        <v>CEILANDIA SUL (CEILANDIA)</v>
      </c>
    </row>
    <row r="3258" spans="2:12" x14ac:dyDescent="0.3">
      <c r="B3258" s="1" t="s">
        <v>96</v>
      </c>
      <c r="C3258" s="4" t="str">
        <f>VLOOKUP(Tabela1[[#This Row],[Cliente]],'BASE DE CLIENTES'!A:E,2,0)</f>
        <v>Brasília</v>
      </c>
      <c r="D3258" s="1" t="str">
        <f>VLOOKUP(Tabela1[[#This Row],[Cliente]],'BASE DE CLIENTES'!A:C,3,0)</f>
        <v>DF</v>
      </c>
      <c r="E3258" s="4" t="str">
        <f>CONCATENATE(Tabela1[[#This Row],[CIDADE]],",",Tabela1[[#This Row],[UF]])</f>
        <v>Brasília,DF</v>
      </c>
      <c r="F3258" s="2">
        <v>45973</v>
      </c>
      <c r="G3258" s="17">
        <v>1365.58</v>
      </c>
      <c r="H3258" s="17">
        <v>1430</v>
      </c>
      <c r="I3258" s="6">
        <f>Tabela1[[#This Row],[Valor total]]-Tabela1[[#This Row],[Valor custo]]</f>
        <v>64.420000000000073</v>
      </c>
      <c r="J3258" s="7">
        <f>Tabela1[[#This Row],[MARGEM BRUTA]]/Tabela1[[#This Row],[Valor total]]</f>
        <v>4.5048951048951097E-2</v>
      </c>
      <c r="K3258" s="1" t="str">
        <f>VLOOKUP(Tabela1[[#This Row],[Cliente]],'BASE DE CLIENTES'!A:D,4,0)</f>
        <v>EMPRESA SEM MAQUINA</v>
      </c>
      <c r="L3258" s="1" t="str">
        <f>VLOOKUP(Tabela1[[#This Row],[Cliente]],'BASE DE CLIENTES'!A:E,5,0)</f>
        <v>CEILANDIA NORTE (CEILANDIA)</v>
      </c>
    </row>
    <row r="3259" spans="2:12" x14ac:dyDescent="0.3">
      <c r="B3259" s="1" t="s">
        <v>220</v>
      </c>
      <c r="C3259" s="4" t="str">
        <f>VLOOKUP(Tabela1[[#This Row],[Cliente]],'BASE DE CLIENTES'!A:E,2,0)</f>
        <v>Goiânia</v>
      </c>
      <c r="D3259" s="1" t="str">
        <f>VLOOKUP(Tabela1[[#This Row],[Cliente]],'BASE DE CLIENTES'!A:C,3,0)</f>
        <v>GO</v>
      </c>
      <c r="E3259" s="4" t="str">
        <f>CONCATENATE(Tabela1[[#This Row],[CIDADE]],",",Tabela1[[#This Row],[UF]])</f>
        <v>Goiânia,GO</v>
      </c>
      <c r="F3259" s="2">
        <v>45973</v>
      </c>
      <c r="G3259" s="17">
        <v>649</v>
      </c>
      <c r="H3259" s="17">
        <v>900</v>
      </c>
      <c r="I3259" s="6">
        <f>Tabela1[[#This Row],[Valor total]]-Tabela1[[#This Row],[Valor custo]]</f>
        <v>251</v>
      </c>
      <c r="J3259" s="7">
        <f>Tabela1[[#This Row],[MARGEM BRUTA]]/Tabela1[[#This Row],[Valor total]]</f>
        <v>0.27888888888888891</v>
      </c>
      <c r="K3259" s="1" t="str">
        <f>VLOOKUP(Tabela1[[#This Row],[Cliente]],'BASE DE CLIENTES'!A:D,4,0)</f>
        <v>EMPRESA COM MAQUINA</v>
      </c>
      <c r="L3259" s="1" t="str">
        <f>VLOOKUP(Tabela1[[#This Row],[Cliente]],'BASE DE CLIENTES'!A:E,5,0)</f>
        <v>Goiânia</v>
      </c>
    </row>
    <row r="3260" spans="2:12" x14ac:dyDescent="0.3">
      <c r="B3260" s="1" t="s">
        <v>85</v>
      </c>
      <c r="C3260" s="4" t="str">
        <f>VLOOKUP(Tabela1[[#This Row],[Cliente]],'BASE DE CLIENTES'!A:E,2,0)</f>
        <v>Brasília</v>
      </c>
      <c r="D3260" s="1" t="str">
        <f>VLOOKUP(Tabela1[[#This Row],[Cliente]],'BASE DE CLIENTES'!A:C,3,0)</f>
        <v>DF</v>
      </c>
      <c r="E3260" s="4" t="str">
        <f>CONCATENATE(Tabela1[[#This Row],[CIDADE]],",",Tabela1[[#This Row],[UF]])</f>
        <v>Brasília,DF</v>
      </c>
      <c r="F3260" s="2">
        <v>45973</v>
      </c>
      <c r="G3260" s="17">
        <v>485</v>
      </c>
      <c r="H3260" s="17">
        <v>760</v>
      </c>
      <c r="I3260" s="6">
        <f>Tabela1[[#This Row],[Valor total]]-Tabela1[[#This Row],[Valor custo]]</f>
        <v>275</v>
      </c>
      <c r="J3260" s="7">
        <f>Tabela1[[#This Row],[MARGEM BRUTA]]/Tabela1[[#This Row],[Valor total]]</f>
        <v>0.36184210526315791</v>
      </c>
      <c r="K3260" s="1" t="str">
        <f>VLOOKUP(Tabela1[[#This Row],[Cliente]],'BASE DE CLIENTES'!A:D,4,0)</f>
        <v>SERRALHEIRO</v>
      </c>
      <c r="L3260" s="1" t="str">
        <f>VLOOKUP(Tabela1[[#This Row],[Cliente]],'BASE DE CLIENTES'!A:E,5,0)</f>
        <v>SAMAMBAIA NORTE (SAMAMBAIA)</v>
      </c>
    </row>
    <row r="3261" spans="2:12" x14ac:dyDescent="0.3">
      <c r="B3261" s="1" t="s">
        <v>88</v>
      </c>
      <c r="C3261" s="4" t="str">
        <f>VLOOKUP(Tabela1[[#This Row],[Cliente]],'BASE DE CLIENTES'!A:E,2,0)</f>
        <v>Brasília</v>
      </c>
      <c r="D3261" s="1" t="str">
        <f>VLOOKUP(Tabela1[[#This Row],[Cliente]],'BASE DE CLIENTES'!A:C,3,0)</f>
        <v>DF</v>
      </c>
      <c r="E3261" s="4" t="str">
        <f>CONCATENATE(Tabela1[[#This Row],[CIDADE]],",",Tabela1[[#This Row],[UF]])</f>
        <v>Brasília,DF</v>
      </c>
      <c r="F3261" s="2">
        <v>45973</v>
      </c>
      <c r="G3261" s="17">
        <v>0</v>
      </c>
      <c r="H3261" s="17">
        <v>90</v>
      </c>
      <c r="I3261" s="6">
        <f>Tabela1[[#This Row],[Valor total]]-Tabela1[[#This Row],[Valor custo]]</f>
        <v>90</v>
      </c>
      <c r="J3261" s="7">
        <f>Tabela1[[#This Row],[MARGEM BRUTA]]/Tabela1[[#This Row],[Valor total]]</f>
        <v>1</v>
      </c>
      <c r="K3261" s="1" t="str">
        <f>VLOOKUP(Tabela1[[#This Row],[Cliente]],'BASE DE CLIENTES'!A:D,4,0)</f>
        <v>SERRALHEIRO</v>
      </c>
      <c r="L3261" s="1" t="str">
        <f>VLOOKUP(Tabela1[[#This Row],[Cliente]],'BASE DE CLIENTES'!A:E,5,0)</f>
        <v>RECANTO DAS EMAS</v>
      </c>
    </row>
    <row r="3262" spans="2:12" x14ac:dyDescent="0.3">
      <c r="B3262" s="1" t="s">
        <v>70</v>
      </c>
      <c r="C3262" s="4" t="str">
        <f>VLOOKUP(Tabela1[[#This Row],[Cliente]],'BASE DE CLIENTES'!A:E,2,0)</f>
        <v>Brasília</v>
      </c>
      <c r="D3262" s="1" t="str">
        <f>VLOOKUP(Tabela1[[#This Row],[Cliente]],'BASE DE CLIENTES'!A:C,3,0)</f>
        <v>DF</v>
      </c>
      <c r="E3262" s="4" t="str">
        <f>CONCATENATE(Tabela1[[#This Row],[CIDADE]],",",Tabela1[[#This Row],[UF]])</f>
        <v>Brasília,DF</v>
      </c>
      <c r="F3262" s="2">
        <v>45973</v>
      </c>
      <c r="G3262" s="17">
        <v>385</v>
      </c>
      <c r="H3262" s="17">
        <v>615</v>
      </c>
      <c r="I3262" s="6">
        <f>Tabela1[[#This Row],[Valor total]]-Tabela1[[#This Row],[Valor custo]]</f>
        <v>230</v>
      </c>
      <c r="J3262" s="7">
        <f>Tabela1[[#This Row],[MARGEM BRUTA]]/Tabela1[[#This Row],[Valor total]]</f>
        <v>0.37398373983739835</v>
      </c>
      <c r="K3262" s="1" t="str">
        <f>VLOOKUP(Tabela1[[#This Row],[Cliente]],'BASE DE CLIENTES'!A:D,4,0)</f>
        <v>EMPRESA COM MAQUINA</v>
      </c>
      <c r="L3262" s="1" t="str">
        <f>VLOOKUP(Tabela1[[#This Row],[Cliente]],'BASE DE CLIENTES'!A:E,5,0)</f>
        <v>TAGUATINGA NORTE (TAGUATINGA)</v>
      </c>
    </row>
    <row r="3263" spans="2:12" x14ac:dyDescent="0.3">
      <c r="B3263" s="1" t="s">
        <v>117</v>
      </c>
      <c r="C3263" s="4" t="str">
        <f>VLOOKUP(Tabela1[[#This Row],[Cliente]],'BASE DE CLIENTES'!A:E,2,0)</f>
        <v>Brasília</v>
      </c>
      <c r="D3263" s="1" t="str">
        <f>VLOOKUP(Tabela1[[#This Row],[Cliente]],'BASE DE CLIENTES'!A:C,3,0)</f>
        <v>DF</v>
      </c>
      <c r="E3263" s="4" t="str">
        <f>CONCATENATE(Tabela1[[#This Row],[CIDADE]],",",Tabela1[[#This Row],[UF]])</f>
        <v>Brasília,DF</v>
      </c>
      <c r="F3263" s="2">
        <v>45973</v>
      </c>
      <c r="G3263" s="17">
        <v>1298.3699999999999</v>
      </c>
      <c r="H3263" s="17">
        <v>1800</v>
      </c>
      <c r="I3263" s="6">
        <f>Tabela1[[#This Row],[Valor total]]-Tabela1[[#This Row],[Valor custo]]</f>
        <v>501.63000000000011</v>
      </c>
      <c r="J3263" s="7">
        <f>Tabela1[[#This Row],[MARGEM BRUTA]]/Tabela1[[#This Row],[Valor total]]</f>
        <v>0.27868333333333339</v>
      </c>
      <c r="K3263" s="1" t="str">
        <f>VLOOKUP(Tabela1[[#This Row],[Cliente]],'BASE DE CLIENTES'!A:D,4,0)</f>
        <v>EMPRESA COM MAQUINA</v>
      </c>
      <c r="L3263" s="1" t="str">
        <f>VLOOKUP(Tabela1[[#This Row],[Cliente]],'BASE DE CLIENTES'!A:E,5,0)</f>
        <v>SETOR HABITACIONAL ARNIQUEIRA (AGUAS CLARAS)</v>
      </c>
    </row>
    <row r="3264" spans="2:12" x14ac:dyDescent="0.3">
      <c r="B3264" s="1" t="s">
        <v>157</v>
      </c>
      <c r="C3264" s="4" t="str">
        <f>VLOOKUP(Tabela1[[#This Row],[Cliente]],'BASE DE CLIENTES'!A:E,2,0)</f>
        <v>Aparecida de Goiânia</v>
      </c>
      <c r="D3264" s="1" t="str">
        <f>VLOOKUP(Tabela1[[#This Row],[Cliente]],'BASE DE CLIENTES'!A:C,3,0)</f>
        <v>GO</v>
      </c>
      <c r="E3264" s="4" t="str">
        <f>CONCATENATE(Tabela1[[#This Row],[CIDADE]],",",Tabela1[[#This Row],[UF]])</f>
        <v>Aparecida de Goiânia,GO</v>
      </c>
      <c r="F3264" s="2">
        <v>45973</v>
      </c>
      <c r="G3264" s="17">
        <v>1650</v>
      </c>
      <c r="H3264" s="17">
        <v>3600</v>
      </c>
      <c r="I3264" s="6">
        <f>Tabela1[[#This Row],[Valor total]]-Tabela1[[#This Row],[Valor custo]]</f>
        <v>1950</v>
      </c>
      <c r="J3264" s="7">
        <f>Tabela1[[#This Row],[MARGEM BRUTA]]/Tabela1[[#This Row],[Valor total]]</f>
        <v>0.54166666666666663</v>
      </c>
      <c r="K3264" s="1" t="str">
        <f>VLOOKUP(Tabela1[[#This Row],[Cliente]],'BASE DE CLIENTES'!A:D,4,0)</f>
        <v>EMPRESA COM MAQUINA</v>
      </c>
      <c r="L3264" s="1" t="str">
        <f>VLOOKUP(Tabela1[[#This Row],[Cliente]],'BASE DE CLIENTES'!A:E,5,0)</f>
        <v>Aparecida de Goiânia</v>
      </c>
    </row>
    <row r="3265" spans="2:12" x14ac:dyDescent="0.3">
      <c r="B3265" s="1" t="s">
        <v>311</v>
      </c>
      <c r="C3265" s="4" t="str">
        <f>VLOOKUP(Tabela1[[#This Row],[Cliente]],'BASE DE CLIENTES'!A:E,2,0)</f>
        <v>Uberlândia</v>
      </c>
      <c r="D3265" s="1" t="str">
        <f>VLOOKUP(Tabela1[[#This Row],[Cliente]],'BASE DE CLIENTES'!A:C,3,0)</f>
        <v>MG</v>
      </c>
      <c r="E3265" s="4" t="str">
        <f>CONCATENATE(Tabela1[[#This Row],[CIDADE]],",",Tabela1[[#This Row],[UF]])</f>
        <v>Uberlândia,MG</v>
      </c>
      <c r="F3265" s="2">
        <v>45973</v>
      </c>
      <c r="G3265" s="17">
        <v>12983.7</v>
      </c>
      <c r="H3265" s="17">
        <v>16200</v>
      </c>
      <c r="I3265" s="6">
        <f>Tabela1[[#This Row],[Valor total]]-Tabela1[[#This Row],[Valor custo]]</f>
        <v>3216.2999999999993</v>
      </c>
      <c r="J3265" s="7">
        <f>Tabela1[[#This Row],[MARGEM BRUTA]]/Tabela1[[#This Row],[Valor total]]</f>
        <v>0.19853703703703698</v>
      </c>
      <c r="K3265" s="1" t="str">
        <f>VLOOKUP(Tabela1[[#This Row],[Cliente]],'BASE DE CLIENTES'!A:D,4,0)</f>
        <v>EMPRESA COM MAQUINA</v>
      </c>
      <c r="L3265" s="1" t="str">
        <f>VLOOKUP(Tabela1[[#This Row],[Cliente]],'BASE DE CLIENTES'!A:E,5,0)</f>
        <v>Uberlândia</v>
      </c>
    </row>
    <row r="3266" spans="2:12" x14ac:dyDescent="0.3">
      <c r="B3266" s="1" t="s">
        <v>298</v>
      </c>
      <c r="C3266" s="4" t="str">
        <f>VLOOKUP(Tabela1[[#This Row],[Cliente]],'BASE DE CLIENTES'!A:E,2,0)</f>
        <v>Brasília</v>
      </c>
      <c r="D3266" s="1" t="str">
        <f>VLOOKUP(Tabela1[[#This Row],[Cliente]],'BASE DE CLIENTES'!A:C,3,0)</f>
        <v>DF</v>
      </c>
      <c r="E3266" s="4" t="str">
        <f>CONCATENATE(Tabela1[[#This Row],[CIDADE]],",",Tabela1[[#This Row],[UF]])</f>
        <v>Brasília,DF</v>
      </c>
      <c r="F3266" s="2">
        <v>45972</v>
      </c>
      <c r="G3266" s="17">
        <v>725.5</v>
      </c>
      <c r="H3266" s="17">
        <v>1430</v>
      </c>
      <c r="I3266" s="6">
        <f>Tabela1[[#This Row],[Valor total]]-Tabela1[[#This Row],[Valor custo]]</f>
        <v>704.5</v>
      </c>
      <c r="J3266" s="7">
        <f>Tabela1[[#This Row],[MARGEM BRUTA]]/Tabela1[[#This Row],[Valor total]]</f>
        <v>0.49265734265734268</v>
      </c>
      <c r="K3266" s="1" t="str">
        <f>VLOOKUP(Tabela1[[#This Row],[Cliente]],'BASE DE CLIENTES'!A:D,4,0)</f>
        <v>SERRALHEIRO</v>
      </c>
      <c r="L3266" s="1" t="str">
        <f>VLOOKUP(Tabela1[[#This Row],[Cliente]],'BASE DE CLIENTES'!A:E,5,0)</f>
        <v>SETOR DE MANSOES DE SOBRADINHO</v>
      </c>
    </row>
    <row r="3267" spans="2:12" x14ac:dyDescent="0.3">
      <c r="B3267" s="1" t="s">
        <v>290</v>
      </c>
      <c r="C3267" s="4" t="str">
        <f>VLOOKUP(Tabela1[[#This Row],[Cliente]],'BASE DE CLIENTES'!A:E,2,0)</f>
        <v>Rio Verde</v>
      </c>
      <c r="D3267" s="1" t="str">
        <f>VLOOKUP(Tabela1[[#This Row],[Cliente]],'BASE DE CLIENTES'!A:C,3,0)</f>
        <v>GO</v>
      </c>
      <c r="E3267" s="4" t="str">
        <f>CONCATENATE(Tabela1[[#This Row],[CIDADE]],",",Tabela1[[#This Row],[UF]])</f>
        <v>Rio Verde,GO</v>
      </c>
      <c r="F3267" s="2">
        <v>45972</v>
      </c>
      <c r="G3267" s="17">
        <v>4499</v>
      </c>
      <c r="H3267" s="17">
        <v>6400</v>
      </c>
      <c r="I3267" s="6">
        <f>Tabela1[[#This Row],[Valor total]]-Tabela1[[#This Row],[Valor custo]]</f>
        <v>1901</v>
      </c>
      <c r="J3267" s="7">
        <f>Tabela1[[#This Row],[MARGEM BRUTA]]/Tabela1[[#This Row],[Valor total]]</f>
        <v>0.29703125000000002</v>
      </c>
      <c r="K3267" s="1" t="str">
        <f>VLOOKUP(Tabela1[[#This Row],[Cliente]],'BASE DE CLIENTES'!A:D,4,0)</f>
        <v>EMPRESA COM MAQUINA</v>
      </c>
      <c r="L3267" s="1" t="str">
        <f>VLOOKUP(Tabela1[[#This Row],[Cliente]],'BASE DE CLIENTES'!A:E,5,0)</f>
        <v>Rio Verde</v>
      </c>
    </row>
    <row r="3268" spans="2:12" x14ac:dyDescent="0.3">
      <c r="B3268" s="1" t="s">
        <v>20</v>
      </c>
      <c r="C3268" s="4" t="str">
        <f>VLOOKUP(Tabela1[[#This Row],[Cliente]],'BASE DE CLIENTES'!A:E,2,0)</f>
        <v>Brasília</v>
      </c>
      <c r="D3268" s="1" t="str">
        <f>VLOOKUP(Tabela1[[#This Row],[Cliente]],'BASE DE CLIENTES'!A:C,3,0)</f>
        <v>DF</v>
      </c>
      <c r="E3268" s="4" t="str">
        <f>CONCATENATE(Tabela1[[#This Row],[CIDADE]],",",Tabela1[[#This Row],[UF]])</f>
        <v>Brasília,DF</v>
      </c>
      <c r="F3268" s="2">
        <v>45972</v>
      </c>
      <c r="G3268" s="17">
        <v>293.13</v>
      </c>
      <c r="H3268" s="17">
        <v>450</v>
      </c>
      <c r="I3268" s="6">
        <f>Tabela1[[#This Row],[Valor total]]-Tabela1[[#This Row],[Valor custo]]</f>
        <v>156.87</v>
      </c>
      <c r="J3268" s="7">
        <f>Tabela1[[#This Row],[MARGEM BRUTA]]/Tabela1[[#This Row],[Valor total]]</f>
        <v>0.34860000000000002</v>
      </c>
      <c r="K3268" s="1" t="str">
        <f>VLOOKUP(Tabela1[[#This Row],[Cliente]],'BASE DE CLIENTES'!A:D,4,0)</f>
        <v>CHAVEIRO</v>
      </c>
      <c r="L3268" s="1" t="str">
        <f>VLOOKUP(Tabela1[[#This Row],[Cliente]],'BASE DE CLIENTES'!A:E,5,0)</f>
        <v>NA</v>
      </c>
    </row>
    <row r="3269" spans="2:12" x14ac:dyDescent="0.3">
      <c r="B3269" s="1" t="s">
        <v>348</v>
      </c>
      <c r="C3269" s="4" t="str">
        <f>VLOOKUP(Tabela1[[#This Row],[Cliente]],'BASE DE CLIENTES'!A:E,2,0)</f>
        <v>Brasília</v>
      </c>
      <c r="D3269" s="1" t="str">
        <f>VLOOKUP(Tabela1[[#This Row],[Cliente]],'BASE DE CLIENTES'!A:C,3,0)</f>
        <v>DF</v>
      </c>
      <c r="E3269" s="4" t="str">
        <f>CONCATENATE(Tabela1[[#This Row],[CIDADE]],",",Tabela1[[#This Row],[UF]])</f>
        <v>Brasília,DF</v>
      </c>
      <c r="F3269" s="2">
        <v>45972</v>
      </c>
      <c r="G3269" s="17">
        <v>165</v>
      </c>
      <c r="H3269" s="17">
        <v>450</v>
      </c>
      <c r="I3269" s="6">
        <f>Tabela1[[#This Row],[Valor total]]-Tabela1[[#This Row],[Valor custo]]</f>
        <v>285</v>
      </c>
      <c r="J3269" s="7">
        <f>Tabela1[[#This Row],[MARGEM BRUTA]]/Tabela1[[#This Row],[Valor total]]</f>
        <v>0.6333333333333333</v>
      </c>
      <c r="K3269" s="1" t="str">
        <f>VLOOKUP(Tabela1[[#This Row],[Cliente]],'BASE DE CLIENTES'!A:D,4,0)</f>
        <v>CLIENTE NOVO S/ IDENT.</v>
      </c>
      <c r="L3269" s="1" t="str">
        <f>VLOOKUP(Tabela1[[#This Row],[Cliente]],'BASE DE CLIENTES'!A:E,5,0)</f>
        <v>Brasília</v>
      </c>
    </row>
    <row r="3270" spans="2:12" x14ac:dyDescent="0.3">
      <c r="B3270" s="1" t="s">
        <v>236</v>
      </c>
      <c r="C3270" s="4" t="str">
        <f>VLOOKUP(Tabela1[[#This Row],[Cliente]],'BASE DE CLIENTES'!A:E,2,0)</f>
        <v>Goiânia</v>
      </c>
      <c r="D3270" s="1" t="str">
        <f>VLOOKUP(Tabela1[[#This Row],[Cliente]],'BASE DE CLIENTES'!A:C,3,0)</f>
        <v>GO</v>
      </c>
      <c r="E3270" s="4" t="str">
        <f>CONCATENATE(Tabela1[[#This Row],[CIDADE]],",",Tabela1[[#This Row],[UF]])</f>
        <v>Goiânia,GO</v>
      </c>
      <c r="F3270" s="2">
        <v>45972</v>
      </c>
      <c r="G3270" s="17">
        <v>970</v>
      </c>
      <c r="H3270" s="17">
        <v>1470</v>
      </c>
      <c r="I3270" s="6">
        <f>Tabela1[[#This Row],[Valor total]]-Tabela1[[#This Row],[Valor custo]]</f>
        <v>500</v>
      </c>
      <c r="J3270" s="7">
        <f>Tabela1[[#This Row],[MARGEM BRUTA]]/Tabela1[[#This Row],[Valor total]]</f>
        <v>0.3401360544217687</v>
      </c>
      <c r="K3270" s="1" t="str">
        <f>VLOOKUP(Tabela1[[#This Row],[Cliente]],'BASE DE CLIENTES'!A:D,4,0)</f>
        <v>EMPRESA COM MAQUINA</v>
      </c>
      <c r="L3270" s="1" t="str">
        <f>VLOOKUP(Tabela1[[#This Row],[Cliente]],'BASE DE CLIENTES'!A:E,5,0)</f>
        <v>Goiânia</v>
      </c>
    </row>
    <row r="3271" spans="2:12" x14ac:dyDescent="0.3">
      <c r="B3271" s="1" t="s">
        <v>88</v>
      </c>
      <c r="C3271" s="4" t="str">
        <f>VLOOKUP(Tabela1[[#This Row],[Cliente]],'BASE DE CLIENTES'!A:E,2,0)</f>
        <v>Brasília</v>
      </c>
      <c r="D3271" s="1" t="str">
        <f>VLOOKUP(Tabela1[[#This Row],[Cliente]],'BASE DE CLIENTES'!A:C,3,0)</f>
        <v>DF</v>
      </c>
      <c r="E3271" s="4" t="str">
        <f>CONCATENATE(Tabela1[[#This Row],[CIDADE]],",",Tabela1[[#This Row],[UF]])</f>
        <v>Brasília,DF</v>
      </c>
      <c r="F3271" s="2">
        <v>45972</v>
      </c>
      <c r="G3271" s="17">
        <v>806.05</v>
      </c>
      <c r="H3271" s="17">
        <v>1400</v>
      </c>
      <c r="I3271" s="6">
        <f>Tabela1[[#This Row],[Valor total]]-Tabela1[[#This Row],[Valor custo]]</f>
        <v>593.95000000000005</v>
      </c>
      <c r="J3271" s="7">
        <f>Tabela1[[#This Row],[MARGEM BRUTA]]/Tabela1[[#This Row],[Valor total]]</f>
        <v>0.42425000000000002</v>
      </c>
      <c r="K3271" s="1" t="str">
        <f>VLOOKUP(Tabela1[[#This Row],[Cliente]],'BASE DE CLIENTES'!A:D,4,0)</f>
        <v>SERRALHEIRO</v>
      </c>
      <c r="L3271" s="1" t="str">
        <f>VLOOKUP(Tabela1[[#This Row],[Cliente]],'BASE DE CLIENTES'!A:E,5,0)</f>
        <v>RECANTO DAS EMAS</v>
      </c>
    </row>
    <row r="3272" spans="2:12" x14ac:dyDescent="0.3">
      <c r="B3272" s="1" t="s">
        <v>20</v>
      </c>
      <c r="C3272" s="4" t="str">
        <f>VLOOKUP(Tabela1[[#This Row],[Cliente]],'BASE DE CLIENTES'!A:E,2,0)</f>
        <v>Brasília</v>
      </c>
      <c r="D3272" s="1" t="str">
        <f>VLOOKUP(Tabela1[[#This Row],[Cliente]],'BASE DE CLIENTES'!A:C,3,0)</f>
        <v>DF</v>
      </c>
      <c r="E3272" s="4" t="str">
        <f>CONCATENATE(Tabela1[[#This Row],[CIDADE]],",",Tabela1[[#This Row],[UF]])</f>
        <v>Brasília,DF</v>
      </c>
      <c r="F3272" s="2">
        <v>45972</v>
      </c>
      <c r="G3272" s="17">
        <v>586.26</v>
      </c>
      <c r="H3272" s="17">
        <v>800</v>
      </c>
      <c r="I3272" s="6">
        <f>Tabela1[[#This Row],[Valor total]]-Tabela1[[#This Row],[Valor custo]]</f>
        <v>213.74</v>
      </c>
      <c r="J3272" s="7">
        <f>Tabela1[[#This Row],[MARGEM BRUTA]]/Tabela1[[#This Row],[Valor total]]</f>
        <v>0.267175</v>
      </c>
      <c r="K3272" s="1" t="str">
        <f>VLOOKUP(Tabela1[[#This Row],[Cliente]],'BASE DE CLIENTES'!A:D,4,0)</f>
        <v>CHAVEIRO</v>
      </c>
      <c r="L3272" s="1" t="str">
        <f>VLOOKUP(Tabela1[[#This Row],[Cliente]],'BASE DE CLIENTES'!A:E,5,0)</f>
        <v>NA</v>
      </c>
    </row>
    <row r="3273" spans="2:12" x14ac:dyDescent="0.3">
      <c r="B3273" s="1" t="s">
        <v>127</v>
      </c>
      <c r="C3273" s="4" t="str">
        <f>VLOOKUP(Tabela1[[#This Row],[Cliente]],'BASE DE CLIENTES'!A:E,2,0)</f>
        <v>Brasília</v>
      </c>
      <c r="D3273" s="1" t="str">
        <f>VLOOKUP(Tabela1[[#This Row],[Cliente]],'BASE DE CLIENTES'!A:C,3,0)</f>
        <v>DF</v>
      </c>
      <c r="E3273" s="4" t="str">
        <f>CONCATENATE(Tabela1[[#This Row],[CIDADE]],",",Tabela1[[#This Row],[UF]])</f>
        <v>Brasília,DF</v>
      </c>
      <c r="F3273" s="2">
        <v>45972</v>
      </c>
      <c r="G3273" s="17">
        <v>360</v>
      </c>
      <c r="H3273" s="17">
        <v>600</v>
      </c>
      <c r="I3273" s="6">
        <f>Tabela1[[#This Row],[Valor total]]-Tabela1[[#This Row],[Valor custo]]</f>
        <v>240</v>
      </c>
      <c r="J3273" s="7">
        <f>Tabela1[[#This Row],[MARGEM BRUTA]]/Tabela1[[#This Row],[Valor total]]</f>
        <v>0.4</v>
      </c>
      <c r="K3273" s="1" t="str">
        <f>VLOOKUP(Tabela1[[#This Row],[Cliente]],'BASE DE CLIENTES'!A:D,4,0)</f>
        <v>EMPRESA COM MAQUINA</v>
      </c>
      <c r="L3273" s="1" t="str">
        <f>VLOOKUP(Tabela1[[#This Row],[Cliente]],'BASE DE CLIENTES'!A:E,5,0)</f>
        <v>CEILANDIA SUL (CEILANDIA)</v>
      </c>
    </row>
    <row r="3274" spans="2:12" x14ac:dyDescent="0.3">
      <c r="B3274" s="1" t="s">
        <v>342</v>
      </c>
      <c r="C3274" s="4" t="str">
        <f>VLOOKUP(Tabela1[[#This Row],[Cliente]],'BASE DE CLIENTES'!A:E,2,0)</f>
        <v>Santo Antônio Descoberto</v>
      </c>
      <c r="D3274" s="1" t="str">
        <f>VLOOKUP(Tabela1[[#This Row],[Cliente]],'BASE DE CLIENTES'!A:C,3,0)</f>
        <v>GO</v>
      </c>
      <c r="E3274" s="4" t="str">
        <f>CONCATENATE(Tabela1[[#This Row],[CIDADE]],",",Tabela1[[#This Row],[UF]])</f>
        <v>Santo Antônio Descoberto,GO</v>
      </c>
      <c r="F3274" s="2">
        <v>45972</v>
      </c>
      <c r="G3274" s="17">
        <v>2202.89</v>
      </c>
      <c r="H3274" s="17">
        <v>3505</v>
      </c>
      <c r="I3274" s="6">
        <f>Tabela1[[#This Row],[Valor total]]-Tabela1[[#This Row],[Valor custo]]</f>
        <v>1302.1100000000001</v>
      </c>
      <c r="J3274" s="7">
        <f>Tabela1[[#This Row],[MARGEM BRUTA]]/Tabela1[[#This Row],[Valor total]]</f>
        <v>0.37150071326676182</v>
      </c>
      <c r="K3274" s="1" t="str">
        <f>VLOOKUP(Tabela1[[#This Row],[Cliente]],'BASE DE CLIENTES'!A:D,4,0)</f>
        <v>CLIENTE NOVO S/ IDENT.</v>
      </c>
      <c r="L3274" s="1" t="str">
        <f>VLOOKUP(Tabela1[[#This Row],[Cliente]],'BASE DE CLIENTES'!A:E,5,0)</f>
        <v>Santo Antônio Descoberto</v>
      </c>
    </row>
    <row r="3275" spans="2:12" x14ac:dyDescent="0.3">
      <c r="B3275" s="1" t="s">
        <v>325</v>
      </c>
      <c r="C3275" s="4" t="str">
        <f>VLOOKUP(Tabela1[[#This Row],[Cliente]],'BASE DE CLIENTES'!A:E,2,0)</f>
        <v>Valparaíso de Goiás</v>
      </c>
      <c r="D3275" s="1" t="str">
        <f>VLOOKUP(Tabela1[[#This Row],[Cliente]],'BASE DE CLIENTES'!A:C,3,0)</f>
        <v>GO</v>
      </c>
      <c r="E3275" s="4" t="str">
        <f>CONCATENATE(Tabela1[[#This Row],[CIDADE]],",",Tabela1[[#This Row],[UF]])</f>
        <v>Valparaíso de Goiás,GO</v>
      </c>
      <c r="F3275" s="2">
        <v>45972</v>
      </c>
      <c r="G3275" s="17">
        <v>750.79</v>
      </c>
      <c r="H3275" s="17">
        <v>1485</v>
      </c>
      <c r="I3275" s="6">
        <f>Tabela1[[#This Row],[Valor total]]-Tabela1[[#This Row],[Valor custo]]</f>
        <v>734.21</v>
      </c>
      <c r="J3275" s="7">
        <f>Tabela1[[#This Row],[MARGEM BRUTA]]/Tabela1[[#This Row],[Valor total]]</f>
        <v>0.49441750841750842</v>
      </c>
      <c r="K3275" s="1" t="str">
        <f>VLOOKUP(Tabela1[[#This Row],[Cliente]],'BASE DE CLIENTES'!A:D,4,0)</f>
        <v>SERRALHEIRO</v>
      </c>
      <c r="L3275" s="1" t="str">
        <f>VLOOKUP(Tabela1[[#This Row],[Cliente]],'BASE DE CLIENTES'!A:E,5,0)</f>
        <v>Valparaíso de Goiás</v>
      </c>
    </row>
    <row r="3276" spans="2:12" x14ac:dyDescent="0.3">
      <c r="B3276" s="1" t="s">
        <v>206</v>
      </c>
      <c r="C3276" s="4" t="str">
        <f>VLOOKUP(Tabela1[[#This Row],[Cliente]],'BASE DE CLIENTES'!A:E,2,0)</f>
        <v>Goiânia</v>
      </c>
      <c r="D3276" s="1" t="str">
        <f>VLOOKUP(Tabela1[[#This Row],[Cliente]],'BASE DE CLIENTES'!A:C,3,0)</f>
        <v>GO</v>
      </c>
      <c r="E3276" s="4" t="str">
        <f>CONCATENATE(Tabela1[[#This Row],[CIDADE]],",",Tabela1[[#This Row],[UF]])</f>
        <v>Goiânia,GO</v>
      </c>
      <c r="F3276" s="2">
        <v>45972</v>
      </c>
      <c r="G3276" s="17">
        <v>5556</v>
      </c>
      <c r="H3276" s="17">
        <v>7920</v>
      </c>
      <c r="I3276" s="6">
        <f>Tabela1[[#This Row],[Valor total]]-Tabela1[[#This Row],[Valor custo]]</f>
        <v>2364</v>
      </c>
      <c r="J3276" s="7">
        <f>Tabela1[[#This Row],[MARGEM BRUTA]]/Tabela1[[#This Row],[Valor total]]</f>
        <v>0.29848484848484846</v>
      </c>
      <c r="K3276" s="1" t="str">
        <f>VLOOKUP(Tabela1[[#This Row],[Cliente]],'BASE DE CLIENTES'!A:D,4,0)</f>
        <v>EMPRESA COM MAQUINA</v>
      </c>
      <c r="L3276" s="1" t="str">
        <f>VLOOKUP(Tabela1[[#This Row],[Cliente]],'BASE DE CLIENTES'!A:E,5,0)</f>
        <v>Goiânia</v>
      </c>
    </row>
    <row r="3277" spans="2:12" x14ac:dyDescent="0.3">
      <c r="B3277" s="1" t="s">
        <v>276</v>
      </c>
      <c r="C3277" s="4" t="str">
        <f>VLOOKUP(Tabela1[[#This Row],[Cliente]],'BASE DE CLIENTES'!A:E,2,0)</f>
        <v>Parauapebas</v>
      </c>
      <c r="D3277" s="1" t="str">
        <f>VLOOKUP(Tabela1[[#This Row],[Cliente]],'BASE DE CLIENTES'!A:C,3,0)</f>
        <v>PA</v>
      </c>
      <c r="E3277" s="4" t="str">
        <f>CONCATENATE(Tabela1[[#This Row],[CIDADE]],",",Tabela1[[#This Row],[UF]])</f>
        <v>Parauapebas,PA</v>
      </c>
      <c r="F3277" s="2">
        <v>45972</v>
      </c>
      <c r="G3277" s="17">
        <v>12717.32</v>
      </c>
      <c r="H3277" s="17">
        <v>20777</v>
      </c>
      <c r="I3277" s="6">
        <f>Tabela1[[#This Row],[Valor total]]-Tabela1[[#This Row],[Valor custo]]</f>
        <v>8059.68</v>
      </c>
      <c r="J3277" s="7">
        <f>Tabela1[[#This Row],[MARGEM BRUTA]]/Tabela1[[#This Row],[Valor total]]</f>
        <v>0.38791355826153923</v>
      </c>
      <c r="K3277" s="1" t="str">
        <f>VLOOKUP(Tabela1[[#This Row],[Cliente]],'BASE DE CLIENTES'!A:D,4,0)</f>
        <v>EMPRESA COM MAQUINA</v>
      </c>
      <c r="L3277" s="1" t="str">
        <f>VLOOKUP(Tabela1[[#This Row],[Cliente]],'BASE DE CLIENTES'!A:E,5,0)</f>
        <v>Parauapebas</v>
      </c>
    </row>
    <row r="3278" spans="2:12" x14ac:dyDescent="0.3">
      <c r="B3278" s="1" t="s">
        <v>111</v>
      </c>
      <c r="C3278" s="4" t="str">
        <f>VLOOKUP(Tabela1[[#This Row],[Cliente]],'BASE DE CLIENTES'!A:E,2,0)</f>
        <v>Brasília</v>
      </c>
      <c r="D3278" s="1" t="str">
        <f>VLOOKUP(Tabela1[[#This Row],[Cliente]],'BASE DE CLIENTES'!A:C,3,0)</f>
        <v>DF</v>
      </c>
      <c r="E3278" s="4" t="str">
        <f>CONCATENATE(Tabela1[[#This Row],[CIDADE]],",",Tabela1[[#This Row],[UF]])</f>
        <v>Brasília,DF</v>
      </c>
      <c r="F3278" s="2">
        <v>45972</v>
      </c>
      <c r="G3278" s="17">
        <v>9789.17</v>
      </c>
      <c r="H3278" s="17">
        <v>15829</v>
      </c>
      <c r="I3278" s="6">
        <f>Tabela1[[#This Row],[Valor total]]-Tabela1[[#This Row],[Valor custo]]</f>
        <v>6039.83</v>
      </c>
      <c r="J3278" s="7">
        <f>Tabela1[[#This Row],[MARGEM BRUTA]]/Tabela1[[#This Row],[Valor total]]</f>
        <v>0.38156737633457577</v>
      </c>
      <c r="K3278" s="1" t="str">
        <f>VLOOKUP(Tabela1[[#This Row],[Cliente]],'BASE DE CLIENTES'!A:D,4,0)</f>
        <v>EMPRESA SEM MAQUINA</v>
      </c>
      <c r="L3278" s="1" t="str">
        <f>VLOOKUP(Tabela1[[#This Row],[Cliente]],'BASE DE CLIENTES'!A:E,5,0)</f>
        <v>TAGUATINGA SUL (TAGUATINGA)</v>
      </c>
    </row>
    <row r="3279" spans="2:12" x14ac:dyDescent="0.3">
      <c r="B3279" s="1" t="s">
        <v>161</v>
      </c>
      <c r="C3279" s="4" t="str">
        <f>VLOOKUP(Tabela1[[#This Row],[Cliente]],'BASE DE CLIENTES'!A:E,2,0)</f>
        <v>Brasília</v>
      </c>
      <c r="D3279" s="1" t="str">
        <f>VLOOKUP(Tabela1[[#This Row],[Cliente]],'BASE DE CLIENTES'!A:C,3,0)</f>
        <v>DF</v>
      </c>
      <c r="E3279" s="4" t="str">
        <f>CONCATENATE(Tabela1[[#This Row],[CIDADE]],",",Tabela1[[#This Row],[UF]])</f>
        <v>Brasília,DF</v>
      </c>
      <c r="F3279" s="2">
        <v>45972</v>
      </c>
      <c r="G3279" s="17">
        <v>12826.1</v>
      </c>
      <c r="H3279" s="17">
        <v>18200</v>
      </c>
      <c r="I3279" s="6">
        <f>Tabela1[[#This Row],[Valor total]]-Tabela1[[#This Row],[Valor custo]]</f>
        <v>5373.9</v>
      </c>
      <c r="J3279" s="7">
        <f>Tabela1[[#This Row],[MARGEM BRUTA]]/Tabela1[[#This Row],[Valor total]]</f>
        <v>0.29526923076923073</v>
      </c>
      <c r="K3279" s="1" t="str">
        <f>VLOOKUP(Tabela1[[#This Row],[Cliente]],'BASE DE CLIENTES'!A:D,4,0)</f>
        <v>EMPRESA COM MAQUINA</v>
      </c>
      <c r="L3279" s="1" t="str">
        <f>VLOOKUP(Tabela1[[#This Row],[Cliente]],'BASE DE CLIENTES'!A:E,5,0)</f>
        <v>RIACHO FUNDO II</v>
      </c>
    </row>
    <row r="3280" spans="2:12" x14ac:dyDescent="0.3">
      <c r="B3280" s="1" t="s">
        <v>169</v>
      </c>
      <c r="C3280" s="4" t="str">
        <f>VLOOKUP(Tabela1[[#This Row],[Cliente]],'BASE DE CLIENTES'!A:E,2,0)</f>
        <v>Planaltina</v>
      </c>
      <c r="D3280" s="1" t="str">
        <f>VLOOKUP(Tabela1[[#This Row],[Cliente]],'BASE DE CLIENTES'!A:C,3,0)</f>
        <v>GO</v>
      </c>
      <c r="E3280" s="4" t="str">
        <f>CONCATENATE(Tabela1[[#This Row],[CIDADE]],",",Tabela1[[#This Row],[UF]])</f>
        <v>Planaltina,GO</v>
      </c>
      <c r="F3280" s="2">
        <v>45972</v>
      </c>
      <c r="G3280" s="17">
        <v>485</v>
      </c>
      <c r="H3280" s="17">
        <v>850</v>
      </c>
      <c r="I3280" s="6">
        <f>Tabela1[[#This Row],[Valor total]]-Tabela1[[#This Row],[Valor custo]]</f>
        <v>365</v>
      </c>
      <c r="J3280" s="7">
        <f>Tabela1[[#This Row],[MARGEM BRUTA]]/Tabela1[[#This Row],[Valor total]]</f>
        <v>0.42941176470588233</v>
      </c>
      <c r="K3280" s="1" t="str">
        <f>VLOOKUP(Tabela1[[#This Row],[Cliente]],'BASE DE CLIENTES'!A:D,4,0)</f>
        <v>SERRALHEIRO</v>
      </c>
      <c r="L3280" s="1" t="str">
        <f>VLOOKUP(Tabela1[[#This Row],[Cliente]],'BASE DE CLIENTES'!A:E,5,0)</f>
        <v>Planaltina</v>
      </c>
    </row>
    <row r="3281" spans="2:12" x14ac:dyDescent="0.3">
      <c r="B3281" s="1" t="s">
        <v>66</v>
      </c>
      <c r="C3281" s="4" t="str">
        <f>VLOOKUP(Tabela1[[#This Row],[Cliente]],'BASE DE CLIENTES'!A:E,2,0)</f>
        <v>Águas Lindas de Goiás</v>
      </c>
      <c r="D3281" s="1" t="str">
        <f>VLOOKUP(Tabela1[[#This Row],[Cliente]],'BASE DE CLIENTES'!A:C,3,0)</f>
        <v>GO</v>
      </c>
      <c r="E3281" s="4" t="str">
        <f>CONCATENATE(Tabela1[[#This Row],[CIDADE]],",",Tabela1[[#This Row],[UF]])</f>
        <v>Águas Lindas de Goiás,GO</v>
      </c>
      <c r="F3281" s="2">
        <v>45972</v>
      </c>
      <c r="G3281" s="17">
        <v>61</v>
      </c>
      <c r="H3281" s="17">
        <v>80</v>
      </c>
      <c r="I3281" s="6">
        <f>Tabela1[[#This Row],[Valor total]]-Tabela1[[#This Row],[Valor custo]]</f>
        <v>19</v>
      </c>
      <c r="J3281" s="7">
        <f>Tabela1[[#This Row],[MARGEM BRUTA]]/Tabela1[[#This Row],[Valor total]]</f>
        <v>0.23749999999999999</v>
      </c>
      <c r="K3281" s="1" t="str">
        <f>VLOOKUP(Tabela1[[#This Row],[Cliente]],'BASE DE CLIENTES'!A:D,4,0)</f>
        <v>EMPRESA COM MAQUINA</v>
      </c>
      <c r="L3281" s="1" t="str">
        <f>VLOOKUP(Tabela1[[#This Row],[Cliente]],'BASE DE CLIENTES'!A:E,5,0)</f>
        <v>Águas Lindas de Goiás</v>
      </c>
    </row>
    <row r="3282" spans="2:12" x14ac:dyDescent="0.3">
      <c r="B3282" s="1" t="s">
        <v>199</v>
      </c>
      <c r="C3282" s="4" t="str">
        <f>VLOOKUP(Tabela1[[#This Row],[Cliente]],'BASE DE CLIENTES'!A:E,2,0)</f>
        <v>Goiânia</v>
      </c>
      <c r="D3282" s="1" t="str">
        <f>VLOOKUP(Tabela1[[#This Row],[Cliente]],'BASE DE CLIENTES'!A:C,3,0)</f>
        <v>GO</v>
      </c>
      <c r="E3282" s="4" t="str">
        <f>CONCATENATE(Tabela1[[#This Row],[CIDADE]],",",Tabela1[[#This Row],[UF]])</f>
        <v>Goiânia,GO</v>
      </c>
      <c r="F3282" s="2">
        <v>45972</v>
      </c>
      <c r="G3282" s="17">
        <v>3286.24</v>
      </c>
      <c r="H3282" s="17">
        <v>4800</v>
      </c>
      <c r="I3282" s="6">
        <f>Tabela1[[#This Row],[Valor total]]-Tabela1[[#This Row],[Valor custo]]</f>
        <v>1513.7600000000002</v>
      </c>
      <c r="J3282" s="7">
        <f>Tabela1[[#This Row],[MARGEM BRUTA]]/Tabela1[[#This Row],[Valor total]]</f>
        <v>0.31536666666666674</v>
      </c>
      <c r="K3282" s="1" t="str">
        <f>VLOOKUP(Tabela1[[#This Row],[Cliente]],'BASE DE CLIENTES'!A:D,4,0)</f>
        <v>EMPRESA COM MAQUINA</v>
      </c>
      <c r="L3282" s="1" t="str">
        <f>VLOOKUP(Tabela1[[#This Row],[Cliente]],'BASE DE CLIENTES'!A:E,5,0)</f>
        <v>Goiânia</v>
      </c>
    </row>
    <row r="3283" spans="2:12" x14ac:dyDescent="0.3">
      <c r="B3283" s="1" t="s">
        <v>149</v>
      </c>
      <c r="C3283" s="4" t="str">
        <f>VLOOKUP(Tabela1[[#This Row],[Cliente]],'BASE DE CLIENTES'!A:E,2,0)</f>
        <v>Anápolis</v>
      </c>
      <c r="D3283" s="1" t="str">
        <f>VLOOKUP(Tabela1[[#This Row],[Cliente]],'BASE DE CLIENTES'!A:C,3,0)</f>
        <v>GO</v>
      </c>
      <c r="E3283" s="4" t="str">
        <f>CONCATENATE(Tabela1[[#This Row],[CIDADE]],",",Tabela1[[#This Row],[UF]])</f>
        <v>Anápolis,GO</v>
      </c>
      <c r="F3283" s="2">
        <v>45972</v>
      </c>
      <c r="G3283" s="17">
        <v>5241.8999999999996</v>
      </c>
      <c r="H3283" s="17">
        <v>7850</v>
      </c>
      <c r="I3283" s="6">
        <f>Tabela1[[#This Row],[Valor total]]-Tabela1[[#This Row],[Valor custo]]</f>
        <v>2608.1000000000004</v>
      </c>
      <c r="J3283" s="7">
        <f>Tabela1[[#This Row],[MARGEM BRUTA]]/Tabela1[[#This Row],[Valor total]]</f>
        <v>0.33224203821656056</v>
      </c>
      <c r="K3283" s="1" t="str">
        <f>VLOOKUP(Tabela1[[#This Row],[Cliente]],'BASE DE CLIENTES'!A:D,4,0)</f>
        <v>EMPRESA COM MAQUINA</v>
      </c>
      <c r="L3283" s="1" t="str">
        <f>VLOOKUP(Tabela1[[#This Row],[Cliente]],'BASE DE CLIENTES'!A:E,5,0)</f>
        <v>Anápolis</v>
      </c>
    </row>
    <row r="3284" spans="2:12" x14ac:dyDescent="0.3">
      <c r="B3284" s="1" t="s">
        <v>66</v>
      </c>
      <c r="C3284" s="4" t="str">
        <f>VLOOKUP(Tabela1[[#This Row],[Cliente]],'BASE DE CLIENTES'!A:E,2,0)</f>
        <v>Águas Lindas de Goiás</v>
      </c>
      <c r="D3284" s="1" t="str">
        <f>VLOOKUP(Tabela1[[#This Row],[Cliente]],'BASE DE CLIENTES'!A:C,3,0)</f>
        <v>GO</v>
      </c>
      <c r="E3284" s="4" t="str">
        <f>CONCATENATE(Tabela1[[#This Row],[CIDADE]],",",Tabela1[[#This Row],[UF]])</f>
        <v>Águas Lindas de Goiás,GO</v>
      </c>
      <c r="F3284" s="2">
        <v>45971</v>
      </c>
      <c r="G3284" s="17">
        <v>535</v>
      </c>
      <c r="H3284" s="17">
        <v>800</v>
      </c>
      <c r="I3284" s="6">
        <f>Tabela1[[#This Row],[Valor total]]-Tabela1[[#This Row],[Valor custo]]</f>
        <v>265</v>
      </c>
      <c r="J3284" s="7">
        <f>Tabela1[[#This Row],[MARGEM BRUTA]]/Tabela1[[#This Row],[Valor total]]</f>
        <v>0.33124999999999999</v>
      </c>
      <c r="K3284" s="1" t="str">
        <f>VLOOKUP(Tabela1[[#This Row],[Cliente]],'BASE DE CLIENTES'!A:D,4,0)</f>
        <v>EMPRESA COM MAQUINA</v>
      </c>
      <c r="L3284" s="1" t="str">
        <f>VLOOKUP(Tabela1[[#This Row],[Cliente]],'BASE DE CLIENTES'!A:E,5,0)</f>
        <v>Águas Lindas de Goiás</v>
      </c>
    </row>
    <row r="3285" spans="2:12" x14ac:dyDescent="0.3">
      <c r="B3285" s="1" t="s">
        <v>287</v>
      </c>
      <c r="C3285" s="4" t="str">
        <f>VLOOKUP(Tabela1[[#This Row],[Cliente]],'BASE DE CLIENTES'!A:E,2,0)</f>
        <v>Planaltina</v>
      </c>
      <c r="D3285" s="1" t="str">
        <f>VLOOKUP(Tabela1[[#This Row],[Cliente]],'BASE DE CLIENTES'!A:C,3,0)</f>
        <v>GO</v>
      </c>
      <c r="E3285" s="4" t="str">
        <f>CONCATENATE(Tabela1[[#This Row],[CIDADE]],",",Tabela1[[#This Row],[UF]])</f>
        <v>Planaltina,GO</v>
      </c>
      <c r="F3285" s="2">
        <v>45971</v>
      </c>
      <c r="G3285" s="17">
        <v>392.21</v>
      </c>
      <c r="H3285" s="17">
        <v>640</v>
      </c>
      <c r="I3285" s="6">
        <f>Tabela1[[#This Row],[Valor total]]-Tabela1[[#This Row],[Valor custo]]</f>
        <v>247.79000000000002</v>
      </c>
      <c r="J3285" s="7">
        <f>Tabela1[[#This Row],[MARGEM BRUTA]]/Tabela1[[#This Row],[Valor total]]</f>
        <v>0.38717187500000005</v>
      </c>
      <c r="K3285" s="1" t="str">
        <f>VLOOKUP(Tabela1[[#This Row],[Cliente]],'BASE DE CLIENTES'!A:D,4,0)</f>
        <v>SERRALHEIRO</v>
      </c>
      <c r="L3285" s="1" t="str">
        <f>VLOOKUP(Tabela1[[#This Row],[Cliente]],'BASE DE CLIENTES'!A:E,5,0)</f>
        <v>Planaltina</v>
      </c>
    </row>
    <row r="3286" spans="2:12" x14ac:dyDescent="0.3">
      <c r="B3286" s="1" t="s">
        <v>230</v>
      </c>
      <c r="C3286" s="4" t="str">
        <f>VLOOKUP(Tabela1[[#This Row],[Cliente]],'BASE DE CLIENTES'!A:E,2,0)</f>
        <v>Brasília</v>
      </c>
      <c r="D3286" s="1" t="str">
        <f>VLOOKUP(Tabela1[[#This Row],[Cliente]],'BASE DE CLIENTES'!A:C,3,0)</f>
        <v>DF</v>
      </c>
      <c r="E3286" s="4" t="str">
        <f>CONCATENATE(Tabela1[[#This Row],[CIDADE]],",",Tabela1[[#This Row],[UF]])</f>
        <v>Brasília,DF</v>
      </c>
      <c r="F3286" s="2">
        <v>45971</v>
      </c>
      <c r="G3286" s="17">
        <v>783.69</v>
      </c>
      <c r="H3286" s="17">
        <v>1340</v>
      </c>
      <c r="I3286" s="6">
        <f>Tabela1[[#This Row],[Valor total]]-Tabela1[[#This Row],[Valor custo]]</f>
        <v>556.30999999999995</v>
      </c>
      <c r="J3286" s="7">
        <f>Tabela1[[#This Row],[MARGEM BRUTA]]/Tabela1[[#This Row],[Valor total]]</f>
        <v>0.41515671641791041</v>
      </c>
      <c r="K3286" s="1" t="str">
        <f>VLOOKUP(Tabela1[[#This Row],[Cliente]],'BASE DE CLIENTES'!A:D,4,0)</f>
        <v>SERRALHEIRO</v>
      </c>
      <c r="L3286" s="1" t="str">
        <f>VLOOKUP(Tabela1[[#This Row],[Cliente]],'BASE DE CLIENTES'!A:E,5,0)</f>
        <v>SETOR HABITACIONAL SAMAMBAIA (VICENTE PIRES)</v>
      </c>
    </row>
    <row r="3287" spans="2:12" x14ac:dyDescent="0.3">
      <c r="B3287" s="1" t="s">
        <v>151</v>
      </c>
      <c r="C3287" s="4" t="str">
        <f>VLOOKUP(Tabela1[[#This Row],[Cliente]],'BASE DE CLIENTES'!A:E,2,0)</f>
        <v>Aparecida de Goiânia</v>
      </c>
      <c r="D3287" s="1" t="str">
        <f>VLOOKUP(Tabela1[[#This Row],[Cliente]],'BASE DE CLIENTES'!A:C,3,0)</f>
        <v>GO</v>
      </c>
      <c r="E3287" s="4" t="str">
        <f>CONCATENATE(Tabela1[[#This Row],[CIDADE]],",",Tabela1[[#This Row],[UF]])</f>
        <v>Aparecida de Goiânia,GO</v>
      </c>
      <c r="F3287" s="2">
        <v>45971</v>
      </c>
      <c r="G3287" s="17">
        <v>2471.84</v>
      </c>
      <c r="H3287" s="17">
        <v>3580</v>
      </c>
      <c r="I3287" s="6">
        <f>Tabela1[[#This Row],[Valor total]]-Tabela1[[#This Row],[Valor custo]]</f>
        <v>1108.1599999999999</v>
      </c>
      <c r="J3287" s="7">
        <f>Tabela1[[#This Row],[MARGEM BRUTA]]/Tabela1[[#This Row],[Valor total]]</f>
        <v>0.30954189944134075</v>
      </c>
      <c r="K3287" s="1" t="str">
        <f>VLOOKUP(Tabela1[[#This Row],[Cliente]],'BASE DE CLIENTES'!A:D,4,0)</f>
        <v>EMPRESA COM MAQUINA</v>
      </c>
      <c r="L3287" s="1" t="str">
        <f>VLOOKUP(Tabela1[[#This Row],[Cliente]],'BASE DE CLIENTES'!A:E,5,0)</f>
        <v>Aparecida de Goiânia</v>
      </c>
    </row>
    <row r="3288" spans="2:12" x14ac:dyDescent="0.3">
      <c r="B3288" s="1" t="s">
        <v>23</v>
      </c>
      <c r="C3288" s="4" t="str">
        <f>VLOOKUP(Tabela1[[#This Row],[Cliente]],'BASE DE CLIENTES'!A:E,2,0)</f>
        <v>Brasília</v>
      </c>
      <c r="D3288" s="1" t="str">
        <f>VLOOKUP(Tabela1[[#This Row],[Cliente]],'BASE DE CLIENTES'!A:C,3,0)</f>
        <v>DF</v>
      </c>
      <c r="E3288" s="4" t="str">
        <f>CONCATENATE(Tabela1[[#This Row],[CIDADE]],",",Tabela1[[#This Row],[UF]])</f>
        <v>Brasília,DF</v>
      </c>
      <c r="F3288" s="2">
        <v>45971</v>
      </c>
      <c r="G3288" s="17">
        <v>305</v>
      </c>
      <c r="H3288" s="17">
        <v>370</v>
      </c>
      <c r="I3288" s="6">
        <f>Tabela1[[#This Row],[Valor total]]-Tabela1[[#This Row],[Valor custo]]</f>
        <v>65</v>
      </c>
      <c r="J3288" s="7">
        <f>Tabela1[[#This Row],[MARGEM BRUTA]]/Tabela1[[#This Row],[Valor total]]</f>
        <v>0.17567567567567569</v>
      </c>
      <c r="K3288" s="1" t="str">
        <f>VLOOKUP(Tabela1[[#This Row],[Cliente]],'BASE DE CLIENTES'!A:D,4,0)</f>
        <v>EMPRESA SEM MAQUINA</v>
      </c>
      <c r="L3288" s="1" t="str">
        <f>VLOOKUP(Tabela1[[#This Row],[Cliente]],'BASE DE CLIENTES'!A:E,5,0)</f>
        <v>SETOR INDUSTRIAL (TAGUATINGA)</v>
      </c>
    </row>
    <row r="3289" spans="2:12" x14ac:dyDescent="0.3">
      <c r="B3289" s="1" t="s">
        <v>68</v>
      </c>
      <c r="C3289" s="4" t="str">
        <f>VLOOKUP(Tabela1[[#This Row],[Cliente]],'BASE DE CLIENTES'!A:E,2,0)</f>
        <v>Brasília</v>
      </c>
      <c r="D3289" s="1" t="str">
        <f>VLOOKUP(Tabela1[[#This Row],[Cliente]],'BASE DE CLIENTES'!A:C,3,0)</f>
        <v>DF</v>
      </c>
      <c r="E3289" s="4" t="str">
        <f>CONCATENATE(Tabela1[[#This Row],[CIDADE]],",",Tabela1[[#This Row],[UF]])</f>
        <v>Brasília,DF</v>
      </c>
      <c r="F3289" s="2">
        <v>45971</v>
      </c>
      <c r="G3289" s="17">
        <v>385</v>
      </c>
      <c r="H3289" s="17">
        <v>0</v>
      </c>
      <c r="I3289" s="6">
        <f>Tabela1[[#This Row],[Valor total]]-Tabela1[[#This Row],[Valor custo]]</f>
        <v>-385</v>
      </c>
      <c r="J3289" s="7" t="e">
        <f>Tabela1[[#This Row],[MARGEM BRUTA]]/Tabela1[[#This Row],[Valor total]]</f>
        <v>#DIV/0!</v>
      </c>
      <c r="K3289" s="1" t="str">
        <f>VLOOKUP(Tabela1[[#This Row],[Cliente]],'BASE DE CLIENTES'!A:D,4,0)</f>
        <v>EMPRESA COM MAQUINA</v>
      </c>
      <c r="L3289" s="1" t="str">
        <f>VLOOKUP(Tabela1[[#This Row],[Cliente]],'BASE DE CLIENTES'!A:E,5,0)</f>
        <v>SAMAMBAIA SUL (SAMAMBAIA)</v>
      </c>
    </row>
    <row r="3290" spans="2:12" x14ac:dyDescent="0.3">
      <c r="B3290" s="1" t="s">
        <v>68</v>
      </c>
      <c r="C3290" s="4" t="str">
        <f>VLOOKUP(Tabela1[[#This Row],[Cliente]],'BASE DE CLIENTES'!A:E,2,0)</f>
        <v>Brasília</v>
      </c>
      <c r="D3290" s="1" t="str">
        <f>VLOOKUP(Tabela1[[#This Row],[Cliente]],'BASE DE CLIENTES'!A:C,3,0)</f>
        <v>DF</v>
      </c>
      <c r="E3290" s="4" t="str">
        <f>CONCATENATE(Tabela1[[#This Row],[CIDADE]],",",Tabela1[[#This Row],[UF]])</f>
        <v>Brasília,DF</v>
      </c>
      <c r="F3290" s="2">
        <v>45971</v>
      </c>
      <c r="G3290" s="17">
        <v>432.79</v>
      </c>
      <c r="H3290" s="17">
        <v>625</v>
      </c>
      <c r="I3290" s="6">
        <f>Tabela1[[#This Row],[Valor total]]-Tabela1[[#This Row],[Valor custo]]</f>
        <v>192.20999999999998</v>
      </c>
      <c r="J3290" s="7">
        <f>Tabela1[[#This Row],[MARGEM BRUTA]]/Tabela1[[#This Row],[Valor total]]</f>
        <v>0.30753599999999998</v>
      </c>
      <c r="K3290" s="1" t="str">
        <f>VLOOKUP(Tabela1[[#This Row],[Cliente]],'BASE DE CLIENTES'!A:D,4,0)</f>
        <v>EMPRESA COM MAQUINA</v>
      </c>
      <c r="L3290" s="1" t="str">
        <f>VLOOKUP(Tabela1[[#This Row],[Cliente]],'BASE DE CLIENTES'!A:E,5,0)</f>
        <v>SAMAMBAIA SUL (SAMAMBAIA)</v>
      </c>
    </row>
    <row r="3291" spans="2:12" x14ac:dyDescent="0.3">
      <c r="B3291" s="1" t="s">
        <v>138</v>
      </c>
      <c r="C3291" s="4" t="str">
        <f>VLOOKUP(Tabela1[[#This Row],[Cliente]],'BASE DE CLIENTES'!A:E,2,0)</f>
        <v>Brasília</v>
      </c>
      <c r="D3291" s="1" t="str">
        <f>VLOOKUP(Tabela1[[#This Row],[Cliente]],'BASE DE CLIENTES'!A:C,3,0)</f>
        <v>DF</v>
      </c>
      <c r="E3291" s="4" t="str">
        <f>CONCATENATE(Tabela1[[#This Row],[CIDADE]],",",Tabela1[[#This Row],[UF]])</f>
        <v>Brasília,DF</v>
      </c>
      <c r="F3291" s="2">
        <v>45971</v>
      </c>
      <c r="G3291" s="17">
        <v>412.14</v>
      </c>
      <c r="H3291" s="17">
        <v>1500</v>
      </c>
      <c r="I3291" s="6">
        <f>Tabela1[[#This Row],[Valor total]]-Tabela1[[#This Row],[Valor custo]]</f>
        <v>1087.8600000000001</v>
      </c>
      <c r="J3291" s="7">
        <f>Tabela1[[#This Row],[MARGEM BRUTA]]/Tabela1[[#This Row],[Valor total]]</f>
        <v>0.72524000000000011</v>
      </c>
      <c r="K3291" s="1" t="str">
        <f>VLOOKUP(Tabela1[[#This Row],[Cliente]],'BASE DE CLIENTES'!A:D,4,0)</f>
        <v>OUTROS RAMOS</v>
      </c>
      <c r="L3291" s="1" t="str">
        <f>VLOOKUP(Tabela1[[#This Row],[Cliente]],'BASE DE CLIENTES'!A:E,5,0)</f>
        <v>CEILANDIA NORTE (CEILANDIA)</v>
      </c>
    </row>
    <row r="3292" spans="2:12" x14ac:dyDescent="0.3">
      <c r="B3292" s="1" t="s">
        <v>96</v>
      </c>
      <c r="C3292" s="4" t="str">
        <f>VLOOKUP(Tabela1[[#This Row],[Cliente]],'BASE DE CLIENTES'!A:E,2,0)</f>
        <v>Brasília</v>
      </c>
      <c r="D3292" s="1" t="str">
        <f>VLOOKUP(Tabela1[[#This Row],[Cliente]],'BASE DE CLIENTES'!A:C,3,0)</f>
        <v>DF</v>
      </c>
      <c r="E3292" s="4" t="str">
        <f>CONCATENATE(Tabela1[[#This Row],[CIDADE]],",",Tabela1[[#This Row],[UF]])</f>
        <v>Brasília,DF</v>
      </c>
      <c r="F3292" s="2">
        <v>45971</v>
      </c>
      <c r="G3292" s="17">
        <v>385</v>
      </c>
      <c r="H3292" s="17">
        <v>465</v>
      </c>
      <c r="I3292" s="6">
        <f>Tabela1[[#This Row],[Valor total]]-Tabela1[[#This Row],[Valor custo]]</f>
        <v>80</v>
      </c>
      <c r="J3292" s="7">
        <f>Tabela1[[#This Row],[MARGEM BRUTA]]/Tabela1[[#This Row],[Valor total]]</f>
        <v>0.17204301075268819</v>
      </c>
      <c r="K3292" s="1" t="str">
        <f>VLOOKUP(Tabela1[[#This Row],[Cliente]],'BASE DE CLIENTES'!A:D,4,0)</f>
        <v>EMPRESA SEM MAQUINA</v>
      </c>
      <c r="L3292" s="1" t="str">
        <f>VLOOKUP(Tabela1[[#This Row],[Cliente]],'BASE DE CLIENTES'!A:E,5,0)</f>
        <v>CEILANDIA NORTE (CEILANDIA)</v>
      </c>
    </row>
    <row r="3293" spans="2:12" x14ac:dyDescent="0.3">
      <c r="B3293" s="1" t="s">
        <v>36</v>
      </c>
      <c r="C3293" s="4" t="str">
        <f>VLOOKUP(Tabela1[[#This Row],[Cliente]],'BASE DE CLIENTES'!A:E,2,0)</f>
        <v>Brasília</v>
      </c>
      <c r="D3293" s="1" t="str">
        <f>VLOOKUP(Tabela1[[#This Row],[Cliente]],'BASE DE CLIENTES'!A:C,3,0)</f>
        <v>DF</v>
      </c>
      <c r="E3293" s="4" t="str">
        <f>CONCATENATE(Tabela1[[#This Row],[CIDADE]],",",Tabela1[[#This Row],[UF]])</f>
        <v>Brasília,DF</v>
      </c>
      <c r="F3293" s="2">
        <v>45971</v>
      </c>
      <c r="G3293" s="17">
        <v>1640</v>
      </c>
      <c r="H3293" s="17">
        <v>2550</v>
      </c>
      <c r="I3293" s="6">
        <f>Tabela1[[#This Row],[Valor total]]-Tabela1[[#This Row],[Valor custo]]</f>
        <v>910</v>
      </c>
      <c r="J3293" s="7">
        <f>Tabela1[[#This Row],[MARGEM BRUTA]]/Tabela1[[#This Row],[Valor total]]</f>
        <v>0.35686274509803922</v>
      </c>
      <c r="K3293" s="1" t="str">
        <f>VLOOKUP(Tabela1[[#This Row],[Cliente]],'BASE DE CLIENTES'!A:D,4,0)</f>
        <v>SERRALHEIRO</v>
      </c>
      <c r="L3293" s="1" t="str">
        <f>VLOOKUP(Tabela1[[#This Row],[Cliente]],'BASE DE CLIENTES'!A:E,5,0)</f>
        <v>CEILANDIA SUL (CEILANDIA)</v>
      </c>
    </row>
    <row r="3294" spans="2:12" x14ac:dyDescent="0.3">
      <c r="B3294" s="1" t="s">
        <v>52</v>
      </c>
      <c r="C3294" s="4" t="str">
        <f>VLOOKUP(Tabela1[[#This Row],[Cliente]],'BASE DE CLIENTES'!A:E,2,0)</f>
        <v>Brasília</v>
      </c>
      <c r="D3294" s="1" t="str">
        <f>VLOOKUP(Tabela1[[#This Row],[Cliente]],'BASE DE CLIENTES'!A:C,3,0)</f>
        <v>DF</v>
      </c>
      <c r="E3294" s="4" t="str">
        <f>CONCATENATE(Tabela1[[#This Row],[CIDADE]],",",Tabela1[[#This Row],[UF]])</f>
        <v>Brasília,DF</v>
      </c>
      <c r="F3294" s="2">
        <v>45971</v>
      </c>
      <c r="G3294" s="17">
        <v>126</v>
      </c>
      <c r="H3294" s="17">
        <v>165</v>
      </c>
      <c r="I3294" s="6">
        <f>Tabela1[[#This Row],[Valor total]]-Tabela1[[#This Row],[Valor custo]]</f>
        <v>39</v>
      </c>
      <c r="J3294" s="7">
        <f>Tabela1[[#This Row],[MARGEM BRUTA]]/Tabela1[[#This Row],[Valor total]]</f>
        <v>0.23636363636363636</v>
      </c>
      <c r="K3294" s="1" t="str">
        <f>VLOOKUP(Tabela1[[#This Row],[Cliente]],'BASE DE CLIENTES'!A:D,4,0)</f>
        <v>SERRALHEIRO</v>
      </c>
      <c r="L3294" s="1" t="str">
        <f>VLOOKUP(Tabela1[[#This Row],[Cliente]],'BASE DE CLIENTES'!A:E,5,0)</f>
        <v>Ceilândia Sul (Ceilândia)</v>
      </c>
    </row>
    <row r="3295" spans="2:12" x14ac:dyDescent="0.3">
      <c r="B3295" s="1" t="s">
        <v>111</v>
      </c>
      <c r="C3295" s="4" t="str">
        <f>VLOOKUP(Tabela1[[#This Row],[Cliente]],'BASE DE CLIENTES'!A:E,2,0)</f>
        <v>Brasília</v>
      </c>
      <c r="D3295" s="1" t="str">
        <f>VLOOKUP(Tabela1[[#This Row],[Cliente]],'BASE DE CLIENTES'!A:C,3,0)</f>
        <v>DF</v>
      </c>
      <c r="E3295" s="4" t="str">
        <f>CONCATENATE(Tabela1[[#This Row],[CIDADE]],",",Tabela1[[#This Row],[UF]])</f>
        <v>Brasília,DF</v>
      </c>
      <c r="F3295" s="2">
        <v>45971</v>
      </c>
      <c r="G3295" s="17">
        <v>490.7</v>
      </c>
      <c r="H3295" s="17">
        <v>565</v>
      </c>
      <c r="I3295" s="6">
        <f>Tabela1[[#This Row],[Valor total]]-Tabela1[[#This Row],[Valor custo]]</f>
        <v>74.300000000000011</v>
      </c>
      <c r="J3295" s="7">
        <f>Tabela1[[#This Row],[MARGEM BRUTA]]/Tabela1[[#This Row],[Valor total]]</f>
        <v>0.13150442477876109</v>
      </c>
      <c r="K3295" s="1" t="str">
        <f>VLOOKUP(Tabela1[[#This Row],[Cliente]],'BASE DE CLIENTES'!A:D,4,0)</f>
        <v>EMPRESA SEM MAQUINA</v>
      </c>
      <c r="L3295" s="1" t="str">
        <f>VLOOKUP(Tabela1[[#This Row],[Cliente]],'BASE DE CLIENTES'!A:E,5,0)</f>
        <v>TAGUATINGA SUL (TAGUATINGA)</v>
      </c>
    </row>
    <row r="3296" spans="2:12" x14ac:dyDescent="0.3">
      <c r="B3296" s="1" t="s">
        <v>111</v>
      </c>
      <c r="C3296" s="4" t="str">
        <f>VLOOKUP(Tabela1[[#This Row],[Cliente]],'BASE DE CLIENTES'!A:E,2,0)</f>
        <v>Brasília</v>
      </c>
      <c r="D3296" s="1" t="str">
        <f>VLOOKUP(Tabela1[[#This Row],[Cliente]],'BASE DE CLIENTES'!A:C,3,0)</f>
        <v>DF</v>
      </c>
      <c r="E3296" s="4" t="str">
        <f>CONCATENATE(Tabela1[[#This Row],[CIDADE]],",",Tabela1[[#This Row],[UF]])</f>
        <v>Brasília,DF</v>
      </c>
      <c r="F3296" s="2">
        <v>45971</v>
      </c>
      <c r="G3296" s="17">
        <v>103.63</v>
      </c>
      <c r="H3296" s="17">
        <v>135</v>
      </c>
      <c r="I3296" s="6">
        <f>Tabela1[[#This Row],[Valor total]]-Tabela1[[#This Row],[Valor custo]]</f>
        <v>31.370000000000005</v>
      </c>
      <c r="J3296" s="7">
        <f>Tabela1[[#This Row],[MARGEM BRUTA]]/Tabela1[[#This Row],[Valor total]]</f>
        <v>0.23237037037037039</v>
      </c>
      <c r="K3296" s="1" t="str">
        <f>VLOOKUP(Tabela1[[#This Row],[Cliente]],'BASE DE CLIENTES'!A:D,4,0)</f>
        <v>EMPRESA SEM MAQUINA</v>
      </c>
      <c r="L3296" s="1" t="str">
        <f>VLOOKUP(Tabela1[[#This Row],[Cliente]],'BASE DE CLIENTES'!A:E,5,0)</f>
        <v>TAGUATINGA SUL (TAGUATINGA)</v>
      </c>
    </row>
    <row r="3297" spans="2:12" x14ac:dyDescent="0.3">
      <c r="B3297" s="1" t="s">
        <v>38</v>
      </c>
      <c r="C3297" s="4" t="str">
        <f>VLOOKUP(Tabela1[[#This Row],[Cliente]],'BASE DE CLIENTES'!A:E,2,0)</f>
        <v>Brasília</v>
      </c>
      <c r="D3297" s="1" t="str">
        <f>VLOOKUP(Tabela1[[#This Row],[Cliente]],'BASE DE CLIENTES'!A:C,3,0)</f>
        <v>DF</v>
      </c>
      <c r="E3297" s="4" t="str">
        <f>CONCATENATE(Tabela1[[#This Row],[CIDADE]],",",Tabela1[[#This Row],[UF]])</f>
        <v>Brasília,DF</v>
      </c>
      <c r="F3297" s="2">
        <v>45971</v>
      </c>
      <c r="G3297" s="17">
        <v>493.77</v>
      </c>
      <c r="H3297" s="17">
        <v>725</v>
      </c>
      <c r="I3297" s="6">
        <f>Tabela1[[#This Row],[Valor total]]-Tabela1[[#This Row],[Valor custo]]</f>
        <v>231.23000000000002</v>
      </c>
      <c r="J3297" s="7">
        <f>Tabela1[[#This Row],[MARGEM BRUTA]]/Tabela1[[#This Row],[Valor total]]</f>
        <v>0.31893793103448276</v>
      </c>
      <c r="K3297" s="1" t="str">
        <f>VLOOKUP(Tabela1[[#This Row],[Cliente]],'BASE DE CLIENTES'!A:D,4,0)</f>
        <v>EMPRESA SEM MAQUINA</v>
      </c>
      <c r="L3297" s="1" t="str">
        <f>VLOOKUP(Tabela1[[#This Row],[Cliente]],'BASE DE CLIENTES'!A:E,5,0)</f>
        <v>PONTE ALTA NORTE (GAMA)</v>
      </c>
    </row>
    <row r="3298" spans="2:12" x14ac:dyDescent="0.3">
      <c r="B3298" s="1" t="s">
        <v>111</v>
      </c>
      <c r="C3298" s="4" t="str">
        <f>VLOOKUP(Tabela1[[#This Row],[Cliente]],'BASE DE CLIENTES'!A:E,2,0)</f>
        <v>Brasília</v>
      </c>
      <c r="D3298" s="1" t="str">
        <f>VLOOKUP(Tabela1[[#This Row],[Cliente]],'BASE DE CLIENTES'!A:C,3,0)</f>
        <v>DF</v>
      </c>
      <c r="E3298" s="4" t="str">
        <f>CONCATENATE(Tabela1[[#This Row],[CIDADE]],",",Tabela1[[#This Row],[UF]])</f>
        <v>Brasília,DF</v>
      </c>
      <c r="F3298" s="2">
        <v>45971</v>
      </c>
      <c r="G3298" s="17">
        <v>1049</v>
      </c>
      <c r="H3298" s="17">
        <v>1715</v>
      </c>
      <c r="I3298" s="6">
        <f>Tabela1[[#This Row],[Valor total]]-Tabela1[[#This Row],[Valor custo]]</f>
        <v>666</v>
      </c>
      <c r="J3298" s="7">
        <f>Tabela1[[#This Row],[MARGEM BRUTA]]/Tabela1[[#This Row],[Valor total]]</f>
        <v>0.38833819241982509</v>
      </c>
      <c r="K3298" s="1" t="str">
        <f>VLOOKUP(Tabela1[[#This Row],[Cliente]],'BASE DE CLIENTES'!A:D,4,0)</f>
        <v>EMPRESA SEM MAQUINA</v>
      </c>
      <c r="L3298" s="1" t="str">
        <f>VLOOKUP(Tabela1[[#This Row],[Cliente]],'BASE DE CLIENTES'!A:E,5,0)</f>
        <v>TAGUATINGA SUL (TAGUATINGA)</v>
      </c>
    </row>
    <row r="3299" spans="2:12" x14ac:dyDescent="0.3">
      <c r="B3299" s="1" t="s">
        <v>25</v>
      </c>
      <c r="C3299" s="4" t="str">
        <f>VLOOKUP(Tabela1[[#This Row],[Cliente]],'BASE DE CLIENTES'!A:E,2,0)</f>
        <v>Brasília</v>
      </c>
      <c r="D3299" s="1" t="str">
        <f>VLOOKUP(Tabela1[[#This Row],[Cliente]],'BASE DE CLIENTES'!A:C,3,0)</f>
        <v>DF</v>
      </c>
      <c r="E3299" s="4" t="str">
        <f>CONCATENATE(Tabela1[[#This Row],[CIDADE]],",",Tabela1[[#This Row],[UF]])</f>
        <v>Brasília,DF</v>
      </c>
      <c r="F3299" s="2">
        <v>45969</v>
      </c>
      <c r="G3299" s="17">
        <v>30.49</v>
      </c>
      <c r="H3299" s="17">
        <v>45</v>
      </c>
      <c r="I3299" s="6">
        <f>Tabela1[[#This Row],[Valor total]]-Tabela1[[#This Row],[Valor custo]]</f>
        <v>14.510000000000002</v>
      </c>
      <c r="J3299" s="7">
        <f>Tabela1[[#This Row],[MARGEM BRUTA]]/Tabela1[[#This Row],[Valor total]]</f>
        <v>0.32244444444444448</v>
      </c>
      <c r="K3299" s="1" t="str">
        <f>VLOOKUP(Tabela1[[#This Row],[Cliente]],'BASE DE CLIENTES'!A:D,4,0)</f>
        <v>EMPRESA COM MAQUINA</v>
      </c>
      <c r="L3299" s="1" t="str">
        <f>VLOOKUP(Tabela1[[#This Row],[Cliente]],'BASE DE CLIENTES'!A:E,5,0)</f>
        <v>CEILANDIA NORTE (CEILANDIA)</v>
      </c>
    </row>
    <row r="3300" spans="2:12" x14ac:dyDescent="0.3">
      <c r="B3300" s="1" t="s">
        <v>25</v>
      </c>
      <c r="C3300" s="4" t="str">
        <f>VLOOKUP(Tabela1[[#This Row],[Cliente]],'BASE DE CLIENTES'!A:E,2,0)</f>
        <v>Brasília</v>
      </c>
      <c r="D3300" s="1" t="str">
        <f>VLOOKUP(Tabela1[[#This Row],[Cliente]],'BASE DE CLIENTES'!A:C,3,0)</f>
        <v>DF</v>
      </c>
      <c r="E3300" s="4" t="str">
        <f>CONCATENATE(Tabela1[[#This Row],[CIDADE]],",",Tabela1[[#This Row],[UF]])</f>
        <v>Brasília,DF</v>
      </c>
      <c r="F3300" s="2">
        <v>45969</v>
      </c>
      <c r="G3300" s="17">
        <v>649</v>
      </c>
      <c r="H3300" s="17">
        <v>900</v>
      </c>
      <c r="I3300" s="6">
        <f>Tabela1[[#This Row],[Valor total]]-Tabela1[[#This Row],[Valor custo]]</f>
        <v>251</v>
      </c>
      <c r="J3300" s="7">
        <f>Tabela1[[#This Row],[MARGEM BRUTA]]/Tabela1[[#This Row],[Valor total]]</f>
        <v>0.27888888888888891</v>
      </c>
      <c r="K3300" s="1" t="str">
        <f>VLOOKUP(Tabela1[[#This Row],[Cliente]],'BASE DE CLIENTES'!A:D,4,0)</f>
        <v>EMPRESA COM MAQUINA</v>
      </c>
      <c r="L3300" s="1" t="str">
        <f>VLOOKUP(Tabela1[[#This Row],[Cliente]],'BASE DE CLIENTES'!A:E,5,0)</f>
        <v>CEILANDIA NORTE (CEILANDIA)</v>
      </c>
    </row>
    <row r="3301" spans="2:12" x14ac:dyDescent="0.3">
      <c r="B3301" s="1" t="s">
        <v>15</v>
      </c>
      <c r="C3301" s="4" t="str">
        <f>VLOOKUP(Tabela1[[#This Row],[Cliente]],'BASE DE CLIENTES'!A:E,2,0)</f>
        <v>Brasília</v>
      </c>
      <c r="D3301" s="1" t="str">
        <f>VLOOKUP(Tabela1[[#This Row],[Cliente]],'BASE DE CLIENTES'!A:C,3,0)</f>
        <v>DF</v>
      </c>
      <c r="E3301" s="4" t="str">
        <f>CONCATENATE(Tabela1[[#This Row],[CIDADE]],",",Tabela1[[#This Row],[UF]])</f>
        <v>Brasília,DF</v>
      </c>
      <c r="F3301" s="2">
        <v>45969</v>
      </c>
      <c r="G3301" s="17">
        <v>72.099999999999994</v>
      </c>
      <c r="H3301" s="17">
        <v>300</v>
      </c>
      <c r="I3301" s="6">
        <f>Tabela1[[#This Row],[Valor total]]-Tabela1[[#This Row],[Valor custo]]</f>
        <v>227.9</v>
      </c>
      <c r="J3301" s="7">
        <f>Tabela1[[#This Row],[MARGEM BRUTA]]/Tabela1[[#This Row],[Valor total]]</f>
        <v>0.75966666666666671</v>
      </c>
      <c r="K3301" s="1" t="str">
        <f>VLOOKUP(Tabela1[[#This Row],[Cliente]],'BASE DE CLIENTES'!A:D,4,0)</f>
        <v>SERRALHEIRO</v>
      </c>
      <c r="L3301" s="1" t="str">
        <f>VLOOKUP(Tabela1[[#This Row],[Cliente]],'BASE DE CLIENTES'!A:E,5,0)</f>
        <v>SETOR HABITACIONAL VICENTE PIRES</v>
      </c>
    </row>
    <row r="3302" spans="2:12" x14ac:dyDescent="0.3">
      <c r="B3302" s="1" t="s">
        <v>236</v>
      </c>
      <c r="C3302" s="4" t="str">
        <f>VLOOKUP(Tabela1[[#This Row],[Cliente]],'BASE DE CLIENTES'!A:E,2,0)</f>
        <v>Goiânia</v>
      </c>
      <c r="D3302" s="1" t="str">
        <f>VLOOKUP(Tabela1[[#This Row],[Cliente]],'BASE DE CLIENTES'!A:C,3,0)</f>
        <v>GO</v>
      </c>
      <c r="E3302" s="4" t="str">
        <f>CONCATENATE(Tabela1[[#This Row],[CIDADE]],",",Tabela1[[#This Row],[UF]])</f>
        <v>Goiânia,GO</v>
      </c>
      <c r="F3302" s="2">
        <v>45968</v>
      </c>
      <c r="G3302" s="17">
        <v>970</v>
      </c>
      <c r="H3302" s="17">
        <v>1470</v>
      </c>
      <c r="I3302" s="6">
        <f>Tabela1[[#This Row],[Valor total]]-Tabela1[[#This Row],[Valor custo]]</f>
        <v>500</v>
      </c>
      <c r="J3302" s="7">
        <f>Tabela1[[#This Row],[MARGEM BRUTA]]/Tabela1[[#This Row],[Valor total]]</f>
        <v>0.3401360544217687</v>
      </c>
      <c r="K3302" s="1" t="str">
        <f>VLOOKUP(Tabela1[[#This Row],[Cliente]],'BASE DE CLIENTES'!A:D,4,0)</f>
        <v>EMPRESA COM MAQUINA</v>
      </c>
      <c r="L3302" s="1" t="str">
        <f>VLOOKUP(Tabela1[[#This Row],[Cliente]],'BASE DE CLIENTES'!A:E,5,0)</f>
        <v>Goiânia</v>
      </c>
    </row>
    <row r="3303" spans="2:12" x14ac:dyDescent="0.3">
      <c r="B3303" s="1" t="s">
        <v>152</v>
      </c>
      <c r="C3303" s="4" t="str">
        <f>VLOOKUP(Tabela1[[#This Row],[Cliente]],'BASE DE CLIENTES'!A:E,2,0)</f>
        <v>Aparecida de Goiânia</v>
      </c>
      <c r="D3303" s="1" t="str">
        <f>VLOOKUP(Tabela1[[#This Row],[Cliente]],'BASE DE CLIENTES'!A:C,3,0)</f>
        <v>GO</v>
      </c>
      <c r="E3303" s="4" t="str">
        <f>CONCATENATE(Tabela1[[#This Row],[CIDADE]],",",Tabela1[[#This Row],[UF]])</f>
        <v>Aparecida de Goiânia,GO</v>
      </c>
      <c r="F3303" s="2">
        <v>45968</v>
      </c>
      <c r="G3303" s="17">
        <v>679</v>
      </c>
      <c r="H3303" s="17">
        <v>1100</v>
      </c>
      <c r="I3303" s="6">
        <f>Tabela1[[#This Row],[Valor total]]-Tabela1[[#This Row],[Valor custo]]</f>
        <v>421</v>
      </c>
      <c r="J3303" s="7">
        <f>Tabela1[[#This Row],[MARGEM BRUTA]]/Tabela1[[#This Row],[Valor total]]</f>
        <v>0.38272727272727275</v>
      </c>
      <c r="K3303" s="1" t="str">
        <f>VLOOKUP(Tabela1[[#This Row],[Cliente]],'BASE DE CLIENTES'!A:D,4,0)</f>
        <v>TECNICO</v>
      </c>
      <c r="L3303" s="1" t="str">
        <f>VLOOKUP(Tabela1[[#This Row],[Cliente]],'BASE DE CLIENTES'!A:E,5,0)</f>
        <v>Aparecida de Goiânia</v>
      </c>
    </row>
    <row r="3304" spans="2:12" x14ac:dyDescent="0.3">
      <c r="B3304" s="1" t="s">
        <v>38</v>
      </c>
      <c r="C3304" s="4" t="str">
        <f>VLOOKUP(Tabela1[[#This Row],[Cliente]],'BASE DE CLIENTES'!A:E,2,0)</f>
        <v>Brasília</v>
      </c>
      <c r="D3304" s="1" t="str">
        <f>VLOOKUP(Tabela1[[#This Row],[Cliente]],'BASE DE CLIENTES'!A:C,3,0)</f>
        <v>DF</v>
      </c>
      <c r="E3304" s="4" t="str">
        <f>CONCATENATE(Tabela1[[#This Row],[CIDADE]],",",Tabela1[[#This Row],[UF]])</f>
        <v>Brasília,DF</v>
      </c>
      <c r="F3304" s="2">
        <v>45968</v>
      </c>
      <c r="G3304" s="17">
        <v>3903.17</v>
      </c>
      <c r="H3304" s="17">
        <v>6320</v>
      </c>
      <c r="I3304" s="6">
        <f>Tabela1[[#This Row],[Valor total]]-Tabela1[[#This Row],[Valor custo]]</f>
        <v>2416.83</v>
      </c>
      <c r="J3304" s="7">
        <f>Tabela1[[#This Row],[MARGEM BRUTA]]/Tabela1[[#This Row],[Valor total]]</f>
        <v>0.38240981012658226</v>
      </c>
      <c r="K3304" s="1" t="str">
        <f>VLOOKUP(Tabela1[[#This Row],[Cliente]],'BASE DE CLIENTES'!A:D,4,0)</f>
        <v>EMPRESA SEM MAQUINA</v>
      </c>
      <c r="L3304" s="1" t="str">
        <f>VLOOKUP(Tabela1[[#This Row],[Cliente]],'BASE DE CLIENTES'!A:E,5,0)</f>
        <v>PONTE ALTA NORTE (GAMA)</v>
      </c>
    </row>
    <row r="3305" spans="2:12" x14ac:dyDescent="0.3">
      <c r="B3305" s="1" t="s">
        <v>316</v>
      </c>
      <c r="C3305" s="4" t="str">
        <f>VLOOKUP(Tabela1[[#This Row],[Cliente]],'BASE DE CLIENTES'!A:E,2,0)</f>
        <v>Valparaíso de Goiás</v>
      </c>
      <c r="D3305" s="1" t="str">
        <f>VLOOKUP(Tabela1[[#This Row],[Cliente]],'BASE DE CLIENTES'!A:C,3,0)</f>
        <v>GO</v>
      </c>
      <c r="E3305" s="4" t="str">
        <f>CONCATENATE(Tabela1[[#This Row],[CIDADE]],",",Tabela1[[#This Row],[UF]])</f>
        <v>Valparaíso de Goiás,GO</v>
      </c>
      <c r="F3305" s="2">
        <v>45968</v>
      </c>
      <c r="G3305" s="17">
        <v>967.7</v>
      </c>
      <c r="H3305" s="17">
        <v>2140</v>
      </c>
      <c r="I3305" s="6">
        <f>Tabela1[[#This Row],[Valor total]]-Tabela1[[#This Row],[Valor custo]]</f>
        <v>1172.3</v>
      </c>
      <c r="J3305" s="7">
        <f>Tabela1[[#This Row],[MARGEM BRUTA]]/Tabela1[[#This Row],[Valor total]]</f>
        <v>0.54780373831775697</v>
      </c>
      <c r="K3305" s="1" t="str">
        <f>VLOOKUP(Tabela1[[#This Row],[Cliente]],'BASE DE CLIENTES'!A:D,4,0)</f>
        <v>SERRALHEIRO</v>
      </c>
      <c r="L3305" s="1" t="str">
        <f>VLOOKUP(Tabela1[[#This Row],[Cliente]],'BASE DE CLIENTES'!A:E,5,0)</f>
        <v>Valparaíso de Goiás</v>
      </c>
    </row>
    <row r="3306" spans="2:12" x14ac:dyDescent="0.3">
      <c r="B3306" s="1" t="s">
        <v>27</v>
      </c>
      <c r="C3306" s="4" t="str">
        <f>VLOOKUP(Tabela1[[#This Row],[Cliente]],'BASE DE CLIENTES'!A:E,2,0)</f>
        <v>Brasília</v>
      </c>
      <c r="D3306" s="1" t="str">
        <f>VLOOKUP(Tabela1[[#This Row],[Cliente]],'BASE DE CLIENTES'!A:C,3,0)</f>
        <v>DF</v>
      </c>
      <c r="E3306" s="4" t="str">
        <f>CONCATENATE(Tabela1[[#This Row],[CIDADE]],",",Tabela1[[#This Row],[UF]])</f>
        <v>Brasília,DF</v>
      </c>
      <c r="F3306" s="2">
        <v>45968</v>
      </c>
      <c r="G3306" s="17">
        <v>350</v>
      </c>
      <c r="H3306" s="17">
        <v>420</v>
      </c>
      <c r="I3306" s="6">
        <f>Tabela1[[#This Row],[Valor total]]-Tabela1[[#This Row],[Valor custo]]</f>
        <v>70</v>
      </c>
      <c r="J3306" s="7">
        <f>Tabela1[[#This Row],[MARGEM BRUTA]]/Tabela1[[#This Row],[Valor total]]</f>
        <v>0.16666666666666666</v>
      </c>
      <c r="K3306" s="1" t="str">
        <f>VLOOKUP(Tabela1[[#This Row],[Cliente]],'BASE DE CLIENTES'!A:D,4,0)</f>
        <v>EMPRESA SEM MAQUINA</v>
      </c>
      <c r="L3306" s="1" t="str">
        <f>VLOOKUP(Tabela1[[#This Row],[Cliente]],'BASE DE CLIENTES'!A:E,5,0)</f>
        <v>RECANTO DAS EMAS</v>
      </c>
    </row>
    <row r="3307" spans="2:12" x14ac:dyDescent="0.3">
      <c r="B3307" s="1" t="s">
        <v>27</v>
      </c>
      <c r="C3307" s="4" t="str">
        <f>VLOOKUP(Tabela1[[#This Row],[Cliente]],'BASE DE CLIENTES'!A:E,2,0)</f>
        <v>Brasília</v>
      </c>
      <c r="D3307" s="1" t="str">
        <f>VLOOKUP(Tabela1[[#This Row],[Cliente]],'BASE DE CLIENTES'!A:C,3,0)</f>
        <v>DF</v>
      </c>
      <c r="E3307" s="4" t="str">
        <f>CONCATENATE(Tabela1[[#This Row],[CIDADE]],",",Tabela1[[#This Row],[UF]])</f>
        <v>Brasília,DF</v>
      </c>
      <c r="F3307" s="2">
        <v>45968</v>
      </c>
      <c r="G3307" s="17">
        <v>2098.58</v>
      </c>
      <c r="H3307" s="17">
        <v>3130</v>
      </c>
      <c r="I3307" s="6">
        <f>Tabela1[[#This Row],[Valor total]]-Tabela1[[#This Row],[Valor custo]]</f>
        <v>1031.42</v>
      </c>
      <c r="J3307" s="7">
        <f>Tabela1[[#This Row],[MARGEM BRUTA]]/Tabela1[[#This Row],[Valor total]]</f>
        <v>0.32952715654952081</v>
      </c>
      <c r="K3307" s="1" t="str">
        <f>VLOOKUP(Tabela1[[#This Row],[Cliente]],'BASE DE CLIENTES'!A:D,4,0)</f>
        <v>EMPRESA SEM MAQUINA</v>
      </c>
      <c r="L3307" s="1" t="str">
        <f>VLOOKUP(Tabela1[[#This Row],[Cliente]],'BASE DE CLIENTES'!A:E,5,0)</f>
        <v>RECANTO DAS EMAS</v>
      </c>
    </row>
    <row r="3308" spans="2:12" x14ac:dyDescent="0.3">
      <c r="B3308" s="1" t="s">
        <v>120</v>
      </c>
      <c r="C3308" s="4" t="str">
        <f>VLOOKUP(Tabela1[[#This Row],[Cliente]],'BASE DE CLIENTES'!A:E,2,0)</f>
        <v>Brasília</v>
      </c>
      <c r="D3308" s="1" t="str">
        <f>VLOOKUP(Tabela1[[#This Row],[Cliente]],'BASE DE CLIENTES'!A:C,3,0)</f>
        <v>DF</v>
      </c>
      <c r="E3308" s="4" t="str">
        <f>CONCATENATE(Tabela1[[#This Row],[CIDADE]],",",Tabela1[[#This Row],[UF]])</f>
        <v>Brasília,DF</v>
      </c>
      <c r="F3308" s="2">
        <v>45968</v>
      </c>
      <c r="G3308" s="17">
        <v>370.5</v>
      </c>
      <c r="H3308" s="17">
        <v>1015</v>
      </c>
      <c r="I3308" s="6">
        <f>Tabela1[[#This Row],[Valor total]]-Tabela1[[#This Row],[Valor custo]]</f>
        <v>644.5</v>
      </c>
      <c r="J3308" s="7">
        <f>Tabela1[[#This Row],[MARGEM BRUTA]]/Tabela1[[#This Row],[Valor total]]</f>
        <v>0.63497536945812805</v>
      </c>
      <c r="K3308" s="1" t="str">
        <f>VLOOKUP(Tabela1[[#This Row],[Cliente]],'BASE DE CLIENTES'!A:D,4,0)</f>
        <v>EMPRESA SEM MAQUINA</v>
      </c>
      <c r="L3308" s="1" t="str">
        <f>VLOOKUP(Tabela1[[#This Row],[Cliente]],'BASE DE CLIENTES'!A:E,5,0)</f>
        <v>SAMAMBAIA</v>
      </c>
    </row>
    <row r="3309" spans="2:12" x14ac:dyDescent="0.3">
      <c r="B3309" s="1" t="s">
        <v>220</v>
      </c>
      <c r="C3309" s="4" t="str">
        <f>VLOOKUP(Tabela1[[#This Row],[Cliente]],'BASE DE CLIENTES'!A:E,2,0)</f>
        <v>Goiânia</v>
      </c>
      <c r="D3309" s="1" t="str">
        <f>VLOOKUP(Tabela1[[#This Row],[Cliente]],'BASE DE CLIENTES'!A:C,3,0)</f>
        <v>GO</v>
      </c>
      <c r="E3309" s="4" t="str">
        <f>CONCATENATE(Tabela1[[#This Row],[CIDADE]],",",Tabela1[[#This Row],[UF]])</f>
        <v>Goiânia,GO</v>
      </c>
      <c r="F3309" s="2">
        <v>45968</v>
      </c>
      <c r="G3309" s="17">
        <v>544</v>
      </c>
      <c r="H3309" s="17">
        <v>800</v>
      </c>
      <c r="I3309" s="6">
        <f>Tabela1[[#This Row],[Valor total]]-Tabela1[[#This Row],[Valor custo]]</f>
        <v>256</v>
      </c>
      <c r="J3309" s="7">
        <f>Tabela1[[#This Row],[MARGEM BRUTA]]/Tabela1[[#This Row],[Valor total]]</f>
        <v>0.32</v>
      </c>
      <c r="K3309" s="1" t="str">
        <f>VLOOKUP(Tabela1[[#This Row],[Cliente]],'BASE DE CLIENTES'!A:D,4,0)</f>
        <v>EMPRESA COM MAQUINA</v>
      </c>
      <c r="L3309" s="1" t="str">
        <f>VLOOKUP(Tabela1[[#This Row],[Cliente]],'BASE DE CLIENTES'!A:E,5,0)</f>
        <v>Goiânia</v>
      </c>
    </row>
    <row r="3310" spans="2:12" x14ac:dyDescent="0.3">
      <c r="B3310" s="1" t="s">
        <v>52</v>
      </c>
      <c r="C3310" s="4" t="str">
        <f>VLOOKUP(Tabela1[[#This Row],[Cliente]],'BASE DE CLIENTES'!A:E,2,0)</f>
        <v>Brasília</v>
      </c>
      <c r="D3310" s="1" t="str">
        <f>VLOOKUP(Tabela1[[#This Row],[Cliente]],'BASE DE CLIENTES'!A:C,3,0)</f>
        <v>DF</v>
      </c>
      <c r="E3310" s="4" t="str">
        <f>CONCATENATE(Tabela1[[#This Row],[CIDADE]],",",Tabela1[[#This Row],[UF]])</f>
        <v>Brasília,DF</v>
      </c>
      <c r="F3310" s="2">
        <v>45966</v>
      </c>
      <c r="G3310" s="17">
        <v>385</v>
      </c>
      <c r="H3310" s="17">
        <v>640</v>
      </c>
      <c r="I3310" s="6">
        <f>Tabela1[[#This Row],[Valor total]]-Tabela1[[#This Row],[Valor custo]]</f>
        <v>255</v>
      </c>
      <c r="J3310" s="7">
        <f>Tabela1[[#This Row],[MARGEM BRUTA]]/Tabela1[[#This Row],[Valor total]]</f>
        <v>0.3984375</v>
      </c>
      <c r="K3310" s="1" t="str">
        <f>VLOOKUP(Tabela1[[#This Row],[Cliente]],'BASE DE CLIENTES'!A:D,4,0)</f>
        <v>SERRALHEIRO</v>
      </c>
      <c r="L3310" s="1" t="str">
        <f>VLOOKUP(Tabela1[[#This Row],[Cliente]],'BASE DE CLIENTES'!A:E,5,0)</f>
        <v>Ceilândia Sul (Ceilândia)</v>
      </c>
    </row>
    <row r="3311" spans="2:12" x14ac:dyDescent="0.3">
      <c r="B3311" s="1" t="s">
        <v>55</v>
      </c>
      <c r="C3311" s="4" t="str">
        <f>VLOOKUP(Tabela1[[#This Row],[Cliente]],'BASE DE CLIENTES'!A:E,2,0)</f>
        <v>Brasília</v>
      </c>
      <c r="D3311" s="1" t="str">
        <f>VLOOKUP(Tabela1[[#This Row],[Cliente]],'BASE DE CLIENTES'!A:C,3,0)</f>
        <v>DF</v>
      </c>
      <c r="E3311" s="4" t="str">
        <f>CONCATENATE(Tabela1[[#This Row],[CIDADE]],",",Tabela1[[#This Row],[UF]])</f>
        <v>Brasília,DF</v>
      </c>
      <c r="F3311" s="2">
        <v>45968</v>
      </c>
      <c r="G3311" s="17">
        <v>1249.47</v>
      </c>
      <c r="H3311" s="17">
        <v>2700</v>
      </c>
      <c r="I3311" s="6">
        <f>Tabela1[[#This Row],[Valor total]]-Tabela1[[#This Row],[Valor custo]]</f>
        <v>1450.53</v>
      </c>
      <c r="J3311" s="7">
        <f>Tabela1[[#This Row],[MARGEM BRUTA]]/Tabela1[[#This Row],[Valor total]]</f>
        <v>0.53723333333333334</v>
      </c>
      <c r="K3311" s="1" t="str">
        <f>VLOOKUP(Tabela1[[#This Row],[Cliente]],'BASE DE CLIENTES'!A:D,4,0)</f>
        <v>EMPRESA SEM MAQUINA</v>
      </c>
      <c r="L3311" s="1" t="str">
        <f>VLOOKUP(Tabela1[[#This Row],[Cliente]],'BASE DE CLIENTES'!A:E,5,0)</f>
        <v>RECANTO DAS EMAS</v>
      </c>
    </row>
    <row r="3312" spans="2:12" x14ac:dyDescent="0.3">
      <c r="B3312" s="1" t="s">
        <v>169</v>
      </c>
      <c r="C3312" s="4" t="str">
        <f>VLOOKUP(Tabela1[[#This Row],[Cliente]],'BASE DE CLIENTES'!A:E,2,0)</f>
        <v>Planaltina</v>
      </c>
      <c r="D3312" s="1" t="str">
        <f>VLOOKUP(Tabela1[[#This Row],[Cliente]],'BASE DE CLIENTES'!A:C,3,0)</f>
        <v>GO</v>
      </c>
      <c r="E3312" s="4" t="str">
        <f>CONCATENATE(Tabela1[[#This Row],[CIDADE]],",",Tabela1[[#This Row],[UF]])</f>
        <v>Planaltina,GO</v>
      </c>
      <c r="F3312" s="2">
        <v>45968</v>
      </c>
      <c r="G3312" s="17">
        <v>94.06</v>
      </c>
      <c r="H3312" s="17">
        <v>170</v>
      </c>
      <c r="I3312" s="6">
        <f>Tabela1[[#This Row],[Valor total]]-Tabela1[[#This Row],[Valor custo]]</f>
        <v>75.94</v>
      </c>
      <c r="J3312" s="7">
        <f>Tabela1[[#This Row],[MARGEM BRUTA]]/Tabela1[[#This Row],[Valor total]]</f>
        <v>0.44670588235294117</v>
      </c>
      <c r="K3312" s="1" t="str">
        <f>VLOOKUP(Tabela1[[#This Row],[Cliente]],'BASE DE CLIENTES'!A:D,4,0)</f>
        <v>SERRALHEIRO</v>
      </c>
      <c r="L3312" s="1" t="str">
        <f>VLOOKUP(Tabela1[[#This Row],[Cliente]],'BASE DE CLIENTES'!A:E,5,0)</f>
        <v>Planaltina</v>
      </c>
    </row>
    <row r="3313" spans="2:12" x14ac:dyDescent="0.3">
      <c r="B3313" s="1" t="s">
        <v>27</v>
      </c>
      <c r="C3313" s="4" t="str">
        <f>VLOOKUP(Tabela1[[#This Row],[Cliente]],'BASE DE CLIENTES'!A:E,2,0)</f>
        <v>Brasília</v>
      </c>
      <c r="D3313" s="1" t="str">
        <f>VLOOKUP(Tabela1[[#This Row],[Cliente]],'BASE DE CLIENTES'!A:C,3,0)</f>
        <v>DF</v>
      </c>
      <c r="E3313" s="4" t="str">
        <f>CONCATENATE(Tabela1[[#This Row],[CIDADE]],",",Tabela1[[#This Row],[UF]])</f>
        <v>Brasília,DF</v>
      </c>
      <c r="F3313" s="2">
        <v>45968</v>
      </c>
      <c r="G3313" s="17">
        <v>557.69000000000005</v>
      </c>
      <c r="H3313" s="17">
        <v>970</v>
      </c>
      <c r="I3313" s="6">
        <f>Tabela1[[#This Row],[Valor total]]-Tabela1[[#This Row],[Valor custo]]</f>
        <v>412.30999999999995</v>
      </c>
      <c r="J3313" s="7">
        <f>Tabela1[[#This Row],[MARGEM BRUTA]]/Tabela1[[#This Row],[Valor total]]</f>
        <v>0.42506185567010302</v>
      </c>
      <c r="K3313" s="1" t="str">
        <f>VLOOKUP(Tabela1[[#This Row],[Cliente]],'BASE DE CLIENTES'!A:D,4,0)</f>
        <v>EMPRESA SEM MAQUINA</v>
      </c>
      <c r="L3313" s="1" t="str">
        <f>VLOOKUP(Tabela1[[#This Row],[Cliente]],'BASE DE CLIENTES'!A:E,5,0)</f>
        <v>RECANTO DAS EMAS</v>
      </c>
    </row>
    <row r="3314" spans="2:12" x14ac:dyDescent="0.3">
      <c r="B3314" s="1" t="s">
        <v>111</v>
      </c>
      <c r="C3314" s="4" t="str">
        <f>VLOOKUP(Tabela1[[#This Row],[Cliente]],'BASE DE CLIENTES'!A:E,2,0)</f>
        <v>Brasília</v>
      </c>
      <c r="D3314" s="1" t="str">
        <f>VLOOKUP(Tabela1[[#This Row],[Cliente]],'BASE DE CLIENTES'!A:C,3,0)</f>
        <v>DF</v>
      </c>
      <c r="E3314" s="4" t="str">
        <f>CONCATENATE(Tabela1[[#This Row],[CIDADE]],",",Tabela1[[#This Row],[UF]])</f>
        <v>Brasília,DF</v>
      </c>
      <c r="F3314" s="2">
        <v>45968</v>
      </c>
      <c r="G3314" s="17">
        <v>895.79</v>
      </c>
      <c r="H3314" s="17">
        <v>1358</v>
      </c>
      <c r="I3314" s="6">
        <f>Tabela1[[#This Row],[Valor total]]-Tabela1[[#This Row],[Valor custo]]</f>
        <v>462.21000000000004</v>
      </c>
      <c r="J3314" s="7">
        <f>Tabela1[[#This Row],[MARGEM BRUTA]]/Tabela1[[#This Row],[Valor total]]</f>
        <v>0.34036082474226809</v>
      </c>
      <c r="K3314" s="1" t="str">
        <f>VLOOKUP(Tabela1[[#This Row],[Cliente]],'BASE DE CLIENTES'!A:D,4,0)</f>
        <v>EMPRESA SEM MAQUINA</v>
      </c>
      <c r="L3314" s="1" t="str">
        <f>VLOOKUP(Tabela1[[#This Row],[Cliente]],'BASE DE CLIENTES'!A:E,5,0)</f>
        <v>TAGUATINGA SUL (TAGUATINGA)</v>
      </c>
    </row>
    <row r="3315" spans="2:12" x14ac:dyDescent="0.3">
      <c r="B3315" s="1" t="s">
        <v>144</v>
      </c>
      <c r="C3315" s="4" t="str">
        <f>VLOOKUP(Tabela1[[#This Row],[Cliente]],'BASE DE CLIENTES'!A:E,2,0)</f>
        <v>Alexânia</v>
      </c>
      <c r="D3315" s="1" t="str">
        <f>VLOOKUP(Tabela1[[#This Row],[Cliente]],'BASE DE CLIENTES'!A:C,3,0)</f>
        <v>GO</v>
      </c>
      <c r="E3315" s="4" t="str">
        <f>CONCATENATE(Tabela1[[#This Row],[CIDADE]],",",Tabela1[[#This Row],[UF]])</f>
        <v>Alexânia,GO</v>
      </c>
      <c r="F3315" s="2">
        <v>45968</v>
      </c>
      <c r="G3315" s="17">
        <v>649</v>
      </c>
      <c r="H3315" s="17">
        <v>900</v>
      </c>
      <c r="I3315" s="6">
        <f>Tabela1[[#This Row],[Valor total]]-Tabela1[[#This Row],[Valor custo]]</f>
        <v>251</v>
      </c>
      <c r="J3315" s="7">
        <f>Tabela1[[#This Row],[MARGEM BRUTA]]/Tabela1[[#This Row],[Valor total]]</f>
        <v>0.27888888888888891</v>
      </c>
      <c r="K3315" s="1" t="str">
        <f>VLOOKUP(Tabela1[[#This Row],[Cliente]],'BASE DE CLIENTES'!A:D,4,0)</f>
        <v>SERRALHEIRO</v>
      </c>
      <c r="L3315" s="1" t="str">
        <f>VLOOKUP(Tabela1[[#This Row],[Cliente]],'BASE DE CLIENTES'!A:E,5,0)</f>
        <v>Alexânia</v>
      </c>
    </row>
    <row r="3316" spans="2:12" x14ac:dyDescent="0.3">
      <c r="B3316" s="1" t="s">
        <v>236</v>
      </c>
      <c r="C3316" s="4" t="str">
        <f>VLOOKUP(Tabela1[[#This Row],[Cliente]],'BASE DE CLIENTES'!A:E,2,0)</f>
        <v>Goiânia</v>
      </c>
      <c r="D3316" s="1" t="str">
        <f>VLOOKUP(Tabela1[[#This Row],[Cliente]],'BASE DE CLIENTES'!A:C,3,0)</f>
        <v>GO</v>
      </c>
      <c r="E3316" s="4" t="str">
        <f>CONCATENATE(Tabela1[[#This Row],[CIDADE]],",",Tabela1[[#This Row],[UF]])</f>
        <v>Goiânia,GO</v>
      </c>
      <c r="F3316" s="2">
        <v>45968</v>
      </c>
      <c r="G3316" s="17">
        <v>463</v>
      </c>
      <c r="H3316" s="17">
        <v>685</v>
      </c>
      <c r="I3316" s="6">
        <f>Tabela1[[#This Row],[Valor total]]-Tabela1[[#This Row],[Valor custo]]</f>
        <v>222</v>
      </c>
      <c r="J3316" s="7">
        <f>Tabela1[[#This Row],[MARGEM BRUTA]]/Tabela1[[#This Row],[Valor total]]</f>
        <v>0.32408759124087594</v>
      </c>
      <c r="K3316" s="1" t="str">
        <f>VLOOKUP(Tabela1[[#This Row],[Cliente]],'BASE DE CLIENTES'!A:D,4,0)</f>
        <v>EMPRESA COM MAQUINA</v>
      </c>
      <c r="L3316" s="1" t="str">
        <f>VLOOKUP(Tabela1[[#This Row],[Cliente]],'BASE DE CLIENTES'!A:E,5,0)</f>
        <v>Goiânia</v>
      </c>
    </row>
    <row r="3317" spans="2:12" x14ac:dyDescent="0.3">
      <c r="B3317" s="1" t="s">
        <v>236</v>
      </c>
      <c r="C3317" s="4" t="str">
        <f>VLOOKUP(Tabela1[[#This Row],[Cliente]],'BASE DE CLIENTES'!A:E,2,0)</f>
        <v>Goiânia</v>
      </c>
      <c r="D3317" s="1" t="str">
        <f>VLOOKUP(Tabela1[[#This Row],[Cliente]],'BASE DE CLIENTES'!A:C,3,0)</f>
        <v>GO</v>
      </c>
      <c r="E3317" s="4" t="str">
        <f>CONCATENATE(Tabela1[[#This Row],[CIDADE]],",",Tabela1[[#This Row],[UF]])</f>
        <v>Goiânia,GO</v>
      </c>
      <c r="F3317" s="2">
        <v>45968</v>
      </c>
      <c r="G3317" s="17">
        <v>3223.37</v>
      </c>
      <c r="H3317" s="17">
        <v>4160</v>
      </c>
      <c r="I3317" s="6">
        <f>Tabela1[[#This Row],[Valor total]]-Tabela1[[#This Row],[Valor custo]]</f>
        <v>936.63000000000011</v>
      </c>
      <c r="J3317" s="7">
        <f>Tabela1[[#This Row],[MARGEM BRUTA]]/Tabela1[[#This Row],[Valor total]]</f>
        <v>0.22515144230769232</v>
      </c>
      <c r="K3317" s="1" t="str">
        <f>VLOOKUP(Tabela1[[#This Row],[Cliente]],'BASE DE CLIENTES'!A:D,4,0)</f>
        <v>EMPRESA COM MAQUINA</v>
      </c>
      <c r="L3317" s="1" t="str">
        <f>VLOOKUP(Tabela1[[#This Row],[Cliente]],'BASE DE CLIENTES'!A:E,5,0)</f>
        <v>Goiânia</v>
      </c>
    </row>
    <row r="3318" spans="2:12" x14ac:dyDescent="0.3">
      <c r="B3318" s="1" t="s">
        <v>236</v>
      </c>
      <c r="C3318" s="4" t="str">
        <f>VLOOKUP(Tabela1[[#This Row],[Cliente]],'BASE DE CLIENTES'!A:E,2,0)</f>
        <v>Goiânia</v>
      </c>
      <c r="D3318" s="1" t="str">
        <f>VLOOKUP(Tabela1[[#This Row],[Cliente]],'BASE DE CLIENTES'!A:C,3,0)</f>
        <v>GO</v>
      </c>
      <c r="E3318" s="4" t="str">
        <f>CONCATENATE(Tabela1[[#This Row],[CIDADE]],",",Tabela1[[#This Row],[UF]])</f>
        <v>Goiânia,GO</v>
      </c>
      <c r="F3318" s="2">
        <v>45967</v>
      </c>
      <c r="G3318" s="17">
        <v>385</v>
      </c>
      <c r="H3318" s="17">
        <v>520</v>
      </c>
      <c r="I3318" s="6">
        <f>Tabela1[[#This Row],[Valor total]]-Tabela1[[#This Row],[Valor custo]]</f>
        <v>135</v>
      </c>
      <c r="J3318" s="7">
        <f>Tabela1[[#This Row],[MARGEM BRUTA]]/Tabela1[[#This Row],[Valor total]]</f>
        <v>0.25961538461538464</v>
      </c>
      <c r="K3318" s="1" t="str">
        <f>VLOOKUP(Tabela1[[#This Row],[Cliente]],'BASE DE CLIENTES'!A:D,4,0)</f>
        <v>EMPRESA COM MAQUINA</v>
      </c>
      <c r="L3318" s="1" t="str">
        <f>VLOOKUP(Tabela1[[#This Row],[Cliente]],'BASE DE CLIENTES'!A:E,5,0)</f>
        <v>Goiânia</v>
      </c>
    </row>
    <row r="3319" spans="2:12" x14ac:dyDescent="0.3">
      <c r="B3319" s="1" t="s">
        <v>190</v>
      </c>
      <c r="C3319" s="4" t="str">
        <f>VLOOKUP(Tabela1[[#This Row],[Cliente]],'BASE DE CLIENTES'!A:E,2,0)</f>
        <v>Brasília</v>
      </c>
      <c r="D3319" s="1" t="str">
        <f>VLOOKUP(Tabela1[[#This Row],[Cliente]],'BASE DE CLIENTES'!A:C,3,0)</f>
        <v>DF</v>
      </c>
      <c r="E3319" s="4" t="str">
        <f>CONCATENATE(Tabela1[[#This Row],[CIDADE]],",",Tabela1[[#This Row],[UF]])</f>
        <v>Brasília,DF</v>
      </c>
      <c r="F3319" s="2">
        <v>45967</v>
      </c>
      <c r="G3319" s="17">
        <v>463</v>
      </c>
      <c r="H3319" s="17">
        <v>735</v>
      </c>
      <c r="I3319" s="6">
        <f>Tabela1[[#This Row],[Valor total]]-Tabela1[[#This Row],[Valor custo]]</f>
        <v>272</v>
      </c>
      <c r="J3319" s="7">
        <f>Tabela1[[#This Row],[MARGEM BRUTA]]/Tabela1[[#This Row],[Valor total]]</f>
        <v>0.37006802721088433</v>
      </c>
      <c r="K3319" s="1" t="str">
        <f>VLOOKUP(Tabela1[[#This Row],[Cliente]],'BASE DE CLIENTES'!A:D,4,0)</f>
        <v>EMPRESA COM MAQUINA</v>
      </c>
      <c r="L3319" s="1" t="str">
        <f>VLOOKUP(Tabela1[[#This Row],[Cliente]],'BASE DE CLIENTES'!A:E,5,0)</f>
        <v>RIACHO FUNDO I</v>
      </c>
    </row>
    <row r="3320" spans="2:12" x14ac:dyDescent="0.3">
      <c r="B3320" s="1" t="s">
        <v>349</v>
      </c>
      <c r="C3320" s="4" t="str">
        <f>VLOOKUP(Tabela1[[#This Row],[Cliente]],'BASE DE CLIENTES'!A:E,2,0)</f>
        <v>Brasília</v>
      </c>
      <c r="D3320" s="1" t="str">
        <f>VLOOKUP(Tabela1[[#This Row],[Cliente]],'BASE DE CLIENTES'!A:C,3,0)</f>
        <v>DF</v>
      </c>
      <c r="E3320" s="4" t="str">
        <f>CONCATENATE(Tabela1[[#This Row],[CIDADE]],",",Tabela1[[#This Row],[UF]])</f>
        <v>Brasília,DF</v>
      </c>
      <c r="F3320" s="2">
        <v>45967</v>
      </c>
      <c r="G3320" s="17">
        <v>616</v>
      </c>
      <c r="H3320" s="17">
        <v>950</v>
      </c>
      <c r="I3320" s="6">
        <f>Tabela1[[#This Row],[Valor total]]-Tabela1[[#This Row],[Valor custo]]</f>
        <v>334</v>
      </c>
      <c r="J3320" s="7">
        <f>Tabela1[[#This Row],[MARGEM BRUTA]]/Tabela1[[#This Row],[Valor total]]</f>
        <v>0.35157894736842105</v>
      </c>
      <c r="K3320" s="1" t="str">
        <f>VLOOKUP(Tabela1[[#This Row],[Cliente]],'BASE DE CLIENTES'!A:D,4,0)</f>
        <v>CLIENTE NOVO S/ IDENT.</v>
      </c>
      <c r="L3320" s="1" t="str">
        <f>VLOOKUP(Tabela1[[#This Row],[Cliente]],'BASE DE CLIENTES'!A:E,5,0)</f>
        <v>Brasília</v>
      </c>
    </row>
    <row r="3321" spans="2:12" x14ac:dyDescent="0.3">
      <c r="B3321" s="1" t="s">
        <v>169</v>
      </c>
      <c r="C3321" s="4" t="str">
        <f>VLOOKUP(Tabela1[[#This Row],[Cliente]],'BASE DE CLIENTES'!A:E,2,0)</f>
        <v>Planaltina</v>
      </c>
      <c r="D3321" s="1" t="str">
        <f>VLOOKUP(Tabela1[[#This Row],[Cliente]],'BASE DE CLIENTES'!A:C,3,0)</f>
        <v>GO</v>
      </c>
      <c r="E3321" s="4" t="str">
        <f>CONCATENATE(Tabela1[[#This Row],[CIDADE]],",",Tabela1[[#This Row],[UF]])</f>
        <v>Planaltina,GO</v>
      </c>
      <c r="F3321" s="2">
        <v>45967</v>
      </c>
      <c r="G3321" s="17">
        <v>44.42</v>
      </c>
      <c r="H3321" s="17">
        <v>115</v>
      </c>
      <c r="I3321" s="6">
        <f>Tabela1[[#This Row],[Valor total]]-Tabela1[[#This Row],[Valor custo]]</f>
        <v>70.58</v>
      </c>
      <c r="J3321" s="7">
        <f>Tabela1[[#This Row],[MARGEM BRUTA]]/Tabela1[[#This Row],[Valor total]]</f>
        <v>0.61373913043478256</v>
      </c>
      <c r="K3321" s="1" t="str">
        <f>VLOOKUP(Tabela1[[#This Row],[Cliente]],'BASE DE CLIENTES'!A:D,4,0)</f>
        <v>SERRALHEIRO</v>
      </c>
      <c r="L3321" s="1" t="str">
        <f>VLOOKUP(Tabela1[[#This Row],[Cliente]],'BASE DE CLIENTES'!A:E,5,0)</f>
        <v>Planaltina</v>
      </c>
    </row>
    <row r="3322" spans="2:12" x14ac:dyDescent="0.3">
      <c r="B3322" s="1" t="s">
        <v>98</v>
      </c>
      <c r="C3322" s="4" t="str">
        <f>VLOOKUP(Tabela1[[#This Row],[Cliente]],'BASE DE CLIENTES'!A:E,2,0)</f>
        <v>Brasília</v>
      </c>
      <c r="D3322" s="1" t="str">
        <f>VLOOKUP(Tabela1[[#This Row],[Cliente]],'BASE DE CLIENTES'!A:C,3,0)</f>
        <v>DF</v>
      </c>
      <c r="E3322" s="4" t="str">
        <f>CONCATENATE(Tabela1[[#This Row],[CIDADE]],",",Tabela1[[#This Row],[UF]])</f>
        <v>Brasília,DF</v>
      </c>
      <c r="F3322" s="2">
        <v>45967</v>
      </c>
      <c r="G3322" s="17">
        <v>331</v>
      </c>
      <c r="H3322" s="17">
        <v>655</v>
      </c>
      <c r="I3322" s="6">
        <f>Tabela1[[#This Row],[Valor total]]-Tabela1[[#This Row],[Valor custo]]</f>
        <v>324</v>
      </c>
      <c r="J3322" s="7">
        <f>Tabela1[[#This Row],[MARGEM BRUTA]]/Tabela1[[#This Row],[Valor total]]</f>
        <v>0.4946564885496183</v>
      </c>
      <c r="K3322" s="1" t="str">
        <f>VLOOKUP(Tabela1[[#This Row],[Cliente]],'BASE DE CLIENTES'!A:D,4,0)</f>
        <v>SERRALHEIRO</v>
      </c>
      <c r="L3322" s="1" t="str">
        <f>VLOOKUP(Tabela1[[#This Row],[Cliente]],'BASE DE CLIENTES'!A:E,5,0)</f>
        <v>SANTA MARIA</v>
      </c>
    </row>
    <row r="3323" spans="2:12" x14ac:dyDescent="0.3">
      <c r="B3323" s="1" t="s">
        <v>25</v>
      </c>
      <c r="C3323" s="4" t="str">
        <f>VLOOKUP(Tabela1[[#This Row],[Cliente]],'BASE DE CLIENTES'!A:E,2,0)</f>
        <v>Brasília</v>
      </c>
      <c r="D3323" s="1" t="str">
        <f>VLOOKUP(Tabela1[[#This Row],[Cliente]],'BASE DE CLIENTES'!A:C,3,0)</f>
        <v>DF</v>
      </c>
      <c r="E3323" s="4" t="str">
        <f>CONCATENATE(Tabela1[[#This Row],[CIDADE]],",",Tabela1[[#This Row],[UF]])</f>
        <v>Brasília,DF</v>
      </c>
      <c r="F3323" s="2">
        <v>45967</v>
      </c>
      <c r="G3323" s="17">
        <v>6545</v>
      </c>
      <c r="H3323" s="17">
        <v>10455</v>
      </c>
      <c r="I3323" s="6">
        <f>Tabela1[[#This Row],[Valor total]]-Tabela1[[#This Row],[Valor custo]]</f>
        <v>3910</v>
      </c>
      <c r="J3323" s="7">
        <f>Tabela1[[#This Row],[MARGEM BRUTA]]/Tabela1[[#This Row],[Valor total]]</f>
        <v>0.37398373983739835</v>
      </c>
      <c r="K3323" s="1" t="str">
        <f>VLOOKUP(Tabela1[[#This Row],[Cliente]],'BASE DE CLIENTES'!A:D,4,0)</f>
        <v>EMPRESA COM MAQUINA</v>
      </c>
      <c r="L3323" s="1" t="str">
        <f>VLOOKUP(Tabela1[[#This Row],[Cliente]],'BASE DE CLIENTES'!A:E,5,0)</f>
        <v>CEILANDIA NORTE (CEILANDIA)</v>
      </c>
    </row>
    <row r="3324" spans="2:12" x14ac:dyDescent="0.3">
      <c r="B3324" s="1" t="s">
        <v>230</v>
      </c>
      <c r="C3324" s="4" t="str">
        <f>VLOOKUP(Tabela1[[#This Row],[Cliente]],'BASE DE CLIENTES'!A:E,2,0)</f>
        <v>Brasília</v>
      </c>
      <c r="D3324" s="1" t="str">
        <f>VLOOKUP(Tabela1[[#This Row],[Cliente]],'BASE DE CLIENTES'!A:C,3,0)</f>
        <v>DF</v>
      </c>
      <c r="E3324" s="4" t="str">
        <f>CONCATENATE(Tabela1[[#This Row],[CIDADE]],",",Tabela1[[#This Row],[UF]])</f>
        <v>Brasília,DF</v>
      </c>
      <c r="F3324" s="2">
        <v>45967</v>
      </c>
      <c r="G3324" s="17">
        <v>7.21</v>
      </c>
      <c r="H3324" s="17">
        <v>35</v>
      </c>
      <c r="I3324" s="6">
        <f>Tabela1[[#This Row],[Valor total]]-Tabela1[[#This Row],[Valor custo]]</f>
        <v>27.79</v>
      </c>
      <c r="J3324" s="7">
        <f>Tabela1[[#This Row],[MARGEM BRUTA]]/Tabela1[[#This Row],[Valor total]]</f>
        <v>0.79399999999999993</v>
      </c>
      <c r="K3324" s="1" t="str">
        <f>VLOOKUP(Tabela1[[#This Row],[Cliente]],'BASE DE CLIENTES'!A:D,4,0)</f>
        <v>SERRALHEIRO</v>
      </c>
      <c r="L3324" s="1" t="str">
        <f>VLOOKUP(Tabela1[[#This Row],[Cliente]],'BASE DE CLIENTES'!A:E,5,0)</f>
        <v>SETOR HABITACIONAL SAMAMBAIA (VICENTE PIRES)</v>
      </c>
    </row>
    <row r="3325" spans="2:12" x14ac:dyDescent="0.3">
      <c r="B3325" s="1" t="s">
        <v>59</v>
      </c>
      <c r="C3325" s="4" t="str">
        <f>VLOOKUP(Tabela1[[#This Row],[Cliente]],'BASE DE CLIENTES'!A:E,2,0)</f>
        <v>Brasília</v>
      </c>
      <c r="D3325" s="1" t="str">
        <f>VLOOKUP(Tabela1[[#This Row],[Cliente]],'BASE DE CLIENTES'!A:C,3,0)</f>
        <v>DF</v>
      </c>
      <c r="E3325" s="4" t="str">
        <f>CONCATENATE(Tabela1[[#This Row],[CIDADE]],",",Tabela1[[#This Row],[UF]])</f>
        <v>Brasília,DF</v>
      </c>
      <c r="F3325" s="2">
        <v>45967</v>
      </c>
      <c r="G3325" s="17">
        <v>0</v>
      </c>
      <c r="H3325" s="17">
        <v>900</v>
      </c>
      <c r="I3325" s="6">
        <f>Tabela1[[#This Row],[Valor total]]-Tabela1[[#This Row],[Valor custo]]</f>
        <v>900</v>
      </c>
      <c r="J3325" s="7">
        <f>Tabela1[[#This Row],[MARGEM BRUTA]]/Tabela1[[#This Row],[Valor total]]</f>
        <v>1</v>
      </c>
      <c r="K3325" s="1" t="str">
        <f>VLOOKUP(Tabela1[[#This Row],[Cliente]],'BASE DE CLIENTES'!A:D,4,0)</f>
        <v>EMPRESA COM MAQUINA</v>
      </c>
      <c r="L3325" s="1" t="str">
        <f>VLOOKUP(Tabela1[[#This Row],[Cliente]],'BASE DE CLIENTES'!A:E,5,0)</f>
        <v>SETOR HABITACIONAL VICENTE PIRES</v>
      </c>
    </row>
    <row r="3326" spans="2:12" x14ac:dyDescent="0.3">
      <c r="B3326" s="1" t="s">
        <v>117</v>
      </c>
      <c r="C3326" s="4" t="str">
        <f>VLOOKUP(Tabela1[[#This Row],[Cliente]],'BASE DE CLIENTES'!A:E,2,0)</f>
        <v>Brasília</v>
      </c>
      <c r="D3326" s="1" t="str">
        <f>VLOOKUP(Tabela1[[#This Row],[Cliente]],'BASE DE CLIENTES'!A:C,3,0)</f>
        <v>DF</v>
      </c>
      <c r="E3326" s="4" t="str">
        <f>CONCATENATE(Tabela1[[#This Row],[CIDADE]],",",Tabela1[[#This Row],[UF]])</f>
        <v>Brasília,DF</v>
      </c>
      <c r="F3326" s="2">
        <v>45967</v>
      </c>
      <c r="G3326" s="17">
        <v>125</v>
      </c>
      <c r="H3326" s="17">
        <v>145</v>
      </c>
      <c r="I3326" s="6">
        <f>Tabela1[[#This Row],[Valor total]]-Tabela1[[#This Row],[Valor custo]]</f>
        <v>20</v>
      </c>
      <c r="J3326" s="7">
        <f>Tabela1[[#This Row],[MARGEM BRUTA]]/Tabela1[[#This Row],[Valor total]]</f>
        <v>0.13793103448275862</v>
      </c>
      <c r="K3326" s="1" t="str">
        <f>VLOOKUP(Tabela1[[#This Row],[Cliente]],'BASE DE CLIENTES'!A:D,4,0)</f>
        <v>EMPRESA COM MAQUINA</v>
      </c>
      <c r="L3326" s="1" t="str">
        <f>VLOOKUP(Tabela1[[#This Row],[Cliente]],'BASE DE CLIENTES'!A:E,5,0)</f>
        <v>SETOR HABITACIONAL ARNIQUEIRA (AGUAS CLARAS)</v>
      </c>
    </row>
    <row r="3327" spans="2:12" x14ac:dyDescent="0.3">
      <c r="B3327" s="1" t="s">
        <v>144</v>
      </c>
      <c r="C3327" s="4" t="str">
        <f>VLOOKUP(Tabela1[[#This Row],[Cliente]],'BASE DE CLIENTES'!A:E,2,0)</f>
        <v>Alexânia</v>
      </c>
      <c r="D3327" s="1" t="str">
        <f>VLOOKUP(Tabela1[[#This Row],[Cliente]],'BASE DE CLIENTES'!A:C,3,0)</f>
        <v>GO</v>
      </c>
      <c r="E3327" s="4" t="str">
        <f>CONCATENATE(Tabela1[[#This Row],[CIDADE]],",",Tabela1[[#This Row],[UF]])</f>
        <v>Alexânia,GO</v>
      </c>
      <c r="F3327" s="2">
        <v>45967</v>
      </c>
      <c r="G3327" s="17">
        <v>649</v>
      </c>
      <c r="H3327" s="17">
        <v>900</v>
      </c>
      <c r="I3327" s="6">
        <f>Tabela1[[#This Row],[Valor total]]-Tabela1[[#This Row],[Valor custo]]</f>
        <v>251</v>
      </c>
      <c r="J3327" s="7">
        <f>Tabela1[[#This Row],[MARGEM BRUTA]]/Tabela1[[#This Row],[Valor total]]</f>
        <v>0.27888888888888891</v>
      </c>
      <c r="K3327" s="1" t="str">
        <f>VLOOKUP(Tabela1[[#This Row],[Cliente]],'BASE DE CLIENTES'!A:D,4,0)</f>
        <v>SERRALHEIRO</v>
      </c>
      <c r="L3327" s="1" t="str">
        <f>VLOOKUP(Tabela1[[#This Row],[Cliente]],'BASE DE CLIENTES'!A:E,5,0)</f>
        <v>Alexânia</v>
      </c>
    </row>
    <row r="3328" spans="2:12" x14ac:dyDescent="0.3">
      <c r="B3328" s="1" t="s">
        <v>322</v>
      </c>
      <c r="C3328" s="4" t="str">
        <f>VLOOKUP(Tabela1[[#This Row],[Cliente]],'BASE DE CLIENTES'!A:E,2,0)</f>
        <v>Brasília</v>
      </c>
      <c r="D3328" s="1" t="str">
        <f>VLOOKUP(Tabela1[[#This Row],[Cliente]],'BASE DE CLIENTES'!A:C,3,0)</f>
        <v>DF</v>
      </c>
      <c r="E3328" s="4" t="str">
        <f>CONCATENATE(Tabela1[[#This Row],[CIDADE]],",",Tabela1[[#This Row],[UF]])</f>
        <v>Brasília,DF</v>
      </c>
      <c r="F3328" s="2">
        <v>45967</v>
      </c>
      <c r="G3328" s="17">
        <v>293.13</v>
      </c>
      <c r="H3328" s="17">
        <v>400</v>
      </c>
      <c r="I3328" s="6">
        <f>Tabela1[[#This Row],[Valor total]]-Tabela1[[#This Row],[Valor custo]]</f>
        <v>106.87</v>
      </c>
      <c r="J3328" s="7">
        <f>Tabela1[[#This Row],[MARGEM BRUTA]]/Tabela1[[#This Row],[Valor total]]</f>
        <v>0.267175</v>
      </c>
      <c r="K3328" s="1" t="str">
        <f>VLOOKUP(Tabela1[[#This Row],[Cliente]],'BASE DE CLIENTES'!A:D,4,0)</f>
        <v>SERRALHEIRO</v>
      </c>
      <c r="L3328" s="1" t="str">
        <f>VLOOKUP(Tabela1[[#This Row],[Cliente]],'BASE DE CLIENTES'!A:E,5,0)</f>
        <v>RIACHO FUNDO I</v>
      </c>
    </row>
    <row r="3329" spans="2:12" x14ac:dyDescent="0.3">
      <c r="B3329" s="1" t="s">
        <v>152</v>
      </c>
      <c r="C3329" s="4" t="str">
        <f>VLOOKUP(Tabela1[[#This Row],[Cliente]],'BASE DE CLIENTES'!A:E,2,0)</f>
        <v>Aparecida de Goiânia</v>
      </c>
      <c r="D3329" s="1" t="str">
        <f>VLOOKUP(Tabela1[[#This Row],[Cliente]],'BASE DE CLIENTES'!A:C,3,0)</f>
        <v>GO</v>
      </c>
      <c r="E3329" s="4" t="str">
        <f>CONCATENATE(Tabela1[[#This Row],[CIDADE]],",",Tabela1[[#This Row],[UF]])</f>
        <v>Aparecida de Goiânia,GO</v>
      </c>
      <c r="F3329" s="2">
        <v>45967</v>
      </c>
      <c r="G3329" s="17">
        <v>385</v>
      </c>
      <c r="H3329" s="17">
        <v>650</v>
      </c>
      <c r="I3329" s="6">
        <f>Tabela1[[#This Row],[Valor total]]-Tabela1[[#This Row],[Valor custo]]</f>
        <v>265</v>
      </c>
      <c r="J3329" s="7">
        <f>Tabela1[[#This Row],[MARGEM BRUTA]]/Tabela1[[#This Row],[Valor total]]</f>
        <v>0.40769230769230769</v>
      </c>
      <c r="K3329" s="1" t="str">
        <f>VLOOKUP(Tabela1[[#This Row],[Cliente]],'BASE DE CLIENTES'!A:D,4,0)</f>
        <v>TECNICO</v>
      </c>
      <c r="L3329" s="1" t="str">
        <f>VLOOKUP(Tabela1[[#This Row],[Cliente]],'BASE DE CLIENTES'!A:E,5,0)</f>
        <v>Aparecida de Goiânia</v>
      </c>
    </row>
    <row r="3330" spans="2:12" x14ac:dyDescent="0.3">
      <c r="B3330" s="1" t="s">
        <v>211</v>
      </c>
      <c r="C3330" s="4" t="str">
        <f>VLOOKUP(Tabela1[[#This Row],[Cliente]],'BASE DE CLIENTES'!A:E,2,0)</f>
        <v>Goiânia</v>
      </c>
      <c r="D3330" s="1" t="str">
        <f>VLOOKUP(Tabela1[[#This Row],[Cliente]],'BASE DE CLIENTES'!A:C,3,0)</f>
        <v>GO</v>
      </c>
      <c r="E3330" s="4" t="str">
        <f>CONCATENATE(Tabela1[[#This Row],[CIDADE]],",",Tabela1[[#This Row],[UF]])</f>
        <v>Goiânia,GO</v>
      </c>
      <c r="F3330" s="2">
        <v>45967</v>
      </c>
      <c r="G3330" s="17">
        <v>360.5</v>
      </c>
      <c r="H3330" s="17">
        <v>1000</v>
      </c>
      <c r="I3330" s="6">
        <f>Tabela1[[#This Row],[Valor total]]-Tabela1[[#This Row],[Valor custo]]</f>
        <v>639.5</v>
      </c>
      <c r="J3330" s="7">
        <f>Tabela1[[#This Row],[MARGEM BRUTA]]/Tabela1[[#This Row],[Valor total]]</f>
        <v>0.63949999999999996</v>
      </c>
      <c r="K3330" s="1" t="str">
        <f>VLOOKUP(Tabela1[[#This Row],[Cliente]],'BASE DE CLIENTES'!A:D,4,0)</f>
        <v>EMPRESA COM MAQUINA</v>
      </c>
      <c r="L3330" s="1" t="str">
        <f>VLOOKUP(Tabela1[[#This Row],[Cliente]],'BASE DE CLIENTES'!A:E,5,0)</f>
        <v>Goiânia</v>
      </c>
    </row>
    <row r="3331" spans="2:12" x14ac:dyDescent="0.3">
      <c r="B3331" s="1" t="s">
        <v>253</v>
      </c>
      <c r="C3331" s="4" t="str">
        <f>VLOOKUP(Tabela1[[#This Row],[Cliente]],'BASE DE CLIENTES'!A:E,2,0)</f>
        <v>Luziânia</v>
      </c>
      <c r="D3331" s="1" t="str">
        <f>VLOOKUP(Tabela1[[#This Row],[Cliente]],'BASE DE CLIENTES'!A:C,3,0)</f>
        <v>GO</v>
      </c>
      <c r="E3331" s="4" t="str">
        <f>CONCATENATE(Tabela1[[#This Row],[CIDADE]],",",Tabela1[[#This Row],[UF]])</f>
        <v>Luziânia,GO</v>
      </c>
      <c r="F3331" s="2">
        <v>45967</v>
      </c>
      <c r="G3331" s="17">
        <v>1134</v>
      </c>
      <c r="H3331" s="17">
        <v>1700</v>
      </c>
      <c r="I3331" s="6">
        <f>Tabela1[[#This Row],[Valor total]]-Tabela1[[#This Row],[Valor custo]]</f>
        <v>566</v>
      </c>
      <c r="J3331" s="7">
        <f>Tabela1[[#This Row],[MARGEM BRUTA]]/Tabela1[[#This Row],[Valor total]]</f>
        <v>0.33294117647058824</v>
      </c>
      <c r="K3331" s="1" t="str">
        <f>VLOOKUP(Tabela1[[#This Row],[Cliente]],'BASE DE CLIENTES'!A:D,4,0)</f>
        <v>EMPRESA COM MAQUINA</v>
      </c>
      <c r="L3331" s="1" t="str">
        <f>VLOOKUP(Tabela1[[#This Row],[Cliente]],'BASE DE CLIENTES'!A:E,5,0)</f>
        <v>Luziânia</v>
      </c>
    </row>
    <row r="3332" spans="2:12" x14ac:dyDescent="0.3">
      <c r="B3332" s="1" t="s">
        <v>96</v>
      </c>
      <c r="C3332" s="4" t="str">
        <f>VLOOKUP(Tabela1[[#This Row],[Cliente]],'BASE DE CLIENTES'!A:E,2,0)</f>
        <v>Brasília</v>
      </c>
      <c r="D3332" s="1" t="str">
        <f>VLOOKUP(Tabela1[[#This Row],[Cliente]],'BASE DE CLIENTES'!A:C,3,0)</f>
        <v>DF</v>
      </c>
      <c r="E3332" s="4" t="str">
        <f>CONCATENATE(Tabela1[[#This Row],[CIDADE]],",",Tabela1[[#This Row],[UF]])</f>
        <v>Brasília,DF</v>
      </c>
      <c r="F3332" s="2">
        <v>45967</v>
      </c>
      <c r="G3332" s="17">
        <v>165</v>
      </c>
      <c r="H3332" s="17">
        <v>450</v>
      </c>
      <c r="I3332" s="6">
        <f>Tabela1[[#This Row],[Valor total]]-Tabela1[[#This Row],[Valor custo]]</f>
        <v>285</v>
      </c>
      <c r="J3332" s="7">
        <f>Tabela1[[#This Row],[MARGEM BRUTA]]/Tabela1[[#This Row],[Valor total]]</f>
        <v>0.6333333333333333</v>
      </c>
      <c r="K3332" s="1" t="str">
        <f>VLOOKUP(Tabela1[[#This Row],[Cliente]],'BASE DE CLIENTES'!A:D,4,0)</f>
        <v>EMPRESA SEM MAQUINA</v>
      </c>
      <c r="L3332" s="1" t="str">
        <f>VLOOKUP(Tabela1[[#This Row],[Cliente]],'BASE DE CLIENTES'!A:E,5,0)</f>
        <v>CEILANDIA NORTE (CEILANDIA)</v>
      </c>
    </row>
    <row r="3333" spans="2:12" x14ac:dyDescent="0.3">
      <c r="B3333" s="1" t="s">
        <v>66</v>
      </c>
      <c r="C3333" s="4" t="str">
        <f>VLOOKUP(Tabela1[[#This Row],[Cliente]],'BASE DE CLIENTES'!A:E,2,0)</f>
        <v>Águas Lindas de Goiás</v>
      </c>
      <c r="D3333" s="1" t="str">
        <f>VLOOKUP(Tabela1[[#This Row],[Cliente]],'BASE DE CLIENTES'!A:C,3,0)</f>
        <v>GO</v>
      </c>
      <c r="E3333" s="4" t="str">
        <f>CONCATENATE(Tabela1[[#This Row],[CIDADE]],",",Tabela1[[#This Row],[UF]])</f>
        <v>Águas Lindas de Goiás,GO</v>
      </c>
      <c r="F3333" s="2">
        <v>45967</v>
      </c>
      <c r="G3333" s="17">
        <v>1389</v>
      </c>
      <c r="H3333" s="17">
        <v>2310</v>
      </c>
      <c r="I3333" s="6">
        <f>Tabela1[[#This Row],[Valor total]]-Tabela1[[#This Row],[Valor custo]]</f>
        <v>921</v>
      </c>
      <c r="J3333" s="7">
        <f>Tabela1[[#This Row],[MARGEM BRUTA]]/Tabela1[[#This Row],[Valor total]]</f>
        <v>0.39870129870129872</v>
      </c>
      <c r="K3333" s="1" t="str">
        <f>VLOOKUP(Tabela1[[#This Row],[Cliente]],'BASE DE CLIENTES'!A:D,4,0)</f>
        <v>EMPRESA COM MAQUINA</v>
      </c>
      <c r="L3333" s="1" t="str">
        <f>VLOOKUP(Tabela1[[#This Row],[Cliente]],'BASE DE CLIENTES'!A:E,5,0)</f>
        <v>Águas Lindas de Goiás</v>
      </c>
    </row>
    <row r="3334" spans="2:12" x14ac:dyDescent="0.3">
      <c r="B3334" s="1" t="s">
        <v>216</v>
      </c>
      <c r="C3334" s="4" t="str">
        <f>VLOOKUP(Tabela1[[#This Row],[Cliente]],'BASE DE CLIENTES'!A:E,2,0)</f>
        <v>Brasília</v>
      </c>
      <c r="D3334" s="1" t="str">
        <f>VLOOKUP(Tabela1[[#This Row],[Cliente]],'BASE DE CLIENTES'!A:C,3,0)</f>
        <v>DF</v>
      </c>
      <c r="E3334" s="4" t="str">
        <f>CONCATENATE(Tabela1[[#This Row],[CIDADE]],",",Tabela1[[#This Row],[UF]])</f>
        <v>Brasília,DF</v>
      </c>
      <c r="F3334" s="2">
        <v>45967</v>
      </c>
      <c r="G3334" s="17">
        <v>664</v>
      </c>
      <c r="H3334" s="17">
        <v>1000</v>
      </c>
      <c r="I3334" s="6">
        <f>Tabela1[[#This Row],[Valor total]]-Tabela1[[#This Row],[Valor custo]]</f>
        <v>336</v>
      </c>
      <c r="J3334" s="7">
        <f>Tabela1[[#This Row],[MARGEM BRUTA]]/Tabela1[[#This Row],[Valor total]]</f>
        <v>0.33600000000000002</v>
      </c>
      <c r="K3334" s="1" t="str">
        <f>VLOOKUP(Tabela1[[#This Row],[Cliente]],'BASE DE CLIENTES'!A:D,4,0)</f>
        <v>EMPRESA COM MAQUINA</v>
      </c>
      <c r="L3334" s="1" t="str">
        <f>VLOOKUP(Tabela1[[#This Row],[Cliente]],'BASE DE CLIENTES'!A:E,5,0)</f>
        <v>RIACHO FUNDO II</v>
      </c>
    </row>
    <row r="3335" spans="2:12" x14ac:dyDescent="0.3">
      <c r="B3335" s="1" t="s">
        <v>321</v>
      </c>
      <c r="C3335" s="4" t="str">
        <f>VLOOKUP(Tabela1[[#This Row],[Cliente]],'BASE DE CLIENTES'!A:E,2,0)</f>
        <v>Valparaíso de Goiás</v>
      </c>
      <c r="D3335" s="1" t="str">
        <f>VLOOKUP(Tabela1[[#This Row],[Cliente]],'BASE DE CLIENTES'!A:C,3,0)</f>
        <v>GO</v>
      </c>
      <c r="E3335" s="4" t="str">
        <f>CONCATENATE(Tabela1[[#This Row],[CIDADE]],",",Tabela1[[#This Row],[UF]])</f>
        <v>Valparaíso de Goiás,GO</v>
      </c>
      <c r="F3335" s="2">
        <v>45967</v>
      </c>
      <c r="G3335" s="17">
        <v>679</v>
      </c>
      <c r="H3335" s="17">
        <v>1100</v>
      </c>
      <c r="I3335" s="6">
        <f>Tabela1[[#This Row],[Valor total]]-Tabela1[[#This Row],[Valor custo]]</f>
        <v>421</v>
      </c>
      <c r="J3335" s="7">
        <f>Tabela1[[#This Row],[MARGEM BRUTA]]/Tabela1[[#This Row],[Valor total]]</f>
        <v>0.38272727272727275</v>
      </c>
      <c r="K3335" s="1" t="str">
        <f>VLOOKUP(Tabela1[[#This Row],[Cliente]],'BASE DE CLIENTES'!A:D,4,0)</f>
        <v>EMPRESA COM MAQUINA</v>
      </c>
      <c r="L3335" s="1" t="str">
        <f>VLOOKUP(Tabela1[[#This Row],[Cliente]],'BASE DE CLIENTES'!A:E,5,0)</f>
        <v>Valparaíso de Goiás</v>
      </c>
    </row>
    <row r="3336" spans="2:12" x14ac:dyDescent="0.3">
      <c r="B3336" s="1" t="s">
        <v>96</v>
      </c>
      <c r="C3336" s="4" t="str">
        <f>VLOOKUP(Tabela1[[#This Row],[Cliente]],'BASE DE CLIENTES'!A:E,2,0)</f>
        <v>Brasília</v>
      </c>
      <c r="D3336" s="1" t="str">
        <f>VLOOKUP(Tabela1[[#This Row],[Cliente]],'BASE DE CLIENTES'!A:C,3,0)</f>
        <v>DF</v>
      </c>
      <c r="E3336" s="4" t="str">
        <f>CONCATENATE(Tabela1[[#This Row],[CIDADE]],",",Tabela1[[#This Row],[UF]])</f>
        <v>Brasília,DF</v>
      </c>
      <c r="F3336" s="2">
        <v>45967</v>
      </c>
      <c r="G3336" s="17">
        <v>544</v>
      </c>
      <c r="H3336" s="17">
        <v>754</v>
      </c>
      <c r="I3336" s="6">
        <f>Tabela1[[#This Row],[Valor total]]-Tabela1[[#This Row],[Valor custo]]</f>
        <v>210</v>
      </c>
      <c r="J3336" s="7">
        <f>Tabela1[[#This Row],[MARGEM BRUTA]]/Tabela1[[#This Row],[Valor total]]</f>
        <v>0.27851458885941643</v>
      </c>
      <c r="K3336" s="1" t="str">
        <f>VLOOKUP(Tabela1[[#This Row],[Cliente]],'BASE DE CLIENTES'!A:D,4,0)</f>
        <v>EMPRESA SEM MAQUINA</v>
      </c>
      <c r="L3336" s="1" t="str">
        <f>VLOOKUP(Tabela1[[#This Row],[Cliente]],'BASE DE CLIENTES'!A:E,5,0)</f>
        <v>CEILANDIA NORTE (CEILANDIA)</v>
      </c>
    </row>
    <row r="3337" spans="2:12" x14ac:dyDescent="0.3">
      <c r="B3337" s="1" t="s">
        <v>66</v>
      </c>
      <c r="C3337" s="4" t="str">
        <f>VLOOKUP(Tabela1[[#This Row],[Cliente]],'BASE DE CLIENTES'!A:E,2,0)</f>
        <v>Águas Lindas de Goiás</v>
      </c>
      <c r="D3337" s="1" t="str">
        <f>VLOOKUP(Tabela1[[#This Row],[Cliente]],'BASE DE CLIENTES'!A:C,3,0)</f>
        <v>GO</v>
      </c>
      <c r="E3337" s="4" t="str">
        <f>CONCATENATE(Tabela1[[#This Row],[CIDADE]],",",Tabela1[[#This Row],[UF]])</f>
        <v>Águas Lindas de Goiás,GO</v>
      </c>
      <c r="F3337" s="2">
        <v>45967</v>
      </c>
      <c r="G3337" s="17">
        <v>432.79</v>
      </c>
      <c r="H3337" s="17">
        <v>655</v>
      </c>
      <c r="I3337" s="6">
        <f>Tabela1[[#This Row],[Valor total]]-Tabela1[[#This Row],[Valor custo]]</f>
        <v>222.20999999999998</v>
      </c>
      <c r="J3337" s="7">
        <f>Tabela1[[#This Row],[MARGEM BRUTA]]/Tabela1[[#This Row],[Valor total]]</f>
        <v>0.33925190839694652</v>
      </c>
      <c r="K3337" s="1" t="str">
        <f>VLOOKUP(Tabela1[[#This Row],[Cliente]],'BASE DE CLIENTES'!A:D,4,0)</f>
        <v>EMPRESA COM MAQUINA</v>
      </c>
      <c r="L3337" s="1" t="str">
        <f>VLOOKUP(Tabela1[[#This Row],[Cliente]],'BASE DE CLIENTES'!A:E,5,0)</f>
        <v>Águas Lindas de Goiás</v>
      </c>
    </row>
    <row r="3338" spans="2:12" x14ac:dyDescent="0.3">
      <c r="B3338" s="1" t="s">
        <v>117</v>
      </c>
      <c r="C3338" s="4" t="str">
        <f>VLOOKUP(Tabela1[[#This Row],[Cliente]],'BASE DE CLIENTES'!A:E,2,0)</f>
        <v>Brasília</v>
      </c>
      <c r="D3338" s="1" t="str">
        <f>VLOOKUP(Tabela1[[#This Row],[Cliente]],'BASE DE CLIENTES'!A:C,3,0)</f>
        <v>DF</v>
      </c>
      <c r="E3338" s="4" t="str">
        <f>CONCATENATE(Tabela1[[#This Row],[CIDADE]],",",Tabela1[[#This Row],[UF]])</f>
        <v>Brasília,DF</v>
      </c>
      <c r="F3338" s="2">
        <v>45967</v>
      </c>
      <c r="G3338" s="17">
        <v>485</v>
      </c>
      <c r="H3338" s="17">
        <v>810</v>
      </c>
      <c r="I3338" s="6">
        <f>Tabela1[[#This Row],[Valor total]]-Tabela1[[#This Row],[Valor custo]]</f>
        <v>325</v>
      </c>
      <c r="J3338" s="7">
        <f>Tabela1[[#This Row],[MARGEM BRUTA]]/Tabela1[[#This Row],[Valor total]]</f>
        <v>0.40123456790123457</v>
      </c>
      <c r="K3338" s="1" t="str">
        <f>VLOOKUP(Tabela1[[#This Row],[Cliente]],'BASE DE CLIENTES'!A:D,4,0)</f>
        <v>EMPRESA COM MAQUINA</v>
      </c>
      <c r="L3338" s="1" t="str">
        <f>VLOOKUP(Tabela1[[#This Row],[Cliente]],'BASE DE CLIENTES'!A:E,5,0)</f>
        <v>SETOR HABITACIONAL ARNIQUEIRA (AGUAS CLARAS)</v>
      </c>
    </row>
    <row r="3339" spans="2:12" x14ac:dyDescent="0.3">
      <c r="B3339" s="1" t="s">
        <v>70</v>
      </c>
      <c r="C3339" s="4" t="str">
        <f>VLOOKUP(Tabela1[[#This Row],[Cliente]],'BASE DE CLIENTES'!A:E,2,0)</f>
        <v>Brasília</v>
      </c>
      <c r="D3339" s="1" t="str">
        <f>VLOOKUP(Tabela1[[#This Row],[Cliente]],'BASE DE CLIENTES'!A:C,3,0)</f>
        <v>DF</v>
      </c>
      <c r="E3339" s="4" t="str">
        <f>CONCATENATE(Tabela1[[#This Row],[CIDADE]],",",Tabela1[[#This Row],[UF]])</f>
        <v>Brasília,DF</v>
      </c>
      <c r="F3339" s="2">
        <v>45967</v>
      </c>
      <c r="G3339" s="17">
        <v>491</v>
      </c>
      <c r="H3339" s="17">
        <v>185</v>
      </c>
      <c r="I3339" s="6">
        <f>Tabela1[[#This Row],[Valor total]]-Tabela1[[#This Row],[Valor custo]]</f>
        <v>-306</v>
      </c>
      <c r="J3339" s="7">
        <f>Tabela1[[#This Row],[MARGEM BRUTA]]/Tabela1[[#This Row],[Valor total]]</f>
        <v>-1.654054054054054</v>
      </c>
      <c r="K3339" s="1" t="str">
        <f>VLOOKUP(Tabela1[[#This Row],[Cliente]],'BASE DE CLIENTES'!A:D,4,0)</f>
        <v>EMPRESA COM MAQUINA</v>
      </c>
      <c r="L3339" s="1" t="str">
        <f>VLOOKUP(Tabela1[[#This Row],[Cliente]],'BASE DE CLIENTES'!A:E,5,0)</f>
        <v>TAGUATINGA NORTE (TAGUATINGA)</v>
      </c>
    </row>
    <row r="3340" spans="2:12" x14ac:dyDescent="0.3">
      <c r="B3340" s="1" t="s">
        <v>316</v>
      </c>
      <c r="C3340" s="4" t="str">
        <f>VLOOKUP(Tabela1[[#This Row],[Cliente]],'BASE DE CLIENTES'!A:E,2,0)</f>
        <v>Valparaíso de Goiás</v>
      </c>
      <c r="D3340" s="1" t="str">
        <f>VLOOKUP(Tabela1[[#This Row],[Cliente]],'BASE DE CLIENTES'!A:C,3,0)</f>
        <v>GO</v>
      </c>
      <c r="E3340" s="4" t="str">
        <f>CONCATENATE(Tabela1[[#This Row],[CIDADE]],",",Tabela1[[#This Row],[UF]])</f>
        <v>Valparaíso de Goiás,GO</v>
      </c>
      <c r="F3340" s="2">
        <v>45967</v>
      </c>
      <c r="G3340" s="17">
        <v>485</v>
      </c>
      <c r="H3340" s="17">
        <v>820</v>
      </c>
      <c r="I3340" s="6">
        <f>Tabela1[[#This Row],[Valor total]]-Tabela1[[#This Row],[Valor custo]]</f>
        <v>335</v>
      </c>
      <c r="J3340" s="7">
        <f>Tabela1[[#This Row],[MARGEM BRUTA]]/Tabela1[[#This Row],[Valor total]]</f>
        <v>0.40853658536585363</v>
      </c>
      <c r="K3340" s="1" t="str">
        <f>VLOOKUP(Tabela1[[#This Row],[Cliente]],'BASE DE CLIENTES'!A:D,4,0)</f>
        <v>SERRALHEIRO</v>
      </c>
      <c r="L3340" s="1" t="str">
        <f>VLOOKUP(Tabela1[[#This Row],[Cliente]],'BASE DE CLIENTES'!A:E,5,0)</f>
        <v>Valparaíso de Goiás</v>
      </c>
    </row>
    <row r="3341" spans="2:12" x14ac:dyDescent="0.3">
      <c r="B3341" s="1" t="s">
        <v>97</v>
      </c>
      <c r="C3341" s="4" t="str">
        <f>VLOOKUP(Tabela1[[#This Row],[Cliente]],'BASE DE CLIENTES'!A:E,2,0)</f>
        <v>Brasília</v>
      </c>
      <c r="D3341" s="1" t="str">
        <f>VLOOKUP(Tabela1[[#This Row],[Cliente]],'BASE DE CLIENTES'!A:C,3,0)</f>
        <v>DF</v>
      </c>
      <c r="E3341" s="4" t="str">
        <f>CONCATENATE(Tabela1[[#This Row],[CIDADE]],",",Tabela1[[#This Row],[UF]])</f>
        <v>Brasília,DF</v>
      </c>
      <c r="F3341" s="2">
        <v>45967</v>
      </c>
      <c r="G3341" s="17">
        <v>42</v>
      </c>
      <c r="H3341" s="17">
        <v>55</v>
      </c>
      <c r="I3341" s="6">
        <f>Tabela1[[#This Row],[Valor total]]-Tabela1[[#This Row],[Valor custo]]</f>
        <v>13</v>
      </c>
      <c r="J3341" s="7">
        <f>Tabela1[[#This Row],[MARGEM BRUTA]]/Tabela1[[#This Row],[Valor total]]</f>
        <v>0.23636363636363636</v>
      </c>
      <c r="K3341" s="1" t="str">
        <f>VLOOKUP(Tabela1[[#This Row],[Cliente]],'BASE DE CLIENTES'!A:D,4,0)</f>
        <v>SERRALHEIRO</v>
      </c>
      <c r="L3341" s="1" t="str">
        <f>VLOOKUP(Tabela1[[#This Row],[Cliente]],'BASE DE CLIENTES'!A:E,5,0)</f>
        <v>CEILANDIA NORTE</v>
      </c>
    </row>
    <row r="3342" spans="2:12" x14ac:dyDescent="0.3">
      <c r="B3342" s="1" t="s">
        <v>350</v>
      </c>
      <c r="C3342" s="4" t="str">
        <f>VLOOKUP(Tabela1[[#This Row],[Cliente]],'BASE DE CLIENTES'!A:E,2,0)</f>
        <v>Águas Lindas de Goiás</v>
      </c>
      <c r="D3342" s="1" t="str">
        <f>VLOOKUP(Tabela1[[#This Row],[Cliente]],'BASE DE CLIENTES'!A:C,3,0)</f>
        <v>GO</v>
      </c>
      <c r="E3342" s="4" t="str">
        <f>CONCATENATE(Tabela1[[#This Row],[CIDADE]],",",Tabela1[[#This Row],[UF]])</f>
        <v>Águas Lindas de Goiás,GO</v>
      </c>
      <c r="F3342" s="2">
        <v>45967</v>
      </c>
      <c r="G3342" s="17">
        <v>139.41999999999999</v>
      </c>
      <c r="H3342" s="17">
        <v>340</v>
      </c>
      <c r="I3342" s="6">
        <f>Tabela1[[#This Row],[Valor total]]-Tabela1[[#This Row],[Valor custo]]</f>
        <v>200.58</v>
      </c>
      <c r="J3342" s="7">
        <f>Tabela1[[#This Row],[MARGEM BRUTA]]/Tabela1[[#This Row],[Valor total]]</f>
        <v>0.5899411764705883</v>
      </c>
      <c r="K3342" s="1" t="str">
        <f>VLOOKUP(Tabela1[[#This Row],[Cliente]],'BASE DE CLIENTES'!A:D,4,0)</f>
        <v>CLIENTE NOVO S/ IDENT.</v>
      </c>
      <c r="L3342" s="1" t="str">
        <f>VLOOKUP(Tabela1[[#This Row],[Cliente]],'BASE DE CLIENTES'!A:E,5,0)</f>
        <v>Águas Lindas de Goiás</v>
      </c>
    </row>
    <row r="3343" spans="2:12" x14ac:dyDescent="0.3">
      <c r="B3343" s="1" t="s">
        <v>169</v>
      </c>
      <c r="C3343" s="4" t="str">
        <f>VLOOKUP(Tabela1[[#This Row],[Cliente]],'BASE DE CLIENTES'!A:E,2,0)</f>
        <v>Planaltina</v>
      </c>
      <c r="D3343" s="1" t="str">
        <f>VLOOKUP(Tabela1[[#This Row],[Cliente]],'BASE DE CLIENTES'!A:C,3,0)</f>
        <v>GO</v>
      </c>
      <c r="E3343" s="4" t="str">
        <f>CONCATENATE(Tabela1[[#This Row],[CIDADE]],",",Tabela1[[#This Row],[UF]])</f>
        <v>Planaltina,GO</v>
      </c>
      <c r="F3343" s="2">
        <v>45967</v>
      </c>
      <c r="G3343" s="17">
        <v>485</v>
      </c>
      <c r="H3343" s="17">
        <v>850</v>
      </c>
      <c r="I3343" s="6">
        <f>Tabela1[[#This Row],[Valor total]]-Tabela1[[#This Row],[Valor custo]]</f>
        <v>365</v>
      </c>
      <c r="J3343" s="7">
        <f>Tabela1[[#This Row],[MARGEM BRUTA]]/Tabela1[[#This Row],[Valor total]]</f>
        <v>0.42941176470588233</v>
      </c>
      <c r="K3343" s="1" t="str">
        <f>VLOOKUP(Tabela1[[#This Row],[Cliente]],'BASE DE CLIENTES'!A:D,4,0)</f>
        <v>SERRALHEIRO</v>
      </c>
      <c r="L3343" s="1" t="str">
        <f>VLOOKUP(Tabela1[[#This Row],[Cliente]],'BASE DE CLIENTES'!A:E,5,0)</f>
        <v>Planaltina</v>
      </c>
    </row>
    <row r="3344" spans="2:12" x14ac:dyDescent="0.3">
      <c r="B3344" s="1" t="s">
        <v>30</v>
      </c>
      <c r="C3344" s="4" t="str">
        <f>VLOOKUP(Tabela1[[#This Row],[Cliente]],'BASE DE CLIENTES'!A:E,2,0)</f>
        <v>Águas Lindas de Goiás</v>
      </c>
      <c r="D3344" s="1" t="str">
        <f>VLOOKUP(Tabela1[[#This Row],[Cliente]],'BASE DE CLIENTES'!A:C,3,0)</f>
        <v>GO</v>
      </c>
      <c r="E3344" s="4" t="str">
        <f>CONCATENATE(Tabela1[[#This Row],[CIDADE]],",",Tabela1[[#This Row],[UF]])</f>
        <v>Águas Lindas de Goiás,GO</v>
      </c>
      <c r="F3344" s="2">
        <v>45967</v>
      </c>
      <c r="G3344" s="17">
        <v>463</v>
      </c>
      <c r="H3344" s="17">
        <v>780</v>
      </c>
      <c r="I3344" s="6">
        <f>Tabela1[[#This Row],[Valor total]]-Tabela1[[#This Row],[Valor custo]]</f>
        <v>317</v>
      </c>
      <c r="J3344" s="7">
        <f>Tabela1[[#This Row],[MARGEM BRUTA]]/Tabela1[[#This Row],[Valor total]]</f>
        <v>0.40641025641025641</v>
      </c>
      <c r="K3344" s="1" t="str">
        <f>VLOOKUP(Tabela1[[#This Row],[Cliente]],'BASE DE CLIENTES'!A:D,4,0)</f>
        <v>SERRALHEIRO</v>
      </c>
      <c r="L3344" s="1" t="str">
        <f>VLOOKUP(Tabela1[[#This Row],[Cliente]],'BASE DE CLIENTES'!A:E,5,0)</f>
        <v>Águas Lindas de Goiás</v>
      </c>
    </row>
    <row r="3345" spans="2:12" x14ac:dyDescent="0.3">
      <c r="B3345" s="1" t="s">
        <v>178</v>
      </c>
      <c r="C3345" s="4" t="str">
        <f>VLOOKUP(Tabela1[[#This Row],[Cliente]],'BASE DE CLIENTES'!A:E,2,0)</f>
        <v xml:space="preserve">Belém </v>
      </c>
      <c r="D3345" s="1" t="str">
        <f>VLOOKUP(Tabela1[[#This Row],[Cliente]],'BASE DE CLIENTES'!A:C,3,0)</f>
        <v>PA</v>
      </c>
      <c r="E3345" s="4" t="str">
        <f>CONCATENATE(Tabela1[[#This Row],[CIDADE]],",",Tabela1[[#This Row],[UF]])</f>
        <v>Belém ,PA</v>
      </c>
      <c r="F3345" s="2">
        <v>45966</v>
      </c>
      <c r="G3345" s="17">
        <v>9507.9</v>
      </c>
      <c r="H3345" s="17">
        <v>15300</v>
      </c>
      <c r="I3345" s="6">
        <f>Tabela1[[#This Row],[Valor total]]-Tabela1[[#This Row],[Valor custo]]</f>
        <v>5792.1</v>
      </c>
      <c r="J3345" s="7">
        <f>Tabela1[[#This Row],[MARGEM BRUTA]]/Tabela1[[#This Row],[Valor total]]</f>
        <v>0.37856862745098041</v>
      </c>
      <c r="K3345" s="1" t="str">
        <f>VLOOKUP(Tabela1[[#This Row],[Cliente]],'BASE DE CLIENTES'!A:D,4,0)</f>
        <v>EMPRESA COM MAQUINA</v>
      </c>
      <c r="L3345" s="1" t="str">
        <f>VLOOKUP(Tabela1[[#This Row],[Cliente]],'BASE DE CLIENTES'!A:E,5,0)</f>
        <v xml:space="preserve">Belém </v>
      </c>
    </row>
    <row r="3346" spans="2:12" x14ac:dyDescent="0.3">
      <c r="B3346" s="1" t="s">
        <v>247</v>
      </c>
      <c r="C3346" s="4" t="str">
        <f>VLOOKUP(Tabela1[[#This Row],[Cliente]],'BASE DE CLIENTES'!A:E,2,0)</f>
        <v>Goianira</v>
      </c>
      <c r="D3346" s="1" t="str">
        <f>VLOOKUP(Tabela1[[#This Row],[Cliente]],'BASE DE CLIENTES'!A:C,3,0)</f>
        <v>GO</v>
      </c>
      <c r="E3346" s="4" t="str">
        <f>CONCATENATE(Tabela1[[#This Row],[CIDADE]],",",Tabela1[[#This Row],[UF]])</f>
        <v>Goianira,GO</v>
      </c>
      <c r="F3346" s="2">
        <v>45966</v>
      </c>
      <c r="G3346" s="17">
        <v>7079.9</v>
      </c>
      <c r="H3346" s="17">
        <v>10955</v>
      </c>
      <c r="I3346" s="6">
        <f>Tabela1[[#This Row],[Valor total]]-Tabela1[[#This Row],[Valor custo]]</f>
        <v>3875.1000000000004</v>
      </c>
      <c r="J3346" s="7">
        <f>Tabela1[[#This Row],[MARGEM BRUTA]]/Tabela1[[#This Row],[Valor total]]</f>
        <v>0.35372889091738935</v>
      </c>
      <c r="K3346" s="1" t="str">
        <f>VLOOKUP(Tabela1[[#This Row],[Cliente]],'BASE DE CLIENTES'!A:D,4,0)</f>
        <v>EMPRESA SEM MAQUINA</v>
      </c>
      <c r="L3346" s="1" t="str">
        <f>VLOOKUP(Tabela1[[#This Row],[Cliente]],'BASE DE CLIENTES'!A:E,5,0)</f>
        <v>Goianira</v>
      </c>
    </row>
    <row r="3347" spans="2:12" x14ac:dyDescent="0.3">
      <c r="B3347" s="1" t="s">
        <v>220</v>
      </c>
      <c r="C3347" s="4" t="str">
        <f>VLOOKUP(Tabela1[[#This Row],[Cliente]],'BASE DE CLIENTES'!A:E,2,0)</f>
        <v>Goiânia</v>
      </c>
      <c r="D3347" s="1" t="str">
        <f>VLOOKUP(Tabela1[[#This Row],[Cliente]],'BASE DE CLIENTES'!A:C,3,0)</f>
        <v>GO</v>
      </c>
      <c r="E3347" s="4" t="str">
        <f>CONCATENATE(Tabela1[[#This Row],[CIDADE]],",",Tabela1[[#This Row],[UF]])</f>
        <v>Goiânia,GO</v>
      </c>
      <c r="F3347" s="2">
        <v>45966</v>
      </c>
      <c r="G3347" s="17">
        <v>2050</v>
      </c>
      <c r="H3347" s="17">
        <v>3400</v>
      </c>
      <c r="I3347" s="6">
        <f>Tabela1[[#This Row],[Valor total]]-Tabela1[[#This Row],[Valor custo]]</f>
        <v>1350</v>
      </c>
      <c r="J3347" s="7">
        <f>Tabela1[[#This Row],[MARGEM BRUTA]]/Tabela1[[#This Row],[Valor total]]</f>
        <v>0.39705882352941174</v>
      </c>
      <c r="K3347" s="1" t="str">
        <f>VLOOKUP(Tabela1[[#This Row],[Cliente]],'BASE DE CLIENTES'!A:D,4,0)</f>
        <v>EMPRESA COM MAQUINA</v>
      </c>
      <c r="L3347" s="1" t="str">
        <f>VLOOKUP(Tabela1[[#This Row],[Cliente]],'BASE DE CLIENTES'!A:E,5,0)</f>
        <v>Goiânia</v>
      </c>
    </row>
    <row r="3348" spans="2:12" x14ac:dyDescent="0.3">
      <c r="B3348" s="1" t="s">
        <v>55</v>
      </c>
      <c r="C3348" s="4" t="str">
        <f>VLOOKUP(Tabela1[[#This Row],[Cliente]],'BASE DE CLIENTES'!A:E,2,0)</f>
        <v>Brasília</v>
      </c>
      <c r="D3348" s="1" t="str">
        <f>VLOOKUP(Tabela1[[#This Row],[Cliente]],'BASE DE CLIENTES'!A:C,3,0)</f>
        <v>DF</v>
      </c>
      <c r="E3348" s="4" t="str">
        <f>CONCATENATE(Tabela1[[#This Row],[CIDADE]],",",Tabela1[[#This Row],[UF]])</f>
        <v>Brasília,DF</v>
      </c>
      <c r="F3348" s="2">
        <v>45966</v>
      </c>
      <c r="G3348" s="17">
        <v>432.79</v>
      </c>
      <c r="H3348" s="17">
        <v>700</v>
      </c>
      <c r="I3348" s="6">
        <f>Tabela1[[#This Row],[Valor total]]-Tabela1[[#This Row],[Valor custo]]</f>
        <v>267.20999999999998</v>
      </c>
      <c r="J3348" s="7">
        <f>Tabela1[[#This Row],[MARGEM BRUTA]]/Tabela1[[#This Row],[Valor total]]</f>
        <v>0.38172857142857142</v>
      </c>
      <c r="K3348" s="1" t="str">
        <f>VLOOKUP(Tabela1[[#This Row],[Cliente]],'BASE DE CLIENTES'!A:D,4,0)</f>
        <v>EMPRESA SEM MAQUINA</v>
      </c>
      <c r="L3348" s="1" t="str">
        <f>VLOOKUP(Tabela1[[#This Row],[Cliente]],'BASE DE CLIENTES'!A:E,5,0)</f>
        <v>RECANTO DAS EMAS</v>
      </c>
    </row>
    <row r="3349" spans="2:12" x14ac:dyDescent="0.3">
      <c r="B3349" s="1" t="s">
        <v>27</v>
      </c>
      <c r="C3349" s="4" t="str">
        <f>VLOOKUP(Tabela1[[#This Row],[Cliente]],'BASE DE CLIENTES'!A:E,2,0)</f>
        <v>Brasília</v>
      </c>
      <c r="D3349" s="1" t="str">
        <f>VLOOKUP(Tabela1[[#This Row],[Cliente]],'BASE DE CLIENTES'!A:C,3,0)</f>
        <v>DF</v>
      </c>
      <c r="E3349" s="4" t="str">
        <f>CONCATENATE(Tabela1[[#This Row],[CIDADE]],",",Tabela1[[#This Row],[UF]])</f>
        <v>Brasília,DF</v>
      </c>
      <c r="F3349" s="2">
        <v>45966</v>
      </c>
      <c r="G3349" s="17">
        <v>463</v>
      </c>
      <c r="H3349" s="17">
        <v>600</v>
      </c>
      <c r="I3349" s="6">
        <f>Tabela1[[#This Row],[Valor total]]-Tabela1[[#This Row],[Valor custo]]</f>
        <v>137</v>
      </c>
      <c r="J3349" s="7">
        <f>Tabela1[[#This Row],[MARGEM BRUTA]]/Tabela1[[#This Row],[Valor total]]</f>
        <v>0.22833333333333333</v>
      </c>
      <c r="K3349" s="1" t="str">
        <f>VLOOKUP(Tabela1[[#This Row],[Cliente]],'BASE DE CLIENTES'!A:D,4,0)</f>
        <v>EMPRESA SEM MAQUINA</v>
      </c>
      <c r="L3349" s="1" t="str">
        <f>VLOOKUP(Tabela1[[#This Row],[Cliente]],'BASE DE CLIENTES'!A:E,5,0)</f>
        <v>RECANTO DAS EMAS</v>
      </c>
    </row>
    <row r="3350" spans="2:12" x14ac:dyDescent="0.3">
      <c r="B3350" s="1" t="s">
        <v>230</v>
      </c>
      <c r="C3350" s="4" t="str">
        <f>VLOOKUP(Tabela1[[#This Row],[Cliente]],'BASE DE CLIENTES'!A:E,2,0)</f>
        <v>Brasília</v>
      </c>
      <c r="D3350" s="1" t="str">
        <f>VLOOKUP(Tabela1[[#This Row],[Cliente]],'BASE DE CLIENTES'!A:C,3,0)</f>
        <v>DF</v>
      </c>
      <c r="E3350" s="4" t="str">
        <f>CONCATENATE(Tabela1[[#This Row],[CIDADE]],",",Tabela1[[#This Row],[UF]])</f>
        <v>Brasília,DF</v>
      </c>
      <c r="F3350" s="2">
        <v>45966</v>
      </c>
      <c r="G3350" s="17">
        <v>385</v>
      </c>
      <c r="H3350" s="17">
        <v>600</v>
      </c>
      <c r="I3350" s="6">
        <f>Tabela1[[#This Row],[Valor total]]-Tabela1[[#This Row],[Valor custo]]</f>
        <v>215</v>
      </c>
      <c r="J3350" s="7">
        <f>Tabela1[[#This Row],[MARGEM BRUTA]]/Tabela1[[#This Row],[Valor total]]</f>
        <v>0.35833333333333334</v>
      </c>
      <c r="K3350" s="1" t="str">
        <f>VLOOKUP(Tabela1[[#This Row],[Cliente]],'BASE DE CLIENTES'!A:D,4,0)</f>
        <v>SERRALHEIRO</v>
      </c>
      <c r="L3350" s="1" t="str">
        <f>VLOOKUP(Tabela1[[#This Row],[Cliente]],'BASE DE CLIENTES'!A:E,5,0)</f>
        <v>SETOR HABITACIONAL SAMAMBAIA (VICENTE PIRES)</v>
      </c>
    </row>
    <row r="3351" spans="2:12" x14ac:dyDescent="0.3">
      <c r="B3351" s="1" t="s">
        <v>145</v>
      </c>
      <c r="C3351" s="4" t="str">
        <f>VLOOKUP(Tabela1[[#This Row],[Cliente]],'BASE DE CLIENTES'!A:E,2,0)</f>
        <v>Ananindeua</v>
      </c>
      <c r="D3351" s="1" t="str">
        <f>VLOOKUP(Tabela1[[#This Row],[Cliente]],'BASE DE CLIENTES'!A:C,3,0)</f>
        <v>PA</v>
      </c>
      <c r="E3351" s="4" t="str">
        <f>CONCATENATE(Tabela1[[#This Row],[CIDADE]],",",Tabela1[[#This Row],[UF]])</f>
        <v>Ananindeua,PA</v>
      </c>
      <c r="F3351" s="2">
        <v>45966</v>
      </c>
      <c r="G3351" s="17">
        <v>2230.21</v>
      </c>
      <c r="H3351" s="17">
        <v>3530</v>
      </c>
      <c r="I3351" s="6">
        <f>Tabela1[[#This Row],[Valor total]]-Tabela1[[#This Row],[Valor custo]]</f>
        <v>1299.79</v>
      </c>
      <c r="J3351" s="7">
        <f>Tabela1[[#This Row],[MARGEM BRUTA]]/Tabela1[[#This Row],[Valor total]]</f>
        <v>0.36821246458923512</v>
      </c>
      <c r="K3351" s="1" t="str">
        <f>VLOOKUP(Tabela1[[#This Row],[Cliente]],'BASE DE CLIENTES'!A:D,4,0)</f>
        <v>OUTROS RAMOS</v>
      </c>
      <c r="L3351" s="1" t="str">
        <f>VLOOKUP(Tabela1[[#This Row],[Cliente]],'BASE DE CLIENTES'!A:E,5,0)</f>
        <v>Ananindeua</v>
      </c>
    </row>
    <row r="3352" spans="2:12" x14ac:dyDescent="0.3">
      <c r="B3352" s="1" t="s">
        <v>152</v>
      </c>
      <c r="C3352" s="4" t="str">
        <f>VLOOKUP(Tabela1[[#This Row],[Cliente]],'BASE DE CLIENTES'!A:E,2,0)</f>
        <v>Aparecida de Goiânia</v>
      </c>
      <c r="D3352" s="1" t="str">
        <f>VLOOKUP(Tabela1[[#This Row],[Cliente]],'BASE DE CLIENTES'!A:C,3,0)</f>
        <v>GO</v>
      </c>
      <c r="E3352" s="4" t="str">
        <f>CONCATENATE(Tabela1[[#This Row],[CIDADE]],",",Tabela1[[#This Row],[UF]])</f>
        <v>Aparecida de Goiânia,GO</v>
      </c>
      <c r="F3352" s="2">
        <v>45966</v>
      </c>
      <c r="G3352" s="17">
        <v>250</v>
      </c>
      <c r="H3352" s="17">
        <v>300</v>
      </c>
      <c r="I3352" s="6">
        <f>Tabela1[[#This Row],[Valor total]]-Tabela1[[#This Row],[Valor custo]]</f>
        <v>50</v>
      </c>
      <c r="J3352" s="7">
        <f>Tabela1[[#This Row],[MARGEM BRUTA]]/Tabela1[[#This Row],[Valor total]]</f>
        <v>0.16666666666666666</v>
      </c>
      <c r="K3352" s="1" t="str">
        <f>VLOOKUP(Tabela1[[#This Row],[Cliente]],'BASE DE CLIENTES'!A:D,4,0)</f>
        <v>TECNICO</v>
      </c>
      <c r="L3352" s="1" t="str">
        <f>VLOOKUP(Tabela1[[#This Row],[Cliente]],'BASE DE CLIENTES'!A:E,5,0)</f>
        <v>Aparecida de Goiânia</v>
      </c>
    </row>
    <row r="3353" spans="2:12" x14ac:dyDescent="0.3">
      <c r="B3353" s="1" t="s">
        <v>316</v>
      </c>
      <c r="C3353" s="4" t="str">
        <f>VLOOKUP(Tabela1[[#This Row],[Cliente]],'BASE DE CLIENTES'!A:E,2,0)</f>
        <v>Valparaíso de Goiás</v>
      </c>
      <c r="D3353" s="1" t="str">
        <f>VLOOKUP(Tabela1[[#This Row],[Cliente]],'BASE DE CLIENTES'!A:C,3,0)</f>
        <v>GO</v>
      </c>
      <c r="E3353" s="4" t="str">
        <f>CONCATENATE(Tabela1[[#This Row],[CIDADE]],",",Tabela1[[#This Row],[UF]])</f>
        <v>Valparaíso de Goiás,GO</v>
      </c>
      <c r="F3353" s="2">
        <v>45966</v>
      </c>
      <c r="G3353" s="17">
        <v>649</v>
      </c>
      <c r="H3353" s="17">
        <v>1000</v>
      </c>
      <c r="I3353" s="6">
        <f>Tabela1[[#This Row],[Valor total]]-Tabela1[[#This Row],[Valor custo]]</f>
        <v>351</v>
      </c>
      <c r="J3353" s="7">
        <f>Tabela1[[#This Row],[MARGEM BRUTA]]/Tabela1[[#This Row],[Valor total]]</f>
        <v>0.35099999999999998</v>
      </c>
      <c r="K3353" s="1" t="str">
        <f>VLOOKUP(Tabela1[[#This Row],[Cliente]],'BASE DE CLIENTES'!A:D,4,0)</f>
        <v>SERRALHEIRO</v>
      </c>
      <c r="L3353" s="1" t="str">
        <f>VLOOKUP(Tabela1[[#This Row],[Cliente]],'BASE DE CLIENTES'!A:E,5,0)</f>
        <v>Valparaíso de Goiás</v>
      </c>
    </row>
    <row r="3354" spans="2:12" x14ac:dyDescent="0.3">
      <c r="B3354" s="1" t="s">
        <v>59</v>
      </c>
      <c r="C3354" s="4" t="str">
        <f>VLOOKUP(Tabela1[[#This Row],[Cliente]],'BASE DE CLIENTES'!A:E,2,0)</f>
        <v>Brasília</v>
      </c>
      <c r="D3354" s="1" t="str">
        <f>VLOOKUP(Tabela1[[#This Row],[Cliente]],'BASE DE CLIENTES'!A:C,3,0)</f>
        <v>DF</v>
      </c>
      <c r="E3354" s="4" t="str">
        <f>CONCATENATE(Tabela1[[#This Row],[CIDADE]],",",Tabela1[[#This Row],[UF]])</f>
        <v>Brasília,DF</v>
      </c>
      <c r="F3354" s="2">
        <v>45966</v>
      </c>
      <c r="G3354" s="17">
        <v>0</v>
      </c>
      <c r="H3354" s="17">
        <v>250</v>
      </c>
      <c r="I3354" s="6">
        <f>Tabela1[[#This Row],[Valor total]]-Tabela1[[#This Row],[Valor custo]]</f>
        <v>250</v>
      </c>
      <c r="J3354" s="7">
        <f>Tabela1[[#This Row],[MARGEM BRUTA]]/Tabela1[[#This Row],[Valor total]]</f>
        <v>1</v>
      </c>
      <c r="K3354" s="1" t="str">
        <f>VLOOKUP(Tabela1[[#This Row],[Cliente]],'BASE DE CLIENTES'!A:D,4,0)</f>
        <v>EMPRESA COM MAQUINA</v>
      </c>
      <c r="L3354" s="1" t="str">
        <f>VLOOKUP(Tabela1[[#This Row],[Cliente]],'BASE DE CLIENTES'!A:E,5,0)</f>
        <v>SETOR HABITACIONAL VICENTE PIRES</v>
      </c>
    </row>
    <row r="3355" spans="2:12" x14ac:dyDescent="0.3">
      <c r="B3355" s="1" t="s">
        <v>96</v>
      </c>
      <c r="C3355" s="4" t="str">
        <f>VLOOKUP(Tabela1[[#This Row],[Cliente]],'BASE DE CLIENTES'!A:E,2,0)</f>
        <v>Brasília</v>
      </c>
      <c r="D3355" s="1" t="str">
        <f>VLOOKUP(Tabela1[[#This Row],[Cliente]],'BASE DE CLIENTES'!A:C,3,0)</f>
        <v>DF</v>
      </c>
      <c r="E3355" s="4" t="str">
        <f>CONCATENATE(Tabela1[[#This Row],[CIDADE]],",",Tabela1[[#This Row],[UF]])</f>
        <v>Brasília,DF</v>
      </c>
      <c r="F3355" s="2">
        <v>45966</v>
      </c>
      <c r="G3355" s="17">
        <v>770</v>
      </c>
      <c r="H3355" s="17">
        <v>1230</v>
      </c>
      <c r="I3355" s="6">
        <f>Tabela1[[#This Row],[Valor total]]-Tabela1[[#This Row],[Valor custo]]</f>
        <v>460</v>
      </c>
      <c r="J3355" s="7">
        <f>Tabela1[[#This Row],[MARGEM BRUTA]]/Tabela1[[#This Row],[Valor total]]</f>
        <v>0.37398373983739835</v>
      </c>
      <c r="K3355" s="1" t="str">
        <f>VLOOKUP(Tabela1[[#This Row],[Cliente]],'BASE DE CLIENTES'!A:D,4,0)</f>
        <v>EMPRESA SEM MAQUINA</v>
      </c>
      <c r="L3355" s="1" t="str">
        <f>VLOOKUP(Tabela1[[#This Row],[Cliente]],'BASE DE CLIENTES'!A:E,5,0)</f>
        <v>CEILANDIA NORTE (CEILANDIA)</v>
      </c>
    </row>
    <row r="3356" spans="2:12" x14ac:dyDescent="0.3">
      <c r="B3356" s="1" t="s">
        <v>120</v>
      </c>
      <c r="C3356" s="4" t="str">
        <f>VLOOKUP(Tabela1[[#This Row],[Cliente]],'BASE DE CLIENTES'!A:E,2,0)</f>
        <v>Brasília</v>
      </c>
      <c r="D3356" s="1" t="str">
        <f>VLOOKUP(Tabela1[[#This Row],[Cliente]],'BASE DE CLIENTES'!A:C,3,0)</f>
        <v>DF</v>
      </c>
      <c r="E3356" s="4" t="str">
        <f>CONCATENATE(Tabela1[[#This Row],[CIDADE]],",",Tabela1[[#This Row],[UF]])</f>
        <v>Brasília,DF</v>
      </c>
      <c r="F3356" s="2">
        <v>45966</v>
      </c>
      <c r="G3356" s="17">
        <v>275</v>
      </c>
      <c r="H3356" s="17">
        <v>750</v>
      </c>
      <c r="I3356" s="6">
        <f>Tabela1[[#This Row],[Valor total]]-Tabela1[[#This Row],[Valor custo]]</f>
        <v>475</v>
      </c>
      <c r="J3356" s="7">
        <f>Tabela1[[#This Row],[MARGEM BRUTA]]/Tabela1[[#This Row],[Valor total]]</f>
        <v>0.6333333333333333</v>
      </c>
      <c r="K3356" s="1" t="str">
        <f>VLOOKUP(Tabela1[[#This Row],[Cliente]],'BASE DE CLIENTES'!A:D,4,0)</f>
        <v>EMPRESA SEM MAQUINA</v>
      </c>
      <c r="L3356" s="1" t="str">
        <f>VLOOKUP(Tabela1[[#This Row],[Cliente]],'BASE DE CLIENTES'!A:E,5,0)</f>
        <v>SAMAMBAIA</v>
      </c>
    </row>
    <row r="3357" spans="2:12" x14ac:dyDescent="0.3">
      <c r="B3357" s="1" t="s">
        <v>17</v>
      </c>
      <c r="C3357" s="4" t="str">
        <f>VLOOKUP(Tabela1[[#This Row],[Cliente]],'BASE DE CLIENTES'!A:E,2,0)</f>
        <v>Águas Lindas de Goiás</v>
      </c>
      <c r="D3357" s="1" t="str">
        <f>VLOOKUP(Tabela1[[#This Row],[Cliente]],'BASE DE CLIENTES'!A:C,3,0)</f>
        <v>GO</v>
      </c>
      <c r="E3357" s="4" t="str">
        <f>CONCATENATE(Tabela1[[#This Row],[CIDADE]],",",Tabela1[[#This Row],[UF]])</f>
        <v>Águas Lindas de Goiás,GO</v>
      </c>
      <c r="F3357" s="2">
        <v>45966</v>
      </c>
      <c r="G3357" s="17">
        <v>889.98</v>
      </c>
      <c r="H3357" s="17">
        <v>1432</v>
      </c>
      <c r="I3357" s="6">
        <f>Tabela1[[#This Row],[Valor total]]-Tabela1[[#This Row],[Valor custo]]</f>
        <v>542.02</v>
      </c>
      <c r="J3357" s="7">
        <f>Tabela1[[#This Row],[MARGEM BRUTA]]/Tabela1[[#This Row],[Valor total]]</f>
        <v>0.37850558659217876</v>
      </c>
      <c r="K3357" s="1" t="str">
        <f>VLOOKUP(Tabela1[[#This Row],[Cliente]],'BASE DE CLIENTES'!A:D,4,0)</f>
        <v>SERRALHEIRO</v>
      </c>
      <c r="L3357" s="1" t="str">
        <f>VLOOKUP(Tabela1[[#This Row],[Cliente]],'BASE DE CLIENTES'!A:E,5,0)</f>
        <v>Águas Lindas de Goiás</v>
      </c>
    </row>
    <row r="3358" spans="2:12" x14ac:dyDescent="0.3">
      <c r="B3358" s="1" t="s">
        <v>144</v>
      </c>
      <c r="C3358" s="4" t="str">
        <f>VLOOKUP(Tabela1[[#This Row],[Cliente]],'BASE DE CLIENTES'!A:E,2,0)</f>
        <v>Alexânia</v>
      </c>
      <c r="D3358" s="1" t="str">
        <f>VLOOKUP(Tabela1[[#This Row],[Cliente]],'BASE DE CLIENTES'!A:C,3,0)</f>
        <v>GO</v>
      </c>
      <c r="E3358" s="4" t="str">
        <f>CONCATENATE(Tabela1[[#This Row],[CIDADE]],",",Tabela1[[#This Row],[UF]])</f>
        <v>Alexânia,GO</v>
      </c>
      <c r="F3358" s="2">
        <v>45966</v>
      </c>
      <c r="G3358" s="17">
        <v>1947</v>
      </c>
      <c r="H3358" s="17">
        <v>2700</v>
      </c>
      <c r="I3358" s="6">
        <f>Tabela1[[#This Row],[Valor total]]-Tabela1[[#This Row],[Valor custo]]</f>
        <v>753</v>
      </c>
      <c r="J3358" s="7">
        <f>Tabela1[[#This Row],[MARGEM BRUTA]]/Tabela1[[#This Row],[Valor total]]</f>
        <v>0.27888888888888891</v>
      </c>
      <c r="K3358" s="1" t="str">
        <f>VLOOKUP(Tabela1[[#This Row],[Cliente]],'BASE DE CLIENTES'!A:D,4,0)</f>
        <v>SERRALHEIRO</v>
      </c>
      <c r="L3358" s="1" t="str">
        <f>VLOOKUP(Tabela1[[#This Row],[Cliente]],'BASE DE CLIENTES'!A:E,5,0)</f>
        <v>Alexânia</v>
      </c>
    </row>
    <row r="3359" spans="2:12" x14ac:dyDescent="0.3">
      <c r="B3359" s="1" t="s">
        <v>236</v>
      </c>
      <c r="C3359" s="4" t="str">
        <f>VLOOKUP(Tabela1[[#This Row],[Cliente]],'BASE DE CLIENTES'!A:E,2,0)</f>
        <v>Goiânia</v>
      </c>
      <c r="D3359" s="1" t="str">
        <f>VLOOKUP(Tabela1[[#This Row],[Cliente]],'BASE DE CLIENTES'!A:C,3,0)</f>
        <v>GO</v>
      </c>
      <c r="E3359" s="4" t="str">
        <f>CONCATENATE(Tabela1[[#This Row],[CIDADE]],",",Tabela1[[#This Row],[UF]])</f>
        <v>Goiânia,GO</v>
      </c>
      <c r="F3359" s="2">
        <v>45966</v>
      </c>
      <c r="G3359" s="17">
        <v>432.79</v>
      </c>
      <c r="H3359" s="17">
        <v>585</v>
      </c>
      <c r="I3359" s="6">
        <f>Tabela1[[#This Row],[Valor total]]-Tabela1[[#This Row],[Valor custo]]</f>
        <v>152.20999999999998</v>
      </c>
      <c r="J3359" s="7">
        <f>Tabela1[[#This Row],[MARGEM BRUTA]]/Tabela1[[#This Row],[Valor total]]</f>
        <v>0.26018803418803416</v>
      </c>
      <c r="K3359" s="1" t="str">
        <f>VLOOKUP(Tabela1[[#This Row],[Cliente]],'BASE DE CLIENTES'!A:D,4,0)</f>
        <v>EMPRESA COM MAQUINA</v>
      </c>
      <c r="L3359" s="1" t="str">
        <f>VLOOKUP(Tabela1[[#This Row],[Cliente]],'BASE DE CLIENTES'!A:E,5,0)</f>
        <v>Goiânia</v>
      </c>
    </row>
    <row r="3360" spans="2:12" x14ac:dyDescent="0.3">
      <c r="B3360" s="1" t="s">
        <v>70</v>
      </c>
      <c r="C3360" s="4" t="str">
        <f>VLOOKUP(Tabela1[[#This Row],[Cliente]],'BASE DE CLIENTES'!A:E,2,0)</f>
        <v>Brasília</v>
      </c>
      <c r="D3360" s="1" t="str">
        <f>VLOOKUP(Tabela1[[#This Row],[Cliente]],'BASE DE CLIENTES'!A:C,3,0)</f>
        <v>DF</v>
      </c>
      <c r="E3360" s="4" t="str">
        <f>CONCATENATE(Tabela1[[#This Row],[CIDADE]],",",Tabela1[[#This Row],[UF]])</f>
        <v>Brasília,DF</v>
      </c>
      <c r="F3360" s="2">
        <v>45966</v>
      </c>
      <c r="G3360" s="17">
        <v>289</v>
      </c>
      <c r="H3360" s="17">
        <v>515</v>
      </c>
      <c r="I3360" s="6">
        <f>Tabela1[[#This Row],[Valor total]]-Tabela1[[#This Row],[Valor custo]]</f>
        <v>226</v>
      </c>
      <c r="J3360" s="7">
        <f>Tabela1[[#This Row],[MARGEM BRUTA]]/Tabela1[[#This Row],[Valor total]]</f>
        <v>0.43883495145631068</v>
      </c>
      <c r="K3360" s="1" t="str">
        <f>VLOOKUP(Tabela1[[#This Row],[Cliente]],'BASE DE CLIENTES'!A:D,4,0)</f>
        <v>EMPRESA COM MAQUINA</v>
      </c>
      <c r="L3360" s="1" t="str">
        <f>VLOOKUP(Tabela1[[#This Row],[Cliente]],'BASE DE CLIENTES'!A:E,5,0)</f>
        <v>TAGUATINGA NORTE (TAGUATINGA)</v>
      </c>
    </row>
    <row r="3361" spans="2:12" x14ac:dyDescent="0.3">
      <c r="B3361" s="1" t="s">
        <v>184</v>
      </c>
      <c r="C3361" s="4" t="str">
        <f>VLOOKUP(Tabela1[[#This Row],[Cliente]],'BASE DE CLIENTES'!A:E,2,0)</f>
        <v>Castanhal</v>
      </c>
      <c r="D3361" s="1" t="str">
        <f>VLOOKUP(Tabela1[[#This Row],[Cliente]],'BASE DE CLIENTES'!A:C,3,0)</f>
        <v>PA</v>
      </c>
      <c r="E3361" s="4" t="str">
        <f>CONCATENATE(Tabela1[[#This Row],[CIDADE]],",",Tabela1[[#This Row],[UF]])</f>
        <v>Castanhal,PA</v>
      </c>
      <c r="F3361" s="2">
        <v>45966</v>
      </c>
      <c r="G3361" s="17">
        <v>13767.9</v>
      </c>
      <c r="H3361" s="17">
        <v>21224</v>
      </c>
      <c r="I3361" s="6">
        <f>Tabela1[[#This Row],[Valor total]]-Tabela1[[#This Row],[Valor custo]]</f>
        <v>7456.1</v>
      </c>
      <c r="J3361" s="7">
        <f>Tabela1[[#This Row],[MARGEM BRUTA]]/Tabela1[[#This Row],[Valor total]]</f>
        <v>0.35130512627214477</v>
      </c>
      <c r="K3361" s="1" t="str">
        <f>VLOOKUP(Tabela1[[#This Row],[Cliente]],'BASE DE CLIENTES'!A:D,4,0)</f>
        <v>EMPRESA COM MAQUINA</v>
      </c>
      <c r="L3361" s="1" t="str">
        <f>VLOOKUP(Tabela1[[#This Row],[Cliente]],'BASE DE CLIENTES'!A:E,5,0)</f>
        <v>Castanhal</v>
      </c>
    </row>
    <row r="3362" spans="2:12" x14ac:dyDescent="0.3">
      <c r="B3362" s="1" t="s">
        <v>55</v>
      </c>
      <c r="C3362" s="4" t="str">
        <f>VLOOKUP(Tabela1[[#This Row],[Cliente]],'BASE DE CLIENTES'!A:E,2,0)</f>
        <v>Brasília</v>
      </c>
      <c r="D3362" s="1" t="str">
        <f>VLOOKUP(Tabela1[[#This Row],[Cliente]],'BASE DE CLIENTES'!A:C,3,0)</f>
        <v>DF</v>
      </c>
      <c r="E3362" s="4" t="str">
        <f>CONCATENATE(Tabela1[[#This Row],[CIDADE]],",",Tabela1[[#This Row],[UF]])</f>
        <v>Brasília,DF</v>
      </c>
      <c r="F3362" s="2">
        <v>45965</v>
      </c>
      <c r="G3362" s="17">
        <v>48</v>
      </c>
      <c r="H3362" s="17">
        <v>60</v>
      </c>
      <c r="I3362" s="6">
        <f>Tabela1[[#This Row],[Valor total]]-Tabela1[[#This Row],[Valor custo]]</f>
        <v>12</v>
      </c>
      <c r="J3362" s="7">
        <f>Tabela1[[#This Row],[MARGEM BRUTA]]/Tabela1[[#This Row],[Valor total]]</f>
        <v>0.2</v>
      </c>
      <c r="K3362" s="1" t="str">
        <f>VLOOKUP(Tabela1[[#This Row],[Cliente]],'BASE DE CLIENTES'!A:D,4,0)</f>
        <v>EMPRESA SEM MAQUINA</v>
      </c>
      <c r="L3362" s="1" t="str">
        <f>VLOOKUP(Tabela1[[#This Row],[Cliente]],'BASE DE CLIENTES'!A:E,5,0)</f>
        <v>RECANTO DAS EMAS</v>
      </c>
    </row>
    <row r="3363" spans="2:12" x14ac:dyDescent="0.3">
      <c r="B3363" s="1" t="s">
        <v>55</v>
      </c>
      <c r="C3363" s="4" t="str">
        <f>VLOOKUP(Tabela1[[#This Row],[Cliente]],'BASE DE CLIENTES'!A:E,2,0)</f>
        <v>Brasília</v>
      </c>
      <c r="D3363" s="1" t="str">
        <f>VLOOKUP(Tabela1[[#This Row],[Cliente]],'BASE DE CLIENTES'!A:C,3,0)</f>
        <v>DF</v>
      </c>
      <c r="E3363" s="4" t="str">
        <f>CONCATENATE(Tabela1[[#This Row],[CIDADE]],",",Tabela1[[#This Row],[UF]])</f>
        <v>Brasília,DF</v>
      </c>
      <c r="F3363" s="2">
        <v>45965</v>
      </c>
      <c r="G3363" s="17">
        <v>1463.58</v>
      </c>
      <c r="H3363" s="17">
        <v>2550</v>
      </c>
      <c r="I3363" s="6">
        <f>Tabela1[[#This Row],[Valor total]]-Tabela1[[#This Row],[Valor custo]]</f>
        <v>1086.42</v>
      </c>
      <c r="J3363" s="7">
        <f>Tabela1[[#This Row],[MARGEM BRUTA]]/Tabela1[[#This Row],[Valor total]]</f>
        <v>0.42604705882352945</v>
      </c>
      <c r="K3363" s="1" t="str">
        <f>VLOOKUP(Tabela1[[#This Row],[Cliente]],'BASE DE CLIENTES'!A:D,4,0)</f>
        <v>EMPRESA SEM MAQUINA</v>
      </c>
      <c r="L3363" s="1" t="str">
        <f>VLOOKUP(Tabela1[[#This Row],[Cliente]],'BASE DE CLIENTES'!A:E,5,0)</f>
        <v>RECANTO DAS EMAS</v>
      </c>
    </row>
    <row r="3364" spans="2:12" x14ac:dyDescent="0.3">
      <c r="B3364" s="1" t="s">
        <v>329</v>
      </c>
      <c r="C3364" s="4" t="str">
        <f>VLOOKUP(Tabela1[[#This Row],[Cliente]],'BASE DE CLIENTES'!A:E,2,0)</f>
        <v>Rondonópolis</v>
      </c>
      <c r="D3364" s="1" t="str">
        <f>VLOOKUP(Tabela1[[#This Row],[Cliente]],'BASE DE CLIENTES'!A:C,3,0)</f>
        <v>MS</v>
      </c>
      <c r="E3364" s="4" t="str">
        <f>CONCATENATE(Tabela1[[#This Row],[CIDADE]],",",Tabela1[[#This Row],[UF]])</f>
        <v>Rondonópolis,MS</v>
      </c>
      <c r="F3364" s="2">
        <v>45965</v>
      </c>
      <c r="G3364" s="17">
        <v>664</v>
      </c>
      <c r="H3364" s="17">
        <v>1000</v>
      </c>
      <c r="I3364" s="6">
        <f>Tabela1[[#This Row],[Valor total]]-Tabela1[[#This Row],[Valor custo]]</f>
        <v>336</v>
      </c>
      <c r="J3364" s="7">
        <f>Tabela1[[#This Row],[MARGEM BRUTA]]/Tabela1[[#This Row],[Valor total]]</f>
        <v>0.33600000000000002</v>
      </c>
      <c r="K3364" s="1" t="str">
        <f>VLOOKUP(Tabela1[[#This Row],[Cliente]],'BASE DE CLIENTES'!A:D,4,0)</f>
        <v>EMPRESA COM MAQUINA</v>
      </c>
      <c r="L3364" s="1" t="str">
        <f>VLOOKUP(Tabela1[[#This Row],[Cliente]],'BASE DE CLIENTES'!A:E,5,0)</f>
        <v>Rondonópolis</v>
      </c>
    </row>
    <row r="3365" spans="2:12" x14ac:dyDescent="0.3">
      <c r="B3365" s="1" t="s">
        <v>308</v>
      </c>
      <c r="C3365" s="4" t="str">
        <f>VLOOKUP(Tabela1[[#This Row],[Cliente]],'BASE DE CLIENTES'!A:E,2,0)</f>
        <v>Uberaba</v>
      </c>
      <c r="D3365" s="1" t="str">
        <f>VLOOKUP(Tabela1[[#This Row],[Cliente]],'BASE DE CLIENTES'!A:C,3,0)</f>
        <v>MG</v>
      </c>
      <c r="E3365" s="4" t="str">
        <f>CONCATENATE(Tabela1[[#This Row],[CIDADE]],",",Tabela1[[#This Row],[UF]])</f>
        <v>Uberaba,MG</v>
      </c>
      <c r="F3365" s="2">
        <v>45965</v>
      </c>
      <c r="G3365" s="17">
        <v>24418.48</v>
      </c>
      <c r="H3365" s="17">
        <v>37232</v>
      </c>
      <c r="I3365" s="6">
        <f>Tabela1[[#This Row],[Valor total]]-Tabela1[[#This Row],[Valor custo]]</f>
        <v>12813.52</v>
      </c>
      <c r="J3365" s="7">
        <f>Tabela1[[#This Row],[MARGEM BRUTA]]/Tabela1[[#This Row],[Valor total]]</f>
        <v>0.34415341641598624</v>
      </c>
      <c r="K3365" s="1" t="str">
        <f>VLOOKUP(Tabela1[[#This Row],[Cliente]],'BASE DE CLIENTES'!A:D,4,0)</f>
        <v>EMPRESA COM MAQUINA</v>
      </c>
      <c r="L3365" s="1" t="str">
        <f>VLOOKUP(Tabela1[[#This Row],[Cliente]],'BASE DE CLIENTES'!A:E,5,0)</f>
        <v>Uberaba</v>
      </c>
    </row>
    <row r="3366" spans="2:12" x14ac:dyDescent="0.3">
      <c r="B3366" s="1" t="s">
        <v>236</v>
      </c>
      <c r="C3366" s="4" t="str">
        <f>VLOOKUP(Tabela1[[#This Row],[Cliente]],'BASE DE CLIENTES'!A:E,2,0)</f>
        <v>Goiânia</v>
      </c>
      <c r="D3366" s="1" t="str">
        <f>VLOOKUP(Tabela1[[#This Row],[Cliente]],'BASE DE CLIENTES'!A:C,3,0)</f>
        <v>GO</v>
      </c>
      <c r="E3366" s="4" t="str">
        <f>CONCATENATE(Tabela1[[#This Row],[CIDADE]],",",Tabela1[[#This Row],[UF]])</f>
        <v>Goiânia,GO</v>
      </c>
      <c r="F3366" s="2">
        <v>45965</v>
      </c>
      <c r="G3366" s="17">
        <v>485</v>
      </c>
      <c r="H3366" s="17">
        <v>735</v>
      </c>
      <c r="I3366" s="6">
        <f>Tabela1[[#This Row],[Valor total]]-Tabela1[[#This Row],[Valor custo]]</f>
        <v>250</v>
      </c>
      <c r="J3366" s="7">
        <f>Tabela1[[#This Row],[MARGEM BRUTA]]/Tabela1[[#This Row],[Valor total]]</f>
        <v>0.3401360544217687</v>
      </c>
      <c r="K3366" s="1" t="str">
        <f>VLOOKUP(Tabela1[[#This Row],[Cliente]],'BASE DE CLIENTES'!A:D,4,0)</f>
        <v>EMPRESA COM MAQUINA</v>
      </c>
      <c r="L3366" s="1" t="str">
        <f>VLOOKUP(Tabela1[[#This Row],[Cliente]],'BASE DE CLIENTES'!A:E,5,0)</f>
        <v>Goiânia</v>
      </c>
    </row>
    <row r="3367" spans="2:12" x14ac:dyDescent="0.3">
      <c r="B3367" s="1" t="s">
        <v>236</v>
      </c>
      <c r="C3367" s="4" t="str">
        <f>VLOOKUP(Tabela1[[#This Row],[Cliente]],'BASE DE CLIENTES'!A:E,2,0)</f>
        <v>Goiânia</v>
      </c>
      <c r="D3367" s="1" t="str">
        <f>VLOOKUP(Tabela1[[#This Row],[Cliente]],'BASE DE CLIENTES'!A:C,3,0)</f>
        <v>GO</v>
      </c>
      <c r="E3367" s="4" t="str">
        <f>CONCATENATE(Tabela1[[#This Row],[CIDADE]],",",Tabela1[[#This Row],[UF]])</f>
        <v>Goiânia,GO</v>
      </c>
      <c r="F3367" s="2">
        <v>45965</v>
      </c>
      <c r="G3367" s="17">
        <v>770</v>
      </c>
      <c r="H3367" s="17">
        <v>1040</v>
      </c>
      <c r="I3367" s="6">
        <f>Tabela1[[#This Row],[Valor total]]-Tabela1[[#This Row],[Valor custo]]</f>
        <v>270</v>
      </c>
      <c r="J3367" s="7">
        <f>Tabela1[[#This Row],[MARGEM BRUTA]]/Tabela1[[#This Row],[Valor total]]</f>
        <v>0.25961538461538464</v>
      </c>
      <c r="K3367" s="1" t="str">
        <f>VLOOKUP(Tabela1[[#This Row],[Cliente]],'BASE DE CLIENTES'!A:D,4,0)</f>
        <v>EMPRESA COM MAQUINA</v>
      </c>
      <c r="L3367" s="1" t="str">
        <f>VLOOKUP(Tabela1[[#This Row],[Cliente]],'BASE DE CLIENTES'!A:E,5,0)</f>
        <v>Goiânia</v>
      </c>
    </row>
    <row r="3368" spans="2:12" x14ac:dyDescent="0.3">
      <c r="B3368" s="1" t="s">
        <v>117</v>
      </c>
      <c r="C3368" s="4" t="str">
        <f>VLOOKUP(Tabela1[[#This Row],[Cliente]],'BASE DE CLIENTES'!A:E,2,0)</f>
        <v>Brasília</v>
      </c>
      <c r="D3368" s="1" t="str">
        <f>VLOOKUP(Tabela1[[#This Row],[Cliente]],'BASE DE CLIENTES'!A:C,3,0)</f>
        <v>DF</v>
      </c>
      <c r="E3368" s="4" t="str">
        <f>CONCATENATE(Tabela1[[#This Row],[CIDADE]],",",Tabela1[[#This Row],[UF]])</f>
        <v>Brasília,DF</v>
      </c>
      <c r="F3368" s="2">
        <v>45965</v>
      </c>
      <c r="G3368" s="17">
        <v>842.38</v>
      </c>
      <c r="H3368" s="17">
        <v>1800</v>
      </c>
      <c r="I3368" s="6">
        <f>Tabela1[[#This Row],[Valor total]]-Tabela1[[#This Row],[Valor custo]]</f>
        <v>957.62</v>
      </c>
      <c r="J3368" s="7">
        <f>Tabela1[[#This Row],[MARGEM BRUTA]]/Tabela1[[#This Row],[Valor total]]</f>
        <v>0.5320111111111111</v>
      </c>
      <c r="K3368" s="1" t="str">
        <f>VLOOKUP(Tabela1[[#This Row],[Cliente]],'BASE DE CLIENTES'!A:D,4,0)</f>
        <v>EMPRESA COM MAQUINA</v>
      </c>
      <c r="L3368" s="1" t="str">
        <f>VLOOKUP(Tabela1[[#This Row],[Cliente]],'BASE DE CLIENTES'!A:E,5,0)</f>
        <v>SETOR HABITACIONAL ARNIQUEIRA (AGUAS CLARAS)</v>
      </c>
    </row>
    <row r="3369" spans="2:12" x14ac:dyDescent="0.3">
      <c r="B3369" s="1" t="s">
        <v>342</v>
      </c>
      <c r="C3369" s="4" t="str">
        <f>VLOOKUP(Tabela1[[#This Row],[Cliente]],'BASE DE CLIENTES'!A:E,2,0)</f>
        <v>Santo Antônio Descoberto</v>
      </c>
      <c r="D3369" s="1" t="str">
        <f>VLOOKUP(Tabela1[[#This Row],[Cliente]],'BASE DE CLIENTES'!A:C,3,0)</f>
        <v>GO</v>
      </c>
      <c r="E3369" s="4" t="str">
        <f>CONCATENATE(Tabela1[[#This Row],[CIDADE]],",",Tabela1[[#This Row],[UF]])</f>
        <v>Santo Antônio Descoberto,GO</v>
      </c>
      <c r="F3369" s="2">
        <v>45965</v>
      </c>
      <c r="G3369" s="17">
        <v>374.56</v>
      </c>
      <c r="H3369" s="17">
        <v>510</v>
      </c>
      <c r="I3369" s="6">
        <f>Tabela1[[#This Row],[Valor total]]-Tabela1[[#This Row],[Valor custo]]</f>
        <v>135.44</v>
      </c>
      <c r="J3369" s="7">
        <f>Tabela1[[#This Row],[MARGEM BRUTA]]/Tabela1[[#This Row],[Valor total]]</f>
        <v>0.26556862745098037</v>
      </c>
      <c r="K3369" s="1" t="str">
        <f>VLOOKUP(Tabela1[[#This Row],[Cliente]],'BASE DE CLIENTES'!A:D,4,0)</f>
        <v>CLIENTE NOVO S/ IDENT.</v>
      </c>
      <c r="L3369" s="1" t="str">
        <f>VLOOKUP(Tabela1[[#This Row],[Cliente]],'BASE DE CLIENTES'!A:E,5,0)</f>
        <v>Santo Antônio Descoberto</v>
      </c>
    </row>
    <row r="3370" spans="2:12" x14ac:dyDescent="0.3">
      <c r="B3370" s="1" t="s">
        <v>206</v>
      </c>
      <c r="C3370" s="4" t="str">
        <f>VLOOKUP(Tabela1[[#This Row],[Cliente]],'BASE DE CLIENTES'!A:E,2,0)</f>
        <v>Goiânia</v>
      </c>
      <c r="D3370" s="1" t="str">
        <f>VLOOKUP(Tabela1[[#This Row],[Cliente]],'BASE DE CLIENTES'!A:C,3,0)</f>
        <v>GO</v>
      </c>
      <c r="E3370" s="4" t="str">
        <f>CONCATENATE(Tabela1[[#This Row],[CIDADE]],",",Tabela1[[#This Row],[UF]])</f>
        <v>Goiânia,GO</v>
      </c>
      <c r="F3370" s="2">
        <v>45965</v>
      </c>
      <c r="G3370" s="17">
        <v>5556</v>
      </c>
      <c r="H3370" s="17">
        <v>7560</v>
      </c>
      <c r="I3370" s="6">
        <f>Tabela1[[#This Row],[Valor total]]-Tabela1[[#This Row],[Valor custo]]</f>
        <v>2004</v>
      </c>
      <c r="J3370" s="7">
        <f>Tabela1[[#This Row],[MARGEM BRUTA]]/Tabela1[[#This Row],[Valor total]]</f>
        <v>0.26507936507936508</v>
      </c>
      <c r="K3370" s="1" t="str">
        <f>VLOOKUP(Tabela1[[#This Row],[Cliente]],'BASE DE CLIENTES'!A:D,4,0)</f>
        <v>EMPRESA COM MAQUINA</v>
      </c>
      <c r="L3370" s="1" t="str">
        <f>VLOOKUP(Tabela1[[#This Row],[Cliente]],'BASE DE CLIENTES'!A:E,5,0)</f>
        <v>Goiânia</v>
      </c>
    </row>
    <row r="3371" spans="2:12" x14ac:dyDescent="0.3">
      <c r="B3371" s="1" t="s">
        <v>70</v>
      </c>
      <c r="C3371" s="4" t="str">
        <f>VLOOKUP(Tabela1[[#This Row],[Cliente]],'BASE DE CLIENTES'!A:E,2,0)</f>
        <v>Brasília</v>
      </c>
      <c r="D3371" s="1" t="str">
        <f>VLOOKUP(Tabela1[[#This Row],[Cliente]],'BASE DE CLIENTES'!A:C,3,0)</f>
        <v>DF</v>
      </c>
      <c r="E3371" s="4" t="str">
        <f>CONCATENATE(Tabela1[[#This Row],[CIDADE]],",",Tabela1[[#This Row],[UF]])</f>
        <v>Brasília,DF</v>
      </c>
      <c r="F3371" s="2">
        <v>45965</v>
      </c>
      <c r="G3371" s="17">
        <v>580.92999999999995</v>
      </c>
      <c r="H3371" s="17">
        <v>835</v>
      </c>
      <c r="I3371" s="6">
        <f>Tabela1[[#This Row],[Valor total]]-Tabela1[[#This Row],[Valor custo]]</f>
        <v>254.07000000000005</v>
      </c>
      <c r="J3371" s="7">
        <f>Tabela1[[#This Row],[MARGEM BRUTA]]/Tabela1[[#This Row],[Valor total]]</f>
        <v>0.30427544910179649</v>
      </c>
      <c r="K3371" s="1" t="str">
        <f>VLOOKUP(Tabela1[[#This Row],[Cliente]],'BASE DE CLIENTES'!A:D,4,0)</f>
        <v>EMPRESA COM MAQUINA</v>
      </c>
      <c r="L3371" s="1" t="str">
        <f>VLOOKUP(Tabela1[[#This Row],[Cliente]],'BASE DE CLIENTES'!A:E,5,0)</f>
        <v>TAGUATINGA NORTE (TAGUATINGA)</v>
      </c>
    </row>
    <row r="3372" spans="2:12" x14ac:dyDescent="0.3">
      <c r="B3372" s="1" t="s">
        <v>299</v>
      </c>
      <c r="C3372" s="4" t="str">
        <f>VLOOKUP(Tabela1[[#This Row],[Cliente]],'BASE DE CLIENTES'!A:E,2,0)</f>
        <v>Santo Antônio Descoberto</v>
      </c>
      <c r="D3372" s="1" t="str">
        <f>VLOOKUP(Tabela1[[#This Row],[Cliente]],'BASE DE CLIENTES'!A:C,3,0)</f>
        <v>GO</v>
      </c>
      <c r="E3372" s="4" t="str">
        <f>CONCATENATE(Tabela1[[#This Row],[CIDADE]],",",Tabela1[[#This Row],[UF]])</f>
        <v>Santo Antônio Descoberto,GO</v>
      </c>
      <c r="F3372" s="2">
        <v>45964</v>
      </c>
      <c r="G3372" s="17">
        <v>94.06</v>
      </c>
      <c r="H3372" s="17">
        <v>170</v>
      </c>
      <c r="I3372" s="6">
        <f>Tabela1[[#This Row],[Valor total]]-Tabela1[[#This Row],[Valor custo]]</f>
        <v>75.94</v>
      </c>
      <c r="J3372" s="7">
        <f>Tabela1[[#This Row],[MARGEM BRUTA]]/Tabela1[[#This Row],[Valor total]]</f>
        <v>0.44670588235294117</v>
      </c>
      <c r="K3372" s="1" t="str">
        <f>VLOOKUP(Tabela1[[#This Row],[Cliente]],'BASE DE CLIENTES'!A:D,4,0)</f>
        <v>SERRALHEIRO</v>
      </c>
      <c r="L3372" s="1" t="str">
        <f>VLOOKUP(Tabela1[[#This Row],[Cliente]],'BASE DE CLIENTES'!A:E,5,0)</f>
        <v>Santo Antônio Descoberto</v>
      </c>
    </row>
    <row r="3373" spans="2:12" x14ac:dyDescent="0.3">
      <c r="B3373" s="1" t="s">
        <v>299</v>
      </c>
      <c r="C3373" s="4" t="str">
        <f>VLOOKUP(Tabela1[[#This Row],[Cliente]],'BASE DE CLIENTES'!A:E,2,0)</f>
        <v>Santo Antônio Descoberto</v>
      </c>
      <c r="D3373" s="1" t="str">
        <f>VLOOKUP(Tabela1[[#This Row],[Cliente]],'BASE DE CLIENTES'!A:C,3,0)</f>
        <v>GO</v>
      </c>
      <c r="E3373" s="4" t="str">
        <f>CONCATENATE(Tabela1[[#This Row],[CIDADE]],",",Tabela1[[#This Row],[UF]])</f>
        <v>Santo Antônio Descoberto,GO</v>
      </c>
      <c r="F3373" s="2">
        <v>45964</v>
      </c>
      <c r="G3373" s="17">
        <v>72.099999999999994</v>
      </c>
      <c r="H3373" s="17">
        <v>300</v>
      </c>
      <c r="I3373" s="6">
        <f>Tabela1[[#This Row],[Valor total]]-Tabela1[[#This Row],[Valor custo]]</f>
        <v>227.9</v>
      </c>
      <c r="J3373" s="7">
        <f>Tabela1[[#This Row],[MARGEM BRUTA]]/Tabela1[[#This Row],[Valor total]]</f>
        <v>0.75966666666666671</v>
      </c>
      <c r="K3373" s="1" t="str">
        <f>VLOOKUP(Tabela1[[#This Row],[Cliente]],'BASE DE CLIENTES'!A:D,4,0)</f>
        <v>SERRALHEIRO</v>
      </c>
      <c r="L3373" s="1" t="str">
        <f>VLOOKUP(Tabela1[[#This Row],[Cliente]],'BASE DE CLIENTES'!A:E,5,0)</f>
        <v>Santo Antônio Descoberto</v>
      </c>
    </row>
    <row r="3374" spans="2:12" x14ac:dyDescent="0.3">
      <c r="B3374" s="1" t="s">
        <v>350</v>
      </c>
      <c r="C3374" s="4" t="str">
        <f>VLOOKUP(Tabela1[[#This Row],[Cliente]],'BASE DE CLIENTES'!A:E,2,0)</f>
        <v>Águas Lindas de Goiás</v>
      </c>
      <c r="D3374" s="1" t="str">
        <f>VLOOKUP(Tabela1[[#This Row],[Cliente]],'BASE DE CLIENTES'!A:C,3,0)</f>
        <v>GO</v>
      </c>
      <c r="E3374" s="4" t="str">
        <f>CONCATENATE(Tabela1[[#This Row],[CIDADE]],",",Tabela1[[#This Row],[UF]])</f>
        <v>Águas Lindas de Goiás,GO</v>
      </c>
      <c r="F3374" s="2">
        <v>45964</v>
      </c>
      <c r="G3374" s="17">
        <v>28.11</v>
      </c>
      <c r="H3374" s="17">
        <v>200</v>
      </c>
      <c r="I3374" s="6">
        <f>Tabela1[[#This Row],[Valor total]]-Tabela1[[#This Row],[Valor custo]]</f>
        <v>171.89</v>
      </c>
      <c r="J3374" s="7">
        <f>Tabela1[[#This Row],[MARGEM BRUTA]]/Tabela1[[#This Row],[Valor total]]</f>
        <v>0.85944999999999994</v>
      </c>
      <c r="K3374" s="1" t="str">
        <f>VLOOKUP(Tabela1[[#This Row],[Cliente]],'BASE DE CLIENTES'!A:D,4,0)</f>
        <v>CLIENTE NOVO S/ IDENT.</v>
      </c>
      <c r="L3374" s="1" t="str">
        <f>VLOOKUP(Tabela1[[#This Row],[Cliente]],'BASE DE CLIENTES'!A:E,5,0)</f>
        <v>Águas Lindas de Goiás</v>
      </c>
    </row>
    <row r="3375" spans="2:12" x14ac:dyDescent="0.3">
      <c r="B3375" s="1" t="s">
        <v>220</v>
      </c>
      <c r="C3375" s="4" t="str">
        <f>VLOOKUP(Tabela1[[#This Row],[Cliente]],'BASE DE CLIENTES'!A:E,2,0)</f>
        <v>Goiânia</v>
      </c>
      <c r="D3375" s="1" t="str">
        <f>VLOOKUP(Tabela1[[#This Row],[Cliente]],'BASE DE CLIENTES'!A:C,3,0)</f>
        <v>GO</v>
      </c>
      <c r="E3375" s="4" t="str">
        <f>CONCATENATE(Tabela1[[#This Row],[CIDADE]],",",Tabela1[[#This Row],[UF]])</f>
        <v>Goiânia,GO</v>
      </c>
      <c r="F3375" s="2">
        <v>45964</v>
      </c>
      <c r="G3375" s="17">
        <v>705</v>
      </c>
      <c r="H3375" s="17">
        <v>1300</v>
      </c>
      <c r="I3375" s="6">
        <f>Tabela1[[#This Row],[Valor total]]-Tabela1[[#This Row],[Valor custo]]</f>
        <v>595</v>
      </c>
      <c r="J3375" s="7">
        <f>Tabela1[[#This Row],[MARGEM BRUTA]]/Tabela1[[#This Row],[Valor total]]</f>
        <v>0.45769230769230768</v>
      </c>
      <c r="K3375" s="1" t="str">
        <f>VLOOKUP(Tabela1[[#This Row],[Cliente]],'BASE DE CLIENTES'!A:D,4,0)</f>
        <v>EMPRESA COM MAQUINA</v>
      </c>
      <c r="L3375" s="1" t="str">
        <f>VLOOKUP(Tabela1[[#This Row],[Cliente]],'BASE DE CLIENTES'!A:E,5,0)</f>
        <v>Goiânia</v>
      </c>
    </row>
    <row r="3376" spans="2:12" x14ac:dyDescent="0.3">
      <c r="B3376" s="1" t="s">
        <v>152</v>
      </c>
      <c r="C3376" s="4" t="str">
        <f>VLOOKUP(Tabela1[[#This Row],[Cliente]],'BASE DE CLIENTES'!A:E,2,0)</f>
        <v>Aparecida de Goiânia</v>
      </c>
      <c r="D3376" s="1" t="str">
        <f>VLOOKUP(Tabela1[[#This Row],[Cliente]],'BASE DE CLIENTES'!A:C,3,0)</f>
        <v>GO</v>
      </c>
      <c r="E3376" s="4" t="str">
        <f>CONCATENATE(Tabela1[[#This Row],[CIDADE]],",",Tabela1[[#This Row],[UF]])</f>
        <v>Aparecida de Goiânia,GO</v>
      </c>
      <c r="F3376" s="2">
        <v>45964</v>
      </c>
      <c r="G3376" s="17">
        <v>649</v>
      </c>
      <c r="H3376" s="17">
        <v>900</v>
      </c>
      <c r="I3376" s="6">
        <f>Tabela1[[#This Row],[Valor total]]-Tabela1[[#This Row],[Valor custo]]</f>
        <v>251</v>
      </c>
      <c r="J3376" s="7">
        <f>Tabela1[[#This Row],[MARGEM BRUTA]]/Tabela1[[#This Row],[Valor total]]</f>
        <v>0.27888888888888891</v>
      </c>
      <c r="K3376" s="1" t="str">
        <f>VLOOKUP(Tabela1[[#This Row],[Cliente]],'BASE DE CLIENTES'!A:D,4,0)</f>
        <v>TECNICO</v>
      </c>
      <c r="L3376" s="1" t="str">
        <f>VLOOKUP(Tabela1[[#This Row],[Cliente]],'BASE DE CLIENTES'!A:E,5,0)</f>
        <v>Aparecida de Goiânia</v>
      </c>
    </row>
    <row r="3377" spans="2:12" x14ac:dyDescent="0.3">
      <c r="B3377" s="1" t="s">
        <v>216</v>
      </c>
      <c r="C3377" s="4" t="str">
        <f>VLOOKUP(Tabela1[[#This Row],[Cliente]],'BASE DE CLIENTES'!A:E,2,0)</f>
        <v>Brasília</v>
      </c>
      <c r="D3377" s="1" t="str">
        <f>VLOOKUP(Tabela1[[#This Row],[Cliente]],'BASE DE CLIENTES'!A:C,3,0)</f>
        <v>DF</v>
      </c>
      <c r="E3377" s="4" t="str">
        <f>CONCATENATE(Tabela1[[#This Row],[CIDADE]],",",Tabela1[[#This Row],[UF]])</f>
        <v>Brasília,DF</v>
      </c>
      <c r="F3377" s="2">
        <v>45964</v>
      </c>
      <c r="G3377" s="17">
        <v>11494.22</v>
      </c>
      <c r="H3377" s="17">
        <v>16900</v>
      </c>
      <c r="I3377" s="6">
        <f>Tabela1[[#This Row],[Valor total]]-Tabela1[[#This Row],[Valor custo]]</f>
        <v>5405.7800000000007</v>
      </c>
      <c r="J3377" s="7">
        <f>Tabela1[[#This Row],[MARGEM BRUTA]]/Tabela1[[#This Row],[Valor total]]</f>
        <v>0.31986863905325447</v>
      </c>
      <c r="K3377" s="1" t="str">
        <f>VLOOKUP(Tabela1[[#This Row],[Cliente]],'BASE DE CLIENTES'!A:D,4,0)</f>
        <v>EMPRESA COM MAQUINA</v>
      </c>
      <c r="L3377" s="1" t="str">
        <f>VLOOKUP(Tabela1[[#This Row],[Cliente]],'BASE DE CLIENTES'!A:E,5,0)</f>
        <v>RIACHO FUNDO II</v>
      </c>
    </row>
    <row r="3378" spans="2:12" x14ac:dyDescent="0.3">
      <c r="B3378" s="1" t="s">
        <v>147</v>
      </c>
      <c r="C3378" s="4" t="str">
        <f>VLOOKUP(Tabela1[[#This Row],[Cliente]],'BASE DE CLIENTES'!A:E,2,0)</f>
        <v>Brasília</v>
      </c>
      <c r="D3378" s="1" t="str">
        <f>VLOOKUP(Tabela1[[#This Row],[Cliente]],'BASE DE CLIENTES'!A:C,3,0)</f>
        <v>DF</v>
      </c>
      <c r="E3378" s="4" t="str">
        <f>CONCATENATE(Tabela1[[#This Row],[CIDADE]],",",Tabela1[[#This Row],[UF]])</f>
        <v>Brasília,DF</v>
      </c>
      <c r="F3378" s="2">
        <v>45964</v>
      </c>
      <c r="G3378" s="17">
        <v>144.19999999999999</v>
      </c>
      <c r="H3378" s="17">
        <v>400</v>
      </c>
      <c r="I3378" s="6">
        <f>Tabela1[[#This Row],[Valor total]]-Tabela1[[#This Row],[Valor custo]]</f>
        <v>255.8</v>
      </c>
      <c r="J3378" s="7">
        <f>Tabela1[[#This Row],[MARGEM BRUTA]]/Tabela1[[#This Row],[Valor total]]</f>
        <v>0.63950000000000007</v>
      </c>
      <c r="K3378" s="1" t="str">
        <f>VLOOKUP(Tabela1[[#This Row],[Cliente]],'BASE DE CLIENTES'!A:D,4,0)</f>
        <v>SEM CLASSIFICAÇÃO</v>
      </c>
      <c r="L3378" s="1" t="str">
        <f>VLOOKUP(Tabela1[[#This Row],[Cliente]],'BASE DE CLIENTES'!A:E,5,0)</f>
        <v>AREAL (AGUAS CLARAS)</v>
      </c>
    </row>
    <row r="3379" spans="2:12" x14ac:dyDescent="0.3">
      <c r="B3379" s="1" t="s">
        <v>38</v>
      </c>
      <c r="C3379" s="4" t="str">
        <f>VLOOKUP(Tabela1[[#This Row],[Cliente]],'BASE DE CLIENTES'!A:E,2,0)</f>
        <v>Brasília</v>
      </c>
      <c r="D3379" s="1" t="str">
        <f>VLOOKUP(Tabela1[[#This Row],[Cliente]],'BASE DE CLIENTES'!A:C,3,0)</f>
        <v>DF</v>
      </c>
      <c r="E3379" s="4" t="str">
        <f>CONCATENATE(Tabela1[[#This Row],[CIDADE]],",",Tabela1[[#This Row],[UF]])</f>
        <v>Brasília,DF</v>
      </c>
      <c r="F3379" s="2">
        <v>45964</v>
      </c>
      <c r="G3379" s="17">
        <v>1419</v>
      </c>
      <c r="H3379" s="17">
        <v>2380</v>
      </c>
      <c r="I3379" s="6">
        <f>Tabela1[[#This Row],[Valor total]]-Tabela1[[#This Row],[Valor custo]]</f>
        <v>961</v>
      </c>
      <c r="J3379" s="7">
        <f>Tabela1[[#This Row],[MARGEM BRUTA]]/Tabela1[[#This Row],[Valor total]]</f>
        <v>0.40378151260504203</v>
      </c>
      <c r="K3379" s="1" t="str">
        <f>VLOOKUP(Tabela1[[#This Row],[Cliente]],'BASE DE CLIENTES'!A:D,4,0)</f>
        <v>EMPRESA SEM MAQUINA</v>
      </c>
      <c r="L3379" s="1" t="str">
        <f>VLOOKUP(Tabela1[[#This Row],[Cliente]],'BASE DE CLIENTES'!A:E,5,0)</f>
        <v>PONTE ALTA NORTE (GAMA)</v>
      </c>
    </row>
    <row r="3380" spans="2:12" x14ac:dyDescent="0.3">
      <c r="B3380" s="1" t="s">
        <v>25</v>
      </c>
      <c r="C3380" s="4" t="str">
        <f>VLOOKUP(Tabela1[[#This Row],[Cliente]],'BASE DE CLIENTES'!A:E,2,0)</f>
        <v>Brasília</v>
      </c>
      <c r="D3380" s="1" t="str">
        <f>VLOOKUP(Tabela1[[#This Row],[Cliente]],'BASE DE CLIENTES'!A:C,3,0)</f>
        <v>DF</v>
      </c>
      <c r="E3380" s="4" t="str">
        <f>CONCATENATE(Tabela1[[#This Row],[CIDADE]],",",Tabela1[[#This Row],[UF]])</f>
        <v>Brasília,DF</v>
      </c>
      <c r="F3380" s="2">
        <v>45964</v>
      </c>
      <c r="G3380" s="17">
        <v>1419</v>
      </c>
      <c r="H3380" s="17">
        <v>2130</v>
      </c>
      <c r="I3380" s="6">
        <f>Tabela1[[#This Row],[Valor total]]-Tabela1[[#This Row],[Valor custo]]</f>
        <v>711</v>
      </c>
      <c r="J3380" s="7">
        <f>Tabela1[[#This Row],[MARGEM BRUTA]]/Tabela1[[#This Row],[Valor total]]</f>
        <v>0.33380281690140845</v>
      </c>
      <c r="K3380" s="1" t="str">
        <f>VLOOKUP(Tabela1[[#This Row],[Cliente]],'BASE DE CLIENTES'!A:D,4,0)</f>
        <v>EMPRESA COM MAQUINA</v>
      </c>
      <c r="L3380" s="1" t="str">
        <f>VLOOKUP(Tabela1[[#This Row],[Cliente]],'BASE DE CLIENTES'!A:E,5,0)</f>
        <v>CEILANDIA NORTE (CEILANDIA)</v>
      </c>
    </row>
    <row r="3381" spans="2:12" x14ac:dyDescent="0.3">
      <c r="B3381" s="1" t="s">
        <v>199</v>
      </c>
      <c r="C3381" s="4" t="str">
        <f>VLOOKUP(Tabela1[[#This Row],[Cliente]],'BASE DE CLIENTES'!A:E,2,0)</f>
        <v>Goiânia</v>
      </c>
      <c r="D3381" s="1" t="str">
        <f>VLOOKUP(Tabela1[[#This Row],[Cliente]],'BASE DE CLIENTES'!A:C,3,0)</f>
        <v>GO</v>
      </c>
      <c r="E3381" s="4" t="str">
        <f>CONCATENATE(Tabela1[[#This Row],[CIDADE]],",",Tabela1[[#This Row],[UF]])</f>
        <v>Goiânia,GO</v>
      </c>
      <c r="F3381" s="2">
        <v>45964</v>
      </c>
      <c r="G3381" s="17">
        <v>4630</v>
      </c>
      <c r="H3381" s="17">
        <v>7500</v>
      </c>
      <c r="I3381" s="6">
        <f>Tabela1[[#This Row],[Valor total]]-Tabela1[[#This Row],[Valor custo]]</f>
        <v>2870</v>
      </c>
      <c r="J3381" s="7">
        <f>Tabela1[[#This Row],[MARGEM BRUTA]]/Tabela1[[#This Row],[Valor total]]</f>
        <v>0.38266666666666665</v>
      </c>
      <c r="K3381" s="1" t="str">
        <f>VLOOKUP(Tabela1[[#This Row],[Cliente]],'BASE DE CLIENTES'!A:D,4,0)</f>
        <v>EMPRESA COM MAQUINA</v>
      </c>
      <c r="L3381" s="1" t="str">
        <f>VLOOKUP(Tabela1[[#This Row],[Cliente]],'BASE DE CLIENTES'!A:E,5,0)</f>
        <v>Goiânia</v>
      </c>
    </row>
    <row r="3382" spans="2:12" x14ac:dyDescent="0.3">
      <c r="B3382" s="1" t="s">
        <v>161</v>
      </c>
      <c r="C3382" s="4" t="str">
        <f>VLOOKUP(Tabela1[[#This Row],[Cliente]],'BASE DE CLIENTES'!A:E,2,0)</f>
        <v>Brasília</v>
      </c>
      <c r="D3382" s="1" t="str">
        <f>VLOOKUP(Tabela1[[#This Row],[Cliente]],'BASE DE CLIENTES'!A:C,3,0)</f>
        <v>DF</v>
      </c>
      <c r="E3382" s="4" t="str">
        <f>CONCATENATE(Tabela1[[#This Row],[CIDADE]],",",Tabela1[[#This Row],[UF]])</f>
        <v>Brasília,DF</v>
      </c>
      <c r="F3382" s="2">
        <v>45964</v>
      </c>
      <c r="G3382" s="17">
        <v>30380.799999999999</v>
      </c>
      <c r="H3382" s="17">
        <v>44125</v>
      </c>
      <c r="I3382" s="6">
        <f>Tabela1[[#This Row],[Valor total]]-Tabela1[[#This Row],[Valor custo]]</f>
        <v>13744.2</v>
      </c>
      <c r="J3382" s="7">
        <f>Tabela1[[#This Row],[MARGEM BRUTA]]/Tabela1[[#This Row],[Valor total]]</f>
        <v>0.31148328611898018</v>
      </c>
      <c r="K3382" s="1" t="str">
        <f>VLOOKUP(Tabela1[[#This Row],[Cliente]],'BASE DE CLIENTES'!A:D,4,0)</f>
        <v>EMPRESA COM MAQUINA</v>
      </c>
      <c r="L3382" s="1" t="str">
        <f>VLOOKUP(Tabela1[[#This Row],[Cliente]],'BASE DE CLIENTES'!A:E,5,0)</f>
        <v>RIACHO FUNDO II</v>
      </c>
    </row>
    <row r="3383" spans="2:12" x14ac:dyDescent="0.3">
      <c r="B3383" s="1" t="s">
        <v>96</v>
      </c>
      <c r="C3383" s="4" t="str">
        <f>VLOOKUP(Tabela1[[#This Row],[Cliente]],'BASE DE CLIENTES'!A:E,2,0)</f>
        <v>Brasília</v>
      </c>
      <c r="D3383" s="1" t="str">
        <f>VLOOKUP(Tabela1[[#This Row],[Cliente]],'BASE DE CLIENTES'!A:C,3,0)</f>
        <v>DF</v>
      </c>
      <c r="E3383" s="4" t="str">
        <f>CONCATENATE(Tabela1[[#This Row],[CIDADE]],",",Tabela1[[#This Row],[UF]])</f>
        <v>Brasília,DF</v>
      </c>
      <c r="F3383" s="2">
        <v>45964</v>
      </c>
      <c r="G3383" s="17">
        <v>432.79</v>
      </c>
      <c r="H3383" s="17">
        <v>650</v>
      </c>
      <c r="I3383" s="6">
        <f>Tabela1[[#This Row],[Valor total]]-Tabela1[[#This Row],[Valor custo]]</f>
        <v>217.20999999999998</v>
      </c>
      <c r="J3383" s="7">
        <f>Tabela1[[#This Row],[MARGEM BRUTA]]/Tabela1[[#This Row],[Valor total]]</f>
        <v>0.33416923076923072</v>
      </c>
      <c r="K3383" s="1" t="str">
        <f>VLOOKUP(Tabela1[[#This Row],[Cliente]],'BASE DE CLIENTES'!A:D,4,0)</f>
        <v>EMPRESA SEM MAQUINA</v>
      </c>
      <c r="L3383" s="1" t="str">
        <f>VLOOKUP(Tabela1[[#This Row],[Cliente]],'BASE DE CLIENTES'!A:E,5,0)</f>
        <v>CEILANDIA NORTE (CEILANDIA)</v>
      </c>
    </row>
    <row r="3384" spans="2:12" x14ac:dyDescent="0.3">
      <c r="B3384" s="1" t="s">
        <v>68</v>
      </c>
      <c r="C3384" s="4" t="str">
        <f>VLOOKUP(Tabela1[[#This Row],[Cliente]],'BASE DE CLIENTES'!A:E,2,0)</f>
        <v>Brasília</v>
      </c>
      <c r="D3384" s="1" t="str">
        <f>VLOOKUP(Tabela1[[#This Row],[Cliente]],'BASE DE CLIENTES'!A:C,3,0)</f>
        <v>DF</v>
      </c>
      <c r="E3384" s="4" t="str">
        <f>CONCATENATE(Tabela1[[#This Row],[CIDADE]],",",Tabela1[[#This Row],[UF]])</f>
        <v>Brasília,DF</v>
      </c>
      <c r="F3384" s="2">
        <v>45964</v>
      </c>
      <c r="G3384" s="17">
        <v>2310</v>
      </c>
      <c r="H3384" s="17">
        <v>3450</v>
      </c>
      <c r="I3384" s="6">
        <f>Tabela1[[#This Row],[Valor total]]-Tabela1[[#This Row],[Valor custo]]</f>
        <v>1140</v>
      </c>
      <c r="J3384" s="7">
        <f>Tabela1[[#This Row],[MARGEM BRUTA]]/Tabela1[[#This Row],[Valor total]]</f>
        <v>0.33043478260869563</v>
      </c>
      <c r="K3384" s="1" t="str">
        <f>VLOOKUP(Tabela1[[#This Row],[Cliente]],'BASE DE CLIENTES'!A:D,4,0)</f>
        <v>EMPRESA COM MAQUINA</v>
      </c>
      <c r="L3384" s="1" t="str">
        <f>VLOOKUP(Tabela1[[#This Row],[Cliente]],'BASE DE CLIENTES'!A:E,5,0)</f>
        <v>SAMAMBAIA SUL (SAMAMBAIA)</v>
      </c>
    </row>
    <row r="3385" spans="2:12" x14ac:dyDescent="0.3">
      <c r="B3385" s="1" t="s">
        <v>150</v>
      </c>
      <c r="C3385" s="4" t="str">
        <f>VLOOKUP(Tabela1[[#This Row],[Cliente]],'BASE DE CLIENTES'!A:E,2,0)</f>
        <v>Anápolis</v>
      </c>
      <c r="D3385" s="1" t="str">
        <f>VLOOKUP(Tabela1[[#This Row],[Cliente]],'BASE DE CLIENTES'!A:C,3,0)</f>
        <v>GO</v>
      </c>
      <c r="E3385" s="4" t="str">
        <f>CONCATENATE(Tabela1[[#This Row],[CIDADE]],",",Tabela1[[#This Row],[UF]])</f>
        <v>Anápolis,GO</v>
      </c>
      <c r="F3385" s="2">
        <v>45964</v>
      </c>
      <c r="G3385" s="17">
        <v>4213</v>
      </c>
      <c r="H3385" s="17">
        <v>6150</v>
      </c>
      <c r="I3385" s="6">
        <f>Tabela1[[#This Row],[Valor total]]-Tabela1[[#This Row],[Valor custo]]</f>
        <v>1937</v>
      </c>
      <c r="J3385" s="7">
        <f>Tabela1[[#This Row],[MARGEM BRUTA]]/Tabela1[[#This Row],[Valor total]]</f>
        <v>0.31495934959349592</v>
      </c>
      <c r="K3385" s="1" t="str">
        <f>VLOOKUP(Tabela1[[#This Row],[Cliente]],'BASE DE CLIENTES'!A:D,4,0)</f>
        <v>EMPRESA COM MAQUINA</v>
      </c>
      <c r="L3385" s="1" t="str">
        <f>VLOOKUP(Tabela1[[#This Row],[Cliente]],'BASE DE CLIENTES'!A:E,5,0)</f>
        <v>Anápolis</v>
      </c>
    </row>
    <row r="3386" spans="2:12" x14ac:dyDescent="0.3">
      <c r="B3386" s="1" t="s">
        <v>303</v>
      </c>
      <c r="C3386" s="4" t="str">
        <f>VLOOKUP(Tabela1[[#This Row],[Cliente]],'BASE DE CLIENTES'!A:E,2,0)</f>
        <v>Trindade</v>
      </c>
      <c r="D3386" s="1" t="str">
        <f>VLOOKUP(Tabela1[[#This Row],[Cliente]],'BASE DE CLIENTES'!A:C,3,0)</f>
        <v>GO</v>
      </c>
      <c r="E3386" s="4" t="str">
        <f>CONCATENATE(Tabela1[[#This Row],[CIDADE]],",",Tabela1[[#This Row],[UF]])</f>
        <v>Trindade,GO</v>
      </c>
      <c r="F3386" s="2">
        <v>45964</v>
      </c>
      <c r="G3386" s="17">
        <v>5338.08</v>
      </c>
      <c r="H3386" s="17">
        <v>8750</v>
      </c>
      <c r="I3386" s="6">
        <f>Tabela1[[#This Row],[Valor total]]-Tabela1[[#This Row],[Valor custo]]</f>
        <v>3411.92</v>
      </c>
      <c r="J3386" s="7">
        <f>Tabela1[[#This Row],[MARGEM BRUTA]]/Tabela1[[#This Row],[Valor total]]</f>
        <v>0.38993371428571427</v>
      </c>
      <c r="K3386" s="1" t="str">
        <f>VLOOKUP(Tabela1[[#This Row],[Cliente]],'BASE DE CLIENTES'!A:D,4,0)</f>
        <v>EMPRESA COM MAQUINA</v>
      </c>
      <c r="L3386" s="1" t="str">
        <f>VLOOKUP(Tabela1[[#This Row],[Cliente]],'BASE DE CLIENTES'!A:E,5,0)</f>
        <v>Trindade</v>
      </c>
    </row>
    <row r="3387" spans="2:12" x14ac:dyDescent="0.3">
      <c r="B3387" s="1" t="s">
        <v>236</v>
      </c>
      <c r="C3387" s="4" t="str">
        <f>VLOOKUP(Tabela1[[#This Row],[Cliente]],'BASE DE CLIENTES'!A:E,2,0)</f>
        <v>Goiânia</v>
      </c>
      <c r="D3387" s="1" t="str">
        <f>VLOOKUP(Tabela1[[#This Row],[Cliente]],'BASE DE CLIENTES'!A:C,3,0)</f>
        <v>GO</v>
      </c>
      <c r="E3387" s="4" t="str">
        <f>CONCATENATE(Tabela1[[#This Row],[CIDADE]],",",Tabela1[[#This Row],[UF]])</f>
        <v>Goiânia,GO</v>
      </c>
      <c r="F3387" s="2">
        <v>46021</v>
      </c>
      <c r="G3387" s="17">
        <v>450.27</v>
      </c>
      <c r="H3387" s="17">
        <v>585</v>
      </c>
      <c r="I3387" s="6">
        <f>Tabela1[[#This Row],[Valor total]]-Tabela1[[#This Row],[Valor custo]]</f>
        <v>134.73000000000002</v>
      </c>
      <c r="J3387" s="7">
        <f>Tabela1[[#This Row],[MARGEM BRUTA]]/Tabela1[[#This Row],[Valor total]]</f>
        <v>0.23030769230769235</v>
      </c>
      <c r="K3387" s="1" t="str">
        <f>VLOOKUP(Tabela1[[#This Row],[Cliente]],'BASE DE CLIENTES'!A:D,4,0)</f>
        <v>EMPRESA COM MAQUINA</v>
      </c>
      <c r="L3387" s="1" t="str">
        <f>VLOOKUP(Tabela1[[#This Row],[Cliente]],'BASE DE CLIENTES'!A:E,5,0)</f>
        <v>Goiânia</v>
      </c>
    </row>
    <row r="3388" spans="2:12" x14ac:dyDescent="0.3">
      <c r="B3388" s="1" t="s">
        <v>66</v>
      </c>
      <c r="C3388" s="4" t="str">
        <f>VLOOKUP(Tabela1[[#This Row],[Cliente]],'BASE DE CLIENTES'!A:E,2,0)</f>
        <v>Águas Lindas de Goiás</v>
      </c>
      <c r="D3388" s="1" t="str">
        <f>VLOOKUP(Tabela1[[#This Row],[Cliente]],'BASE DE CLIENTES'!A:C,3,0)</f>
        <v>GO</v>
      </c>
      <c r="E3388" s="4" t="str">
        <f>CONCATENATE(Tabela1[[#This Row],[CIDADE]],",",Tabela1[[#This Row],[UF]])</f>
        <v>Águas Lindas de Goiás,GO</v>
      </c>
      <c r="F3388" s="2">
        <v>46021</v>
      </c>
      <c r="G3388" s="17">
        <v>780.7</v>
      </c>
      <c r="H3388" s="17">
        <v>1270</v>
      </c>
      <c r="I3388" s="6">
        <f>Tabela1[[#This Row],[Valor total]]-Tabela1[[#This Row],[Valor custo]]</f>
        <v>489.29999999999995</v>
      </c>
      <c r="J3388" s="7">
        <f>Tabela1[[#This Row],[MARGEM BRUTA]]/Tabela1[[#This Row],[Valor total]]</f>
        <v>0.38527559055118105</v>
      </c>
      <c r="K3388" s="1" t="str">
        <f>VLOOKUP(Tabela1[[#This Row],[Cliente]],'BASE DE CLIENTES'!A:D,4,0)</f>
        <v>EMPRESA COM MAQUINA</v>
      </c>
      <c r="L3388" s="1" t="str">
        <f>VLOOKUP(Tabela1[[#This Row],[Cliente]],'BASE DE CLIENTES'!A:E,5,0)</f>
        <v>Águas Lindas de Goiás</v>
      </c>
    </row>
    <row r="3389" spans="2:12" x14ac:dyDescent="0.3">
      <c r="B3389" s="1" t="s">
        <v>106</v>
      </c>
      <c r="C3389" s="4" t="str">
        <f>VLOOKUP(Tabela1[[#This Row],[Cliente]],'BASE DE CLIENTES'!A:E,2,0)</f>
        <v>Brasília</v>
      </c>
      <c r="D3389" s="1" t="str">
        <f>VLOOKUP(Tabela1[[#This Row],[Cliente]],'BASE DE CLIENTES'!A:C,3,0)</f>
        <v>DF</v>
      </c>
      <c r="E3389" s="4" t="str">
        <f>CONCATENATE(Tabela1[[#This Row],[CIDADE]],",",Tabela1[[#This Row],[UF]])</f>
        <v>Brasília,DF</v>
      </c>
      <c r="F3389" s="2">
        <v>46021</v>
      </c>
      <c r="G3389" s="17">
        <v>19451.7</v>
      </c>
      <c r="H3389" s="17">
        <v>27450</v>
      </c>
      <c r="I3389" s="6">
        <f>Tabela1[[#This Row],[Valor total]]-Tabela1[[#This Row],[Valor custo]]</f>
        <v>7998.2999999999993</v>
      </c>
      <c r="J3389" s="7">
        <f>Tabela1[[#This Row],[MARGEM BRUTA]]/Tabela1[[#This Row],[Valor total]]</f>
        <v>0.29137704918032786</v>
      </c>
      <c r="K3389" s="1" t="str">
        <f>VLOOKUP(Tabela1[[#This Row],[Cliente]],'BASE DE CLIENTES'!A:D,4,0)</f>
        <v>EMPRESA COM MAQUINA</v>
      </c>
      <c r="L3389" s="1" t="str">
        <f>VLOOKUP(Tabela1[[#This Row],[Cliente]],'BASE DE CLIENTES'!A:E,5,0)</f>
        <v>26 DE SETEMBRO</v>
      </c>
    </row>
    <row r="3390" spans="2:12" x14ac:dyDescent="0.3">
      <c r="B3390" s="1" t="s">
        <v>220</v>
      </c>
      <c r="C3390" s="4" t="str">
        <f>VLOOKUP(Tabela1[[#This Row],[Cliente]],'BASE DE CLIENTES'!A:E,2,0)</f>
        <v>Goiânia</v>
      </c>
      <c r="D3390" s="1" t="str">
        <f>VLOOKUP(Tabela1[[#This Row],[Cliente]],'BASE DE CLIENTES'!A:C,3,0)</f>
        <v>GO</v>
      </c>
      <c r="E3390" s="4" t="str">
        <f>CONCATENATE(Tabela1[[#This Row],[CIDADE]],",",Tabela1[[#This Row],[UF]])</f>
        <v>Goiânia,GO</v>
      </c>
      <c r="F3390" s="2">
        <v>46021</v>
      </c>
      <c r="G3390" s="17">
        <v>300.18</v>
      </c>
      <c r="H3390" s="17">
        <v>550</v>
      </c>
      <c r="I3390" s="6">
        <f>Tabela1[[#This Row],[Valor total]]-Tabela1[[#This Row],[Valor custo]]</f>
        <v>249.82</v>
      </c>
      <c r="J3390" s="7">
        <f>Tabela1[[#This Row],[MARGEM BRUTA]]/Tabela1[[#This Row],[Valor total]]</f>
        <v>0.4542181818181818</v>
      </c>
      <c r="K3390" s="1" t="str">
        <f>VLOOKUP(Tabela1[[#This Row],[Cliente]],'BASE DE CLIENTES'!A:D,4,0)</f>
        <v>EMPRESA COM MAQUINA</v>
      </c>
      <c r="L3390" s="1" t="str">
        <f>VLOOKUP(Tabela1[[#This Row],[Cliente]],'BASE DE CLIENTES'!A:E,5,0)</f>
        <v>Goiânia</v>
      </c>
    </row>
    <row r="3391" spans="2:12" x14ac:dyDescent="0.3">
      <c r="B3391" s="1" t="s">
        <v>104</v>
      </c>
      <c r="C3391" s="4" t="str">
        <f>VLOOKUP(Tabela1[[#This Row],[Cliente]],'BASE DE CLIENTES'!A:E,2,0)</f>
        <v>Águas Lindas de Goiás</v>
      </c>
      <c r="D3391" s="1" t="str">
        <f>VLOOKUP(Tabela1[[#This Row],[Cliente]],'BASE DE CLIENTES'!A:C,3,0)</f>
        <v>GO</v>
      </c>
      <c r="E3391" s="4" t="str">
        <f>CONCATENATE(Tabela1[[#This Row],[CIDADE]],",",Tabela1[[#This Row],[UF]])</f>
        <v>Águas Lindas de Goiás,GO</v>
      </c>
      <c r="F3391" s="2">
        <v>46021</v>
      </c>
      <c r="G3391" s="17">
        <v>1002.85</v>
      </c>
      <c r="H3391" s="17">
        <v>1601</v>
      </c>
      <c r="I3391" s="6">
        <f>Tabela1[[#This Row],[Valor total]]-Tabela1[[#This Row],[Valor custo]]</f>
        <v>598.15</v>
      </c>
      <c r="J3391" s="7">
        <f>Tabela1[[#This Row],[MARGEM BRUTA]]/Tabela1[[#This Row],[Valor total]]</f>
        <v>0.37361024359775141</v>
      </c>
      <c r="K3391" s="1" t="str">
        <f>VLOOKUP(Tabela1[[#This Row],[Cliente]],'BASE DE CLIENTES'!A:D,4,0)</f>
        <v>EMPRESA SEM MAQUINA</v>
      </c>
      <c r="L3391" s="1" t="str">
        <f>VLOOKUP(Tabela1[[#This Row],[Cliente]],'BASE DE CLIENTES'!A:E,5,0)</f>
        <v>Águas Lindas de Goiás</v>
      </c>
    </row>
    <row r="3392" spans="2:12" x14ac:dyDescent="0.3">
      <c r="B3392" s="1" t="s">
        <v>342</v>
      </c>
      <c r="C3392" s="4" t="str">
        <f>VLOOKUP(Tabela1[[#This Row],[Cliente]],'BASE DE CLIENTES'!A:E,2,0)</f>
        <v>Santo Antônio Descoberto</v>
      </c>
      <c r="D3392" s="1" t="str">
        <f>VLOOKUP(Tabela1[[#This Row],[Cliente]],'BASE DE CLIENTES'!A:C,3,0)</f>
        <v>GO</v>
      </c>
      <c r="E3392" s="4" t="str">
        <f>CONCATENATE(Tabela1[[#This Row],[CIDADE]],",",Tabela1[[#This Row],[UF]])</f>
        <v>Santo Antônio Descoberto,GO</v>
      </c>
      <c r="F3392" s="2">
        <v>46021</v>
      </c>
      <c r="G3392" s="17">
        <v>480.77</v>
      </c>
      <c r="H3392" s="17">
        <v>695</v>
      </c>
      <c r="I3392" s="6">
        <f>Tabela1[[#This Row],[Valor total]]-Tabela1[[#This Row],[Valor custo]]</f>
        <v>214.23000000000002</v>
      </c>
      <c r="J3392" s="7">
        <f>Tabela1[[#This Row],[MARGEM BRUTA]]/Tabela1[[#This Row],[Valor total]]</f>
        <v>0.30824460431654677</v>
      </c>
      <c r="K3392" s="1" t="str">
        <f>VLOOKUP(Tabela1[[#This Row],[Cliente]],'BASE DE CLIENTES'!A:D,4,0)</f>
        <v>CLIENTE NOVO S/ IDENT.</v>
      </c>
      <c r="L3392" s="1" t="str">
        <f>VLOOKUP(Tabela1[[#This Row],[Cliente]],'BASE DE CLIENTES'!A:E,5,0)</f>
        <v>Santo Antônio Descoberto</v>
      </c>
    </row>
    <row r="3393" spans="2:12" x14ac:dyDescent="0.3">
      <c r="B3393" s="1" t="s">
        <v>66</v>
      </c>
      <c r="C3393" s="4" t="str">
        <f>VLOOKUP(Tabela1[[#This Row],[Cliente]],'BASE DE CLIENTES'!A:E,2,0)</f>
        <v>Águas Lindas de Goiás</v>
      </c>
      <c r="D3393" s="1" t="str">
        <f>VLOOKUP(Tabela1[[#This Row],[Cliente]],'BASE DE CLIENTES'!A:C,3,0)</f>
        <v>GO</v>
      </c>
      <c r="E3393" s="4" t="str">
        <f>CONCATENATE(Tabela1[[#This Row],[CIDADE]],",",Tabela1[[#This Row],[UF]])</f>
        <v>Águas Lindas de Goiás,GO</v>
      </c>
      <c r="F3393" s="2">
        <v>46021</v>
      </c>
      <c r="G3393" s="17">
        <v>858.62</v>
      </c>
      <c r="H3393" s="17">
        <v>1315</v>
      </c>
      <c r="I3393" s="6">
        <f>Tabela1[[#This Row],[Valor total]]-Tabela1[[#This Row],[Valor custo]]</f>
        <v>456.38</v>
      </c>
      <c r="J3393" s="7">
        <f>Tabela1[[#This Row],[MARGEM BRUTA]]/Tabela1[[#This Row],[Valor total]]</f>
        <v>0.3470570342205323</v>
      </c>
      <c r="K3393" s="1" t="str">
        <f>VLOOKUP(Tabela1[[#This Row],[Cliente]],'BASE DE CLIENTES'!A:D,4,0)</f>
        <v>EMPRESA COM MAQUINA</v>
      </c>
      <c r="L3393" s="1" t="str">
        <f>VLOOKUP(Tabela1[[#This Row],[Cliente]],'BASE DE CLIENTES'!A:E,5,0)</f>
        <v>Águas Lindas de Goiás</v>
      </c>
    </row>
    <row r="3394" spans="2:12" x14ac:dyDescent="0.3">
      <c r="B3394" s="1" t="s">
        <v>141</v>
      </c>
      <c r="C3394" s="4" t="str">
        <f>VLOOKUP(Tabela1[[#This Row],[Cliente]],'BASE DE CLIENTES'!A:E,2,0)</f>
        <v>Brasília</v>
      </c>
      <c r="D3394" s="1" t="str">
        <f>VLOOKUP(Tabela1[[#This Row],[Cliente]],'BASE DE CLIENTES'!A:C,3,0)</f>
        <v>DF</v>
      </c>
      <c r="E3394" s="4" t="str">
        <f>CONCATENATE(Tabela1[[#This Row],[CIDADE]],",",Tabela1[[#This Row],[UF]])</f>
        <v>Brasília,DF</v>
      </c>
      <c r="F3394" s="2">
        <v>46021</v>
      </c>
      <c r="G3394" s="17">
        <v>923.06</v>
      </c>
      <c r="H3394" s="17">
        <v>1375</v>
      </c>
      <c r="I3394" s="6">
        <f>Tabela1[[#This Row],[Valor total]]-Tabela1[[#This Row],[Valor custo]]</f>
        <v>451.94000000000005</v>
      </c>
      <c r="J3394" s="7">
        <f>Tabela1[[#This Row],[MARGEM BRUTA]]/Tabela1[[#This Row],[Valor total]]</f>
        <v>0.3286836363636364</v>
      </c>
      <c r="K3394" s="1" t="str">
        <f>VLOOKUP(Tabela1[[#This Row],[Cliente]],'BASE DE CLIENTES'!A:D,4,0)</f>
        <v>EMPRESA COM MAQUINA</v>
      </c>
      <c r="L3394" s="1" t="str">
        <f>VLOOKUP(Tabela1[[#This Row],[Cliente]],'BASE DE CLIENTES'!A:E,5,0)</f>
        <v>TAGUATINGA</v>
      </c>
    </row>
    <row r="3395" spans="2:12" x14ac:dyDescent="0.3">
      <c r="B3395" s="1" t="s">
        <v>85</v>
      </c>
      <c r="C3395" s="4" t="str">
        <f>VLOOKUP(Tabela1[[#This Row],[Cliente]],'BASE DE CLIENTES'!A:E,2,0)</f>
        <v>Brasília</v>
      </c>
      <c r="D3395" s="1" t="str">
        <f>VLOOKUP(Tabela1[[#This Row],[Cliente]],'BASE DE CLIENTES'!A:C,3,0)</f>
        <v>DF</v>
      </c>
      <c r="E3395" s="4" t="str">
        <f>CONCATENATE(Tabela1[[#This Row],[CIDADE]],",",Tabela1[[#This Row],[UF]])</f>
        <v>Brasília,DF</v>
      </c>
      <c r="F3395" s="2">
        <v>46021</v>
      </c>
      <c r="G3395" s="17">
        <v>1066.22</v>
      </c>
      <c r="H3395" s="17">
        <v>1570</v>
      </c>
      <c r="I3395" s="6">
        <f>Tabela1[[#This Row],[Valor total]]-Tabela1[[#This Row],[Valor custo]]</f>
        <v>503.78</v>
      </c>
      <c r="J3395" s="7">
        <f>Tabela1[[#This Row],[MARGEM BRUTA]]/Tabela1[[#This Row],[Valor total]]</f>
        <v>0.32087898089171973</v>
      </c>
      <c r="K3395" s="1" t="str">
        <f>VLOOKUP(Tabela1[[#This Row],[Cliente]],'BASE DE CLIENTES'!A:D,4,0)</f>
        <v>SERRALHEIRO</v>
      </c>
      <c r="L3395" s="1" t="str">
        <f>VLOOKUP(Tabela1[[#This Row],[Cliente]],'BASE DE CLIENTES'!A:E,5,0)</f>
        <v>SAMAMBAIA NORTE (SAMAMBAIA)</v>
      </c>
    </row>
    <row r="3396" spans="2:12" x14ac:dyDescent="0.3">
      <c r="B3396" s="1" t="s">
        <v>123</v>
      </c>
      <c r="C3396" s="4" t="str">
        <f>VLOOKUP(Tabela1[[#This Row],[Cliente]],'BASE DE CLIENTES'!A:E,2,0)</f>
        <v>Brasília</v>
      </c>
      <c r="D3396" s="1" t="str">
        <f>VLOOKUP(Tabela1[[#This Row],[Cliente]],'BASE DE CLIENTES'!A:C,3,0)</f>
        <v>DF</v>
      </c>
      <c r="E3396" s="4" t="str">
        <f>CONCATENATE(Tabela1[[#This Row],[CIDADE]],",",Tabela1[[#This Row],[UF]])</f>
        <v>Brasília,DF</v>
      </c>
      <c r="F3396" s="2">
        <v>46021</v>
      </c>
      <c r="G3396" s="17">
        <v>757.97</v>
      </c>
      <c r="H3396" s="17">
        <v>1320</v>
      </c>
      <c r="I3396" s="6">
        <f>Tabela1[[#This Row],[Valor total]]-Tabela1[[#This Row],[Valor custo]]</f>
        <v>562.03</v>
      </c>
      <c r="J3396" s="7">
        <f>Tabela1[[#This Row],[MARGEM BRUTA]]/Tabela1[[#This Row],[Valor total]]</f>
        <v>0.42578030303030301</v>
      </c>
      <c r="K3396" s="1" t="str">
        <f>VLOOKUP(Tabela1[[#This Row],[Cliente]],'BASE DE CLIENTES'!A:D,4,0)</f>
        <v>EMPRESA COM MAQUINA</v>
      </c>
      <c r="L3396" s="1" t="str">
        <f>VLOOKUP(Tabela1[[#This Row],[Cliente]],'BASE DE CLIENTES'!A:E,5,0)</f>
        <v>ADE CEILÂNDIA</v>
      </c>
    </row>
    <row r="3397" spans="2:12" x14ac:dyDescent="0.3">
      <c r="B3397" s="1" t="s">
        <v>68</v>
      </c>
      <c r="C3397" s="4" t="str">
        <f>VLOOKUP(Tabela1[[#This Row],[Cliente]],'BASE DE CLIENTES'!A:E,2,0)</f>
        <v>Brasília</v>
      </c>
      <c r="D3397" s="1" t="str">
        <f>VLOOKUP(Tabela1[[#This Row],[Cliente]],'BASE DE CLIENTES'!A:C,3,0)</f>
        <v>DF</v>
      </c>
      <c r="E3397" s="4" t="str">
        <f>CONCATENATE(Tabela1[[#This Row],[CIDADE]],",",Tabela1[[#This Row],[UF]])</f>
        <v>Brasília,DF</v>
      </c>
      <c r="F3397" s="2">
        <v>46021</v>
      </c>
      <c r="G3397" s="17">
        <v>525.27</v>
      </c>
      <c r="H3397" s="17">
        <v>725</v>
      </c>
      <c r="I3397" s="6">
        <f>Tabela1[[#This Row],[Valor total]]-Tabela1[[#This Row],[Valor custo]]</f>
        <v>199.73000000000002</v>
      </c>
      <c r="J3397" s="7">
        <f>Tabela1[[#This Row],[MARGEM BRUTA]]/Tabela1[[#This Row],[Valor total]]</f>
        <v>0.27548965517241381</v>
      </c>
      <c r="K3397" s="1" t="str">
        <f>VLOOKUP(Tabela1[[#This Row],[Cliente]],'BASE DE CLIENTES'!A:D,4,0)</f>
        <v>EMPRESA COM MAQUINA</v>
      </c>
      <c r="L3397" s="1" t="str">
        <f>VLOOKUP(Tabela1[[#This Row],[Cliente]],'BASE DE CLIENTES'!A:E,5,0)</f>
        <v>SAMAMBAIA SUL (SAMAMBAIA)</v>
      </c>
    </row>
    <row r="3398" spans="2:12" x14ac:dyDescent="0.3">
      <c r="B3398" s="1" t="s">
        <v>291</v>
      </c>
      <c r="C3398" s="4" t="str">
        <f>VLOOKUP(Tabela1[[#This Row],[Cliente]],'BASE DE CLIENTES'!A:E,2,0)</f>
        <v>Rio Verde</v>
      </c>
      <c r="D3398" s="1" t="str">
        <f>VLOOKUP(Tabela1[[#This Row],[Cliente]],'BASE DE CLIENTES'!A:C,3,0)</f>
        <v>GO</v>
      </c>
      <c r="E3398" s="4" t="str">
        <f>CONCATENATE(Tabela1[[#This Row],[CIDADE]],",",Tabela1[[#This Row],[UF]])</f>
        <v>Rio Verde,GO</v>
      </c>
      <c r="F3398" s="2">
        <v>46021</v>
      </c>
      <c r="G3398" s="17">
        <v>377.85</v>
      </c>
      <c r="H3398" s="17">
        <v>615</v>
      </c>
      <c r="I3398" s="6">
        <f>Tabela1[[#This Row],[Valor total]]-Tabela1[[#This Row],[Valor custo]]</f>
        <v>237.14999999999998</v>
      </c>
      <c r="J3398" s="7">
        <f>Tabela1[[#This Row],[MARGEM BRUTA]]/Tabela1[[#This Row],[Valor total]]</f>
        <v>0.38560975609756093</v>
      </c>
      <c r="K3398" s="1" t="str">
        <f>VLOOKUP(Tabela1[[#This Row],[Cliente]],'BASE DE CLIENTES'!A:D,4,0)</f>
        <v>EMPRESA COM MAQUINA</v>
      </c>
      <c r="L3398" s="1" t="str">
        <f>VLOOKUP(Tabela1[[#This Row],[Cliente]],'BASE DE CLIENTES'!A:E,5,0)</f>
        <v>Rio Verde</v>
      </c>
    </row>
    <row r="3399" spans="2:12" x14ac:dyDescent="0.3">
      <c r="B3399" s="1" t="s">
        <v>68</v>
      </c>
      <c r="C3399" s="4" t="str">
        <f>VLOOKUP(Tabela1[[#This Row],[Cliente]],'BASE DE CLIENTES'!A:E,2,0)</f>
        <v>Brasília</v>
      </c>
      <c r="D3399" s="1" t="str">
        <f>VLOOKUP(Tabela1[[#This Row],[Cliente]],'BASE DE CLIENTES'!A:C,3,0)</f>
        <v>DF</v>
      </c>
      <c r="E3399" s="4" t="str">
        <f>CONCATENATE(Tabela1[[#This Row],[CIDADE]],",",Tabela1[[#This Row],[UF]])</f>
        <v>Brasília,DF</v>
      </c>
      <c r="F3399" s="2">
        <v>46020</v>
      </c>
      <c r="G3399" s="17">
        <v>495.3</v>
      </c>
      <c r="H3399" s="17">
        <v>810</v>
      </c>
      <c r="I3399" s="6">
        <f>Tabela1[[#This Row],[Valor total]]-Tabela1[[#This Row],[Valor custo]]</f>
        <v>314.7</v>
      </c>
      <c r="J3399" s="7">
        <f>Tabela1[[#This Row],[MARGEM BRUTA]]/Tabela1[[#This Row],[Valor total]]</f>
        <v>0.38851851851851849</v>
      </c>
      <c r="K3399" s="1" t="str">
        <f>VLOOKUP(Tabela1[[#This Row],[Cliente]],'BASE DE CLIENTES'!A:D,4,0)</f>
        <v>EMPRESA COM MAQUINA</v>
      </c>
      <c r="L3399" s="1" t="str">
        <f>VLOOKUP(Tabela1[[#This Row],[Cliente]],'BASE DE CLIENTES'!A:E,5,0)</f>
        <v>SAMAMBAIA SUL (SAMAMBAIA)</v>
      </c>
    </row>
    <row r="3400" spans="2:12" x14ac:dyDescent="0.3">
      <c r="B3400" s="1" t="s">
        <v>152</v>
      </c>
      <c r="C3400" s="4" t="str">
        <f>VLOOKUP(Tabela1[[#This Row],[Cliente]],'BASE DE CLIENTES'!A:E,2,0)</f>
        <v>Aparecida de Goiânia</v>
      </c>
      <c r="D3400" s="1" t="str">
        <f>VLOOKUP(Tabela1[[#This Row],[Cliente]],'BASE DE CLIENTES'!A:C,3,0)</f>
        <v>GO</v>
      </c>
      <c r="E3400" s="4" t="str">
        <f>CONCATENATE(Tabela1[[#This Row],[CIDADE]],",",Tabela1[[#This Row],[UF]])</f>
        <v>Aparecida de Goiânia,GO</v>
      </c>
      <c r="F3400" s="2">
        <v>46020</v>
      </c>
      <c r="G3400" s="17">
        <v>975.59</v>
      </c>
      <c r="H3400" s="17">
        <v>1200</v>
      </c>
      <c r="I3400" s="6">
        <f>Tabela1[[#This Row],[Valor total]]-Tabela1[[#This Row],[Valor custo]]</f>
        <v>224.40999999999997</v>
      </c>
      <c r="J3400" s="7">
        <f>Tabela1[[#This Row],[MARGEM BRUTA]]/Tabela1[[#This Row],[Valor total]]</f>
        <v>0.1870083333333333</v>
      </c>
      <c r="K3400" s="1" t="str">
        <f>VLOOKUP(Tabela1[[#This Row],[Cliente]],'BASE DE CLIENTES'!A:D,4,0)</f>
        <v>TECNICO</v>
      </c>
      <c r="L3400" s="1" t="str">
        <f>VLOOKUP(Tabela1[[#This Row],[Cliente]],'BASE DE CLIENTES'!A:E,5,0)</f>
        <v>Aparecida de Goiânia</v>
      </c>
    </row>
    <row r="3401" spans="2:12" x14ac:dyDescent="0.3">
      <c r="B3401" s="1" t="s">
        <v>120</v>
      </c>
      <c r="C3401" s="4" t="str">
        <f>VLOOKUP(Tabela1[[#This Row],[Cliente]],'BASE DE CLIENTES'!A:E,2,0)</f>
        <v>Brasília</v>
      </c>
      <c r="D3401" s="1" t="str">
        <f>VLOOKUP(Tabela1[[#This Row],[Cliente]],'BASE DE CLIENTES'!A:C,3,0)</f>
        <v>DF</v>
      </c>
      <c r="E3401" s="4" t="str">
        <f>CONCATENATE(Tabela1[[#This Row],[CIDADE]],",",Tabela1[[#This Row],[UF]])</f>
        <v>Brasília,DF</v>
      </c>
      <c r="F3401" s="2">
        <v>46020</v>
      </c>
      <c r="G3401" s="17">
        <v>50</v>
      </c>
      <c r="H3401" s="17">
        <v>60</v>
      </c>
      <c r="I3401" s="6">
        <f>Tabela1[[#This Row],[Valor total]]-Tabela1[[#This Row],[Valor custo]]</f>
        <v>10</v>
      </c>
      <c r="J3401" s="7">
        <f>Tabela1[[#This Row],[MARGEM BRUTA]]/Tabela1[[#This Row],[Valor total]]</f>
        <v>0.16666666666666666</v>
      </c>
      <c r="K3401" s="1" t="str">
        <f>VLOOKUP(Tabela1[[#This Row],[Cliente]],'BASE DE CLIENTES'!A:D,4,0)</f>
        <v>EMPRESA SEM MAQUINA</v>
      </c>
      <c r="L3401" s="1" t="str">
        <f>VLOOKUP(Tabela1[[#This Row],[Cliente]],'BASE DE CLIENTES'!A:E,5,0)</f>
        <v>SAMAMBAIA</v>
      </c>
    </row>
    <row r="3402" spans="2:12" x14ac:dyDescent="0.3">
      <c r="B3402" s="1" t="s">
        <v>321</v>
      </c>
      <c r="C3402" s="4" t="str">
        <f>VLOOKUP(Tabela1[[#This Row],[Cliente]],'BASE DE CLIENTES'!A:E,2,0)</f>
        <v>Valparaíso de Goiás</v>
      </c>
      <c r="D3402" s="1" t="str">
        <f>VLOOKUP(Tabela1[[#This Row],[Cliente]],'BASE DE CLIENTES'!A:C,3,0)</f>
        <v>GO</v>
      </c>
      <c r="E3402" s="4" t="str">
        <f>CONCATENATE(Tabela1[[#This Row],[CIDADE]],",",Tabela1[[#This Row],[UF]])</f>
        <v>Valparaíso de Goiás,GO</v>
      </c>
      <c r="F3402" s="2">
        <v>46020</v>
      </c>
      <c r="G3402" s="17">
        <v>755.7</v>
      </c>
      <c r="H3402" s="17">
        <v>1190</v>
      </c>
      <c r="I3402" s="6">
        <f>Tabela1[[#This Row],[Valor total]]-Tabela1[[#This Row],[Valor custo]]</f>
        <v>434.29999999999995</v>
      </c>
      <c r="J3402" s="7">
        <f>Tabela1[[#This Row],[MARGEM BRUTA]]/Tabela1[[#This Row],[Valor total]]</f>
        <v>0.36495798319327727</v>
      </c>
      <c r="K3402" s="1" t="str">
        <f>VLOOKUP(Tabela1[[#This Row],[Cliente]],'BASE DE CLIENTES'!A:D,4,0)</f>
        <v>EMPRESA COM MAQUINA</v>
      </c>
      <c r="L3402" s="1" t="str">
        <f>VLOOKUP(Tabela1[[#This Row],[Cliente]],'BASE DE CLIENTES'!A:E,5,0)</f>
        <v>Valparaíso de Goiás</v>
      </c>
    </row>
    <row r="3403" spans="2:12" x14ac:dyDescent="0.3">
      <c r="B3403" s="1" t="s">
        <v>220</v>
      </c>
      <c r="C3403" s="4" t="str">
        <f>VLOOKUP(Tabela1[[#This Row],[Cliente]],'BASE DE CLIENTES'!A:E,2,0)</f>
        <v>Goiânia</v>
      </c>
      <c r="D3403" s="1" t="str">
        <f>VLOOKUP(Tabela1[[#This Row],[Cliente]],'BASE DE CLIENTES'!A:C,3,0)</f>
        <v>GO</v>
      </c>
      <c r="E3403" s="4" t="str">
        <f>CONCATENATE(Tabela1[[#This Row],[CIDADE]],",",Tabela1[[#This Row],[UF]])</f>
        <v>Goiânia,GO</v>
      </c>
      <c r="F3403" s="2">
        <v>46020</v>
      </c>
      <c r="G3403" s="17">
        <v>1673.51</v>
      </c>
      <c r="H3403" s="17">
        <v>2200</v>
      </c>
      <c r="I3403" s="6">
        <f>Tabela1[[#This Row],[Valor total]]-Tabela1[[#This Row],[Valor custo]]</f>
        <v>526.49</v>
      </c>
      <c r="J3403" s="7">
        <f>Tabela1[[#This Row],[MARGEM BRUTA]]/Tabela1[[#This Row],[Valor total]]</f>
        <v>0.23931363636363637</v>
      </c>
      <c r="K3403" s="1" t="str">
        <f>VLOOKUP(Tabela1[[#This Row],[Cliente]],'BASE DE CLIENTES'!A:D,4,0)</f>
        <v>EMPRESA COM MAQUINA</v>
      </c>
      <c r="L3403" s="1" t="str">
        <f>VLOOKUP(Tabela1[[#This Row],[Cliente]],'BASE DE CLIENTES'!A:E,5,0)</f>
        <v>Goiânia</v>
      </c>
    </row>
    <row r="3404" spans="2:12" x14ac:dyDescent="0.3">
      <c r="B3404" s="1" t="s">
        <v>239</v>
      </c>
      <c r="C3404" s="4" t="str">
        <f>VLOOKUP(Tabela1[[#This Row],[Cliente]],'BASE DE CLIENTES'!A:E,2,0)</f>
        <v>Brasília</v>
      </c>
      <c r="D3404" s="1" t="str">
        <f>VLOOKUP(Tabela1[[#This Row],[Cliente]],'BASE DE CLIENTES'!A:C,3,0)</f>
        <v>DF</v>
      </c>
      <c r="E3404" s="4" t="str">
        <f>CONCATENATE(Tabela1[[#This Row],[CIDADE]],",",Tabela1[[#This Row],[UF]])</f>
        <v>Brasília,DF</v>
      </c>
      <c r="F3404" s="2">
        <v>46020</v>
      </c>
      <c r="G3404" s="17">
        <v>2995.04</v>
      </c>
      <c r="H3404" s="17">
        <v>4700</v>
      </c>
      <c r="I3404" s="6">
        <f>Tabela1[[#This Row],[Valor total]]-Tabela1[[#This Row],[Valor custo]]</f>
        <v>1704.96</v>
      </c>
      <c r="J3404" s="7">
        <f>Tabela1[[#This Row],[MARGEM BRUTA]]/Tabela1[[#This Row],[Valor total]]</f>
        <v>0.36275744680851063</v>
      </c>
      <c r="K3404" s="1" t="str">
        <f>VLOOKUP(Tabela1[[#This Row],[Cliente]],'BASE DE CLIENTES'!A:D,4,0)</f>
        <v>EMPRESA COM MAQUINA</v>
      </c>
      <c r="L3404" s="1" t="str">
        <f>VLOOKUP(Tabela1[[#This Row],[Cliente]],'BASE DE CLIENTES'!A:E,5,0)</f>
        <v>RIACHO FUNDO II</v>
      </c>
    </row>
    <row r="3405" spans="2:12" x14ac:dyDescent="0.3">
      <c r="B3405" s="1" t="s">
        <v>189</v>
      </c>
      <c r="C3405" s="4" t="str">
        <f>VLOOKUP(Tabela1[[#This Row],[Cliente]],'BASE DE CLIENTES'!A:E,2,0)</f>
        <v>Formosa</v>
      </c>
      <c r="D3405" s="1" t="str">
        <f>VLOOKUP(Tabela1[[#This Row],[Cliente]],'BASE DE CLIENTES'!A:C,3,0)</f>
        <v>GO</v>
      </c>
      <c r="E3405" s="4" t="str">
        <f>CONCATENATE(Tabela1[[#This Row],[CIDADE]],",",Tabela1[[#This Row],[UF]])</f>
        <v>Formosa,GO</v>
      </c>
      <c r="F3405" s="2">
        <v>46020</v>
      </c>
      <c r="G3405" s="17">
        <v>392.87</v>
      </c>
      <c r="H3405" s="17">
        <v>730</v>
      </c>
      <c r="I3405" s="6">
        <f>Tabela1[[#This Row],[Valor total]]-Tabela1[[#This Row],[Valor custo]]</f>
        <v>337.13</v>
      </c>
      <c r="J3405" s="7">
        <f>Tabela1[[#This Row],[MARGEM BRUTA]]/Tabela1[[#This Row],[Valor total]]</f>
        <v>0.46182191780821918</v>
      </c>
      <c r="K3405" s="1" t="str">
        <f>VLOOKUP(Tabela1[[#This Row],[Cliente]],'BASE DE CLIENTES'!A:D,4,0)</f>
        <v>SEM CLASSIFICAÇÃO</v>
      </c>
      <c r="L3405" s="1" t="str">
        <f>VLOOKUP(Tabela1[[#This Row],[Cliente]],'BASE DE CLIENTES'!A:E,5,0)</f>
        <v>Formosa</v>
      </c>
    </row>
    <row r="3406" spans="2:12" x14ac:dyDescent="0.3">
      <c r="B3406" s="1" t="s">
        <v>152</v>
      </c>
      <c r="C3406" s="4" t="str">
        <f>VLOOKUP(Tabela1[[#This Row],[Cliente]],'BASE DE CLIENTES'!A:E,2,0)</f>
        <v>Aparecida de Goiânia</v>
      </c>
      <c r="D3406" s="1" t="str">
        <f>VLOOKUP(Tabela1[[#This Row],[Cliente]],'BASE DE CLIENTES'!A:C,3,0)</f>
        <v>GO</v>
      </c>
      <c r="E3406" s="4" t="str">
        <f>CONCATENATE(Tabela1[[#This Row],[CIDADE]],",",Tabela1[[#This Row],[UF]])</f>
        <v>Aparecida de Goiânia,GO</v>
      </c>
      <c r="F3406" s="2">
        <v>46020</v>
      </c>
      <c r="G3406" s="17">
        <v>126</v>
      </c>
      <c r="H3406" s="17">
        <v>210</v>
      </c>
      <c r="I3406" s="6">
        <f>Tabela1[[#This Row],[Valor total]]-Tabela1[[#This Row],[Valor custo]]</f>
        <v>84</v>
      </c>
      <c r="J3406" s="7">
        <f>Tabela1[[#This Row],[MARGEM BRUTA]]/Tabela1[[#This Row],[Valor total]]</f>
        <v>0.4</v>
      </c>
      <c r="K3406" s="1" t="str">
        <f>VLOOKUP(Tabela1[[#This Row],[Cliente]],'BASE DE CLIENTES'!A:D,4,0)</f>
        <v>TECNICO</v>
      </c>
      <c r="L3406" s="1" t="str">
        <f>VLOOKUP(Tabela1[[#This Row],[Cliente]],'BASE DE CLIENTES'!A:E,5,0)</f>
        <v>Aparecida de Goiânia</v>
      </c>
    </row>
    <row r="3407" spans="2:12" x14ac:dyDescent="0.3">
      <c r="B3407" s="1" t="s">
        <v>169</v>
      </c>
      <c r="C3407" s="4" t="str">
        <f>VLOOKUP(Tabela1[[#This Row],[Cliente]],'BASE DE CLIENTES'!A:E,2,0)</f>
        <v>Planaltina</v>
      </c>
      <c r="D3407" s="1" t="str">
        <f>VLOOKUP(Tabela1[[#This Row],[Cliente]],'BASE DE CLIENTES'!A:C,3,0)</f>
        <v>GO</v>
      </c>
      <c r="E3407" s="4" t="str">
        <f>CONCATENATE(Tabela1[[#This Row],[CIDADE]],",",Tabela1[[#This Row],[UF]])</f>
        <v>Planaltina,GO</v>
      </c>
      <c r="F3407" s="2">
        <v>46020</v>
      </c>
      <c r="G3407" s="17">
        <v>13.69</v>
      </c>
      <c r="H3407" s="17">
        <v>120</v>
      </c>
      <c r="I3407" s="6">
        <f>Tabela1[[#This Row],[Valor total]]-Tabela1[[#This Row],[Valor custo]]</f>
        <v>106.31</v>
      </c>
      <c r="J3407" s="7">
        <f>Tabela1[[#This Row],[MARGEM BRUTA]]/Tabela1[[#This Row],[Valor total]]</f>
        <v>0.88591666666666669</v>
      </c>
      <c r="K3407" s="1" t="str">
        <f>VLOOKUP(Tabela1[[#This Row],[Cliente]],'BASE DE CLIENTES'!A:D,4,0)</f>
        <v>SERRALHEIRO</v>
      </c>
      <c r="L3407" s="1" t="str">
        <f>VLOOKUP(Tabela1[[#This Row],[Cliente]],'BASE DE CLIENTES'!A:E,5,0)</f>
        <v>Planaltina</v>
      </c>
    </row>
    <row r="3408" spans="2:12" x14ac:dyDescent="0.3">
      <c r="B3408" s="1" t="s">
        <v>76</v>
      </c>
      <c r="C3408" s="4" t="str">
        <f>VLOOKUP(Tabela1[[#This Row],[Cliente]],'BASE DE CLIENTES'!A:E,2,0)</f>
        <v>Brasília</v>
      </c>
      <c r="D3408" s="1" t="str">
        <f>VLOOKUP(Tabela1[[#This Row],[Cliente]],'BASE DE CLIENTES'!A:C,3,0)</f>
        <v>DF</v>
      </c>
      <c r="E3408" s="4" t="str">
        <f>CONCATENATE(Tabela1[[#This Row],[CIDADE]],",",Tabela1[[#This Row],[UF]])</f>
        <v>Brasília,DF</v>
      </c>
      <c r="F3408" s="2">
        <v>46020</v>
      </c>
      <c r="G3408" s="17">
        <v>5411.13</v>
      </c>
      <c r="H3408" s="17">
        <v>7650</v>
      </c>
      <c r="I3408" s="6">
        <f>Tabela1[[#This Row],[Valor total]]-Tabela1[[#This Row],[Valor custo]]</f>
        <v>2238.87</v>
      </c>
      <c r="J3408" s="7">
        <f>Tabela1[[#This Row],[MARGEM BRUTA]]/Tabela1[[#This Row],[Valor total]]</f>
        <v>0.29266274509803919</v>
      </c>
      <c r="K3408" s="1" t="str">
        <f>VLOOKUP(Tabela1[[#This Row],[Cliente]],'BASE DE CLIENTES'!A:D,4,0)</f>
        <v>EMPRESA COM MAQUINA</v>
      </c>
      <c r="L3408" s="1" t="str">
        <f>VLOOKUP(Tabela1[[#This Row],[Cliente]],'BASE DE CLIENTES'!A:E,5,0)</f>
        <v>Setor Placa da Mercedes (Núcleo Bandeirante)</v>
      </c>
    </row>
    <row r="3409" spans="2:12" x14ac:dyDescent="0.3">
      <c r="B3409" s="1" t="s">
        <v>17</v>
      </c>
      <c r="C3409" s="4" t="str">
        <f>VLOOKUP(Tabela1[[#This Row],[Cliente]],'BASE DE CLIENTES'!A:E,2,0)</f>
        <v>Águas Lindas de Goiás</v>
      </c>
      <c r="D3409" s="1" t="str">
        <f>VLOOKUP(Tabela1[[#This Row],[Cliente]],'BASE DE CLIENTES'!A:C,3,0)</f>
        <v>GO</v>
      </c>
      <c r="E3409" s="4" t="str">
        <f>CONCATENATE(Tabela1[[#This Row],[CIDADE]],",",Tabela1[[#This Row],[UF]])</f>
        <v>Águas Lindas de Goiás,GO</v>
      </c>
      <c r="F3409" s="2">
        <v>46020</v>
      </c>
      <c r="G3409" s="17">
        <v>390.24</v>
      </c>
      <c r="H3409" s="17">
        <v>720</v>
      </c>
      <c r="I3409" s="6">
        <f>Tabela1[[#This Row],[Valor total]]-Tabela1[[#This Row],[Valor custo]]</f>
        <v>329.76</v>
      </c>
      <c r="J3409" s="7">
        <f>Tabela1[[#This Row],[MARGEM BRUTA]]/Tabela1[[#This Row],[Valor total]]</f>
        <v>0.45799999999999996</v>
      </c>
      <c r="K3409" s="1" t="str">
        <f>VLOOKUP(Tabela1[[#This Row],[Cliente]],'BASE DE CLIENTES'!A:D,4,0)</f>
        <v>SERRALHEIRO</v>
      </c>
      <c r="L3409" s="1" t="str">
        <f>VLOOKUP(Tabela1[[#This Row],[Cliente]],'BASE DE CLIENTES'!A:E,5,0)</f>
        <v>Águas Lindas de Goiás</v>
      </c>
    </row>
    <row r="3410" spans="2:12" x14ac:dyDescent="0.3">
      <c r="B3410" s="1" t="s">
        <v>183</v>
      </c>
      <c r="C3410" s="4" t="str">
        <f>VLOOKUP(Tabela1[[#This Row],[Cliente]],'BASE DE CLIENTES'!A:E,2,0)</f>
        <v>Caldas Novas</v>
      </c>
      <c r="D3410" s="1" t="str">
        <f>VLOOKUP(Tabela1[[#This Row],[Cliente]],'BASE DE CLIENTES'!A:C,3,0)</f>
        <v>GO</v>
      </c>
      <c r="E3410" s="4" t="str">
        <f>CONCATENATE(Tabela1[[#This Row],[CIDADE]],",",Tabela1[[#This Row],[UF]])</f>
        <v>Caldas Novas,GO</v>
      </c>
      <c r="F3410" s="2">
        <v>46020</v>
      </c>
      <c r="G3410" s="17">
        <v>755.7</v>
      </c>
      <c r="H3410" s="17">
        <v>1143.9000000000001</v>
      </c>
      <c r="I3410" s="6">
        <f>Tabela1[[#This Row],[Valor total]]-Tabela1[[#This Row],[Valor custo]]</f>
        <v>388.20000000000005</v>
      </c>
      <c r="J3410" s="7">
        <f>Tabela1[[#This Row],[MARGEM BRUTA]]/Tabela1[[#This Row],[Valor total]]</f>
        <v>0.33936532913716233</v>
      </c>
      <c r="K3410" s="1" t="str">
        <f>VLOOKUP(Tabela1[[#This Row],[Cliente]],'BASE DE CLIENTES'!A:D,4,0)</f>
        <v>EMPRESA COM MAQUINA</v>
      </c>
      <c r="L3410" s="1" t="str">
        <f>VLOOKUP(Tabela1[[#This Row],[Cliente]],'BASE DE CLIENTES'!A:E,5,0)</f>
        <v>Caldas Novas</v>
      </c>
    </row>
    <row r="3411" spans="2:12" x14ac:dyDescent="0.3">
      <c r="B3411" s="1" t="s">
        <v>19</v>
      </c>
      <c r="C3411" s="4" t="str">
        <f>VLOOKUP(Tabela1[[#This Row],[Cliente]],'BASE DE CLIENTES'!A:E,2,0)</f>
        <v>Águas Lindas de Goiás</v>
      </c>
      <c r="D3411" s="1" t="str">
        <f>VLOOKUP(Tabela1[[#This Row],[Cliente]],'BASE DE CLIENTES'!A:C,3,0)</f>
        <v>GO</v>
      </c>
      <c r="E3411" s="4" t="str">
        <f>CONCATENATE(Tabela1[[#This Row],[CIDADE]],",",Tabela1[[#This Row],[UF]])</f>
        <v>Águas Lindas de Goiás,GO</v>
      </c>
      <c r="F3411" s="2">
        <v>46020</v>
      </c>
      <c r="G3411" s="17">
        <v>697.92</v>
      </c>
      <c r="H3411" s="17">
        <v>1200</v>
      </c>
      <c r="I3411" s="6">
        <f>Tabela1[[#This Row],[Valor total]]-Tabela1[[#This Row],[Valor custo]]</f>
        <v>502.08000000000004</v>
      </c>
      <c r="J3411" s="7">
        <f>Tabela1[[#This Row],[MARGEM BRUTA]]/Tabela1[[#This Row],[Valor total]]</f>
        <v>0.41840000000000005</v>
      </c>
      <c r="K3411" s="1" t="str">
        <f>VLOOKUP(Tabela1[[#This Row],[Cliente]],'BASE DE CLIENTES'!A:D,4,0)</f>
        <v>SERRALHEIRO</v>
      </c>
      <c r="L3411" s="1" t="str">
        <f>VLOOKUP(Tabela1[[#This Row],[Cliente]],'BASE DE CLIENTES'!A:E,5,0)</f>
        <v>Águas Lindas de Goiás</v>
      </c>
    </row>
    <row r="3412" spans="2:12" x14ac:dyDescent="0.3">
      <c r="B3412" s="1" t="s">
        <v>161</v>
      </c>
      <c r="C3412" s="4" t="str">
        <f>VLOOKUP(Tabela1[[#This Row],[Cliente]],'BASE DE CLIENTES'!A:E,2,0)</f>
        <v>Brasília</v>
      </c>
      <c r="D3412" s="1" t="str">
        <f>VLOOKUP(Tabela1[[#This Row],[Cliente]],'BASE DE CLIENTES'!A:C,3,0)</f>
        <v>DF</v>
      </c>
      <c r="E3412" s="4" t="str">
        <f>CONCATENATE(Tabela1[[#This Row],[CIDADE]],",",Tabela1[[#This Row],[UF]])</f>
        <v>Brasília,DF</v>
      </c>
      <c r="F3412" s="2">
        <v>46020</v>
      </c>
      <c r="G3412" s="17">
        <v>7617.15</v>
      </c>
      <c r="H3412" s="17">
        <v>11625</v>
      </c>
      <c r="I3412" s="6">
        <f>Tabela1[[#This Row],[Valor total]]-Tabela1[[#This Row],[Valor custo]]</f>
        <v>4007.8500000000004</v>
      </c>
      <c r="J3412" s="7">
        <f>Tabela1[[#This Row],[MARGEM BRUTA]]/Tabela1[[#This Row],[Valor total]]</f>
        <v>0.34476129032258068</v>
      </c>
      <c r="K3412" s="1" t="str">
        <f>VLOOKUP(Tabela1[[#This Row],[Cliente]],'BASE DE CLIENTES'!A:D,4,0)</f>
        <v>EMPRESA COM MAQUINA</v>
      </c>
      <c r="L3412" s="1" t="str">
        <f>VLOOKUP(Tabela1[[#This Row],[Cliente]],'BASE DE CLIENTES'!A:E,5,0)</f>
        <v>RIACHO FUNDO II</v>
      </c>
    </row>
    <row r="3413" spans="2:12" x14ac:dyDescent="0.3">
      <c r="B3413" s="1" t="s">
        <v>19</v>
      </c>
      <c r="C3413" s="4" t="str">
        <f>VLOOKUP(Tabela1[[#This Row],[Cliente]],'BASE DE CLIENTES'!A:E,2,0)</f>
        <v>Águas Lindas de Goiás</v>
      </c>
      <c r="D3413" s="1" t="str">
        <f>VLOOKUP(Tabela1[[#This Row],[Cliente]],'BASE DE CLIENTES'!A:C,3,0)</f>
        <v>GO</v>
      </c>
      <c r="E3413" s="4" t="str">
        <f>CONCATENATE(Tabela1[[#This Row],[CIDADE]],",",Tabela1[[#This Row],[UF]])</f>
        <v>Águas Lindas de Goiás,GO</v>
      </c>
      <c r="F3413" s="2">
        <v>46020</v>
      </c>
      <c r="G3413" s="17">
        <v>380.12</v>
      </c>
      <c r="H3413" s="17">
        <v>580</v>
      </c>
      <c r="I3413" s="6">
        <f>Tabela1[[#This Row],[Valor total]]-Tabela1[[#This Row],[Valor custo]]</f>
        <v>199.88</v>
      </c>
      <c r="J3413" s="7">
        <f>Tabela1[[#This Row],[MARGEM BRUTA]]/Tabela1[[#This Row],[Valor total]]</f>
        <v>0.3446206896551724</v>
      </c>
      <c r="K3413" s="1" t="str">
        <f>VLOOKUP(Tabela1[[#This Row],[Cliente]],'BASE DE CLIENTES'!A:D,4,0)</f>
        <v>SERRALHEIRO</v>
      </c>
      <c r="L3413" s="1" t="str">
        <f>VLOOKUP(Tabela1[[#This Row],[Cliente]],'BASE DE CLIENTES'!A:E,5,0)</f>
        <v>Águas Lindas de Goiás</v>
      </c>
    </row>
    <row r="3414" spans="2:12" x14ac:dyDescent="0.3">
      <c r="B3414" s="1" t="s">
        <v>165</v>
      </c>
      <c r="C3414" s="4" t="str">
        <f>VLOOKUP(Tabela1[[#This Row],[Cliente]],'BASE DE CLIENTES'!A:E,2,0)</f>
        <v>Brasília</v>
      </c>
      <c r="D3414" s="1" t="str">
        <f>VLOOKUP(Tabela1[[#This Row],[Cliente]],'BASE DE CLIENTES'!A:C,3,0)</f>
        <v>DF</v>
      </c>
      <c r="E3414" s="4" t="str">
        <f>CONCATENATE(Tabela1[[#This Row],[CIDADE]],",",Tabela1[[#This Row],[UF]])</f>
        <v>Brasília,DF</v>
      </c>
      <c r="F3414" s="2">
        <v>46020</v>
      </c>
      <c r="G3414" s="17">
        <v>472.79</v>
      </c>
      <c r="H3414" s="17">
        <v>780</v>
      </c>
      <c r="I3414" s="6">
        <f>Tabela1[[#This Row],[Valor total]]-Tabela1[[#This Row],[Valor custo]]</f>
        <v>307.20999999999998</v>
      </c>
      <c r="J3414" s="7">
        <f>Tabela1[[#This Row],[MARGEM BRUTA]]/Tabela1[[#This Row],[Valor total]]</f>
        <v>0.39385897435897432</v>
      </c>
      <c r="K3414" s="1" t="str">
        <f>VLOOKUP(Tabela1[[#This Row],[Cliente]],'BASE DE CLIENTES'!A:D,4,0)</f>
        <v>EMPRESA SEM MAQUINA</v>
      </c>
      <c r="L3414" s="1" t="str">
        <f>VLOOKUP(Tabela1[[#This Row],[Cliente]],'BASE DE CLIENTES'!A:E,5,0)</f>
        <v>SETOR HABITACIONAL VICENTE PIRES</v>
      </c>
    </row>
    <row r="3415" spans="2:12" x14ac:dyDescent="0.3">
      <c r="B3415" s="1" t="s">
        <v>264</v>
      </c>
      <c r="C3415" s="4" t="str">
        <f>VLOOKUP(Tabela1[[#This Row],[Cliente]],'BASE DE CLIENTES'!A:E,2,0)</f>
        <v>Brasília</v>
      </c>
      <c r="D3415" s="1" t="str">
        <f>VLOOKUP(Tabela1[[#This Row],[Cliente]],'BASE DE CLIENTES'!A:C,3,0)</f>
        <v>DF</v>
      </c>
      <c r="E3415" s="4" t="str">
        <f>CONCATENATE(Tabela1[[#This Row],[CIDADE]],",",Tabela1[[#This Row],[UF]])</f>
        <v>Brasília,DF</v>
      </c>
      <c r="F3415" s="2">
        <v>46020</v>
      </c>
      <c r="G3415" s="17">
        <v>30.49</v>
      </c>
      <c r="H3415" s="17">
        <v>45</v>
      </c>
      <c r="I3415" s="6">
        <f>Tabela1[[#This Row],[Valor total]]-Tabela1[[#This Row],[Valor custo]]</f>
        <v>14.510000000000002</v>
      </c>
      <c r="J3415" s="7">
        <f>Tabela1[[#This Row],[MARGEM BRUTA]]/Tabela1[[#This Row],[Valor total]]</f>
        <v>0.32244444444444448</v>
      </c>
      <c r="K3415" s="1" t="str">
        <f>VLOOKUP(Tabela1[[#This Row],[Cliente]],'BASE DE CLIENTES'!A:D,4,0)</f>
        <v>SERRALHEIRO</v>
      </c>
      <c r="L3415" s="1" t="str">
        <f>VLOOKUP(Tabela1[[#This Row],[Cliente]],'BASE DE CLIENTES'!A:E,5,0)</f>
        <v>Recanto das emas</v>
      </c>
    </row>
    <row r="3416" spans="2:12" x14ac:dyDescent="0.3">
      <c r="B3416" s="1" t="s">
        <v>236</v>
      </c>
      <c r="C3416" s="4" t="str">
        <f>VLOOKUP(Tabela1[[#This Row],[Cliente]],'BASE DE CLIENTES'!A:E,2,0)</f>
        <v>Goiânia</v>
      </c>
      <c r="D3416" s="1" t="str">
        <f>VLOOKUP(Tabela1[[#This Row],[Cliente]],'BASE DE CLIENTES'!A:C,3,0)</f>
        <v>GO</v>
      </c>
      <c r="E3416" s="4" t="str">
        <f>CONCATENATE(Tabela1[[#This Row],[CIDADE]],",",Tabela1[[#This Row],[UF]])</f>
        <v>Goiânia,GO</v>
      </c>
      <c r="F3416" s="2">
        <v>46017</v>
      </c>
      <c r="G3416" s="17">
        <v>2244.23</v>
      </c>
      <c r="H3416" s="17">
        <v>3930</v>
      </c>
      <c r="I3416" s="6">
        <f>Tabela1[[#This Row],[Valor total]]-Tabela1[[#This Row],[Valor custo]]</f>
        <v>1685.77</v>
      </c>
      <c r="J3416" s="7">
        <f>Tabela1[[#This Row],[MARGEM BRUTA]]/Tabela1[[#This Row],[Valor total]]</f>
        <v>0.42894910941475828</v>
      </c>
      <c r="K3416" s="1" t="str">
        <f>VLOOKUP(Tabela1[[#This Row],[Cliente]],'BASE DE CLIENTES'!A:D,4,0)</f>
        <v>EMPRESA COM MAQUINA</v>
      </c>
      <c r="L3416" s="1" t="str">
        <f>VLOOKUP(Tabela1[[#This Row],[Cliente]],'BASE DE CLIENTES'!A:E,5,0)</f>
        <v>Goiânia</v>
      </c>
    </row>
    <row r="3417" spans="2:12" x14ac:dyDescent="0.3">
      <c r="B3417" s="1" t="s">
        <v>152</v>
      </c>
      <c r="C3417" s="4" t="str">
        <f>VLOOKUP(Tabela1[[#This Row],[Cliente]],'BASE DE CLIENTES'!A:E,2,0)</f>
        <v>Aparecida de Goiânia</v>
      </c>
      <c r="D3417" s="1" t="str">
        <f>VLOOKUP(Tabela1[[#This Row],[Cliente]],'BASE DE CLIENTES'!A:C,3,0)</f>
        <v>GO</v>
      </c>
      <c r="E3417" s="4" t="str">
        <f>CONCATENATE(Tabela1[[#This Row],[CIDADE]],",",Tabela1[[#This Row],[UF]])</f>
        <v>Aparecida de Goiânia,GO</v>
      </c>
      <c r="F3417" s="2">
        <v>46017</v>
      </c>
      <c r="G3417" s="17">
        <v>742.95</v>
      </c>
      <c r="H3417" s="17">
        <v>1200</v>
      </c>
      <c r="I3417" s="6">
        <f>Tabela1[[#This Row],[Valor total]]-Tabela1[[#This Row],[Valor custo]]</f>
        <v>457.04999999999995</v>
      </c>
      <c r="J3417" s="7">
        <f>Tabela1[[#This Row],[MARGEM BRUTA]]/Tabela1[[#This Row],[Valor total]]</f>
        <v>0.38087499999999996</v>
      </c>
      <c r="K3417" s="1" t="str">
        <f>VLOOKUP(Tabela1[[#This Row],[Cliente]],'BASE DE CLIENTES'!A:D,4,0)</f>
        <v>TECNICO</v>
      </c>
      <c r="L3417" s="1" t="str">
        <f>VLOOKUP(Tabela1[[#This Row],[Cliente]],'BASE DE CLIENTES'!A:E,5,0)</f>
        <v>Aparecida de Goiânia</v>
      </c>
    </row>
    <row r="3418" spans="2:12" x14ac:dyDescent="0.3">
      <c r="B3418" s="1" t="s">
        <v>68</v>
      </c>
      <c r="C3418" s="4" t="str">
        <f>VLOOKUP(Tabela1[[#This Row],[Cliente]],'BASE DE CLIENTES'!A:E,2,0)</f>
        <v>Brasília</v>
      </c>
      <c r="D3418" s="1" t="str">
        <f>VLOOKUP(Tabela1[[#This Row],[Cliente]],'BASE DE CLIENTES'!A:C,3,0)</f>
        <v>DF</v>
      </c>
      <c r="E3418" s="4" t="str">
        <f>CONCATENATE(Tabela1[[#This Row],[CIDADE]],",",Tabela1[[#This Row],[UF]])</f>
        <v>Brasília,DF</v>
      </c>
      <c r="F3418" s="2">
        <v>46017</v>
      </c>
      <c r="G3418" s="17">
        <v>755.7</v>
      </c>
      <c r="H3418" s="17">
        <v>1170</v>
      </c>
      <c r="I3418" s="6">
        <f>Tabela1[[#This Row],[Valor total]]-Tabela1[[#This Row],[Valor custo]]</f>
        <v>414.29999999999995</v>
      </c>
      <c r="J3418" s="7">
        <f>Tabela1[[#This Row],[MARGEM BRUTA]]/Tabela1[[#This Row],[Valor total]]</f>
        <v>0.35410256410256408</v>
      </c>
      <c r="K3418" s="1" t="str">
        <f>VLOOKUP(Tabela1[[#This Row],[Cliente]],'BASE DE CLIENTES'!A:D,4,0)</f>
        <v>EMPRESA COM MAQUINA</v>
      </c>
      <c r="L3418" s="1" t="str">
        <f>VLOOKUP(Tabela1[[#This Row],[Cliente]],'BASE DE CLIENTES'!A:E,5,0)</f>
        <v>SAMAMBAIA SUL (SAMAMBAIA)</v>
      </c>
    </row>
    <row r="3419" spans="2:12" x14ac:dyDescent="0.3">
      <c r="B3419" s="1" t="s">
        <v>97</v>
      </c>
      <c r="C3419" s="4" t="str">
        <f>VLOOKUP(Tabela1[[#This Row],[Cliente]],'BASE DE CLIENTES'!A:E,2,0)</f>
        <v>Brasília</v>
      </c>
      <c r="D3419" s="1" t="str">
        <f>VLOOKUP(Tabela1[[#This Row],[Cliente]],'BASE DE CLIENTES'!A:C,3,0)</f>
        <v>DF</v>
      </c>
      <c r="E3419" s="4" t="str">
        <f>CONCATENATE(Tabela1[[#This Row],[CIDADE]],",",Tabela1[[#This Row],[UF]])</f>
        <v>Brasília,DF</v>
      </c>
      <c r="F3419" s="2">
        <v>46017</v>
      </c>
      <c r="G3419" s="17">
        <v>472.79</v>
      </c>
      <c r="H3419" s="17">
        <v>785</v>
      </c>
      <c r="I3419" s="6">
        <f>Tabela1[[#This Row],[Valor total]]-Tabela1[[#This Row],[Valor custo]]</f>
        <v>312.20999999999998</v>
      </c>
      <c r="J3419" s="7">
        <f>Tabela1[[#This Row],[MARGEM BRUTA]]/Tabela1[[#This Row],[Valor total]]</f>
        <v>0.39771974522292991</v>
      </c>
      <c r="K3419" s="1" t="str">
        <f>VLOOKUP(Tabela1[[#This Row],[Cliente]],'BASE DE CLIENTES'!A:D,4,0)</f>
        <v>SERRALHEIRO</v>
      </c>
      <c r="L3419" s="1" t="str">
        <f>VLOOKUP(Tabela1[[#This Row],[Cliente]],'BASE DE CLIENTES'!A:E,5,0)</f>
        <v>CEILANDIA NORTE</v>
      </c>
    </row>
    <row r="3420" spans="2:12" x14ac:dyDescent="0.3">
      <c r="B3420" s="1" t="s">
        <v>152</v>
      </c>
      <c r="C3420" s="4" t="str">
        <f>VLOOKUP(Tabela1[[#This Row],[Cliente]],'BASE DE CLIENTES'!A:E,2,0)</f>
        <v>Aparecida de Goiânia</v>
      </c>
      <c r="D3420" s="1" t="str">
        <f>VLOOKUP(Tabela1[[#This Row],[Cliente]],'BASE DE CLIENTES'!A:C,3,0)</f>
        <v>GO</v>
      </c>
      <c r="E3420" s="4" t="str">
        <f>CONCATENATE(Tabela1[[#This Row],[CIDADE]],",",Tabela1[[#This Row],[UF]])</f>
        <v>Aparecida de Goiânia,GO</v>
      </c>
      <c r="F3420" s="2">
        <v>46017</v>
      </c>
      <c r="G3420" s="17">
        <v>757.96</v>
      </c>
      <c r="H3420" s="17">
        <v>1250</v>
      </c>
      <c r="I3420" s="6">
        <f>Tabela1[[#This Row],[Valor total]]-Tabela1[[#This Row],[Valor custo]]</f>
        <v>492.03999999999996</v>
      </c>
      <c r="J3420" s="7">
        <f>Tabela1[[#This Row],[MARGEM BRUTA]]/Tabela1[[#This Row],[Valor total]]</f>
        <v>0.39363199999999998</v>
      </c>
      <c r="K3420" s="1" t="str">
        <f>VLOOKUP(Tabela1[[#This Row],[Cliente]],'BASE DE CLIENTES'!A:D,4,0)</f>
        <v>TECNICO</v>
      </c>
      <c r="L3420" s="1" t="str">
        <f>VLOOKUP(Tabela1[[#This Row],[Cliente]],'BASE DE CLIENTES'!A:E,5,0)</f>
        <v>Aparecida de Goiânia</v>
      </c>
    </row>
    <row r="3421" spans="2:12" x14ac:dyDescent="0.3">
      <c r="B3421" s="1" t="s">
        <v>120</v>
      </c>
      <c r="C3421" s="4" t="str">
        <f>VLOOKUP(Tabela1[[#This Row],[Cliente]],'BASE DE CLIENTES'!A:E,2,0)</f>
        <v>Brasília</v>
      </c>
      <c r="D3421" s="1" t="str">
        <f>VLOOKUP(Tabela1[[#This Row],[Cliente]],'BASE DE CLIENTES'!A:C,3,0)</f>
        <v>DF</v>
      </c>
      <c r="E3421" s="4" t="str">
        <f>CONCATENATE(Tabela1[[#This Row],[CIDADE]],",",Tabela1[[#This Row],[UF]])</f>
        <v>Brasília,DF</v>
      </c>
      <c r="F3421" s="2">
        <v>46017</v>
      </c>
      <c r="G3421" s="17">
        <v>712.93</v>
      </c>
      <c r="H3421" s="17">
        <v>1000</v>
      </c>
      <c r="I3421" s="6">
        <f>Tabela1[[#This Row],[Valor total]]-Tabela1[[#This Row],[Valor custo]]</f>
        <v>287.07000000000005</v>
      </c>
      <c r="J3421" s="7">
        <f>Tabela1[[#This Row],[MARGEM BRUTA]]/Tabela1[[#This Row],[Valor total]]</f>
        <v>0.28707000000000005</v>
      </c>
      <c r="K3421" s="1" t="str">
        <f>VLOOKUP(Tabela1[[#This Row],[Cliente]],'BASE DE CLIENTES'!A:D,4,0)</f>
        <v>EMPRESA SEM MAQUINA</v>
      </c>
      <c r="L3421" s="1" t="str">
        <f>VLOOKUP(Tabela1[[#This Row],[Cliente]],'BASE DE CLIENTES'!A:E,5,0)</f>
        <v>SAMAMBAIA</v>
      </c>
    </row>
    <row r="3422" spans="2:12" x14ac:dyDescent="0.3">
      <c r="B3422" s="1" t="s">
        <v>190</v>
      </c>
      <c r="C3422" s="4" t="str">
        <f>VLOOKUP(Tabela1[[#This Row],[Cliente]],'BASE DE CLIENTES'!A:E,2,0)</f>
        <v>Brasília</v>
      </c>
      <c r="D3422" s="1" t="str">
        <f>VLOOKUP(Tabela1[[#This Row],[Cliente]],'BASE DE CLIENTES'!A:C,3,0)</f>
        <v>DF</v>
      </c>
      <c r="E3422" s="4" t="str">
        <f>CONCATENATE(Tabela1[[#This Row],[CIDADE]],",",Tabela1[[#This Row],[UF]])</f>
        <v>Brasília,DF</v>
      </c>
      <c r="F3422" s="2">
        <v>46017</v>
      </c>
      <c r="G3422" s="17">
        <v>472.79</v>
      </c>
      <c r="H3422" s="17">
        <v>750</v>
      </c>
      <c r="I3422" s="6">
        <f>Tabela1[[#This Row],[Valor total]]-Tabela1[[#This Row],[Valor custo]]</f>
        <v>277.20999999999998</v>
      </c>
      <c r="J3422" s="7">
        <f>Tabela1[[#This Row],[MARGEM BRUTA]]/Tabela1[[#This Row],[Valor total]]</f>
        <v>0.36961333333333329</v>
      </c>
      <c r="K3422" s="1" t="str">
        <f>VLOOKUP(Tabela1[[#This Row],[Cliente]],'BASE DE CLIENTES'!A:D,4,0)</f>
        <v>EMPRESA COM MAQUINA</v>
      </c>
      <c r="L3422" s="1" t="str">
        <f>VLOOKUP(Tabela1[[#This Row],[Cliente]],'BASE DE CLIENTES'!A:E,5,0)</f>
        <v>RIACHO FUNDO I</v>
      </c>
    </row>
    <row r="3423" spans="2:12" x14ac:dyDescent="0.3">
      <c r="B3423" s="1" t="s">
        <v>307</v>
      </c>
      <c r="C3423" s="4" t="str">
        <f>VLOOKUP(Tabela1[[#This Row],[Cliente]],'BASE DE CLIENTES'!A:E,2,0)</f>
        <v>Uberaba</v>
      </c>
      <c r="D3423" s="1" t="str">
        <f>VLOOKUP(Tabela1[[#This Row],[Cliente]],'BASE DE CLIENTES'!A:C,3,0)</f>
        <v>MG</v>
      </c>
      <c r="E3423" s="4" t="str">
        <f>CONCATENATE(Tabela1[[#This Row],[CIDADE]],",",Tabela1[[#This Row],[UF]])</f>
        <v>Uberaba,MG</v>
      </c>
      <c r="F3423" s="2">
        <v>46017</v>
      </c>
      <c r="G3423" s="17">
        <v>8806.5499999999993</v>
      </c>
      <c r="H3423" s="17">
        <v>12875</v>
      </c>
      <c r="I3423" s="6">
        <f>Tabela1[[#This Row],[Valor total]]-Tabela1[[#This Row],[Valor custo]]</f>
        <v>4068.4500000000007</v>
      </c>
      <c r="J3423" s="7">
        <f>Tabela1[[#This Row],[MARGEM BRUTA]]/Tabela1[[#This Row],[Valor total]]</f>
        <v>0.31599611650485443</v>
      </c>
      <c r="K3423" s="1" t="str">
        <f>VLOOKUP(Tabela1[[#This Row],[Cliente]],'BASE DE CLIENTES'!A:D,4,0)</f>
        <v>EMPRESA COM MAQUINA</v>
      </c>
      <c r="L3423" s="1" t="str">
        <f>VLOOKUP(Tabela1[[#This Row],[Cliente]],'BASE DE CLIENTES'!A:E,5,0)</f>
        <v>Uberaba</v>
      </c>
    </row>
    <row r="3424" spans="2:12" x14ac:dyDescent="0.3">
      <c r="B3424" s="1" t="s">
        <v>184</v>
      </c>
      <c r="C3424" s="4" t="str">
        <f>VLOOKUP(Tabela1[[#This Row],[Cliente]],'BASE DE CLIENTES'!A:E,2,0)</f>
        <v>Castanhal</v>
      </c>
      <c r="D3424" s="1" t="str">
        <f>VLOOKUP(Tabela1[[#This Row],[Cliente]],'BASE DE CLIENTES'!A:C,3,0)</f>
        <v>PA</v>
      </c>
      <c r="E3424" s="4" t="str">
        <f>CONCATENATE(Tabela1[[#This Row],[CIDADE]],",",Tabela1[[#This Row],[UF]])</f>
        <v>Castanhal,PA</v>
      </c>
      <c r="F3424" s="2">
        <v>46017</v>
      </c>
      <c r="G3424" s="17">
        <v>6198.75</v>
      </c>
      <c r="H3424" s="17">
        <v>9100</v>
      </c>
      <c r="I3424" s="6">
        <f>Tabela1[[#This Row],[Valor total]]-Tabela1[[#This Row],[Valor custo]]</f>
        <v>2901.25</v>
      </c>
      <c r="J3424" s="7">
        <f>Tabela1[[#This Row],[MARGEM BRUTA]]/Tabela1[[#This Row],[Valor total]]</f>
        <v>0.3188186813186813</v>
      </c>
      <c r="K3424" s="1" t="str">
        <f>VLOOKUP(Tabela1[[#This Row],[Cliente]],'BASE DE CLIENTES'!A:D,4,0)</f>
        <v>EMPRESA COM MAQUINA</v>
      </c>
      <c r="L3424" s="1" t="str">
        <f>VLOOKUP(Tabela1[[#This Row],[Cliente]],'BASE DE CLIENTES'!A:E,5,0)</f>
        <v>Castanhal</v>
      </c>
    </row>
    <row r="3425" spans="2:12" x14ac:dyDescent="0.3">
      <c r="B3425" s="1" t="s">
        <v>309</v>
      </c>
      <c r="C3425" s="4" t="str">
        <f>VLOOKUP(Tabela1[[#This Row],[Cliente]],'BASE DE CLIENTES'!A:E,2,0)</f>
        <v>Uberlândia</v>
      </c>
      <c r="D3425" s="1" t="str">
        <f>VLOOKUP(Tabela1[[#This Row],[Cliente]],'BASE DE CLIENTES'!A:C,3,0)</f>
        <v>MG</v>
      </c>
      <c r="E3425" s="4" t="str">
        <f>CONCATENATE(Tabela1[[#This Row],[CIDADE]],",",Tabela1[[#This Row],[UF]])</f>
        <v>Uberlândia,MG</v>
      </c>
      <c r="F3425" s="2">
        <v>46017</v>
      </c>
      <c r="G3425" s="17">
        <v>7300.61</v>
      </c>
      <c r="H3425" s="17">
        <v>6550</v>
      </c>
      <c r="I3425" s="6">
        <f>Tabela1[[#This Row],[Valor total]]-Tabela1[[#This Row],[Valor custo]]</f>
        <v>-750.60999999999967</v>
      </c>
      <c r="J3425" s="7">
        <f>Tabela1[[#This Row],[MARGEM BRUTA]]/Tabela1[[#This Row],[Valor total]]</f>
        <v>-0.11459694656488545</v>
      </c>
      <c r="K3425" s="1" t="str">
        <f>VLOOKUP(Tabela1[[#This Row],[Cliente]],'BASE DE CLIENTES'!A:D,4,0)</f>
        <v>EMPRESA COM MAQUINA</v>
      </c>
      <c r="L3425" s="1" t="str">
        <f>VLOOKUP(Tabela1[[#This Row],[Cliente]],'BASE DE CLIENTES'!A:E,5,0)</f>
        <v>Uberlândia</v>
      </c>
    </row>
    <row r="3426" spans="2:12" x14ac:dyDescent="0.3">
      <c r="B3426" s="1" t="s">
        <v>351</v>
      </c>
      <c r="C3426" s="4" t="str">
        <f>VLOOKUP(Tabela1[[#This Row],[Cliente]],'BASE DE CLIENTES'!A:E,2,0)</f>
        <v>Brasília</v>
      </c>
      <c r="D3426" s="1" t="str">
        <f>VLOOKUP(Tabela1[[#This Row],[Cliente]],'BASE DE CLIENTES'!A:C,3,0)</f>
        <v>DF</v>
      </c>
      <c r="E3426" s="4" t="str">
        <f>CONCATENATE(Tabela1[[#This Row],[CIDADE]],",",Tabela1[[#This Row],[UF]])</f>
        <v>Brasília,DF</v>
      </c>
      <c r="F3426" s="2">
        <v>46017</v>
      </c>
      <c r="G3426" s="17">
        <v>112.56</v>
      </c>
      <c r="H3426" s="17">
        <v>300</v>
      </c>
      <c r="I3426" s="6">
        <f>Tabela1[[#This Row],[Valor total]]-Tabela1[[#This Row],[Valor custo]]</f>
        <v>187.44</v>
      </c>
      <c r="J3426" s="7">
        <f>Tabela1[[#This Row],[MARGEM BRUTA]]/Tabela1[[#This Row],[Valor total]]</f>
        <v>0.62480000000000002</v>
      </c>
      <c r="K3426" s="1" t="str">
        <f>VLOOKUP(Tabela1[[#This Row],[Cliente]],'BASE DE CLIENTES'!A:D,4,0)</f>
        <v>CLIENTE NOVO S/ IDENT.</v>
      </c>
      <c r="L3426" s="1" t="str">
        <f>VLOOKUP(Tabela1[[#This Row],[Cliente]],'BASE DE CLIENTES'!A:E,5,0)</f>
        <v>Brasília</v>
      </c>
    </row>
    <row r="3427" spans="2:12" x14ac:dyDescent="0.3">
      <c r="B3427" s="1" t="s">
        <v>351</v>
      </c>
      <c r="C3427" s="4" t="str">
        <f>VLOOKUP(Tabela1[[#This Row],[Cliente]],'BASE DE CLIENTES'!A:E,2,0)</f>
        <v>Brasília</v>
      </c>
      <c r="D3427" s="1" t="str">
        <f>VLOOKUP(Tabela1[[#This Row],[Cliente]],'BASE DE CLIENTES'!A:C,3,0)</f>
        <v>DF</v>
      </c>
      <c r="E3427" s="4" t="str">
        <f>CONCATENATE(Tabela1[[#This Row],[CIDADE]],",",Tabela1[[#This Row],[UF]])</f>
        <v>Brasília,DF</v>
      </c>
      <c r="F3427" s="2">
        <v>46017</v>
      </c>
      <c r="G3427" s="17">
        <v>757.96</v>
      </c>
      <c r="H3427" s="17">
        <v>1400</v>
      </c>
      <c r="I3427" s="6">
        <f>Tabela1[[#This Row],[Valor total]]-Tabela1[[#This Row],[Valor custo]]</f>
        <v>642.04</v>
      </c>
      <c r="J3427" s="7">
        <f>Tabela1[[#This Row],[MARGEM BRUTA]]/Tabela1[[#This Row],[Valor total]]</f>
        <v>0.45859999999999995</v>
      </c>
      <c r="K3427" s="1" t="str">
        <f>VLOOKUP(Tabela1[[#This Row],[Cliente]],'BASE DE CLIENTES'!A:D,4,0)</f>
        <v>CLIENTE NOVO S/ IDENT.</v>
      </c>
      <c r="L3427" s="1" t="str">
        <f>VLOOKUP(Tabela1[[#This Row],[Cliente]],'BASE DE CLIENTES'!A:E,5,0)</f>
        <v>Brasília</v>
      </c>
    </row>
    <row r="3428" spans="2:12" x14ac:dyDescent="0.3">
      <c r="B3428" s="1" t="s">
        <v>66</v>
      </c>
      <c r="C3428" s="4" t="str">
        <f>VLOOKUP(Tabela1[[#This Row],[Cliente]],'BASE DE CLIENTES'!A:E,2,0)</f>
        <v>Águas Lindas de Goiás</v>
      </c>
      <c r="D3428" s="1" t="str">
        <f>VLOOKUP(Tabela1[[#This Row],[Cliente]],'BASE DE CLIENTES'!A:C,3,0)</f>
        <v>GO</v>
      </c>
      <c r="E3428" s="4" t="str">
        <f>CONCATENATE(Tabela1[[#This Row],[CIDADE]],",",Tabela1[[#This Row],[UF]])</f>
        <v>Águas Lindas de Goiás,GO</v>
      </c>
      <c r="F3428" s="2">
        <v>46014</v>
      </c>
      <c r="G3428" s="17">
        <v>30.5</v>
      </c>
      <c r="H3428" s="17">
        <v>40</v>
      </c>
      <c r="I3428" s="6">
        <f>Tabela1[[#This Row],[Valor total]]-Tabela1[[#This Row],[Valor custo]]</f>
        <v>9.5</v>
      </c>
      <c r="J3428" s="7">
        <f>Tabela1[[#This Row],[MARGEM BRUTA]]/Tabela1[[#This Row],[Valor total]]</f>
        <v>0.23749999999999999</v>
      </c>
      <c r="K3428" s="1" t="str">
        <f>VLOOKUP(Tabela1[[#This Row],[Cliente]],'BASE DE CLIENTES'!A:D,4,0)</f>
        <v>EMPRESA COM MAQUINA</v>
      </c>
      <c r="L3428" s="1" t="str">
        <f>VLOOKUP(Tabela1[[#This Row],[Cliente]],'BASE DE CLIENTES'!A:E,5,0)</f>
        <v>Águas Lindas de Goiás</v>
      </c>
    </row>
    <row r="3429" spans="2:12" x14ac:dyDescent="0.3">
      <c r="B3429" s="1" t="s">
        <v>152</v>
      </c>
      <c r="C3429" s="4" t="str">
        <f>VLOOKUP(Tabela1[[#This Row],[Cliente]],'BASE DE CLIENTES'!A:E,2,0)</f>
        <v>Aparecida de Goiânia</v>
      </c>
      <c r="D3429" s="1" t="str">
        <f>VLOOKUP(Tabela1[[#This Row],[Cliente]],'BASE DE CLIENTES'!A:C,3,0)</f>
        <v>GO</v>
      </c>
      <c r="E3429" s="4" t="str">
        <f>CONCATENATE(Tabela1[[#This Row],[CIDADE]],",",Tabela1[[#This Row],[UF]])</f>
        <v>Aparecida de Goiânia,GO</v>
      </c>
      <c r="F3429" s="2">
        <v>46014</v>
      </c>
      <c r="G3429" s="17">
        <v>1133.55</v>
      </c>
      <c r="H3429" s="17">
        <v>1560</v>
      </c>
      <c r="I3429" s="6">
        <f>Tabela1[[#This Row],[Valor total]]-Tabela1[[#This Row],[Valor custo]]</f>
        <v>426.45000000000005</v>
      </c>
      <c r="J3429" s="7">
        <f>Tabela1[[#This Row],[MARGEM BRUTA]]/Tabela1[[#This Row],[Valor total]]</f>
        <v>0.27336538461538462</v>
      </c>
      <c r="K3429" s="1" t="str">
        <f>VLOOKUP(Tabela1[[#This Row],[Cliente]],'BASE DE CLIENTES'!A:D,4,0)</f>
        <v>TECNICO</v>
      </c>
      <c r="L3429" s="1" t="str">
        <f>VLOOKUP(Tabela1[[#This Row],[Cliente]],'BASE DE CLIENTES'!A:E,5,0)</f>
        <v>Aparecida de Goiânia</v>
      </c>
    </row>
    <row r="3430" spans="2:12" x14ac:dyDescent="0.3">
      <c r="B3430" s="1" t="s">
        <v>66</v>
      </c>
      <c r="C3430" s="4" t="str">
        <f>VLOOKUP(Tabela1[[#This Row],[Cliente]],'BASE DE CLIENTES'!A:E,2,0)</f>
        <v>Águas Lindas de Goiás</v>
      </c>
      <c r="D3430" s="1" t="str">
        <f>VLOOKUP(Tabela1[[#This Row],[Cliente]],'BASE DE CLIENTES'!A:C,3,0)</f>
        <v>GO</v>
      </c>
      <c r="E3430" s="4" t="str">
        <f>CONCATENATE(Tabela1[[#This Row],[CIDADE]],",",Tabela1[[#This Row],[UF]])</f>
        <v>Águas Lindas de Goiás,GO</v>
      </c>
      <c r="F3430" s="2">
        <v>46014</v>
      </c>
      <c r="G3430" s="17">
        <v>905.7</v>
      </c>
      <c r="H3430" s="17">
        <v>1420</v>
      </c>
      <c r="I3430" s="6">
        <f>Tabela1[[#This Row],[Valor total]]-Tabela1[[#This Row],[Valor custo]]</f>
        <v>514.29999999999995</v>
      </c>
      <c r="J3430" s="7">
        <f>Tabela1[[#This Row],[MARGEM BRUTA]]/Tabela1[[#This Row],[Valor total]]</f>
        <v>0.36218309859154929</v>
      </c>
      <c r="K3430" s="1" t="str">
        <f>VLOOKUP(Tabela1[[#This Row],[Cliente]],'BASE DE CLIENTES'!A:D,4,0)</f>
        <v>EMPRESA COM MAQUINA</v>
      </c>
      <c r="L3430" s="1" t="str">
        <f>VLOOKUP(Tabela1[[#This Row],[Cliente]],'BASE DE CLIENTES'!A:E,5,0)</f>
        <v>Águas Lindas de Goiás</v>
      </c>
    </row>
    <row r="3431" spans="2:12" x14ac:dyDescent="0.3">
      <c r="B3431" s="1" t="s">
        <v>117</v>
      </c>
      <c r="C3431" s="4" t="str">
        <f>VLOOKUP(Tabela1[[#This Row],[Cliente]],'BASE DE CLIENTES'!A:E,2,0)</f>
        <v>Brasília</v>
      </c>
      <c r="D3431" s="1" t="str">
        <f>VLOOKUP(Tabela1[[#This Row],[Cliente]],'BASE DE CLIENTES'!A:C,3,0)</f>
        <v>DF</v>
      </c>
      <c r="E3431" s="4" t="str">
        <f>CONCATENATE(Tabela1[[#This Row],[CIDADE]],",",Tabela1[[#This Row],[UF]])</f>
        <v>Brasília,DF</v>
      </c>
      <c r="F3431" s="2">
        <v>46014</v>
      </c>
      <c r="G3431" s="17">
        <v>112.56</v>
      </c>
      <c r="H3431" s="17">
        <v>300</v>
      </c>
      <c r="I3431" s="6">
        <f>Tabela1[[#This Row],[Valor total]]-Tabela1[[#This Row],[Valor custo]]</f>
        <v>187.44</v>
      </c>
      <c r="J3431" s="7">
        <f>Tabela1[[#This Row],[MARGEM BRUTA]]/Tabela1[[#This Row],[Valor total]]</f>
        <v>0.62480000000000002</v>
      </c>
      <c r="K3431" s="1" t="str">
        <f>VLOOKUP(Tabela1[[#This Row],[Cliente]],'BASE DE CLIENTES'!A:D,4,0)</f>
        <v>EMPRESA COM MAQUINA</v>
      </c>
      <c r="L3431" s="1" t="str">
        <f>VLOOKUP(Tabela1[[#This Row],[Cliente]],'BASE DE CLIENTES'!A:E,5,0)</f>
        <v>SETOR HABITACIONAL ARNIQUEIRA (AGUAS CLARAS)</v>
      </c>
    </row>
    <row r="3432" spans="2:12" x14ac:dyDescent="0.3">
      <c r="B3432" s="1" t="s">
        <v>52</v>
      </c>
      <c r="C3432" s="4" t="str">
        <f>VLOOKUP(Tabela1[[#This Row],[Cliente]],'BASE DE CLIENTES'!A:E,2,0)</f>
        <v>Brasília</v>
      </c>
      <c r="D3432" s="1" t="str">
        <f>VLOOKUP(Tabela1[[#This Row],[Cliente]],'BASE DE CLIENTES'!A:C,3,0)</f>
        <v>DF</v>
      </c>
      <c r="E3432" s="4" t="str">
        <f>CONCATENATE(Tabela1[[#This Row],[CIDADE]],",",Tabela1[[#This Row],[UF]])</f>
        <v>Brasília,DF</v>
      </c>
      <c r="F3432" s="2">
        <v>46014</v>
      </c>
      <c r="G3432" s="17">
        <v>377.85</v>
      </c>
      <c r="H3432" s="17">
        <v>500</v>
      </c>
      <c r="I3432" s="6">
        <f>Tabela1[[#This Row],[Valor total]]-Tabela1[[#This Row],[Valor custo]]</f>
        <v>122.14999999999998</v>
      </c>
      <c r="J3432" s="7">
        <f>Tabela1[[#This Row],[MARGEM BRUTA]]/Tabela1[[#This Row],[Valor total]]</f>
        <v>0.24429999999999996</v>
      </c>
      <c r="K3432" s="1" t="str">
        <f>VLOOKUP(Tabela1[[#This Row],[Cliente]],'BASE DE CLIENTES'!A:D,4,0)</f>
        <v>SERRALHEIRO</v>
      </c>
      <c r="L3432" s="1" t="str">
        <f>VLOOKUP(Tabela1[[#This Row],[Cliente]],'BASE DE CLIENTES'!A:E,5,0)</f>
        <v>Ceilândia Sul (Ceilândia)</v>
      </c>
    </row>
    <row r="3433" spans="2:12" x14ac:dyDescent="0.3">
      <c r="B3433" s="1" t="s">
        <v>66</v>
      </c>
      <c r="C3433" s="4" t="str">
        <f>VLOOKUP(Tabela1[[#This Row],[Cliente]],'BASE DE CLIENTES'!A:E,2,0)</f>
        <v>Águas Lindas de Goiás</v>
      </c>
      <c r="D3433" s="1" t="str">
        <f>VLOOKUP(Tabela1[[#This Row],[Cliente]],'BASE DE CLIENTES'!A:C,3,0)</f>
        <v>GO</v>
      </c>
      <c r="E3433" s="4" t="str">
        <f>CONCATENATE(Tabela1[[#This Row],[CIDADE]],",",Tabela1[[#This Row],[UF]])</f>
        <v>Águas Lindas de Goiás,GO</v>
      </c>
      <c r="F3433" s="2">
        <v>46014</v>
      </c>
      <c r="G3433" s="17">
        <v>472.79</v>
      </c>
      <c r="H3433" s="17">
        <v>760</v>
      </c>
      <c r="I3433" s="6">
        <f>Tabela1[[#This Row],[Valor total]]-Tabela1[[#This Row],[Valor custo]]</f>
        <v>287.20999999999998</v>
      </c>
      <c r="J3433" s="7">
        <f>Tabela1[[#This Row],[MARGEM BRUTA]]/Tabela1[[#This Row],[Valor total]]</f>
        <v>0.37790789473684205</v>
      </c>
      <c r="K3433" s="1" t="str">
        <f>VLOOKUP(Tabela1[[#This Row],[Cliente]],'BASE DE CLIENTES'!A:D,4,0)</f>
        <v>EMPRESA COM MAQUINA</v>
      </c>
      <c r="L3433" s="1" t="str">
        <f>VLOOKUP(Tabela1[[#This Row],[Cliente]],'BASE DE CLIENTES'!A:E,5,0)</f>
        <v>Águas Lindas de Goiás</v>
      </c>
    </row>
    <row r="3434" spans="2:12" x14ac:dyDescent="0.3">
      <c r="B3434" s="1" t="s">
        <v>27</v>
      </c>
      <c r="C3434" s="4" t="str">
        <f>VLOOKUP(Tabela1[[#This Row],[Cliente]],'BASE DE CLIENTES'!A:E,2,0)</f>
        <v>Brasília</v>
      </c>
      <c r="D3434" s="1" t="str">
        <f>VLOOKUP(Tabela1[[#This Row],[Cliente]],'BASE DE CLIENTES'!A:C,3,0)</f>
        <v>DF</v>
      </c>
      <c r="E3434" s="4" t="str">
        <f>CONCATENATE(Tabela1[[#This Row],[CIDADE]],",",Tabela1[[#This Row],[UF]])</f>
        <v>Brasília,DF</v>
      </c>
      <c r="F3434" s="2">
        <v>46014</v>
      </c>
      <c r="G3434" s="17">
        <v>1260</v>
      </c>
      <c r="H3434" s="17">
        <v>2100</v>
      </c>
      <c r="I3434" s="6">
        <f>Tabela1[[#This Row],[Valor total]]-Tabela1[[#This Row],[Valor custo]]</f>
        <v>840</v>
      </c>
      <c r="J3434" s="7">
        <f>Tabela1[[#This Row],[MARGEM BRUTA]]/Tabela1[[#This Row],[Valor total]]</f>
        <v>0.4</v>
      </c>
      <c r="K3434" s="1" t="str">
        <f>VLOOKUP(Tabela1[[#This Row],[Cliente]],'BASE DE CLIENTES'!A:D,4,0)</f>
        <v>EMPRESA SEM MAQUINA</v>
      </c>
      <c r="L3434" s="1" t="str">
        <f>VLOOKUP(Tabela1[[#This Row],[Cliente]],'BASE DE CLIENTES'!A:E,5,0)</f>
        <v>RECANTO DAS EMAS</v>
      </c>
    </row>
    <row r="3435" spans="2:12" x14ac:dyDescent="0.3">
      <c r="B3435" s="1" t="s">
        <v>96</v>
      </c>
      <c r="C3435" s="4" t="str">
        <f>VLOOKUP(Tabela1[[#This Row],[Cliente]],'BASE DE CLIENTES'!A:E,2,0)</f>
        <v>Brasília</v>
      </c>
      <c r="D3435" s="1" t="str">
        <f>VLOOKUP(Tabela1[[#This Row],[Cliente]],'BASE DE CLIENTES'!A:C,3,0)</f>
        <v>DF</v>
      </c>
      <c r="E3435" s="4" t="str">
        <f>CONCATENATE(Tabela1[[#This Row],[CIDADE]],",",Tabela1[[#This Row],[UF]])</f>
        <v>Brasília,DF</v>
      </c>
      <c r="F3435" s="2">
        <v>46014</v>
      </c>
      <c r="G3435" s="17">
        <v>201.36</v>
      </c>
      <c r="H3435" s="17">
        <v>300</v>
      </c>
      <c r="I3435" s="6">
        <f>Tabela1[[#This Row],[Valor total]]-Tabela1[[#This Row],[Valor custo]]</f>
        <v>98.639999999999986</v>
      </c>
      <c r="J3435" s="7">
        <f>Tabela1[[#This Row],[MARGEM BRUTA]]/Tabela1[[#This Row],[Valor total]]</f>
        <v>0.32879999999999998</v>
      </c>
      <c r="K3435" s="1" t="str">
        <f>VLOOKUP(Tabela1[[#This Row],[Cliente]],'BASE DE CLIENTES'!A:D,4,0)</f>
        <v>EMPRESA SEM MAQUINA</v>
      </c>
      <c r="L3435" s="1" t="str">
        <f>VLOOKUP(Tabela1[[#This Row],[Cliente]],'BASE DE CLIENTES'!A:E,5,0)</f>
        <v>CEILANDIA NORTE (CEILANDIA)</v>
      </c>
    </row>
    <row r="3436" spans="2:12" x14ac:dyDescent="0.3">
      <c r="B3436" s="1" t="s">
        <v>42</v>
      </c>
      <c r="C3436" s="4" t="str">
        <f>VLOOKUP(Tabela1[[#This Row],[Cliente]],'BASE DE CLIENTES'!A:E,2,0)</f>
        <v>Brasília</v>
      </c>
      <c r="D3436" s="1" t="str">
        <f>VLOOKUP(Tabela1[[#This Row],[Cliente]],'BASE DE CLIENTES'!A:C,3,0)</f>
        <v>DF</v>
      </c>
      <c r="E3436" s="4" t="str">
        <f>CONCATENATE(Tabela1[[#This Row],[CIDADE]],",",Tabela1[[#This Row],[UF]])</f>
        <v>Brasília,DF</v>
      </c>
      <c r="F3436" s="2">
        <v>46014</v>
      </c>
      <c r="G3436" s="17">
        <v>1028.1300000000001</v>
      </c>
      <c r="H3436" s="17">
        <v>1500</v>
      </c>
      <c r="I3436" s="6">
        <f>Tabela1[[#This Row],[Valor total]]-Tabela1[[#This Row],[Valor custo]]</f>
        <v>471.86999999999989</v>
      </c>
      <c r="J3436" s="7">
        <f>Tabela1[[#This Row],[MARGEM BRUTA]]/Tabela1[[#This Row],[Valor total]]</f>
        <v>0.31457999999999992</v>
      </c>
      <c r="K3436" s="1" t="str">
        <f>VLOOKUP(Tabela1[[#This Row],[Cliente]],'BASE DE CLIENTES'!A:D,4,0)</f>
        <v>EMPRESA SEM MAQUINA</v>
      </c>
      <c r="L3436" s="1" t="str">
        <f>VLOOKUP(Tabela1[[#This Row],[Cliente]],'BASE DE CLIENTES'!A:E,5,0)</f>
        <v>SAMAMBAIA</v>
      </c>
    </row>
    <row r="3437" spans="2:12" x14ac:dyDescent="0.3">
      <c r="B3437" s="1" t="s">
        <v>140</v>
      </c>
      <c r="C3437" s="4" t="str">
        <f>VLOOKUP(Tabela1[[#This Row],[Cliente]],'BASE DE CLIENTES'!A:E,2,0)</f>
        <v>Brasília</v>
      </c>
      <c r="D3437" s="1" t="str">
        <f>VLOOKUP(Tabela1[[#This Row],[Cliente]],'BASE DE CLIENTES'!A:C,3,0)</f>
        <v>DF</v>
      </c>
      <c r="E3437" s="4" t="str">
        <f>CONCATENATE(Tabela1[[#This Row],[CIDADE]],",",Tabela1[[#This Row],[UF]])</f>
        <v>Brasília,DF</v>
      </c>
      <c r="F3437" s="2">
        <v>46014</v>
      </c>
      <c r="G3437" s="17">
        <v>5394.9</v>
      </c>
      <c r="H3437" s="17">
        <v>7980</v>
      </c>
      <c r="I3437" s="6">
        <f>Tabela1[[#This Row],[Valor total]]-Tabela1[[#This Row],[Valor custo]]</f>
        <v>2585.1000000000004</v>
      </c>
      <c r="J3437" s="7">
        <f>Tabela1[[#This Row],[MARGEM BRUTA]]/Tabela1[[#This Row],[Valor total]]</f>
        <v>0.32394736842105265</v>
      </c>
      <c r="K3437" s="1" t="str">
        <f>VLOOKUP(Tabela1[[#This Row],[Cliente]],'BASE DE CLIENTES'!A:D,4,0)</f>
        <v>EMPRESA COM MAQUINA</v>
      </c>
      <c r="L3437" s="1" t="str">
        <f>VLOOKUP(Tabela1[[#This Row],[Cliente]],'BASE DE CLIENTES'!A:E,5,0)</f>
        <v>RECANTO DAS EMAS</v>
      </c>
    </row>
    <row r="3438" spans="2:12" x14ac:dyDescent="0.3">
      <c r="B3438" s="1" t="s">
        <v>321</v>
      </c>
      <c r="C3438" s="4" t="str">
        <f>VLOOKUP(Tabela1[[#This Row],[Cliente]],'BASE DE CLIENTES'!A:E,2,0)</f>
        <v>Valparaíso de Goiás</v>
      </c>
      <c r="D3438" s="1" t="str">
        <f>VLOOKUP(Tabela1[[#This Row],[Cliente]],'BASE DE CLIENTES'!A:C,3,0)</f>
        <v>GO</v>
      </c>
      <c r="E3438" s="4" t="str">
        <f>CONCATENATE(Tabela1[[#This Row],[CIDADE]],",",Tabela1[[#This Row],[UF]])</f>
        <v>Valparaíso de Goiás,GO</v>
      </c>
      <c r="F3438" s="2">
        <v>46014</v>
      </c>
      <c r="G3438" s="17">
        <v>1833.77</v>
      </c>
      <c r="H3438" s="17">
        <v>2860</v>
      </c>
      <c r="I3438" s="6">
        <f>Tabela1[[#This Row],[Valor total]]-Tabela1[[#This Row],[Valor custo]]</f>
        <v>1026.23</v>
      </c>
      <c r="J3438" s="7">
        <f>Tabela1[[#This Row],[MARGEM BRUTA]]/Tabela1[[#This Row],[Valor total]]</f>
        <v>0.35882167832167833</v>
      </c>
      <c r="K3438" s="1" t="str">
        <f>VLOOKUP(Tabela1[[#This Row],[Cliente]],'BASE DE CLIENTES'!A:D,4,0)</f>
        <v>EMPRESA COM MAQUINA</v>
      </c>
      <c r="L3438" s="1" t="str">
        <f>VLOOKUP(Tabela1[[#This Row],[Cliente]],'BASE DE CLIENTES'!A:E,5,0)</f>
        <v>Valparaíso de Goiás</v>
      </c>
    </row>
    <row r="3439" spans="2:12" x14ac:dyDescent="0.3">
      <c r="B3439" s="1" t="s">
        <v>85</v>
      </c>
      <c r="C3439" s="4" t="str">
        <f>VLOOKUP(Tabela1[[#This Row],[Cliente]],'BASE DE CLIENTES'!A:E,2,0)</f>
        <v>Brasília</v>
      </c>
      <c r="D3439" s="1" t="str">
        <f>VLOOKUP(Tabela1[[#This Row],[Cliente]],'BASE DE CLIENTES'!A:C,3,0)</f>
        <v>DF</v>
      </c>
      <c r="E3439" s="4" t="str">
        <f>CONCATENATE(Tabela1[[#This Row],[CIDADE]],",",Tabela1[[#This Row],[UF]])</f>
        <v>Brasília,DF</v>
      </c>
      <c r="F3439" s="2">
        <v>46014</v>
      </c>
      <c r="G3439" s="17">
        <v>10</v>
      </c>
      <c r="H3439" s="17">
        <v>330</v>
      </c>
      <c r="I3439" s="6">
        <f>Tabela1[[#This Row],[Valor total]]-Tabela1[[#This Row],[Valor custo]]</f>
        <v>320</v>
      </c>
      <c r="J3439" s="7">
        <f>Tabela1[[#This Row],[MARGEM BRUTA]]/Tabela1[[#This Row],[Valor total]]</f>
        <v>0.96969696969696972</v>
      </c>
      <c r="K3439" s="1" t="str">
        <f>VLOOKUP(Tabela1[[#This Row],[Cliente]],'BASE DE CLIENTES'!A:D,4,0)</f>
        <v>SERRALHEIRO</v>
      </c>
      <c r="L3439" s="1" t="str">
        <f>VLOOKUP(Tabela1[[#This Row],[Cliente]],'BASE DE CLIENTES'!A:E,5,0)</f>
        <v>SAMAMBAIA NORTE (SAMAMBAIA)</v>
      </c>
    </row>
    <row r="3440" spans="2:12" x14ac:dyDescent="0.3">
      <c r="B3440" s="1" t="s">
        <v>293</v>
      </c>
      <c r="C3440" s="4" t="str">
        <f>VLOOKUP(Tabela1[[#This Row],[Cliente]],'BASE DE CLIENTES'!A:E,2,0)</f>
        <v>Brasília</v>
      </c>
      <c r="D3440" s="1" t="str">
        <f>VLOOKUP(Tabela1[[#This Row],[Cliente]],'BASE DE CLIENTES'!A:C,3,0)</f>
        <v>DF</v>
      </c>
      <c r="E3440" s="4" t="str">
        <f>CONCATENATE(Tabela1[[#This Row],[CIDADE]],",",Tabela1[[#This Row],[UF]])</f>
        <v>Brasília,DF</v>
      </c>
      <c r="F3440" s="2">
        <v>46014</v>
      </c>
      <c r="G3440" s="17">
        <v>450.27</v>
      </c>
      <c r="H3440" s="17">
        <v>720</v>
      </c>
      <c r="I3440" s="6">
        <f>Tabela1[[#This Row],[Valor total]]-Tabela1[[#This Row],[Valor custo]]</f>
        <v>269.73</v>
      </c>
      <c r="J3440" s="7">
        <f>Tabela1[[#This Row],[MARGEM BRUTA]]/Tabela1[[#This Row],[Valor total]]</f>
        <v>0.37462500000000004</v>
      </c>
      <c r="K3440" s="1" t="str">
        <f>VLOOKUP(Tabela1[[#This Row],[Cliente]],'BASE DE CLIENTES'!A:D,4,0)</f>
        <v>SERRALHEIRO</v>
      </c>
      <c r="L3440" s="1" t="str">
        <f>VLOOKUP(Tabela1[[#This Row],[Cliente]],'BASE DE CLIENTES'!A:E,5,0)</f>
        <v>NA</v>
      </c>
    </row>
    <row r="3441" spans="2:12" x14ac:dyDescent="0.3">
      <c r="B3441" s="1" t="s">
        <v>264</v>
      </c>
      <c r="C3441" s="4" t="str">
        <f>VLOOKUP(Tabela1[[#This Row],[Cliente]],'BASE DE CLIENTES'!A:E,2,0)</f>
        <v>Brasília</v>
      </c>
      <c r="D3441" s="1" t="str">
        <f>VLOOKUP(Tabela1[[#This Row],[Cliente]],'BASE DE CLIENTES'!A:C,3,0)</f>
        <v>DF</v>
      </c>
      <c r="E3441" s="4" t="str">
        <f>CONCATENATE(Tabela1[[#This Row],[CIDADE]],",",Tabela1[[#This Row],[UF]])</f>
        <v>Brasília,DF</v>
      </c>
      <c r="F3441" s="2">
        <v>46014</v>
      </c>
      <c r="G3441" s="17">
        <v>45.6</v>
      </c>
      <c r="H3441" s="17">
        <v>40</v>
      </c>
      <c r="I3441" s="6">
        <f>Tabela1[[#This Row],[Valor total]]-Tabela1[[#This Row],[Valor custo]]</f>
        <v>-5.6000000000000014</v>
      </c>
      <c r="J3441" s="7">
        <f>Tabela1[[#This Row],[MARGEM BRUTA]]/Tabela1[[#This Row],[Valor total]]</f>
        <v>-0.14000000000000004</v>
      </c>
      <c r="K3441" s="1" t="str">
        <f>VLOOKUP(Tabela1[[#This Row],[Cliente]],'BASE DE CLIENTES'!A:D,4,0)</f>
        <v>SERRALHEIRO</v>
      </c>
      <c r="L3441" s="1" t="str">
        <f>VLOOKUP(Tabela1[[#This Row],[Cliente]],'BASE DE CLIENTES'!A:E,5,0)</f>
        <v>Recanto das emas</v>
      </c>
    </row>
    <row r="3442" spans="2:12" x14ac:dyDescent="0.3">
      <c r="B3442" s="1" t="s">
        <v>27</v>
      </c>
      <c r="C3442" s="4" t="str">
        <f>VLOOKUP(Tabela1[[#This Row],[Cliente]],'BASE DE CLIENTES'!A:E,2,0)</f>
        <v>Brasília</v>
      </c>
      <c r="D3442" s="1" t="str">
        <f>VLOOKUP(Tabela1[[#This Row],[Cliente]],'BASE DE CLIENTES'!A:C,3,0)</f>
        <v>DF</v>
      </c>
      <c r="E3442" s="4" t="str">
        <f>CONCATENATE(Tabela1[[#This Row],[CIDADE]],",",Tabela1[[#This Row],[UF]])</f>
        <v>Brasília,DF</v>
      </c>
      <c r="F3442" s="2">
        <v>46014</v>
      </c>
      <c r="G3442" s="17">
        <v>43.73</v>
      </c>
      <c r="H3442" s="17">
        <v>210</v>
      </c>
      <c r="I3442" s="6">
        <f>Tabela1[[#This Row],[Valor total]]-Tabela1[[#This Row],[Valor custo]]</f>
        <v>166.27</v>
      </c>
      <c r="J3442" s="7">
        <f>Tabela1[[#This Row],[MARGEM BRUTA]]/Tabela1[[#This Row],[Valor total]]</f>
        <v>0.79176190476190478</v>
      </c>
      <c r="K3442" s="1" t="str">
        <f>VLOOKUP(Tabela1[[#This Row],[Cliente]],'BASE DE CLIENTES'!A:D,4,0)</f>
        <v>EMPRESA SEM MAQUINA</v>
      </c>
      <c r="L3442" s="1" t="str">
        <f>VLOOKUP(Tabela1[[#This Row],[Cliente]],'BASE DE CLIENTES'!A:E,5,0)</f>
        <v>RECANTO DAS EMAS</v>
      </c>
    </row>
    <row r="3443" spans="2:12" x14ac:dyDescent="0.3">
      <c r="B3443" s="1" t="s">
        <v>76</v>
      </c>
      <c r="C3443" s="4" t="str">
        <f>VLOOKUP(Tabela1[[#This Row],[Cliente]],'BASE DE CLIENTES'!A:E,2,0)</f>
        <v>Brasília</v>
      </c>
      <c r="D3443" s="1" t="str">
        <f>VLOOKUP(Tabela1[[#This Row],[Cliente]],'BASE DE CLIENTES'!A:C,3,0)</f>
        <v>DF</v>
      </c>
      <c r="E3443" s="4" t="str">
        <f>CONCATENATE(Tabela1[[#This Row],[CIDADE]],",",Tabela1[[#This Row],[UF]])</f>
        <v>Brasília,DF</v>
      </c>
      <c r="F3443" s="2">
        <v>46013</v>
      </c>
      <c r="G3443" s="17">
        <v>1250</v>
      </c>
      <c r="H3443" s="17">
        <v>1425</v>
      </c>
      <c r="I3443" s="6">
        <f>Tabela1[[#This Row],[Valor total]]-Tabela1[[#This Row],[Valor custo]]</f>
        <v>175</v>
      </c>
      <c r="J3443" s="7">
        <f>Tabela1[[#This Row],[MARGEM BRUTA]]/Tabela1[[#This Row],[Valor total]]</f>
        <v>0.12280701754385964</v>
      </c>
      <c r="K3443" s="1" t="str">
        <f>VLOOKUP(Tabela1[[#This Row],[Cliente]],'BASE DE CLIENTES'!A:D,4,0)</f>
        <v>EMPRESA COM MAQUINA</v>
      </c>
      <c r="L3443" s="1" t="str">
        <f>VLOOKUP(Tabela1[[#This Row],[Cliente]],'BASE DE CLIENTES'!A:E,5,0)</f>
        <v>Setor Placa da Mercedes (Núcleo Bandeirante)</v>
      </c>
    </row>
    <row r="3444" spans="2:12" x14ac:dyDescent="0.3">
      <c r="B3444" s="1" t="s">
        <v>111</v>
      </c>
      <c r="C3444" s="4" t="str">
        <f>VLOOKUP(Tabela1[[#This Row],[Cliente]],'BASE DE CLIENTES'!A:E,2,0)</f>
        <v>Brasília</v>
      </c>
      <c r="D3444" s="1" t="str">
        <f>VLOOKUP(Tabela1[[#This Row],[Cliente]],'BASE DE CLIENTES'!A:C,3,0)</f>
        <v>DF</v>
      </c>
      <c r="E3444" s="4" t="str">
        <f>CONCATENATE(Tabela1[[#This Row],[CIDADE]],",",Tabela1[[#This Row],[UF]])</f>
        <v>Brasília,DF</v>
      </c>
      <c r="F3444" s="2">
        <v>46014</v>
      </c>
      <c r="G3444" s="17">
        <v>1425.86</v>
      </c>
      <c r="H3444" s="17">
        <v>2000</v>
      </c>
      <c r="I3444" s="6">
        <f>Tabela1[[#This Row],[Valor total]]-Tabela1[[#This Row],[Valor custo]]</f>
        <v>574.1400000000001</v>
      </c>
      <c r="J3444" s="7">
        <f>Tabela1[[#This Row],[MARGEM BRUTA]]/Tabela1[[#This Row],[Valor total]]</f>
        <v>0.28707000000000005</v>
      </c>
      <c r="K3444" s="1" t="str">
        <f>VLOOKUP(Tabela1[[#This Row],[Cliente]],'BASE DE CLIENTES'!A:D,4,0)</f>
        <v>EMPRESA SEM MAQUINA</v>
      </c>
      <c r="L3444" s="1" t="str">
        <f>VLOOKUP(Tabela1[[#This Row],[Cliente]],'BASE DE CLIENTES'!A:E,5,0)</f>
        <v>TAGUATINGA SUL (TAGUATINGA)</v>
      </c>
    </row>
    <row r="3445" spans="2:12" x14ac:dyDescent="0.3">
      <c r="B3445" s="1" t="s">
        <v>152</v>
      </c>
      <c r="C3445" s="4" t="str">
        <f>VLOOKUP(Tabela1[[#This Row],[Cliente]],'BASE DE CLIENTES'!A:E,2,0)</f>
        <v>Aparecida de Goiânia</v>
      </c>
      <c r="D3445" s="1" t="str">
        <f>VLOOKUP(Tabela1[[#This Row],[Cliente]],'BASE DE CLIENTES'!A:C,3,0)</f>
        <v>GO</v>
      </c>
      <c r="E3445" s="4" t="str">
        <f>CONCATENATE(Tabela1[[#This Row],[CIDADE]],",",Tabela1[[#This Row],[UF]])</f>
        <v>Aparecida de Goiânia,GO</v>
      </c>
      <c r="F3445" s="2">
        <v>46013</v>
      </c>
      <c r="G3445" s="17">
        <v>377.85</v>
      </c>
      <c r="H3445" s="17">
        <v>650</v>
      </c>
      <c r="I3445" s="6">
        <f>Tabela1[[#This Row],[Valor total]]-Tabela1[[#This Row],[Valor custo]]</f>
        <v>272.14999999999998</v>
      </c>
      <c r="J3445" s="7">
        <f>Tabela1[[#This Row],[MARGEM BRUTA]]/Tabela1[[#This Row],[Valor total]]</f>
        <v>0.41869230769230764</v>
      </c>
      <c r="K3445" s="1" t="str">
        <f>VLOOKUP(Tabela1[[#This Row],[Cliente]],'BASE DE CLIENTES'!A:D,4,0)</f>
        <v>TECNICO</v>
      </c>
      <c r="L3445" s="1" t="str">
        <f>VLOOKUP(Tabela1[[#This Row],[Cliente]],'BASE DE CLIENTES'!A:E,5,0)</f>
        <v>Aparecida de Goiânia</v>
      </c>
    </row>
    <row r="3446" spans="2:12" x14ac:dyDescent="0.3">
      <c r="B3446" s="1" t="s">
        <v>152</v>
      </c>
      <c r="C3446" s="4" t="str">
        <f>VLOOKUP(Tabela1[[#This Row],[Cliente]],'BASE DE CLIENTES'!A:E,2,0)</f>
        <v>Aparecida de Goiânia</v>
      </c>
      <c r="D3446" s="1" t="str">
        <f>VLOOKUP(Tabela1[[#This Row],[Cliente]],'BASE DE CLIENTES'!A:C,3,0)</f>
        <v>GO</v>
      </c>
      <c r="E3446" s="4" t="str">
        <f>CONCATENATE(Tabela1[[#This Row],[CIDADE]],",",Tabela1[[#This Row],[UF]])</f>
        <v>Aparecida de Goiânia,GO</v>
      </c>
      <c r="F3446" s="2">
        <v>46013</v>
      </c>
      <c r="G3446" s="17">
        <v>555.34</v>
      </c>
      <c r="H3446" s="17">
        <v>930</v>
      </c>
      <c r="I3446" s="6">
        <f>Tabela1[[#This Row],[Valor total]]-Tabela1[[#This Row],[Valor custo]]</f>
        <v>374.65999999999997</v>
      </c>
      <c r="J3446" s="7">
        <f>Tabela1[[#This Row],[MARGEM BRUTA]]/Tabela1[[#This Row],[Valor total]]</f>
        <v>0.4028602150537634</v>
      </c>
      <c r="K3446" s="1" t="str">
        <f>VLOOKUP(Tabela1[[#This Row],[Cliente]],'BASE DE CLIENTES'!A:D,4,0)</f>
        <v>TECNICO</v>
      </c>
      <c r="L3446" s="1" t="str">
        <f>VLOOKUP(Tabela1[[#This Row],[Cliente]],'BASE DE CLIENTES'!A:E,5,0)</f>
        <v>Aparecida de Goiânia</v>
      </c>
    </row>
    <row r="3447" spans="2:12" x14ac:dyDescent="0.3">
      <c r="B3447" s="1" t="s">
        <v>342</v>
      </c>
      <c r="C3447" s="4" t="str">
        <f>VLOOKUP(Tabela1[[#This Row],[Cliente]],'BASE DE CLIENTES'!A:E,2,0)</f>
        <v>Santo Antônio Descoberto</v>
      </c>
      <c r="D3447" s="1" t="str">
        <f>VLOOKUP(Tabela1[[#This Row],[Cliente]],'BASE DE CLIENTES'!A:C,3,0)</f>
        <v>GO</v>
      </c>
      <c r="E3447" s="4" t="str">
        <f>CONCATENATE(Tabela1[[#This Row],[CIDADE]],",",Tabela1[[#This Row],[UF]])</f>
        <v>Santo Antônio Descoberto,GO</v>
      </c>
      <c r="F3447" s="2">
        <v>46013</v>
      </c>
      <c r="G3447" s="17">
        <v>125</v>
      </c>
      <c r="H3447" s="17">
        <v>150</v>
      </c>
      <c r="I3447" s="6">
        <f>Tabela1[[#This Row],[Valor total]]-Tabela1[[#This Row],[Valor custo]]</f>
        <v>25</v>
      </c>
      <c r="J3447" s="7">
        <f>Tabela1[[#This Row],[MARGEM BRUTA]]/Tabela1[[#This Row],[Valor total]]</f>
        <v>0.16666666666666666</v>
      </c>
      <c r="K3447" s="1" t="str">
        <f>VLOOKUP(Tabela1[[#This Row],[Cliente]],'BASE DE CLIENTES'!A:D,4,0)</f>
        <v>CLIENTE NOVO S/ IDENT.</v>
      </c>
      <c r="L3447" s="1" t="str">
        <f>VLOOKUP(Tabela1[[#This Row],[Cliente]],'BASE DE CLIENTES'!A:E,5,0)</f>
        <v>Santo Antônio Descoberto</v>
      </c>
    </row>
    <row r="3448" spans="2:12" x14ac:dyDescent="0.3">
      <c r="B3448" s="1" t="s">
        <v>342</v>
      </c>
      <c r="C3448" s="4" t="str">
        <f>VLOOKUP(Tabela1[[#This Row],[Cliente]],'BASE DE CLIENTES'!A:E,2,0)</f>
        <v>Santo Antônio Descoberto</v>
      </c>
      <c r="D3448" s="1" t="str">
        <f>VLOOKUP(Tabela1[[#This Row],[Cliente]],'BASE DE CLIENTES'!A:C,3,0)</f>
        <v>GO</v>
      </c>
      <c r="E3448" s="4" t="str">
        <f>CONCATENATE(Tabela1[[#This Row],[CIDADE]],",",Tabela1[[#This Row],[UF]])</f>
        <v>Santo Antônio Descoberto,GO</v>
      </c>
      <c r="F3448" s="2">
        <v>46013</v>
      </c>
      <c r="G3448" s="17">
        <v>960.54</v>
      </c>
      <c r="H3448" s="17">
        <v>1440</v>
      </c>
      <c r="I3448" s="6">
        <f>Tabela1[[#This Row],[Valor total]]-Tabela1[[#This Row],[Valor custo]]</f>
        <v>479.46000000000004</v>
      </c>
      <c r="J3448" s="7">
        <f>Tabela1[[#This Row],[MARGEM BRUTA]]/Tabela1[[#This Row],[Valor total]]</f>
        <v>0.33295833333333336</v>
      </c>
      <c r="K3448" s="1" t="str">
        <f>VLOOKUP(Tabela1[[#This Row],[Cliente]],'BASE DE CLIENTES'!A:D,4,0)</f>
        <v>CLIENTE NOVO S/ IDENT.</v>
      </c>
      <c r="L3448" s="1" t="str">
        <f>VLOOKUP(Tabela1[[#This Row],[Cliente]],'BASE DE CLIENTES'!A:E,5,0)</f>
        <v>Santo Antônio Descoberto</v>
      </c>
    </row>
    <row r="3449" spans="2:12" x14ac:dyDescent="0.3">
      <c r="B3449" s="1" t="s">
        <v>342</v>
      </c>
      <c r="C3449" s="4" t="str">
        <f>VLOOKUP(Tabela1[[#This Row],[Cliente]],'BASE DE CLIENTES'!A:E,2,0)</f>
        <v>Santo Antônio Descoberto</v>
      </c>
      <c r="D3449" s="1" t="str">
        <f>VLOOKUP(Tabela1[[#This Row],[Cliente]],'BASE DE CLIENTES'!A:C,3,0)</f>
        <v>GO</v>
      </c>
      <c r="E3449" s="4" t="str">
        <f>CONCATENATE(Tabela1[[#This Row],[CIDADE]],",",Tabela1[[#This Row],[UF]])</f>
        <v>Santo Antônio Descoberto,GO</v>
      </c>
      <c r="F3449" s="2">
        <v>46013</v>
      </c>
      <c r="G3449" s="17">
        <v>293.13</v>
      </c>
      <c r="H3449" s="17">
        <v>400</v>
      </c>
      <c r="I3449" s="6">
        <f>Tabela1[[#This Row],[Valor total]]-Tabela1[[#This Row],[Valor custo]]</f>
        <v>106.87</v>
      </c>
      <c r="J3449" s="7">
        <f>Tabela1[[#This Row],[MARGEM BRUTA]]/Tabela1[[#This Row],[Valor total]]</f>
        <v>0.267175</v>
      </c>
      <c r="K3449" s="1" t="str">
        <f>VLOOKUP(Tabela1[[#This Row],[Cliente]],'BASE DE CLIENTES'!A:D,4,0)</f>
        <v>CLIENTE NOVO S/ IDENT.</v>
      </c>
      <c r="L3449" s="1" t="str">
        <f>VLOOKUP(Tabela1[[#This Row],[Cliente]],'BASE DE CLIENTES'!A:E,5,0)</f>
        <v>Santo Antônio Descoberto</v>
      </c>
    </row>
    <row r="3450" spans="2:12" x14ac:dyDescent="0.3">
      <c r="B3450" s="1" t="s">
        <v>120</v>
      </c>
      <c r="C3450" s="4" t="str">
        <f>VLOOKUP(Tabela1[[#This Row],[Cliente]],'BASE DE CLIENTES'!A:E,2,0)</f>
        <v>Brasília</v>
      </c>
      <c r="D3450" s="1" t="str">
        <f>VLOOKUP(Tabela1[[#This Row],[Cliente]],'BASE DE CLIENTES'!A:C,3,0)</f>
        <v>DF</v>
      </c>
      <c r="E3450" s="4" t="str">
        <f>CONCATENATE(Tabela1[[#This Row],[CIDADE]],",",Tabela1[[#This Row],[UF]])</f>
        <v>Brasília,DF</v>
      </c>
      <c r="F3450" s="2">
        <v>46013</v>
      </c>
      <c r="G3450" s="17">
        <v>45.6</v>
      </c>
      <c r="H3450" s="17">
        <v>70</v>
      </c>
      <c r="I3450" s="6">
        <f>Tabela1[[#This Row],[Valor total]]-Tabela1[[#This Row],[Valor custo]]</f>
        <v>24.4</v>
      </c>
      <c r="J3450" s="7">
        <f>Tabela1[[#This Row],[MARGEM BRUTA]]/Tabela1[[#This Row],[Valor total]]</f>
        <v>0.34857142857142853</v>
      </c>
      <c r="K3450" s="1" t="str">
        <f>VLOOKUP(Tabela1[[#This Row],[Cliente]],'BASE DE CLIENTES'!A:D,4,0)</f>
        <v>EMPRESA SEM MAQUINA</v>
      </c>
      <c r="L3450" s="1" t="str">
        <f>VLOOKUP(Tabela1[[#This Row],[Cliente]],'BASE DE CLIENTES'!A:E,5,0)</f>
        <v>SAMAMBAIA</v>
      </c>
    </row>
    <row r="3451" spans="2:12" x14ac:dyDescent="0.3">
      <c r="B3451" s="1" t="s">
        <v>19</v>
      </c>
      <c r="C3451" s="4" t="str">
        <f>VLOOKUP(Tabela1[[#This Row],[Cliente]],'BASE DE CLIENTES'!A:E,2,0)</f>
        <v>Águas Lindas de Goiás</v>
      </c>
      <c r="D3451" s="1" t="str">
        <f>VLOOKUP(Tabela1[[#This Row],[Cliente]],'BASE DE CLIENTES'!A:C,3,0)</f>
        <v>GO</v>
      </c>
      <c r="E3451" s="4" t="str">
        <f>CONCATENATE(Tabela1[[#This Row],[CIDADE]],",",Tabela1[[#This Row],[UF]])</f>
        <v>Águas Lindas de Goiás,GO</v>
      </c>
      <c r="F3451" s="2">
        <v>46013</v>
      </c>
      <c r="G3451" s="17">
        <v>1090.78</v>
      </c>
      <c r="H3451" s="17">
        <v>1725</v>
      </c>
      <c r="I3451" s="6">
        <f>Tabela1[[#This Row],[Valor total]]-Tabela1[[#This Row],[Valor custo]]</f>
        <v>634.22</v>
      </c>
      <c r="J3451" s="7">
        <f>Tabela1[[#This Row],[MARGEM BRUTA]]/Tabela1[[#This Row],[Valor total]]</f>
        <v>0.36766376811594204</v>
      </c>
      <c r="K3451" s="1" t="str">
        <f>VLOOKUP(Tabela1[[#This Row],[Cliente]],'BASE DE CLIENTES'!A:D,4,0)</f>
        <v>SERRALHEIRO</v>
      </c>
      <c r="L3451" s="1" t="str">
        <f>VLOOKUP(Tabela1[[#This Row],[Cliente]],'BASE DE CLIENTES'!A:E,5,0)</f>
        <v>Águas Lindas de Goiás</v>
      </c>
    </row>
    <row r="3452" spans="2:12" x14ac:dyDescent="0.3">
      <c r="B3452" s="1" t="s">
        <v>68</v>
      </c>
      <c r="C3452" s="4" t="str">
        <f>VLOOKUP(Tabela1[[#This Row],[Cliente]],'BASE DE CLIENTES'!A:E,2,0)</f>
        <v>Brasília</v>
      </c>
      <c r="D3452" s="1" t="str">
        <f>VLOOKUP(Tabela1[[#This Row],[Cliente]],'BASE DE CLIENTES'!A:C,3,0)</f>
        <v>DF</v>
      </c>
      <c r="E3452" s="4" t="str">
        <f>CONCATENATE(Tabela1[[#This Row],[CIDADE]],",",Tabela1[[#This Row],[UF]])</f>
        <v>Brasília,DF</v>
      </c>
      <c r="F3452" s="2">
        <v>46013</v>
      </c>
      <c r="G3452" s="17">
        <v>625</v>
      </c>
      <c r="H3452" s="17">
        <v>750</v>
      </c>
      <c r="I3452" s="6">
        <f>Tabela1[[#This Row],[Valor total]]-Tabela1[[#This Row],[Valor custo]]</f>
        <v>125</v>
      </c>
      <c r="J3452" s="7">
        <f>Tabela1[[#This Row],[MARGEM BRUTA]]/Tabela1[[#This Row],[Valor total]]</f>
        <v>0.16666666666666666</v>
      </c>
      <c r="K3452" s="1" t="str">
        <f>VLOOKUP(Tabela1[[#This Row],[Cliente]],'BASE DE CLIENTES'!A:D,4,0)</f>
        <v>EMPRESA COM MAQUINA</v>
      </c>
      <c r="L3452" s="1" t="str">
        <f>VLOOKUP(Tabela1[[#This Row],[Cliente]],'BASE DE CLIENTES'!A:E,5,0)</f>
        <v>SAMAMBAIA SUL (SAMAMBAIA)</v>
      </c>
    </row>
    <row r="3453" spans="2:12" x14ac:dyDescent="0.3">
      <c r="B3453" s="1" t="s">
        <v>352</v>
      </c>
      <c r="C3453" s="4" t="str">
        <f>VLOOKUP(Tabela1[[#This Row],[Cliente]],'BASE DE CLIENTES'!A:E,2,0)</f>
        <v>Foz do Iguaçu</v>
      </c>
      <c r="D3453" s="1" t="str">
        <f>VLOOKUP(Tabela1[[#This Row],[Cliente]],'BASE DE CLIENTES'!A:C,3,0)</f>
        <v>PR</v>
      </c>
      <c r="E3453" s="4" t="str">
        <f>CONCATENATE(Tabela1[[#This Row],[CIDADE]],",",Tabela1[[#This Row],[UF]])</f>
        <v>Foz do Iguaçu,PR</v>
      </c>
      <c r="F3453" s="2">
        <v>46013</v>
      </c>
      <c r="G3453" s="17">
        <v>2386.4499999999998</v>
      </c>
      <c r="H3453" s="17">
        <v>4417.88</v>
      </c>
      <c r="I3453" s="6">
        <f>Tabela1[[#This Row],[Valor total]]-Tabela1[[#This Row],[Valor custo]]</f>
        <v>2031.4300000000003</v>
      </c>
      <c r="J3453" s="7">
        <f>Tabela1[[#This Row],[MARGEM BRUTA]]/Tabela1[[#This Row],[Valor total]]</f>
        <v>0.45982009470605817</v>
      </c>
      <c r="K3453" s="1" t="str">
        <f>VLOOKUP(Tabela1[[#This Row],[Cliente]],'BASE DE CLIENTES'!A:D,4,0)</f>
        <v>CLIENTE NOVO S/ IDENT.</v>
      </c>
      <c r="L3453" s="1" t="str">
        <f>VLOOKUP(Tabela1[[#This Row],[Cliente]],'BASE DE CLIENTES'!A:E,5,0)</f>
        <v>Foz do Iguaçu</v>
      </c>
    </row>
    <row r="3454" spans="2:12" x14ac:dyDescent="0.3">
      <c r="B3454" s="1" t="s">
        <v>99</v>
      </c>
      <c r="C3454" s="4" t="str">
        <f>VLOOKUP(Tabela1[[#This Row],[Cliente]],'BASE DE CLIENTES'!A:E,2,0)</f>
        <v>Brasília</v>
      </c>
      <c r="D3454" s="1" t="str">
        <f>VLOOKUP(Tabela1[[#This Row],[Cliente]],'BASE DE CLIENTES'!A:C,3,0)</f>
        <v>DF</v>
      </c>
      <c r="E3454" s="4" t="str">
        <f>CONCATENATE(Tabela1[[#This Row],[CIDADE]],",",Tabela1[[#This Row],[UF]])</f>
        <v>Brasília,DF</v>
      </c>
      <c r="F3454" s="2">
        <v>46013</v>
      </c>
      <c r="G3454" s="17">
        <v>2041.24</v>
      </c>
      <c r="H3454" s="17">
        <v>3000</v>
      </c>
      <c r="I3454" s="6">
        <f>Tabela1[[#This Row],[Valor total]]-Tabela1[[#This Row],[Valor custo]]</f>
        <v>958.76</v>
      </c>
      <c r="J3454" s="7">
        <f>Tabela1[[#This Row],[MARGEM BRUTA]]/Tabela1[[#This Row],[Valor total]]</f>
        <v>0.31958666666666669</v>
      </c>
      <c r="K3454" s="1" t="str">
        <f>VLOOKUP(Tabela1[[#This Row],[Cliente]],'BASE DE CLIENTES'!A:D,4,0)</f>
        <v>EMPRESA COM MAQUINA</v>
      </c>
      <c r="L3454" s="1" t="str">
        <f>VLOOKUP(Tabela1[[#This Row],[Cliente]],'BASE DE CLIENTES'!A:E,5,0)</f>
        <v>ARAPOANGA (PLANALTINA)</v>
      </c>
    </row>
    <row r="3455" spans="2:12" x14ac:dyDescent="0.3">
      <c r="B3455" s="1" t="s">
        <v>20</v>
      </c>
      <c r="C3455" s="4" t="str">
        <f>VLOOKUP(Tabela1[[#This Row],[Cliente]],'BASE DE CLIENTES'!A:E,2,0)</f>
        <v>Brasília</v>
      </c>
      <c r="D3455" s="1" t="str">
        <f>VLOOKUP(Tabela1[[#This Row],[Cliente]],'BASE DE CLIENTES'!A:C,3,0)</f>
        <v>DF</v>
      </c>
      <c r="E3455" s="4" t="str">
        <f>CONCATENATE(Tabela1[[#This Row],[CIDADE]],",",Tabela1[[#This Row],[UF]])</f>
        <v>Brasília,DF</v>
      </c>
      <c r="F3455" s="2">
        <v>46013</v>
      </c>
      <c r="G3455" s="17">
        <v>586.26</v>
      </c>
      <c r="H3455" s="17">
        <v>850</v>
      </c>
      <c r="I3455" s="6">
        <f>Tabela1[[#This Row],[Valor total]]-Tabela1[[#This Row],[Valor custo]]</f>
        <v>263.74</v>
      </c>
      <c r="J3455" s="7">
        <f>Tabela1[[#This Row],[MARGEM BRUTA]]/Tabela1[[#This Row],[Valor total]]</f>
        <v>0.31028235294117645</v>
      </c>
      <c r="K3455" s="1" t="str">
        <f>VLOOKUP(Tabela1[[#This Row],[Cliente]],'BASE DE CLIENTES'!A:D,4,0)</f>
        <v>CHAVEIRO</v>
      </c>
      <c r="L3455" s="1" t="str">
        <f>VLOOKUP(Tabela1[[#This Row],[Cliente]],'BASE DE CLIENTES'!A:E,5,0)</f>
        <v>NA</v>
      </c>
    </row>
    <row r="3456" spans="2:12" x14ac:dyDescent="0.3">
      <c r="B3456" s="1" t="s">
        <v>17</v>
      </c>
      <c r="C3456" s="4" t="str">
        <f>VLOOKUP(Tabela1[[#This Row],[Cliente]],'BASE DE CLIENTES'!A:E,2,0)</f>
        <v>Águas Lindas de Goiás</v>
      </c>
      <c r="D3456" s="1" t="str">
        <f>VLOOKUP(Tabela1[[#This Row],[Cliente]],'BASE DE CLIENTES'!A:C,3,0)</f>
        <v>GO</v>
      </c>
      <c r="E3456" s="4" t="str">
        <f>CONCATENATE(Tabela1[[#This Row],[CIDADE]],",",Tabela1[[#This Row],[UF]])</f>
        <v>Águas Lindas de Goiás,GO</v>
      </c>
      <c r="F3456" s="2">
        <v>46013</v>
      </c>
      <c r="G3456" s="17">
        <v>487.8</v>
      </c>
      <c r="H3456" s="17">
        <v>895</v>
      </c>
      <c r="I3456" s="6">
        <f>Tabela1[[#This Row],[Valor total]]-Tabela1[[#This Row],[Valor custo]]</f>
        <v>407.2</v>
      </c>
      <c r="J3456" s="7">
        <f>Tabela1[[#This Row],[MARGEM BRUTA]]/Tabela1[[#This Row],[Valor total]]</f>
        <v>0.45497206703910614</v>
      </c>
      <c r="K3456" s="1" t="str">
        <f>VLOOKUP(Tabela1[[#This Row],[Cliente]],'BASE DE CLIENTES'!A:D,4,0)</f>
        <v>SERRALHEIRO</v>
      </c>
      <c r="L3456" s="1" t="str">
        <f>VLOOKUP(Tabela1[[#This Row],[Cliente]],'BASE DE CLIENTES'!A:E,5,0)</f>
        <v>Águas Lindas de Goiás</v>
      </c>
    </row>
    <row r="3457" spans="2:12" x14ac:dyDescent="0.3">
      <c r="B3457" s="1" t="s">
        <v>52</v>
      </c>
      <c r="C3457" s="4" t="str">
        <f>VLOOKUP(Tabela1[[#This Row],[Cliente]],'BASE DE CLIENTES'!A:E,2,0)</f>
        <v>Brasília</v>
      </c>
      <c r="D3457" s="1" t="str">
        <f>VLOOKUP(Tabela1[[#This Row],[Cliente]],'BASE DE CLIENTES'!A:C,3,0)</f>
        <v>DF</v>
      </c>
      <c r="E3457" s="4" t="str">
        <f>CONCATENATE(Tabela1[[#This Row],[CIDADE]],",",Tabela1[[#This Row],[UF]])</f>
        <v>Brasília,DF</v>
      </c>
      <c r="F3457" s="2">
        <v>46013</v>
      </c>
      <c r="G3457" s="17">
        <v>180</v>
      </c>
      <c r="H3457" s="17">
        <v>300</v>
      </c>
      <c r="I3457" s="6">
        <f>Tabela1[[#This Row],[Valor total]]-Tabela1[[#This Row],[Valor custo]]</f>
        <v>120</v>
      </c>
      <c r="J3457" s="7">
        <f>Tabela1[[#This Row],[MARGEM BRUTA]]/Tabela1[[#This Row],[Valor total]]</f>
        <v>0.4</v>
      </c>
      <c r="K3457" s="1" t="str">
        <f>VLOOKUP(Tabela1[[#This Row],[Cliente]],'BASE DE CLIENTES'!A:D,4,0)</f>
        <v>SERRALHEIRO</v>
      </c>
      <c r="L3457" s="1" t="str">
        <f>VLOOKUP(Tabela1[[#This Row],[Cliente]],'BASE DE CLIENTES'!A:E,5,0)</f>
        <v>Ceilândia Sul (Ceilândia)</v>
      </c>
    </row>
    <row r="3458" spans="2:12" x14ac:dyDescent="0.3">
      <c r="B3458" s="1" t="s">
        <v>117</v>
      </c>
      <c r="C3458" s="4" t="str">
        <f>VLOOKUP(Tabela1[[#This Row],[Cliente]],'BASE DE CLIENTES'!A:E,2,0)</f>
        <v>Brasília</v>
      </c>
      <c r="D3458" s="1" t="str">
        <f>VLOOKUP(Tabela1[[#This Row],[Cliente]],'BASE DE CLIENTES'!A:C,3,0)</f>
        <v>DF</v>
      </c>
      <c r="E3458" s="4" t="str">
        <f>CONCATENATE(Tabela1[[#This Row],[CIDADE]],",",Tabela1[[#This Row],[UF]])</f>
        <v>Brasília,DF</v>
      </c>
      <c r="F3458" s="2">
        <v>46013</v>
      </c>
      <c r="G3458" s="17">
        <v>712.93</v>
      </c>
      <c r="H3458" s="17">
        <v>1000</v>
      </c>
      <c r="I3458" s="6">
        <f>Tabela1[[#This Row],[Valor total]]-Tabela1[[#This Row],[Valor custo]]</f>
        <v>287.07000000000005</v>
      </c>
      <c r="J3458" s="7">
        <f>Tabela1[[#This Row],[MARGEM BRUTA]]/Tabela1[[#This Row],[Valor total]]</f>
        <v>0.28707000000000005</v>
      </c>
      <c r="K3458" s="1" t="str">
        <f>VLOOKUP(Tabela1[[#This Row],[Cliente]],'BASE DE CLIENTES'!A:D,4,0)</f>
        <v>EMPRESA COM MAQUINA</v>
      </c>
      <c r="L3458" s="1" t="str">
        <f>VLOOKUP(Tabela1[[#This Row],[Cliente]],'BASE DE CLIENTES'!A:E,5,0)</f>
        <v>SETOR HABITACIONAL ARNIQUEIRA (AGUAS CLARAS)</v>
      </c>
    </row>
    <row r="3459" spans="2:12" x14ac:dyDescent="0.3">
      <c r="B3459" s="1" t="s">
        <v>111</v>
      </c>
      <c r="C3459" s="4" t="str">
        <f>VLOOKUP(Tabela1[[#This Row],[Cliente]],'BASE DE CLIENTES'!A:E,2,0)</f>
        <v>Brasília</v>
      </c>
      <c r="D3459" s="1" t="str">
        <f>VLOOKUP(Tabela1[[#This Row],[Cliente]],'BASE DE CLIENTES'!A:C,3,0)</f>
        <v>DF</v>
      </c>
      <c r="E3459" s="4" t="str">
        <f>CONCATENATE(Tabela1[[#This Row],[CIDADE]],",",Tabela1[[#This Row],[UF]])</f>
        <v>Brasília,DF</v>
      </c>
      <c r="F3459" s="2">
        <v>46013</v>
      </c>
      <c r="G3459" s="17">
        <v>544.08000000000004</v>
      </c>
      <c r="H3459" s="17">
        <v>950</v>
      </c>
      <c r="I3459" s="6">
        <f>Tabela1[[#This Row],[Valor total]]-Tabela1[[#This Row],[Valor custo]]</f>
        <v>405.91999999999996</v>
      </c>
      <c r="J3459" s="7">
        <f>Tabela1[[#This Row],[MARGEM BRUTA]]/Tabela1[[#This Row],[Valor total]]</f>
        <v>0.42728421052631577</v>
      </c>
      <c r="K3459" s="1" t="str">
        <f>VLOOKUP(Tabela1[[#This Row],[Cliente]],'BASE DE CLIENTES'!A:D,4,0)</f>
        <v>EMPRESA SEM MAQUINA</v>
      </c>
      <c r="L3459" s="1" t="str">
        <f>VLOOKUP(Tabela1[[#This Row],[Cliente]],'BASE DE CLIENTES'!A:E,5,0)</f>
        <v>TAGUATINGA SUL (TAGUATINGA)</v>
      </c>
    </row>
    <row r="3460" spans="2:12" x14ac:dyDescent="0.3">
      <c r="B3460" s="1" t="s">
        <v>111</v>
      </c>
      <c r="C3460" s="4" t="str">
        <f>VLOOKUP(Tabela1[[#This Row],[Cliente]],'BASE DE CLIENTES'!A:E,2,0)</f>
        <v>Brasília</v>
      </c>
      <c r="D3460" s="1" t="str">
        <f>VLOOKUP(Tabela1[[#This Row],[Cliente]],'BASE DE CLIENTES'!A:C,3,0)</f>
        <v>DF</v>
      </c>
      <c r="E3460" s="4" t="str">
        <f>CONCATENATE(Tabela1[[#This Row],[CIDADE]],",",Tabela1[[#This Row],[UF]])</f>
        <v>Brasília,DF</v>
      </c>
      <c r="F3460" s="2">
        <v>46013</v>
      </c>
      <c r="G3460" s="17">
        <v>487.8</v>
      </c>
      <c r="H3460" s="17">
        <v>0</v>
      </c>
      <c r="I3460" s="6">
        <f>Tabela1[[#This Row],[Valor total]]-Tabela1[[#This Row],[Valor custo]]</f>
        <v>-487.8</v>
      </c>
      <c r="J3460" s="7" t="e">
        <f>Tabela1[[#This Row],[MARGEM BRUTA]]/Tabela1[[#This Row],[Valor total]]</f>
        <v>#DIV/0!</v>
      </c>
      <c r="K3460" s="1" t="str">
        <f>VLOOKUP(Tabela1[[#This Row],[Cliente]],'BASE DE CLIENTES'!A:D,4,0)</f>
        <v>EMPRESA SEM MAQUINA</v>
      </c>
      <c r="L3460" s="1" t="str">
        <f>VLOOKUP(Tabela1[[#This Row],[Cliente]],'BASE DE CLIENTES'!A:E,5,0)</f>
        <v>TAGUATINGA SUL (TAGUATINGA)</v>
      </c>
    </row>
    <row r="3461" spans="2:12" x14ac:dyDescent="0.3">
      <c r="B3461" s="1" t="s">
        <v>319</v>
      </c>
      <c r="C3461" s="4" t="str">
        <f>VLOOKUP(Tabela1[[#This Row],[Cliente]],'BASE DE CLIENTES'!A:E,2,0)</f>
        <v>Valparaíso de Goiás</v>
      </c>
      <c r="D3461" s="1" t="str">
        <f>VLOOKUP(Tabela1[[#This Row],[Cliente]],'BASE DE CLIENTES'!A:C,3,0)</f>
        <v>GO</v>
      </c>
      <c r="E3461" s="4" t="str">
        <f>CONCATENATE(Tabela1[[#This Row],[CIDADE]],",",Tabela1[[#This Row],[UF]])</f>
        <v>Valparaíso de Goiás,GO</v>
      </c>
      <c r="F3461" s="2">
        <v>46013</v>
      </c>
      <c r="G3461" s="17">
        <v>16726.560000000001</v>
      </c>
      <c r="H3461" s="17">
        <v>24000</v>
      </c>
      <c r="I3461" s="6">
        <f>Tabela1[[#This Row],[Valor total]]-Tabela1[[#This Row],[Valor custo]]</f>
        <v>7273.4399999999987</v>
      </c>
      <c r="J3461" s="7">
        <f>Tabela1[[#This Row],[MARGEM BRUTA]]/Tabela1[[#This Row],[Valor total]]</f>
        <v>0.30305999999999994</v>
      </c>
      <c r="K3461" s="1" t="str">
        <f>VLOOKUP(Tabela1[[#This Row],[Cliente]],'BASE DE CLIENTES'!A:D,4,0)</f>
        <v>EMPRESA COM MAQUINA</v>
      </c>
      <c r="L3461" s="1" t="str">
        <f>VLOOKUP(Tabela1[[#This Row],[Cliente]],'BASE DE CLIENTES'!A:E,5,0)</f>
        <v>Valparaíso de Goiás</v>
      </c>
    </row>
    <row r="3462" spans="2:12" x14ac:dyDescent="0.3">
      <c r="B3462" s="1" t="s">
        <v>199</v>
      </c>
      <c r="C3462" s="4" t="str">
        <f>VLOOKUP(Tabela1[[#This Row],[Cliente]],'BASE DE CLIENTES'!A:E,2,0)</f>
        <v>Goiânia</v>
      </c>
      <c r="D3462" s="1" t="str">
        <f>VLOOKUP(Tabela1[[#This Row],[Cliente]],'BASE DE CLIENTES'!A:C,3,0)</f>
        <v>GO</v>
      </c>
      <c r="E3462" s="4" t="str">
        <f>CONCATENATE(Tabela1[[#This Row],[CIDADE]],",",Tabela1[[#This Row],[UF]])</f>
        <v>Goiânia,GO</v>
      </c>
      <c r="F3462" s="2">
        <v>46013</v>
      </c>
      <c r="G3462" s="17">
        <v>2776.7</v>
      </c>
      <c r="H3462" s="17">
        <v>4000</v>
      </c>
      <c r="I3462" s="6">
        <f>Tabela1[[#This Row],[Valor total]]-Tabela1[[#This Row],[Valor custo]]</f>
        <v>1223.3000000000002</v>
      </c>
      <c r="J3462" s="7">
        <f>Tabela1[[#This Row],[MARGEM BRUTA]]/Tabela1[[#This Row],[Valor total]]</f>
        <v>0.30582500000000007</v>
      </c>
      <c r="K3462" s="1" t="str">
        <f>VLOOKUP(Tabela1[[#This Row],[Cliente]],'BASE DE CLIENTES'!A:D,4,0)</f>
        <v>EMPRESA COM MAQUINA</v>
      </c>
      <c r="L3462" s="1" t="str">
        <f>VLOOKUP(Tabela1[[#This Row],[Cliente]],'BASE DE CLIENTES'!A:E,5,0)</f>
        <v>Goiânia</v>
      </c>
    </row>
    <row r="3463" spans="2:12" x14ac:dyDescent="0.3">
      <c r="B3463" s="1" t="s">
        <v>152</v>
      </c>
      <c r="C3463" s="4" t="str">
        <f>VLOOKUP(Tabela1[[#This Row],[Cliente]],'BASE DE CLIENTES'!A:E,2,0)</f>
        <v>Aparecida de Goiânia</v>
      </c>
      <c r="D3463" s="1" t="str">
        <f>VLOOKUP(Tabela1[[#This Row],[Cliente]],'BASE DE CLIENTES'!A:C,3,0)</f>
        <v>GO</v>
      </c>
      <c r="E3463" s="4" t="str">
        <f>CONCATENATE(Tabela1[[#This Row],[CIDADE]],",",Tabela1[[#This Row],[UF]])</f>
        <v>Aparecida de Goiânia,GO</v>
      </c>
      <c r="F3463" s="2">
        <v>46010</v>
      </c>
      <c r="G3463" s="17">
        <v>472.79</v>
      </c>
      <c r="H3463" s="17">
        <v>750</v>
      </c>
      <c r="I3463" s="6">
        <f>Tabela1[[#This Row],[Valor total]]-Tabela1[[#This Row],[Valor custo]]</f>
        <v>277.20999999999998</v>
      </c>
      <c r="J3463" s="7">
        <f>Tabela1[[#This Row],[MARGEM BRUTA]]/Tabela1[[#This Row],[Valor total]]</f>
        <v>0.36961333333333329</v>
      </c>
      <c r="K3463" s="1" t="str">
        <f>VLOOKUP(Tabela1[[#This Row],[Cliente]],'BASE DE CLIENTES'!A:D,4,0)</f>
        <v>TECNICO</v>
      </c>
      <c r="L3463" s="1" t="str">
        <f>VLOOKUP(Tabela1[[#This Row],[Cliente]],'BASE DE CLIENTES'!A:E,5,0)</f>
        <v>Aparecida de Goiânia</v>
      </c>
    </row>
    <row r="3464" spans="2:12" x14ac:dyDescent="0.3">
      <c r="B3464" s="1" t="s">
        <v>154</v>
      </c>
      <c r="C3464" s="4" t="str">
        <f>VLOOKUP(Tabela1[[#This Row],[Cliente]],'BASE DE CLIENTES'!A:E,2,0)</f>
        <v>Aparecida de Goiânia</v>
      </c>
      <c r="D3464" s="1" t="str">
        <f>VLOOKUP(Tabela1[[#This Row],[Cliente]],'BASE DE CLIENTES'!A:C,3,0)</f>
        <v>GO</v>
      </c>
      <c r="E3464" s="4" t="str">
        <f>CONCATENATE(Tabela1[[#This Row],[CIDADE]],",",Tabela1[[#This Row],[UF]])</f>
        <v>Aparecida de Goiânia,GO</v>
      </c>
      <c r="F3464" s="2">
        <v>46010</v>
      </c>
      <c r="G3464" s="17">
        <v>4202.5600000000004</v>
      </c>
      <c r="H3464" s="17">
        <v>6250</v>
      </c>
      <c r="I3464" s="6">
        <f>Tabela1[[#This Row],[Valor total]]-Tabela1[[#This Row],[Valor custo]]</f>
        <v>2047.4399999999996</v>
      </c>
      <c r="J3464" s="7">
        <f>Tabela1[[#This Row],[MARGEM BRUTA]]/Tabela1[[#This Row],[Valor total]]</f>
        <v>0.32759039999999995</v>
      </c>
      <c r="K3464" s="1" t="str">
        <f>VLOOKUP(Tabela1[[#This Row],[Cliente]],'BASE DE CLIENTES'!A:D,4,0)</f>
        <v>TECNICO</v>
      </c>
      <c r="L3464" s="1" t="str">
        <f>VLOOKUP(Tabela1[[#This Row],[Cliente]],'BASE DE CLIENTES'!A:E,5,0)</f>
        <v>Aparecida de Goiânia</v>
      </c>
    </row>
    <row r="3465" spans="2:12" x14ac:dyDescent="0.3">
      <c r="B3465" s="1" t="s">
        <v>19</v>
      </c>
      <c r="C3465" s="4" t="str">
        <f>VLOOKUP(Tabela1[[#This Row],[Cliente]],'BASE DE CLIENTES'!A:E,2,0)</f>
        <v>Águas Lindas de Goiás</v>
      </c>
      <c r="D3465" s="1" t="str">
        <f>VLOOKUP(Tabela1[[#This Row],[Cliente]],'BASE DE CLIENTES'!A:C,3,0)</f>
        <v>GO</v>
      </c>
      <c r="E3465" s="4" t="str">
        <f>CONCATENATE(Tabela1[[#This Row],[CIDADE]],",",Tabela1[[#This Row],[UF]])</f>
        <v>Águas Lindas de Goiás,GO</v>
      </c>
      <c r="F3465" s="2">
        <v>46009</v>
      </c>
      <c r="G3465" s="17">
        <v>250</v>
      </c>
      <c r="H3465" s="17">
        <v>320</v>
      </c>
      <c r="I3465" s="6">
        <f>Tabela1[[#This Row],[Valor total]]-Tabela1[[#This Row],[Valor custo]]</f>
        <v>70</v>
      </c>
      <c r="J3465" s="7">
        <f>Tabela1[[#This Row],[MARGEM BRUTA]]/Tabela1[[#This Row],[Valor total]]</f>
        <v>0.21875</v>
      </c>
      <c r="K3465" s="1" t="str">
        <f>VLOOKUP(Tabela1[[#This Row],[Cliente]],'BASE DE CLIENTES'!A:D,4,0)</f>
        <v>SERRALHEIRO</v>
      </c>
      <c r="L3465" s="1" t="str">
        <f>VLOOKUP(Tabela1[[#This Row],[Cliente]],'BASE DE CLIENTES'!A:E,5,0)</f>
        <v>Águas Lindas de Goiás</v>
      </c>
    </row>
    <row r="3466" spans="2:12" x14ac:dyDescent="0.3">
      <c r="B3466" s="1" t="s">
        <v>19</v>
      </c>
      <c r="C3466" s="4" t="str">
        <f>VLOOKUP(Tabela1[[#This Row],[Cliente]],'BASE DE CLIENTES'!A:E,2,0)</f>
        <v>Águas Lindas de Goiás</v>
      </c>
      <c r="D3466" s="1" t="str">
        <f>VLOOKUP(Tabela1[[#This Row],[Cliente]],'BASE DE CLIENTES'!A:C,3,0)</f>
        <v>GO</v>
      </c>
      <c r="E3466" s="4" t="str">
        <f>CONCATENATE(Tabela1[[#This Row],[CIDADE]],",",Tabela1[[#This Row],[UF]])</f>
        <v>Águas Lindas de Goiás,GO</v>
      </c>
      <c r="F3466" s="2">
        <v>46010</v>
      </c>
      <c r="G3466" s="17">
        <v>1801.08</v>
      </c>
      <c r="H3466" s="17">
        <v>2880</v>
      </c>
      <c r="I3466" s="6">
        <f>Tabela1[[#This Row],[Valor total]]-Tabela1[[#This Row],[Valor custo]]</f>
        <v>1078.92</v>
      </c>
      <c r="J3466" s="7">
        <f>Tabela1[[#This Row],[MARGEM BRUTA]]/Tabela1[[#This Row],[Valor total]]</f>
        <v>0.37462500000000004</v>
      </c>
      <c r="K3466" s="1" t="str">
        <f>VLOOKUP(Tabela1[[#This Row],[Cliente]],'BASE DE CLIENTES'!A:D,4,0)</f>
        <v>SERRALHEIRO</v>
      </c>
      <c r="L3466" s="1" t="str">
        <f>VLOOKUP(Tabela1[[#This Row],[Cliente]],'BASE DE CLIENTES'!A:E,5,0)</f>
        <v>Águas Lindas de Goiás</v>
      </c>
    </row>
    <row r="3467" spans="2:12" x14ac:dyDescent="0.3">
      <c r="B3467" s="1" t="s">
        <v>106</v>
      </c>
      <c r="C3467" s="4" t="str">
        <f>VLOOKUP(Tabela1[[#This Row],[Cliente]],'BASE DE CLIENTES'!A:E,2,0)</f>
        <v>Brasília</v>
      </c>
      <c r="D3467" s="1" t="str">
        <f>VLOOKUP(Tabela1[[#This Row],[Cliente]],'BASE DE CLIENTES'!A:C,3,0)</f>
        <v>DF</v>
      </c>
      <c r="E3467" s="4" t="str">
        <f>CONCATENATE(Tabela1[[#This Row],[CIDADE]],",",Tabela1[[#This Row],[UF]])</f>
        <v>Brasília,DF</v>
      </c>
      <c r="F3467" s="2">
        <v>46010</v>
      </c>
      <c r="G3467" s="17">
        <v>4158.26</v>
      </c>
      <c r="H3467" s="17">
        <v>6600</v>
      </c>
      <c r="I3467" s="6">
        <f>Tabela1[[#This Row],[Valor total]]-Tabela1[[#This Row],[Valor custo]]</f>
        <v>2441.7399999999998</v>
      </c>
      <c r="J3467" s="7">
        <f>Tabela1[[#This Row],[MARGEM BRUTA]]/Tabela1[[#This Row],[Valor total]]</f>
        <v>0.36996060606060605</v>
      </c>
      <c r="K3467" s="1" t="str">
        <f>VLOOKUP(Tabela1[[#This Row],[Cliente]],'BASE DE CLIENTES'!A:D,4,0)</f>
        <v>EMPRESA COM MAQUINA</v>
      </c>
      <c r="L3467" s="1" t="str">
        <f>VLOOKUP(Tabela1[[#This Row],[Cliente]],'BASE DE CLIENTES'!A:E,5,0)</f>
        <v>26 DE SETEMBRO</v>
      </c>
    </row>
    <row r="3468" spans="2:12" x14ac:dyDescent="0.3">
      <c r="B3468" s="1" t="s">
        <v>136</v>
      </c>
      <c r="C3468" s="4" t="str">
        <f>VLOOKUP(Tabela1[[#This Row],[Cliente]],'BASE DE CLIENTES'!A:E,2,0)</f>
        <v>Brasília</v>
      </c>
      <c r="D3468" s="1" t="str">
        <f>VLOOKUP(Tabela1[[#This Row],[Cliente]],'BASE DE CLIENTES'!A:C,3,0)</f>
        <v>DF</v>
      </c>
      <c r="E3468" s="4" t="str">
        <f>CONCATENATE(Tabela1[[#This Row],[CIDADE]],",",Tabela1[[#This Row],[UF]])</f>
        <v>Brasília,DF</v>
      </c>
      <c r="F3468" s="2">
        <v>46010</v>
      </c>
      <c r="G3468" s="17">
        <v>84</v>
      </c>
      <c r="H3468" s="17">
        <v>175</v>
      </c>
      <c r="I3468" s="6">
        <f>Tabela1[[#This Row],[Valor total]]-Tabela1[[#This Row],[Valor custo]]</f>
        <v>91</v>
      </c>
      <c r="J3468" s="7">
        <f>Tabela1[[#This Row],[MARGEM BRUTA]]/Tabela1[[#This Row],[Valor total]]</f>
        <v>0.52</v>
      </c>
      <c r="K3468" s="1" t="str">
        <f>VLOOKUP(Tabela1[[#This Row],[Cliente]],'BASE DE CLIENTES'!A:D,4,0)</f>
        <v>SEM CLASSIFICAÇÃO</v>
      </c>
      <c r="L3468" s="1" t="str">
        <f>VLOOKUP(Tabela1[[#This Row],[Cliente]],'BASE DE CLIENTES'!A:E,5,0)</f>
        <v>SAMAMBAIA NORTE (SAMAMBAIA)</v>
      </c>
    </row>
    <row r="3469" spans="2:12" x14ac:dyDescent="0.3">
      <c r="B3469" s="1" t="s">
        <v>247</v>
      </c>
      <c r="C3469" s="4" t="str">
        <f>VLOOKUP(Tabela1[[#This Row],[Cliente]],'BASE DE CLIENTES'!A:E,2,0)</f>
        <v>Goianira</v>
      </c>
      <c r="D3469" s="1" t="str">
        <f>VLOOKUP(Tabela1[[#This Row],[Cliente]],'BASE DE CLIENTES'!A:C,3,0)</f>
        <v>GO</v>
      </c>
      <c r="E3469" s="4" t="str">
        <f>CONCATENATE(Tabela1[[#This Row],[CIDADE]],",",Tabela1[[#This Row],[UF]])</f>
        <v>Goianira,GO</v>
      </c>
      <c r="F3469" s="2">
        <v>46010</v>
      </c>
      <c r="G3469" s="17">
        <v>1951.18</v>
      </c>
      <c r="H3469" s="17">
        <v>2925</v>
      </c>
      <c r="I3469" s="6">
        <f>Tabela1[[#This Row],[Valor total]]-Tabela1[[#This Row],[Valor custo]]</f>
        <v>973.81999999999994</v>
      </c>
      <c r="J3469" s="7">
        <f>Tabela1[[#This Row],[MARGEM BRUTA]]/Tabela1[[#This Row],[Valor total]]</f>
        <v>0.33292991452991449</v>
      </c>
      <c r="K3469" s="1" t="str">
        <f>VLOOKUP(Tabela1[[#This Row],[Cliente]],'BASE DE CLIENTES'!A:D,4,0)</f>
        <v>EMPRESA SEM MAQUINA</v>
      </c>
      <c r="L3469" s="1" t="str">
        <f>VLOOKUP(Tabela1[[#This Row],[Cliente]],'BASE DE CLIENTES'!A:E,5,0)</f>
        <v>Goianira</v>
      </c>
    </row>
    <row r="3470" spans="2:12" x14ac:dyDescent="0.3">
      <c r="B3470" s="1" t="s">
        <v>152</v>
      </c>
      <c r="C3470" s="4" t="str">
        <f>VLOOKUP(Tabela1[[#This Row],[Cliente]],'BASE DE CLIENTES'!A:E,2,0)</f>
        <v>Aparecida de Goiânia</v>
      </c>
      <c r="D3470" s="1" t="str">
        <f>VLOOKUP(Tabela1[[#This Row],[Cliente]],'BASE DE CLIENTES'!A:C,3,0)</f>
        <v>GO</v>
      </c>
      <c r="E3470" s="4" t="str">
        <f>CONCATENATE(Tabela1[[#This Row],[CIDADE]],",",Tabela1[[#This Row],[UF]])</f>
        <v>Aparecida de Goiânia,GO</v>
      </c>
      <c r="F3470" s="2">
        <v>46010</v>
      </c>
      <c r="G3470" s="17">
        <v>2041.24</v>
      </c>
      <c r="H3470" s="17">
        <v>3000</v>
      </c>
      <c r="I3470" s="6">
        <f>Tabela1[[#This Row],[Valor total]]-Tabela1[[#This Row],[Valor custo]]</f>
        <v>958.76</v>
      </c>
      <c r="J3470" s="7">
        <f>Tabela1[[#This Row],[MARGEM BRUTA]]/Tabela1[[#This Row],[Valor total]]</f>
        <v>0.31958666666666669</v>
      </c>
      <c r="K3470" s="1" t="str">
        <f>VLOOKUP(Tabela1[[#This Row],[Cliente]],'BASE DE CLIENTES'!A:D,4,0)</f>
        <v>TECNICO</v>
      </c>
      <c r="L3470" s="1" t="str">
        <f>VLOOKUP(Tabela1[[#This Row],[Cliente]],'BASE DE CLIENTES'!A:E,5,0)</f>
        <v>Aparecida de Goiânia</v>
      </c>
    </row>
    <row r="3471" spans="2:12" x14ac:dyDescent="0.3">
      <c r="B3471" s="1" t="s">
        <v>183</v>
      </c>
      <c r="C3471" s="4" t="str">
        <f>VLOOKUP(Tabela1[[#This Row],[Cliente]],'BASE DE CLIENTES'!A:E,2,0)</f>
        <v>Caldas Novas</v>
      </c>
      <c r="D3471" s="1" t="str">
        <f>VLOOKUP(Tabela1[[#This Row],[Cliente]],'BASE DE CLIENTES'!A:C,3,0)</f>
        <v>GO</v>
      </c>
      <c r="E3471" s="4" t="str">
        <f>CONCATENATE(Tabela1[[#This Row],[CIDADE]],",",Tabela1[[#This Row],[UF]])</f>
        <v>Caldas Novas,GO</v>
      </c>
      <c r="F3471" s="2">
        <v>46010</v>
      </c>
      <c r="G3471" s="17">
        <v>1889.25</v>
      </c>
      <c r="H3471" s="17">
        <v>2900</v>
      </c>
      <c r="I3471" s="6">
        <f>Tabela1[[#This Row],[Valor total]]-Tabela1[[#This Row],[Valor custo]]</f>
        <v>1010.75</v>
      </c>
      <c r="J3471" s="7">
        <f>Tabela1[[#This Row],[MARGEM BRUTA]]/Tabela1[[#This Row],[Valor total]]</f>
        <v>0.3485344827586207</v>
      </c>
      <c r="K3471" s="1" t="str">
        <f>VLOOKUP(Tabela1[[#This Row],[Cliente]],'BASE DE CLIENTES'!A:D,4,0)</f>
        <v>EMPRESA COM MAQUINA</v>
      </c>
      <c r="L3471" s="1" t="str">
        <f>VLOOKUP(Tabela1[[#This Row],[Cliente]],'BASE DE CLIENTES'!A:E,5,0)</f>
        <v>Caldas Novas</v>
      </c>
    </row>
    <row r="3472" spans="2:12" x14ac:dyDescent="0.3">
      <c r="B3472" s="1" t="s">
        <v>52</v>
      </c>
      <c r="C3472" s="4" t="str">
        <f>VLOOKUP(Tabela1[[#This Row],[Cliente]],'BASE DE CLIENTES'!A:E,2,0)</f>
        <v>Brasília</v>
      </c>
      <c r="D3472" s="1" t="str">
        <f>VLOOKUP(Tabela1[[#This Row],[Cliente]],'BASE DE CLIENTES'!A:C,3,0)</f>
        <v>DF</v>
      </c>
      <c r="E3472" s="4" t="str">
        <f>CONCATENATE(Tabela1[[#This Row],[CIDADE]],",",Tabela1[[#This Row],[UF]])</f>
        <v>Brasília,DF</v>
      </c>
      <c r="F3472" s="2">
        <v>46010</v>
      </c>
      <c r="G3472" s="17">
        <v>25</v>
      </c>
      <c r="H3472" s="17">
        <v>30</v>
      </c>
      <c r="I3472" s="6">
        <f>Tabela1[[#This Row],[Valor total]]-Tabela1[[#This Row],[Valor custo]]</f>
        <v>5</v>
      </c>
      <c r="J3472" s="7">
        <f>Tabela1[[#This Row],[MARGEM BRUTA]]/Tabela1[[#This Row],[Valor total]]</f>
        <v>0.16666666666666666</v>
      </c>
      <c r="K3472" s="1" t="str">
        <f>VLOOKUP(Tabela1[[#This Row],[Cliente]],'BASE DE CLIENTES'!A:D,4,0)</f>
        <v>SERRALHEIRO</v>
      </c>
      <c r="L3472" s="1" t="str">
        <f>VLOOKUP(Tabela1[[#This Row],[Cliente]],'BASE DE CLIENTES'!A:E,5,0)</f>
        <v>Ceilândia Sul (Ceilândia)</v>
      </c>
    </row>
    <row r="3473" spans="2:12" x14ac:dyDescent="0.3">
      <c r="B3473" s="1" t="s">
        <v>52</v>
      </c>
      <c r="C3473" s="4" t="str">
        <f>VLOOKUP(Tabela1[[#This Row],[Cliente]],'BASE DE CLIENTES'!A:E,2,0)</f>
        <v>Brasília</v>
      </c>
      <c r="D3473" s="1" t="str">
        <f>VLOOKUP(Tabela1[[#This Row],[Cliente]],'BASE DE CLIENTES'!A:C,3,0)</f>
        <v>DF</v>
      </c>
      <c r="E3473" s="4" t="str">
        <f>CONCATENATE(Tabela1[[#This Row],[CIDADE]],",",Tabela1[[#This Row],[UF]])</f>
        <v>Brasília,DF</v>
      </c>
      <c r="F3473" s="2">
        <v>46010</v>
      </c>
      <c r="G3473" s="17">
        <v>120.57</v>
      </c>
      <c r="H3473" s="17">
        <v>158</v>
      </c>
      <c r="I3473" s="6">
        <f>Tabela1[[#This Row],[Valor total]]-Tabela1[[#This Row],[Valor custo]]</f>
        <v>37.430000000000007</v>
      </c>
      <c r="J3473" s="7">
        <f>Tabela1[[#This Row],[MARGEM BRUTA]]/Tabela1[[#This Row],[Valor total]]</f>
        <v>0.23689873417721524</v>
      </c>
      <c r="K3473" s="1" t="str">
        <f>VLOOKUP(Tabela1[[#This Row],[Cliente]],'BASE DE CLIENTES'!A:D,4,0)</f>
        <v>SERRALHEIRO</v>
      </c>
      <c r="L3473" s="1" t="str">
        <f>VLOOKUP(Tabela1[[#This Row],[Cliente]],'BASE DE CLIENTES'!A:E,5,0)</f>
        <v>Ceilândia Sul (Ceilândia)</v>
      </c>
    </row>
    <row r="3474" spans="2:12" x14ac:dyDescent="0.3">
      <c r="B3474" s="1" t="s">
        <v>353</v>
      </c>
      <c r="C3474" s="4" t="str">
        <f>VLOOKUP(Tabela1[[#This Row],[Cliente]],'BASE DE CLIENTES'!A:E,2,0)</f>
        <v>Brasília</v>
      </c>
      <c r="D3474" s="1" t="str">
        <f>VLOOKUP(Tabela1[[#This Row],[Cliente]],'BASE DE CLIENTES'!A:C,3,0)</f>
        <v>DF</v>
      </c>
      <c r="E3474" s="4" t="str">
        <f>CONCATENATE(Tabela1[[#This Row],[CIDADE]],",",Tabela1[[#This Row],[UF]])</f>
        <v>Brasília,DF</v>
      </c>
      <c r="F3474" s="2">
        <v>46010</v>
      </c>
      <c r="G3474" s="17">
        <v>377.85</v>
      </c>
      <c r="H3474" s="17">
        <v>360</v>
      </c>
      <c r="I3474" s="6">
        <f>Tabela1[[#This Row],[Valor total]]-Tabela1[[#This Row],[Valor custo]]</f>
        <v>-17.850000000000023</v>
      </c>
      <c r="J3474" s="7">
        <f>Tabela1[[#This Row],[MARGEM BRUTA]]/Tabela1[[#This Row],[Valor total]]</f>
        <v>-4.9583333333333396E-2</v>
      </c>
      <c r="K3474" s="1" t="str">
        <f>VLOOKUP(Tabela1[[#This Row],[Cliente]],'BASE DE CLIENTES'!A:D,4,0)</f>
        <v>CLIENTE NOVO S/ IDENT.</v>
      </c>
      <c r="L3474" s="1" t="str">
        <f>VLOOKUP(Tabela1[[#This Row],[Cliente]],'BASE DE CLIENTES'!A:E,5,0)</f>
        <v>Brasília</v>
      </c>
    </row>
    <row r="3475" spans="2:12" x14ac:dyDescent="0.3">
      <c r="B3475" s="1" t="s">
        <v>66</v>
      </c>
      <c r="C3475" s="4" t="str">
        <f>VLOOKUP(Tabela1[[#This Row],[Cliente]],'BASE DE CLIENTES'!A:E,2,0)</f>
        <v>Águas Lindas de Goiás</v>
      </c>
      <c r="D3475" s="1" t="str">
        <f>VLOOKUP(Tabela1[[#This Row],[Cliente]],'BASE DE CLIENTES'!A:C,3,0)</f>
        <v>GO</v>
      </c>
      <c r="E3475" s="4" t="str">
        <f>CONCATENATE(Tabela1[[#This Row],[CIDADE]],",",Tabela1[[#This Row],[UF]])</f>
        <v>Águas Lindas de Goiás,GO</v>
      </c>
      <c r="F3475" s="2">
        <v>46010</v>
      </c>
      <c r="G3475" s="17">
        <v>12.2</v>
      </c>
      <c r="H3475" s="17">
        <v>16</v>
      </c>
      <c r="I3475" s="6">
        <f>Tabela1[[#This Row],[Valor total]]-Tabela1[[#This Row],[Valor custo]]</f>
        <v>3.8000000000000007</v>
      </c>
      <c r="J3475" s="7">
        <f>Tabela1[[#This Row],[MARGEM BRUTA]]/Tabela1[[#This Row],[Valor total]]</f>
        <v>0.23750000000000004</v>
      </c>
      <c r="K3475" s="1" t="str">
        <f>VLOOKUP(Tabela1[[#This Row],[Cliente]],'BASE DE CLIENTES'!A:D,4,0)</f>
        <v>EMPRESA COM MAQUINA</v>
      </c>
      <c r="L3475" s="1" t="str">
        <f>VLOOKUP(Tabela1[[#This Row],[Cliente]],'BASE DE CLIENTES'!A:E,5,0)</f>
        <v>Águas Lindas de Goiás</v>
      </c>
    </row>
    <row r="3476" spans="2:12" x14ac:dyDescent="0.3">
      <c r="B3476" s="1" t="s">
        <v>66</v>
      </c>
      <c r="C3476" s="4" t="str">
        <f>VLOOKUP(Tabela1[[#This Row],[Cliente]],'BASE DE CLIENTES'!A:E,2,0)</f>
        <v>Águas Lindas de Goiás</v>
      </c>
      <c r="D3476" s="1" t="str">
        <f>VLOOKUP(Tabela1[[#This Row],[Cliente]],'BASE DE CLIENTES'!A:C,3,0)</f>
        <v>GO</v>
      </c>
      <c r="E3476" s="4" t="str">
        <f>CONCATENATE(Tabela1[[#This Row],[CIDADE]],",",Tabela1[[#This Row],[UF]])</f>
        <v>Águas Lindas de Goiás,GO</v>
      </c>
      <c r="F3476" s="2">
        <v>46010</v>
      </c>
      <c r="G3476" s="17">
        <v>1155</v>
      </c>
      <c r="H3476" s="17">
        <v>1860</v>
      </c>
      <c r="I3476" s="6">
        <f>Tabela1[[#This Row],[Valor total]]-Tabela1[[#This Row],[Valor custo]]</f>
        <v>705</v>
      </c>
      <c r="J3476" s="7">
        <f>Tabela1[[#This Row],[MARGEM BRUTA]]/Tabela1[[#This Row],[Valor total]]</f>
        <v>0.37903225806451613</v>
      </c>
      <c r="K3476" s="1" t="str">
        <f>VLOOKUP(Tabela1[[#This Row],[Cliente]],'BASE DE CLIENTES'!A:D,4,0)</f>
        <v>EMPRESA COM MAQUINA</v>
      </c>
      <c r="L3476" s="1" t="str">
        <f>VLOOKUP(Tabela1[[#This Row],[Cliente]],'BASE DE CLIENTES'!A:E,5,0)</f>
        <v>Águas Lindas de Goiás</v>
      </c>
    </row>
    <row r="3477" spans="2:12" x14ac:dyDescent="0.3">
      <c r="B3477" s="1" t="s">
        <v>142</v>
      </c>
      <c r="C3477" s="4" t="str">
        <f>VLOOKUP(Tabela1[[#This Row],[Cliente]],'BASE DE CLIENTES'!A:E,2,0)</f>
        <v>Brasília</v>
      </c>
      <c r="D3477" s="1" t="str">
        <f>VLOOKUP(Tabela1[[#This Row],[Cliente]],'BASE DE CLIENTES'!A:C,3,0)</f>
        <v>DF</v>
      </c>
      <c r="E3477" s="4" t="str">
        <f>CONCATENATE(Tabela1[[#This Row],[CIDADE]],",",Tabela1[[#This Row],[UF]])</f>
        <v>Brasília,DF</v>
      </c>
      <c r="F3477" s="2">
        <v>46010</v>
      </c>
      <c r="G3477" s="17">
        <v>55</v>
      </c>
      <c r="H3477" s="17">
        <v>200</v>
      </c>
      <c r="I3477" s="6">
        <f>Tabela1[[#This Row],[Valor total]]-Tabela1[[#This Row],[Valor custo]]</f>
        <v>145</v>
      </c>
      <c r="J3477" s="7">
        <f>Tabela1[[#This Row],[MARGEM BRUTA]]/Tabela1[[#This Row],[Valor total]]</f>
        <v>0.72499999999999998</v>
      </c>
      <c r="K3477" s="1" t="str">
        <f>VLOOKUP(Tabela1[[#This Row],[Cliente]],'BASE DE CLIENTES'!A:D,4,0)</f>
        <v>OUTROS RAMOS</v>
      </c>
      <c r="L3477" s="1" t="str">
        <f>VLOOKUP(Tabela1[[#This Row],[Cliente]],'BASE DE CLIENTES'!A:E,5,0)</f>
        <v>RIACHO FUNDO II</v>
      </c>
    </row>
    <row r="3478" spans="2:12" x14ac:dyDescent="0.3">
      <c r="B3478" s="1" t="s">
        <v>184</v>
      </c>
      <c r="C3478" s="4" t="str">
        <f>VLOOKUP(Tabela1[[#This Row],[Cliente]],'BASE DE CLIENTES'!A:E,2,0)</f>
        <v>Castanhal</v>
      </c>
      <c r="D3478" s="1" t="str">
        <f>VLOOKUP(Tabela1[[#This Row],[Cliente]],'BASE DE CLIENTES'!A:C,3,0)</f>
        <v>PA</v>
      </c>
      <c r="E3478" s="4" t="str">
        <f>CONCATENATE(Tabela1[[#This Row],[CIDADE]],",",Tabela1[[#This Row],[UF]])</f>
        <v>Castanhal,PA</v>
      </c>
      <c r="F3478" s="2">
        <v>46010</v>
      </c>
      <c r="G3478" s="17">
        <v>1050</v>
      </c>
      <c r="H3478" s="17">
        <v>1580</v>
      </c>
      <c r="I3478" s="6">
        <f>Tabela1[[#This Row],[Valor total]]-Tabela1[[#This Row],[Valor custo]]</f>
        <v>530</v>
      </c>
      <c r="J3478" s="7">
        <f>Tabela1[[#This Row],[MARGEM BRUTA]]/Tabela1[[#This Row],[Valor total]]</f>
        <v>0.33544303797468356</v>
      </c>
      <c r="K3478" s="1" t="str">
        <f>VLOOKUP(Tabela1[[#This Row],[Cliente]],'BASE DE CLIENTES'!A:D,4,0)</f>
        <v>EMPRESA COM MAQUINA</v>
      </c>
      <c r="L3478" s="1" t="str">
        <f>VLOOKUP(Tabela1[[#This Row],[Cliente]],'BASE DE CLIENTES'!A:E,5,0)</f>
        <v>Castanhal</v>
      </c>
    </row>
    <row r="3479" spans="2:12" x14ac:dyDescent="0.3">
      <c r="B3479" s="1" t="s">
        <v>216</v>
      </c>
      <c r="C3479" s="4" t="str">
        <f>VLOOKUP(Tabela1[[#This Row],[Cliente]],'BASE DE CLIENTES'!A:E,2,0)</f>
        <v>Brasília</v>
      </c>
      <c r="D3479" s="1" t="str">
        <f>VLOOKUP(Tabela1[[#This Row],[Cliente]],'BASE DE CLIENTES'!A:C,3,0)</f>
        <v>DF</v>
      </c>
      <c r="E3479" s="4" t="str">
        <f>CONCATENATE(Tabela1[[#This Row],[CIDADE]],",",Tabela1[[#This Row],[UF]])</f>
        <v>Brasília,DF</v>
      </c>
      <c r="F3479" s="2">
        <v>46010</v>
      </c>
      <c r="G3479" s="17">
        <v>1540</v>
      </c>
      <c r="H3479" s="17">
        <v>2386.1999999999998</v>
      </c>
      <c r="I3479" s="6">
        <f>Tabela1[[#This Row],[Valor total]]-Tabela1[[#This Row],[Valor custo]]</f>
        <v>846.19999999999982</v>
      </c>
      <c r="J3479" s="7">
        <f>Tabela1[[#This Row],[MARGEM BRUTA]]/Tabela1[[#This Row],[Valor total]]</f>
        <v>0.35462241220350343</v>
      </c>
      <c r="K3479" s="1" t="str">
        <f>VLOOKUP(Tabela1[[#This Row],[Cliente]],'BASE DE CLIENTES'!A:D,4,0)</f>
        <v>EMPRESA COM MAQUINA</v>
      </c>
      <c r="L3479" s="1" t="str">
        <f>VLOOKUP(Tabela1[[#This Row],[Cliente]],'BASE DE CLIENTES'!A:E,5,0)</f>
        <v>RIACHO FUNDO II</v>
      </c>
    </row>
    <row r="3480" spans="2:12" x14ac:dyDescent="0.3">
      <c r="B3480" s="1" t="s">
        <v>27</v>
      </c>
      <c r="C3480" s="4" t="str">
        <f>VLOOKUP(Tabela1[[#This Row],[Cliente]],'BASE DE CLIENTES'!A:E,2,0)</f>
        <v>Brasília</v>
      </c>
      <c r="D3480" s="1" t="str">
        <f>VLOOKUP(Tabela1[[#This Row],[Cliente]],'BASE DE CLIENTES'!A:C,3,0)</f>
        <v>DF</v>
      </c>
      <c r="E3480" s="4" t="str">
        <f>CONCATENATE(Tabela1[[#This Row],[CIDADE]],",",Tabela1[[#This Row],[UF]])</f>
        <v>Brasília,DF</v>
      </c>
      <c r="F3480" s="2">
        <v>46010</v>
      </c>
      <c r="G3480" s="17">
        <v>848</v>
      </c>
      <c r="H3480" s="17">
        <v>1400</v>
      </c>
      <c r="I3480" s="6">
        <f>Tabela1[[#This Row],[Valor total]]-Tabela1[[#This Row],[Valor custo]]</f>
        <v>552</v>
      </c>
      <c r="J3480" s="7">
        <f>Tabela1[[#This Row],[MARGEM BRUTA]]/Tabela1[[#This Row],[Valor total]]</f>
        <v>0.39428571428571429</v>
      </c>
      <c r="K3480" s="1" t="str">
        <f>VLOOKUP(Tabela1[[#This Row],[Cliente]],'BASE DE CLIENTES'!A:D,4,0)</f>
        <v>EMPRESA SEM MAQUINA</v>
      </c>
      <c r="L3480" s="1" t="str">
        <f>VLOOKUP(Tabela1[[#This Row],[Cliente]],'BASE DE CLIENTES'!A:E,5,0)</f>
        <v>RECANTO DAS EMAS</v>
      </c>
    </row>
    <row r="3481" spans="2:12" x14ac:dyDescent="0.3">
      <c r="B3481" s="1" t="s">
        <v>161</v>
      </c>
      <c r="C3481" s="4" t="str">
        <f>VLOOKUP(Tabela1[[#This Row],[Cliente]],'BASE DE CLIENTES'!A:E,2,0)</f>
        <v>Brasília</v>
      </c>
      <c r="D3481" s="1" t="str">
        <f>VLOOKUP(Tabela1[[#This Row],[Cliente]],'BASE DE CLIENTES'!A:C,3,0)</f>
        <v>DF</v>
      </c>
      <c r="E3481" s="4" t="str">
        <f>CONCATENATE(Tabela1[[#This Row],[CIDADE]],",",Tabela1[[#This Row],[UF]])</f>
        <v>Brasília,DF</v>
      </c>
      <c r="F3481" s="2">
        <v>46010</v>
      </c>
      <c r="G3481" s="17">
        <v>12705</v>
      </c>
      <c r="H3481" s="17">
        <v>18810</v>
      </c>
      <c r="I3481" s="6">
        <f>Tabela1[[#This Row],[Valor total]]-Tabela1[[#This Row],[Valor custo]]</f>
        <v>6105</v>
      </c>
      <c r="J3481" s="7">
        <f>Tabela1[[#This Row],[MARGEM BRUTA]]/Tabela1[[#This Row],[Valor total]]</f>
        <v>0.32456140350877194</v>
      </c>
      <c r="K3481" s="1" t="str">
        <f>VLOOKUP(Tabela1[[#This Row],[Cliente]],'BASE DE CLIENTES'!A:D,4,0)</f>
        <v>EMPRESA COM MAQUINA</v>
      </c>
      <c r="L3481" s="1" t="str">
        <f>VLOOKUP(Tabela1[[#This Row],[Cliente]],'BASE DE CLIENTES'!A:E,5,0)</f>
        <v>RIACHO FUNDO II</v>
      </c>
    </row>
    <row r="3482" spans="2:12" x14ac:dyDescent="0.3">
      <c r="B3482" s="1" t="s">
        <v>98</v>
      </c>
      <c r="C3482" s="4" t="str">
        <f>VLOOKUP(Tabela1[[#This Row],[Cliente]],'BASE DE CLIENTES'!A:E,2,0)</f>
        <v>Brasília</v>
      </c>
      <c r="D3482" s="1" t="str">
        <f>VLOOKUP(Tabela1[[#This Row],[Cliente]],'BASE DE CLIENTES'!A:C,3,0)</f>
        <v>DF</v>
      </c>
      <c r="E3482" s="4" t="str">
        <f>CONCATENATE(Tabela1[[#This Row],[CIDADE]],",",Tabela1[[#This Row],[UF]])</f>
        <v>Brasília,DF</v>
      </c>
      <c r="F3482" s="2">
        <v>46010</v>
      </c>
      <c r="G3482" s="17">
        <v>387.42</v>
      </c>
      <c r="H3482" s="17">
        <v>700</v>
      </c>
      <c r="I3482" s="6">
        <f>Tabela1[[#This Row],[Valor total]]-Tabela1[[#This Row],[Valor custo]]</f>
        <v>312.58</v>
      </c>
      <c r="J3482" s="7">
        <f>Tabela1[[#This Row],[MARGEM BRUTA]]/Tabela1[[#This Row],[Valor total]]</f>
        <v>0.44654285714285713</v>
      </c>
      <c r="K3482" s="1" t="str">
        <f>VLOOKUP(Tabela1[[#This Row],[Cliente]],'BASE DE CLIENTES'!A:D,4,0)</f>
        <v>SERRALHEIRO</v>
      </c>
      <c r="L3482" s="1" t="str">
        <f>VLOOKUP(Tabela1[[#This Row],[Cliente]],'BASE DE CLIENTES'!A:E,5,0)</f>
        <v>SANTA MARIA</v>
      </c>
    </row>
    <row r="3483" spans="2:12" x14ac:dyDescent="0.3">
      <c r="B3483" s="1" t="s">
        <v>303</v>
      </c>
      <c r="C3483" s="4" t="str">
        <f>VLOOKUP(Tabela1[[#This Row],[Cliente]],'BASE DE CLIENTES'!A:E,2,0)</f>
        <v>Trindade</v>
      </c>
      <c r="D3483" s="1" t="str">
        <f>VLOOKUP(Tabela1[[#This Row],[Cliente]],'BASE DE CLIENTES'!A:C,3,0)</f>
        <v>GO</v>
      </c>
      <c r="E3483" s="4" t="str">
        <f>CONCATENATE(Tabela1[[#This Row],[CIDADE]],",",Tabela1[[#This Row],[UF]])</f>
        <v>Trindade,GO</v>
      </c>
      <c r="F3483" s="2">
        <v>46010</v>
      </c>
      <c r="G3483" s="17">
        <v>5424.69</v>
      </c>
      <c r="H3483" s="17">
        <v>8200</v>
      </c>
      <c r="I3483" s="6">
        <f>Tabela1[[#This Row],[Valor total]]-Tabela1[[#This Row],[Valor custo]]</f>
        <v>2775.3100000000004</v>
      </c>
      <c r="J3483" s="7">
        <f>Tabela1[[#This Row],[MARGEM BRUTA]]/Tabela1[[#This Row],[Valor total]]</f>
        <v>0.33845243902439032</v>
      </c>
      <c r="K3483" s="1" t="str">
        <f>VLOOKUP(Tabela1[[#This Row],[Cliente]],'BASE DE CLIENTES'!A:D,4,0)</f>
        <v>EMPRESA COM MAQUINA</v>
      </c>
      <c r="L3483" s="1" t="str">
        <f>VLOOKUP(Tabela1[[#This Row],[Cliente]],'BASE DE CLIENTES'!A:E,5,0)</f>
        <v>Trindade</v>
      </c>
    </row>
    <row r="3484" spans="2:12" x14ac:dyDescent="0.3">
      <c r="B3484" s="1" t="s">
        <v>149</v>
      </c>
      <c r="C3484" s="4" t="str">
        <f>VLOOKUP(Tabela1[[#This Row],[Cliente]],'BASE DE CLIENTES'!A:E,2,0)</f>
        <v>Anápolis</v>
      </c>
      <c r="D3484" s="1" t="str">
        <f>VLOOKUP(Tabela1[[#This Row],[Cliente]],'BASE DE CLIENTES'!A:C,3,0)</f>
        <v>GO</v>
      </c>
      <c r="E3484" s="4" t="str">
        <f>CONCATENATE(Tabela1[[#This Row],[CIDADE]],",",Tabela1[[#This Row],[UF]])</f>
        <v>Anápolis,GO</v>
      </c>
      <c r="F3484" s="2">
        <v>46010</v>
      </c>
      <c r="G3484" s="17">
        <v>2286.25</v>
      </c>
      <c r="H3484" s="17">
        <v>3585</v>
      </c>
      <c r="I3484" s="6">
        <f>Tabela1[[#This Row],[Valor total]]-Tabela1[[#This Row],[Valor custo]]</f>
        <v>1298.75</v>
      </c>
      <c r="J3484" s="7">
        <f>Tabela1[[#This Row],[MARGEM BRUTA]]/Tabela1[[#This Row],[Valor total]]</f>
        <v>0.36227336122733611</v>
      </c>
      <c r="K3484" s="1" t="str">
        <f>VLOOKUP(Tabela1[[#This Row],[Cliente]],'BASE DE CLIENTES'!A:D,4,0)</f>
        <v>EMPRESA COM MAQUINA</v>
      </c>
      <c r="L3484" s="1" t="str">
        <f>VLOOKUP(Tabela1[[#This Row],[Cliente]],'BASE DE CLIENTES'!A:E,5,0)</f>
        <v>Anápolis</v>
      </c>
    </row>
    <row r="3485" spans="2:12" x14ac:dyDescent="0.3">
      <c r="B3485" s="1" t="s">
        <v>199</v>
      </c>
      <c r="C3485" s="4" t="str">
        <f>VLOOKUP(Tabela1[[#This Row],[Cliente]],'BASE DE CLIENTES'!A:E,2,0)</f>
        <v>Goiânia</v>
      </c>
      <c r="D3485" s="1" t="str">
        <f>VLOOKUP(Tabela1[[#This Row],[Cliente]],'BASE DE CLIENTES'!A:C,3,0)</f>
        <v>GO</v>
      </c>
      <c r="E3485" s="4" t="str">
        <f>CONCATENATE(Tabela1[[#This Row],[CIDADE]],",",Tabela1[[#This Row],[UF]])</f>
        <v>Goiânia,GO</v>
      </c>
      <c r="F3485" s="2">
        <v>46009</v>
      </c>
      <c r="G3485" s="17">
        <v>4184.53</v>
      </c>
      <c r="H3485" s="17">
        <v>6080</v>
      </c>
      <c r="I3485" s="6">
        <f>Tabela1[[#This Row],[Valor total]]-Tabela1[[#This Row],[Valor custo]]</f>
        <v>1895.4700000000003</v>
      </c>
      <c r="J3485" s="7">
        <f>Tabela1[[#This Row],[MARGEM BRUTA]]/Tabela1[[#This Row],[Valor total]]</f>
        <v>0.31175493421052636</v>
      </c>
      <c r="K3485" s="1" t="str">
        <f>VLOOKUP(Tabela1[[#This Row],[Cliente]],'BASE DE CLIENTES'!A:D,4,0)</f>
        <v>EMPRESA COM MAQUINA</v>
      </c>
      <c r="L3485" s="1" t="str">
        <f>VLOOKUP(Tabela1[[#This Row],[Cliente]],'BASE DE CLIENTES'!A:E,5,0)</f>
        <v>Goiânia</v>
      </c>
    </row>
    <row r="3486" spans="2:12" x14ac:dyDescent="0.3">
      <c r="B3486" s="1" t="s">
        <v>52</v>
      </c>
      <c r="C3486" s="4" t="str">
        <f>VLOOKUP(Tabela1[[#This Row],[Cliente]],'BASE DE CLIENTES'!A:E,2,0)</f>
        <v>Brasília</v>
      </c>
      <c r="D3486" s="1" t="str">
        <f>VLOOKUP(Tabela1[[#This Row],[Cliente]],'BASE DE CLIENTES'!A:C,3,0)</f>
        <v>DF</v>
      </c>
      <c r="E3486" s="4" t="str">
        <f>CONCATENATE(Tabela1[[#This Row],[CIDADE]],",",Tabela1[[#This Row],[UF]])</f>
        <v>Brasília,DF</v>
      </c>
      <c r="F3486" s="2">
        <v>46009</v>
      </c>
      <c r="G3486" s="17">
        <v>770</v>
      </c>
      <c r="H3486" s="17">
        <v>1290</v>
      </c>
      <c r="I3486" s="6">
        <f>Tabela1[[#This Row],[Valor total]]-Tabela1[[#This Row],[Valor custo]]</f>
        <v>520</v>
      </c>
      <c r="J3486" s="7">
        <f>Tabela1[[#This Row],[MARGEM BRUTA]]/Tabela1[[#This Row],[Valor total]]</f>
        <v>0.40310077519379844</v>
      </c>
      <c r="K3486" s="1" t="str">
        <f>VLOOKUP(Tabela1[[#This Row],[Cliente]],'BASE DE CLIENTES'!A:D,4,0)</f>
        <v>SERRALHEIRO</v>
      </c>
      <c r="L3486" s="1" t="str">
        <f>VLOOKUP(Tabela1[[#This Row],[Cliente]],'BASE DE CLIENTES'!A:E,5,0)</f>
        <v>Ceilândia Sul (Ceilândia)</v>
      </c>
    </row>
    <row r="3487" spans="2:12" x14ac:dyDescent="0.3">
      <c r="B3487" s="1" t="s">
        <v>52</v>
      </c>
      <c r="C3487" s="4" t="str">
        <f>VLOOKUP(Tabela1[[#This Row],[Cliente]],'BASE DE CLIENTES'!A:E,2,0)</f>
        <v>Brasília</v>
      </c>
      <c r="D3487" s="1" t="str">
        <f>VLOOKUP(Tabela1[[#This Row],[Cliente]],'BASE DE CLIENTES'!A:C,3,0)</f>
        <v>DF</v>
      </c>
      <c r="E3487" s="4" t="str">
        <f>CONCATENATE(Tabela1[[#This Row],[CIDADE]],",",Tabela1[[#This Row],[UF]])</f>
        <v>Brasília,DF</v>
      </c>
      <c r="F3487" s="2">
        <v>46009</v>
      </c>
      <c r="G3487" s="17">
        <v>289</v>
      </c>
      <c r="H3487" s="17">
        <v>0</v>
      </c>
      <c r="I3487" s="6">
        <f>Tabela1[[#This Row],[Valor total]]-Tabela1[[#This Row],[Valor custo]]</f>
        <v>-289</v>
      </c>
      <c r="J3487" s="7" t="e">
        <f>Tabela1[[#This Row],[MARGEM BRUTA]]/Tabela1[[#This Row],[Valor total]]</f>
        <v>#DIV/0!</v>
      </c>
      <c r="K3487" s="1" t="str">
        <f>VLOOKUP(Tabela1[[#This Row],[Cliente]],'BASE DE CLIENTES'!A:D,4,0)</f>
        <v>SERRALHEIRO</v>
      </c>
      <c r="L3487" s="1" t="str">
        <f>VLOOKUP(Tabela1[[#This Row],[Cliente]],'BASE DE CLIENTES'!A:E,5,0)</f>
        <v>Ceilândia Sul (Ceilândia)</v>
      </c>
    </row>
    <row r="3488" spans="2:12" x14ac:dyDescent="0.3">
      <c r="B3488" s="1" t="s">
        <v>123</v>
      </c>
      <c r="C3488" s="4" t="str">
        <f>VLOOKUP(Tabela1[[#This Row],[Cliente]],'BASE DE CLIENTES'!A:E,2,0)</f>
        <v>Brasília</v>
      </c>
      <c r="D3488" s="1" t="str">
        <f>VLOOKUP(Tabela1[[#This Row],[Cliente]],'BASE DE CLIENTES'!A:C,3,0)</f>
        <v>DF</v>
      </c>
      <c r="E3488" s="4" t="str">
        <f>CONCATENATE(Tabela1[[#This Row],[CIDADE]],",",Tabela1[[#This Row],[UF]])</f>
        <v>Brasília,DF</v>
      </c>
      <c r="F3488" s="2">
        <v>46009</v>
      </c>
      <c r="G3488" s="17">
        <v>76.25</v>
      </c>
      <c r="H3488" s="17">
        <v>100</v>
      </c>
      <c r="I3488" s="6">
        <f>Tabela1[[#This Row],[Valor total]]-Tabela1[[#This Row],[Valor custo]]</f>
        <v>23.75</v>
      </c>
      <c r="J3488" s="7">
        <f>Tabela1[[#This Row],[MARGEM BRUTA]]/Tabela1[[#This Row],[Valor total]]</f>
        <v>0.23749999999999999</v>
      </c>
      <c r="K3488" s="1" t="str">
        <f>VLOOKUP(Tabela1[[#This Row],[Cliente]],'BASE DE CLIENTES'!A:D,4,0)</f>
        <v>EMPRESA COM MAQUINA</v>
      </c>
      <c r="L3488" s="1" t="str">
        <f>VLOOKUP(Tabela1[[#This Row],[Cliente]],'BASE DE CLIENTES'!A:E,5,0)</f>
        <v>ADE CEILÂNDIA</v>
      </c>
    </row>
    <row r="3489" spans="2:12" x14ac:dyDescent="0.3">
      <c r="B3489" s="1" t="s">
        <v>111</v>
      </c>
      <c r="C3489" s="4" t="str">
        <f>VLOOKUP(Tabela1[[#This Row],[Cliente]],'BASE DE CLIENTES'!A:E,2,0)</f>
        <v>Brasília</v>
      </c>
      <c r="D3489" s="1" t="str">
        <f>VLOOKUP(Tabela1[[#This Row],[Cliente]],'BASE DE CLIENTES'!A:C,3,0)</f>
        <v>DF</v>
      </c>
      <c r="E3489" s="4" t="str">
        <f>CONCATENATE(Tabela1[[#This Row],[CIDADE]],",",Tabela1[[#This Row],[UF]])</f>
        <v>Brasília,DF</v>
      </c>
      <c r="F3489" s="2">
        <v>46009</v>
      </c>
      <c r="G3489" s="17">
        <v>1288</v>
      </c>
      <c r="H3489" s="17">
        <v>1881</v>
      </c>
      <c r="I3489" s="6">
        <f>Tabela1[[#This Row],[Valor total]]-Tabela1[[#This Row],[Valor custo]]</f>
        <v>593</v>
      </c>
      <c r="J3489" s="7">
        <f>Tabela1[[#This Row],[MARGEM BRUTA]]/Tabela1[[#This Row],[Valor total]]</f>
        <v>0.31525784157363107</v>
      </c>
      <c r="K3489" s="1" t="str">
        <f>VLOOKUP(Tabela1[[#This Row],[Cliente]],'BASE DE CLIENTES'!A:D,4,0)</f>
        <v>EMPRESA SEM MAQUINA</v>
      </c>
      <c r="L3489" s="1" t="str">
        <f>VLOOKUP(Tabela1[[#This Row],[Cliente]],'BASE DE CLIENTES'!A:E,5,0)</f>
        <v>TAGUATINGA SUL (TAGUATINGA)</v>
      </c>
    </row>
    <row r="3490" spans="2:12" x14ac:dyDescent="0.3">
      <c r="B3490" s="1" t="s">
        <v>123</v>
      </c>
      <c r="C3490" s="4" t="str">
        <f>VLOOKUP(Tabela1[[#This Row],[Cliente]],'BASE DE CLIENTES'!A:E,2,0)</f>
        <v>Brasília</v>
      </c>
      <c r="D3490" s="1" t="str">
        <f>VLOOKUP(Tabela1[[#This Row],[Cliente]],'BASE DE CLIENTES'!A:C,3,0)</f>
        <v>DF</v>
      </c>
      <c r="E3490" s="4" t="str">
        <f>CONCATENATE(Tabela1[[#This Row],[CIDADE]],",",Tabela1[[#This Row],[UF]])</f>
        <v>Brasília,DF</v>
      </c>
      <c r="F3490" s="2">
        <v>46009</v>
      </c>
      <c r="G3490" s="17">
        <v>2819.66</v>
      </c>
      <c r="H3490" s="17">
        <v>4400</v>
      </c>
      <c r="I3490" s="6">
        <f>Tabela1[[#This Row],[Valor total]]-Tabela1[[#This Row],[Valor custo]]</f>
        <v>1580.3400000000001</v>
      </c>
      <c r="J3490" s="7">
        <f>Tabela1[[#This Row],[MARGEM BRUTA]]/Tabela1[[#This Row],[Valor total]]</f>
        <v>0.35916818181818183</v>
      </c>
      <c r="K3490" s="1" t="str">
        <f>VLOOKUP(Tabela1[[#This Row],[Cliente]],'BASE DE CLIENTES'!A:D,4,0)</f>
        <v>EMPRESA COM MAQUINA</v>
      </c>
      <c r="L3490" s="1" t="str">
        <f>VLOOKUP(Tabela1[[#This Row],[Cliente]],'BASE DE CLIENTES'!A:E,5,0)</f>
        <v>ADE CEILÂNDIA</v>
      </c>
    </row>
    <row r="3491" spans="2:12" x14ac:dyDescent="0.3">
      <c r="B3491" s="1" t="s">
        <v>342</v>
      </c>
      <c r="C3491" s="4" t="str">
        <f>VLOOKUP(Tabela1[[#This Row],[Cliente]],'BASE DE CLIENTES'!A:E,2,0)</f>
        <v>Santo Antônio Descoberto</v>
      </c>
      <c r="D3491" s="1" t="str">
        <f>VLOOKUP(Tabela1[[#This Row],[Cliente]],'BASE DE CLIENTES'!A:C,3,0)</f>
        <v>GO</v>
      </c>
      <c r="E3491" s="4" t="str">
        <f>CONCATENATE(Tabela1[[#This Row],[CIDADE]],",",Tabela1[[#This Row],[UF]])</f>
        <v>Santo Antônio Descoberto,GO</v>
      </c>
      <c r="F3491" s="2">
        <v>46009</v>
      </c>
      <c r="G3491" s="17">
        <v>862.12</v>
      </c>
      <c r="H3491" s="17">
        <v>1435</v>
      </c>
      <c r="I3491" s="6">
        <f>Tabela1[[#This Row],[Valor total]]-Tabela1[[#This Row],[Valor custo]]</f>
        <v>572.88</v>
      </c>
      <c r="J3491" s="7">
        <f>Tabela1[[#This Row],[MARGEM BRUTA]]/Tabela1[[#This Row],[Valor total]]</f>
        <v>0.39921951219512197</v>
      </c>
      <c r="K3491" s="1" t="str">
        <f>VLOOKUP(Tabela1[[#This Row],[Cliente]],'BASE DE CLIENTES'!A:D,4,0)</f>
        <v>CLIENTE NOVO S/ IDENT.</v>
      </c>
      <c r="L3491" s="1" t="str">
        <f>VLOOKUP(Tabela1[[#This Row],[Cliente]],'BASE DE CLIENTES'!A:E,5,0)</f>
        <v>Santo Antônio Descoberto</v>
      </c>
    </row>
    <row r="3492" spans="2:12" x14ac:dyDescent="0.3">
      <c r="B3492" s="1" t="s">
        <v>111</v>
      </c>
      <c r="C3492" s="4" t="str">
        <f>VLOOKUP(Tabela1[[#This Row],[Cliente]],'BASE DE CLIENTES'!A:E,2,0)</f>
        <v>Brasília</v>
      </c>
      <c r="D3492" s="1" t="str">
        <f>VLOOKUP(Tabela1[[#This Row],[Cliente]],'BASE DE CLIENTES'!A:C,3,0)</f>
        <v>DF</v>
      </c>
      <c r="E3492" s="4" t="str">
        <f>CONCATENATE(Tabela1[[#This Row],[CIDADE]],",",Tabela1[[#This Row],[UF]])</f>
        <v>Brasília,DF</v>
      </c>
      <c r="F3492" s="2">
        <v>46009</v>
      </c>
      <c r="G3492" s="17">
        <v>174</v>
      </c>
      <c r="H3492" s="17">
        <v>260</v>
      </c>
      <c r="I3492" s="6">
        <f>Tabela1[[#This Row],[Valor total]]-Tabela1[[#This Row],[Valor custo]]</f>
        <v>86</v>
      </c>
      <c r="J3492" s="7">
        <f>Tabela1[[#This Row],[MARGEM BRUTA]]/Tabela1[[#This Row],[Valor total]]</f>
        <v>0.33076923076923076</v>
      </c>
      <c r="K3492" s="1" t="str">
        <f>VLOOKUP(Tabela1[[#This Row],[Cliente]],'BASE DE CLIENTES'!A:D,4,0)</f>
        <v>EMPRESA SEM MAQUINA</v>
      </c>
      <c r="L3492" s="1" t="str">
        <f>VLOOKUP(Tabela1[[#This Row],[Cliente]],'BASE DE CLIENTES'!A:E,5,0)</f>
        <v>TAGUATINGA SUL (TAGUATINGA)</v>
      </c>
    </row>
    <row r="3493" spans="2:12" x14ac:dyDescent="0.3">
      <c r="B3493" s="1" t="s">
        <v>27</v>
      </c>
      <c r="C3493" s="4" t="str">
        <f>VLOOKUP(Tabela1[[#This Row],[Cliente]],'BASE DE CLIENTES'!A:E,2,0)</f>
        <v>Brasília</v>
      </c>
      <c r="D3493" s="1" t="str">
        <f>VLOOKUP(Tabela1[[#This Row],[Cliente]],'BASE DE CLIENTES'!A:C,3,0)</f>
        <v>DF</v>
      </c>
      <c r="E3493" s="4" t="str">
        <f>CONCATENATE(Tabela1[[#This Row],[CIDADE]],",",Tabela1[[#This Row],[UF]])</f>
        <v>Brasília,DF</v>
      </c>
      <c r="F3493" s="2">
        <v>46009</v>
      </c>
      <c r="G3493" s="17">
        <v>180</v>
      </c>
      <c r="H3493" s="17">
        <v>300</v>
      </c>
      <c r="I3493" s="6">
        <f>Tabela1[[#This Row],[Valor total]]-Tabela1[[#This Row],[Valor custo]]</f>
        <v>120</v>
      </c>
      <c r="J3493" s="7">
        <f>Tabela1[[#This Row],[MARGEM BRUTA]]/Tabela1[[#This Row],[Valor total]]</f>
        <v>0.4</v>
      </c>
      <c r="K3493" s="1" t="str">
        <f>VLOOKUP(Tabela1[[#This Row],[Cliente]],'BASE DE CLIENTES'!A:D,4,0)</f>
        <v>EMPRESA SEM MAQUINA</v>
      </c>
      <c r="L3493" s="1" t="str">
        <f>VLOOKUP(Tabela1[[#This Row],[Cliente]],'BASE DE CLIENTES'!A:E,5,0)</f>
        <v>RECANTO DAS EMAS</v>
      </c>
    </row>
    <row r="3494" spans="2:12" x14ac:dyDescent="0.3">
      <c r="B3494" s="1" t="s">
        <v>116</v>
      </c>
      <c r="C3494" s="4" t="str">
        <f>VLOOKUP(Tabela1[[#This Row],[Cliente]],'BASE DE CLIENTES'!A:E,2,0)</f>
        <v>Brasília</v>
      </c>
      <c r="D3494" s="1" t="str">
        <f>VLOOKUP(Tabela1[[#This Row],[Cliente]],'BASE DE CLIENTES'!A:C,3,0)</f>
        <v>DF</v>
      </c>
      <c r="E3494" s="4" t="str">
        <f>CONCATENATE(Tabela1[[#This Row],[CIDADE]],",",Tabela1[[#This Row],[UF]])</f>
        <v>Brasília,DF</v>
      </c>
      <c r="F3494" s="2">
        <v>46009</v>
      </c>
      <c r="G3494" s="17">
        <v>629.79</v>
      </c>
      <c r="H3494" s="17">
        <v>1395</v>
      </c>
      <c r="I3494" s="6">
        <f>Tabela1[[#This Row],[Valor total]]-Tabela1[[#This Row],[Valor custo]]</f>
        <v>765.21</v>
      </c>
      <c r="J3494" s="7">
        <f>Tabela1[[#This Row],[MARGEM BRUTA]]/Tabela1[[#This Row],[Valor total]]</f>
        <v>0.54853763440860215</v>
      </c>
      <c r="K3494" s="1" t="str">
        <f>VLOOKUP(Tabela1[[#This Row],[Cliente]],'BASE DE CLIENTES'!A:D,4,0)</f>
        <v>SEM CLASSIFICAÇÃO</v>
      </c>
      <c r="L3494" s="1" t="str">
        <f>VLOOKUP(Tabela1[[#This Row],[Cliente]],'BASE DE CLIENTES'!A:E,5,0)</f>
        <v>VALE DO AMANHECER (PLANALTINA)</v>
      </c>
    </row>
    <row r="3495" spans="2:12" x14ac:dyDescent="0.3">
      <c r="B3495" s="1" t="s">
        <v>27</v>
      </c>
      <c r="C3495" s="4" t="str">
        <f>VLOOKUP(Tabela1[[#This Row],[Cliente]],'BASE DE CLIENTES'!A:E,2,0)</f>
        <v>Brasília</v>
      </c>
      <c r="D3495" s="1" t="str">
        <f>VLOOKUP(Tabela1[[#This Row],[Cliente]],'BASE DE CLIENTES'!A:C,3,0)</f>
        <v>DF</v>
      </c>
      <c r="E3495" s="4" t="str">
        <f>CONCATENATE(Tabela1[[#This Row],[CIDADE]],",",Tabela1[[#This Row],[UF]])</f>
        <v>Brasília,DF</v>
      </c>
      <c r="F3495" s="2">
        <v>46008</v>
      </c>
      <c r="G3495" s="17">
        <v>90</v>
      </c>
      <c r="H3495" s="17">
        <v>150</v>
      </c>
      <c r="I3495" s="6">
        <f>Tabela1[[#This Row],[Valor total]]-Tabela1[[#This Row],[Valor custo]]</f>
        <v>60</v>
      </c>
      <c r="J3495" s="7">
        <f>Tabela1[[#This Row],[MARGEM BRUTA]]/Tabela1[[#This Row],[Valor total]]</f>
        <v>0.4</v>
      </c>
      <c r="K3495" s="1" t="str">
        <f>VLOOKUP(Tabela1[[#This Row],[Cliente]],'BASE DE CLIENTES'!A:D,4,0)</f>
        <v>EMPRESA SEM MAQUINA</v>
      </c>
      <c r="L3495" s="1" t="str">
        <f>VLOOKUP(Tabela1[[#This Row],[Cliente]],'BASE DE CLIENTES'!A:E,5,0)</f>
        <v>RECANTO DAS EMAS</v>
      </c>
    </row>
    <row r="3496" spans="2:12" x14ac:dyDescent="0.3">
      <c r="B3496" s="1" t="s">
        <v>321</v>
      </c>
      <c r="C3496" s="4" t="str">
        <f>VLOOKUP(Tabela1[[#This Row],[Cliente]],'BASE DE CLIENTES'!A:E,2,0)</f>
        <v>Valparaíso de Goiás</v>
      </c>
      <c r="D3496" s="1" t="str">
        <f>VLOOKUP(Tabela1[[#This Row],[Cliente]],'BASE DE CLIENTES'!A:C,3,0)</f>
        <v>GO</v>
      </c>
      <c r="E3496" s="4" t="str">
        <f>CONCATENATE(Tabela1[[#This Row],[CIDADE]],",",Tabela1[[#This Row],[UF]])</f>
        <v>Valparaíso de Goiás,GO</v>
      </c>
      <c r="F3496" s="2">
        <v>46008</v>
      </c>
      <c r="G3496" s="17">
        <v>1298</v>
      </c>
      <c r="H3496" s="17">
        <v>1800</v>
      </c>
      <c r="I3496" s="6">
        <f>Tabela1[[#This Row],[Valor total]]-Tabela1[[#This Row],[Valor custo]]</f>
        <v>502</v>
      </c>
      <c r="J3496" s="7">
        <f>Tabela1[[#This Row],[MARGEM BRUTA]]/Tabela1[[#This Row],[Valor total]]</f>
        <v>0.27888888888888891</v>
      </c>
      <c r="K3496" s="1" t="str">
        <f>VLOOKUP(Tabela1[[#This Row],[Cliente]],'BASE DE CLIENTES'!A:D,4,0)</f>
        <v>EMPRESA COM MAQUINA</v>
      </c>
      <c r="L3496" s="1" t="str">
        <f>VLOOKUP(Tabela1[[#This Row],[Cliente]],'BASE DE CLIENTES'!A:E,5,0)</f>
        <v>Valparaíso de Goiás</v>
      </c>
    </row>
    <row r="3497" spans="2:12" x14ac:dyDescent="0.3">
      <c r="B3497" s="1" t="s">
        <v>88</v>
      </c>
      <c r="C3497" s="4" t="str">
        <f>VLOOKUP(Tabela1[[#This Row],[Cliente]],'BASE DE CLIENTES'!A:E,2,0)</f>
        <v>Brasília</v>
      </c>
      <c r="D3497" s="1" t="str">
        <f>VLOOKUP(Tabela1[[#This Row],[Cliente]],'BASE DE CLIENTES'!A:C,3,0)</f>
        <v>DF</v>
      </c>
      <c r="E3497" s="4" t="str">
        <f>CONCATENATE(Tabela1[[#This Row],[CIDADE]],",",Tabela1[[#This Row],[UF]])</f>
        <v>Brasília,DF</v>
      </c>
      <c r="F3497" s="2">
        <v>46008</v>
      </c>
      <c r="G3497" s="17">
        <v>40</v>
      </c>
      <c r="H3497" s="17">
        <v>100</v>
      </c>
      <c r="I3497" s="6">
        <f>Tabela1[[#This Row],[Valor total]]-Tabela1[[#This Row],[Valor custo]]</f>
        <v>60</v>
      </c>
      <c r="J3497" s="7">
        <f>Tabela1[[#This Row],[MARGEM BRUTA]]/Tabela1[[#This Row],[Valor total]]</f>
        <v>0.6</v>
      </c>
      <c r="K3497" s="1" t="str">
        <f>VLOOKUP(Tabela1[[#This Row],[Cliente]],'BASE DE CLIENTES'!A:D,4,0)</f>
        <v>SERRALHEIRO</v>
      </c>
      <c r="L3497" s="1" t="str">
        <f>VLOOKUP(Tabela1[[#This Row],[Cliente]],'BASE DE CLIENTES'!A:E,5,0)</f>
        <v>RECANTO DAS EMAS</v>
      </c>
    </row>
    <row r="3498" spans="2:12" x14ac:dyDescent="0.3">
      <c r="B3498" s="1" t="s">
        <v>152</v>
      </c>
      <c r="C3498" s="4" t="str">
        <f>VLOOKUP(Tabela1[[#This Row],[Cliente]],'BASE DE CLIENTES'!A:E,2,0)</f>
        <v>Aparecida de Goiânia</v>
      </c>
      <c r="D3498" s="1" t="str">
        <f>VLOOKUP(Tabela1[[#This Row],[Cliente]],'BASE DE CLIENTES'!A:C,3,0)</f>
        <v>GO</v>
      </c>
      <c r="E3498" s="4" t="str">
        <f>CONCATENATE(Tabela1[[#This Row],[CIDADE]],",",Tabela1[[#This Row],[UF]])</f>
        <v>Aparecida de Goiânia,GO</v>
      </c>
      <c r="F3498" s="2">
        <v>46008</v>
      </c>
      <c r="G3498" s="17">
        <v>250</v>
      </c>
      <c r="H3498" s="17">
        <v>300</v>
      </c>
      <c r="I3498" s="6">
        <f>Tabela1[[#This Row],[Valor total]]-Tabela1[[#This Row],[Valor custo]]</f>
        <v>50</v>
      </c>
      <c r="J3498" s="7">
        <f>Tabela1[[#This Row],[MARGEM BRUTA]]/Tabela1[[#This Row],[Valor total]]</f>
        <v>0.16666666666666666</v>
      </c>
      <c r="K3498" s="1" t="str">
        <f>VLOOKUP(Tabela1[[#This Row],[Cliente]],'BASE DE CLIENTES'!A:D,4,0)</f>
        <v>TECNICO</v>
      </c>
      <c r="L3498" s="1" t="str">
        <f>VLOOKUP(Tabela1[[#This Row],[Cliente]],'BASE DE CLIENTES'!A:E,5,0)</f>
        <v>Aparecida de Goiânia</v>
      </c>
    </row>
    <row r="3499" spans="2:12" x14ac:dyDescent="0.3">
      <c r="B3499" s="1" t="s">
        <v>236</v>
      </c>
      <c r="C3499" s="4" t="str">
        <f>VLOOKUP(Tabela1[[#This Row],[Cliente]],'BASE DE CLIENTES'!A:E,2,0)</f>
        <v>Goiânia</v>
      </c>
      <c r="D3499" s="1" t="str">
        <f>VLOOKUP(Tabela1[[#This Row],[Cliente]],'BASE DE CLIENTES'!A:C,3,0)</f>
        <v>GO</v>
      </c>
      <c r="E3499" s="4" t="str">
        <f>CONCATENATE(Tabela1[[#This Row],[CIDADE]],",",Tabela1[[#This Row],[UF]])</f>
        <v>Goiânia,GO</v>
      </c>
      <c r="F3499" s="2">
        <v>46008</v>
      </c>
      <c r="G3499" s="17">
        <v>2720</v>
      </c>
      <c r="H3499" s="17">
        <v>3950</v>
      </c>
      <c r="I3499" s="6">
        <f>Tabela1[[#This Row],[Valor total]]-Tabela1[[#This Row],[Valor custo]]</f>
        <v>1230</v>
      </c>
      <c r="J3499" s="7">
        <f>Tabela1[[#This Row],[MARGEM BRUTA]]/Tabela1[[#This Row],[Valor total]]</f>
        <v>0.31139240506329113</v>
      </c>
      <c r="K3499" s="1" t="str">
        <f>VLOOKUP(Tabela1[[#This Row],[Cliente]],'BASE DE CLIENTES'!A:D,4,0)</f>
        <v>EMPRESA COM MAQUINA</v>
      </c>
      <c r="L3499" s="1" t="str">
        <f>VLOOKUP(Tabela1[[#This Row],[Cliente]],'BASE DE CLIENTES'!A:E,5,0)</f>
        <v>Goiânia</v>
      </c>
    </row>
    <row r="3500" spans="2:12" x14ac:dyDescent="0.3">
      <c r="B3500" s="1" t="s">
        <v>27</v>
      </c>
      <c r="C3500" s="4" t="str">
        <f>VLOOKUP(Tabela1[[#This Row],[Cliente]],'BASE DE CLIENTES'!A:E,2,0)</f>
        <v>Brasília</v>
      </c>
      <c r="D3500" s="1" t="str">
        <f>VLOOKUP(Tabela1[[#This Row],[Cliente]],'BASE DE CLIENTES'!A:C,3,0)</f>
        <v>DF</v>
      </c>
      <c r="E3500" s="4" t="str">
        <f>CONCATENATE(Tabela1[[#This Row],[CIDADE]],",",Tabela1[[#This Row],[UF]])</f>
        <v>Brasília,DF</v>
      </c>
      <c r="F3500" s="2">
        <v>46008</v>
      </c>
      <c r="G3500" s="17">
        <v>649</v>
      </c>
      <c r="H3500" s="17">
        <v>900</v>
      </c>
      <c r="I3500" s="6">
        <f>Tabela1[[#This Row],[Valor total]]-Tabela1[[#This Row],[Valor custo]]</f>
        <v>251</v>
      </c>
      <c r="J3500" s="7">
        <f>Tabela1[[#This Row],[MARGEM BRUTA]]/Tabela1[[#This Row],[Valor total]]</f>
        <v>0.27888888888888891</v>
      </c>
      <c r="K3500" s="1" t="str">
        <f>VLOOKUP(Tabela1[[#This Row],[Cliente]],'BASE DE CLIENTES'!A:D,4,0)</f>
        <v>EMPRESA SEM MAQUINA</v>
      </c>
      <c r="L3500" s="1" t="str">
        <f>VLOOKUP(Tabela1[[#This Row],[Cliente]],'BASE DE CLIENTES'!A:E,5,0)</f>
        <v>RECANTO DAS EMAS</v>
      </c>
    </row>
    <row r="3501" spans="2:12" x14ac:dyDescent="0.3">
      <c r="B3501" s="1" t="s">
        <v>111</v>
      </c>
      <c r="C3501" s="4" t="str">
        <f>VLOOKUP(Tabela1[[#This Row],[Cliente]],'BASE DE CLIENTES'!A:E,2,0)</f>
        <v>Brasília</v>
      </c>
      <c r="D3501" s="1" t="str">
        <f>VLOOKUP(Tabela1[[#This Row],[Cliente]],'BASE DE CLIENTES'!A:C,3,0)</f>
        <v>DF</v>
      </c>
      <c r="E3501" s="4" t="str">
        <f>CONCATENATE(Tabela1[[#This Row],[CIDADE]],",",Tabela1[[#This Row],[UF]])</f>
        <v>Brasília,DF</v>
      </c>
      <c r="F3501" s="2">
        <v>46008</v>
      </c>
      <c r="G3501" s="17">
        <v>787.14</v>
      </c>
      <c r="H3501" s="17">
        <v>1150</v>
      </c>
      <c r="I3501" s="6">
        <f>Tabela1[[#This Row],[Valor total]]-Tabela1[[#This Row],[Valor custo]]</f>
        <v>362.86</v>
      </c>
      <c r="J3501" s="7">
        <f>Tabela1[[#This Row],[MARGEM BRUTA]]/Tabela1[[#This Row],[Valor total]]</f>
        <v>0.31553043478260873</v>
      </c>
      <c r="K3501" s="1" t="str">
        <f>VLOOKUP(Tabela1[[#This Row],[Cliente]],'BASE DE CLIENTES'!A:D,4,0)</f>
        <v>EMPRESA SEM MAQUINA</v>
      </c>
      <c r="L3501" s="1" t="str">
        <f>VLOOKUP(Tabela1[[#This Row],[Cliente]],'BASE DE CLIENTES'!A:E,5,0)</f>
        <v>TAGUATINGA SUL (TAGUATINGA)</v>
      </c>
    </row>
    <row r="3502" spans="2:12" x14ac:dyDescent="0.3">
      <c r="B3502" s="1" t="s">
        <v>108</v>
      </c>
      <c r="C3502" s="4" t="str">
        <f>VLOOKUP(Tabela1[[#This Row],[Cliente]],'BASE DE CLIENTES'!A:E,2,0)</f>
        <v>Brasília</v>
      </c>
      <c r="D3502" s="1" t="str">
        <f>VLOOKUP(Tabela1[[#This Row],[Cliente]],'BASE DE CLIENTES'!A:C,3,0)</f>
        <v>DF</v>
      </c>
      <c r="E3502" s="4" t="str">
        <f>CONCATENATE(Tabela1[[#This Row],[CIDADE]],",",Tabela1[[#This Row],[UF]])</f>
        <v>Brasília,DF</v>
      </c>
      <c r="F3502" s="2">
        <v>46008</v>
      </c>
      <c r="G3502" s="17">
        <v>70</v>
      </c>
      <c r="H3502" s="17">
        <v>90</v>
      </c>
      <c r="I3502" s="6">
        <f>Tabela1[[#This Row],[Valor total]]-Tabela1[[#This Row],[Valor custo]]</f>
        <v>20</v>
      </c>
      <c r="J3502" s="7">
        <f>Tabela1[[#This Row],[MARGEM BRUTA]]/Tabela1[[#This Row],[Valor total]]</f>
        <v>0.22222222222222221</v>
      </c>
      <c r="K3502" s="1" t="str">
        <f>VLOOKUP(Tabela1[[#This Row],[Cliente]],'BASE DE CLIENTES'!A:D,4,0)</f>
        <v>SERRALHEIRO</v>
      </c>
      <c r="L3502" s="1" t="str">
        <f>VLOOKUP(Tabela1[[#This Row],[Cliente]],'BASE DE CLIENTES'!A:E,5,0)</f>
        <v>Vila Planalto</v>
      </c>
    </row>
    <row r="3503" spans="2:12" x14ac:dyDescent="0.3">
      <c r="B3503" s="1" t="s">
        <v>25</v>
      </c>
      <c r="C3503" s="4" t="str">
        <f>VLOOKUP(Tabela1[[#This Row],[Cliente]],'BASE DE CLIENTES'!A:E,2,0)</f>
        <v>Brasília</v>
      </c>
      <c r="D3503" s="1" t="str">
        <f>VLOOKUP(Tabela1[[#This Row],[Cliente]],'BASE DE CLIENTES'!A:C,3,0)</f>
        <v>DF</v>
      </c>
      <c r="E3503" s="4" t="str">
        <f>CONCATENATE(Tabela1[[#This Row],[CIDADE]],",",Tabela1[[#This Row],[UF]])</f>
        <v>Brasília,DF</v>
      </c>
      <c r="F3503" s="2">
        <v>46007</v>
      </c>
      <c r="G3503" s="17">
        <v>45.6</v>
      </c>
      <c r="H3503" s="17">
        <v>70</v>
      </c>
      <c r="I3503" s="6">
        <f>Tabela1[[#This Row],[Valor total]]-Tabela1[[#This Row],[Valor custo]]</f>
        <v>24.4</v>
      </c>
      <c r="J3503" s="7">
        <f>Tabela1[[#This Row],[MARGEM BRUTA]]/Tabela1[[#This Row],[Valor total]]</f>
        <v>0.34857142857142853</v>
      </c>
      <c r="K3503" s="1" t="str">
        <f>VLOOKUP(Tabela1[[#This Row],[Cliente]],'BASE DE CLIENTES'!A:D,4,0)</f>
        <v>EMPRESA COM MAQUINA</v>
      </c>
      <c r="L3503" s="1" t="str">
        <f>VLOOKUP(Tabela1[[#This Row],[Cliente]],'BASE DE CLIENTES'!A:E,5,0)</f>
        <v>CEILANDIA NORTE (CEILANDIA)</v>
      </c>
    </row>
    <row r="3504" spans="2:12" x14ac:dyDescent="0.3">
      <c r="B3504" s="1" t="s">
        <v>66</v>
      </c>
      <c r="C3504" s="4" t="str">
        <f>VLOOKUP(Tabela1[[#This Row],[Cliente]],'BASE DE CLIENTES'!A:E,2,0)</f>
        <v>Águas Lindas de Goiás</v>
      </c>
      <c r="D3504" s="1" t="str">
        <f>VLOOKUP(Tabela1[[#This Row],[Cliente]],'BASE DE CLIENTES'!A:C,3,0)</f>
        <v>GO</v>
      </c>
      <c r="E3504" s="4" t="str">
        <f>CONCATENATE(Tabela1[[#This Row],[CIDADE]],",",Tabela1[[#This Row],[UF]])</f>
        <v>Águas Lindas de Goiás,GO</v>
      </c>
      <c r="F3504" s="2">
        <v>46007</v>
      </c>
      <c r="G3504" s="17">
        <v>42.6</v>
      </c>
      <c r="H3504" s="17">
        <v>65</v>
      </c>
      <c r="I3504" s="6">
        <f>Tabela1[[#This Row],[Valor total]]-Tabela1[[#This Row],[Valor custo]]</f>
        <v>22.4</v>
      </c>
      <c r="J3504" s="7">
        <f>Tabela1[[#This Row],[MARGEM BRUTA]]/Tabela1[[#This Row],[Valor total]]</f>
        <v>0.3446153846153846</v>
      </c>
      <c r="K3504" s="1" t="str">
        <f>VLOOKUP(Tabela1[[#This Row],[Cliente]],'BASE DE CLIENTES'!A:D,4,0)</f>
        <v>EMPRESA COM MAQUINA</v>
      </c>
      <c r="L3504" s="1" t="str">
        <f>VLOOKUP(Tabela1[[#This Row],[Cliente]],'BASE DE CLIENTES'!A:E,5,0)</f>
        <v>Águas Lindas de Goiás</v>
      </c>
    </row>
    <row r="3505" spans="2:12" x14ac:dyDescent="0.3">
      <c r="B3505" s="1" t="s">
        <v>152</v>
      </c>
      <c r="C3505" s="4" t="str">
        <f>VLOOKUP(Tabela1[[#This Row],[Cliente]],'BASE DE CLIENTES'!A:E,2,0)</f>
        <v>Aparecida de Goiânia</v>
      </c>
      <c r="D3505" s="1" t="str">
        <f>VLOOKUP(Tabela1[[#This Row],[Cliente]],'BASE DE CLIENTES'!A:C,3,0)</f>
        <v>GO</v>
      </c>
      <c r="E3505" s="4" t="str">
        <f>CONCATENATE(Tabela1[[#This Row],[CIDADE]],",",Tabela1[[#This Row],[UF]])</f>
        <v>Aparecida de Goiânia,GO</v>
      </c>
      <c r="F3505" s="2">
        <v>46007</v>
      </c>
      <c r="G3505" s="17">
        <v>84</v>
      </c>
      <c r="H3505" s="17">
        <v>130</v>
      </c>
      <c r="I3505" s="6">
        <f>Tabela1[[#This Row],[Valor total]]-Tabela1[[#This Row],[Valor custo]]</f>
        <v>46</v>
      </c>
      <c r="J3505" s="7">
        <f>Tabela1[[#This Row],[MARGEM BRUTA]]/Tabela1[[#This Row],[Valor total]]</f>
        <v>0.35384615384615387</v>
      </c>
      <c r="K3505" s="1" t="str">
        <f>VLOOKUP(Tabela1[[#This Row],[Cliente]],'BASE DE CLIENTES'!A:D,4,0)</f>
        <v>TECNICO</v>
      </c>
      <c r="L3505" s="1" t="str">
        <f>VLOOKUP(Tabela1[[#This Row],[Cliente]],'BASE DE CLIENTES'!A:E,5,0)</f>
        <v>Aparecida de Goiânia</v>
      </c>
    </row>
    <row r="3506" spans="2:12" x14ac:dyDescent="0.3">
      <c r="B3506" s="1" t="s">
        <v>36</v>
      </c>
      <c r="C3506" s="4" t="str">
        <f>VLOOKUP(Tabela1[[#This Row],[Cliente]],'BASE DE CLIENTES'!A:E,2,0)</f>
        <v>Brasília</v>
      </c>
      <c r="D3506" s="1" t="str">
        <f>VLOOKUP(Tabela1[[#This Row],[Cliente]],'BASE DE CLIENTES'!A:C,3,0)</f>
        <v>DF</v>
      </c>
      <c r="E3506" s="4" t="str">
        <f>CONCATENATE(Tabela1[[#This Row],[CIDADE]],",",Tabela1[[#This Row],[UF]])</f>
        <v>Brasília,DF</v>
      </c>
      <c r="F3506" s="2">
        <v>46007</v>
      </c>
      <c r="G3506" s="17">
        <v>94.06</v>
      </c>
      <c r="H3506" s="17">
        <v>170</v>
      </c>
      <c r="I3506" s="6">
        <f>Tabela1[[#This Row],[Valor total]]-Tabela1[[#This Row],[Valor custo]]</f>
        <v>75.94</v>
      </c>
      <c r="J3506" s="7">
        <f>Tabela1[[#This Row],[MARGEM BRUTA]]/Tabela1[[#This Row],[Valor total]]</f>
        <v>0.44670588235294117</v>
      </c>
      <c r="K3506" s="1" t="str">
        <f>VLOOKUP(Tabela1[[#This Row],[Cliente]],'BASE DE CLIENTES'!A:D,4,0)</f>
        <v>SERRALHEIRO</v>
      </c>
      <c r="L3506" s="1" t="str">
        <f>VLOOKUP(Tabela1[[#This Row],[Cliente]],'BASE DE CLIENTES'!A:E,5,0)</f>
        <v>CEILANDIA SUL (CEILANDIA)</v>
      </c>
    </row>
    <row r="3507" spans="2:12" x14ac:dyDescent="0.3">
      <c r="B3507" s="1" t="s">
        <v>343</v>
      </c>
      <c r="C3507" s="4" t="str">
        <f>VLOOKUP(Tabela1[[#This Row],[Cliente]],'BASE DE CLIENTES'!A:E,2,0)</f>
        <v>Brasília</v>
      </c>
      <c r="D3507" s="1" t="str">
        <f>VLOOKUP(Tabela1[[#This Row],[Cliente]],'BASE DE CLIENTES'!A:C,3,0)</f>
        <v>DF</v>
      </c>
      <c r="E3507" s="4" t="str">
        <f>CONCATENATE(Tabela1[[#This Row],[CIDADE]],",",Tabela1[[#This Row],[UF]])</f>
        <v>Brasília,DF</v>
      </c>
      <c r="F3507" s="2">
        <v>46007</v>
      </c>
      <c r="G3507" s="17">
        <v>289</v>
      </c>
      <c r="H3507" s="17">
        <v>550</v>
      </c>
      <c r="I3507" s="6">
        <f>Tabela1[[#This Row],[Valor total]]-Tabela1[[#This Row],[Valor custo]]</f>
        <v>261</v>
      </c>
      <c r="J3507" s="7">
        <f>Tabela1[[#This Row],[MARGEM BRUTA]]/Tabela1[[#This Row],[Valor total]]</f>
        <v>0.47454545454545455</v>
      </c>
      <c r="K3507" s="1" t="str">
        <f>VLOOKUP(Tabela1[[#This Row],[Cliente]],'BASE DE CLIENTES'!A:D,4,0)</f>
        <v>CLIENTE NOVO S/ IDENT.</v>
      </c>
      <c r="L3507" s="1" t="str">
        <f>VLOOKUP(Tabela1[[#This Row],[Cliente]],'BASE DE CLIENTES'!A:E,5,0)</f>
        <v>Brasília</v>
      </c>
    </row>
    <row r="3508" spans="2:12" x14ac:dyDescent="0.3">
      <c r="B3508" s="1" t="s">
        <v>150</v>
      </c>
      <c r="C3508" s="4" t="str">
        <f>VLOOKUP(Tabela1[[#This Row],[Cliente]],'BASE DE CLIENTES'!A:E,2,0)</f>
        <v>Anápolis</v>
      </c>
      <c r="D3508" s="1" t="str">
        <f>VLOOKUP(Tabela1[[#This Row],[Cliente]],'BASE DE CLIENTES'!A:C,3,0)</f>
        <v>GO</v>
      </c>
      <c r="E3508" s="4" t="str">
        <f>CONCATENATE(Tabela1[[#This Row],[CIDADE]],",",Tabela1[[#This Row],[UF]])</f>
        <v>Anápolis,GO</v>
      </c>
      <c r="F3508" s="2">
        <v>46007</v>
      </c>
      <c r="G3508" s="17">
        <v>250</v>
      </c>
      <c r="H3508" s="17">
        <v>300</v>
      </c>
      <c r="I3508" s="6">
        <f>Tabela1[[#This Row],[Valor total]]-Tabela1[[#This Row],[Valor custo]]</f>
        <v>50</v>
      </c>
      <c r="J3508" s="7">
        <f>Tabela1[[#This Row],[MARGEM BRUTA]]/Tabela1[[#This Row],[Valor total]]</f>
        <v>0.16666666666666666</v>
      </c>
      <c r="K3508" s="1" t="str">
        <f>VLOOKUP(Tabela1[[#This Row],[Cliente]],'BASE DE CLIENTES'!A:D,4,0)</f>
        <v>EMPRESA COM MAQUINA</v>
      </c>
      <c r="L3508" s="1" t="str">
        <f>VLOOKUP(Tabela1[[#This Row],[Cliente]],'BASE DE CLIENTES'!A:E,5,0)</f>
        <v>Anápolis</v>
      </c>
    </row>
    <row r="3509" spans="2:12" x14ac:dyDescent="0.3">
      <c r="B3509" s="1" t="s">
        <v>195</v>
      </c>
      <c r="C3509" s="4" t="str">
        <f>VLOOKUP(Tabela1[[#This Row],[Cliente]],'BASE DE CLIENTES'!A:E,2,0)</f>
        <v>Goiânia</v>
      </c>
      <c r="D3509" s="1" t="str">
        <f>VLOOKUP(Tabela1[[#This Row],[Cliente]],'BASE DE CLIENTES'!A:C,3,0)</f>
        <v>GO</v>
      </c>
      <c r="E3509" s="4" t="str">
        <f>CONCATENATE(Tabela1[[#This Row],[CIDADE]],",",Tabela1[[#This Row],[UF]])</f>
        <v>Goiânia,GO</v>
      </c>
      <c r="F3509" s="2">
        <v>46007</v>
      </c>
      <c r="G3509" s="17">
        <v>6001</v>
      </c>
      <c r="H3509" s="17">
        <v>9650</v>
      </c>
      <c r="I3509" s="6">
        <f>Tabela1[[#This Row],[Valor total]]-Tabela1[[#This Row],[Valor custo]]</f>
        <v>3649</v>
      </c>
      <c r="J3509" s="7">
        <f>Tabela1[[#This Row],[MARGEM BRUTA]]/Tabela1[[#This Row],[Valor total]]</f>
        <v>0.37813471502590673</v>
      </c>
      <c r="K3509" s="1" t="str">
        <f>VLOOKUP(Tabela1[[#This Row],[Cliente]],'BASE DE CLIENTES'!A:D,4,0)</f>
        <v>EMPRESA COM MAQUINA</v>
      </c>
      <c r="L3509" s="1" t="str">
        <f>VLOOKUP(Tabela1[[#This Row],[Cliente]],'BASE DE CLIENTES'!A:E,5,0)</f>
        <v>Goiânia</v>
      </c>
    </row>
    <row r="3510" spans="2:12" x14ac:dyDescent="0.3">
      <c r="B3510" s="1" t="s">
        <v>19</v>
      </c>
      <c r="C3510" s="4" t="str">
        <f>VLOOKUP(Tabela1[[#This Row],[Cliente]],'BASE DE CLIENTES'!A:E,2,0)</f>
        <v>Águas Lindas de Goiás</v>
      </c>
      <c r="D3510" s="1" t="str">
        <f>VLOOKUP(Tabela1[[#This Row],[Cliente]],'BASE DE CLIENTES'!A:C,3,0)</f>
        <v>GO</v>
      </c>
      <c r="E3510" s="4" t="str">
        <f>CONCATENATE(Tabela1[[#This Row],[CIDADE]],",",Tabela1[[#This Row],[UF]])</f>
        <v>Águas Lindas de Goiás,GO</v>
      </c>
      <c r="F3510" s="2">
        <v>46007</v>
      </c>
      <c r="G3510" s="17">
        <v>1400.1</v>
      </c>
      <c r="H3510" s="17">
        <v>2500</v>
      </c>
      <c r="I3510" s="6">
        <f>Tabela1[[#This Row],[Valor total]]-Tabela1[[#This Row],[Valor custo]]</f>
        <v>1099.9000000000001</v>
      </c>
      <c r="J3510" s="7">
        <f>Tabela1[[#This Row],[MARGEM BRUTA]]/Tabela1[[#This Row],[Valor total]]</f>
        <v>0.43996000000000002</v>
      </c>
      <c r="K3510" s="1" t="str">
        <f>VLOOKUP(Tabela1[[#This Row],[Cliente]],'BASE DE CLIENTES'!A:D,4,0)</f>
        <v>SERRALHEIRO</v>
      </c>
      <c r="L3510" s="1" t="str">
        <f>VLOOKUP(Tabela1[[#This Row],[Cliente]],'BASE DE CLIENTES'!A:E,5,0)</f>
        <v>Águas Lindas de Goiás</v>
      </c>
    </row>
    <row r="3511" spans="2:12" x14ac:dyDescent="0.3">
      <c r="B3511" s="1" t="s">
        <v>354</v>
      </c>
      <c r="C3511" s="4" t="str">
        <f>VLOOKUP(Tabela1[[#This Row],[Cliente]],'BASE DE CLIENTES'!A:E,2,0)</f>
        <v>Goiânia</v>
      </c>
      <c r="D3511" s="1" t="str">
        <f>VLOOKUP(Tabela1[[#This Row],[Cliente]],'BASE DE CLIENTES'!A:C,3,0)</f>
        <v>GO</v>
      </c>
      <c r="E3511" s="4" t="str">
        <f>CONCATENATE(Tabela1[[#This Row],[CIDADE]],",",Tabela1[[#This Row],[UF]])</f>
        <v>Goiânia,GO</v>
      </c>
      <c r="F3511" s="2">
        <v>46007</v>
      </c>
      <c r="G3511" s="17">
        <v>1343</v>
      </c>
      <c r="H3511" s="17">
        <v>2100</v>
      </c>
      <c r="I3511" s="6">
        <f>Tabela1[[#This Row],[Valor total]]-Tabela1[[#This Row],[Valor custo]]</f>
        <v>757</v>
      </c>
      <c r="J3511" s="7">
        <f>Tabela1[[#This Row],[MARGEM BRUTA]]/Tabela1[[#This Row],[Valor total]]</f>
        <v>0.36047619047619045</v>
      </c>
      <c r="K3511" s="1" t="str">
        <f>VLOOKUP(Tabela1[[#This Row],[Cliente]],'BASE DE CLIENTES'!A:D,4,0)</f>
        <v>CLIENTE NOVO S/ IDENT.</v>
      </c>
      <c r="L3511" s="1" t="str">
        <f>VLOOKUP(Tabela1[[#This Row],[Cliente]],'BASE DE CLIENTES'!A:E,5,0)</f>
        <v>Goiânia</v>
      </c>
    </row>
    <row r="3512" spans="2:12" x14ac:dyDescent="0.3">
      <c r="B3512" s="1" t="s">
        <v>340</v>
      </c>
      <c r="C3512" s="4" t="str">
        <f>VLOOKUP(Tabela1[[#This Row],[Cliente]],'BASE DE CLIENTES'!A:E,2,0)</f>
        <v>Brasília</v>
      </c>
      <c r="D3512" s="1" t="str">
        <f>VLOOKUP(Tabela1[[#This Row],[Cliente]],'BASE DE CLIENTES'!A:C,3,0)</f>
        <v>DF</v>
      </c>
      <c r="E3512" s="4" t="str">
        <f>CONCATENATE(Tabela1[[#This Row],[CIDADE]],",",Tabela1[[#This Row],[UF]])</f>
        <v>Brasília,DF</v>
      </c>
      <c r="F3512" s="2">
        <v>46007</v>
      </c>
      <c r="G3512" s="17">
        <v>13.69</v>
      </c>
      <c r="H3512" s="17">
        <v>100</v>
      </c>
      <c r="I3512" s="6">
        <f>Tabela1[[#This Row],[Valor total]]-Tabela1[[#This Row],[Valor custo]]</f>
        <v>86.31</v>
      </c>
      <c r="J3512" s="7">
        <f>Tabela1[[#This Row],[MARGEM BRUTA]]/Tabela1[[#This Row],[Valor total]]</f>
        <v>0.86309999999999998</v>
      </c>
      <c r="K3512" s="1" t="str">
        <f>VLOOKUP(Tabela1[[#This Row],[Cliente]],'BASE DE CLIENTES'!A:D,4,0)</f>
        <v>CLIENTE NOVO S/ IDENT.</v>
      </c>
      <c r="L3512" s="1" t="str">
        <f>VLOOKUP(Tabela1[[#This Row],[Cliente]],'BASE DE CLIENTES'!A:E,5,0)</f>
        <v>Brasília</v>
      </c>
    </row>
    <row r="3513" spans="2:12" x14ac:dyDescent="0.3">
      <c r="B3513" s="1" t="s">
        <v>221</v>
      </c>
      <c r="C3513" s="4" t="str">
        <f>VLOOKUP(Tabela1[[#This Row],[Cliente]],'BASE DE CLIENTES'!A:E,2,0)</f>
        <v>Goiânia</v>
      </c>
      <c r="D3513" s="1" t="str">
        <f>VLOOKUP(Tabela1[[#This Row],[Cliente]],'BASE DE CLIENTES'!A:C,3,0)</f>
        <v>GO</v>
      </c>
      <c r="E3513" s="4" t="str">
        <f>CONCATENATE(Tabela1[[#This Row],[CIDADE]],",",Tabela1[[#This Row],[UF]])</f>
        <v>Goiânia,GO</v>
      </c>
      <c r="F3513" s="2">
        <v>46007</v>
      </c>
      <c r="G3513" s="17">
        <v>3320</v>
      </c>
      <c r="H3513" s="17">
        <v>5000</v>
      </c>
      <c r="I3513" s="6">
        <f>Tabela1[[#This Row],[Valor total]]-Tabela1[[#This Row],[Valor custo]]</f>
        <v>1680</v>
      </c>
      <c r="J3513" s="7">
        <f>Tabela1[[#This Row],[MARGEM BRUTA]]/Tabela1[[#This Row],[Valor total]]</f>
        <v>0.33600000000000002</v>
      </c>
      <c r="K3513" s="1" t="str">
        <f>VLOOKUP(Tabela1[[#This Row],[Cliente]],'BASE DE CLIENTES'!A:D,4,0)</f>
        <v>EMPRESA COM MAQUINA</v>
      </c>
      <c r="L3513" s="1" t="str">
        <f>VLOOKUP(Tabela1[[#This Row],[Cliente]],'BASE DE CLIENTES'!A:E,5,0)</f>
        <v>Goiânia</v>
      </c>
    </row>
    <row r="3514" spans="2:12" x14ac:dyDescent="0.3">
      <c r="B3514" s="1" t="s">
        <v>199</v>
      </c>
      <c r="C3514" s="4" t="str">
        <f>VLOOKUP(Tabela1[[#This Row],[Cliente]],'BASE DE CLIENTES'!A:E,2,0)</f>
        <v>Goiânia</v>
      </c>
      <c r="D3514" s="1" t="str">
        <f>VLOOKUP(Tabela1[[#This Row],[Cliente]],'BASE DE CLIENTES'!A:C,3,0)</f>
        <v>GO</v>
      </c>
      <c r="E3514" s="4" t="str">
        <f>CONCATENATE(Tabela1[[#This Row],[CIDADE]],",",Tabela1[[#This Row],[UF]])</f>
        <v>Goiânia,GO</v>
      </c>
      <c r="F3514" s="2">
        <v>46007</v>
      </c>
      <c r="G3514" s="17">
        <v>2685</v>
      </c>
      <c r="H3514" s="17">
        <v>4200</v>
      </c>
      <c r="I3514" s="6">
        <f>Tabela1[[#This Row],[Valor total]]-Tabela1[[#This Row],[Valor custo]]</f>
        <v>1515</v>
      </c>
      <c r="J3514" s="7">
        <f>Tabela1[[#This Row],[MARGEM BRUTA]]/Tabela1[[#This Row],[Valor total]]</f>
        <v>0.36071428571428571</v>
      </c>
      <c r="K3514" s="1" t="str">
        <f>VLOOKUP(Tabela1[[#This Row],[Cliente]],'BASE DE CLIENTES'!A:D,4,0)</f>
        <v>EMPRESA COM MAQUINA</v>
      </c>
      <c r="L3514" s="1" t="str">
        <f>VLOOKUP(Tabela1[[#This Row],[Cliente]],'BASE DE CLIENTES'!A:E,5,0)</f>
        <v>Goiânia</v>
      </c>
    </row>
    <row r="3515" spans="2:12" x14ac:dyDescent="0.3">
      <c r="B3515" s="1" t="s">
        <v>322</v>
      </c>
      <c r="C3515" s="4" t="str">
        <f>VLOOKUP(Tabela1[[#This Row],[Cliente]],'BASE DE CLIENTES'!A:E,2,0)</f>
        <v>Brasília</v>
      </c>
      <c r="D3515" s="1" t="str">
        <f>VLOOKUP(Tabela1[[#This Row],[Cliente]],'BASE DE CLIENTES'!A:C,3,0)</f>
        <v>DF</v>
      </c>
      <c r="E3515" s="4" t="str">
        <f>CONCATENATE(Tabela1[[#This Row],[CIDADE]],",",Tabela1[[#This Row],[UF]])</f>
        <v>Brasília,DF</v>
      </c>
      <c r="F3515" s="2">
        <v>46006</v>
      </c>
      <c r="G3515" s="17">
        <v>293.13</v>
      </c>
      <c r="H3515" s="17">
        <v>400</v>
      </c>
      <c r="I3515" s="6">
        <f>Tabela1[[#This Row],[Valor total]]-Tabela1[[#This Row],[Valor custo]]</f>
        <v>106.87</v>
      </c>
      <c r="J3515" s="7">
        <f>Tabela1[[#This Row],[MARGEM BRUTA]]/Tabela1[[#This Row],[Valor total]]</f>
        <v>0.267175</v>
      </c>
      <c r="K3515" s="1" t="str">
        <f>VLOOKUP(Tabela1[[#This Row],[Cliente]],'BASE DE CLIENTES'!A:D,4,0)</f>
        <v>SERRALHEIRO</v>
      </c>
      <c r="L3515" s="1" t="str">
        <f>VLOOKUP(Tabela1[[#This Row],[Cliente]],'BASE DE CLIENTES'!A:E,5,0)</f>
        <v>RIACHO FUNDO I</v>
      </c>
    </row>
    <row r="3516" spans="2:12" x14ac:dyDescent="0.3">
      <c r="B3516" s="1" t="s">
        <v>232</v>
      </c>
      <c r="C3516" s="4" t="str">
        <f>VLOOKUP(Tabela1[[#This Row],[Cliente]],'BASE DE CLIENTES'!A:E,2,0)</f>
        <v>Brasília</v>
      </c>
      <c r="D3516" s="1" t="str">
        <f>VLOOKUP(Tabela1[[#This Row],[Cliente]],'BASE DE CLIENTES'!A:C,3,0)</f>
        <v>DF</v>
      </c>
      <c r="E3516" s="4" t="str">
        <f>CONCATENATE(Tabela1[[#This Row],[CIDADE]],",",Tabela1[[#This Row],[UF]])</f>
        <v>Brasília,DF</v>
      </c>
      <c r="F3516" s="2">
        <v>46006</v>
      </c>
      <c r="G3516" s="17">
        <v>586.26</v>
      </c>
      <c r="H3516" s="17">
        <v>1300</v>
      </c>
      <c r="I3516" s="6">
        <f>Tabela1[[#This Row],[Valor total]]-Tabela1[[#This Row],[Valor custo]]</f>
        <v>713.74</v>
      </c>
      <c r="J3516" s="7">
        <f>Tabela1[[#This Row],[MARGEM BRUTA]]/Tabela1[[#This Row],[Valor total]]</f>
        <v>0.54903076923076921</v>
      </c>
      <c r="K3516" s="1" t="str">
        <f>VLOOKUP(Tabela1[[#This Row],[Cliente]],'BASE DE CLIENTES'!A:D,4,0)</f>
        <v>CHAVEIRO</v>
      </c>
      <c r="L3516" s="1" t="str">
        <f>VLOOKUP(Tabela1[[#This Row],[Cliente]],'BASE DE CLIENTES'!A:E,5,0)</f>
        <v>Areal (Águas Claras)</v>
      </c>
    </row>
    <row r="3517" spans="2:12" x14ac:dyDescent="0.3">
      <c r="B3517" s="1" t="s">
        <v>321</v>
      </c>
      <c r="C3517" s="4" t="str">
        <f>VLOOKUP(Tabela1[[#This Row],[Cliente]],'BASE DE CLIENTES'!A:E,2,0)</f>
        <v>Valparaíso de Goiás</v>
      </c>
      <c r="D3517" s="1" t="str">
        <f>VLOOKUP(Tabela1[[#This Row],[Cliente]],'BASE DE CLIENTES'!A:C,3,0)</f>
        <v>GO</v>
      </c>
      <c r="E3517" s="4" t="str">
        <f>CONCATENATE(Tabela1[[#This Row],[CIDADE]],",",Tabela1[[#This Row],[UF]])</f>
        <v>Valparaíso de Goiás,GO</v>
      </c>
      <c r="F3517" s="2">
        <v>46006</v>
      </c>
      <c r="G3517" s="17">
        <v>693</v>
      </c>
      <c r="H3517" s="17">
        <v>1200</v>
      </c>
      <c r="I3517" s="6">
        <f>Tabela1[[#This Row],[Valor total]]-Tabela1[[#This Row],[Valor custo]]</f>
        <v>507</v>
      </c>
      <c r="J3517" s="7">
        <f>Tabela1[[#This Row],[MARGEM BRUTA]]/Tabela1[[#This Row],[Valor total]]</f>
        <v>0.42249999999999999</v>
      </c>
      <c r="K3517" s="1" t="str">
        <f>VLOOKUP(Tabela1[[#This Row],[Cliente]],'BASE DE CLIENTES'!A:D,4,0)</f>
        <v>EMPRESA COM MAQUINA</v>
      </c>
      <c r="L3517" s="1" t="str">
        <f>VLOOKUP(Tabela1[[#This Row],[Cliente]],'BASE DE CLIENTES'!A:E,5,0)</f>
        <v>Valparaíso de Goiás</v>
      </c>
    </row>
    <row r="3518" spans="2:12" x14ac:dyDescent="0.3">
      <c r="B3518" s="1" t="s">
        <v>311</v>
      </c>
      <c r="C3518" s="4" t="str">
        <f>VLOOKUP(Tabela1[[#This Row],[Cliente]],'BASE DE CLIENTES'!A:E,2,0)</f>
        <v>Uberlândia</v>
      </c>
      <c r="D3518" s="1" t="str">
        <f>VLOOKUP(Tabela1[[#This Row],[Cliente]],'BASE DE CLIENTES'!A:C,3,0)</f>
        <v>MG</v>
      </c>
      <c r="E3518" s="4" t="str">
        <f>CONCATENATE(Tabela1[[#This Row],[CIDADE]],",",Tabela1[[#This Row],[UF]])</f>
        <v>Uberlândia,MG</v>
      </c>
      <c r="F3518" s="2">
        <v>46005</v>
      </c>
      <c r="G3518" s="17">
        <v>14270</v>
      </c>
      <c r="H3518" s="17">
        <v>20590</v>
      </c>
      <c r="I3518" s="6">
        <f>Tabela1[[#This Row],[Valor total]]-Tabela1[[#This Row],[Valor custo]]</f>
        <v>6320</v>
      </c>
      <c r="J3518" s="7">
        <f>Tabela1[[#This Row],[MARGEM BRUTA]]/Tabela1[[#This Row],[Valor total]]</f>
        <v>0.30694511898980087</v>
      </c>
      <c r="K3518" s="1" t="str">
        <f>VLOOKUP(Tabela1[[#This Row],[Cliente]],'BASE DE CLIENTES'!A:D,4,0)</f>
        <v>EMPRESA COM MAQUINA</v>
      </c>
      <c r="L3518" s="1" t="str">
        <f>VLOOKUP(Tabela1[[#This Row],[Cliente]],'BASE DE CLIENTES'!A:E,5,0)</f>
        <v>Uberlândia</v>
      </c>
    </row>
    <row r="3519" spans="2:12" x14ac:dyDescent="0.3">
      <c r="B3519" s="1" t="s">
        <v>176</v>
      </c>
      <c r="C3519" s="4" t="str">
        <f>VLOOKUP(Tabela1[[#This Row],[Cliente]],'BASE DE CLIENTES'!A:E,2,0)</f>
        <v>Brasília</v>
      </c>
      <c r="D3519" s="1" t="str">
        <f>VLOOKUP(Tabela1[[#This Row],[Cliente]],'BASE DE CLIENTES'!A:C,3,0)</f>
        <v>DF</v>
      </c>
      <c r="E3519" s="4" t="str">
        <f>CONCATENATE(Tabela1[[#This Row],[CIDADE]],",",Tabela1[[#This Row],[UF]])</f>
        <v>Brasília,DF</v>
      </c>
      <c r="F3519" s="2">
        <v>46004</v>
      </c>
      <c r="G3519" s="17">
        <v>664</v>
      </c>
      <c r="H3519" s="17">
        <v>1100</v>
      </c>
      <c r="I3519" s="6">
        <f>Tabela1[[#This Row],[Valor total]]-Tabela1[[#This Row],[Valor custo]]</f>
        <v>436</v>
      </c>
      <c r="J3519" s="7">
        <f>Tabela1[[#This Row],[MARGEM BRUTA]]/Tabela1[[#This Row],[Valor total]]</f>
        <v>0.39636363636363636</v>
      </c>
      <c r="K3519" s="1" t="str">
        <f>VLOOKUP(Tabela1[[#This Row],[Cliente]],'BASE DE CLIENTES'!A:D,4,0)</f>
        <v>OUTROS RAMOS</v>
      </c>
      <c r="L3519" s="1" t="str">
        <f>VLOOKUP(Tabela1[[#This Row],[Cliente]],'BASE DE CLIENTES'!A:E,5,0)</f>
        <v>CEILANDIA NORTE</v>
      </c>
    </row>
    <row r="3520" spans="2:12" x14ac:dyDescent="0.3">
      <c r="B3520" s="1" t="s">
        <v>254</v>
      </c>
      <c r="C3520" s="4" t="str">
        <f>VLOOKUP(Tabela1[[#This Row],[Cliente]],'BASE DE CLIENTES'!A:E,2,0)</f>
        <v>Luziânia</v>
      </c>
      <c r="D3520" s="1" t="str">
        <f>VLOOKUP(Tabela1[[#This Row],[Cliente]],'BASE DE CLIENTES'!A:C,3,0)</f>
        <v>GO</v>
      </c>
      <c r="E3520" s="4" t="str">
        <f>CONCATENATE(Tabela1[[#This Row],[CIDADE]],",",Tabela1[[#This Row],[UF]])</f>
        <v>Luziânia,GO</v>
      </c>
      <c r="F3520" s="2">
        <v>46003</v>
      </c>
      <c r="G3520" s="17">
        <v>16.100000000000001</v>
      </c>
      <c r="H3520" s="17">
        <v>23</v>
      </c>
      <c r="I3520" s="6">
        <f>Tabela1[[#This Row],[Valor total]]-Tabela1[[#This Row],[Valor custo]]</f>
        <v>6.8999999999999986</v>
      </c>
      <c r="J3520" s="7">
        <f>Tabela1[[#This Row],[MARGEM BRUTA]]/Tabela1[[#This Row],[Valor total]]</f>
        <v>0.29999999999999993</v>
      </c>
      <c r="K3520" s="1" t="str">
        <f>VLOOKUP(Tabela1[[#This Row],[Cliente]],'BASE DE CLIENTES'!A:D,4,0)</f>
        <v>SERRALHEIRO</v>
      </c>
      <c r="L3520" s="1" t="str">
        <f>VLOOKUP(Tabela1[[#This Row],[Cliente]],'BASE DE CLIENTES'!A:E,5,0)</f>
        <v>Luziânia</v>
      </c>
    </row>
    <row r="3521" spans="2:12" x14ac:dyDescent="0.3">
      <c r="B3521" s="1" t="s">
        <v>319</v>
      </c>
      <c r="C3521" s="4" t="str">
        <f>VLOOKUP(Tabela1[[#This Row],[Cliente]],'BASE DE CLIENTES'!A:E,2,0)</f>
        <v>Valparaíso de Goiás</v>
      </c>
      <c r="D3521" s="1" t="str">
        <f>VLOOKUP(Tabela1[[#This Row],[Cliente]],'BASE DE CLIENTES'!A:C,3,0)</f>
        <v>GO</v>
      </c>
      <c r="E3521" s="4" t="str">
        <f>CONCATENATE(Tabela1[[#This Row],[CIDADE]],",",Tabela1[[#This Row],[UF]])</f>
        <v>Valparaíso de Goiás,GO</v>
      </c>
      <c r="F3521" s="2">
        <v>46003</v>
      </c>
      <c r="G3521" s="17">
        <v>2656</v>
      </c>
      <c r="H3521" s="17">
        <v>4000</v>
      </c>
      <c r="I3521" s="6">
        <f>Tabela1[[#This Row],[Valor total]]-Tabela1[[#This Row],[Valor custo]]</f>
        <v>1344</v>
      </c>
      <c r="J3521" s="7">
        <f>Tabela1[[#This Row],[MARGEM BRUTA]]/Tabela1[[#This Row],[Valor total]]</f>
        <v>0.33600000000000002</v>
      </c>
      <c r="K3521" s="1" t="str">
        <f>VLOOKUP(Tabela1[[#This Row],[Cliente]],'BASE DE CLIENTES'!A:D,4,0)</f>
        <v>EMPRESA COM MAQUINA</v>
      </c>
      <c r="L3521" s="1" t="str">
        <f>VLOOKUP(Tabela1[[#This Row],[Cliente]],'BASE DE CLIENTES'!A:E,5,0)</f>
        <v>Valparaíso de Goiás</v>
      </c>
    </row>
    <row r="3522" spans="2:12" x14ac:dyDescent="0.3">
      <c r="B3522" s="1" t="s">
        <v>291</v>
      </c>
      <c r="C3522" s="4" t="str">
        <f>VLOOKUP(Tabela1[[#This Row],[Cliente]],'BASE DE CLIENTES'!A:E,2,0)</f>
        <v>Rio Verde</v>
      </c>
      <c r="D3522" s="1" t="str">
        <f>VLOOKUP(Tabela1[[#This Row],[Cliente]],'BASE DE CLIENTES'!A:C,3,0)</f>
        <v>GO</v>
      </c>
      <c r="E3522" s="4" t="str">
        <f>CONCATENATE(Tabela1[[#This Row],[CIDADE]],",",Tabela1[[#This Row],[UF]])</f>
        <v>Rio Verde,GO</v>
      </c>
      <c r="F3522" s="2">
        <v>46003</v>
      </c>
      <c r="G3522" s="17">
        <v>693</v>
      </c>
      <c r="H3522" s="17">
        <v>1200</v>
      </c>
      <c r="I3522" s="6">
        <f>Tabela1[[#This Row],[Valor total]]-Tabela1[[#This Row],[Valor custo]]</f>
        <v>507</v>
      </c>
      <c r="J3522" s="7">
        <f>Tabela1[[#This Row],[MARGEM BRUTA]]/Tabela1[[#This Row],[Valor total]]</f>
        <v>0.42249999999999999</v>
      </c>
      <c r="K3522" s="1" t="str">
        <f>VLOOKUP(Tabela1[[#This Row],[Cliente]],'BASE DE CLIENTES'!A:D,4,0)</f>
        <v>EMPRESA COM MAQUINA</v>
      </c>
      <c r="L3522" s="1" t="str">
        <f>VLOOKUP(Tabela1[[#This Row],[Cliente]],'BASE DE CLIENTES'!A:E,5,0)</f>
        <v>Rio Verde</v>
      </c>
    </row>
    <row r="3523" spans="2:12" x14ac:dyDescent="0.3">
      <c r="B3523" s="1" t="s">
        <v>38</v>
      </c>
      <c r="C3523" s="4" t="str">
        <f>VLOOKUP(Tabela1[[#This Row],[Cliente]],'BASE DE CLIENTES'!A:E,2,0)</f>
        <v>Brasília</v>
      </c>
      <c r="D3523" s="1" t="str">
        <f>VLOOKUP(Tabela1[[#This Row],[Cliente]],'BASE DE CLIENTES'!A:C,3,0)</f>
        <v>DF</v>
      </c>
      <c r="E3523" s="4" t="str">
        <f>CONCATENATE(Tabela1[[#This Row],[CIDADE]],",",Tabela1[[#This Row],[UF]])</f>
        <v>Brasília,DF</v>
      </c>
      <c r="F3523" s="2">
        <v>46003</v>
      </c>
      <c r="G3523" s="17">
        <v>664</v>
      </c>
      <c r="H3523" s="17">
        <v>1000</v>
      </c>
      <c r="I3523" s="6">
        <f>Tabela1[[#This Row],[Valor total]]-Tabela1[[#This Row],[Valor custo]]</f>
        <v>336</v>
      </c>
      <c r="J3523" s="7">
        <f>Tabela1[[#This Row],[MARGEM BRUTA]]/Tabela1[[#This Row],[Valor total]]</f>
        <v>0.33600000000000002</v>
      </c>
      <c r="K3523" s="1" t="str">
        <f>VLOOKUP(Tabela1[[#This Row],[Cliente]],'BASE DE CLIENTES'!A:D,4,0)</f>
        <v>EMPRESA SEM MAQUINA</v>
      </c>
      <c r="L3523" s="1" t="str">
        <f>VLOOKUP(Tabela1[[#This Row],[Cliente]],'BASE DE CLIENTES'!A:E,5,0)</f>
        <v>PONTE ALTA NORTE (GAMA)</v>
      </c>
    </row>
    <row r="3524" spans="2:12" x14ac:dyDescent="0.3">
      <c r="B3524" s="1" t="s">
        <v>111</v>
      </c>
      <c r="C3524" s="4" t="str">
        <f>VLOOKUP(Tabela1[[#This Row],[Cliente]],'BASE DE CLIENTES'!A:E,2,0)</f>
        <v>Brasília</v>
      </c>
      <c r="D3524" s="1" t="str">
        <f>VLOOKUP(Tabela1[[#This Row],[Cliente]],'BASE DE CLIENTES'!A:C,3,0)</f>
        <v>DF</v>
      </c>
      <c r="E3524" s="4" t="str">
        <f>CONCATENATE(Tabela1[[#This Row],[CIDADE]],",",Tabela1[[#This Row],[UF]])</f>
        <v>Brasília,DF</v>
      </c>
      <c r="F3524" s="2">
        <v>46003</v>
      </c>
      <c r="G3524" s="17">
        <v>1442.79</v>
      </c>
      <c r="H3524" s="17">
        <v>2610</v>
      </c>
      <c r="I3524" s="6">
        <f>Tabela1[[#This Row],[Valor total]]-Tabela1[[#This Row],[Valor custo]]</f>
        <v>1167.21</v>
      </c>
      <c r="J3524" s="7">
        <f>Tabela1[[#This Row],[MARGEM BRUTA]]/Tabela1[[#This Row],[Valor total]]</f>
        <v>0.44720689655172413</v>
      </c>
      <c r="K3524" s="1" t="str">
        <f>VLOOKUP(Tabela1[[#This Row],[Cliente]],'BASE DE CLIENTES'!A:D,4,0)</f>
        <v>EMPRESA SEM MAQUINA</v>
      </c>
      <c r="L3524" s="1" t="str">
        <f>VLOOKUP(Tabela1[[#This Row],[Cliente]],'BASE DE CLIENTES'!A:E,5,0)</f>
        <v>TAGUATINGA SUL (TAGUATINGA)</v>
      </c>
    </row>
    <row r="3525" spans="2:12" x14ac:dyDescent="0.3">
      <c r="B3525" s="1" t="s">
        <v>352</v>
      </c>
      <c r="C3525" s="4" t="str">
        <f>VLOOKUP(Tabela1[[#This Row],[Cliente]],'BASE DE CLIENTES'!A:E,2,0)</f>
        <v>Foz do Iguaçu</v>
      </c>
      <c r="D3525" s="1" t="str">
        <f>VLOOKUP(Tabela1[[#This Row],[Cliente]],'BASE DE CLIENTES'!A:C,3,0)</f>
        <v>PR</v>
      </c>
      <c r="E3525" s="4" t="str">
        <f>CONCATENATE(Tabela1[[#This Row],[CIDADE]],",",Tabela1[[#This Row],[UF]])</f>
        <v>Foz do Iguaçu,PR</v>
      </c>
      <c r="F3525" s="2">
        <v>46002</v>
      </c>
      <c r="G3525" s="17">
        <v>839</v>
      </c>
      <c r="H3525" s="17">
        <v>1975</v>
      </c>
      <c r="I3525" s="6">
        <f>Tabela1[[#This Row],[Valor total]]-Tabela1[[#This Row],[Valor custo]]</f>
        <v>1136</v>
      </c>
      <c r="J3525" s="7">
        <f>Tabela1[[#This Row],[MARGEM BRUTA]]/Tabela1[[#This Row],[Valor total]]</f>
        <v>0.57518987341772154</v>
      </c>
      <c r="K3525" s="1" t="str">
        <f>VLOOKUP(Tabela1[[#This Row],[Cliente]],'BASE DE CLIENTES'!A:D,4,0)</f>
        <v>CLIENTE NOVO S/ IDENT.</v>
      </c>
      <c r="L3525" s="1" t="str">
        <f>VLOOKUP(Tabela1[[#This Row],[Cliente]],'BASE DE CLIENTES'!A:E,5,0)</f>
        <v>Foz do Iguaçu</v>
      </c>
    </row>
    <row r="3526" spans="2:12" x14ac:dyDescent="0.3">
      <c r="B3526" s="1" t="s">
        <v>38</v>
      </c>
      <c r="C3526" s="4" t="str">
        <f>VLOOKUP(Tabela1[[#This Row],[Cliente]],'BASE DE CLIENTES'!A:E,2,0)</f>
        <v>Brasília</v>
      </c>
      <c r="D3526" s="1" t="str">
        <f>VLOOKUP(Tabela1[[#This Row],[Cliente]],'BASE DE CLIENTES'!A:C,3,0)</f>
        <v>DF</v>
      </c>
      <c r="E3526" s="4" t="str">
        <f>CONCATENATE(Tabela1[[#This Row],[CIDADE]],",",Tabela1[[#This Row],[UF]])</f>
        <v>Brasília,DF</v>
      </c>
      <c r="F3526" s="2">
        <v>46002</v>
      </c>
      <c r="G3526" s="17">
        <v>664</v>
      </c>
      <c r="H3526" s="17">
        <v>1200</v>
      </c>
      <c r="I3526" s="6">
        <f>Tabela1[[#This Row],[Valor total]]-Tabela1[[#This Row],[Valor custo]]</f>
        <v>536</v>
      </c>
      <c r="J3526" s="7">
        <f>Tabela1[[#This Row],[MARGEM BRUTA]]/Tabela1[[#This Row],[Valor total]]</f>
        <v>0.44666666666666666</v>
      </c>
      <c r="K3526" s="1" t="str">
        <f>VLOOKUP(Tabela1[[#This Row],[Cliente]],'BASE DE CLIENTES'!A:D,4,0)</f>
        <v>EMPRESA SEM MAQUINA</v>
      </c>
      <c r="L3526" s="1" t="str">
        <f>VLOOKUP(Tabela1[[#This Row],[Cliente]],'BASE DE CLIENTES'!A:E,5,0)</f>
        <v>PONTE ALTA NORTE (GAMA)</v>
      </c>
    </row>
    <row r="3527" spans="2:12" x14ac:dyDescent="0.3">
      <c r="B3527" s="1" t="s">
        <v>342</v>
      </c>
      <c r="C3527" s="4" t="str">
        <f>VLOOKUP(Tabela1[[#This Row],[Cliente]],'BASE DE CLIENTES'!A:E,2,0)</f>
        <v>Santo Antônio Descoberto</v>
      </c>
      <c r="D3527" s="1" t="str">
        <f>VLOOKUP(Tabela1[[#This Row],[Cliente]],'BASE DE CLIENTES'!A:C,3,0)</f>
        <v>GO</v>
      </c>
      <c r="E3527" s="4" t="str">
        <f>CONCATENATE(Tabela1[[#This Row],[CIDADE]],",",Tabela1[[#This Row],[UF]])</f>
        <v>Santo Antônio Descoberto,GO</v>
      </c>
      <c r="F3527" s="2">
        <v>46002</v>
      </c>
      <c r="G3527" s="17">
        <v>2133</v>
      </c>
      <c r="H3527" s="17">
        <v>2930</v>
      </c>
      <c r="I3527" s="6">
        <f>Tabela1[[#This Row],[Valor total]]-Tabela1[[#This Row],[Valor custo]]</f>
        <v>797</v>
      </c>
      <c r="J3527" s="7">
        <f>Tabela1[[#This Row],[MARGEM BRUTA]]/Tabela1[[#This Row],[Valor total]]</f>
        <v>0.27201365187713311</v>
      </c>
      <c r="K3527" s="1" t="str">
        <f>VLOOKUP(Tabela1[[#This Row],[Cliente]],'BASE DE CLIENTES'!A:D,4,0)</f>
        <v>CLIENTE NOVO S/ IDENT.</v>
      </c>
      <c r="L3527" s="1" t="str">
        <f>VLOOKUP(Tabela1[[#This Row],[Cliente]],'BASE DE CLIENTES'!A:E,5,0)</f>
        <v>Santo Antônio Descoberto</v>
      </c>
    </row>
    <row r="3528" spans="2:12" x14ac:dyDescent="0.3">
      <c r="B3528" s="1" t="s">
        <v>319</v>
      </c>
      <c r="C3528" s="4" t="str">
        <f>VLOOKUP(Tabela1[[#This Row],[Cliente]],'BASE DE CLIENTES'!A:E,2,0)</f>
        <v>Valparaíso de Goiás</v>
      </c>
      <c r="D3528" s="1" t="str">
        <f>VLOOKUP(Tabela1[[#This Row],[Cliente]],'BASE DE CLIENTES'!A:C,3,0)</f>
        <v>GO</v>
      </c>
      <c r="E3528" s="4" t="str">
        <f>CONCATENATE(Tabela1[[#This Row],[CIDADE]],",",Tabela1[[#This Row],[UF]])</f>
        <v>Valparaíso de Goiás,GO</v>
      </c>
      <c r="F3528" s="2">
        <v>46002</v>
      </c>
      <c r="G3528" s="17">
        <v>705</v>
      </c>
      <c r="H3528" s="17">
        <v>1340</v>
      </c>
      <c r="I3528" s="6">
        <f>Tabela1[[#This Row],[Valor total]]-Tabela1[[#This Row],[Valor custo]]</f>
        <v>635</v>
      </c>
      <c r="J3528" s="7">
        <f>Tabela1[[#This Row],[MARGEM BRUTA]]/Tabela1[[#This Row],[Valor total]]</f>
        <v>0.47388059701492535</v>
      </c>
      <c r="K3528" s="1" t="str">
        <f>VLOOKUP(Tabela1[[#This Row],[Cliente]],'BASE DE CLIENTES'!A:D,4,0)</f>
        <v>EMPRESA COM MAQUINA</v>
      </c>
      <c r="L3528" s="1" t="str">
        <f>VLOOKUP(Tabela1[[#This Row],[Cliente]],'BASE DE CLIENTES'!A:E,5,0)</f>
        <v>Valparaíso de Goiás</v>
      </c>
    </row>
    <row r="3529" spans="2:12" x14ac:dyDescent="0.3">
      <c r="B3529" s="1" t="s">
        <v>355</v>
      </c>
      <c r="C3529" s="4" t="str">
        <f>VLOOKUP(Tabela1[[#This Row],[Cliente]],'BASE DE CLIENTES'!A:E,2,0)</f>
        <v>Valparaíso de Goiás</v>
      </c>
      <c r="D3529" s="1" t="str">
        <f>VLOOKUP(Tabela1[[#This Row],[Cliente]],'BASE DE CLIENTES'!A:C,3,0)</f>
        <v>GO</v>
      </c>
      <c r="E3529" s="4" t="str">
        <f>CONCATENATE(Tabela1[[#This Row],[CIDADE]],",",Tabela1[[#This Row],[UF]])</f>
        <v>Valparaíso de Goiás,GO</v>
      </c>
      <c r="F3529" s="2">
        <v>46002</v>
      </c>
      <c r="G3529" s="17">
        <v>679</v>
      </c>
      <c r="H3529" s="17">
        <v>1200</v>
      </c>
      <c r="I3529" s="6">
        <f>Tabela1[[#This Row],[Valor total]]-Tabela1[[#This Row],[Valor custo]]</f>
        <v>521</v>
      </c>
      <c r="J3529" s="7">
        <f>Tabela1[[#This Row],[MARGEM BRUTA]]/Tabela1[[#This Row],[Valor total]]</f>
        <v>0.43416666666666665</v>
      </c>
      <c r="K3529" s="1" t="str">
        <f>VLOOKUP(Tabela1[[#This Row],[Cliente]],'BASE DE CLIENTES'!A:D,4,0)</f>
        <v>CLIENTE NOVO S/ IDENT.</v>
      </c>
      <c r="L3529" s="1" t="str">
        <f>VLOOKUP(Tabela1[[#This Row],[Cliente]],'BASE DE CLIENTES'!A:E,5,0)</f>
        <v>Valparaíso de Goiás</v>
      </c>
    </row>
    <row r="3530" spans="2:12" x14ac:dyDescent="0.3">
      <c r="B3530" s="1" t="s">
        <v>66</v>
      </c>
      <c r="C3530" s="4" t="str">
        <f>VLOOKUP(Tabela1[[#This Row],[Cliente]],'BASE DE CLIENTES'!A:E,2,0)</f>
        <v>Águas Lindas de Goiás</v>
      </c>
      <c r="D3530" s="1" t="str">
        <f>VLOOKUP(Tabela1[[#This Row],[Cliente]],'BASE DE CLIENTES'!A:C,3,0)</f>
        <v>GO</v>
      </c>
      <c r="E3530" s="4" t="str">
        <f>CONCATENATE(Tabela1[[#This Row],[CIDADE]],",",Tabela1[[#This Row],[UF]])</f>
        <v>Águas Lindas de Goiás,GO</v>
      </c>
      <c r="F3530" s="2">
        <v>46002</v>
      </c>
      <c r="G3530" s="17">
        <v>568.4</v>
      </c>
      <c r="H3530" s="17">
        <v>900</v>
      </c>
      <c r="I3530" s="6">
        <f>Tabela1[[#This Row],[Valor total]]-Tabela1[[#This Row],[Valor custo]]</f>
        <v>331.6</v>
      </c>
      <c r="J3530" s="7">
        <f>Tabela1[[#This Row],[MARGEM BRUTA]]/Tabela1[[#This Row],[Valor total]]</f>
        <v>0.36844444444444446</v>
      </c>
      <c r="K3530" s="1" t="str">
        <f>VLOOKUP(Tabela1[[#This Row],[Cliente]],'BASE DE CLIENTES'!A:D,4,0)</f>
        <v>EMPRESA COM MAQUINA</v>
      </c>
      <c r="L3530" s="1" t="str">
        <f>VLOOKUP(Tabela1[[#This Row],[Cliente]],'BASE DE CLIENTES'!A:E,5,0)</f>
        <v>Águas Lindas de Goiás</v>
      </c>
    </row>
    <row r="3531" spans="2:12" x14ac:dyDescent="0.3">
      <c r="B3531" s="1" t="s">
        <v>38</v>
      </c>
      <c r="C3531" s="4" t="str">
        <f>VLOOKUP(Tabela1[[#This Row],[Cliente]],'BASE DE CLIENTES'!A:E,2,0)</f>
        <v>Brasília</v>
      </c>
      <c r="D3531" s="1" t="str">
        <f>VLOOKUP(Tabela1[[#This Row],[Cliente]],'BASE DE CLIENTES'!A:C,3,0)</f>
        <v>DF</v>
      </c>
      <c r="E3531" s="4" t="str">
        <f>CONCATENATE(Tabela1[[#This Row],[CIDADE]],",",Tabela1[[#This Row],[UF]])</f>
        <v>Brasília,DF</v>
      </c>
      <c r="F3531" s="2">
        <v>46002</v>
      </c>
      <c r="G3531" s="17">
        <v>616.1</v>
      </c>
      <c r="H3531" s="17">
        <v>1139</v>
      </c>
      <c r="I3531" s="6">
        <f>Tabela1[[#This Row],[Valor total]]-Tabela1[[#This Row],[Valor custo]]</f>
        <v>522.9</v>
      </c>
      <c r="J3531" s="7">
        <f>Tabela1[[#This Row],[MARGEM BRUTA]]/Tabela1[[#This Row],[Valor total]]</f>
        <v>0.45908691834942933</v>
      </c>
      <c r="K3531" s="1" t="str">
        <f>VLOOKUP(Tabela1[[#This Row],[Cliente]],'BASE DE CLIENTES'!A:D,4,0)</f>
        <v>EMPRESA SEM MAQUINA</v>
      </c>
      <c r="L3531" s="1" t="str">
        <f>VLOOKUP(Tabela1[[#This Row],[Cliente]],'BASE DE CLIENTES'!A:E,5,0)</f>
        <v>PONTE ALTA NORTE (GAMA)</v>
      </c>
    </row>
    <row r="3532" spans="2:12" x14ac:dyDescent="0.3">
      <c r="B3532" s="1" t="s">
        <v>321</v>
      </c>
      <c r="C3532" s="4" t="str">
        <f>VLOOKUP(Tabela1[[#This Row],[Cliente]],'BASE DE CLIENTES'!A:E,2,0)</f>
        <v>Valparaíso de Goiás</v>
      </c>
      <c r="D3532" s="1" t="str">
        <f>VLOOKUP(Tabela1[[#This Row],[Cliente]],'BASE DE CLIENTES'!A:C,3,0)</f>
        <v>GO</v>
      </c>
      <c r="E3532" s="4" t="str">
        <f>CONCATENATE(Tabela1[[#This Row],[CIDADE]],",",Tabela1[[#This Row],[UF]])</f>
        <v>Valparaíso de Goiás,GO</v>
      </c>
      <c r="F3532" s="2">
        <v>46002</v>
      </c>
      <c r="G3532" s="17">
        <v>137.19</v>
      </c>
      <c r="H3532" s="17">
        <v>196</v>
      </c>
      <c r="I3532" s="6">
        <f>Tabela1[[#This Row],[Valor total]]-Tabela1[[#This Row],[Valor custo]]</f>
        <v>58.81</v>
      </c>
      <c r="J3532" s="7">
        <f>Tabela1[[#This Row],[MARGEM BRUTA]]/Tabela1[[#This Row],[Valor total]]</f>
        <v>0.30005102040816328</v>
      </c>
      <c r="K3532" s="1" t="str">
        <f>VLOOKUP(Tabela1[[#This Row],[Cliente]],'BASE DE CLIENTES'!A:D,4,0)</f>
        <v>EMPRESA COM MAQUINA</v>
      </c>
      <c r="L3532" s="1" t="str">
        <f>VLOOKUP(Tabela1[[#This Row],[Cliente]],'BASE DE CLIENTES'!A:E,5,0)</f>
        <v>Valparaíso de Goiás</v>
      </c>
    </row>
    <row r="3533" spans="2:12" x14ac:dyDescent="0.3">
      <c r="B3533" s="1" t="s">
        <v>321</v>
      </c>
      <c r="C3533" s="4" t="str">
        <f>VLOOKUP(Tabela1[[#This Row],[Cliente]],'BASE DE CLIENTES'!A:E,2,0)</f>
        <v>Valparaíso de Goiás</v>
      </c>
      <c r="D3533" s="1" t="str">
        <f>VLOOKUP(Tabela1[[#This Row],[Cliente]],'BASE DE CLIENTES'!A:C,3,0)</f>
        <v>GO</v>
      </c>
      <c r="E3533" s="4" t="str">
        <f>CONCATENATE(Tabela1[[#This Row],[CIDADE]],",",Tabela1[[#This Row],[UF]])</f>
        <v>Valparaíso de Goiás,GO</v>
      </c>
      <c r="F3533" s="2">
        <v>46002</v>
      </c>
      <c r="G3533" s="17">
        <v>1328</v>
      </c>
      <c r="H3533" s="17">
        <v>2000</v>
      </c>
      <c r="I3533" s="6">
        <f>Tabela1[[#This Row],[Valor total]]-Tabela1[[#This Row],[Valor custo]]</f>
        <v>672</v>
      </c>
      <c r="J3533" s="7">
        <f>Tabela1[[#This Row],[MARGEM BRUTA]]/Tabela1[[#This Row],[Valor total]]</f>
        <v>0.33600000000000002</v>
      </c>
      <c r="K3533" s="1" t="str">
        <f>VLOOKUP(Tabela1[[#This Row],[Cliente]],'BASE DE CLIENTES'!A:D,4,0)</f>
        <v>EMPRESA COM MAQUINA</v>
      </c>
      <c r="L3533" s="1" t="str">
        <f>VLOOKUP(Tabela1[[#This Row],[Cliente]],'BASE DE CLIENTES'!A:E,5,0)</f>
        <v>Valparaíso de Goiás</v>
      </c>
    </row>
    <row r="3534" spans="2:12" x14ac:dyDescent="0.3">
      <c r="B3534" s="1" t="s">
        <v>27</v>
      </c>
      <c r="C3534" s="4" t="str">
        <f>VLOOKUP(Tabela1[[#This Row],[Cliente]],'BASE DE CLIENTES'!A:E,2,0)</f>
        <v>Brasília</v>
      </c>
      <c r="D3534" s="1" t="str">
        <f>VLOOKUP(Tabela1[[#This Row],[Cliente]],'BASE DE CLIENTES'!A:C,3,0)</f>
        <v>DF</v>
      </c>
      <c r="E3534" s="4" t="str">
        <f>CONCATENATE(Tabela1[[#This Row],[CIDADE]],",",Tabela1[[#This Row],[UF]])</f>
        <v>Brasília,DF</v>
      </c>
      <c r="F3534" s="2">
        <v>46002</v>
      </c>
      <c r="G3534" s="17">
        <v>72.099999999999994</v>
      </c>
      <c r="H3534" s="17">
        <v>450</v>
      </c>
      <c r="I3534" s="6">
        <f>Tabela1[[#This Row],[Valor total]]-Tabela1[[#This Row],[Valor custo]]</f>
        <v>377.9</v>
      </c>
      <c r="J3534" s="7">
        <f>Tabela1[[#This Row],[MARGEM BRUTA]]/Tabela1[[#This Row],[Valor total]]</f>
        <v>0.83977777777777773</v>
      </c>
      <c r="K3534" s="1" t="str">
        <f>VLOOKUP(Tabela1[[#This Row],[Cliente]],'BASE DE CLIENTES'!A:D,4,0)</f>
        <v>EMPRESA SEM MAQUINA</v>
      </c>
      <c r="L3534" s="1" t="str">
        <f>VLOOKUP(Tabela1[[#This Row],[Cliente]],'BASE DE CLIENTES'!A:E,5,0)</f>
        <v>RECANTO DAS EMAS</v>
      </c>
    </row>
    <row r="3535" spans="2:12" x14ac:dyDescent="0.3">
      <c r="B3535" s="1" t="s">
        <v>19</v>
      </c>
      <c r="C3535" s="4" t="str">
        <f>VLOOKUP(Tabela1[[#This Row],[Cliente]],'BASE DE CLIENTES'!A:E,2,0)</f>
        <v>Águas Lindas de Goiás</v>
      </c>
      <c r="D3535" s="1" t="str">
        <f>VLOOKUP(Tabela1[[#This Row],[Cliente]],'BASE DE CLIENTES'!A:C,3,0)</f>
        <v>GO</v>
      </c>
      <c r="E3535" s="4" t="str">
        <f>CONCATENATE(Tabela1[[#This Row],[CIDADE]],",",Tabela1[[#This Row],[UF]])</f>
        <v>Águas Lindas de Goiás,GO</v>
      </c>
      <c r="F3535" s="2">
        <v>46002</v>
      </c>
      <c r="G3535" s="17">
        <v>45.6</v>
      </c>
      <c r="H3535" s="17">
        <v>70</v>
      </c>
      <c r="I3535" s="6">
        <f>Tabela1[[#This Row],[Valor total]]-Tabela1[[#This Row],[Valor custo]]</f>
        <v>24.4</v>
      </c>
      <c r="J3535" s="7">
        <f>Tabela1[[#This Row],[MARGEM BRUTA]]/Tabela1[[#This Row],[Valor total]]</f>
        <v>0.34857142857142853</v>
      </c>
      <c r="K3535" s="1" t="str">
        <f>VLOOKUP(Tabela1[[#This Row],[Cliente]],'BASE DE CLIENTES'!A:D,4,0)</f>
        <v>SERRALHEIRO</v>
      </c>
      <c r="L3535" s="1" t="str">
        <f>VLOOKUP(Tabela1[[#This Row],[Cliente]],'BASE DE CLIENTES'!A:E,5,0)</f>
        <v>Águas Lindas de Goiás</v>
      </c>
    </row>
    <row r="3536" spans="2:12" x14ac:dyDescent="0.3">
      <c r="B3536" s="1" t="s">
        <v>239</v>
      </c>
      <c r="C3536" s="4" t="str">
        <f>VLOOKUP(Tabela1[[#This Row],[Cliente]],'BASE DE CLIENTES'!A:E,2,0)</f>
        <v>Brasília</v>
      </c>
      <c r="D3536" s="1" t="str">
        <f>VLOOKUP(Tabela1[[#This Row],[Cliente]],'BASE DE CLIENTES'!A:C,3,0)</f>
        <v>DF</v>
      </c>
      <c r="E3536" s="4" t="str">
        <f>CONCATENATE(Tabela1[[#This Row],[CIDADE]],",",Tabela1[[#This Row],[UF]])</f>
        <v>Brasília,DF</v>
      </c>
      <c r="F3536" s="2">
        <v>46002</v>
      </c>
      <c r="G3536" s="17">
        <v>1978</v>
      </c>
      <c r="H3536" s="17">
        <v>2640</v>
      </c>
      <c r="I3536" s="6">
        <f>Tabela1[[#This Row],[Valor total]]-Tabela1[[#This Row],[Valor custo]]</f>
        <v>662</v>
      </c>
      <c r="J3536" s="7">
        <f>Tabela1[[#This Row],[MARGEM BRUTA]]/Tabela1[[#This Row],[Valor total]]</f>
        <v>0.25075757575757573</v>
      </c>
      <c r="K3536" s="1" t="str">
        <f>VLOOKUP(Tabela1[[#This Row],[Cliente]],'BASE DE CLIENTES'!A:D,4,0)</f>
        <v>EMPRESA COM MAQUINA</v>
      </c>
      <c r="L3536" s="1" t="str">
        <f>VLOOKUP(Tabela1[[#This Row],[Cliente]],'BASE DE CLIENTES'!A:E,5,0)</f>
        <v>RIACHO FUNDO II</v>
      </c>
    </row>
    <row r="3537" spans="2:12" x14ac:dyDescent="0.3">
      <c r="B3537" s="1" t="s">
        <v>232</v>
      </c>
      <c r="C3537" s="4" t="str">
        <f>VLOOKUP(Tabela1[[#This Row],[Cliente]],'BASE DE CLIENTES'!A:E,2,0)</f>
        <v>Brasília</v>
      </c>
      <c r="D3537" s="1" t="str">
        <f>VLOOKUP(Tabela1[[#This Row],[Cliente]],'BASE DE CLIENTES'!A:C,3,0)</f>
        <v>DF</v>
      </c>
      <c r="E3537" s="4" t="str">
        <f>CONCATENATE(Tabela1[[#This Row],[CIDADE]],",",Tabela1[[#This Row],[UF]])</f>
        <v>Brasília,DF</v>
      </c>
      <c r="F3537" s="2">
        <v>46001</v>
      </c>
      <c r="G3537" s="17">
        <v>293.13</v>
      </c>
      <c r="H3537" s="17">
        <v>400</v>
      </c>
      <c r="I3537" s="6">
        <f>Tabela1[[#This Row],[Valor total]]-Tabela1[[#This Row],[Valor custo]]</f>
        <v>106.87</v>
      </c>
      <c r="J3537" s="7">
        <f>Tabela1[[#This Row],[MARGEM BRUTA]]/Tabela1[[#This Row],[Valor total]]</f>
        <v>0.267175</v>
      </c>
      <c r="K3537" s="1" t="str">
        <f>VLOOKUP(Tabela1[[#This Row],[Cliente]],'BASE DE CLIENTES'!A:D,4,0)</f>
        <v>CHAVEIRO</v>
      </c>
      <c r="L3537" s="1" t="str">
        <f>VLOOKUP(Tabela1[[#This Row],[Cliente]],'BASE DE CLIENTES'!A:E,5,0)</f>
        <v>Areal (Águas Claras)</v>
      </c>
    </row>
    <row r="3538" spans="2:12" x14ac:dyDescent="0.3">
      <c r="B3538" s="1" t="s">
        <v>161</v>
      </c>
      <c r="C3538" s="4" t="str">
        <f>VLOOKUP(Tabela1[[#This Row],[Cliente]],'BASE DE CLIENTES'!A:E,2,0)</f>
        <v>Brasília</v>
      </c>
      <c r="D3538" s="1" t="str">
        <f>VLOOKUP(Tabela1[[#This Row],[Cliente]],'BASE DE CLIENTES'!A:C,3,0)</f>
        <v>DF</v>
      </c>
      <c r="E3538" s="4" t="str">
        <f>CONCATENATE(Tabela1[[#This Row],[CIDADE]],",",Tabela1[[#This Row],[UF]])</f>
        <v>Brasília,DF</v>
      </c>
      <c r="F3538" s="2">
        <v>46001</v>
      </c>
      <c r="G3538" s="17">
        <v>375</v>
      </c>
      <c r="H3538" s="17">
        <v>472</v>
      </c>
      <c r="I3538" s="6">
        <f>Tabela1[[#This Row],[Valor total]]-Tabela1[[#This Row],[Valor custo]]</f>
        <v>97</v>
      </c>
      <c r="J3538" s="7">
        <f>Tabela1[[#This Row],[MARGEM BRUTA]]/Tabela1[[#This Row],[Valor total]]</f>
        <v>0.20550847457627119</v>
      </c>
      <c r="K3538" s="1" t="str">
        <f>VLOOKUP(Tabela1[[#This Row],[Cliente]],'BASE DE CLIENTES'!A:D,4,0)</f>
        <v>EMPRESA COM MAQUINA</v>
      </c>
      <c r="L3538" s="1" t="str">
        <f>VLOOKUP(Tabela1[[#This Row],[Cliente]],'BASE DE CLIENTES'!A:E,5,0)</f>
        <v>RIACHO FUNDO II</v>
      </c>
    </row>
    <row r="3539" spans="2:12" x14ac:dyDescent="0.3">
      <c r="B3539" s="1" t="s">
        <v>138</v>
      </c>
      <c r="C3539" s="4" t="str">
        <f>VLOOKUP(Tabela1[[#This Row],[Cliente]],'BASE DE CLIENTES'!A:E,2,0)</f>
        <v>Brasília</v>
      </c>
      <c r="D3539" s="1" t="str">
        <f>VLOOKUP(Tabela1[[#This Row],[Cliente]],'BASE DE CLIENTES'!A:C,3,0)</f>
        <v>DF</v>
      </c>
      <c r="E3539" s="4" t="str">
        <f>CONCATENATE(Tabela1[[#This Row],[CIDADE]],",",Tabela1[[#This Row],[UF]])</f>
        <v>Brasília,DF</v>
      </c>
      <c r="F3539" s="2">
        <v>46001</v>
      </c>
      <c r="G3539" s="17">
        <v>274.76</v>
      </c>
      <c r="H3539" s="17">
        <v>780</v>
      </c>
      <c r="I3539" s="6">
        <f>Tabela1[[#This Row],[Valor total]]-Tabela1[[#This Row],[Valor custo]]</f>
        <v>505.24</v>
      </c>
      <c r="J3539" s="7">
        <f>Tabela1[[#This Row],[MARGEM BRUTA]]/Tabela1[[#This Row],[Valor total]]</f>
        <v>0.64774358974358981</v>
      </c>
      <c r="K3539" s="1" t="str">
        <f>VLOOKUP(Tabela1[[#This Row],[Cliente]],'BASE DE CLIENTES'!A:D,4,0)</f>
        <v>OUTROS RAMOS</v>
      </c>
      <c r="L3539" s="1" t="str">
        <f>VLOOKUP(Tabela1[[#This Row],[Cliente]],'BASE DE CLIENTES'!A:E,5,0)</f>
        <v>CEILANDIA NORTE (CEILANDIA)</v>
      </c>
    </row>
    <row r="3540" spans="2:12" x14ac:dyDescent="0.3">
      <c r="B3540" s="1" t="s">
        <v>152</v>
      </c>
      <c r="C3540" s="4" t="str">
        <f>VLOOKUP(Tabela1[[#This Row],[Cliente]],'BASE DE CLIENTES'!A:E,2,0)</f>
        <v>Aparecida de Goiânia</v>
      </c>
      <c r="D3540" s="1" t="str">
        <f>VLOOKUP(Tabela1[[#This Row],[Cliente]],'BASE DE CLIENTES'!A:C,3,0)</f>
        <v>GO</v>
      </c>
      <c r="E3540" s="4" t="str">
        <f>CONCATENATE(Tabela1[[#This Row],[CIDADE]],",",Tabela1[[#This Row],[UF]])</f>
        <v>Aparecida de Goiânia,GO</v>
      </c>
      <c r="F3540" s="2">
        <v>46001</v>
      </c>
      <c r="G3540" s="17">
        <v>649</v>
      </c>
      <c r="H3540" s="17">
        <v>850</v>
      </c>
      <c r="I3540" s="6">
        <f>Tabela1[[#This Row],[Valor total]]-Tabela1[[#This Row],[Valor custo]]</f>
        <v>201</v>
      </c>
      <c r="J3540" s="7">
        <f>Tabela1[[#This Row],[MARGEM BRUTA]]/Tabela1[[#This Row],[Valor total]]</f>
        <v>0.23647058823529413</v>
      </c>
      <c r="K3540" s="1" t="str">
        <f>VLOOKUP(Tabela1[[#This Row],[Cliente]],'BASE DE CLIENTES'!A:D,4,0)</f>
        <v>TECNICO</v>
      </c>
      <c r="L3540" s="1" t="str">
        <f>VLOOKUP(Tabela1[[#This Row],[Cliente]],'BASE DE CLIENTES'!A:E,5,0)</f>
        <v>Aparecida de Goiânia</v>
      </c>
    </row>
    <row r="3541" spans="2:12" x14ac:dyDescent="0.3">
      <c r="B3541" s="1" t="s">
        <v>356</v>
      </c>
      <c r="C3541" s="4" t="str">
        <f>VLOOKUP(Tabela1[[#This Row],[Cliente]],'BASE DE CLIENTES'!A:E,2,0)</f>
        <v>Trindade</v>
      </c>
      <c r="D3541" s="1" t="str">
        <f>VLOOKUP(Tabela1[[#This Row],[Cliente]],'BASE DE CLIENTES'!A:C,3,0)</f>
        <v>GO</v>
      </c>
      <c r="E3541" s="4" t="str">
        <f>CONCATENATE(Tabela1[[#This Row],[CIDADE]],",",Tabela1[[#This Row],[UF]])</f>
        <v>Trindade,GO</v>
      </c>
      <c r="F3541" s="2">
        <v>46001</v>
      </c>
      <c r="G3541" s="17">
        <v>94.06</v>
      </c>
      <c r="H3541" s="17">
        <v>160</v>
      </c>
      <c r="I3541" s="6">
        <f>Tabela1[[#This Row],[Valor total]]-Tabela1[[#This Row],[Valor custo]]</f>
        <v>65.94</v>
      </c>
      <c r="J3541" s="7">
        <f>Tabela1[[#This Row],[MARGEM BRUTA]]/Tabela1[[#This Row],[Valor total]]</f>
        <v>0.41212499999999996</v>
      </c>
      <c r="K3541" s="1" t="str">
        <f>VLOOKUP(Tabela1[[#This Row],[Cliente]],'BASE DE CLIENTES'!A:D,4,0)</f>
        <v>SERRALHEIRO</v>
      </c>
      <c r="L3541" s="1" t="str">
        <f>VLOOKUP(Tabela1[[#This Row],[Cliente]],'BASE DE CLIENTES'!A:E,5,0)</f>
        <v>Trindade</v>
      </c>
    </row>
    <row r="3542" spans="2:12" x14ac:dyDescent="0.3">
      <c r="B3542" s="1" t="s">
        <v>96</v>
      </c>
      <c r="C3542" s="4" t="str">
        <f>VLOOKUP(Tabela1[[#This Row],[Cliente]],'BASE DE CLIENTES'!A:E,2,0)</f>
        <v>Brasília</v>
      </c>
      <c r="D3542" s="1" t="str">
        <f>VLOOKUP(Tabela1[[#This Row],[Cliente]],'BASE DE CLIENTES'!A:C,3,0)</f>
        <v>DF</v>
      </c>
      <c r="E3542" s="4" t="str">
        <f>CONCATENATE(Tabela1[[#This Row],[CIDADE]],",",Tabela1[[#This Row],[UF]])</f>
        <v>Brasília,DF</v>
      </c>
      <c r="F3542" s="2">
        <v>46001</v>
      </c>
      <c r="G3542" s="17">
        <v>1088</v>
      </c>
      <c r="H3542" s="17">
        <v>1600</v>
      </c>
      <c r="I3542" s="6">
        <f>Tabela1[[#This Row],[Valor total]]-Tabela1[[#This Row],[Valor custo]]</f>
        <v>512</v>
      </c>
      <c r="J3542" s="7">
        <f>Tabela1[[#This Row],[MARGEM BRUTA]]/Tabela1[[#This Row],[Valor total]]</f>
        <v>0.32</v>
      </c>
      <c r="K3542" s="1" t="str">
        <f>VLOOKUP(Tabela1[[#This Row],[Cliente]],'BASE DE CLIENTES'!A:D,4,0)</f>
        <v>EMPRESA SEM MAQUINA</v>
      </c>
      <c r="L3542" s="1" t="str">
        <f>VLOOKUP(Tabela1[[#This Row],[Cliente]],'BASE DE CLIENTES'!A:E,5,0)</f>
        <v>CEILANDIA NORTE (CEILANDIA)</v>
      </c>
    </row>
    <row r="3543" spans="2:12" x14ac:dyDescent="0.3">
      <c r="B3543" s="1" t="s">
        <v>254</v>
      </c>
      <c r="C3543" s="4" t="str">
        <f>VLOOKUP(Tabela1[[#This Row],[Cliente]],'BASE DE CLIENTES'!A:E,2,0)</f>
        <v>Luziânia</v>
      </c>
      <c r="D3543" s="1" t="str">
        <f>VLOOKUP(Tabela1[[#This Row],[Cliente]],'BASE DE CLIENTES'!A:C,3,0)</f>
        <v>GO</v>
      </c>
      <c r="E3543" s="4" t="str">
        <f>CONCATENATE(Tabela1[[#This Row],[CIDADE]],",",Tabela1[[#This Row],[UF]])</f>
        <v>Luziânia,GO</v>
      </c>
      <c r="F3543" s="2">
        <v>46001</v>
      </c>
      <c r="G3543" s="17">
        <v>385</v>
      </c>
      <c r="H3543" s="17">
        <v>600</v>
      </c>
      <c r="I3543" s="6">
        <f>Tabela1[[#This Row],[Valor total]]-Tabela1[[#This Row],[Valor custo]]</f>
        <v>215</v>
      </c>
      <c r="J3543" s="7">
        <f>Tabela1[[#This Row],[MARGEM BRUTA]]/Tabela1[[#This Row],[Valor total]]</f>
        <v>0.35833333333333334</v>
      </c>
      <c r="K3543" s="1" t="str">
        <f>VLOOKUP(Tabela1[[#This Row],[Cliente]],'BASE DE CLIENTES'!A:D,4,0)</f>
        <v>SERRALHEIRO</v>
      </c>
      <c r="L3543" s="1" t="str">
        <f>VLOOKUP(Tabela1[[#This Row],[Cliente]],'BASE DE CLIENTES'!A:E,5,0)</f>
        <v>Luziânia</v>
      </c>
    </row>
    <row r="3544" spans="2:12" x14ac:dyDescent="0.3">
      <c r="B3544" s="1" t="s">
        <v>236</v>
      </c>
      <c r="C3544" s="4" t="str">
        <f>VLOOKUP(Tabela1[[#This Row],[Cliente]],'BASE DE CLIENTES'!A:E,2,0)</f>
        <v>Goiânia</v>
      </c>
      <c r="D3544" s="1" t="str">
        <f>VLOOKUP(Tabela1[[#This Row],[Cliente]],'BASE DE CLIENTES'!A:C,3,0)</f>
        <v>GO</v>
      </c>
      <c r="E3544" s="4" t="str">
        <f>CONCATENATE(Tabela1[[#This Row],[CIDADE]],",",Tabela1[[#This Row],[UF]])</f>
        <v>Goiânia,GO</v>
      </c>
      <c r="F3544" s="2">
        <v>46001</v>
      </c>
      <c r="G3544" s="17">
        <v>1088</v>
      </c>
      <c r="H3544" s="17">
        <v>1580</v>
      </c>
      <c r="I3544" s="6">
        <f>Tabela1[[#This Row],[Valor total]]-Tabela1[[#This Row],[Valor custo]]</f>
        <v>492</v>
      </c>
      <c r="J3544" s="7">
        <f>Tabela1[[#This Row],[MARGEM BRUTA]]/Tabela1[[#This Row],[Valor total]]</f>
        <v>0.31139240506329113</v>
      </c>
      <c r="K3544" s="1" t="str">
        <f>VLOOKUP(Tabela1[[#This Row],[Cliente]],'BASE DE CLIENTES'!A:D,4,0)</f>
        <v>EMPRESA COM MAQUINA</v>
      </c>
      <c r="L3544" s="1" t="str">
        <f>VLOOKUP(Tabela1[[#This Row],[Cliente]],'BASE DE CLIENTES'!A:E,5,0)</f>
        <v>Goiânia</v>
      </c>
    </row>
    <row r="3545" spans="2:12" x14ac:dyDescent="0.3">
      <c r="B3545" s="1" t="s">
        <v>25</v>
      </c>
      <c r="C3545" s="4" t="str">
        <f>VLOOKUP(Tabela1[[#This Row],[Cliente]],'BASE DE CLIENTES'!A:E,2,0)</f>
        <v>Brasília</v>
      </c>
      <c r="D3545" s="1" t="str">
        <f>VLOOKUP(Tabela1[[#This Row],[Cliente]],'BASE DE CLIENTES'!A:C,3,0)</f>
        <v>DF</v>
      </c>
      <c r="E3545" s="4" t="str">
        <f>CONCATENATE(Tabela1[[#This Row],[CIDADE]],",",Tabela1[[#This Row],[UF]])</f>
        <v>Brasília,DF</v>
      </c>
      <c r="F3545" s="2">
        <v>46000</v>
      </c>
      <c r="G3545" s="17">
        <v>144.53</v>
      </c>
      <c r="H3545" s="17">
        <v>300</v>
      </c>
      <c r="I3545" s="6">
        <f>Tabela1[[#This Row],[Valor total]]-Tabela1[[#This Row],[Valor custo]]</f>
        <v>155.47</v>
      </c>
      <c r="J3545" s="7">
        <f>Tabela1[[#This Row],[MARGEM BRUTA]]/Tabela1[[#This Row],[Valor total]]</f>
        <v>0.51823333333333332</v>
      </c>
      <c r="K3545" s="1" t="str">
        <f>VLOOKUP(Tabela1[[#This Row],[Cliente]],'BASE DE CLIENTES'!A:D,4,0)</f>
        <v>EMPRESA COM MAQUINA</v>
      </c>
      <c r="L3545" s="1" t="str">
        <f>VLOOKUP(Tabela1[[#This Row],[Cliente]],'BASE DE CLIENTES'!A:E,5,0)</f>
        <v>CEILANDIA NORTE (CEILANDIA)</v>
      </c>
    </row>
    <row r="3546" spans="2:12" x14ac:dyDescent="0.3">
      <c r="B3546" s="1" t="s">
        <v>187</v>
      </c>
      <c r="C3546" s="4" t="str">
        <f>VLOOKUP(Tabela1[[#This Row],[Cliente]],'BASE DE CLIENTES'!A:E,2,0)</f>
        <v>Brasília</v>
      </c>
      <c r="D3546" s="1" t="str">
        <f>VLOOKUP(Tabela1[[#This Row],[Cliente]],'BASE DE CLIENTES'!A:C,3,0)</f>
        <v>DF</v>
      </c>
      <c r="E3546" s="4" t="str">
        <f>CONCATENATE(Tabela1[[#This Row],[CIDADE]],",",Tabela1[[#This Row],[UF]])</f>
        <v>Brasília,DF</v>
      </c>
      <c r="F3546" s="2">
        <v>46000</v>
      </c>
      <c r="G3546" s="17">
        <v>664</v>
      </c>
      <c r="H3546" s="17">
        <v>1000</v>
      </c>
      <c r="I3546" s="6">
        <f>Tabela1[[#This Row],[Valor total]]-Tabela1[[#This Row],[Valor custo]]</f>
        <v>336</v>
      </c>
      <c r="J3546" s="7">
        <f>Tabela1[[#This Row],[MARGEM BRUTA]]/Tabela1[[#This Row],[Valor total]]</f>
        <v>0.33600000000000002</v>
      </c>
      <c r="K3546" s="1" t="str">
        <f>VLOOKUP(Tabela1[[#This Row],[Cliente]],'BASE DE CLIENTES'!A:D,4,0)</f>
        <v>SERRALHEIRO</v>
      </c>
      <c r="L3546" s="1" t="str">
        <f>VLOOKUP(Tabela1[[#This Row],[Cliente]],'BASE DE CLIENTES'!A:E,5,0)</f>
        <v>CEILANDIA SUL (CEILANDIA)</v>
      </c>
    </row>
    <row r="3547" spans="2:12" x14ac:dyDescent="0.3">
      <c r="B3547" s="1" t="s">
        <v>42</v>
      </c>
      <c r="C3547" s="4" t="str">
        <f>VLOOKUP(Tabela1[[#This Row],[Cliente]],'BASE DE CLIENTES'!A:E,2,0)</f>
        <v>Brasília</v>
      </c>
      <c r="D3547" s="1" t="str">
        <f>VLOOKUP(Tabela1[[#This Row],[Cliente]],'BASE DE CLIENTES'!A:C,3,0)</f>
        <v>DF</v>
      </c>
      <c r="E3547" s="4" t="str">
        <f>CONCATENATE(Tabela1[[#This Row],[CIDADE]],",",Tabela1[[#This Row],[UF]])</f>
        <v>Brasília,DF</v>
      </c>
      <c r="F3547" s="2">
        <v>46000</v>
      </c>
      <c r="G3547" s="17">
        <v>758.06</v>
      </c>
      <c r="H3547" s="17">
        <v>1160</v>
      </c>
      <c r="I3547" s="6">
        <f>Tabela1[[#This Row],[Valor total]]-Tabela1[[#This Row],[Valor custo]]</f>
        <v>401.94000000000005</v>
      </c>
      <c r="J3547" s="7">
        <f>Tabela1[[#This Row],[MARGEM BRUTA]]/Tabela1[[#This Row],[Valor total]]</f>
        <v>0.34650000000000003</v>
      </c>
      <c r="K3547" s="1" t="str">
        <f>VLOOKUP(Tabela1[[#This Row],[Cliente]],'BASE DE CLIENTES'!A:D,4,0)</f>
        <v>EMPRESA SEM MAQUINA</v>
      </c>
      <c r="L3547" s="1" t="str">
        <f>VLOOKUP(Tabela1[[#This Row],[Cliente]],'BASE DE CLIENTES'!A:E,5,0)</f>
        <v>SAMAMBAIA</v>
      </c>
    </row>
    <row r="3548" spans="2:12" x14ac:dyDescent="0.3">
      <c r="B3548" s="1" t="s">
        <v>70</v>
      </c>
      <c r="C3548" s="4" t="str">
        <f>VLOOKUP(Tabela1[[#This Row],[Cliente]],'BASE DE CLIENTES'!A:E,2,0)</f>
        <v>Brasília</v>
      </c>
      <c r="D3548" s="1" t="str">
        <f>VLOOKUP(Tabela1[[#This Row],[Cliente]],'BASE DE CLIENTES'!A:C,3,0)</f>
        <v>DF</v>
      </c>
      <c r="E3548" s="4" t="str">
        <f>CONCATENATE(Tabela1[[#This Row],[CIDADE]],",",Tabela1[[#This Row],[UF]])</f>
        <v>Brasília,DF</v>
      </c>
      <c r="F3548" s="2">
        <v>46000</v>
      </c>
      <c r="G3548" s="17">
        <v>2356</v>
      </c>
      <c r="H3548" s="17">
        <v>4000</v>
      </c>
      <c r="I3548" s="6">
        <f>Tabela1[[#This Row],[Valor total]]-Tabela1[[#This Row],[Valor custo]]</f>
        <v>1644</v>
      </c>
      <c r="J3548" s="7">
        <f>Tabela1[[#This Row],[MARGEM BRUTA]]/Tabela1[[#This Row],[Valor total]]</f>
        <v>0.41099999999999998</v>
      </c>
      <c r="K3548" s="1" t="str">
        <f>VLOOKUP(Tabela1[[#This Row],[Cliente]],'BASE DE CLIENTES'!A:D,4,0)</f>
        <v>EMPRESA COM MAQUINA</v>
      </c>
      <c r="L3548" s="1" t="str">
        <f>VLOOKUP(Tabela1[[#This Row],[Cliente]],'BASE DE CLIENTES'!A:E,5,0)</f>
        <v>TAGUATINGA NORTE (TAGUATINGA)</v>
      </c>
    </row>
    <row r="3549" spans="2:12" x14ac:dyDescent="0.3">
      <c r="B3549" s="1" t="s">
        <v>223</v>
      </c>
      <c r="C3549" s="4" t="str">
        <f>VLOOKUP(Tabela1[[#This Row],[Cliente]],'BASE DE CLIENTES'!A:E,2,0)</f>
        <v>Goiânia</v>
      </c>
      <c r="D3549" s="1" t="str">
        <f>VLOOKUP(Tabela1[[#This Row],[Cliente]],'BASE DE CLIENTES'!A:C,3,0)</f>
        <v>GO</v>
      </c>
      <c r="E3549" s="4" t="str">
        <f>CONCATENATE(Tabela1[[#This Row],[CIDADE]],",",Tabela1[[#This Row],[UF]])</f>
        <v>Goiânia,GO</v>
      </c>
      <c r="F3549" s="2">
        <v>46000</v>
      </c>
      <c r="G3549" s="17">
        <v>289</v>
      </c>
      <c r="H3549" s="17">
        <v>550</v>
      </c>
      <c r="I3549" s="6">
        <f>Tabela1[[#This Row],[Valor total]]-Tabela1[[#This Row],[Valor custo]]</f>
        <v>261</v>
      </c>
      <c r="J3549" s="7">
        <f>Tabela1[[#This Row],[MARGEM BRUTA]]/Tabela1[[#This Row],[Valor total]]</f>
        <v>0.47454545454545455</v>
      </c>
      <c r="K3549" s="1" t="str">
        <f>VLOOKUP(Tabela1[[#This Row],[Cliente]],'BASE DE CLIENTES'!A:D,4,0)</f>
        <v>EMPRESA COM MAQUINA</v>
      </c>
      <c r="L3549" s="1" t="str">
        <f>VLOOKUP(Tabela1[[#This Row],[Cliente]],'BASE DE CLIENTES'!A:E,5,0)</f>
        <v>Goiânia</v>
      </c>
    </row>
    <row r="3550" spans="2:12" x14ac:dyDescent="0.3">
      <c r="B3550" s="1" t="s">
        <v>314</v>
      </c>
      <c r="C3550" s="4" t="str">
        <f>VLOOKUP(Tabela1[[#This Row],[Cliente]],'BASE DE CLIENTES'!A:E,2,0)</f>
        <v xml:space="preserve">Valparaíso </v>
      </c>
      <c r="D3550" s="1" t="str">
        <f>VLOOKUP(Tabela1[[#This Row],[Cliente]],'BASE DE CLIENTES'!A:C,3,0)</f>
        <v>GO</v>
      </c>
      <c r="E3550" s="4" t="str">
        <f>CONCATENATE(Tabela1[[#This Row],[CIDADE]],",",Tabela1[[#This Row],[UF]])</f>
        <v>Valparaíso ,GO</v>
      </c>
      <c r="F3550" s="2">
        <v>46000</v>
      </c>
      <c r="G3550" s="17">
        <v>0</v>
      </c>
      <c r="H3550" s="17">
        <v>65</v>
      </c>
      <c r="I3550" s="6">
        <f>Tabela1[[#This Row],[Valor total]]-Tabela1[[#This Row],[Valor custo]]</f>
        <v>65</v>
      </c>
      <c r="J3550" s="7">
        <f>Tabela1[[#This Row],[MARGEM BRUTA]]/Tabela1[[#This Row],[Valor total]]</f>
        <v>1</v>
      </c>
      <c r="K3550" s="1" t="str">
        <f>VLOOKUP(Tabela1[[#This Row],[Cliente]],'BASE DE CLIENTES'!A:D,4,0)</f>
        <v>SERRALHEIRO</v>
      </c>
      <c r="L3550" s="1" t="str">
        <f>VLOOKUP(Tabela1[[#This Row],[Cliente]],'BASE DE CLIENTES'!A:E,5,0)</f>
        <v xml:space="preserve">Valparaíso </v>
      </c>
    </row>
    <row r="3551" spans="2:12" x14ac:dyDescent="0.3">
      <c r="B3551" s="1" t="s">
        <v>232</v>
      </c>
      <c r="C3551" s="4" t="str">
        <f>VLOOKUP(Tabela1[[#This Row],[Cliente]],'BASE DE CLIENTES'!A:E,2,0)</f>
        <v>Brasília</v>
      </c>
      <c r="D3551" s="1" t="str">
        <f>VLOOKUP(Tabela1[[#This Row],[Cliente]],'BASE DE CLIENTES'!A:C,3,0)</f>
        <v>DF</v>
      </c>
      <c r="E3551" s="4" t="str">
        <f>CONCATENATE(Tabela1[[#This Row],[CIDADE]],",",Tabela1[[#This Row],[UF]])</f>
        <v>Brasília,DF</v>
      </c>
      <c r="F3551" s="2">
        <v>46000</v>
      </c>
      <c r="G3551" s="17">
        <v>293.13</v>
      </c>
      <c r="H3551" s="17">
        <v>400</v>
      </c>
      <c r="I3551" s="6">
        <f>Tabela1[[#This Row],[Valor total]]-Tabela1[[#This Row],[Valor custo]]</f>
        <v>106.87</v>
      </c>
      <c r="J3551" s="7">
        <f>Tabela1[[#This Row],[MARGEM BRUTA]]/Tabela1[[#This Row],[Valor total]]</f>
        <v>0.267175</v>
      </c>
      <c r="K3551" s="1" t="str">
        <f>VLOOKUP(Tabela1[[#This Row],[Cliente]],'BASE DE CLIENTES'!A:D,4,0)</f>
        <v>CHAVEIRO</v>
      </c>
      <c r="L3551" s="1" t="str">
        <f>VLOOKUP(Tabela1[[#This Row],[Cliente]],'BASE DE CLIENTES'!A:E,5,0)</f>
        <v>Areal (Águas Claras)</v>
      </c>
    </row>
    <row r="3552" spans="2:12" x14ac:dyDescent="0.3">
      <c r="B3552" s="1" t="s">
        <v>111</v>
      </c>
      <c r="C3552" s="4" t="str">
        <f>VLOOKUP(Tabela1[[#This Row],[Cliente]],'BASE DE CLIENTES'!A:E,2,0)</f>
        <v>Brasília</v>
      </c>
      <c r="D3552" s="1" t="str">
        <f>VLOOKUP(Tabela1[[#This Row],[Cliente]],'BASE DE CLIENTES'!A:C,3,0)</f>
        <v>DF</v>
      </c>
      <c r="E3552" s="4" t="str">
        <f>CONCATENATE(Tabela1[[#This Row],[CIDADE]],",",Tabela1[[#This Row],[UF]])</f>
        <v>Brasília,DF</v>
      </c>
      <c r="F3552" s="2">
        <v>46000</v>
      </c>
      <c r="G3552" s="17">
        <v>1226</v>
      </c>
      <c r="H3552" s="17">
        <v>2000</v>
      </c>
      <c r="I3552" s="6">
        <f>Tabela1[[#This Row],[Valor total]]-Tabela1[[#This Row],[Valor custo]]</f>
        <v>774</v>
      </c>
      <c r="J3552" s="7">
        <f>Tabela1[[#This Row],[MARGEM BRUTA]]/Tabela1[[#This Row],[Valor total]]</f>
        <v>0.38700000000000001</v>
      </c>
      <c r="K3552" s="1" t="str">
        <f>VLOOKUP(Tabela1[[#This Row],[Cliente]],'BASE DE CLIENTES'!A:D,4,0)</f>
        <v>EMPRESA SEM MAQUINA</v>
      </c>
      <c r="L3552" s="1" t="str">
        <f>VLOOKUP(Tabela1[[#This Row],[Cliente]],'BASE DE CLIENTES'!A:E,5,0)</f>
        <v>TAGUATINGA SUL (TAGUATINGA)</v>
      </c>
    </row>
    <row r="3553" spans="2:12" x14ac:dyDescent="0.3">
      <c r="B3553" s="1" t="s">
        <v>236</v>
      </c>
      <c r="C3553" s="4" t="str">
        <f>VLOOKUP(Tabela1[[#This Row],[Cliente]],'BASE DE CLIENTES'!A:E,2,0)</f>
        <v>Goiânia</v>
      </c>
      <c r="D3553" s="1" t="str">
        <f>VLOOKUP(Tabela1[[#This Row],[Cliente]],'BASE DE CLIENTES'!A:C,3,0)</f>
        <v>GO</v>
      </c>
      <c r="E3553" s="4" t="str">
        <f>CONCATENATE(Tabela1[[#This Row],[CIDADE]],",",Tabela1[[#This Row],[UF]])</f>
        <v>Goiânia,GO</v>
      </c>
      <c r="F3553" s="2">
        <v>45999</v>
      </c>
      <c r="G3553" s="17">
        <v>544</v>
      </c>
      <c r="H3553" s="17">
        <v>790</v>
      </c>
      <c r="I3553" s="6">
        <f>Tabela1[[#This Row],[Valor total]]-Tabela1[[#This Row],[Valor custo]]</f>
        <v>246</v>
      </c>
      <c r="J3553" s="7">
        <f>Tabela1[[#This Row],[MARGEM BRUTA]]/Tabela1[[#This Row],[Valor total]]</f>
        <v>0.31139240506329113</v>
      </c>
      <c r="K3553" s="1" t="str">
        <f>VLOOKUP(Tabela1[[#This Row],[Cliente]],'BASE DE CLIENTES'!A:D,4,0)</f>
        <v>EMPRESA COM MAQUINA</v>
      </c>
      <c r="L3553" s="1" t="str">
        <f>VLOOKUP(Tabela1[[#This Row],[Cliente]],'BASE DE CLIENTES'!A:E,5,0)</f>
        <v>Goiânia</v>
      </c>
    </row>
    <row r="3554" spans="2:12" x14ac:dyDescent="0.3">
      <c r="B3554" s="1" t="s">
        <v>199</v>
      </c>
      <c r="C3554" s="4" t="str">
        <f>VLOOKUP(Tabela1[[#This Row],[Cliente]],'BASE DE CLIENTES'!A:E,2,0)</f>
        <v>Goiânia</v>
      </c>
      <c r="D3554" s="1" t="str">
        <f>VLOOKUP(Tabela1[[#This Row],[Cliente]],'BASE DE CLIENTES'!A:C,3,0)</f>
        <v>GO</v>
      </c>
      <c r="E3554" s="4" t="str">
        <f>CONCATENATE(Tabela1[[#This Row],[CIDADE]],",",Tabela1[[#This Row],[UF]])</f>
        <v>Goiânia,GO</v>
      </c>
      <c r="F3554" s="2">
        <v>45999</v>
      </c>
      <c r="G3554" s="17">
        <v>679</v>
      </c>
      <c r="H3554" s="17">
        <v>1100</v>
      </c>
      <c r="I3554" s="6">
        <f>Tabela1[[#This Row],[Valor total]]-Tabela1[[#This Row],[Valor custo]]</f>
        <v>421</v>
      </c>
      <c r="J3554" s="7">
        <f>Tabela1[[#This Row],[MARGEM BRUTA]]/Tabela1[[#This Row],[Valor total]]</f>
        <v>0.38272727272727275</v>
      </c>
      <c r="K3554" s="1" t="str">
        <f>VLOOKUP(Tabela1[[#This Row],[Cliente]],'BASE DE CLIENTES'!A:D,4,0)</f>
        <v>EMPRESA COM MAQUINA</v>
      </c>
      <c r="L3554" s="1" t="str">
        <f>VLOOKUP(Tabela1[[#This Row],[Cliente]],'BASE DE CLIENTES'!A:E,5,0)</f>
        <v>Goiânia</v>
      </c>
    </row>
    <row r="3555" spans="2:12" x14ac:dyDescent="0.3">
      <c r="B3555" s="1" t="s">
        <v>107</v>
      </c>
      <c r="C3555" s="4" t="str">
        <f>VLOOKUP(Tabela1[[#This Row],[Cliente]],'BASE DE CLIENTES'!A:E,2,0)</f>
        <v>Planaltina</v>
      </c>
      <c r="D3555" s="1" t="str">
        <f>VLOOKUP(Tabela1[[#This Row],[Cliente]],'BASE DE CLIENTES'!A:C,3,0)</f>
        <v>DF</v>
      </c>
      <c r="E3555" s="4" t="str">
        <f>CONCATENATE(Tabela1[[#This Row],[CIDADE]],",",Tabela1[[#This Row],[UF]])</f>
        <v>Planaltina,DF</v>
      </c>
      <c r="F3555" s="2">
        <v>45999</v>
      </c>
      <c r="G3555" s="17">
        <v>0</v>
      </c>
      <c r="H3555" s="17">
        <v>50</v>
      </c>
      <c r="I3555" s="6">
        <f>Tabela1[[#This Row],[Valor total]]-Tabela1[[#This Row],[Valor custo]]</f>
        <v>50</v>
      </c>
      <c r="J3555" s="7">
        <f>Tabela1[[#This Row],[MARGEM BRUTA]]/Tabela1[[#This Row],[Valor total]]</f>
        <v>1</v>
      </c>
      <c r="K3555" s="1" t="str">
        <f>VLOOKUP(Tabela1[[#This Row],[Cliente]],'BASE DE CLIENTES'!A:D,4,0)</f>
        <v>EMPRESA COM MAQUINA</v>
      </c>
      <c r="L3555" s="1" t="str">
        <f>VLOOKUP(Tabela1[[#This Row],[Cliente]],'BASE DE CLIENTES'!A:E,5,0)</f>
        <v>SETOR LESTE</v>
      </c>
    </row>
    <row r="3556" spans="2:12" x14ac:dyDescent="0.3">
      <c r="B3556" s="1" t="s">
        <v>111</v>
      </c>
      <c r="C3556" s="4" t="str">
        <f>VLOOKUP(Tabela1[[#This Row],[Cliente]],'BASE DE CLIENTES'!A:E,2,0)</f>
        <v>Brasília</v>
      </c>
      <c r="D3556" s="1" t="str">
        <f>VLOOKUP(Tabela1[[#This Row],[Cliente]],'BASE DE CLIENTES'!A:C,3,0)</f>
        <v>DF</v>
      </c>
      <c r="E3556" s="4" t="str">
        <f>CONCATENATE(Tabela1[[#This Row],[CIDADE]],",",Tabela1[[#This Row],[UF]])</f>
        <v>Brasília,DF</v>
      </c>
      <c r="F3556" s="2">
        <v>45999</v>
      </c>
      <c r="G3556" s="17">
        <v>664</v>
      </c>
      <c r="H3556" s="17">
        <v>1000</v>
      </c>
      <c r="I3556" s="6">
        <f>Tabela1[[#This Row],[Valor total]]-Tabela1[[#This Row],[Valor custo]]</f>
        <v>336</v>
      </c>
      <c r="J3556" s="7">
        <f>Tabela1[[#This Row],[MARGEM BRUTA]]/Tabela1[[#This Row],[Valor total]]</f>
        <v>0.33600000000000002</v>
      </c>
      <c r="K3556" s="1" t="str">
        <f>VLOOKUP(Tabela1[[#This Row],[Cliente]],'BASE DE CLIENTES'!A:D,4,0)</f>
        <v>EMPRESA SEM MAQUINA</v>
      </c>
      <c r="L3556" s="1" t="str">
        <f>VLOOKUP(Tabela1[[#This Row],[Cliente]],'BASE DE CLIENTES'!A:E,5,0)</f>
        <v>TAGUATINGA SUL (TAGUATINGA)</v>
      </c>
    </row>
    <row r="3557" spans="2:12" x14ac:dyDescent="0.3">
      <c r="B3557" s="1" t="s">
        <v>247</v>
      </c>
      <c r="C3557" s="4" t="str">
        <f>VLOOKUP(Tabela1[[#This Row],[Cliente]],'BASE DE CLIENTES'!A:E,2,0)</f>
        <v>Goianira</v>
      </c>
      <c r="D3557" s="1" t="str">
        <f>VLOOKUP(Tabela1[[#This Row],[Cliente]],'BASE DE CLIENTES'!A:C,3,0)</f>
        <v>GO</v>
      </c>
      <c r="E3557" s="4" t="str">
        <f>CONCATENATE(Tabela1[[#This Row],[CIDADE]],",",Tabela1[[#This Row],[UF]])</f>
        <v>Goianira,GO</v>
      </c>
      <c r="F3557" s="2">
        <v>45999</v>
      </c>
      <c r="G3557" s="17">
        <v>6623</v>
      </c>
      <c r="H3557" s="17">
        <v>10726</v>
      </c>
      <c r="I3557" s="6">
        <f>Tabela1[[#This Row],[Valor total]]-Tabela1[[#This Row],[Valor custo]]</f>
        <v>4103</v>
      </c>
      <c r="J3557" s="7">
        <f>Tabela1[[#This Row],[MARGEM BRUTA]]/Tabela1[[#This Row],[Valor total]]</f>
        <v>0.38252843557710237</v>
      </c>
      <c r="K3557" s="1" t="str">
        <f>VLOOKUP(Tabela1[[#This Row],[Cliente]],'BASE DE CLIENTES'!A:D,4,0)</f>
        <v>EMPRESA SEM MAQUINA</v>
      </c>
      <c r="L3557" s="1" t="str">
        <f>VLOOKUP(Tabela1[[#This Row],[Cliente]],'BASE DE CLIENTES'!A:E,5,0)</f>
        <v>Goianira</v>
      </c>
    </row>
    <row r="3558" spans="2:12" x14ac:dyDescent="0.3">
      <c r="B3558" s="1" t="s">
        <v>42</v>
      </c>
      <c r="C3558" s="4" t="str">
        <f>VLOOKUP(Tabela1[[#This Row],[Cliente]],'BASE DE CLIENTES'!A:E,2,0)</f>
        <v>Brasília</v>
      </c>
      <c r="D3558" s="1" t="str">
        <f>VLOOKUP(Tabela1[[#This Row],[Cliente]],'BASE DE CLIENTES'!A:C,3,0)</f>
        <v>DF</v>
      </c>
      <c r="E3558" s="4" t="str">
        <f>CONCATENATE(Tabela1[[#This Row],[CIDADE]],",",Tabela1[[#This Row],[UF]])</f>
        <v>Brasília,DF</v>
      </c>
      <c r="F3558" s="2">
        <v>45999</v>
      </c>
      <c r="G3558" s="17">
        <v>485</v>
      </c>
      <c r="H3558" s="17">
        <v>810</v>
      </c>
      <c r="I3558" s="6">
        <f>Tabela1[[#This Row],[Valor total]]-Tabela1[[#This Row],[Valor custo]]</f>
        <v>325</v>
      </c>
      <c r="J3558" s="7">
        <f>Tabela1[[#This Row],[MARGEM BRUTA]]/Tabela1[[#This Row],[Valor total]]</f>
        <v>0.40123456790123457</v>
      </c>
      <c r="K3558" s="1" t="str">
        <f>VLOOKUP(Tabela1[[#This Row],[Cliente]],'BASE DE CLIENTES'!A:D,4,0)</f>
        <v>EMPRESA SEM MAQUINA</v>
      </c>
      <c r="L3558" s="1" t="str">
        <f>VLOOKUP(Tabela1[[#This Row],[Cliente]],'BASE DE CLIENTES'!A:E,5,0)</f>
        <v>SAMAMBAIA</v>
      </c>
    </row>
    <row r="3559" spans="2:12" x14ac:dyDescent="0.3">
      <c r="B3559" s="1" t="s">
        <v>355</v>
      </c>
      <c r="C3559" s="4" t="str">
        <f>VLOOKUP(Tabela1[[#This Row],[Cliente]],'BASE DE CLIENTES'!A:E,2,0)</f>
        <v>Valparaíso de Goiás</v>
      </c>
      <c r="D3559" s="1" t="str">
        <f>VLOOKUP(Tabela1[[#This Row],[Cliente]],'BASE DE CLIENTES'!A:C,3,0)</f>
        <v>GO</v>
      </c>
      <c r="E3559" s="4" t="str">
        <f>CONCATENATE(Tabela1[[#This Row],[CIDADE]],",",Tabela1[[#This Row],[UF]])</f>
        <v>Valparaíso de Goiás,GO</v>
      </c>
      <c r="F3559" s="2">
        <v>45999</v>
      </c>
      <c r="G3559" s="17">
        <v>664</v>
      </c>
      <c r="H3559" s="17">
        <v>1100</v>
      </c>
      <c r="I3559" s="6">
        <f>Tabela1[[#This Row],[Valor total]]-Tabela1[[#This Row],[Valor custo]]</f>
        <v>436</v>
      </c>
      <c r="J3559" s="7">
        <f>Tabela1[[#This Row],[MARGEM BRUTA]]/Tabela1[[#This Row],[Valor total]]</f>
        <v>0.39636363636363636</v>
      </c>
      <c r="K3559" s="1" t="str">
        <f>VLOOKUP(Tabela1[[#This Row],[Cliente]],'BASE DE CLIENTES'!A:D,4,0)</f>
        <v>CLIENTE NOVO S/ IDENT.</v>
      </c>
      <c r="L3559" s="1" t="str">
        <f>VLOOKUP(Tabela1[[#This Row],[Cliente]],'BASE DE CLIENTES'!A:E,5,0)</f>
        <v>Valparaíso de Goiás</v>
      </c>
    </row>
    <row r="3560" spans="2:12" x14ac:dyDescent="0.3">
      <c r="B3560" s="1" t="s">
        <v>85</v>
      </c>
      <c r="C3560" s="4" t="str">
        <f>VLOOKUP(Tabela1[[#This Row],[Cliente]],'BASE DE CLIENTES'!A:E,2,0)</f>
        <v>Brasília</v>
      </c>
      <c r="D3560" s="1" t="str">
        <f>VLOOKUP(Tabela1[[#This Row],[Cliente]],'BASE DE CLIENTES'!A:C,3,0)</f>
        <v>DF</v>
      </c>
      <c r="E3560" s="4" t="str">
        <f>CONCATENATE(Tabela1[[#This Row],[CIDADE]],",",Tabela1[[#This Row],[UF]])</f>
        <v>Brasília,DF</v>
      </c>
      <c r="F3560" s="2">
        <v>45999</v>
      </c>
      <c r="G3560" s="17">
        <v>544</v>
      </c>
      <c r="H3560" s="17">
        <v>845</v>
      </c>
      <c r="I3560" s="6">
        <f>Tabela1[[#This Row],[Valor total]]-Tabela1[[#This Row],[Valor custo]]</f>
        <v>301</v>
      </c>
      <c r="J3560" s="7">
        <f>Tabela1[[#This Row],[MARGEM BRUTA]]/Tabela1[[#This Row],[Valor total]]</f>
        <v>0.35621301775147929</v>
      </c>
      <c r="K3560" s="1" t="str">
        <f>VLOOKUP(Tabela1[[#This Row],[Cliente]],'BASE DE CLIENTES'!A:D,4,0)</f>
        <v>SERRALHEIRO</v>
      </c>
      <c r="L3560" s="1" t="str">
        <f>VLOOKUP(Tabela1[[#This Row],[Cliente]],'BASE DE CLIENTES'!A:E,5,0)</f>
        <v>SAMAMBAIA NORTE (SAMAMBAIA)</v>
      </c>
    </row>
    <row r="3561" spans="2:12" x14ac:dyDescent="0.3">
      <c r="B3561" s="1" t="s">
        <v>321</v>
      </c>
      <c r="C3561" s="4" t="str">
        <f>VLOOKUP(Tabela1[[#This Row],[Cliente]],'BASE DE CLIENTES'!A:E,2,0)</f>
        <v>Valparaíso de Goiás</v>
      </c>
      <c r="D3561" s="1" t="str">
        <f>VLOOKUP(Tabela1[[#This Row],[Cliente]],'BASE DE CLIENTES'!A:C,3,0)</f>
        <v>GO</v>
      </c>
      <c r="E3561" s="4" t="str">
        <f>CONCATENATE(Tabela1[[#This Row],[CIDADE]],",",Tabela1[[#This Row],[UF]])</f>
        <v>Valparaíso de Goiás,GO</v>
      </c>
      <c r="F3561" s="2">
        <v>45999</v>
      </c>
      <c r="G3561" s="17">
        <v>624.66</v>
      </c>
      <c r="H3561" s="17">
        <v>1050</v>
      </c>
      <c r="I3561" s="6">
        <f>Tabela1[[#This Row],[Valor total]]-Tabela1[[#This Row],[Valor custo]]</f>
        <v>425.34000000000003</v>
      </c>
      <c r="J3561" s="7">
        <f>Tabela1[[#This Row],[MARGEM BRUTA]]/Tabela1[[#This Row],[Valor total]]</f>
        <v>0.40508571428571433</v>
      </c>
      <c r="K3561" s="1" t="str">
        <f>VLOOKUP(Tabela1[[#This Row],[Cliente]],'BASE DE CLIENTES'!A:D,4,0)</f>
        <v>EMPRESA COM MAQUINA</v>
      </c>
      <c r="L3561" s="1" t="str">
        <f>VLOOKUP(Tabela1[[#This Row],[Cliente]],'BASE DE CLIENTES'!A:E,5,0)</f>
        <v>Valparaíso de Goiás</v>
      </c>
    </row>
    <row r="3562" spans="2:12" x14ac:dyDescent="0.3">
      <c r="B3562" s="1" t="s">
        <v>97</v>
      </c>
      <c r="C3562" s="4" t="str">
        <f>VLOOKUP(Tabela1[[#This Row],[Cliente]],'BASE DE CLIENTES'!A:E,2,0)</f>
        <v>Brasília</v>
      </c>
      <c r="D3562" s="1" t="str">
        <f>VLOOKUP(Tabela1[[#This Row],[Cliente]],'BASE DE CLIENTES'!A:C,3,0)</f>
        <v>DF</v>
      </c>
      <c r="E3562" s="4" t="str">
        <f>CONCATENATE(Tabela1[[#This Row],[CIDADE]],",",Tabela1[[#This Row],[UF]])</f>
        <v>Brasília,DF</v>
      </c>
      <c r="F3562" s="2">
        <v>45999</v>
      </c>
      <c r="G3562" s="17">
        <v>649</v>
      </c>
      <c r="H3562" s="17">
        <v>1000</v>
      </c>
      <c r="I3562" s="6">
        <f>Tabela1[[#This Row],[Valor total]]-Tabela1[[#This Row],[Valor custo]]</f>
        <v>351</v>
      </c>
      <c r="J3562" s="7">
        <f>Tabela1[[#This Row],[MARGEM BRUTA]]/Tabela1[[#This Row],[Valor total]]</f>
        <v>0.35099999999999998</v>
      </c>
      <c r="K3562" s="1" t="str">
        <f>VLOOKUP(Tabela1[[#This Row],[Cliente]],'BASE DE CLIENTES'!A:D,4,0)</f>
        <v>SERRALHEIRO</v>
      </c>
      <c r="L3562" s="1" t="str">
        <f>VLOOKUP(Tabela1[[#This Row],[Cliente]],'BASE DE CLIENTES'!A:E,5,0)</f>
        <v>CEILANDIA NORTE</v>
      </c>
    </row>
    <row r="3563" spans="2:12" x14ac:dyDescent="0.3">
      <c r="B3563" s="1" t="s">
        <v>236</v>
      </c>
      <c r="C3563" s="4" t="str">
        <f>VLOOKUP(Tabela1[[#This Row],[Cliente]],'BASE DE CLIENTES'!A:E,2,0)</f>
        <v>Goiânia</v>
      </c>
      <c r="D3563" s="1" t="str">
        <f>VLOOKUP(Tabela1[[#This Row],[Cliente]],'BASE DE CLIENTES'!A:C,3,0)</f>
        <v>GO</v>
      </c>
      <c r="E3563" s="4" t="str">
        <f>CONCATENATE(Tabela1[[#This Row],[CIDADE]],",",Tabela1[[#This Row],[UF]])</f>
        <v>Goiânia,GO</v>
      </c>
      <c r="F3563" s="2">
        <v>45999</v>
      </c>
      <c r="G3563" s="17">
        <v>2646</v>
      </c>
      <c r="H3563" s="17">
        <v>3830</v>
      </c>
      <c r="I3563" s="6">
        <f>Tabela1[[#This Row],[Valor total]]-Tabela1[[#This Row],[Valor custo]]</f>
        <v>1184</v>
      </c>
      <c r="J3563" s="7">
        <f>Tabela1[[#This Row],[MARGEM BRUTA]]/Tabela1[[#This Row],[Valor total]]</f>
        <v>0.30913838120104437</v>
      </c>
      <c r="K3563" s="1" t="str">
        <f>VLOOKUP(Tabela1[[#This Row],[Cliente]],'BASE DE CLIENTES'!A:D,4,0)</f>
        <v>EMPRESA COM MAQUINA</v>
      </c>
      <c r="L3563" s="1" t="str">
        <f>VLOOKUP(Tabela1[[#This Row],[Cliente]],'BASE DE CLIENTES'!A:E,5,0)</f>
        <v>Goiânia</v>
      </c>
    </row>
    <row r="3564" spans="2:12" x14ac:dyDescent="0.3">
      <c r="B3564" s="1" t="s">
        <v>52</v>
      </c>
      <c r="C3564" s="4" t="str">
        <f>VLOOKUP(Tabela1[[#This Row],[Cliente]],'BASE DE CLIENTES'!A:E,2,0)</f>
        <v>Brasília</v>
      </c>
      <c r="D3564" s="1" t="str">
        <f>VLOOKUP(Tabela1[[#This Row],[Cliente]],'BASE DE CLIENTES'!A:C,3,0)</f>
        <v>DF</v>
      </c>
      <c r="E3564" s="4" t="str">
        <f>CONCATENATE(Tabela1[[#This Row],[CIDADE]],",",Tabela1[[#This Row],[UF]])</f>
        <v>Brasília,DF</v>
      </c>
      <c r="F3564" s="2">
        <v>45999</v>
      </c>
      <c r="G3564" s="17">
        <v>544</v>
      </c>
      <c r="H3564" s="17">
        <v>945</v>
      </c>
      <c r="I3564" s="6">
        <f>Tabela1[[#This Row],[Valor total]]-Tabela1[[#This Row],[Valor custo]]</f>
        <v>401</v>
      </c>
      <c r="J3564" s="7">
        <f>Tabela1[[#This Row],[MARGEM BRUTA]]/Tabela1[[#This Row],[Valor total]]</f>
        <v>0.42433862433862435</v>
      </c>
      <c r="K3564" s="1" t="str">
        <f>VLOOKUP(Tabela1[[#This Row],[Cliente]],'BASE DE CLIENTES'!A:D,4,0)</f>
        <v>SERRALHEIRO</v>
      </c>
      <c r="L3564" s="1" t="str">
        <f>VLOOKUP(Tabela1[[#This Row],[Cliente]],'BASE DE CLIENTES'!A:E,5,0)</f>
        <v>Ceilândia Sul (Ceilândia)</v>
      </c>
    </row>
    <row r="3565" spans="2:12" x14ac:dyDescent="0.3">
      <c r="B3565" s="1" t="s">
        <v>236</v>
      </c>
      <c r="C3565" s="4" t="str">
        <f>VLOOKUP(Tabela1[[#This Row],[Cliente]],'BASE DE CLIENTES'!A:E,2,0)</f>
        <v>Goiânia</v>
      </c>
      <c r="D3565" s="1" t="str">
        <f>VLOOKUP(Tabela1[[#This Row],[Cliente]],'BASE DE CLIENTES'!A:C,3,0)</f>
        <v>GO</v>
      </c>
      <c r="E3565" s="4" t="str">
        <f>CONCATENATE(Tabela1[[#This Row],[CIDADE]],",",Tabela1[[#This Row],[UF]])</f>
        <v>Goiânia,GO</v>
      </c>
      <c r="F3565" s="2">
        <v>45999</v>
      </c>
      <c r="G3565" s="17">
        <v>2163.9499999999998</v>
      </c>
      <c r="H3565" s="17">
        <v>2925</v>
      </c>
      <c r="I3565" s="6">
        <f>Tabela1[[#This Row],[Valor total]]-Tabela1[[#This Row],[Valor custo]]</f>
        <v>761.05000000000018</v>
      </c>
      <c r="J3565" s="7">
        <f>Tabela1[[#This Row],[MARGEM BRUTA]]/Tabela1[[#This Row],[Valor total]]</f>
        <v>0.26018803418803427</v>
      </c>
      <c r="K3565" s="1" t="str">
        <f>VLOOKUP(Tabela1[[#This Row],[Cliente]],'BASE DE CLIENTES'!A:D,4,0)</f>
        <v>EMPRESA COM MAQUINA</v>
      </c>
      <c r="L3565" s="1" t="str">
        <f>VLOOKUP(Tabela1[[#This Row],[Cliente]],'BASE DE CLIENTES'!A:E,5,0)</f>
        <v>Goiânia</v>
      </c>
    </row>
    <row r="3566" spans="2:12" x14ac:dyDescent="0.3">
      <c r="B3566" s="1" t="s">
        <v>55</v>
      </c>
      <c r="C3566" s="4" t="str">
        <f>VLOOKUP(Tabela1[[#This Row],[Cliente]],'BASE DE CLIENTES'!A:E,2,0)</f>
        <v>Brasília</v>
      </c>
      <c r="D3566" s="1" t="str">
        <f>VLOOKUP(Tabela1[[#This Row],[Cliente]],'BASE DE CLIENTES'!A:C,3,0)</f>
        <v>DF</v>
      </c>
      <c r="E3566" s="4" t="str">
        <f>CONCATENATE(Tabela1[[#This Row],[CIDADE]],",",Tabela1[[#This Row],[UF]])</f>
        <v>Brasília,DF</v>
      </c>
      <c r="F3566" s="2">
        <v>45996</v>
      </c>
      <c r="G3566" s="17">
        <v>110</v>
      </c>
      <c r="H3566" s="17">
        <v>360</v>
      </c>
      <c r="I3566" s="6">
        <f>Tabela1[[#This Row],[Valor total]]-Tabela1[[#This Row],[Valor custo]]</f>
        <v>250</v>
      </c>
      <c r="J3566" s="7">
        <f>Tabela1[[#This Row],[MARGEM BRUTA]]/Tabela1[[#This Row],[Valor total]]</f>
        <v>0.69444444444444442</v>
      </c>
      <c r="K3566" s="1" t="str">
        <f>VLOOKUP(Tabela1[[#This Row],[Cliente]],'BASE DE CLIENTES'!A:D,4,0)</f>
        <v>EMPRESA SEM MAQUINA</v>
      </c>
      <c r="L3566" s="1" t="str">
        <f>VLOOKUP(Tabela1[[#This Row],[Cliente]],'BASE DE CLIENTES'!A:E,5,0)</f>
        <v>RECANTO DAS EMAS</v>
      </c>
    </row>
    <row r="3567" spans="2:12" x14ac:dyDescent="0.3">
      <c r="B3567" s="1" t="s">
        <v>197</v>
      </c>
      <c r="C3567" s="4" t="str">
        <f>VLOOKUP(Tabela1[[#This Row],[Cliente]],'BASE DE CLIENTES'!A:E,2,0)</f>
        <v>Goiânia</v>
      </c>
      <c r="D3567" s="1" t="str">
        <f>VLOOKUP(Tabela1[[#This Row],[Cliente]],'BASE DE CLIENTES'!A:C,3,0)</f>
        <v>GO</v>
      </c>
      <c r="E3567" s="4" t="str">
        <f>CONCATENATE(Tabela1[[#This Row],[CIDADE]],",",Tabela1[[#This Row],[UF]])</f>
        <v>Goiânia,GO</v>
      </c>
      <c r="F3567" s="2">
        <v>45996</v>
      </c>
      <c r="G3567" s="17">
        <v>360.5</v>
      </c>
      <c r="H3567" s="17">
        <v>1000</v>
      </c>
      <c r="I3567" s="6">
        <f>Tabela1[[#This Row],[Valor total]]-Tabela1[[#This Row],[Valor custo]]</f>
        <v>639.5</v>
      </c>
      <c r="J3567" s="7">
        <f>Tabela1[[#This Row],[MARGEM BRUTA]]/Tabela1[[#This Row],[Valor total]]</f>
        <v>0.63949999999999996</v>
      </c>
      <c r="K3567" s="1" t="str">
        <f>VLOOKUP(Tabela1[[#This Row],[Cliente]],'BASE DE CLIENTES'!A:D,4,0)</f>
        <v>EMPRESA COM MAQUINA</v>
      </c>
      <c r="L3567" s="1" t="str">
        <f>VLOOKUP(Tabela1[[#This Row],[Cliente]],'BASE DE CLIENTES'!A:E,5,0)</f>
        <v>Goiânia</v>
      </c>
    </row>
    <row r="3568" spans="2:12" x14ac:dyDescent="0.3">
      <c r="B3568" s="1" t="s">
        <v>161</v>
      </c>
      <c r="C3568" s="4" t="str">
        <f>VLOOKUP(Tabela1[[#This Row],[Cliente]],'BASE DE CLIENTES'!A:E,2,0)</f>
        <v>Brasília</v>
      </c>
      <c r="D3568" s="1" t="str">
        <f>VLOOKUP(Tabela1[[#This Row],[Cliente]],'BASE DE CLIENTES'!A:C,3,0)</f>
        <v>DF</v>
      </c>
      <c r="E3568" s="4" t="str">
        <f>CONCATENATE(Tabela1[[#This Row],[CIDADE]],",",Tabela1[[#This Row],[UF]])</f>
        <v>Brasília,DF</v>
      </c>
      <c r="F3568" s="2">
        <v>45996</v>
      </c>
      <c r="G3568" s="17">
        <v>430</v>
      </c>
      <c r="H3568" s="17">
        <v>592</v>
      </c>
      <c r="I3568" s="6">
        <f>Tabela1[[#This Row],[Valor total]]-Tabela1[[#This Row],[Valor custo]]</f>
        <v>162</v>
      </c>
      <c r="J3568" s="7">
        <f>Tabela1[[#This Row],[MARGEM BRUTA]]/Tabela1[[#This Row],[Valor total]]</f>
        <v>0.27364864864864863</v>
      </c>
      <c r="K3568" s="1" t="str">
        <f>VLOOKUP(Tabela1[[#This Row],[Cliente]],'BASE DE CLIENTES'!A:D,4,0)</f>
        <v>EMPRESA COM MAQUINA</v>
      </c>
      <c r="L3568" s="1" t="str">
        <f>VLOOKUP(Tabela1[[#This Row],[Cliente]],'BASE DE CLIENTES'!A:E,5,0)</f>
        <v>RIACHO FUNDO II</v>
      </c>
    </row>
    <row r="3569" spans="2:12" x14ac:dyDescent="0.3">
      <c r="B3569" s="1" t="s">
        <v>25</v>
      </c>
      <c r="C3569" s="4" t="str">
        <f>VLOOKUP(Tabela1[[#This Row],[Cliente]],'BASE DE CLIENTES'!A:E,2,0)</f>
        <v>Brasília</v>
      </c>
      <c r="D3569" s="1" t="str">
        <f>VLOOKUP(Tabela1[[#This Row],[Cliente]],'BASE DE CLIENTES'!A:C,3,0)</f>
        <v>DF</v>
      </c>
      <c r="E3569" s="4" t="str">
        <f>CONCATENATE(Tabela1[[#This Row],[CIDADE]],",",Tabela1[[#This Row],[UF]])</f>
        <v>Brasília,DF</v>
      </c>
      <c r="F3569" s="2">
        <v>45996</v>
      </c>
      <c r="G3569" s="17">
        <v>649</v>
      </c>
      <c r="H3569" s="17">
        <v>900</v>
      </c>
      <c r="I3569" s="6">
        <f>Tabela1[[#This Row],[Valor total]]-Tabela1[[#This Row],[Valor custo]]</f>
        <v>251</v>
      </c>
      <c r="J3569" s="7">
        <f>Tabela1[[#This Row],[MARGEM BRUTA]]/Tabela1[[#This Row],[Valor total]]</f>
        <v>0.27888888888888891</v>
      </c>
      <c r="K3569" s="1" t="str">
        <f>VLOOKUP(Tabela1[[#This Row],[Cliente]],'BASE DE CLIENTES'!A:D,4,0)</f>
        <v>EMPRESA COM MAQUINA</v>
      </c>
      <c r="L3569" s="1" t="str">
        <f>VLOOKUP(Tabela1[[#This Row],[Cliente]],'BASE DE CLIENTES'!A:E,5,0)</f>
        <v>CEILANDIA NORTE (CEILANDIA)</v>
      </c>
    </row>
    <row r="3570" spans="2:12" x14ac:dyDescent="0.3">
      <c r="B3570" s="1" t="s">
        <v>152</v>
      </c>
      <c r="C3570" s="4" t="str">
        <f>VLOOKUP(Tabela1[[#This Row],[Cliente]],'BASE DE CLIENTES'!A:E,2,0)</f>
        <v>Aparecida de Goiânia</v>
      </c>
      <c r="D3570" s="1" t="str">
        <f>VLOOKUP(Tabela1[[#This Row],[Cliente]],'BASE DE CLIENTES'!A:C,3,0)</f>
        <v>GO</v>
      </c>
      <c r="E3570" s="4" t="str">
        <f>CONCATENATE(Tabela1[[#This Row],[CIDADE]],",",Tabela1[[#This Row],[UF]])</f>
        <v>Aparecida de Goiânia,GO</v>
      </c>
      <c r="F3570" s="2">
        <v>45996</v>
      </c>
      <c r="G3570" s="17">
        <v>705</v>
      </c>
      <c r="H3570" s="17">
        <v>1250</v>
      </c>
      <c r="I3570" s="6">
        <f>Tabela1[[#This Row],[Valor total]]-Tabela1[[#This Row],[Valor custo]]</f>
        <v>545</v>
      </c>
      <c r="J3570" s="7">
        <f>Tabela1[[#This Row],[MARGEM BRUTA]]/Tabela1[[#This Row],[Valor total]]</f>
        <v>0.436</v>
      </c>
      <c r="K3570" s="1" t="str">
        <f>VLOOKUP(Tabela1[[#This Row],[Cliente]],'BASE DE CLIENTES'!A:D,4,0)</f>
        <v>TECNICO</v>
      </c>
      <c r="L3570" s="1" t="str">
        <f>VLOOKUP(Tabela1[[#This Row],[Cliente]],'BASE DE CLIENTES'!A:E,5,0)</f>
        <v>Aparecida de Goiânia</v>
      </c>
    </row>
    <row r="3571" spans="2:12" x14ac:dyDescent="0.3">
      <c r="B3571" s="1" t="s">
        <v>68</v>
      </c>
      <c r="C3571" s="4" t="str">
        <f>VLOOKUP(Tabela1[[#This Row],[Cliente]],'BASE DE CLIENTES'!A:E,2,0)</f>
        <v>Brasília</v>
      </c>
      <c r="D3571" s="1" t="str">
        <f>VLOOKUP(Tabela1[[#This Row],[Cliente]],'BASE DE CLIENTES'!A:C,3,0)</f>
        <v>DF</v>
      </c>
      <c r="E3571" s="4" t="str">
        <f>CONCATENATE(Tabela1[[#This Row],[CIDADE]],",",Tabela1[[#This Row],[UF]])</f>
        <v>Brasília,DF</v>
      </c>
      <c r="F3571" s="2">
        <v>45996</v>
      </c>
      <c r="G3571" s="17">
        <v>750</v>
      </c>
      <c r="H3571" s="17">
        <v>900</v>
      </c>
      <c r="I3571" s="6">
        <f>Tabela1[[#This Row],[Valor total]]-Tabela1[[#This Row],[Valor custo]]</f>
        <v>150</v>
      </c>
      <c r="J3571" s="7">
        <f>Tabela1[[#This Row],[MARGEM BRUTA]]/Tabela1[[#This Row],[Valor total]]</f>
        <v>0.16666666666666666</v>
      </c>
      <c r="K3571" s="1" t="str">
        <f>VLOOKUP(Tabela1[[#This Row],[Cliente]],'BASE DE CLIENTES'!A:D,4,0)</f>
        <v>EMPRESA COM MAQUINA</v>
      </c>
      <c r="L3571" s="1" t="str">
        <f>VLOOKUP(Tabela1[[#This Row],[Cliente]],'BASE DE CLIENTES'!A:E,5,0)</f>
        <v>SAMAMBAIA SUL (SAMAMBAIA)</v>
      </c>
    </row>
    <row r="3572" spans="2:12" x14ac:dyDescent="0.3">
      <c r="B3572" s="1" t="s">
        <v>55</v>
      </c>
      <c r="C3572" s="4" t="str">
        <f>VLOOKUP(Tabela1[[#This Row],[Cliente]],'BASE DE CLIENTES'!A:E,2,0)</f>
        <v>Brasília</v>
      </c>
      <c r="D3572" s="1" t="str">
        <f>VLOOKUP(Tabela1[[#This Row],[Cliente]],'BASE DE CLIENTES'!A:C,3,0)</f>
        <v>DF</v>
      </c>
      <c r="E3572" s="4" t="str">
        <f>CONCATENATE(Tabela1[[#This Row],[CIDADE]],",",Tabela1[[#This Row],[UF]])</f>
        <v>Brasília,DF</v>
      </c>
      <c r="F3572" s="2">
        <v>45996</v>
      </c>
      <c r="G3572" s="17">
        <v>854.22</v>
      </c>
      <c r="H3572" s="17">
        <v>1430</v>
      </c>
      <c r="I3572" s="6">
        <f>Tabela1[[#This Row],[Valor total]]-Tabela1[[#This Row],[Valor custo]]</f>
        <v>575.78</v>
      </c>
      <c r="J3572" s="7">
        <f>Tabela1[[#This Row],[MARGEM BRUTA]]/Tabela1[[#This Row],[Valor total]]</f>
        <v>0.4026433566433566</v>
      </c>
      <c r="K3572" s="1" t="str">
        <f>VLOOKUP(Tabela1[[#This Row],[Cliente]],'BASE DE CLIENTES'!A:D,4,0)</f>
        <v>EMPRESA SEM MAQUINA</v>
      </c>
      <c r="L3572" s="1" t="str">
        <f>VLOOKUP(Tabela1[[#This Row],[Cliente]],'BASE DE CLIENTES'!A:E,5,0)</f>
        <v>RECANTO DAS EMAS</v>
      </c>
    </row>
    <row r="3573" spans="2:12" x14ac:dyDescent="0.3">
      <c r="B3573" s="1" t="s">
        <v>106</v>
      </c>
      <c r="C3573" s="4" t="str">
        <f>VLOOKUP(Tabela1[[#This Row],[Cliente]],'BASE DE CLIENTES'!A:E,2,0)</f>
        <v>Brasília</v>
      </c>
      <c r="D3573" s="1" t="str">
        <f>VLOOKUP(Tabela1[[#This Row],[Cliente]],'BASE DE CLIENTES'!A:C,3,0)</f>
        <v>DF</v>
      </c>
      <c r="E3573" s="4" t="str">
        <f>CONCATENATE(Tabela1[[#This Row],[CIDADE]],",",Tabela1[[#This Row],[UF]])</f>
        <v>Brasília,DF</v>
      </c>
      <c r="F3573" s="2">
        <v>45996</v>
      </c>
      <c r="G3573" s="17">
        <v>1121.4100000000001</v>
      </c>
      <c r="H3573" s="17">
        <v>2140</v>
      </c>
      <c r="I3573" s="6">
        <f>Tabela1[[#This Row],[Valor total]]-Tabela1[[#This Row],[Valor custo]]</f>
        <v>1018.5899999999999</v>
      </c>
      <c r="J3573" s="7">
        <f>Tabela1[[#This Row],[MARGEM BRUTA]]/Tabela1[[#This Row],[Valor total]]</f>
        <v>0.47597663551401864</v>
      </c>
      <c r="K3573" s="1" t="str">
        <f>VLOOKUP(Tabela1[[#This Row],[Cliente]],'BASE DE CLIENTES'!A:D,4,0)</f>
        <v>EMPRESA COM MAQUINA</v>
      </c>
      <c r="L3573" s="1" t="str">
        <f>VLOOKUP(Tabela1[[#This Row],[Cliente]],'BASE DE CLIENTES'!A:E,5,0)</f>
        <v>26 DE SETEMBRO</v>
      </c>
    </row>
    <row r="3574" spans="2:12" x14ac:dyDescent="0.3">
      <c r="B3574" s="1" t="s">
        <v>253</v>
      </c>
      <c r="C3574" s="4" t="str">
        <f>VLOOKUP(Tabela1[[#This Row],[Cliente]],'BASE DE CLIENTES'!A:E,2,0)</f>
        <v>Luziânia</v>
      </c>
      <c r="D3574" s="1" t="str">
        <f>VLOOKUP(Tabela1[[#This Row],[Cliente]],'BASE DE CLIENTES'!A:C,3,0)</f>
        <v>GO</v>
      </c>
      <c r="E3574" s="4" t="str">
        <f>CONCATENATE(Tabela1[[#This Row],[CIDADE]],",",Tabela1[[#This Row],[UF]])</f>
        <v>Luziânia,GO</v>
      </c>
      <c r="F3574" s="2">
        <v>45996</v>
      </c>
      <c r="G3574" s="17">
        <v>463</v>
      </c>
      <c r="H3574" s="17">
        <v>650</v>
      </c>
      <c r="I3574" s="6">
        <f>Tabela1[[#This Row],[Valor total]]-Tabela1[[#This Row],[Valor custo]]</f>
        <v>187</v>
      </c>
      <c r="J3574" s="7">
        <f>Tabela1[[#This Row],[MARGEM BRUTA]]/Tabela1[[#This Row],[Valor total]]</f>
        <v>0.28769230769230769</v>
      </c>
      <c r="K3574" s="1" t="str">
        <f>VLOOKUP(Tabela1[[#This Row],[Cliente]],'BASE DE CLIENTES'!A:D,4,0)</f>
        <v>EMPRESA COM MAQUINA</v>
      </c>
      <c r="L3574" s="1" t="str">
        <f>VLOOKUP(Tabela1[[#This Row],[Cliente]],'BASE DE CLIENTES'!A:E,5,0)</f>
        <v>Luziânia</v>
      </c>
    </row>
    <row r="3575" spans="2:12" x14ac:dyDescent="0.3">
      <c r="B3575" s="1" t="s">
        <v>316</v>
      </c>
      <c r="C3575" s="4" t="str">
        <f>VLOOKUP(Tabela1[[#This Row],[Cliente]],'BASE DE CLIENTES'!A:E,2,0)</f>
        <v>Valparaíso de Goiás</v>
      </c>
      <c r="D3575" s="1" t="str">
        <f>VLOOKUP(Tabela1[[#This Row],[Cliente]],'BASE DE CLIENTES'!A:C,3,0)</f>
        <v>GO</v>
      </c>
      <c r="E3575" s="4" t="str">
        <f>CONCATENATE(Tabela1[[#This Row],[CIDADE]],",",Tabela1[[#This Row],[UF]])</f>
        <v>Valparaíso de Goiás,GO</v>
      </c>
      <c r="F3575" s="2">
        <v>45995</v>
      </c>
      <c r="G3575" s="17">
        <v>485</v>
      </c>
      <c r="H3575" s="17">
        <v>820</v>
      </c>
      <c r="I3575" s="6">
        <f>Tabela1[[#This Row],[Valor total]]-Tabela1[[#This Row],[Valor custo]]</f>
        <v>335</v>
      </c>
      <c r="J3575" s="7">
        <f>Tabela1[[#This Row],[MARGEM BRUTA]]/Tabela1[[#This Row],[Valor total]]</f>
        <v>0.40853658536585363</v>
      </c>
      <c r="K3575" s="1" t="str">
        <f>VLOOKUP(Tabela1[[#This Row],[Cliente]],'BASE DE CLIENTES'!A:D,4,0)</f>
        <v>SERRALHEIRO</v>
      </c>
      <c r="L3575" s="1" t="str">
        <f>VLOOKUP(Tabela1[[#This Row],[Cliente]],'BASE DE CLIENTES'!A:E,5,0)</f>
        <v>Valparaíso de Goiás</v>
      </c>
    </row>
    <row r="3576" spans="2:12" x14ac:dyDescent="0.3">
      <c r="B3576" s="1" t="s">
        <v>216</v>
      </c>
      <c r="C3576" s="4" t="str">
        <f>VLOOKUP(Tabela1[[#This Row],[Cliente]],'BASE DE CLIENTES'!A:E,2,0)</f>
        <v>Brasília</v>
      </c>
      <c r="D3576" s="1" t="str">
        <f>VLOOKUP(Tabela1[[#This Row],[Cliente]],'BASE DE CLIENTES'!A:C,3,0)</f>
        <v>DF</v>
      </c>
      <c r="E3576" s="4" t="str">
        <f>CONCATENATE(Tabela1[[#This Row],[CIDADE]],",",Tabela1[[#This Row],[UF]])</f>
        <v>Brasília,DF</v>
      </c>
      <c r="F3576" s="2">
        <v>45995</v>
      </c>
      <c r="G3576" s="17">
        <v>649</v>
      </c>
      <c r="H3576" s="17">
        <v>900</v>
      </c>
      <c r="I3576" s="6">
        <f>Tabela1[[#This Row],[Valor total]]-Tabela1[[#This Row],[Valor custo]]</f>
        <v>251</v>
      </c>
      <c r="J3576" s="7">
        <f>Tabela1[[#This Row],[MARGEM BRUTA]]/Tabela1[[#This Row],[Valor total]]</f>
        <v>0.27888888888888891</v>
      </c>
      <c r="K3576" s="1" t="str">
        <f>VLOOKUP(Tabela1[[#This Row],[Cliente]],'BASE DE CLIENTES'!A:D,4,0)</f>
        <v>EMPRESA COM MAQUINA</v>
      </c>
      <c r="L3576" s="1" t="str">
        <f>VLOOKUP(Tabela1[[#This Row],[Cliente]],'BASE DE CLIENTES'!A:E,5,0)</f>
        <v>RIACHO FUNDO II</v>
      </c>
    </row>
    <row r="3577" spans="2:12" x14ac:dyDescent="0.3">
      <c r="B3577" s="1" t="s">
        <v>253</v>
      </c>
      <c r="C3577" s="4" t="str">
        <f>VLOOKUP(Tabela1[[#This Row],[Cliente]],'BASE DE CLIENTES'!A:E,2,0)</f>
        <v>Luziânia</v>
      </c>
      <c r="D3577" s="1" t="str">
        <f>VLOOKUP(Tabela1[[#This Row],[Cliente]],'BASE DE CLIENTES'!A:C,3,0)</f>
        <v>GO</v>
      </c>
      <c r="E3577" s="4" t="str">
        <f>CONCATENATE(Tabela1[[#This Row],[CIDADE]],",",Tabela1[[#This Row],[UF]])</f>
        <v>Luziânia,GO</v>
      </c>
      <c r="F3577" s="2">
        <v>45995</v>
      </c>
      <c r="G3577" s="17">
        <v>316.2</v>
      </c>
      <c r="H3577" s="17">
        <v>410</v>
      </c>
      <c r="I3577" s="6">
        <f>Tabela1[[#This Row],[Valor total]]-Tabela1[[#This Row],[Valor custo]]</f>
        <v>93.800000000000011</v>
      </c>
      <c r="J3577" s="7">
        <f>Tabela1[[#This Row],[MARGEM BRUTA]]/Tabela1[[#This Row],[Valor total]]</f>
        <v>0.22878048780487809</v>
      </c>
      <c r="K3577" s="1" t="str">
        <f>VLOOKUP(Tabela1[[#This Row],[Cliente]],'BASE DE CLIENTES'!A:D,4,0)</f>
        <v>EMPRESA COM MAQUINA</v>
      </c>
      <c r="L3577" s="1" t="str">
        <f>VLOOKUP(Tabela1[[#This Row],[Cliente]],'BASE DE CLIENTES'!A:E,5,0)</f>
        <v>Luziânia</v>
      </c>
    </row>
    <row r="3578" spans="2:12" x14ac:dyDescent="0.3">
      <c r="B3578" s="1" t="s">
        <v>357</v>
      </c>
      <c r="C3578" s="4" t="str">
        <f>VLOOKUP(Tabela1[[#This Row],[Cliente]],'BASE DE CLIENTES'!A:E,2,0)</f>
        <v>Brasília</v>
      </c>
      <c r="D3578" s="1" t="str">
        <f>VLOOKUP(Tabela1[[#This Row],[Cliente]],'BASE DE CLIENTES'!A:C,3,0)</f>
        <v>DF</v>
      </c>
      <c r="E3578" s="4" t="str">
        <f>CONCATENATE(Tabela1[[#This Row],[CIDADE]],",",Tabela1[[#This Row],[UF]])</f>
        <v>Brasília,DF</v>
      </c>
      <c r="F3578" s="2">
        <v>45995</v>
      </c>
      <c r="G3578" s="17">
        <v>544</v>
      </c>
      <c r="H3578" s="17">
        <v>1100</v>
      </c>
      <c r="I3578" s="6">
        <f>Tabela1[[#This Row],[Valor total]]-Tabela1[[#This Row],[Valor custo]]</f>
        <v>556</v>
      </c>
      <c r="J3578" s="7">
        <f>Tabela1[[#This Row],[MARGEM BRUTA]]/Tabela1[[#This Row],[Valor total]]</f>
        <v>0.50545454545454549</v>
      </c>
      <c r="K3578" s="1" t="str">
        <f>VLOOKUP(Tabela1[[#This Row],[Cliente]],'BASE DE CLIENTES'!A:D,4,0)</f>
        <v>CLIENTE NOVO S/ IDENT.</v>
      </c>
      <c r="L3578" s="1" t="str">
        <f>VLOOKUP(Tabela1[[#This Row],[Cliente]],'BASE DE CLIENTES'!A:E,5,0)</f>
        <v>Brasília</v>
      </c>
    </row>
    <row r="3579" spans="2:12" x14ac:dyDescent="0.3">
      <c r="B3579" s="1" t="s">
        <v>68</v>
      </c>
      <c r="C3579" s="4" t="str">
        <f>VLOOKUP(Tabela1[[#This Row],[Cliente]],'BASE DE CLIENTES'!A:E,2,0)</f>
        <v>Brasília</v>
      </c>
      <c r="D3579" s="1" t="str">
        <f>VLOOKUP(Tabela1[[#This Row],[Cliente]],'BASE DE CLIENTES'!A:C,3,0)</f>
        <v>DF</v>
      </c>
      <c r="E3579" s="4" t="str">
        <f>CONCATENATE(Tabela1[[#This Row],[CIDADE]],",",Tabela1[[#This Row],[UF]])</f>
        <v>Brasília,DF</v>
      </c>
      <c r="F3579" s="2">
        <v>45994</v>
      </c>
      <c r="G3579" s="17">
        <v>970</v>
      </c>
      <c r="H3579" s="17">
        <v>1550</v>
      </c>
      <c r="I3579" s="6">
        <f>Tabela1[[#This Row],[Valor total]]-Tabela1[[#This Row],[Valor custo]]</f>
        <v>580</v>
      </c>
      <c r="J3579" s="7">
        <f>Tabela1[[#This Row],[MARGEM BRUTA]]/Tabela1[[#This Row],[Valor total]]</f>
        <v>0.37419354838709679</v>
      </c>
      <c r="K3579" s="1" t="str">
        <f>VLOOKUP(Tabela1[[#This Row],[Cliente]],'BASE DE CLIENTES'!A:D,4,0)</f>
        <v>EMPRESA COM MAQUINA</v>
      </c>
      <c r="L3579" s="1" t="str">
        <f>VLOOKUP(Tabela1[[#This Row],[Cliente]],'BASE DE CLIENTES'!A:E,5,0)</f>
        <v>SAMAMBAIA SUL (SAMAMBAIA)</v>
      </c>
    </row>
    <row r="3580" spans="2:12" x14ac:dyDescent="0.3">
      <c r="B3580" s="1" t="s">
        <v>27</v>
      </c>
      <c r="C3580" s="4" t="str">
        <f>VLOOKUP(Tabela1[[#This Row],[Cliente]],'BASE DE CLIENTES'!A:E,2,0)</f>
        <v>Brasília</v>
      </c>
      <c r="D3580" s="1" t="str">
        <f>VLOOKUP(Tabela1[[#This Row],[Cliente]],'BASE DE CLIENTES'!A:C,3,0)</f>
        <v>DF</v>
      </c>
      <c r="E3580" s="4" t="str">
        <f>CONCATENATE(Tabela1[[#This Row],[CIDADE]],",",Tabela1[[#This Row],[UF]])</f>
        <v>Brasília,DF</v>
      </c>
      <c r="F3580" s="2">
        <v>45995</v>
      </c>
      <c r="G3580" s="17">
        <v>289</v>
      </c>
      <c r="H3580" s="17">
        <v>500</v>
      </c>
      <c r="I3580" s="6">
        <f>Tabela1[[#This Row],[Valor total]]-Tabela1[[#This Row],[Valor custo]]</f>
        <v>211</v>
      </c>
      <c r="J3580" s="7">
        <f>Tabela1[[#This Row],[MARGEM BRUTA]]/Tabela1[[#This Row],[Valor total]]</f>
        <v>0.42199999999999999</v>
      </c>
      <c r="K3580" s="1" t="str">
        <f>VLOOKUP(Tabela1[[#This Row],[Cliente]],'BASE DE CLIENTES'!A:D,4,0)</f>
        <v>EMPRESA SEM MAQUINA</v>
      </c>
      <c r="L3580" s="1" t="str">
        <f>VLOOKUP(Tabela1[[#This Row],[Cliente]],'BASE DE CLIENTES'!A:E,5,0)</f>
        <v>RECANTO DAS EMAS</v>
      </c>
    </row>
    <row r="3581" spans="2:12" x14ac:dyDescent="0.3">
      <c r="B3581" s="1" t="s">
        <v>199</v>
      </c>
      <c r="C3581" s="4" t="str">
        <f>VLOOKUP(Tabela1[[#This Row],[Cliente]],'BASE DE CLIENTES'!A:E,2,0)</f>
        <v>Goiânia</v>
      </c>
      <c r="D3581" s="1" t="str">
        <f>VLOOKUP(Tabela1[[#This Row],[Cliente]],'BASE DE CLIENTES'!A:C,3,0)</f>
        <v>GO</v>
      </c>
      <c r="E3581" s="4" t="str">
        <f>CONCATENATE(Tabela1[[#This Row],[CIDADE]],",",Tabela1[[#This Row],[UF]])</f>
        <v>Goiânia,GO</v>
      </c>
      <c r="F3581" s="2">
        <v>45995</v>
      </c>
      <c r="G3581" s="17">
        <v>108.15</v>
      </c>
      <c r="H3581" s="17">
        <v>375</v>
      </c>
      <c r="I3581" s="6">
        <f>Tabela1[[#This Row],[Valor total]]-Tabela1[[#This Row],[Valor custo]]</f>
        <v>266.85000000000002</v>
      </c>
      <c r="J3581" s="7">
        <f>Tabela1[[#This Row],[MARGEM BRUTA]]/Tabela1[[#This Row],[Valor total]]</f>
        <v>0.71160000000000001</v>
      </c>
      <c r="K3581" s="1" t="str">
        <f>VLOOKUP(Tabela1[[#This Row],[Cliente]],'BASE DE CLIENTES'!A:D,4,0)</f>
        <v>EMPRESA COM MAQUINA</v>
      </c>
      <c r="L3581" s="1" t="str">
        <f>VLOOKUP(Tabela1[[#This Row],[Cliente]],'BASE DE CLIENTES'!A:E,5,0)</f>
        <v>Goiânia</v>
      </c>
    </row>
    <row r="3582" spans="2:12" x14ac:dyDescent="0.3">
      <c r="B3582" s="1" t="s">
        <v>38</v>
      </c>
      <c r="C3582" s="4" t="str">
        <f>VLOOKUP(Tabela1[[#This Row],[Cliente]],'BASE DE CLIENTES'!A:E,2,0)</f>
        <v>Brasília</v>
      </c>
      <c r="D3582" s="1" t="str">
        <f>VLOOKUP(Tabela1[[#This Row],[Cliente]],'BASE DE CLIENTES'!A:C,3,0)</f>
        <v>DF</v>
      </c>
      <c r="E3582" s="4" t="str">
        <f>CONCATENATE(Tabela1[[#This Row],[CIDADE]],",",Tabela1[[#This Row],[UF]])</f>
        <v>Brasília,DF</v>
      </c>
      <c r="F3582" s="2">
        <v>45995</v>
      </c>
      <c r="G3582" s="17">
        <v>470.3</v>
      </c>
      <c r="H3582" s="17">
        <v>850</v>
      </c>
      <c r="I3582" s="6">
        <f>Tabela1[[#This Row],[Valor total]]-Tabela1[[#This Row],[Valor custo]]</f>
        <v>379.7</v>
      </c>
      <c r="J3582" s="7">
        <f>Tabela1[[#This Row],[MARGEM BRUTA]]/Tabela1[[#This Row],[Valor total]]</f>
        <v>0.44670588235294117</v>
      </c>
      <c r="K3582" s="1" t="str">
        <f>VLOOKUP(Tabela1[[#This Row],[Cliente]],'BASE DE CLIENTES'!A:D,4,0)</f>
        <v>EMPRESA SEM MAQUINA</v>
      </c>
      <c r="L3582" s="1" t="str">
        <f>VLOOKUP(Tabela1[[#This Row],[Cliente]],'BASE DE CLIENTES'!A:E,5,0)</f>
        <v>PONTE ALTA NORTE (GAMA)</v>
      </c>
    </row>
    <row r="3583" spans="2:12" x14ac:dyDescent="0.3">
      <c r="B3583" s="1" t="s">
        <v>70</v>
      </c>
      <c r="C3583" s="4" t="str">
        <f>VLOOKUP(Tabela1[[#This Row],[Cliente]],'BASE DE CLIENTES'!A:E,2,0)</f>
        <v>Brasília</v>
      </c>
      <c r="D3583" s="1" t="str">
        <f>VLOOKUP(Tabela1[[#This Row],[Cliente]],'BASE DE CLIENTES'!A:C,3,0)</f>
        <v>DF</v>
      </c>
      <c r="E3583" s="4" t="str">
        <f>CONCATENATE(Tabela1[[#This Row],[CIDADE]],",",Tabela1[[#This Row],[UF]])</f>
        <v>Brasília,DF</v>
      </c>
      <c r="F3583" s="2">
        <v>45995</v>
      </c>
      <c r="G3583" s="17">
        <v>2163.9499999999998</v>
      </c>
      <c r="H3583" s="17">
        <v>3250</v>
      </c>
      <c r="I3583" s="6">
        <f>Tabela1[[#This Row],[Valor total]]-Tabela1[[#This Row],[Valor custo]]</f>
        <v>1086.0500000000002</v>
      </c>
      <c r="J3583" s="7">
        <f>Tabela1[[#This Row],[MARGEM BRUTA]]/Tabela1[[#This Row],[Valor total]]</f>
        <v>0.33416923076923083</v>
      </c>
      <c r="K3583" s="1" t="str">
        <f>VLOOKUP(Tabela1[[#This Row],[Cliente]],'BASE DE CLIENTES'!A:D,4,0)</f>
        <v>EMPRESA COM MAQUINA</v>
      </c>
      <c r="L3583" s="1" t="str">
        <f>VLOOKUP(Tabela1[[#This Row],[Cliente]],'BASE DE CLIENTES'!A:E,5,0)</f>
        <v>TAGUATINGA NORTE (TAGUATINGA)</v>
      </c>
    </row>
    <row r="3584" spans="2:12" x14ac:dyDescent="0.3">
      <c r="B3584" s="1" t="s">
        <v>96</v>
      </c>
      <c r="C3584" s="4" t="str">
        <f>VLOOKUP(Tabela1[[#This Row],[Cliente]],'BASE DE CLIENTES'!A:E,2,0)</f>
        <v>Brasília</v>
      </c>
      <c r="D3584" s="1" t="str">
        <f>VLOOKUP(Tabela1[[#This Row],[Cliente]],'BASE DE CLIENTES'!A:C,3,0)</f>
        <v>DF</v>
      </c>
      <c r="E3584" s="4" t="str">
        <f>CONCATENATE(Tabela1[[#This Row],[CIDADE]],",",Tabela1[[#This Row],[UF]])</f>
        <v>Brasília,DF</v>
      </c>
      <c r="F3584" s="2">
        <v>45995</v>
      </c>
      <c r="G3584" s="17">
        <v>125</v>
      </c>
      <c r="H3584" s="17">
        <v>150</v>
      </c>
      <c r="I3584" s="6">
        <f>Tabela1[[#This Row],[Valor total]]-Tabela1[[#This Row],[Valor custo]]</f>
        <v>25</v>
      </c>
      <c r="J3584" s="7">
        <f>Tabela1[[#This Row],[MARGEM BRUTA]]/Tabela1[[#This Row],[Valor total]]</f>
        <v>0.16666666666666666</v>
      </c>
      <c r="K3584" s="1" t="str">
        <f>VLOOKUP(Tabela1[[#This Row],[Cliente]],'BASE DE CLIENTES'!A:D,4,0)</f>
        <v>EMPRESA SEM MAQUINA</v>
      </c>
      <c r="L3584" s="1" t="str">
        <f>VLOOKUP(Tabela1[[#This Row],[Cliente]],'BASE DE CLIENTES'!A:E,5,0)</f>
        <v>CEILANDIA NORTE (CEILANDIA)</v>
      </c>
    </row>
    <row r="3585" spans="2:12" x14ac:dyDescent="0.3">
      <c r="B3585" s="1" t="s">
        <v>236</v>
      </c>
      <c r="C3585" s="4" t="str">
        <f>VLOOKUP(Tabela1[[#This Row],[Cliente]],'BASE DE CLIENTES'!A:E,2,0)</f>
        <v>Goiânia</v>
      </c>
      <c r="D3585" s="1" t="str">
        <f>VLOOKUP(Tabela1[[#This Row],[Cliente]],'BASE DE CLIENTES'!A:C,3,0)</f>
        <v>GO</v>
      </c>
      <c r="E3585" s="4" t="str">
        <f>CONCATENATE(Tabela1[[#This Row],[CIDADE]],",",Tabela1[[#This Row],[UF]])</f>
        <v>Goiânia,GO</v>
      </c>
      <c r="F3585" s="2">
        <v>45995</v>
      </c>
      <c r="G3585" s="17">
        <v>463</v>
      </c>
      <c r="H3585" s="17">
        <v>685</v>
      </c>
      <c r="I3585" s="6">
        <f>Tabela1[[#This Row],[Valor total]]-Tabela1[[#This Row],[Valor custo]]</f>
        <v>222</v>
      </c>
      <c r="J3585" s="7">
        <f>Tabela1[[#This Row],[MARGEM BRUTA]]/Tabela1[[#This Row],[Valor total]]</f>
        <v>0.32408759124087594</v>
      </c>
      <c r="K3585" s="1" t="str">
        <f>VLOOKUP(Tabela1[[#This Row],[Cliente]],'BASE DE CLIENTES'!A:D,4,0)</f>
        <v>EMPRESA COM MAQUINA</v>
      </c>
      <c r="L3585" s="1" t="str">
        <f>VLOOKUP(Tabela1[[#This Row],[Cliente]],'BASE DE CLIENTES'!A:E,5,0)</f>
        <v>Goiânia</v>
      </c>
    </row>
    <row r="3586" spans="2:12" x14ac:dyDescent="0.3">
      <c r="B3586" s="1" t="s">
        <v>141</v>
      </c>
      <c r="C3586" s="4" t="str">
        <f>VLOOKUP(Tabela1[[#This Row],[Cliente]],'BASE DE CLIENTES'!A:E,2,0)</f>
        <v>Brasília</v>
      </c>
      <c r="D3586" s="1" t="str">
        <f>VLOOKUP(Tabela1[[#This Row],[Cliente]],'BASE DE CLIENTES'!A:C,3,0)</f>
        <v>DF</v>
      </c>
      <c r="E3586" s="4" t="str">
        <f>CONCATENATE(Tabela1[[#This Row],[CIDADE]],",",Tabela1[[#This Row],[UF]])</f>
        <v>Brasília,DF</v>
      </c>
      <c r="F3586" s="2">
        <v>45995</v>
      </c>
      <c r="G3586" s="17">
        <v>5344</v>
      </c>
      <c r="H3586" s="17">
        <v>7150</v>
      </c>
      <c r="I3586" s="6">
        <f>Tabela1[[#This Row],[Valor total]]-Tabela1[[#This Row],[Valor custo]]</f>
        <v>1806</v>
      </c>
      <c r="J3586" s="7">
        <f>Tabela1[[#This Row],[MARGEM BRUTA]]/Tabela1[[#This Row],[Valor total]]</f>
        <v>0.25258741258741257</v>
      </c>
      <c r="K3586" s="1" t="str">
        <f>VLOOKUP(Tabela1[[#This Row],[Cliente]],'BASE DE CLIENTES'!A:D,4,0)</f>
        <v>EMPRESA COM MAQUINA</v>
      </c>
      <c r="L3586" s="1" t="str">
        <f>VLOOKUP(Tabela1[[#This Row],[Cliente]],'BASE DE CLIENTES'!A:E,5,0)</f>
        <v>TAGUATINGA</v>
      </c>
    </row>
    <row r="3587" spans="2:12" x14ac:dyDescent="0.3">
      <c r="B3587" s="1" t="s">
        <v>321</v>
      </c>
      <c r="C3587" s="4" t="str">
        <f>VLOOKUP(Tabela1[[#This Row],[Cliente]],'BASE DE CLIENTES'!A:E,2,0)</f>
        <v>Valparaíso de Goiás</v>
      </c>
      <c r="D3587" s="1" t="str">
        <f>VLOOKUP(Tabela1[[#This Row],[Cliente]],'BASE DE CLIENTES'!A:C,3,0)</f>
        <v>GO</v>
      </c>
      <c r="E3587" s="4" t="str">
        <f>CONCATENATE(Tabela1[[#This Row],[CIDADE]],",",Tabela1[[#This Row],[UF]])</f>
        <v>Valparaíso de Goiás,GO</v>
      </c>
      <c r="F3587" s="2">
        <v>45993</v>
      </c>
      <c r="G3587" s="17">
        <v>1081.79</v>
      </c>
      <c r="H3587" s="17">
        <v>1605</v>
      </c>
      <c r="I3587" s="6">
        <f>Tabela1[[#This Row],[Valor total]]-Tabela1[[#This Row],[Valor custo]]</f>
        <v>523.21</v>
      </c>
      <c r="J3587" s="7">
        <f>Tabela1[[#This Row],[MARGEM BRUTA]]/Tabela1[[#This Row],[Valor total]]</f>
        <v>0.32598753894081001</v>
      </c>
      <c r="K3587" s="1" t="str">
        <f>VLOOKUP(Tabela1[[#This Row],[Cliente]],'BASE DE CLIENTES'!A:D,4,0)</f>
        <v>EMPRESA COM MAQUINA</v>
      </c>
      <c r="L3587" s="1" t="str">
        <f>VLOOKUP(Tabela1[[#This Row],[Cliente]],'BASE DE CLIENTES'!A:E,5,0)</f>
        <v>Valparaíso de Goiás</v>
      </c>
    </row>
    <row r="3588" spans="2:12" x14ac:dyDescent="0.3">
      <c r="B3588" s="1" t="s">
        <v>111</v>
      </c>
      <c r="C3588" s="4" t="str">
        <f>VLOOKUP(Tabela1[[#This Row],[Cliente]],'BASE DE CLIENTES'!A:E,2,0)</f>
        <v>Brasília</v>
      </c>
      <c r="D3588" s="1" t="str">
        <f>VLOOKUP(Tabela1[[#This Row],[Cliente]],'BASE DE CLIENTES'!A:C,3,0)</f>
        <v>DF</v>
      </c>
      <c r="E3588" s="4" t="str">
        <f>CONCATENATE(Tabela1[[#This Row],[CIDADE]],",",Tabela1[[#This Row],[UF]])</f>
        <v>Brasília,DF</v>
      </c>
      <c r="F3588" s="2">
        <v>45995</v>
      </c>
      <c r="G3588" s="17">
        <v>1631.72</v>
      </c>
      <c r="H3588" s="17">
        <v>2780</v>
      </c>
      <c r="I3588" s="6">
        <f>Tabela1[[#This Row],[Valor total]]-Tabela1[[#This Row],[Valor custo]]</f>
        <v>1148.28</v>
      </c>
      <c r="J3588" s="7">
        <f>Tabela1[[#This Row],[MARGEM BRUTA]]/Tabela1[[#This Row],[Valor total]]</f>
        <v>0.4130503597122302</v>
      </c>
      <c r="K3588" s="1" t="str">
        <f>VLOOKUP(Tabela1[[#This Row],[Cliente]],'BASE DE CLIENTES'!A:D,4,0)</f>
        <v>EMPRESA SEM MAQUINA</v>
      </c>
      <c r="L3588" s="1" t="str">
        <f>VLOOKUP(Tabela1[[#This Row],[Cliente]],'BASE DE CLIENTES'!A:E,5,0)</f>
        <v>TAGUATINGA SUL (TAGUATINGA)</v>
      </c>
    </row>
    <row r="3589" spans="2:12" x14ac:dyDescent="0.3">
      <c r="B3589" s="1" t="s">
        <v>52</v>
      </c>
      <c r="C3589" s="4" t="str">
        <f>VLOOKUP(Tabela1[[#This Row],[Cliente]],'BASE DE CLIENTES'!A:E,2,0)</f>
        <v>Brasília</v>
      </c>
      <c r="D3589" s="1" t="str">
        <f>VLOOKUP(Tabela1[[#This Row],[Cliente]],'BASE DE CLIENTES'!A:C,3,0)</f>
        <v>DF</v>
      </c>
      <c r="E3589" s="4" t="str">
        <f>CONCATENATE(Tabela1[[#This Row],[CIDADE]],",",Tabela1[[#This Row],[UF]])</f>
        <v>Brasília,DF</v>
      </c>
      <c r="F3589" s="2">
        <v>45994</v>
      </c>
      <c r="G3589" s="17">
        <v>649</v>
      </c>
      <c r="H3589" s="17">
        <v>200</v>
      </c>
      <c r="I3589" s="6">
        <f>Tabela1[[#This Row],[Valor total]]-Tabela1[[#This Row],[Valor custo]]</f>
        <v>-449</v>
      </c>
      <c r="J3589" s="7">
        <f>Tabela1[[#This Row],[MARGEM BRUTA]]/Tabela1[[#This Row],[Valor total]]</f>
        <v>-2.2450000000000001</v>
      </c>
      <c r="K3589" s="1" t="str">
        <f>VLOOKUP(Tabela1[[#This Row],[Cliente]],'BASE DE CLIENTES'!A:D,4,0)</f>
        <v>SERRALHEIRO</v>
      </c>
      <c r="L3589" s="1" t="str">
        <f>VLOOKUP(Tabela1[[#This Row],[Cliente]],'BASE DE CLIENTES'!A:E,5,0)</f>
        <v>Ceilândia Sul (Ceilândia)</v>
      </c>
    </row>
    <row r="3590" spans="2:12" x14ac:dyDescent="0.3">
      <c r="B3590" s="1" t="s">
        <v>70</v>
      </c>
      <c r="C3590" s="4" t="str">
        <f>VLOOKUP(Tabela1[[#This Row],[Cliente]],'BASE DE CLIENTES'!A:E,2,0)</f>
        <v>Brasília</v>
      </c>
      <c r="D3590" s="1" t="str">
        <f>VLOOKUP(Tabela1[[#This Row],[Cliente]],'BASE DE CLIENTES'!A:C,3,0)</f>
        <v>DF</v>
      </c>
      <c r="E3590" s="4" t="str">
        <f>CONCATENATE(Tabela1[[#This Row],[CIDADE]],",",Tabela1[[#This Row],[UF]])</f>
        <v>Brasília,DF</v>
      </c>
      <c r="F3590" s="2">
        <v>45994</v>
      </c>
      <c r="G3590" s="17">
        <v>106.7</v>
      </c>
      <c r="H3590" s="17">
        <v>290</v>
      </c>
      <c r="I3590" s="6">
        <f>Tabela1[[#This Row],[Valor total]]-Tabela1[[#This Row],[Valor custo]]</f>
        <v>183.3</v>
      </c>
      <c r="J3590" s="7">
        <f>Tabela1[[#This Row],[MARGEM BRUTA]]/Tabela1[[#This Row],[Valor total]]</f>
        <v>0.63206896551724145</v>
      </c>
      <c r="K3590" s="1" t="str">
        <f>VLOOKUP(Tabela1[[#This Row],[Cliente]],'BASE DE CLIENTES'!A:D,4,0)</f>
        <v>EMPRESA COM MAQUINA</v>
      </c>
      <c r="L3590" s="1" t="str">
        <f>VLOOKUP(Tabela1[[#This Row],[Cliente]],'BASE DE CLIENTES'!A:E,5,0)</f>
        <v>TAGUATINGA NORTE (TAGUATINGA)</v>
      </c>
    </row>
    <row r="3591" spans="2:12" x14ac:dyDescent="0.3">
      <c r="B3591" s="1" t="s">
        <v>138</v>
      </c>
      <c r="C3591" s="4" t="str">
        <f>VLOOKUP(Tabela1[[#This Row],[Cliente]],'BASE DE CLIENTES'!A:E,2,0)</f>
        <v>Brasília</v>
      </c>
      <c r="D3591" s="1" t="str">
        <f>VLOOKUP(Tabela1[[#This Row],[Cliente]],'BASE DE CLIENTES'!A:C,3,0)</f>
        <v>DF</v>
      </c>
      <c r="E3591" s="4" t="str">
        <f>CONCATENATE(Tabela1[[#This Row],[CIDADE]],",",Tabela1[[#This Row],[UF]])</f>
        <v>Brasília,DF</v>
      </c>
      <c r="F3591" s="2">
        <v>45994</v>
      </c>
      <c r="G3591" s="17">
        <v>360.5</v>
      </c>
      <c r="H3591" s="17">
        <v>1000</v>
      </c>
      <c r="I3591" s="6">
        <f>Tabela1[[#This Row],[Valor total]]-Tabela1[[#This Row],[Valor custo]]</f>
        <v>639.5</v>
      </c>
      <c r="J3591" s="7">
        <f>Tabela1[[#This Row],[MARGEM BRUTA]]/Tabela1[[#This Row],[Valor total]]</f>
        <v>0.63949999999999996</v>
      </c>
      <c r="K3591" s="1" t="str">
        <f>VLOOKUP(Tabela1[[#This Row],[Cliente]],'BASE DE CLIENTES'!A:D,4,0)</f>
        <v>OUTROS RAMOS</v>
      </c>
      <c r="L3591" s="1" t="str">
        <f>VLOOKUP(Tabela1[[#This Row],[Cliente]],'BASE DE CLIENTES'!A:E,5,0)</f>
        <v>CEILANDIA NORTE (CEILANDIA)</v>
      </c>
    </row>
    <row r="3592" spans="2:12" x14ac:dyDescent="0.3">
      <c r="B3592" s="1" t="s">
        <v>52</v>
      </c>
      <c r="C3592" s="4" t="str">
        <f>VLOOKUP(Tabela1[[#This Row],[Cliente]],'BASE DE CLIENTES'!A:E,2,0)</f>
        <v>Brasília</v>
      </c>
      <c r="D3592" s="1" t="str">
        <f>VLOOKUP(Tabela1[[#This Row],[Cliente]],'BASE DE CLIENTES'!A:C,3,0)</f>
        <v>DF</v>
      </c>
      <c r="E3592" s="4" t="str">
        <f>CONCATENATE(Tabela1[[#This Row],[CIDADE]],",",Tabela1[[#This Row],[UF]])</f>
        <v>Brasília,DF</v>
      </c>
      <c r="F3592" s="2">
        <v>45994</v>
      </c>
      <c r="G3592" s="17">
        <v>2096.38</v>
      </c>
      <c r="H3592" s="17">
        <v>2883</v>
      </c>
      <c r="I3592" s="6">
        <f>Tabela1[[#This Row],[Valor total]]-Tabela1[[#This Row],[Valor custo]]</f>
        <v>786.61999999999989</v>
      </c>
      <c r="J3592" s="7">
        <f>Tabela1[[#This Row],[MARGEM BRUTA]]/Tabela1[[#This Row],[Valor total]]</f>
        <v>0.27284772806104746</v>
      </c>
      <c r="K3592" s="1" t="str">
        <f>VLOOKUP(Tabela1[[#This Row],[Cliente]],'BASE DE CLIENTES'!A:D,4,0)</f>
        <v>SERRALHEIRO</v>
      </c>
      <c r="L3592" s="1" t="str">
        <f>VLOOKUP(Tabela1[[#This Row],[Cliente]],'BASE DE CLIENTES'!A:E,5,0)</f>
        <v>Ceilândia Sul (Ceilândia)</v>
      </c>
    </row>
    <row r="3593" spans="2:12" x14ac:dyDescent="0.3">
      <c r="B3593" s="1" t="s">
        <v>256</v>
      </c>
      <c r="C3593" s="4" t="str">
        <f>VLOOKUP(Tabela1[[#This Row],[Cliente]],'BASE DE CLIENTES'!A:E,2,0)</f>
        <v>Luziânia</v>
      </c>
      <c r="D3593" s="1" t="str">
        <f>VLOOKUP(Tabela1[[#This Row],[Cliente]],'BASE DE CLIENTES'!A:C,3,0)</f>
        <v>GO</v>
      </c>
      <c r="E3593" s="4" t="str">
        <f>CONCATENATE(Tabela1[[#This Row],[CIDADE]],",",Tabela1[[#This Row],[UF]])</f>
        <v>Luziânia,GO</v>
      </c>
      <c r="F3593" s="2">
        <v>45994</v>
      </c>
      <c r="G3593" s="17">
        <v>485</v>
      </c>
      <c r="H3593" s="17">
        <v>810</v>
      </c>
      <c r="I3593" s="6">
        <f>Tabela1[[#This Row],[Valor total]]-Tabela1[[#This Row],[Valor custo]]</f>
        <v>325</v>
      </c>
      <c r="J3593" s="7">
        <f>Tabela1[[#This Row],[MARGEM BRUTA]]/Tabela1[[#This Row],[Valor total]]</f>
        <v>0.40123456790123457</v>
      </c>
      <c r="K3593" s="1" t="str">
        <f>VLOOKUP(Tabela1[[#This Row],[Cliente]],'BASE DE CLIENTES'!A:D,4,0)</f>
        <v>SERRALHEIRO</v>
      </c>
      <c r="L3593" s="1" t="str">
        <f>VLOOKUP(Tabela1[[#This Row],[Cliente]],'BASE DE CLIENTES'!A:E,5,0)</f>
        <v>Luziânia</v>
      </c>
    </row>
    <row r="3594" spans="2:12" x14ac:dyDescent="0.3">
      <c r="B3594" s="1" t="s">
        <v>256</v>
      </c>
      <c r="C3594" s="4" t="str">
        <f>VLOOKUP(Tabela1[[#This Row],[Cliente]],'BASE DE CLIENTES'!A:E,2,0)</f>
        <v>Luziânia</v>
      </c>
      <c r="D3594" s="1" t="str">
        <f>VLOOKUP(Tabela1[[#This Row],[Cliente]],'BASE DE CLIENTES'!A:C,3,0)</f>
        <v>GO</v>
      </c>
      <c r="E3594" s="4" t="str">
        <f>CONCATENATE(Tabela1[[#This Row],[CIDADE]],",",Tabela1[[#This Row],[UF]])</f>
        <v>Luziânia,GO</v>
      </c>
      <c r="F3594" s="2">
        <v>45994</v>
      </c>
      <c r="G3594" s="17">
        <v>1363.5</v>
      </c>
      <c r="H3594" s="17">
        <v>1885</v>
      </c>
      <c r="I3594" s="6">
        <f>Tabela1[[#This Row],[Valor total]]-Tabela1[[#This Row],[Valor custo]]</f>
        <v>521.5</v>
      </c>
      <c r="J3594" s="7">
        <f>Tabela1[[#This Row],[MARGEM BRUTA]]/Tabela1[[#This Row],[Valor total]]</f>
        <v>0.27665782493368701</v>
      </c>
      <c r="K3594" s="1" t="str">
        <f>VLOOKUP(Tabela1[[#This Row],[Cliente]],'BASE DE CLIENTES'!A:D,4,0)</f>
        <v>SERRALHEIRO</v>
      </c>
      <c r="L3594" s="1" t="str">
        <f>VLOOKUP(Tabela1[[#This Row],[Cliente]],'BASE DE CLIENTES'!A:E,5,0)</f>
        <v>Luziânia</v>
      </c>
    </row>
    <row r="3595" spans="2:12" x14ac:dyDescent="0.3">
      <c r="B3595" s="1" t="s">
        <v>66</v>
      </c>
      <c r="C3595" s="4" t="str">
        <f>VLOOKUP(Tabela1[[#This Row],[Cliente]],'BASE DE CLIENTES'!A:E,2,0)</f>
        <v>Águas Lindas de Goiás</v>
      </c>
      <c r="D3595" s="1" t="str">
        <f>VLOOKUP(Tabela1[[#This Row],[Cliente]],'BASE DE CLIENTES'!A:C,3,0)</f>
        <v>GO</v>
      </c>
      <c r="E3595" s="4" t="str">
        <f>CONCATENATE(Tabela1[[#This Row],[CIDADE]],",",Tabela1[[#This Row],[UF]])</f>
        <v>Águas Lindas de Goiás,GO</v>
      </c>
      <c r="F3595" s="2">
        <v>45994</v>
      </c>
      <c r="G3595" s="17">
        <v>2626</v>
      </c>
      <c r="H3595" s="17">
        <v>2900</v>
      </c>
      <c r="I3595" s="6">
        <f>Tabela1[[#This Row],[Valor total]]-Tabela1[[#This Row],[Valor custo]]</f>
        <v>274</v>
      </c>
      <c r="J3595" s="7">
        <f>Tabela1[[#This Row],[MARGEM BRUTA]]/Tabela1[[#This Row],[Valor total]]</f>
        <v>9.4482758620689652E-2</v>
      </c>
      <c r="K3595" s="1" t="str">
        <f>VLOOKUP(Tabela1[[#This Row],[Cliente]],'BASE DE CLIENTES'!A:D,4,0)</f>
        <v>EMPRESA COM MAQUINA</v>
      </c>
      <c r="L3595" s="1" t="str">
        <f>VLOOKUP(Tabela1[[#This Row],[Cliente]],'BASE DE CLIENTES'!A:E,5,0)</f>
        <v>Águas Lindas de Goiás</v>
      </c>
    </row>
    <row r="3596" spans="2:12" x14ac:dyDescent="0.3">
      <c r="B3596" s="1" t="s">
        <v>253</v>
      </c>
      <c r="C3596" s="4" t="str">
        <f>VLOOKUP(Tabela1[[#This Row],[Cliente]],'BASE DE CLIENTES'!A:E,2,0)</f>
        <v>Luziânia</v>
      </c>
      <c r="D3596" s="1" t="str">
        <f>VLOOKUP(Tabela1[[#This Row],[Cliente]],'BASE DE CLIENTES'!A:C,3,0)</f>
        <v>GO</v>
      </c>
      <c r="E3596" s="4" t="str">
        <f>CONCATENATE(Tabela1[[#This Row],[CIDADE]],",",Tabela1[[#This Row],[UF]])</f>
        <v>Luziânia,GO</v>
      </c>
      <c r="F3596" s="2">
        <v>45994</v>
      </c>
      <c r="G3596" s="17">
        <v>485</v>
      </c>
      <c r="H3596" s="17">
        <v>710</v>
      </c>
      <c r="I3596" s="6">
        <f>Tabela1[[#This Row],[Valor total]]-Tabela1[[#This Row],[Valor custo]]</f>
        <v>225</v>
      </c>
      <c r="J3596" s="7">
        <f>Tabela1[[#This Row],[MARGEM BRUTA]]/Tabela1[[#This Row],[Valor total]]</f>
        <v>0.31690140845070425</v>
      </c>
      <c r="K3596" s="1" t="str">
        <f>VLOOKUP(Tabela1[[#This Row],[Cliente]],'BASE DE CLIENTES'!A:D,4,0)</f>
        <v>EMPRESA COM MAQUINA</v>
      </c>
      <c r="L3596" s="1" t="str">
        <f>VLOOKUP(Tabela1[[#This Row],[Cliente]],'BASE DE CLIENTES'!A:E,5,0)</f>
        <v>Luziânia</v>
      </c>
    </row>
    <row r="3597" spans="2:12" x14ac:dyDescent="0.3">
      <c r="B3597" s="1" t="s">
        <v>92</v>
      </c>
      <c r="C3597" s="4" t="str">
        <f>VLOOKUP(Tabela1[[#This Row],[Cliente]],'BASE DE CLIENTES'!A:E,2,0)</f>
        <v>Brasília</v>
      </c>
      <c r="D3597" s="1" t="str">
        <f>VLOOKUP(Tabela1[[#This Row],[Cliente]],'BASE DE CLIENTES'!A:C,3,0)</f>
        <v>DF</v>
      </c>
      <c r="E3597" s="4" t="str">
        <f>CONCATENATE(Tabela1[[#This Row],[CIDADE]],",",Tabela1[[#This Row],[UF]])</f>
        <v>Brasília,DF</v>
      </c>
      <c r="F3597" s="2">
        <v>45994</v>
      </c>
      <c r="G3597" s="17">
        <v>1298</v>
      </c>
      <c r="H3597" s="17">
        <v>1600</v>
      </c>
      <c r="I3597" s="6">
        <f>Tabela1[[#This Row],[Valor total]]-Tabela1[[#This Row],[Valor custo]]</f>
        <v>302</v>
      </c>
      <c r="J3597" s="7">
        <f>Tabela1[[#This Row],[MARGEM BRUTA]]/Tabela1[[#This Row],[Valor total]]</f>
        <v>0.18875</v>
      </c>
      <c r="K3597" s="1" t="str">
        <f>VLOOKUP(Tabela1[[#This Row],[Cliente]],'BASE DE CLIENTES'!A:D,4,0)</f>
        <v>EMPRESA SEM MAQUINA</v>
      </c>
      <c r="L3597" s="1" t="str">
        <f>VLOOKUP(Tabela1[[#This Row],[Cliente]],'BASE DE CLIENTES'!A:E,5,0)</f>
        <v>SOBRADINHO</v>
      </c>
    </row>
    <row r="3598" spans="2:12" x14ac:dyDescent="0.3">
      <c r="B3598" s="1" t="s">
        <v>262</v>
      </c>
      <c r="C3598" s="4" t="str">
        <f>VLOOKUP(Tabela1[[#This Row],[Cliente]],'BASE DE CLIENTES'!A:E,2,0)</f>
        <v>Brasília</v>
      </c>
      <c r="D3598" s="1" t="str">
        <f>VLOOKUP(Tabela1[[#This Row],[Cliente]],'BASE DE CLIENTES'!A:C,3,0)</f>
        <v>DF</v>
      </c>
      <c r="E3598" s="4" t="str">
        <f>CONCATENATE(Tabela1[[#This Row],[CIDADE]],",",Tabela1[[#This Row],[UF]])</f>
        <v>Brasília,DF</v>
      </c>
      <c r="F3598" s="2">
        <v>45994</v>
      </c>
      <c r="G3598" s="17">
        <v>50</v>
      </c>
      <c r="H3598" s="17">
        <v>60</v>
      </c>
      <c r="I3598" s="6">
        <f>Tabela1[[#This Row],[Valor total]]-Tabela1[[#This Row],[Valor custo]]</f>
        <v>10</v>
      </c>
      <c r="J3598" s="7">
        <f>Tabela1[[#This Row],[MARGEM BRUTA]]/Tabela1[[#This Row],[Valor total]]</f>
        <v>0.16666666666666666</v>
      </c>
      <c r="K3598" s="1" t="str">
        <f>VLOOKUP(Tabela1[[#This Row],[Cliente]],'BASE DE CLIENTES'!A:D,4,0)</f>
        <v>SERRALHEIRO</v>
      </c>
      <c r="L3598" s="1" t="str">
        <f>VLOOKUP(Tabela1[[#This Row],[Cliente]],'BASE DE CLIENTES'!A:E,5,0)</f>
        <v>SETOR INDUSTRIAL (TAGUATINGA)</v>
      </c>
    </row>
    <row r="3599" spans="2:12" x14ac:dyDescent="0.3">
      <c r="B3599" s="1" t="s">
        <v>254</v>
      </c>
      <c r="C3599" s="4" t="str">
        <f>VLOOKUP(Tabela1[[#This Row],[Cliente]],'BASE DE CLIENTES'!A:E,2,0)</f>
        <v>Luziânia</v>
      </c>
      <c r="D3599" s="1" t="str">
        <f>VLOOKUP(Tabela1[[#This Row],[Cliente]],'BASE DE CLIENTES'!A:C,3,0)</f>
        <v>GO</v>
      </c>
      <c r="E3599" s="4" t="str">
        <f>CONCATENATE(Tabela1[[#This Row],[CIDADE]],",",Tabela1[[#This Row],[UF]])</f>
        <v>Luziânia,GO</v>
      </c>
      <c r="F3599" s="2">
        <v>45994</v>
      </c>
      <c r="G3599" s="17">
        <v>662.69</v>
      </c>
      <c r="H3599" s="17">
        <v>870</v>
      </c>
      <c r="I3599" s="6">
        <f>Tabela1[[#This Row],[Valor total]]-Tabela1[[#This Row],[Valor custo]]</f>
        <v>207.30999999999995</v>
      </c>
      <c r="J3599" s="7">
        <f>Tabela1[[#This Row],[MARGEM BRUTA]]/Tabela1[[#This Row],[Valor total]]</f>
        <v>0.23828735632183901</v>
      </c>
      <c r="K3599" s="1" t="str">
        <f>VLOOKUP(Tabela1[[#This Row],[Cliente]],'BASE DE CLIENTES'!A:D,4,0)</f>
        <v>SERRALHEIRO</v>
      </c>
      <c r="L3599" s="1" t="str">
        <f>VLOOKUP(Tabela1[[#This Row],[Cliente]],'BASE DE CLIENTES'!A:E,5,0)</f>
        <v>Luziânia</v>
      </c>
    </row>
    <row r="3600" spans="2:12" x14ac:dyDescent="0.3">
      <c r="B3600" s="1" t="s">
        <v>216</v>
      </c>
      <c r="C3600" s="4" t="str">
        <f>VLOOKUP(Tabela1[[#This Row],[Cliente]],'BASE DE CLIENTES'!A:E,2,0)</f>
        <v>Brasília</v>
      </c>
      <c r="D3600" s="1" t="str">
        <f>VLOOKUP(Tabela1[[#This Row],[Cliente]],'BASE DE CLIENTES'!A:C,3,0)</f>
        <v>DF</v>
      </c>
      <c r="E3600" s="4" t="str">
        <f>CONCATENATE(Tabela1[[#This Row],[CIDADE]],",",Tabela1[[#This Row],[UF]])</f>
        <v>Brasília,DF</v>
      </c>
      <c r="F3600" s="2">
        <v>45994</v>
      </c>
      <c r="G3600" s="17">
        <v>4894.71</v>
      </c>
      <c r="H3600" s="17">
        <v>7350</v>
      </c>
      <c r="I3600" s="6">
        <f>Tabela1[[#This Row],[Valor total]]-Tabela1[[#This Row],[Valor custo]]</f>
        <v>2455.29</v>
      </c>
      <c r="J3600" s="7">
        <f>Tabela1[[#This Row],[MARGEM BRUTA]]/Tabela1[[#This Row],[Valor total]]</f>
        <v>0.3340530612244898</v>
      </c>
      <c r="K3600" s="1" t="str">
        <f>VLOOKUP(Tabela1[[#This Row],[Cliente]],'BASE DE CLIENTES'!A:D,4,0)</f>
        <v>EMPRESA COM MAQUINA</v>
      </c>
      <c r="L3600" s="1" t="str">
        <f>VLOOKUP(Tabela1[[#This Row],[Cliente]],'BASE DE CLIENTES'!A:E,5,0)</f>
        <v>RIACHO FUNDO II</v>
      </c>
    </row>
    <row r="3601" spans="2:12" x14ac:dyDescent="0.3">
      <c r="B3601" s="1" t="s">
        <v>66</v>
      </c>
      <c r="C3601" s="4" t="str">
        <f>VLOOKUP(Tabela1[[#This Row],[Cliente]],'BASE DE CLIENTES'!A:E,2,0)</f>
        <v>Águas Lindas de Goiás</v>
      </c>
      <c r="D3601" s="1" t="str">
        <f>VLOOKUP(Tabela1[[#This Row],[Cliente]],'BASE DE CLIENTES'!A:C,3,0)</f>
        <v>GO</v>
      </c>
      <c r="E3601" s="4" t="str">
        <f>CONCATENATE(Tabela1[[#This Row],[CIDADE]],",",Tabela1[[#This Row],[UF]])</f>
        <v>Águas Lindas de Goiás,GO</v>
      </c>
      <c r="F3601" s="2">
        <v>45992</v>
      </c>
      <c r="G3601" s="17">
        <v>557.79</v>
      </c>
      <c r="H3601" s="17">
        <v>800</v>
      </c>
      <c r="I3601" s="6">
        <f>Tabela1[[#This Row],[Valor total]]-Tabela1[[#This Row],[Valor custo]]</f>
        <v>242.21000000000004</v>
      </c>
      <c r="J3601" s="7">
        <f>Tabela1[[#This Row],[MARGEM BRUTA]]/Tabela1[[#This Row],[Valor total]]</f>
        <v>0.30276250000000005</v>
      </c>
      <c r="K3601" s="1" t="str">
        <f>VLOOKUP(Tabela1[[#This Row],[Cliente]],'BASE DE CLIENTES'!A:D,4,0)</f>
        <v>EMPRESA COM MAQUINA</v>
      </c>
      <c r="L3601" s="1" t="str">
        <f>VLOOKUP(Tabela1[[#This Row],[Cliente]],'BASE DE CLIENTES'!A:E,5,0)</f>
        <v>Águas Lindas de Goiás</v>
      </c>
    </row>
    <row r="3602" spans="2:12" x14ac:dyDescent="0.3">
      <c r="B3602" s="1" t="s">
        <v>152</v>
      </c>
      <c r="C3602" s="4" t="str">
        <f>VLOOKUP(Tabela1[[#This Row],[Cliente]],'BASE DE CLIENTES'!A:E,2,0)</f>
        <v>Aparecida de Goiânia</v>
      </c>
      <c r="D3602" s="1" t="str">
        <f>VLOOKUP(Tabela1[[#This Row],[Cliente]],'BASE DE CLIENTES'!A:C,3,0)</f>
        <v>GO</v>
      </c>
      <c r="E3602" s="4" t="str">
        <f>CONCATENATE(Tabela1[[#This Row],[CIDADE]],",",Tabela1[[#This Row],[UF]])</f>
        <v>Aparecida de Goiânia,GO</v>
      </c>
      <c r="F3602" s="2">
        <v>45994</v>
      </c>
      <c r="G3602" s="17">
        <v>0</v>
      </c>
      <c r="H3602" s="17">
        <v>2400</v>
      </c>
      <c r="I3602" s="6">
        <f>Tabela1[[#This Row],[Valor total]]-Tabela1[[#This Row],[Valor custo]]</f>
        <v>2400</v>
      </c>
      <c r="J3602" s="7">
        <f>Tabela1[[#This Row],[MARGEM BRUTA]]/Tabela1[[#This Row],[Valor total]]</f>
        <v>1</v>
      </c>
      <c r="K3602" s="1" t="str">
        <f>VLOOKUP(Tabela1[[#This Row],[Cliente]],'BASE DE CLIENTES'!A:D,4,0)</f>
        <v>TECNICO</v>
      </c>
      <c r="L3602" s="1" t="str">
        <f>VLOOKUP(Tabela1[[#This Row],[Cliente]],'BASE DE CLIENTES'!A:E,5,0)</f>
        <v>Aparecida de Goiânia</v>
      </c>
    </row>
    <row r="3603" spans="2:12" x14ac:dyDescent="0.3">
      <c r="B3603" s="1" t="s">
        <v>104</v>
      </c>
      <c r="C3603" s="4" t="str">
        <f>VLOOKUP(Tabela1[[#This Row],[Cliente]],'BASE DE CLIENTES'!A:E,2,0)</f>
        <v>Águas Lindas de Goiás</v>
      </c>
      <c r="D3603" s="1" t="str">
        <f>VLOOKUP(Tabela1[[#This Row],[Cliente]],'BASE DE CLIENTES'!A:C,3,0)</f>
        <v>GO</v>
      </c>
      <c r="E3603" s="4" t="str">
        <f>CONCATENATE(Tabela1[[#This Row],[CIDADE]],",",Tabela1[[#This Row],[UF]])</f>
        <v>Águas Lindas de Goiás,GO</v>
      </c>
      <c r="F3603" s="2">
        <v>45994</v>
      </c>
      <c r="G3603" s="17">
        <v>432.79</v>
      </c>
      <c r="H3603" s="17">
        <v>650</v>
      </c>
      <c r="I3603" s="6">
        <f>Tabela1[[#This Row],[Valor total]]-Tabela1[[#This Row],[Valor custo]]</f>
        <v>217.20999999999998</v>
      </c>
      <c r="J3603" s="7">
        <f>Tabela1[[#This Row],[MARGEM BRUTA]]/Tabela1[[#This Row],[Valor total]]</f>
        <v>0.33416923076923072</v>
      </c>
      <c r="K3603" s="1" t="str">
        <f>VLOOKUP(Tabela1[[#This Row],[Cliente]],'BASE DE CLIENTES'!A:D,4,0)</f>
        <v>EMPRESA SEM MAQUINA</v>
      </c>
      <c r="L3603" s="1" t="str">
        <f>VLOOKUP(Tabela1[[#This Row],[Cliente]],'BASE DE CLIENTES'!A:E,5,0)</f>
        <v>Águas Lindas de Goiás</v>
      </c>
    </row>
    <row r="3604" spans="2:12" x14ac:dyDescent="0.3">
      <c r="B3604" s="1" t="s">
        <v>322</v>
      </c>
      <c r="C3604" s="4" t="str">
        <f>VLOOKUP(Tabela1[[#This Row],[Cliente]],'BASE DE CLIENTES'!A:E,2,0)</f>
        <v>Brasília</v>
      </c>
      <c r="D3604" s="1" t="str">
        <f>VLOOKUP(Tabela1[[#This Row],[Cliente]],'BASE DE CLIENTES'!A:C,3,0)</f>
        <v>DF</v>
      </c>
      <c r="E3604" s="4" t="str">
        <f>CONCATENATE(Tabela1[[#This Row],[CIDADE]],",",Tabela1[[#This Row],[UF]])</f>
        <v>Brasília,DF</v>
      </c>
      <c r="F3604" s="2">
        <v>45994</v>
      </c>
      <c r="G3604" s="17">
        <v>293.13</v>
      </c>
      <c r="H3604" s="17">
        <v>380</v>
      </c>
      <c r="I3604" s="6">
        <f>Tabela1[[#This Row],[Valor total]]-Tabela1[[#This Row],[Valor custo]]</f>
        <v>86.87</v>
      </c>
      <c r="J3604" s="7">
        <f>Tabela1[[#This Row],[MARGEM BRUTA]]/Tabela1[[#This Row],[Valor total]]</f>
        <v>0.22860526315789476</v>
      </c>
      <c r="K3604" s="1" t="str">
        <f>VLOOKUP(Tabela1[[#This Row],[Cliente]],'BASE DE CLIENTES'!A:D,4,0)</f>
        <v>SERRALHEIRO</v>
      </c>
      <c r="L3604" s="1" t="str">
        <f>VLOOKUP(Tabela1[[#This Row],[Cliente]],'BASE DE CLIENTES'!A:E,5,0)</f>
        <v>RIACHO FUNDO I</v>
      </c>
    </row>
    <row r="3605" spans="2:12" x14ac:dyDescent="0.3">
      <c r="B3605" s="1" t="s">
        <v>106</v>
      </c>
      <c r="C3605" s="4" t="str">
        <f>VLOOKUP(Tabela1[[#This Row],[Cliente]],'BASE DE CLIENTES'!A:E,2,0)</f>
        <v>Brasília</v>
      </c>
      <c r="D3605" s="1" t="str">
        <f>VLOOKUP(Tabela1[[#This Row],[Cliente]],'BASE DE CLIENTES'!A:C,3,0)</f>
        <v>DF</v>
      </c>
      <c r="E3605" s="4" t="str">
        <f>CONCATENATE(Tabela1[[#This Row],[CIDADE]],",",Tabela1[[#This Row],[UF]])</f>
        <v>Brasília,DF</v>
      </c>
      <c r="F3605" s="2">
        <v>45994</v>
      </c>
      <c r="G3605" s="17">
        <v>2656</v>
      </c>
      <c r="H3605" s="17">
        <v>2680</v>
      </c>
      <c r="I3605" s="6">
        <f>Tabela1[[#This Row],[Valor total]]-Tabela1[[#This Row],[Valor custo]]</f>
        <v>24</v>
      </c>
      <c r="J3605" s="7">
        <f>Tabela1[[#This Row],[MARGEM BRUTA]]/Tabela1[[#This Row],[Valor total]]</f>
        <v>8.9552238805970154E-3</v>
      </c>
      <c r="K3605" s="1" t="str">
        <f>VLOOKUP(Tabela1[[#This Row],[Cliente]],'BASE DE CLIENTES'!A:D,4,0)</f>
        <v>EMPRESA COM MAQUINA</v>
      </c>
      <c r="L3605" s="1" t="str">
        <f>VLOOKUP(Tabela1[[#This Row],[Cliente]],'BASE DE CLIENTES'!A:E,5,0)</f>
        <v>26 DE SETEMBRO</v>
      </c>
    </row>
    <row r="3606" spans="2:12" x14ac:dyDescent="0.3">
      <c r="B3606" s="1" t="s">
        <v>161</v>
      </c>
      <c r="C3606" s="4" t="str">
        <f>VLOOKUP(Tabela1[[#This Row],[Cliente]],'BASE DE CLIENTES'!A:E,2,0)</f>
        <v>Brasília</v>
      </c>
      <c r="D3606" s="1" t="str">
        <f>VLOOKUP(Tabela1[[#This Row],[Cliente]],'BASE DE CLIENTES'!A:C,3,0)</f>
        <v>DF</v>
      </c>
      <c r="E3606" s="4" t="str">
        <f>CONCATENATE(Tabela1[[#This Row],[CIDADE]],",",Tabela1[[#This Row],[UF]])</f>
        <v>Brasília,DF</v>
      </c>
      <c r="F3606" s="2">
        <v>45994</v>
      </c>
      <c r="G3606" s="17">
        <v>12605</v>
      </c>
      <c r="H3606" s="17">
        <v>19700</v>
      </c>
      <c r="I3606" s="6">
        <f>Tabela1[[#This Row],[Valor total]]-Tabela1[[#This Row],[Valor custo]]</f>
        <v>7095</v>
      </c>
      <c r="J3606" s="7">
        <f>Tabela1[[#This Row],[MARGEM BRUTA]]/Tabela1[[#This Row],[Valor total]]</f>
        <v>0.3601522842639594</v>
      </c>
      <c r="K3606" s="1" t="str">
        <f>VLOOKUP(Tabela1[[#This Row],[Cliente]],'BASE DE CLIENTES'!A:D,4,0)</f>
        <v>EMPRESA COM MAQUINA</v>
      </c>
      <c r="L3606" s="1" t="str">
        <f>VLOOKUP(Tabela1[[#This Row],[Cliente]],'BASE DE CLIENTES'!A:E,5,0)</f>
        <v>RIACHO FUNDO II</v>
      </c>
    </row>
    <row r="3607" spans="2:12" x14ac:dyDescent="0.3">
      <c r="B3607" s="1" t="s">
        <v>96</v>
      </c>
      <c r="C3607" s="4" t="str">
        <f>VLOOKUP(Tabela1[[#This Row],[Cliente]],'BASE DE CLIENTES'!A:E,2,0)</f>
        <v>Brasília</v>
      </c>
      <c r="D3607" s="1" t="str">
        <f>VLOOKUP(Tabela1[[#This Row],[Cliente]],'BASE DE CLIENTES'!A:C,3,0)</f>
        <v>DF</v>
      </c>
      <c r="E3607" s="4" t="str">
        <f>CONCATENATE(Tabela1[[#This Row],[CIDADE]],",",Tabela1[[#This Row],[UF]])</f>
        <v>Brasília,DF</v>
      </c>
      <c r="F3607" s="2">
        <v>45993</v>
      </c>
      <c r="G3607" s="17">
        <v>289</v>
      </c>
      <c r="H3607" s="17">
        <v>550</v>
      </c>
      <c r="I3607" s="6">
        <f>Tabela1[[#This Row],[Valor total]]-Tabela1[[#This Row],[Valor custo]]</f>
        <v>261</v>
      </c>
      <c r="J3607" s="7">
        <f>Tabela1[[#This Row],[MARGEM BRUTA]]/Tabela1[[#This Row],[Valor total]]</f>
        <v>0.47454545454545455</v>
      </c>
      <c r="K3607" s="1" t="str">
        <f>VLOOKUP(Tabela1[[#This Row],[Cliente]],'BASE DE CLIENTES'!A:D,4,0)</f>
        <v>EMPRESA SEM MAQUINA</v>
      </c>
      <c r="L3607" s="1" t="str">
        <f>VLOOKUP(Tabela1[[#This Row],[Cliente]],'BASE DE CLIENTES'!A:E,5,0)</f>
        <v>CEILANDIA NORTE (CEILANDIA)</v>
      </c>
    </row>
    <row r="3608" spans="2:12" x14ac:dyDescent="0.3">
      <c r="B3608" s="1" t="s">
        <v>255</v>
      </c>
      <c r="C3608" s="4" t="str">
        <f>VLOOKUP(Tabela1[[#This Row],[Cliente]],'BASE DE CLIENTES'!A:E,2,0)</f>
        <v>Brasília</v>
      </c>
      <c r="D3608" s="1" t="str">
        <f>VLOOKUP(Tabela1[[#This Row],[Cliente]],'BASE DE CLIENTES'!A:C,3,0)</f>
        <v>DF</v>
      </c>
      <c r="E3608" s="4" t="str">
        <f>CONCATENATE(Tabela1[[#This Row],[CIDADE]],",",Tabela1[[#This Row],[UF]])</f>
        <v>Brasília,DF</v>
      </c>
      <c r="F3608" s="2">
        <v>45993</v>
      </c>
      <c r="G3608" s="17">
        <v>0</v>
      </c>
      <c r="H3608" s="17">
        <v>20</v>
      </c>
      <c r="I3608" s="6">
        <f>Tabela1[[#This Row],[Valor total]]-Tabela1[[#This Row],[Valor custo]]</f>
        <v>20</v>
      </c>
      <c r="J3608" s="7">
        <f>Tabela1[[#This Row],[MARGEM BRUTA]]/Tabela1[[#This Row],[Valor total]]</f>
        <v>1</v>
      </c>
      <c r="K3608" s="1" t="str">
        <f>VLOOKUP(Tabela1[[#This Row],[Cliente]],'BASE DE CLIENTES'!A:D,4,0)</f>
        <v>EMPRESA COM MAQUINA</v>
      </c>
      <c r="L3608" s="1" t="str">
        <f>VLOOKUP(Tabela1[[#This Row],[Cliente]],'BASE DE CLIENTES'!A:E,5,0)</f>
        <v>ADE ÁGUAS CLARAS</v>
      </c>
    </row>
    <row r="3609" spans="2:12" x14ac:dyDescent="0.3">
      <c r="B3609" s="1" t="s">
        <v>319</v>
      </c>
      <c r="C3609" s="4" t="str">
        <f>VLOOKUP(Tabela1[[#This Row],[Cliente]],'BASE DE CLIENTES'!A:E,2,0)</f>
        <v>Valparaíso de Goiás</v>
      </c>
      <c r="D3609" s="1" t="str">
        <f>VLOOKUP(Tabela1[[#This Row],[Cliente]],'BASE DE CLIENTES'!A:C,3,0)</f>
        <v>GO</v>
      </c>
      <c r="E3609" s="4" t="str">
        <f>CONCATENATE(Tabela1[[#This Row],[CIDADE]],",",Tabela1[[#This Row],[UF]])</f>
        <v>Valparaíso de Goiás,GO</v>
      </c>
      <c r="F3609" s="2">
        <v>45993</v>
      </c>
      <c r="G3609" s="17">
        <v>709.6</v>
      </c>
      <c r="H3609" s="17">
        <v>1125</v>
      </c>
      <c r="I3609" s="6">
        <f>Tabela1[[#This Row],[Valor total]]-Tabela1[[#This Row],[Valor custo]]</f>
        <v>415.4</v>
      </c>
      <c r="J3609" s="7">
        <f>Tabela1[[#This Row],[MARGEM BRUTA]]/Tabela1[[#This Row],[Valor total]]</f>
        <v>0.36924444444444443</v>
      </c>
      <c r="K3609" s="1" t="str">
        <f>VLOOKUP(Tabela1[[#This Row],[Cliente]],'BASE DE CLIENTES'!A:D,4,0)</f>
        <v>EMPRESA COM MAQUINA</v>
      </c>
      <c r="L3609" s="1" t="str">
        <f>VLOOKUP(Tabela1[[#This Row],[Cliente]],'BASE DE CLIENTES'!A:E,5,0)</f>
        <v>Valparaíso de Goiás</v>
      </c>
    </row>
    <row r="3610" spans="2:12" x14ac:dyDescent="0.3">
      <c r="B3610" s="1" t="s">
        <v>152</v>
      </c>
      <c r="C3610" s="4" t="str">
        <f>VLOOKUP(Tabela1[[#This Row],[Cliente]],'BASE DE CLIENTES'!A:E,2,0)</f>
        <v>Aparecida de Goiânia</v>
      </c>
      <c r="D3610" s="1" t="str">
        <f>VLOOKUP(Tabela1[[#This Row],[Cliente]],'BASE DE CLIENTES'!A:C,3,0)</f>
        <v>GO</v>
      </c>
      <c r="E3610" s="4" t="str">
        <f>CONCATENATE(Tabela1[[#This Row],[CIDADE]],",",Tabela1[[#This Row],[UF]])</f>
        <v>Aparecida de Goiânia,GO</v>
      </c>
      <c r="F3610" s="2">
        <v>45993</v>
      </c>
      <c r="G3610" s="17">
        <v>432.79</v>
      </c>
      <c r="H3610" s="17">
        <v>700</v>
      </c>
      <c r="I3610" s="6">
        <f>Tabela1[[#This Row],[Valor total]]-Tabela1[[#This Row],[Valor custo]]</f>
        <v>267.20999999999998</v>
      </c>
      <c r="J3610" s="7">
        <f>Tabela1[[#This Row],[MARGEM BRUTA]]/Tabela1[[#This Row],[Valor total]]</f>
        <v>0.38172857142857142</v>
      </c>
      <c r="K3610" s="1" t="str">
        <f>VLOOKUP(Tabela1[[#This Row],[Cliente]],'BASE DE CLIENTES'!A:D,4,0)</f>
        <v>TECNICO</v>
      </c>
      <c r="L3610" s="1" t="str">
        <f>VLOOKUP(Tabela1[[#This Row],[Cliente]],'BASE DE CLIENTES'!A:E,5,0)</f>
        <v>Aparecida de Goiânia</v>
      </c>
    </row>
    <row r="3611" spans="2:12" x14ac:dyDescent="0.3">
      <c r="B3611" s="1" t="s">
        <v>27</v>
      </c>
      <c r="C3611" s="4" t="str">
        <f>VLOOKUP(Tabela1[[#This Row],[Cliente]],'BASE DE CLIENTES'!A:E,2,0)</f>
        <v>Brasília</v>
      </c>
      <c r="D3611" s="1" t="str">
        <f>VLOOKUP(Tabela1[[#This Row],[Cliente]],'BASE DE CLIENTES'!A:C,3,0)</f>
        <v>DF</v>
      </c>
      <c r="E3611" s="4" t="str">
        <f>CONCATENATE(Tabela1[[#This Row],[CIDADE]],",",Tabela1[[#This Row],[UF]])</f>
        <v>Brasília,DF</v>
      </c>
      <c r="F3611" s="2">
        <v>45993</v>
      </c>
      <c r="G3611" s="17">
        <v>1298.3699999999999</v>
      </c>
      <c r="H3611" s="17">
        <v>1950</v>
      </c>
      <c r="I3611" s="6">
        <f>Tabela1[[#This Row],[Valor total]]-Tabela1[[#This Row],[Valor custo]]</f>
        <v>651.63000000000011</v>
      </c>
      <c r="J3611" s="7">
        <f>Tabela1[[#This Row],[MARGEM BRUTA]]/Tabela1[[#This Row],[Valor total]]</f>
        <v>0.33416923076923083</v>
      </c>
      <c r="K3611" s="1" t="str">
        <f>VLOOKUP(Tabela1[[#This Row],[Cliente]],'BASE DE CLIENTES'!A:D,4,0)</f>
        <v>EMPRESA SEM MAQUINA</v>
      </c>
      <c r="L3611" s="1" t="str">
        <f>VLOOKUP(Tabela1[[#This Row],[Cliente]],'BASE DE CLIENTES'!A:E,5,0)</f>
        <v>RECANTO DAS EMAS</v>
      </c>
    </row>
    <row r="3612" spans="2:12" x14ac:dyDescent="0.3">
      <c r="B3612" s="1" t="s">
        <v>17</v>
      </c>
      <c r="C3612" s="4" t="str">
        <f>VLOOKUP(Tabela1[[#This Row],[Cliente]],'BASE DE CLIENTES'!A:E,2,0)</f>
        <v>Águas Lindas de Goiás</v>
      </c>
      <c r="D3612" s="1" t="str">
        <f>VLOOKUP(Tabela1[[#This Row],[Cliente]],'BASE DE CLIENTES'!A:C,3,0)</f>
        <v>GO</v>
      </c>
      <c r="E3612" s="4" t="str">
        <f>CONCATENATE(Tabela1[[#This Row],[CIDADE]],",",Tabela1[[#This Row],[UF]])</f>
        <v>Águas Lindas de Goiás,GO</v>
      </c>
      <c r="F3612" s="2">
        <v>45993</v>
      </c>
      <c r="G3612" s="17">
        <v>432.79</v>
      </c>
      <c r="H3612" s="17">
        <v>675</v>
      </c>
      <c r="I3612" s="6">
        <f>Tabela1[[#This Row],[Valor total]]-Tabela1[[#This Row],[Valor custo]]</f>
        <v>242.20999999999998</v>
      </c>
      <c r="J3612" s="7">
        <f>Tabela1[[#This Row],[MARGEM BRUTA]]/Tabela1[[#This Row],[Valor total]]</f>
        <v>0.35882962962962961</v>
      </c>
      <c r="K3612" s="1" t="str">
        <f>VLOOKUP(Tabela1[[#This Row],[Cliente]],'BASE DE CLIENTES'!A:D,4,0)</f>
        <v>SERRALHEIRO</v>
      </c>
      <c r="L3612" s="1" t="str">
        <f>VLOOKUP(Tabela1[[#This Row],[Cliente]],'BASE DE CLIENTES'!A:E,5,0)</f>
        <v>Águas Lindas de Goiás</v>
      </c>
    </row>
    <row r="3613" spans="2:12" x14ac:dyDescent="0.3">
      <c r="B3613" s="1" t="s">
        <v>36</v>
      </c>
      <c r="C3613" s="4" t="str">
        <f>VLOOKUP(Tabela1[[#This Row],[Cliente]],'BASE DE CLIENTES'!A:E,2,0)</f>
        <v>Brasília</v>
      </c>
      <c r="D3613" s="1" t="str">
        <f>VLOOKUP(Tabela1[[#This Row],[Cliente]],'BASE DE CLIENTES'!A:C,3,0)</f>
        <v>DF</v>
      </c>
      <c r="E3613" s="4" t="str">
        <f>CONCATENATE(Tabela1[[#This Row],[CIDADE]],",",Tabela1[[#This Row],[UF]])</f>
        <v>Brasília,DF</v>
      </c>
      <c r="F3613" s="2">
        <v>45993</v>
      </c>
      <c r="G3613" s="17">
        <v>432.79</v>
      </c>
      <c r="H3613" s="17">
        <v>600</v>
      </c>
      <c r="I3613" s="6">
        <f>Tabela1[[#This Row],[Valor total]]-Tabela1[[#This Row],[Valor custo]]</f>
        <v>167.20999999999998</v>
      </c>
      <c r="J3613" s="7">
        <f>Tabela1[[#This Row],[MARGEM BRUTA]]/Tabela1[[#This Row],[Valor total]]</f>
        <v>0.27868333333333328</v>
      </c>
      <c r="K3613" s="1" t="str">
        <f>VLOOKUP(Tabela1[[#This Row],[Cliente]],'BASE DE CLIENTES'!A:D,4,0)</f>
        <v>SERRALHEIRO</v>
      </c>
      <c r="L3613" s="1" t="str">
        <f>VLOOKUP(Tabela1[[#This Row],[Cliente]],'BASE DE CLIENTES'!A:E,5,0)</f>
        <v>CEILANDIA SUL (CEILANDIA)</v>
      </c>
    </row>
    <row r="3614" spans="2:12" x14ac:dyDescent="0.3">
      <c r="B3614" s="1" t="s">
        <v>216</v>
      </c>
      <c r="C3614" s="4" t="str">
        <f>VLOOKUP(Tabela1[[#This Row],[Cliente]],'BASE DE CLIENTES'!A:E,2,0)</f>
        <v>Brasília</v>
      </c>
      <c r="D3614" s="1" t="str">
        <f>VLOOKUP(Tabela1[[#This Row],[Cliente]],'BASE DE CLIENTES'!A:C,3,0)</f>
        <v>DF</v>
      </c>
      <c r="E3614" s="4" t="str">
        <f>CONCATENATE(Tabela1[[#This Row],[CIDADE]],",",Tabela1[[#This Row],[UF]])</f>
        <v>Brasília,DF</v>
      </c>
      <c r="F3614" s="2">
        <v>45993</v>
      </c>
      <c r="G3614" s="17">
        <v>4834.68</v>
      </c>
      <c r="H3614" s="17">
        <v>7600</v>
      </c>
      <c r="I3614" s="6">
        <f>Tabela1[[#This Row],[Valor total]]-Tabela1[[#This Row],[Valor custo]]</f>
        <v>2765.3199999999997</v>
      </c>
      <c r="J3614" s="7">
        <f>Tabela1[[#This Row],[MARGEM BRUTA]]/Tabela1[[#This Row],[Valor total]]</f>
        <v>0.36385789473684205</v>
      </c>
      <c r="K3614" s="1" t="str">
        <f>VLOOKUP(Tabela1[[#This Row],[Cliente]],'BASE DE CLIENTES'!A:D,4,0)</f>
        <v>EMPRESA COM MAQUINA</v>
      </c>
      <c r="L3614" s="1" t="str">
        <f>VLOOKUP(Tabela1[[#This Row],[Cliente]],'BASE DE CLIENTES'!A:E,5,0)</f>
        <v>RIACHO FUNDO II</v>
      </c>
    </row>
    <row r="3615" spans="2:12" x14ac:dyDescent="0.3">
      <c r="B3615" s="1" t="s">
        <v>255</v>
      </c>
      <c r="C3615" s="4" t="str">
        <f>VLOOKUP(Tabela1[[#This Row],[Cliente]],'BASE DE CLIENTES'!A:E,2,0)</f>
        <v>Brasília</v>
      </c>
      <c r="D3615" s="1" t="str">
        <f>VLOOKUP(Tabela1[[#This Row],[Cliente]],'BASE DE CLIENTES'!A:C,3,0)</f>
        <v>DF</v>
      </c>
      <c r="E3615" s="4" t="str">
        <f>CONCATENATE(Tabela1[[#This Row],[CIDADE]],",",Tabela1[[#This Row],[UF]])</f>
        <v>Brasília,DF</v>
      </c>
      <c r="F3615" s="2">
        <v>45993</v>
      </c>
      <c r="G3615" s="17">
        <v>1298.3699999999999</v>
      </c>
      <c r="H3615" s="17">
        <v>1965</v>
      </c>
      <c r="I3615" s="6">
        <f>Tabela1[[#This Row],[Valor total]]-Tabela1[[#This Row],[Valor custo]]</f>
        <v>666.63000000000011</v>
      </c>
      <c r="J3615" s="7">
        <f>Tabela1[[#This Row],[MARGEM BRUTA]]/Tabela1[[#This Row],[Valor total]]</f>
        <v>0.33925190839694663</v>
      </c>
      <c r="K3615" s="1" t="str">
        <f>VLOOKUP(Tabela1[[#This Row],[Cliente]],'BASE DE CLIENTES'!A:D,4,0)</f>
        <v>EMPRESA COM MAQUINA</v>
      </c>
      <c r="L3615" s="1" t="str">
        <f>VLOOKUP(Tabela1[[#This Row],[Cliente]],'BASE DE CLIENTES'!A:E,5,0)</f>
        <v>ADE ÁGUAS CLARAS</v>
      </c>
    </row>
    <row r="3616" spans="2:12" x14ac:dyDescent="0.3">
      <c r="B3616" s="1" t="s">
        <v>152</v>
      </c>
      <c r="C3616" s="4" t="str">
        <f>VLOOKUP(Tabela1[[#This Row],[Cliente]],'BASE DE CLIENTES'!A:E,2,0)</f>
        <v>Aparecida de Goiânia</v>
      </c>
      <c r="D3616" s="1" t="str">
        <f>VLOOKUP(Tabela1[[#This Row],[Cliente]],'BASE DE CLIENTES'!A:C,3,0)</f>
        <v>GO</v>
      </c>
      <c r="E3616" s="4" t="str">
        <f>CONCATENATE(Tabela1[[#This Row],[CIDADE]],",",Tabela1[[#This Row],[UF]])</f>
        <v>Aparecida de Goiânia,GO</v>
      </c>
      <c r="F3616" s="2">
        <v>45993</v>
      </c>
      <c r="G3616" s="17">
        <v>463</v>
      </c>
      <c r="H3616" s="17">
        <v>750</v>
      </c>
      <c r="I3616" s="6">
        <f>Tabela1[[#This Row],[Valor total]]-Tabela1[[#This Row],[Valor custo]]</f>
        <v>287</v>
      </c>
      <c r="J3616" s="7">
        <f>Tabela1[[#This Row],[MARGEM BRUTA]]/Tabela1[[#This Row],[Valor total]]</f>
        <v>0.38266666666666665</v>
      </c>
      <c r="K3616" s="1" t="str">
        <f>VLOOKUP(Tabela1[[#This Row],[Cliente]],'BASE DE CLIENTES'!A:D,4,0)</f>
        <v>TECNICO</v>
      </c>
      <c r="L3616" s="1" t="str">
        <f>VLOOKUP(Tabela1[[#This Row],[Cliente]],'BASE DE CLIENTES'!A:E,5,0)</f>
        <v>Aparecida de Goiânia</v>
      </c>
    </row>
    <row r="3617" spans="2:12" x14ac:dyDescent="0.3">
      <c r="B3617" s="1" t="s">
        <v>358</v>
      </c>
      <c r="C3617" s="4" t="str">
        <f>VLOOKUP(Tabela1[[#This Row],[Cliente]],'BASE DE CLIENTES'!A:E,2,0)</f>
        <v>Brasília</v>
      </c>
      <c r="D3617" s="1" t="str">
        <f>VLOOKUP(Tabela1[[#This Row],[Cliente]],'BASE DE CLIENTES'!A:C,3,0)</f>
        <v>DF</v>
      </c>
      <c r="E3617" s="4" t="str">
        <f>CONCATENATE(Tabela1[[#This Row],[CIDADE]],",",Tabela1[[#This Row],[UF]])</f>
        <v>Brasília,DF</v>
      </c>
      <c r="F3617" s="2">
        <v>45993</v>
      </c>
      <c r="G3617" s="17">
        <v>463</v>
      </c>
      <c r="H3617" s="17">
        <v>785</v>
      </c>
      <c r="I3617" s="6">
        <f>Tabela1[[#This Row],[Valor total]]-Tabela1[[#This Row],[Valor custo]]</f>
        <v>322</v>
      </c>
      <c r="J3617" s="7">
        <f>Tabela1[[#This Row],[MARGEM BRUTA]]/Tabela1[[#This Row],[Valor total]]</f>
        <v>0.41019108280254779</v>
      </c>
      <c r="K3617" s="1" t="str">
        <f>VLOOKUP(Tabela1[[#This Row],[Cliente]],'BASE DE CLIENTES'!A:D,4,0)</f>
        <v>SEM CLASSIFICAÇÃO</v>
      </c>
      <c r="L3617" s="1" t="str">
        <f>VLOOKUP(Tabela1[[#This Row],[Cliente]],'BASE DE CLIENTES'!A:E,5,0)</f>
        <v>NA</v>
      </c>
    </row>
    <row r="3618" spans="2:12" x14ac:dyDescent="0.3">
      <c r="B3618" s="1" t="s">
        <v>236</v>
      </c>
      <c r="C3618" s="4" t="str">
        <f>VLOOKUP(Tabela1[[#This Row],[Cliente]],'BASE DE CLIENTES'!A:E,2,0)</f>
        <v>Goiânia</v>
      </c>
      <c r="D3618" s="1" t="str">
        <f>VLOOKUP(Tabela1[[#This Row],[Cliente]],'BASE DE CLIENTES'!A:C,3,0)</f>
        <v>GO</v>
      </c>
      <c r="E3618" s="4" t="str">
        <f>CONCATENATE(Tabela1[[#This Row],[CIDADE]],",",Tabela1[[#This Row],[UF]])</f>
        <v>Goiânia,GO</v>
      </c>
      <c r="F3618" s="2">
        <v>45993</v>
      </c>
      <c r="G3618" s="17">
        <v>8223.01</v>
      </c>
      <c r="H3618" s="17">
        <v>11115</v>
      </c>
      <c r="I3618" s="6">
        <f>Tabela1[[#This Row],[Valor total]]-Tabela1[[#This Row],[Valor custo]]</f>
        <v>2891.99</v>
      </c>
      <c r="J3618" s="7">
        <f>Tabela1[[#This Row],[MARGEM BRUTA]]/Tabela1[[#This Row],[Valor total]]</f>
        <v>0.26018803418803416</v>
      </c>
      <c r="K3618" s="1" t="str">
        <f>VLOOKUP(Tabela1[[#This Row],[Cliente]],'BASE DE CLIENTES'!A:D,4,0)</f>
        <v>EMPRESA COM MAQUINA</v>
      </c>
      <c r="L3618" s="1" t="str">
        <f>VLOOKUP(Tabela1[[#This Row],[Cliente]],'BASE DE CLIENTES'!A:E,5,0)</f>
        <v>Goiânia</v>
      </c>
    </row>
    <row r="3619" spans="2:12" x14ac:dyDescent="0.3">
      <c r="B3619" s="1" t="s">
        <v>25</v>
      </c>
      <c r="C3619" s="4" t="str">
        <f>VLOOKUP(Tabela1[[#This Row],[Cliente]],'BASE DE CLIENTES'!A:E,2,0)</f>
        <v>Brasília</v>
      </c>
      <c r="D3619" s="1" t="str">
        <f>VLOOKUP(Tabela1[[#This Row],[Cliente]],'BASE DE CLIENTES'!A:C,3,0)</f>
        <v>DF</v>
      </c>
      <c r="E3619" s="4" t="str">
        <f>CONCATENATE(Tabela1[[#This Row],[CIDADE]],",",Tabela1[[#This Row],[UF]])</f>
        <v>Brasília,DF</v>
      </c>
      <c r="F3619" s="2">
        <v>45993</v>
      </c>
      <c r="G3619" s="17">
        <v>302.2</v>
      </c>
      <c r="H3619" s="17">
        <v>510</v>
      </c>
      <c r="I3619" s="6">
        <f>Tabela1[[#This Row],[Valor total]]-Tabela1[[#This Row],[Valor custo]]</f>
        <v>207.8</v>
      </c>
      <c r="J3619" s="7">
        <f>Tabela1[[#This Row],[MARGEM BRUTA]]/Tabela1[[#This Row],[Valor total]]</f>
        <v>0.40745098039215688</v>
      </c>
      <c r="K3619" s="1" t="str">
        <f>VLOOKUP(Tabela1[[#This Row],[Cliente]],'BASE DE CLIENTES'!A:D,4,0)</f>
        <v>EMPRESA COM MAQUINA</v>
      </c>
      <c r="L3619" s="1" t="str">
        <f>VLOOKUP(Tabela1[[#This Row],[Cliente]],'BASE DE CLIENTES'!A:E,5,0)</f>
        <v>CEILANDIA NORTE (CEILANDIA)</v>
      </c>
    </row>
    <row r="3620" spans="2:12" x14ac:dyDescent="0.3">
      <c r="B3620" s="1" t="s">
        <v>66</v>
      </c>
      <c r="C3620" s="4" t="str">
        <f>VLOOKUP(Tabela1[[#This Row],[Cliente]],'BASE DE CLIENTES'!A:E,2,0)</f>
        <v>Águas Lindas de Goiás</v>
      </c>
      <c r="D3620" s="1" t="str">
        <f>VLOOKUP(Tabela1[[#This Row],[Cliente]],'BASE DE CLIENTES'!A:C,3,0)</f>
        <v>GO</v>
      </c>
      <c r="E3620" s="4" t="str">
        <f>CONCATENATE(Tabela1[[#This Row],[CIDADE]],",",Tabela1[[#This Row],[UF]])</f>
        <v>Águas Lindas de Goiás,GO</v>
      </c>
      <c r="F3620" s="2">
        <v>45993</v>
      </c>
      <c r="G3620" s="17">
        <v>692.69</v>
      </c>
      <c r="H3620" s="17">
        <v>1210</v>
      </c>
      <c r="I3620" s="6">
        <f>Tabela1[[#This Row],[Valor total]]-Tabela1[[#This Row],[Valor custo]]</f>
        <v>517.30999999999995</v>
      </c>
      <c r="J3620" s="7">
        <f>Tabela1[[#This Row],[MARGEM BRUTA]]/Tabela1[[#This Row],[Valor total]]</f>
        <v>0.42752892561983469</v>
      </c>
      <c r="K3620" s="1" t="str">
        <f>VLOOKUP(Tabela1[[#This Row],[Cliente]],'BASE DE CLIENTES'!A:D,4,0)</f>
        <v>EMPRESA COM MAQUINA</v>
      </c>
      <c r="L3620" s="1" t="str">
        <f>VLOOKUP(Tabela1[[#This Row],[Cliente]],'BASE DE CLIENTES'!A:E,5,0)</f>
        <v>Águas Lindas de Goiás</v>
      </c>
    </row>
    <row r="3621" spans="2:12" x14ac:dyDescent="0.3">
      <c r="B3621" s="1" t="s">
        <v>106</v>
      </c>
      <c r="C3621" s="4" t="str">
        <f>VLOOKUP(Tabela1[[#This Row],[Cliente]],'BASE DE CLIENTES'!A:E,2,0)</f>
        <v>Brasília</v>
      </c>
      <c r="D3621" s="1" t="str">
        <f>VLOOKUP(Tabela1[[#This Row],[Cliente]],'BASE DE CLIENTES'!A:C,3,0)</f>
        <v>DF</v>
      </c>
      <c r="E3621" s="4" t="str">
        <f>CONCATENATE(Tabela1[[#This Row],[CIDADE]],",",Tabela1[[#This Row],[UF]])</f>
        <v>Brasília,DF</v>
      </c>
      <c r="F3621" s="2">
        <v>45993</v>
      </c>
      <c r="G3621" s="17">
        <v>1142</v>
      </c>
      <c r="H3621" s="17">
        <v>1850</v>
      </c>
      <c r="I3621" s="6">
        <f>Tabela1[[#This Row],[Valor total]]-Tabela1[[#This Row],[Valor custo]]</f>
        <v>708</v>
      </c>
      <c r="J3621" s="7">
        <f>Tabela1[[#This Row],[MARGEM BRUTA]]/Tabela1[[#This Row],[Valor total]]</f>
        <v>0.38270270270270268</v>
      </c>
      <c r="K3621" s="1" t="str">
        <f>VLOOKUP(Tabela1[[#This Row],[Cliente]],'BASE DE CLIENTES'!A:D,4,0)</f>
        <v>EMPRESA COM MAQUINA</v>
      </c>
      <c r="L3621" s="1" t="str">
        <f>VLOOKUP(Tabela1[[#This Row],[Cliente]],'BASE DE CLIENTES'!A:E,5,0)</f>
        <v>26 DE SETEMBRO</v>
      </c>
    </row>
    <row r="3622" spans="2:12" x14ac:dyDescent="0.3">
      <c r="B3622" s="1" t="s">
        <v>19</v>
      </c>
      <c r="C3622" s="4" t="str">
        <f>VLOOKUP(Tabela1[[#This Row],[Cliente]],'BASE DE CLIENTES'!A:E,2,0)</f>
        <v>Águas Lindas de Goiás</v>
      </c>
      <c r="D3622" s="1" t="str">
        <f>VLOOKUP(Tabela1[[#This Row],[Cliente]],'BASE DE CLIENTES'!A:C,3,0)</f>
        <v>GO</v>
      </c>
      <c r="E3622" s="4" t="str">
        <f>CONCATENATE(Tabela1[[#This Row],[CIDADE]],",",Tabela1[[#This Row],[UF]])</f>
        <v>Águas Lindas de Goiás,GO</v>
      </c>
      <c r="F3622" s="2">
        <v>45993</v>
      </c>
      <c r="G3622" s="17">
        <v>432.79</v>
      </c>
      <c r="H3622" s="17">
        <v>700</v>
      </c>
      <c r="I3622" s="6">
        <f>Tabela1[[#This Row],[Valor total]]-Tabela1[[#This Row],[Valor custo]]</f>
        <v>267.20999999999998</v>
      </c>
      <c r="J3622" s="7">
        <f>Tabela1[[#This Row],[MARGEM BRUTA]]/Tabela1[[#This Row],[Valor total]]</f>
        <v>0.38172857142857142</v>
      </c>
      <c r="K3622" s="1" t="str">
        <f>VLOOKUP(Tabela1[[#This Row],[Cliente]],'BASE DE CLIENTES'!A:D,4,0)</f>
        <v>SERRALHEIRO</v>
      </c>
      <c r="L3622" s="1" t="str">
        <f>VLOOKUP(Tabela1[[#This Row],[Cliente]],'BASE DE CLIENTES'!A:E,5,0)</f>
        <v>Águas Lindas de Goiás</v>
      </c>
    </row>
    <row r="3623" spans="2:12" x14ac:dyDescent="0.3">
      <c r="B3623" s="1" t="s">
        <v>111</v>
      </c>
      <c r="C3623" s="4" t="str">
        <f>VLOOKUP(Tabela1[[#This Row],[Cliente]],'BASE DE CLIENTES'!A:E,2,0)</f>
        <v>Brasília</v>
      </c>
      <c r="D3623" s="1" t="str">
        <f>VLOOKUP(Tabela1[[#This Row],[Cliente]],'BASE DE CLIENTES'!A:C,3,0)</f>
        <v>DF</v>
      </c>
      <c r="E3623" s="4" t="str">
        <f>CONCATENATE(Tabela1[[#This Row],[CIDADE]],",",Tabela1[[#This Row],[UF]])</f>
        <v>Brasília,DF</v>
      </c>
      <c r="F3623" s="2">
        <v>45993</v>
      </c>
      <c r="G3623" s="17">
        <v>926</v>
      </c>
      <c r="H3623" s="17">
        <v>1500</v>
      </c>
      <c r="I3623" s="6">
        <f>Tabela1[[#This Row],[Valor total]]-Tabela1[[#This Row],[Valor custo]]</f>
        <v>574</v>
      </c>
      <c r="J3623" s="7">
        <f>Tabela1[[#This Row],[MARGEM BRUTA]]/Tabela1[[#This Row],[Valor total]]</f>
        <v>0.38266666666666665</v>
      </c>
      <c r="K3623" s="1" t="str">
        <f>VLOOKUP(Tabela1[[#This Row],[Cliente]],'BASE DE CLIENTES'!A:D,4,0)</f>
        <v>EMPRESA SEM MAQUINA</v>
      </c>
      <c r="L3623" s="1" t="str">
        <f>VLOOKUP(Tabela1[[#This Row],[Cliente]],'BASE DE CLIENTES'!A:E,5,0)</f>
        <v>TAGUATINGA SUL (TAGUATINGA)</v>
      </c>
    </row>
    <row r="3624" spans="2:12" x14ac:dyDescent="0.3">
      <c r="B3624" s="1" t="s">
        <v>161</v>
      </c>
      <c r="C3624" s="4" t="str">
        <f>VLOOKUP(Tabela1[[#This Row],[Cliente]],'BASE DE CLIENTES'!A:E,2,0)</f>
        <v>Brasília</v>
      </c>
      <c r="D3624" s="1" t="str">
        <f>VLOOKUP(Tabela1[[#This Row],[Cliente]],'BASE DE CLIENTES'!A:C,3,0)</f>
        <v>DF</v>
      </c>
      <c r="E3624" s="4" t="str">
        <f>CONCATENATE(Tabela1[[#This Row],[CIDADE]],",",Tabela1[[#This Row],[UF]])</f>
        <v>Brasília,DF</v>
      </c>
      <c r="F3624" s="2">
        <v>45993</v>
      </c>
      <c r="G3624" s="17">
        <v>105</v>
      </c>
      <c r="H3624" s="17">
        <v>135</v>
      </c>
      <c r="I3624" s="6">
        <f>Tabela1[[#This Row],[Valor total]]-Tabela1[[#This Row],[Valor custo]]</f>
        <v>30</v>
      </c>
      <c r="J3624" s="7">
        <f>Tabela1[[#This Row],[MARGEM BRUTA]]/Tabela1[[#This Row],[Valor total]]</f>
        <v>0.22222222222222221</v>
      </c>
      <c r="K3624" s="1" t="str">
        <f>VLOOKUP(Tabela1[[#This Row],[Cliente]],'BASE DE CLIENTES'!A:D,4,0)</f>
        <v>EMPRESA COM MAQUINA</v>
      </c>
      <c r="L3624" s="1" t="str">
        <f>VLOOKUP(Tabela1[[#This Row],[Cliente]],'BASE DE CLIENTES'!A:E,5,0)</f>
        <v>RIACHO FUNDO II</v>
      </c>
    </row>
    <row r="3625" spans="2:12" x14ac:dyDescent="0.3">
      <c r="B3625" s="1" t="s">
        <v>161</v>
      </c>
      <c r="C3625" s="4" t="str">
        <f>VLOOKUP(Tabela1[[#This Row],[Cliente]],'BASE DE CLIENTES'!A:E,2,0)</f>
        <v>Brasília</v>
      </c>
      <c r="D3625" s="1" t="str">
        <f>VLOOKUP(Tabela1[[#This Row],[Cliente]],'BASE DE CLIENTES'!A:C,3,0)</f>
        <v>DF</v>
      </c>
      <c r="E3625" s="4" t="str">
        <f>CONCATENATE(Tabela1[[#This Row],[CIDADE]],",",Tabela1[[#This Row],[UF]])</f>
        <v>Brasília,DF</v>
      </c>
      <c r="F3625" s="2">
        <v>45993</v>
      </c>
      <c r="G3625" s="17">
        <v>3029.53</v>
      </c>
      <c r="H3625" s="17">
        <v>4270</v>
      </c>
      <c r="I3625" s="6">
        <f>Tabela1[[#This Row],[Valor total]]-Tabela1[[#This Row],[Valor custo]]</f>
        <v>1240.4699999999998</v>
      </c>
      <c r="J3625" s="7">
        <f>Tabela1[[#This Row],[MARGEM BRUTA]]/Tabela1[[#This Row],[Valor total]]</f>
        <v>0.29050819672131145</v>
      </c>
      <c r="K3625" s="1" t="str">
        <f>VLOOKUP(Tabela1[[#This Row],[Cliente]],'BASE DE CLIENTES'!A:D,4,0)</f>
        <v>EMPRESA COM MAQUINA</v>
      </c>
      <c r="L3625" s="1" t="str">
        <f>VLOOKUP(Tabela1[[#This Row],[Cliente]],'BASE DE CLIENTES'!A:E,5,0)</f>
        <v>RIACHO FUNDO II</v>
      </c>
    </row>
    <row r="3626" spans="2:12" x14ac:dyDescent="0.3">
      <c r="B3626" s="1" t="s">
        <v>232</v>
      </c>
      <c r="C3626" s="4" t="str">
        <f>VLOOKUP(Tabela1[[#This Row],[Cliente]],'BASE DE CLIENTES'!A:E,2,0)</f>
        <v>Brasília</v>
      </c>
      <c r="D3626" s="1" t="str">
        <f>VLOOKUP(Tabela1[[#This Row],[Cliente]],'BASE DE CLIENTES'!A:C,3,0)</f>
        <v>DF</v>
      </c>
      <c r="E3626" s="4" t="str">
        <f>CONCATENATE(Tabela1[[#This Row],[CIDADE]],",",Tabela1[[#This Row],[UF]])</f>
        <v>Brasília,DF</v>
      </c>
      <c r="F3626" s="2">
        <v>45993</v>
      </c>
      <c r="G3626" s="17">
        <v>293.13</v>
      </c>
      <c r="H3626" s="17">
        <v>450</v>
      </c>
      <c r="I3626" s="6">
        <f>Tabela1[[#This Row],[Valor total]]-Tabela1[[#This Row],[Valor custo]]</f>
        <v>156.87</v>
      </c>
      <c r="J3626" s="7">
        <f>Tabela1[[#This Row],[MARGEM BRUTA]]/Tabela1[[#This Row],[Valor total]]</f>
        <v>0.34860000000000002</v>
      </c>
      <c r="K3626" s="1" t="str">
        <f>VLOOKUP(Tabela1[[#This Row],[Cliente]],'BASE DE CLIENTES'!A:D,4,0)</f>
        <v>CHAVEIRO</v>
      </c>
      <c r="L3626" s="1" t="str">
        <f>VLOOKUP(Tabela1[[#This Row],[Cliente]],'BASE DE CLIENTES'!A:E,5,0)</f>
        <v>Areal (Águas Claras)</v>
      </c>
    </row>
    <row r="3627" spans="2:12" x14ac:dyDescent="0.3">
      <c r="B3627" s="1" t="s">
        <v>120</v>
      </c>
      <c r="C3627" s="4" t="str">
        <f>VLOOKUP(Tabela1[[#This Row],[Cliente]],'BASE DE CLIENTES'!A:E,2,0)</f>
        <v>Brasília</v>
      </c>
      <c r="D3627" s="1" t="str">
        <f>VLOOKUP(Tabela1[[#This Row],[Cliente]],'BASE DE CLIENTES'!A:C,3,0)</f>
        <v>DF</v>
      </c>
      <c r="E3627" s="4" t="str">
        <f>CONCATENATE(Tabela1[[#This Row],[CIDADE]],",",Tabela1[[#This Row],[UF]])</f>
        <v>Brasília,DF</v>
      </c>
      <c r="F3627" s="2">
        <v>45992</v>
      </c>
      <c r="G3627" s="17">
        <v>865.58</v>
      </c>
      <c r="H3627" s="17">
        <v>1100</v>
      </c>
      <c r="I3627" s="6">
        <f>Tabela1[[#This Row],[Valor total]]-Tabela1[[#This Row],[Valor custo]]</f>
        <v>234.41999999999996</v>
      </c>
      <c r="J3627" s="7">
        <f>Tabela1[[#This Row],[MARGEM BRUTA]]/Tabela1[[#This Row],[Valor total]]</f>
        <v>0.21310909090909086</v>
      </c>
      <c r="K3627" s="1" t="str">
        <f>VLOOKUP(Tabela1[[#This Row],[Cliente]],'BASE DE CLIENTES'!A:D,4,0)</f>
        <v>EMPRESA SEM MAQUINA</v>
      </c>
      <c r="L3627" s="1" t="str">
        <f>VLOOKUP(Tabela1[[#This Row],[Cliente]],'BASE DE CLIENTES'!A:E,5,0)</f>
        <v>SAMAMBAIA</v>
      </c>
    </row>
    <row r="3628" spans="2:12" x14ac:dyDescent="0.3">
      <c r="B3628" s="1" t="s">
        <v>23</v>
      </c>
      <c r="C3628" s="4" t="str">
        <f>VLOOKUP(Tabela1[[#This Row],[Cliente]],'BASE DE CLIENTES'!A:E,2,0)</f>
        <v>Brasília</v>
      </c>
      <c r="D3628" s="1" t="str">
        <f>VLOOKUP(Tabela1[[#This Row],[Cliente]],'BASE DE CLIENTES'!A:C,3,0)</f>
        <v>DF</v>
      </c>
      <c r="E3628" s="4" t="str">
        <f>CONCATENATE(Tabela1[[#This Row],[CIDADE]],",",Tabela1[[#This Row],[UF]])</f>
        <v>Brasília,DF</v>
      </c>
      <c r="F3628" s="2">
        <v>45992</v>
      </c>
      <c r="G3628" s="17">
        <v>69.98</v>
      </c>
      <c r="H3628" s="17">
        <v>103</v>
      </c>
      <c r="I3628" s="6">
        <f>Tabela1[[#This Row],[Valor total]]-Tabela1[[#This Row],[Valor custo]]</f>
        <v>33.019999999999996</v>
      </c>
      <c r="J3628" s="7">
        <f>Tabela1[[#This Row],[MARGEM BRUTA]]/Tabela1[[#This Row],[Valor total]]</f>
        <v>0.32058252427184464</v>
      </c>
      <c r="K3628" s="1" t="str">
        <f>VLOOKUP(Tabela1[[#This Row],[Cliente]],'BASE DE CLIENTES'!A:D,4,0)</f>
        <v>EMPRESA SEM MAQUINA</v>
      </c>
      <c r="L3628" s="1" t="str">
        <f>VLOOKUP(Tabela1[[#This Row],[Cliente]],'BASE DE CLIENTES'!A:E,5,0)</f>
        <v>SETOR INDUSTRIAL (TAGUATINGA)</v>
      </c>
    </row>
    <row r="3629" spans="2:12" x14ac:dyDescent="0.3">
      <c r="B3629" s="1" t="s">
        <v>152</v>
      </c>
      <c r="C3629" s="4" t="str">
        <f>VLOOKUP(Tabela1[[#This Row],[Cliente]],'BASE DE CLIENTES'!A:E,2,0)</f>
        <v>Aparecida de Goiânia</v>
      </c>
      <c r="D3629" s="1" t="str">
        <f>VLOOKUP(Tabela1[[#This Row],[Cliente]],'BASE DE CLIENTES'!A:C,3,0)</f>
        <v>GO</v>
      </c>
      <c r="E3629" s="4" t="str">
        <f>CONCATENATE(Tabela1[[#This Row],[CIDADE]],",",Tabela1[[#This Row],[UF]])</f>
        <v>Aparecida de Goiânia,GO</v>
      </c>
      <c r="F3629" s="2">
        <v>45992</v>
      </c>
      <c r="G3629" s="17">
        <v>1298.3699999999999</v>
      </c>
      <c r="H3629" s="17">
        <v>1755</v>
      </c>
      <c r="I3629" s="6">
        <f>Tabela1[[#This Row],[Valor total]]-Tabela1[[#This Row],[Valor custo]]</f>
        <v>456.63000000000011</v>
      </c>
      <c r="J3629" s="7">
        <f>Tabela1[[#This Row],[MARGEM BRUTA]]/Tabela1[[#This Row],[Valor total]]</f>
        <v>0.26018803418803427</v>
      </c>
      <c r="K3629" s="1" t="str">
        <f>VLOOKUP(Tabela1[[#This Row],[Cliente]],'BASE DE CLIENTES'!A:D,4,0)</f>
        <v>TECNICO</v>
      </c>
      <c r="L3629" s="1" t="str">
        <f>VLOOKUP(Tabela1[[#This Row],[Cliente]],'BASE DE CLIENTES'!A:E,5,0)</f>
        <v>Aparecida de Goiânia</v>
      </c>
    </row>
    <row r="3630" spans="2:12" x14ac:dyDescent="0.3">
      <c r="B3630" s="1" t="s">
        <v>169</v>
      </c>
      <c r="C3630" s="4" t="str">
        <f>VLOOKUP(Tabela1[[#This Row],[Cliente]],'BASE DE CLIENTES'!A:E,2,0)</f>
        <v>Planaltina</v>
      </c>
      <c r="D3630" s="1" t="str">
        <f>VLOOKUP(Tabela1[[#This Row],[Cliente]],'BASE DE CLIENTES'!A:C,3,0)</f>
        <v>GO</v>
      </c>
      <c r="E3630" s="4" t="str">
        <f>CONCATENATE(Tabela1[[#This Row],[CIDADE]],",",Tabela1[[#This Row],[UF]])</f>
        <v>Planaltina,GO</v>
      </c>
      <c r="F3630" s="2">
        <v>45992</v>
      </c>
      <c r="G3630" s="17">
        <v>865.58</v>
      </c>
      <c r="H3630" s="17">
        <v>1500</v>
      </c>
      <c r="I3630" s="6">
        <f>Tabela1[[#This Row],[Valor total]]-Tabela1[[#This Row],[Valor custo]]</f>
        <v>634.41999999999996</v>
      </c>
      <c r="J3630" s="7">
        <f>Tabela1[[#This Row],[MARGEM BRUTA]]/Tabela1[[#This Row],[Valor total]]</f>
        <v>0.42294666666666664</v>
      </c>
      <c r="K3630" s="1" t="str">
        <f>VLOOKUP(Tabela1[[#This Row],[Cliente]],'BASE DE CLIENTES'!A:D,4,0)</f>
        <v>SERRALHEIRO</v>
      </c>
      <c r="L3630" s="1" t="str">
        <f>VLOOKUP(Tabela1[[#This Row],[Cliente]],'BASE DE CLIENTES'!A:E,5,0)</f>
        <v>Planaltina</v>
      </c>
    </row>
    <row r="3631" spans="2:12" x14ac:dyDescent="0.3">
      <c r="B3631" s="1" t="s">
        <v>230</v>
      </c>
      <c r="C3631" s="4" t="str">
        <f>VLOOKUP(Tabela1[[#This Row],[Cliente]],'BASE DE CLIENTES'!A:E,2,0)</f>
        <v>Brasília</v>
      </c>
      <c r="D3631" s="1" t="str">
        <f>VLOOKUP(Tabela1[[#This Row],[Cliente]],'BASE DE CLIENTES'!A:C,3,0)</f>
        <v>DF</v>
      </c>
      <c r="E3631" s="4" t="str">
        <f>CONCATENATE(Tabela1[[#This Row],[CIDADE]],",",Tabela1[[#This Row],[UF]])</f>
        <v>Brasília,DF</v>
      </c>
      <c r="F3631" s="2">
        <v>45992</v>
      </c>
      <c r="G3631" s="17">
        <v>1334.05</v>
      </c>
      <c r="H3631" s="17">
        <v>1855</v>
      </c>
      <c r="I3631" s="6">
        <f>Tabela1[[#This Row],[Valor total]]-Tabela1[[#This Row],[Valor custo]]</f>
        <v>520.95000000000005</v>
      </c>
      <c r="J3631" s="7">
        <f>Tabela1[[#This Row],[MARGEM BRUTA]]/Tabela1[[#This Row],[Valor total]]</f>
        <v>0.2808355795148248</v>
      </c>
      <c r="K3631" s="1" t="str">
        <f>VLOOKUP(Tabela1[[#This Row],[Cliente]],'BASE DE CLIENTES'!A:D,4,0)</f>
        <v>SERRALHEIRO</v>
      </c>
      <c r="L3631" s="1" t="str">
        <f>VLOOKUP(Tabela1[[#This Row],[Cliente]],'BASE DE CLIENTES'!A:E,5,0)</f>
        <v>SETOR HABITACIONAL SAMAMBAIA (VICENTE PIRES)</v>
      </c>
    </row>
    <row r="3632" spans="2:12" x14ac:dyDescent="0.3">
      <c r="B3632" s="1" t="s">
        <v>303</v>
      </c>
      <c r="C3632" s="4" t="str">
        <f>VLOOKUP(Tabela1[[#This Row],[Cliente]],'BASE DE CLIENTES'!A:E,2,0)</f>
        <v>Trindade</v>
      </c>
      <c r="D3632" s="1" t="str">
        <f>VLOOKUP(Tabela1[[#This Row],[Cliente]],'BASE DE CLIENTES'!A:C,3,0)</f>
        <v>GO</v>
      </c>
      <c r="E3632" s="4" t="str">
        <f>CONCATENATE(Tabela1[[#This Row],[CIDADE]],",",Tabela1[[#This Row],[UF]])</f>
        <v>Trindade,GO</v>
      </c>
      <c r="F3632" s="2">
        <v>45992</v>
      </c>
      <c r="G3632" s="17">
        <v>3603.74</v>
      </c>
      <c r="H3632" s="17">
        <v>5370</v>
      </c>
      <c r="I3632" s="6">
        <f>Tabela1[[#This Row],[Valor total]]-Tabela1[[#This Row],[Valor custo]]</f>
        <v>1766.2600000000002</v>
      </c>
      <c r="J3632" s="7">
        <f>Tabela1[[#This Row],[MARGEM BRUTA]]/Tabela1[[#This Row],[Valor total]]</f>
        <v>0.32891247672253265</v>
      </c>
      <c r="K3632" s="1" t="str">
        <f>VLOOKUP(Tabela1[[#This Row],[Cliente]],'BASE DE CLIENTES'!A:D,4,0)</f>
        <v>EMPRESA COM MAQUINA</v>
      </c>
      <c r="L3632" s="1" t="str">
        <f>VLOOKUP(Tabela1[[#This Row],[Cliente]],'BASE DE CLIENTES'!A:E,5,0)</f>
        <v>Trindade</v>
      </c>
    </row>
    <row r="3633" spans="1:12" x14ac:dyDescent="0.3">
      <c r="B3633" s="1" t="s">
        <v>152</v>
      </c>
      <c r="C3633" s="4" t="str">
        <f>VLOOKUP(Tabela1[[#This Row],[Cliente]],'BASE DE CLIENTES'!A:E,2,0)</f>
        <v>Aparecida de Goiânia</v>
      </c>
      <c r="D3633" s="1" t="str">
        <f>VLOOKUP(Tabela1[[#This Row],[Cliente]],'BASE DE CLIENTES'!A:C,3,0)</f>
        <v>GO</v>
      </c>
      <c r="E3633" s="4" t="str">
        <f>CONCATENATE(Tabela1[[#This Row],[CIDADE]],",",Tabela1[[#This Row],[UF]])</f>
        <v>Aparecida de Goiânia,GO</v>
      </c>
      <c r="F3633" s="2">
        <v>45992</v>
      </c>
      <c r="G3633" s="17">
        <v>544</v>
      </c>
      <c r="H3633" s="17">
        <v>930</v>
      </c>
      <c r="I3633" s="6">
        <f>Tabela1[[#This Row],[Valor total]]-Tabela1[[#This Row],[Valor custo]]</f>
        <v>386</v>
      </c>
      <c r="J3633" s="7">
        <f>Tabela1[[#This Row],[MARGEM BRUTA]]/Tabela1[[#This Row],[Valor total]]</f>
        <v>0.4150537634408602</v>
      </c>
      <c r="K3633" s="1" t="str">
        <f>VLOOKUP(Tabela1[[#This Row],[Cliente]],'BASE DE CLIENTES'!A:D,4,0)</f>
        <v>TECNICO</v>
      </c>
      <c r="L3633" s="1" t="str">
        <f>VLOOKUP(Tabela1[[#This Row],[Cliente]],'BASE DE CLIENTES'!A:E,5,0)</f>
        <v>Aparecida de Goiânia</v>
      </c>
    </row>
    <row r="3634" spans="1:12" x14ac:dyDescent="0.3">
      <c r="B3634" s="1" t="s">
        <v>78</v>
      </c>
      <c r="C3634" s="4" t="str">
        <f>VLOOKUP(Tabela1[[#This Row],[Cliente]],'BASE DE CLIENTES'!A:E,2,0)</f>
        <v>Brasília</v>
      </c>
      <c r="D3634" s="1" t="str">
        <f>VLOOKUP(Tabela1[[#This Row],[Cliente]],'BASE DE CLIENTES'!A:C,3,0)</f>
        <v>DF</v>
      </c>
      <c r="E3634" s="4" t="str">
        <f>CONCATENATE(Tabela1[[#This Row],[CIDADE]],",",Tabela1[[#This Row],[UF]])</f>
        <v>Brasília,DF</v>
      </c>
      <c r="F3634" s="2">
        <v>45992</v>
      </c>
      <c r="G3634" s="17">
        <v>1343.97</v>
      </c>
      <c r="H3634" s="17">
        <v>2020</v>
      </c>
      <c r="I3634" s="6">
        <f>Tabela1[[#This Row],[Valor total]]-Tabela1[[#This Row],[Valor custo]]</f>
        <v>676.03</v>
      </c>
      <c r="J3634" s="7">
        <f>Tabela1[[#This Row],[MARGEM BRUTA]]/Tabela1[[#This Row],[Valor total]]</f>
        <v>0.33466831683168313</v>
      </c>
      <c r="K3634" s="1" t="str">
        <f>VLOOKUP(Tabela1[[#This Row],[Cliente]],'BASE DE CLIENTES'!A:D,4,0)</f>
        <v>SERRALHEIRO</v>
      </c>
      <c r="L3634" s="1" t="str">
        <f>VLOOKUP(Tabela1[[#This Row],[Cliente]],'BASE DE CLIENTES'!A:E,5,0)</f>
        <v>Vila do Boa (São Sebastião)</v>
      </c>
    </row>
    <row r="3635" spans="1:12" x14ac:dyDescent="0.3">
      <c r="B3635" s="1" t="s">
        <v>68</v>
      </c>
      <c r="C3635" s="4" t="str">
        <f>VLOOKUP(Tabela1[[#This Row],[Cliente]],'BASE DE CLIENTES'!A:E,2,0)</f>
        <v>Brasília</v>
      </c>
      <c r="D3635" s="1" t="str">
        <f>VLOOKUP(Tabela1[[#This Row],[Cliente]],'BASE DE CLIENTES'!A:C,3,0)</f>
        <v>DF</v>
      </c>
      <c r="E3635" s="4" t="str">
        <f>CONCATENATE(Tabela1[[#This Row],[CIDADE]],",",Tabela1[[#This Row],[UF]])</f>
        <v>Brasília,DF</v>
      </c>
      <c r="F3635" s="2">
        <v>45992</v>
      </c>
      <c r="G3635" s="17">
        <v>817.79</v>
      </c>
      <c r="H3635" s="17">
        <v>1185</v>
      </c>
      <c r="I3635" s="6">
        <f>Tabela1[[#This Row],[Valor total]]-Tabela1[[#This Row],[Valor custo]]</f>
        <v>367.21000000000004</v>
      </c>
      <c r="J3635" s="7">
        <f>Tabela1[[#This Row],[MARGEM BRUTA]]/Tabela1[[#This Row],[Valor total]]</f>
        <v>0.30988185654008443</v>
      </c>
      <c r="K3635" s="1" t="str">
        <f>VLOOKUP(Tabela1[[#This Row],[Cliente]],'BASE DE CLIENTES'!A:D,4,0)</f>
        <v>EMPRESA COM MAQUINA</v>
      </c>
      <c r="L3635" s="1" t="str">
        <f>VLOOKUP(Tabela1[[#This Row],[Cliente]],'BASE DE CLIENTES'!A:E,5,0)</f>
        <v>SAMAMBAIA SUL (SAMAMBAIA)</v>
      </c>
    </row>
    <row r="3636" spans="1:12" x14ac:dyDescent="0.3">
      <c r="B3636" s="1" t="s">
        <v>70</v>
      </c>
      <c r="C3636" s="4" t="str">
        <f>VLOOKUP(Tabela1[[#This Row],[Cliente]],'BASE DE CLIENTES'!A:E,2,0)</f>
        <v>Brasília</v>
      </c>
      <c r="D3636" s="1" t="str">
        <f>VLOOKUP(Tabela1[[#This Row],[Cliente]],'BASE DE CLIENTES'!A:C,3,0)</f>
        <v>DF</v>
      </c>
      <c r="E3636" s="4" t="str">
        <f>CONCATENATE(Tabela1[[#This Row],[CIDADE]],",",Tabela1[[#This Row],[UF]])</f>
        <v>Brasília,DF</v>
      </c>
      <c r="F3636" s="2">
        <v>45992</v>
      </c>
      <c r="G3636" s="17">
        <v>485</v>
      </c>
      <c r="H3636" s="17">
        <v>710</v>
      </c>
      <c r="I3636" s="6">
        <f>Tabela1[[#This Row],[Valor total]]-Tabela1[[#This Row],[Valor custo]]</f>
        <v>225</v>
      </c>
      <c r="J3636" s="7">
        <f>Tabela1[[#This Row],[MARGEM BRUTA]]/Tabela1[[#This Row],[Valor total]]</f>
        <v>0.31690140845070425</v>
      </c>
      <c r="K3636" s="1" t="str">
        <f>VLOOKUP(Tabela1[[#This Row],[Cliente]],'BASE DE CLIENTES'!A:D,4,0)</f>
        <v>EMPRESA COM MAQUINA</v>
      </c>
      <c r="L3636" s="1" t="str">
        <f>VLOOKUP(Tabela1[[#This Row],[Cliente]],'BASE DE CLIENTES'!A:E,5,0)</f>
        <v>TAGUATINGA NORTE (TAGUATINGA)</v>
      </c>
    </row>
    <row r="3637" spans="1:12" x14ac:dyDescent="0.3">
      <c r="B3637" s="1" t="s">
        <v>109</v>
      </c>
      <c r="C3637" s="4" t="str">
        <f>VLOOKUP(Tabela1[[#This Row],[Cliente]],'BASE DE CLIENTES'!A:E,2,0)</f>
        <v>Águas Lindas de Goiás</v>
      </c>
      <c r="D3637" s="1" t="str">
        <f>VLOOKUP(Tabela1[[#This Row],[Cliente]],'BASE DE CLIENTES'!A:C,3,0)</f>
        <v>GO</v>
      </c>
      <c r="E3637" s="4" t="str">
        <f>CONCATENATE(Tabela1[[#This Row],[CIDADE]],",",Tabela1[[#This Row],[UF]])</f>
        <v>Águas Lindas de Goiás,GO</v>
      </c>
      <c r="F3637" s="2">
        <v>45992</v>
      </c>
      <c r="G3637" s="17">
        <v>1992</v>
      </c>
      <c r="H3637" s="17">
        <v>2970</v>
      </c>
      <c r="I3637" s="6">
        <f>Tabela1[[#This Row],[Valor total]]-Tabela1[[#This Row],[Valor custo]]</f>
        <v>978</v>
      </c>
      <c r="J3637" s="7">
        <f>Tabela1[[#This Row],[MARGEM BRUTA]]/Tabela1[[#This Row],[Valor total]]</f>
        <v>0.3292929292929293</v>
      </c>
      <c r="K3637" s="1" t="str">
        <f>VLOOKUP(Tabela1[[#This Row],[Cliente]],'BASE DE CLIENTES'!A:D,4,0)</f>
        <v>SERRALHEIRO</v>
      </c>
      <c r="L3637" s="1" t="str">
        <f>VLOOKUP(Tabela1[[#This Row],[Cliente]],'BASE DE CLIENTES'!A:E,5,0)</f>
        <v>Águas Lindas de Goiás</v>
      </c>
    </row>
    <row r="3638" spans="1:12" x14ac:dyDescent="0.3">
      <c r="B3638" s="1" t="s">
        <v>109</v>
      </c>
      <c r="C3638" s="4" t="str">
        <f>VLOOKUP(Tabela1[[#This Row],[Cliente]],'BASE DE CLIENTES'!A:E,2,0)</f>
        <v>Águas Lindas de Goiás</v>
      </c>
      <c r="D3638" s="1" t="str">
        <f>VLOOKUP(Tabela1[[#This Row],[Cliente]],'BASE DE CLIENTES'!A:C,3,0)</f>
        <v>GO</v>
      </c>
      <c r="E3638" s="4" t="str">
        <f>CONCATENATE(Tabela1[[#This Row],[CIDADE]],",",Tabela1[[#This Row],[UF]])</f>
        <v>Águas Lindas de Goiás,GO</v>
      </c>
      <c r="F3638" s="2">
        <v>45992</v>
      </c>
      <c r="G3638" s="17">
        <v>67.12</v>
      </c>
      <c r="H3638" s="17">
        <v>70</v>
      </c>
      <c r="I3638" s="6">
        <f>Tabela1[[#This Row],[Valor total]]-Tabela1[[#This Row],[Valor custo]]</f>
        <v>2.8799999999999955</v>
      </c>
      <c r="J3638" s="7">
        <f>Tabela1[[#This Row],[MARGEM BRUTA]]/Tabela1[[#This Row],[Valor total]]</f>
        <v>4.1142857142857078E-2</v>
      </c>
      <c r="K3638" s="1" t="str">
        <f>VLOOKUP(Tabela1[[#This Row],[Cliente]],'BASE DE CLIENTES'!A:D,4,0)</f>
        <v>SERRALHEIRO</v>
      </c>
      <c r="L3638" s="1" t="str">
        <f>VLOOKUP(Tabela1[[#This Row],[Cliente]],'BASE DE CLIENTES'!A:E,5,0)</f>
        <v>Águas Lindas de Goiás</v>
      </c>
    </row>
    <row r="3639" spans="1:12" x14ac:dyDescent="0.3">
      <c r="B3639" s="1" t="s">
        <v>144</v>
      </c>
      <c r="C3639" s="4" t="str">
        <f>VLOOKUP(Tabela1[[#This Row],[Cliente]],'BASE DE CLIENTES'!A:E,2,0)</f>
        <v>Alexânia</v>
      </c>
      <c r="D3639" s="1" t="str">
        <f>VLOOKUP(Tabela1[[#This Row],[Cliente]],'BASE DE CLIENTES'!A:C,3,0)</f>
        <v>GO</v>
      </c>
      <c r="E3639" s="4" t="str">
        <f>CONCATENATE(Tabela1[[#This Row],[CIDADE]],",",Tabela1[[#This Row],[UF]])</f>
        <v>Alexânia,GO</v>
      </c>
      <c r="F3639" s="2">
        <v>45992</v>
      </c>
      <c r="G3639" s="17">
        <v>649</v>
      </c>
      <c r="H3639" s="17">
        <v>890</v>
      </c>
      <c r="I3639" s="6">
        <f>Tabela1[[#This Row],[Valor total]]-Tabela1[[#This Row],[Valor custo]]</f>
        <v>241</v>
      </c>
      <c r="J3639" s="7">
        <f>Tabela1[[#This Row],[MARGEM BRUTA]]/Tabela1[[#This Row],[Valor total]]</f>
        <v>0.27078651685393257</v>
      </c>
      <c r="K3639" s="1" t="str">
        <f>VLOOKUP(Tabela1[[#This Row],[Cliente]],'BASE DE CLIENTES'!A:D,4,0)</f>
        <v>SERRALHEIRO</v>
      </c>
      <c r="L3639" s="1" t="str">
        <f>VLOOKUP(Tabela1[[#This Row],[Cliente]],'BASE DE CLIENTES'!A:E,5,0)</f>
        <v>Alexânia</v>
      </c>
    </row>
    <row r="3640" spans="1:12" x14ac:dyDescent="0.3">
      <c r="B3640" s="1" t="s">
        <v>49</v>
      </c>
      <c r="C3640" s="4" t="str">
        <f>VLOOKUP(Tabela1[[#This Row],[Cliente]],'BASE DE CLIENTES'!A:E,2,0)</f>
        <v>Brasília</v>
      </c>
      <c r="D3640" s="1" t="str">
        <f>VLOOKUP(Tabela1[[#This Row],[Cliente]],'BASE DE CLIENTES'!A:C,3,0)</f>
        <v>DF</v>
      </c>
      <c r="E3640" s="4" t="str">
        <f>CONCATENATE(Tabela1[[#This Row],[CIDADE]],",",Tabela1[[#This Row],[UF]])</f>
        <v>Brasília,DF</v>
      </c>
      <c r="F3640" s="2">
        <v>45992</v>
      </c>
      <c r="G3640" s="17">
        <v>275</v>
      </c>
      <c r="H3640" s="17">
        <v>500</v>
      </c>
      <c r="I3640" s="6">
        <f>Tabela1[[#This Row],[Valor total]]-Tabela1[[#This Row],[Valor custo]]</f>
        <v>225</v>
      </c>
      <c r="J3640" s="7">
        <f>Tabela1[[#This Row],[MARGEM BRUTA]]/Tabela1[[#This Row],[Valor total]]</f>
        <v>0.45</v>
      </c>
      <c r="K3640" s="1" t="str">
        <f>VLOOKUP(Tabela1[[#This Row],[Cliente]],'BASE DE CLIENTES'!A:D,4,0)</f>
        <v>EMPRESA COM MAQUINA</v>
      </c>
      <c r="L3640" s="1" t="str">
        <f>VLOOKUP(Tabela1[[#This Row],[Cliente]],'BASE DE CLIENTES'!A:E,5,0)</f>
        <v>TAGUATINGA</v>
      </c>
    </row>
    <row r="3641" spans="1:12" x14ac:dyDescent="0.3">
      <c r="B3641" s="1" t="s">
        <v>111</v>
      </c>
      <c r="C3641" s="4" t="str">
        <f>VLOOKUP(Tabela1[[#This Row],[Cliente]],'BASE DE CLIENTES'!A:E,2,0)</f>
        <v>Brasília</v>
      </c>
      <c r="D3641" s="1" t="str">
        <f>VLOOKUP(Tabela1[[#This Row],[Cliente]],'BASE DE CLIENTES'!A:C,3,0)</f>
        <v>DF</v>
      </c>
      <c r="E3641" s="4" t="str">
        <f>CONCATENATE(Tabela1[[#This Row],[CIDADE]],",",Tabela1[[#This Row],[UF]])</f>
        <v>Brasília,DF</v>
      </c>
      <c r="F3641" s="2">
        <v>45992</v>
      </c>
      <c r="G3641" s="17">
        <v>432.79</v>
      </c>
      <c r="H3641" s="17">
        <v>655</v>
      </c>
      <c r="I3641" s="6">
        <f>Tabela1[[#This Row],[Valor total]]-Tabela1[[#This Row],[Valor custo]]</f>
        <v>222.20999999999998</v>
      </c>
      <c r="J3641" s="7">
        <f>Tabela1[[#This Row],[MARGEM BRUTA]]/Tabela1[[#This Row],[Valor total]]</f>
        <v>0.33925190839694652</v>
      </c>
      <c r="K3641" s="1" t="str">
        <f>VLOOKUP(Tabela1[[#This Row],[Cliente]],'BASE DE CLIENTES'!A:D,4,0)</f>
        <v>EMPRESA SEM MAQUINA</v>
      </c>
      <c r="L3641" s="1" t="str">
        <f>VLOOKUP(Tabela1[[#This Row],[Cliente]],'BASE DE CLIENTES'!A:E,5,0)</f>
        <v>TAGUATINGA SUL (TAGUATINGA)</v>
      </c>
    </row>
    <row r="3642" spans="1:12" x14ac:dyDescent="0.3">
      <c r="B3642" s="1" t="s">
        <v>290</v>
      </c>
      <c r="C3642" s="4" t="str">
        <f>VLOOKUP(Tabela1[[#This Row],[Cliente]],'BASE DE CLIENTES'!A:E,2,0)</f>
        <v>Rio Verde</v>
      </c>
      <c r="D3642" s="1" t="str">
        <f>VLOOKUP(Tabela1[[#This Row],[Cliente]],'BASE DE CLIENTES'!A:C,3,0)</f>
        <v>GO</v>
      </c>
      <c r="E3642" s="4" t="str">
        <f>CONCATENATE(Tabela1[[#This Row],[CIDADE]],",",Tabela1[[#This Row],[UF]])</f>
        <v>Rio Verde,GO</v>
      </c>
      <c r="F3642" s="2">
        <v>45992</v>
      </c>
      <c r="G3642" s="17">
        <v>155.68</v>
      </c>
      <c r="H3642" s="17">
        <v>205</v>
      </c>
      <c r="I3642" s="6">
        <f>Tabela1[[#This Row],[Valor total]]-Tabela1[[#This Row],[Valor custo]]</f>
        <v>49.319999999999993</v>
      </c>
      <c r="J3642" s="7">
        <f>Tabela1[[#This Row],[MARGEM BRUTA]]/Tabela1[[#This Row],[Valor total]]</f>
        <v>0.2405853658536585</v>
      </c>
      <c r="K3642" s="1" t="str">
        <f>VLOOKUP(Tabela1[[#This Row],[Cliente]],'BASE DE CLIENTES'!A:D,4,0)</f>
        <v>EMPRESA COM MAQUINA</v>
      </c>
      <c r="L3642" s="1" t="str">
        <f>VLOOKUP(Tabela1[[#This Row],[Cliente]],'BASE DE CLIENTES'!A:E,5,0)</f>
        <v>Rio Verde</v>
      </c>
    </row>
    <row r="3643" spans="1:12" x14ac:dyDescent="0.3">
      <c r="B3643" s="1" t="s">
        <v>42</v>
      </c>
      <c r="C3643" s="4" t="str">
        <f>VLOOKUP(Tabela1[[#This Row],[Cliente]],'BASE DE CLIENTES'!A:E,2,0)</f>
        <v>Brasília</v>
      </c>
      <c r="D3643" s="1" t="str">
        <f>VLOOKUP(Tabela1[[#This Row],[Cliente]],'BASE DE CLIENTES'!A:C,3,0)</f>
        <v>DF</v>
      </c>
      <c r="E3643" s="4" t="str">
        <f>CONCATENATE(Tabela1[[#This Row],[CIDADE]],",",Tabela1[[#This Row],[UF]])</f>
        <v>Brasília,DF</v>
      </c>
      <c r="F3643" s="2">
        <v>45992</v>
      </c>
      <c r="G3643" s="17">
        <v>385</v>
      </c>
      <c r="H3643" s="17">
        <v>610</v>
      </c>
      <c r="I3643" s="6">
        <f>Tabela1[[#This Row],[Valor total]]-Tabela1[[#This Row],[Valor custo]]</f>
        <v>225</v>
      </c>
      <c r="J3643" s="7">
        <f>Tabela1[[#This Row],[MARGEM BRUTA]]/Tabela1[[#This Row],[Valor total]]</f>
        <v>0.36885245901639346</v>
      </c>
      <c r="K3643" s="1" t="str">
        <f>VLOOKUP(Tabela1[[#This Row],[Cliente]],'BASE DE CLIENTES'!A:D,4,0)</f>
        <v>EMPRESA SEM MAQUINA</v>
      </c>
      <c r="L3643" s="1" t="str">
        <f>VLOOKUP(Tabela1[[#This Row],[Cliente]],'BASE DE CLIENTES'!A:E,5,0)</f>
        <v>SAMAMBAIA</v>
      </c>
    </row>
    <row r="3644" spans="1:12" x14ac:dyDescent="0.3">
      <c r="B3644" s="1" t="s">
        <v>106</v>
      </c>
      <c r="C3644" s="4" t="str">
        <f>VLOOKUP(Tabela1[[#This Row],[Cliente]],'BASE DE CLIENTES'!A:E,2,0)</f>
        <v>Brasília</v>
      </c>
      <c r="D3644" s="1" t="str">
        <f>VLOOKUP(Tabela1[[#This Row],[Cliente]],'BASE DE CLIENTES'!A:C,3,0)</f>
        <v>DF</v>
      </c>
      <c r="E3644" s="4" t="str">
        <f>CONCATENATE(Tabela1[[#This Row],[CIDADE]],",",Tabela1[[#This Row],[UF]])</f>
        <v>Brasília,DF</v>
      </c>
      <c r="F3644" s="2">
        <v>45992</v>
      </c>
      <c r="G3644" s="17">
        <v>432.79</v>
      </c>
      <c r="H3644" s="17">
        <v>600</v>
      </c>
      <c r="I3644" s="6">
        <f>Tabela1[[#This Row],[Valor total]]-Tabela1[[#This Row],[Valor custo]]</f>
        <v>167.20999999999998</v>
      </c>
      <c r="J3644" s="7">
        <f>Tabela1[[#This Row],[MARGEM BRUTA]]/Tabela1[[#This Row],[Valor total]]</f>
        <v>0.27868333333333328</v>
      </c>
      <c r="K3644" s="1" t="str">
        <f>VLOOKUP(Tabela1[[#This Row],[Cliente]],'BASE DE CLIENTES'!A:D,4,0)</f>
        <v>EMPRESA COM MAQUINA</v>
      </c>
      <c r="L3644" s="1" t="str">
        <f>VLOOKUP(Tabela1[[#This Row],[Cliente]],'BASE DE CLIENTES'!A:E,5,0)</f>
        <v>26 DE SETEMBRO</v>
      </c>
    </row>
    <row r="3645" spans="1:12" x14ac:dyDescent="0.3">
      <c r="B3645" s="1" t="s">
        <v>206</v>
      </c>
      <c r="C3645" s="4" t="str">
        <f>VLOOKUP(Tabela1[[#This Row],[Cliente]],'BASE DE CLIENTES'!A:E,2,0)</f>
        <v>Goiânia</v>
      </c>
      <c r="D3645" s="1" t="str">
        <f>VLOOKUP(Tabela1[[#This Row],[Cliente]],'BASE DE CLIENTES'!A:C,3,0)</f>
        <v>GO</v>
      </c>
      <c r="E3645" s="4" t="str">
        <f>CONCATENATE(Tabela1[[#This Row],[CIDADE]],",",Tabela1[[#This Row],[UF]])</f>
        <v>Goiânia,GO</v>
      </c>
      <c r="F3645" s="2">
        <v>45992</v>
      </c>
      <c r="G3645" s="17">
        <v>7338</v>
      </c>
      <c r="H3645" s="17">
        <v>11420</v>
      </c>
      <c r="I3645" s="6">
        <f>Tabela1[[#This Row],[Valor total]]-Tabela1[[#This Row],[Valor custo]]</f>
        <v>4082</v>
      </c>
      <c r="J3645" s="7">
        <f>Tabela1[[#This Row],[MARGEM BRUTA]]/Tabela1[[#This Row],[Valor total]]</f>
        <v>0.35744308231173377</v>
      </c>
      <c r="K3645" s="1" t="str">
        <f>VLOOKUP(Tabela1[[#This Row],[Cliente]],'BASE DE CLIENTES'!A:D,4,0)</f>
        <v>EMPRESA COM MAQUINA</v>
      </c>
      <c r="L3645" s="1" t="str">
        <f>VLOOKUP(Tabela1[[#This Row],[Cliente]],'BASE DE CLIENTES'!A:E,5,0)</f>
        <v>Goiânia</v>
      </c>
    </row>
    <row r="3646" spans="1:12" x14ac:dyDescent="0.3">
      <c r="A3646" t="s">
        <v>783</v>
      </c>
      <c r="B3646" t="s">
        <v>68</v>
      </c>
      <c r="C3646" s="16" t="str">
        <f>VLOOKUP(Tabela1[[#This Row],[Cliente]],'BASE DE CLIENTES'!A:E,2,0)</f>
        <v>Brasília</v>
      </c>
      <c r="D3646" s="16" t="str">
        <f>VLOOKUP(Tabela1[[#This Row],[Cliente]],'BASE DE CLIENTES'!A:C,3,0)</f>
        <v>DF</v>
      </c>
      <c r="E3646" s="16" t="str">
        <f>CONCATENATE(Tabela1[[#This Row],[CIDADE]],",",Tabela1[[#This Row],[UF]])</f>
        <v>Brasília,DF</v>
      </c>
      <c r="F3646" s="15">
        <v>46052</v>
      </c>
      <c r="G3646">
        <v>805.34</v>
      </c>
      <c r="H3646" s="10">
        <v>1170</v>
      </c>
      <c r="I3646" s="8">
        <f>Tabela1[[#This Row],[Valor total]]-Tabela1[[#This Row],[Valor custo]]</f>
        <v>364.65999999999997</v>
      </c>
      <c r="J3646" s="18">
        <f>Tabela1[[#This Row],[MARGEM BRUTA]]/Tabela1[[#This Row],[Valor total]]</f>
        <v>0.31167521367521367</v>
      </c>
      <c r="K3646" s="16" t="str">
        <f>VLOOKUP(Tabela1[[#This Row],[Cliente]],'BASE DE CLIENTES'!A:D,4,0)</f>
        <v>EMPRESA COM MAQUINA</v>
      </c>
      <c r="L3646" s="16" t="str">
        <f>VLOOKUP(Tabela1[[#This Row],[Cliente]],'BASE DE CLIENTES'!A:E,5,0)</f>
        <v>SAMAMBAIA SUL (SAMAMBAIA)</v>
      </c>
    </row>
    <row r="3647" spans="1:12" x14ac:dyDescent="0.3">
      <c r="A3647" t="s">
        <v>784</v>
      </c>
      <c r="B3647" t="s">
        <v>764</v>
      </c>
      <c r="C3647" s="16" t="str">
        <f>VLOOKUP(Tabela1[[#This Row],[Cliente]],'BASE DE CLIENTES'!A:E,2,0)</f>
        <v>Brasília</v>
      </c>
      <c r="D3647" s="16" t="str">
        <f>VLOOKUP(Tabela1[[#This Row],[Cliente]],'BASE DE CLIENTES'!A:C,3,0)</f>
        <v>DF</v>
      </c>
      <c r="E3647" s="16" t="str">
        <f>CONCATENATE(Tabela1[[#This Row],[CIDADE]],",",Tabela1[[#This Row],[UF]])</f>
        <v>Brasília,DF</v>
      </c>
      <c r="F3647" s="15">
        <v>46052</v>
      </c>
      <c r="G3647">
        <v>7.51</v>
      </c>
      <c r="H3647">
        <v>30</v>
      </c>
      <c r="I3647" s="8">
        <f>Tabela1[[#This Row],[Valor total]]-Tabela1[[#This Row],[Valor custo]]</f>
        <v>22.490000000000002</v>
      </c>
      <c r="J3647" s="18">
        <f>Tabela1[[#This Row],[MARGEM BRUTA]]/Tabela1[[#This Row],[Valor total]]</f>
        <v>0.7496666666666667</v>
      </c>
      <c r="K3647" s="16" t="str">
        <f>VLOOKUP(Tabela1[[#This Row],[Cliente]],'BASE DE CLIENTES'!A:D,4,0)</f>
        <v>SEM CLASSIFICAÇÃO</v>
      </c>
      <c r="L3647" s="16" t="str">
        <f>VLOOKUP(Tabela1[[#This Row],[Cliente]],'BASE DE CLIENTES'!A:E,5,0)</f>
        <v>Brasília</v>
      </c>
    </row>
    <row r="3648" spans="1:12" x14ac:dyDescent="0.3">
      <c r="A3648" t="s">
        <v>785</v>
      </c>
      <c r="B3648" t="s">
        <v>187</v>
      </c>
      <c r="C3648" s="16" t="str">
        <f>VLOOKUP(Tabela1[[#This Row],[Cliente]],'BASE DE CLIENTES'!A:E,2,0)</f>
        <v>Brasília</v>
      </c>
      <c r="D3648" s="16" t="str">
        <f>VLOOKUP(Tabela1[[#This Row],[Cliente]],'BASE DE CLIENTES'!A:C,3,0)</f>
        <v>DF</v>
      </c>
      <c r="E3648" s="16" t="str">
        <f>CONCATENATE(Tabela1[[#This Row],[CIDADE]],",",Tabela1[[#This Row],[UF]])</f>
        <v>Brasília,DF</v>
      </c>
      <c r="F3648" s="15">
        <v>46052</v>
      </c>
      <c r="G3648" s="10">
        <v>1780.92</v>
      </c>
      <c r="H3648" s="10">
        <v>2890</v>
      </c>
      <c r="I3648" s="8">
        <f>Tabela1[[#This Row],[Valor total]]-Tabela1[[#This Row],[Valor custo]]</f>
        <v>1109.08</v>
      </c>
      <c r="J3648" s="18">
        <f>Tabela1[[#This Row],[MARGEM BRUTA]]/Tabela1[[#This Row],[Valor total]]</f>
        <v>0.3837647058823529</v>
      </c>
      <c r="K3648" s="16" t="str">
        <f>VLOOKUP(Tabela1[[#This Row],[Cliente]],'BASE DE CLIENTES'!A:D,4,0)</f>
        <v>SERRALHEIRO</v>
      </c>
      <c r="L3648" s="16" t="str">
        <f>VLOOKUP(Tabela1[[#This Row],[Cliente]],'BASE DE CLIENTES'!A:E,5,0)</f>
        <v>CEILANDIA SUL (CEILANDIA)</v>
      </c>
    </row>
    <row r="3649" spans="1:12" x14ac:dyDescent="0.3">
      <c r="A3649" t="s">
        <v>786</v>
      </c>
      <c r="B3649" t="s">
        <v>23</v>
      </c>
      <c r="C3649" s="16" t="str">
        <f>VLOOKUP(Tabela1[[#This Row],[Cliente]],'BASE DE CLIENTES'!A:E,2,0)</f>
        <v>Brasília</v>
      </c>
      <c r="D3649" s="16" t="str">
        <f>VLOOKUP(Tabela1[[#This Row],[Cliente]],'BASE DE CLIENTES'!A:C,3,0)</f>
        <v>DF</v>
      </c>
      <c r="E3649" s="16" t="str">
        <f>CONCATENATE(Tabela1[[#This Row],[CIDADE]],",",Tabela1[[#This Row],[UF]])</f>
        <v>Brasília,DF</v>
      </c>
      <c r="F3649" s="15">
        <v>46052</v>
      </c>
      <c r="G3649" s="10">
        <v>1083</v>
      </c>
      <c r="H3649" s="10">
        <v>1755</v>
      </c>
      <c r="I3649" s="8">
        <f>Tabela1[[#This Row],[Valor total]]-Tabela1[[#This Row],[Valor custo]]</f>
        <v>672</v>
      </c>
      <c r="J3649" s="18">
        <f>Tabela1[[#This Row],[MARGEM BRUTA]]/Tabela1[[#This Row],[Valor total]]</f>
        <v>0.38290598290598293</v>
      </c>
      <c r="K3649" s="16" t="str">
        <f>VLOOKUP(Tabela1[[#This Row],[Cliente]],'BASE DE CLIENTES'!A:D,4,0)</f>
        <v>EMPRESA SEM MAQUINA</v>
      </c>
      <c r="L3649" s="16" t="str">
        <f>VLOOKUP(Tabela1[[#This Row],[Cliente]],'BASE DE CLIENTES'!A:E,5,0)</f>
        <v>SETOR INDUSTRIAL (TAGUATINGA)</v>
      </c>
    </row>
    <row r="3650" spans="1:12" x14ac:dyDescent="0.3">
      <c r="A3650" t="s">
        <v>787</v>
      </c>
      <c r="B3650" t="s">
        <v>199</v>
      </c>
      <c r="C3650" s="16" t="str">
        <f>VLOOKUP(Tabela1[[#This Row],[Cliente]],'BASE DE CLIENTES'!A:E,2,0)</f>
        <v>Goiânia</v>
      </c>
      <c r="D3650" s="16" t="str">
        <f>VLOOKUP(Tabela1[[#This Row],[Cliente]],'BASE DE CLIENTES'!A:C,3,0)</f>
        <v>GO</v>
      </c>
      <c r="E3650" s="16" t="str">
        <f>CONCATENATE(Tabela1[[#This Row],[CIDADE]],",",Tabela1[[#This Row],[UF]])</f>
        <v>Goiânia,GO</v>
      </c>
      <c r="F3650" s="15">
        <v>46052</v>
      </c>
      <c r="G3650" s="10">
        <v>2076.06</v>
      </c>
      <c r="H3650" s="10">
        <v>1300</v>
      </c>
      <c r="I3650" s="8">
        <f>Tabela1[[#This Row],[Valor total]]-Tabela1[[#This Row],[Valor custo]]</f>
        <v>-776.06</v>
      </c>
      <c r="J3650" s="18">
        <f>Tabela1[[#This Row],[MARGEM BRUTA]]/Tabela1[[#This Row],[Valor total]]</f>
        <v>-0.5969692307692307</v>
      </c>
      <c r="K3650" s="16" t="str">
        <f>VLOOKUP(Tabela1[[#This Row],[Cliente]],'BASE DE CLIENTES'!A:D,4,0)</f>
        <v>EMPRESA COM MAQUINA</v>
      </c>
      <c r="L3650" s="16" t="str">
        <f>VLOOKUP(Tabela1[[#This Row],[Cliente]],'BASE DE CLIENTES'!A:E,5,0)</f>
        <v>Goiânia</v>
      </c>
    </row>
    <row r="3651" spans="1:12" x14ac:dyDescent="0.3">
      <c r="A3651" t="s">
        <v>788</v>
      </c>
      <c r="B3651" t="s">
        <v>27</v>
      </c>
      <c r="C3651" s="16" t="str">
        <f>VLOOKUP(Tabela1[[#This Row],[Cliente]],'BASE DE CLIENTES'!A:E,2,0)</f>
        <v>Brasília</v>
      </c>
      <c r="D3651" s="16" t="str">
        <f>VLOOKUP(Tabela1[[#This Row],[Cliente]],'BASE DE CLIENTES'!A:C,3,0)</f>
        <v>DF</v>
      </c>
      <c r="E3651" s="16" t="str">
        <f>CONCATENATE(Tabela1[[#This Row],[CIDADE]],",",Tabela1[[#This Row],[UF]])</f>
        <v>Brasília,DF</v>
      </c>
      <c r="F3651" s="15">
        <v>46052</v>
      </c>
      <c r="G3651" s="10">
        <v>1756.84</v>
      </c>
      <c r="H3651" s="10">
        <v>2415</v>
      </c>
      <c r="I3651" s="8">
        <f>Tabela1[[#This Row],[Valor total]]-Tabela1[[#This Row],[Valor custo]]</f>
        <v>658.16000000000008</v>
      </c>
      <c r="J3651" s="18">
        <f>Tabela1[[#This Row],[MARGEM BRUTA]]/Tabela1[[#This Row],[Valor total]]</f>
        <v>0.27253002070393378</v>
      </c>
      <c r="K3651" s="16" t="str">
        <f>VLOOKUP(Tabela1[[#This Row],[Cliente]],'BASE DE CLIENTES'!A:D,4,0)</f>
        <v>EMPRESA SEM MAQUINA</v>
      </c>
      <c r="L3651" s="16" t="str">
        <f>VLOOKUP(Tabela1[[#This Row],[Cliente]],'BASE DE CLIENTES'!A:E,5,0)</f>
        <v>RECANTO DAS EMAS</v>
      </c>
    </row>
    <row r="3652" spans="1:12" x14ac:dyDescent="0.3">
      <c r="A3652" t="s">
        <v>789</v>
      </c>
      <c r="B3652" t="s">
        <v>123</v>
      </c>
      <c r="C3652" s="16" t="str">
        <f>VLOOKUP(Tabela1[[#This Row],[Cliente]],'BASE DE CLIENTES'!A:E,2,0)</f>
        <v>Brasília</v>
      </c>
      <c r="D3652" s="16" t="str">
        <f>VLOOKUP(Tabela1[[#This Row],[Cliente]],'BASE DE CLIENTES'!A:C,3,0)</f>
        <v>DF</v>
      </c>
      <c r="E3652" s="16" t="str">
        <f>CONCATENATE(Tabela1[[#This Row],[CIDADE]],",",Tabela1[[#This Row],[UF]])</f>
        <v>Brasília,DF</v>
      </c>
      <c r="F3652" s="15">
        <v>46052</v>
      </c>
      <c r="G3652" s="10">
        <v>1958.24</v>
      </c>
      <c r="H3652" s="10">
        <v>3093</v>
      </c>
      <c r="I3652" s="8">
        <f>Tabela1[[#This Row],[Valor total]]-Tabela1[[#This Row],[Valor custo]]</f>
        <v>1134.76</v>
      </c>
      <c r="J3652" s="18">
        <f>Tabela1[[#This Row],[MARGEM BRUTA]]/Tabela1[[#This Row],[Valor total]]</f>
        <v>0.36688005172971228</v>
      </c>
      <c r="K3652" s="16" t="str">
        <f>VLOOKUP(Tabela1[[#This Row],[Cliente]],'BASE DE CLIENTES'!A:D,4,0)</f>
        <v>EMPRESA COM MAQUINA</v>
      </c>
      <c r="L3652" s="16" t="str">
        <f>VLOOKUP(Tabela1[[#This Row],[Cliente]],'BASE DE CLIENTES'!A:E,5,0)</f>
        <v>ADE CEILÂNDIA</v>
      </c>
    </row>
    <row r="3653" spans="1:12" x14ac:dyDescent="0.3">
      <c r="A3653" t="s">
        <v>790</v>
      </c>
      <c r="B3653" t="s">
        <v>117</v>
      </c>
      <c r="C3653" s="16" t="str">
        <f>VLOOKUP(Tabela1[[#This Row],[Cliente]],'BASE DE CLIENTES'!A:E,2,0)</f>
        <v>Brasília</v>
      </c>
      <c r="D3653" s="16" t="str">
        <f>VLOOKUP(Tabela1[[#This Row],[Cliente]],'BASE DE CLIENTES'!A:C,3,0)</f>
        <v>DF</v>
      </c>
      <c r="E3653" s="16" t="str">
        <f>CONCATENATE(Tabela1[[#This Row],[CIDADE]],",",Tabela1[[#This Row],[UF]])</f>
        <v>Brasília,DF</v>
      </c>
      <c r="F3653" s="15">
        <v>46052</v>
      </c>
      <c r="G3653" s="10">
        <v>1170.71</v>
      </c>
      <c r="H3653" s="10">
        <v>1600</v>
      </c>
      <c r="I3653" s="8">
        <f>Tabela1[[#This Row],[Valor total]]-Tabela1[[#This Row],[Valor custo]]</f>
        <v>429.28999999999996</v>
      </c>
      <c r="J3653" s="18">
        <f>Tabela1[[#This Row],[MARGEM BRUTA]]/Tabela1[[#This Row],[Valor total]]</f>
        <v>0.26830624999999997</v>
      </c>
      <c r="K3653" s="16" t="str">
        <f>VLOOKUP(Tabela1[[#This Row],[Cliente]],'BASE DE CLIENTES'!A:D,4,0)</f>
        <v>EMPRESA COM MAQUINA</v>
      </c>
      <c r="L3653" s="16" t="str">
        <f>VLOOKUP(Tabela1[[#This Row],[Cliente]],'BASE DE CLIENTES'!A:E,5,0)</f>
        <v>SETOR HABITACIONAL ARNIQUEIRA (AGUAS CLARAS)</v>
      </c>
    </row>
    <row r="3654" spans="1:12" x14ac:dyDescent="0.3">
      <c r="A3654" t="s">
        <v>791</v>
      </c>
      <c r="B3654" t="s">
        <v>256</v>
      </c>
      <c r="C3654" s="16" t="str">
        <f>VLOOKUP(Tabela1[[#This Row],[Cliente]],'BASE DE CLIENTES'!A:E,2,0)</f>
        <v>Luziânia</v>
      </c>
      <c r="D3654" s="16" t="str">
        <f>VLOOKUP(Tabela1[[#This Row],[Cliente]],'BASE DE CLIENTES'!A:C,3,0)</f>
        <v>GO</v>
      </c>
      <c r="E3654" s="16" t="str">
        <f>CONCATENATE(Tabela1[[#This Row],[CIDADE]],",",Tabela1[[#This Row],[UF]])</f>
        <v>Luziânia,GO</v>
      </c>
      <c r="F3654" s="15">
        <v>46052</v>
      </c>
      <c r="G3654">
        <v>806.02</v>
      </c>
      <c r="H3654" s="10">
        <v>1125</v>
      </c>
      <c r="I3654" s="8">
        <f>Tabela1[[#This Row],[Valor total]]-Tabela1[[#This Row],[Valor custo]]</f>
        <v>318.98</v>
      </c>
      <c r="J3654" s="18">
        <f>Tabela1[[#This Row],[MARGEM BRUTA]]/Tabela1[[#This Row],[Valor total]]</f>
        <v>0.28353777777777778</v>
      </c>
      <c r="K3654" s="16" t="str">
        <f>VLOOKUP(Tabela1[[#This Row],[Cliente]],'BASE DE CLIENTES'!A:D,4,0)</f>
        <v>SERRALHEIRO</v>
      </c>
      <c r="L3654" s="16" t="str">
        <f>VLOOKUP(Tabela1[[#This Row],[Cliente]],'BASE DE CLIENTES'!A:E,5,0)</f>
        <v>Luziânia</v>
      </c>
    </row>
    <row r="3655" spans="1:12" x14ac:dyDescent="0.3">
      <c r="A3655" t="s">
        <v>792</v>
      </c>
      <c r="B3655" t="s">
        <v>221</v>
      </c>
      <c r="C3655" s="16" t="str">
        <f>VLOOKUP(Tabela1[[#This Row],[Cliente]],'BASE DE CLIENTES'!A:E,2,0)</f>
        <v>Goiânia</v>
      </c>
      <c r="D3655" s="16" t="str">
        <f>VLOOKUP(Tabela1[[#This Row],[Cliente]],'BASE DE CLIENTES'!A:C,3,0)</f>
        <v>GO</v>
      </c>
      <c r="E3655" s="16" t="str">
        <f>CONCATENATE(Tabela1[[#This Row],[CIDADE]],",",Tabela1[[#This Row],[UF]])</f>
        <v>Goiânia,GO</v>
      </c>
      <c r="F3655" s="15">
        <v>46051</v>
      </c>
      <c r="G3655" s="10">
        <v>1996.22</v>
      </c>
      <c r="H3655" s="10">
        <v>3200</v>
      </c>
      <c r="I3655" s="8">
        <f>Tabela1[[#This Row],[Valor total]]-Tabela1[[#This Row],[Valor custo]]</f>
        <v>1203.78</v>
      </c>
      <c r="J3655" s="18">
        <f>Tabela1[[#This Row],[MARGEM BRUTA]]/Tabela1[[#This Row],[Valor total]]</f>
        <v>0.37618124999999997</v>
      </c>
      <c r="K3655" s="16" t="str">
        <f>VLOOKUP(Tabela1[[#This Row],[Cliente]],'BASE DE CLIENTES'!A:D,4,0)</f>
        <v>EMPRESA COM MAQUINA</v>
      </c>
      <c r="L3655" s="16" t="str">
        <f>VLOOKUP(Tabela1[[#This Row],[Cliente]],'BASE DE CLIENTES'!A:E,5,0)</f>
        <v>Goiânia</v>
      </c>
    </row>
    <row r="3656" spans="1:12" x14ac:dyDescent="0.3">
      <c r="A3656" t="s">
        <v>793</v>
      </c>
      <c r="B3656" t="s">
        <v>232</v>
      </c>
      <c r="C3656" s="16" t="str">
        <f>VLOOKUP(Tabela1[[#This Row],[Cliente]],'BASE DE CLIENTES'!A:E,2,0)</f>
        <v>Brasília</v>
      </c>
      <c r="D3656" s="16" t="str">
        <f>VLOOKUP(Tabela1[[#This Row],[Cliente]],'BASE DE CLIENTES'!A:C,3,0)</f>
        <v>DF</v>
      </c>
      <c r="E3656" s="16" t="str">
        <f>CONCATENATE(Tabela1[[#This Row],[CIDADE]],",",Tabela1[[#This Row],[UF]])</f>
        <v>Brasília,DF</v>
      </c>
      <c r="F3656" s="15">
        <v>46051</v>
      </c>
      <c r="G3656">
        <v>293.13</v>
      </c>
      <c r="H3656">
        <v>500</v>
      </c>
      <c r="I3656" s="8">
        <f>Tabela1[[#This Row],[Valor total]]-Tabela1[[#This Row],[Valor custo]]</f>
        <v>206.87</v>
      </c>
      <c r="J3656" s="18">
        <f>Tabela1[[#This Row],[MARGEM BRUTA]]/Tabela1[[#This Row],[Valor total]]</f>
        <v>0.41374</v>
      </c>
      <c r="K3656" s="16" t="str">
        <f>VLOOKUP(Tabela1[[#This Row],[Cliente]],'BASE DE CLIENTES'!A:D,4,0)</f>
        <v>CHAVEIRO</v>
      </c>
      <c r="L3656" s="16" t="str">
        <f>VLOOKUP(Tabela1[[#This Row],[Cliente]],'BASE DE CLIENTES'!A:E,5,0)</f>
        <v>Areal (Águas Claras)</v>
      </c>
    </row>
    <row r="3657" spans="1:12" x14ac:dyDescent="0.3">
      <c r="A3657" t="s">
        <v>794</v>
      </c>
      <c r="B3657" t="s">
        <v>342</v>
      </c>
      <c r="C3657" s="16" t="str">
        <f>VLOOKUP(Tabela1[[#This Row],[Cliente]],'BASE DE CLIENTES'!A:E,2,0)</f>
        <v>Santo Antônio Descoberto</v>
      </c>
      <c r="D3657" s="16" t="str">
        <f>VLOOKUP(Tabela1[[#This Row],[Cliente]],'BASE DE CLIENTES'!A:C,3,0)</f>
        <v>GO</v>
      </c>
      <c r="E3657" s="16" t="str">
        <f>CONCATENATE(Tabela1[[#This Row],[CIDADE]],",",Tabela1[[#This Row],[UF]])</f>
        <v>Santo Antônio Descoberto,GO</v>
      </c>
      <c r="F3657" s="15">
        <v>46051</v>
      </c>
      <c r="G3657">
        <v>500.27</v>
      </c>
      <c r="H3657">
        <v>690</v>
      </c>
      <c r="I3657" s="8">
        <f>Tabela1[[#This Row],[Valor total]]-Tabela1[[#This Row],[Valor custo]]</f>
        <v>189.73000000000002</v>
      </c>
      <c r="J3657" s="18">
        <f>Tabela1[[#This Row],[MARGEM BRUTA]]/Tabela1[[#This Row],[Valor total]]</f>
        <v>0.27497101449275363</v>
      </c>
      <c r="K3657" s="16" t="str">
        <f>VLOOKUP(Tabela1[[#This Row],[Cliente]],'BASE DE CLIENTES'!A:D,4,0)</f>
        <v>CLIENTE NOVO S/ IDENT.</v>
      </c>
      <c r="L3657" s="16" t="str">
        <f>VLOOKUP(Tabela1[[#This Row],[Cliente]],'BASE DE CLIENTES'!A:E,5,0)</f>
        <v>Santo Antônio Descoberto</v>
      </c>
    </row>
    <row r="3658" spans="1:12" x14ac:dyDescent="0.3">
      <c r="A3658" t="s">
        <v>795</v>
      </c>
      <c r="B3658" t="s">
        <v>88</v>
      </c>
      <c r="C3658" s="16" t="str">
        <f>VLOOKUP(Tabela1[[#This Row],[Cliente]],'BASE DE CLIENTES'!A:E,2,0)</f>
        <v>Brasília</v>
      </c>
      <c r="D3658" s="16" t="str">
        <f>VLOOKUP(Tabela1[[#This Row],[Cliente]],'BASE DE CLIENTES'!A:C,3,0)</f>
        <v>DF</v>
      </c>
      <c r="E3658" s="16" t="str">
        <f>CONCATENATE(Tabela1[[#This Row],[CIDADE]],",",Tabela1[[#This Row],[UF]])</f>
        <v>Brasília,DF</v>
      </c>
      <c r="F3658" s="15">
        <v>46051</v>
      </c>
      <c r="G3658">
        <v>50</v>
      </c>
      <c r="H3658">
        <v>80</v>
      </c>
      <c r="I3658" s="8">
        <f>Tabela1[[#This Row],[Valor total]]-Tabela1[[#This Row],[Valor custo]]</f>
        <v>30</v>
      </c>
      <c r="J3658" s="18">
        <f>Tabela1[[#This Row],[MARGEM BRUTA]]/Tabela1[[#This Row],[Valor total]]</f>
        <v>0.375</v>
      </c>
      <c r="K3658" s="16" t="str">
        <f>VLOOKUP(Tabela1[[#This Row],[Cliente]],'BASE DE CLIENTES'!A:D,4,0)</f>
        <v>SERRALHEIRO</v>
      </c>
      <c r="L3658" s="16" t="str">
        <f>VLOOKUP(Tabela1[[#This Row],[Cliente]],'BASE DE CLIENTES'!A:E,5,0)</f>
        <v>RECANTO DAS EMAS</v>
      </c>
    </row>
    <row r="3659" spans="1:12" x14ac:dyDescent="0.3">
      <c r="A3659" t="s">
        <v>796</v>
      </c>
      <c r="B3659" t="s">
        <v>88</v>
      </c>
      <c r="C3659" s="16" t="str">
        <f>VLOOKUP(Tabela1[[#This Row],[Cliente]],'BASE DE CLIENTES'!A:E,2,0)</f>
        <v>Brasília</v>
      </c>
      <c r="D3659" s="16" t="str">
        <f>VLOOKUP(Tabela1[[#This Row],[Cliente]],'BASE DE CLIENTES'!A:C,3,0)</f>
        <v>DF</v>
      </c>
      <c r="E3659" s="16" t="str">
        <f>CONCATENATE(Tabela1[[#This Row],[CIDADE]],",",Tabela1[[#This Row],[UF]])</f>
        <v>Brasília,DF</v>
      </c>
      <c r="F3659" s="15">
        <v>46051</v>
      </c>
      <c r="G3659" s="10">
        <v>1801.08</v>
      </c>
      <c r="H3659" s="10">
        <v>2580</v>
      </c>
      <c r="I3659" s="8">
        <f>Tabela1[[#This Row],[Valor total]]-Tabela1[[#This Row],[Valor custo]]</f>
        <v>778.92000000000007</v>
      </c>
      <c r="J3659" s="18">
        <f>Tabela1[[#This Row],[MARGEM BRUTA]]/Tabela1[[#This Row],[Valor total]]</f>
        <v>0.3019069767441861</v>
      </c>
      <c r="K3659" s="16" t="str">
        <f>VLOOKUP(Tabela1[[#This Row],[Cliente]],'BASE DE CLIENTES'!A:D,4,0)</f>
        <v>SERRALHEIRO</v>
      </c>
      <c r="L3659" s="16" t="str">
        <f>VLOOKUP(Tabela1[[#This Row],[Cliente]],'BASE DE CLIENTES'!A:E,5,0)</f>
        <v>RECANTO DAS EMAS</v>
      </c>
    </row>
    <row r="3660" spans="1:12" x14ac:dyDescent="0.3">
      <c r="A3660" t="s">
        <v>797</v>
      </c>
      <c r="B3660" t="s">
        <v>52</v>
      </c>
      <c r="C3660" s="16" t="str">
        <f>VLOOKUP(Tabela1[[#This Row],[Cliente]],'BASE DE CLIENTES'!A:E,2,0)</f>
        <v>Brasília</v>
      </c>
      <c r="D3660" s="16" t="str">
        <f>VLOOKUP(Tabela1[[#This Row],[Cliente]],'BASE DE CLIENTES'!A:C,3,0)</f>
        <v>DF</v>
      </c>
      <c r="E3660" s="16" t="str">
        <f>CONCATENATE(Tabela1[[#This Row],[CIDADE]],",",Tabela1[[#This Row],[UF]])</f>
        <v>Brasília,DF</v>
      </c>
      <c r="F3660" s="15">
        <v>46051</v>
      </c>
      <c r="G3660">
        <v>900.54</v>
      </c>
      <c r="H3660" s="10">
        <v>1360</v>
      </c>
      <c r="I3660" s="8">
        <f>Tabela1[[#This Row],[Valor total]]-Tabela1[[#This Row],[Valor custo]]</f>
        <v>459.46000000000004</v>
      </c>
      <c r="J3660" s="18">
        <f>Tabela1[[#This Row],[MARGEM BRUTA]]/Tabela1[[#This Row],[Valor total]]</f>
        <v>0.33783823529411766</v>
      </c>
      <c r="K3660" s="16" t="str">
        <f>VLOOKUP(Tabela1[[#This Row],[Cliente]],'BASE DE CLIENTES'!A:D,4,0)</f>
        <v>SERRALHEIRO</v>
      </c>
      <c r="L3660" s="16" t="str">
        <f>VLOOKUP(Tabela1[[#This Row],[Cliente]],'BASE DE CLIENTES'!A:E,5,0)</f>
        <v>Ceilândia Sul (Ceilândia)</v>
      </c>
    </row>
    <row r="3661" spans="1:12" x14ac:dyDescent="0.3">
      <c r="A3661" t="s">
        <v>798</v>
      </c>
      <c r="B3661" t="s">
        <v>85</v>
      </c>
      <c r="C3661" s="16" t="str">
        <f>VLOOKUP(Tabela1[[#This Row],[Cliente]],'BASE DE CLIENTES'!A:E,2,0)</f>
        <v>Brasília</v>
      </c>
      <c r="D3661" s="16" t="str">
        <f>VLOOKUP(Tabela1[[#This Row],[Cliente]],'BASE DE CLIENTES'!A:C,3,0)</f>
        <v>DF</v>
      </c>
      <c r="E3661" s="16" t="str">
        <f>CONCATENATE(Tabela1[[#This Row],[CIDADE]],",",Tabela1[[#This Row],[UF]])</f>
        <v>Brasília,DF</v>
      </c>
      <c r="F3661" s="15">
        <v>46051</v>
      </c>
      <c r="G3661">
        <v>483.83</v>
      </c>
      <c r="H3661">
        <v>700</v>
      </c>
      <c r="I3661" s="8">
        <f>Tabela1[[#This Row],[Valor total]]-Tabela1[[#This Row],[Valor custo]]</f>
        <v>216.17000000000002</v>
      </c>
      <c r="J3661" s="18">
        <f>Tabela1[[#This Row],[MARGEM BRUTA]]/Tabela1[[#This Row],[Valor total]]</f>
        <v>0.30881428571428576</v>
      </c>
      <c r="K3661" s="16" t="str">
        <f>VLOOKUP(Tabela1[[#This Row],[Cliente]],'BASE DE CLIENTES'!A:D,4,0)</f>
        <v>SERRALHEIRO</v>
      </c>
      <c r="L3661" s="16" t="str">
        <f>VLOOKUP(Tabela1[[#This Row],[Cliente]],'BASE DE CLIENTES'!A:E,5,0)</f>
        <v>SAMAMBAIA NORTE (SAMAMBAIA)</v>
      </c>
    </row>
    <row r="3662" spans="1:12" x14ac:dyDescent="0.3">
      <c r="A3662" t="s">
        <v>799</v>
      </c>
      <c r="B3662" t="s">
        <v>765</v>
      </c>
      <c r="C3662" s="16" t="str">
        <f>VLOOKUP(Tabela1[[#This Row],[Cliente]],'BASE DE CLIENTES'!A:E,2,0)</f>
        <v>Brasília</v>
      </c>
      <c r="D3662" s="16" t="str">
        <f>VLOOKUP(Tabela1[[#This Row],[Cliente]],'BASE DE CLIENTES'!A:C,3,0)</f>
        <v>DF</v>
      </c>
      <c r="E3662" s="16" t="str">
        <f>CONCATENATE(Tabela1[[#This Row],[CIDADE]],",",Tabela1[[#This Row],[UF]])</f>
        <v>Brasília,DF</v>
      </c>
      <c r="F3662" s="15">
        <v>46051</v>
      </c>
      <c r="G3662">
        <v>611.62</v>
      </c>
      <c r="H3662">
        <v>920</v>
      </c>
      <c r="I3662" s="8">
        <f>Tabela1[[#This Row],[Valor total]]-Tabela1[[#This Row],[Valor custo]]</f>
        <v>308.38</v>
      </c>
      <c r="J3662" s="18">
        <f>Tabela1[[#This Row],[MARGEM BRUTA]]/Tabela1[[#This Row],[Valor total]]</f>
        <v>0.33519565217391306</v>
      </c>
      <c r="K3662" s="16" t="str">
        <f>VLOOKUP(Tabela1[[#This Row],[Cliente]],'BASE DE CLIENTES'!A:D,4,0)</f>
        <v>SEM CLASSIFICAÇÃO</v>
      </c>
      <c r="L3662" s="16" t="str">
        <f>VLOOKUP(Tabela1[[#This Row],[Cliente]],'BASE DE CLIENTES'!A:E,5,0)</f>
        <v>SOBRADINHO</v>
      </c>
    </row>
    <row r="3663" spans="1:12" x14ac:dyDescent="0.3">
      <c r="A3663" t="s">
        <v>800</v>
      </c>
      <c r="B3663" t="s">
        <v>150</v>
      </c>
      <c r="C3663" s="16" t="str">
        <f>VLOOKUP(Tabela1[[#This Row],[Cliente]],'BASE DE CLIENTES'!A:E,2,0)</f>
        <v>Anápolis</v>
      </c>
      <c r="D3663" s="16" t="str">
        <f>VLOOKUP(Tabela1[[#This Row],[Cliente]],'BASE DE CLIENTES'!A:C,3,0)</f>
        <v>GO</v>
      </c>
      <c r="E3663" s="16" t="str">
        <f>CONCATENATE(Tabela1[[#This Row],[CIDADE]],",",Tabela1[[#This Row],[UF]])</f>
        <v>Anápolis,GO</v>
      </c>
      <c r="F3663" s="15">
        <v>46051</v>
      </c>
      <c r="G3663" s="10">
        <v>1805</v>
      </c>
      <c r="H3663" s="10">
        <v>3075</v>
      </c>
      <c r="I3663" s="8">
        <f>Tabela1[[#This Row],[Valor total]]-Tabela1[[#This Row],[Valor custo]]</f>
        <v>1270</v>
      </c>
      <c r="J3663" s="18">
        <f>Tabela1[[#This Row],[MARGEM BRUTA]]/Tabela1[[#This Row],[Valor total]]</f>
        <v>0.41300813008130083</v>
      </c>
      <c r="K3663" s="16" t="str">
        <f>VLOOKUP(Tabela1[[#This Row],[Cliente]],'BASE DE CLIENTES'!A:D,4,0)</f>
        <v>EMPRESA COM MAQUINA</v>
      </c>
      <c r="L3663" s="16" t="str">
        <f>VLOOKUP(Tabela1[[#This Row],[Cliente]],'BASE DE CLIENTES'!A:E,5,0)</f>
        <v>Anápolis</v>
      </c>
    </row>
    <row r="3664" spans="1:12" x14ac:dyDescent="0.3">
      <c r="A3664" t="s">
        <v>801</v>
      </c>
      <c r="B3664" t="s">
        <v>27</v>
      </c>
      <c r="C3664" s="16" t="str">
        <f>VLOOKUP(Tabela1[[#This Row],[Cliente]],'BASE DE CLIENTES'!A:E,2,0)</f>
        <v>Brasília</v>
      </c>
      <c r="D3664" s="16" t="str">
        <f>VLOOKUP(Tabela1[[#This Row],[Cliente]],'BASE DE CLIENTES'!A:C,3,0)</f>
        <v>DF</v>
      </c>
      <c r="E3664" s="16" t="str">
        <f>CONCATENATE(Tabela1[[#This Row],[CIDADE]],",",Tabela1[[#This Row],[UF]])</f>
        <v>Brasília,DF</v>
      </c>
      <c r="F3664" s="15">
        <v>46051</v>
      </c>
      <c r="G3664" s="10">
        <v>1801.08</v>
      </c>
      <c r="H3664" s="10">
        <v>1860</v>
      </c>
      <c r="I3664" s="8">
        <f>Tabela1[[#This Row],[Valor total]]-Tabela1[[#This Row],[Valor custo]]</f>
        <v>58.920000000000073</v>
      </c>
      <c r="J3664" s="18">
        <f>Tabela1[[#This Row],[MARGEM BRUTA]]/Tabela1[[#This Row],[Valor total]]</f>
        <v>3.1677419354838747E-2</v>
      </c>
      <c r="K3664" s="16" t="str">
        <f>VLOOKUP(Tabela1[[#This Row],[Cliente]],'BASE DE CLIENTES'!A:D,4,0)</f>
        <v>EMPRESA SEM MAQUINA</v>
      </c>
      <c r="L3664" s="16" t="str">
        <f>VLOOKUP(Tabela1[[#This Row],[Cliente]],'BASE DE CLIENTES'!A:E,5,0)</f>
        <v>RECANTO DAS EMAS</v>
      </c>
    </row>
    <row r="3665" spans="1:12" x14ac:dyDescent="0.3">
      <c r="A3665" t="s">
        <v>802</v>
      </c>
      <c r="B3665" t="s">
        <v>68</v>
      </c>
      <c r="C3665" s="16" t="str">
        <f>VLOOKUP(Tabela1[[#This Row],[Cliente]],'BASE DE CLIENTES'!A:E,2,0)</f>
        <v>Brasília</v>
      </c>
      <c r="D3665" s="16" t="str">
        <f>VLOOKUP(Tabela1[[#This Row],[Cliente]],'BASE DE CLIENTES'!A:C,3,0)</f>
        <v>DF</v>
      </c>
      <c r="E3665" s="16" t="str">
        <f>CONCATENATE(Tabela1[[#This Row],[CIDADE]],",",Tabela1[[#This Row],[UF]])</f>
        <v>Brasília,DF</v>
      </c>
      <c r="F3665" s="15">
        <v>46051</v>
      </c>
      <c r="G3665" s="10">
        <v>2658.18</v>
      </c>
      <c r="H3665" s="10">
        <v>4150</v>
      </c>
      <c r="I3665" s="8">
        <f>Tabela1[[#This Row],[Valor total]]-Tabela1[[#This Row],[Valor custo]]</f>
        <v>1491.8200000000002</v>
      </c>
      <c r="J3665" s="18">
        <f>Tabela1[[#This Row],[MARGEM BRUTA]]/Tabela1[[#This Row],[Valor total]]</f>
        <v>0.35947469879518074</v>
      </c>
      <c r="K3665" s="16" t="str">
        <f>VLOOKUP(Tabela1[[#This Row],[Cliente]],'BASE DE CLIENTES'!A:D,4,0)</f>
        <v>EMPRESA COM MAQUINA</v>
      </c>
      <c r="L3665" s="16" t="str">
        <f>VLOOKUP(Tabela1[[#This Row],[Cliente]],'BASE DE CLIENTES'!A:E,5,0)</f>
        <v>SAMAMBAIA SUL (SAMAMBAIA)</v>
      </c>
    </row>
    <row r="3666" spans="1:12" x14ac:dyDescent="0.3">
      <c r="A3666" t="s">
        <v>803</v>
      </c>
      <c r="B3666" t="s">
        <v>152</v>
      </c>
      <c r="C3666" s="16" t="str">
        <f>VLOOKUP(Tabela1[[#This Row],[Cliente]],'BASE DE CLIENTES'!A:E,2,0)</f>
        <v>Aparecida de Goiânia</v>
      </c>
      <c r="D3666" s="16" t="str">
        <f>VLOOKUP(Tabela1[[#This Row],[Cliente]],'BASE DE CLIENTES'!A:C,3,0)</f>
        <v>GO</v>
      </c>
      <c r="E3666" s="16" t="str">
        <f>CONCATENATE(Tabela1[[#This Row],[CIDADE]],",",Tabela1[[#This Row],[UF]])</f>
        <v>Aparecida de Goiânia,GO</v>
      </c>
      <c r="F3666" s="15">
        <v>46051</v>
      </c>
      <c r="G3666">
        <v>975.59</v>
      </c>
      <c r="H3666" s="10">
        <v>1700</v>
      </c>
      <c r="I3666" s="8">
        <f>Tabela1[[#This Row],[Valor total]]-Tabela1[[#This Row],[Valor custo]]</f>
        <v>724.41</v>
      </c>
      <c r="J3666" s="18">
        <f>Tabela1[[#This Row],[MARGEM BRUTA]]/Tabela1[[#This Row],[Valor total]]</f>
        <v>0.42612352941176468</v>
      </c>
      <c r="K3666" s="16" t="str">
        <f>VLOOKUP(Tabela1[[#This Row],[Cliente]],'BASE DE CLIENTES'!A:D,4,0)</f>
        <v>TECNICO</v>
      </c>
      <c r="L3666" s="16" t="str">
        <f>VLOOKUP(Tabela1[[#This Row],[Cliente]],'BASE DE CLIENTES'!A:E,5,0)</f>
        <v>Aparecida de Goiânia</v>
      </c>
    </row>
    <row r="3667" spans="1:12" x14ac:dyDescent="0.3">
      <c r="A3667" t="s">
        <v>804</v>
      </c>
      <c r="B3667" t="s">
        <v>100</v>
      </c>
      <c r="C3667" s="16" t="str">
        <f>VLOOKUP(Tabela1[[#This Row],[Cliente]],'BASE DE CLIENTES'!A:E,2,0)</f>
        <v>Águas Lindas de Goiás</v>
      </c>
      <c r="D3667" s="16" t="str">
        <f>VLOOKUP(Tabela1[[#This Row],[Cliente]],'BASE DE CLIENTES'!A:C,3,0)</f>
        <v>GO</v>
      </c>
      <c r="E3667" s="16" t="str">
        <f>CONCATENATE(Tabela1[[#This Row],[CIDADE]],",",Tabela1[[#This Row],[UF]])</f>
        <v>Águas Lindas de Goiás,GO</v>
      </c>
      <c r="F3667" s="15">
        <v>46051</v>
      </c>
      <c r="G3667">
        <v>712.93</v>
      </c>
      <c r="H3667" s="10">
        <v>1100</v>
      </c>
      <c r="I3667" s="8">
        <f>Tabela1[[#This Row],[Valor total]]-Tabela1[[#This Row],[Valor custo]]</f>
        <v>387.07000000000005</v>
      </c>
      <c r="J3667" s="18">
        <f>Tabela1[[#This Row],[MARGEM BRUTA]]/Tabela1[[#This Row],[Valor total]]</f>
        <v>0.35188181818181824</v>
      </c>
      <c r="K3667" s="16" t="str">
        <f>VLOOKUP(Tabela1[[#This Row],[Cliente]],'BASE DE CLIENTES'!A:D,4,0)</f>
        <v>EMPRESA SEM MAQUINA</v>
      </c>
      <c r="L3667" s="16" t="str">
        <f>VLOOKUP(Tabela1[[#This Row],[Cliente]],'BASE DE CLIENTES'!A:E,5,0)</f>
        <v>Águas Lindas de Goiás</v>
      </c>
    </row>
    <row r="3668" spans="1:12" x14ac:dyDescent="0.3">
      <c r="A3668" t="s">
        <v>805</v>
      </c>
      <c r="B3668" t="s">
        <v>356</v>
      </c>
      <c r="C3668" s="16" t="str">
        <f>VLOOKUP(Tabela1[[#This Row],[Cliente]],'BASE DE CLIENTES'!A:E,2,0)</f>
        <v>Trindade</v>
      </c>
      <c r="D3668" s="16" t="str">
        <f>VLOOKUP(Tabela1[[#This Row],[Cliente]],'BASE DE CLIENTES'!A:C,3,0)</f>
        <v>GO</v>
      </c>
      <c r="E3668" s="16" t="str">
        <f>CONCATENATE(Tabela1[[#This Row],[CIDADE]],",",Tabela1[[#This Row],[UF]])</f>
        <v>Trindade,GO</v>
      </c>
      <c r="F3668" s="15">
        <v>46051</v>
      </c>
      <c r="G3668">
        <v>180.12</v>
      </c>
      <c r="H3668">
        <v>340</v>
      </c>
      <c r="I3668" s="8">
        <f>Tabela1[[#This Row],[Valor total]]-Tabela1[[#This Row],[Valor custo]]</f>
        <v>159.88</v>
      </c>
      <c r="J3668" s="18">
        <f>Tabela1[[#This Row],[MARGEM BRUTA]]/Tabela1[[#This Row],[Valor total]]</f>
        <v>0.47023529411764703</v>
      </c>
      <c r="K3668" s="16" t="str">
        <f>VLOOKUP(Tabela1[[#This Row],[Cliente]],'BASE DE CLIENTES'!A:D,4,0)</f>
        <v>SERRALHEIRO</v>
      </c>
      <c r="L3668" s="16" t="str">
        <f>VLOOKUP(Tabela1[[#This Row],[Cliente]],'BASE DE CLIENTES'!A:E,5,0)</f>
        <v>Trindade</v>
      </c>
    </row>
    <row r="3669" spans="1:12" x14ac:dyDescent="0.3">
      <c r="A3669" t="s">
        <v>806</v>
      </c>
      <c r="B3669" t="s">
        <v>187</v>
      </c>
      <c r="C3669" s="16" t="str">
        <f>VLOOKUP(Tabela1[[#This Row],[Cliente]],'BASE DE CLIENTES'!A:E,2,0)</f>
        <v>Brasília</v>
      </c>
      <c r="D3669" s="16" t="str">
        <f>VLOOKUP(Tabela1[[#This Row],[Cliente]],'BASE DE CLIENTES'!A:C,3,0)</f>
        <v>DF</v>
      </c>
      <c r="E3669" s="16" t="str">
        <f>CONCATENATE(Tabela1[[#This Row],[CIDADE]],",",Tabela1[[#This Row],[UF]])</f>
        <v>Brasília,DF</v>
      </c>
      <c r="F3669" s="15">
        <v>46051</v>
      </c>
      <c r="G3669">
        <v>712.93</v>
      </c>
      <c r="H3669" s="10">
        <v>1000</v>
      </c>
      <c r="I3669" s="8">
        <f>Tabela1[[#This Row],[Valor total]]-Tabela1[[#This Row],[Valor custo]]</f>
        <v>287.07000000000005</v>
      </c>
      <c r="J3669" s="18">
        <f>Tabela1[[#This Row],[MARGEM BRUTA]]/Tabela1[[#This Row],[Valor total]]</f>
        <v>0.28707000000000005</v>
      </c>
      <c r="K3669" s="16" t="str">
        <f>VLOOKUP(Tabela1[[#This Row],[Cliente]],'BASE DE CLIENTES'!A:D,4,0)</f>
        <v>SERRALHEIRO</v>
      </c>
      <c r="L3669" s="16" t="str">
        <f>VLOOKUP(Tabela1[[#This Row],[Cliente]],'BASE DE CLIENTES'!A:E,5,0)</f>
        <v>CEILANDIA SUL (CEILANDIA)</v>
      </c>
    </row>
    <row r="3670" spans="1:12" x14ac:dyDescent="0.3">
      <c r="A3670" t="s">
        <v>807</v>
      </c>
      <c r="B3670" t="s">
        <v>78</v>
      </c>
      <c r="C3670" s="16" t="str">
        <f>VLOOKUP(Tabela1[[#This Row],[Cliente]],'BASE DE CLIENTES'!A:E,2,0)</f>
        <v>Brasília</v>
      </c>
      <c r="D3670" s="16" t="str">
        <f>VLOOKUP(Tabela1[[#This Row],[Cliente]],'BASE DE CLIENTES'!A:C,3,0)</f>
        <v>DF</v>
      </c>
      <c r="E3670" s="16" t="str">
        <f>CONCATENATE(Tabela1[[#This Row],[CIDADE]],",",Tabela1[[#This Row],[UF]])</f>
        <v>Brasília,DF</v>
      </c>
      <c r="F3670" s="15">
        <v>46051</v>
      </c>
      <c r="G3670">
        <v>107.49</v>
      </c>
      <c r="H3670">
        <v>395</v>
      </c>
      <c r="I3670" s="8">
        <f>Tabela1[[#This Row],[Valor total]]-Tabela1[[#This Row],[Valor custo]]</f>
        <v>287.51</v>
      </c>
      <c r="J3670" s="18">
        <f>Tabela1[[#This Row],[MARGEM BRUTA]]/Tabela1[[#This Row],[Valor total]]</f>
        <v>0.72787341772151892</v>
      </c>
      <c r="K3670" s="16" t="str">
        <f>VLOOKUP(Tabela1[[#This Row],[Cliente]],'BASE DE CLIENTES'!A:D,4,0)</f>
        <v>SERRALHEIRO</v>
      </c>
      <c r="L3670" s="16" t="str">
        <f>VLOOKUP(Tabela1[[#This Row],[Cliente]],'BASE DE CLIENTES'!A:E,5,0)</f>
        <v>Vila do Boa (São Sebastião)</v>
      </c>
    </row>
    <row r="3671" spans="1:12" x14ac:dyDescent="0.3">
      <c r="A3671" t="s">
        <v>808</v>
      </c>
      <c r="B3671" t="s">
        <v>286</v>
      </c>
      <c r="C3671" s="16" t="str">
        <f>VLOOKUP(Tabela1[[#This Row],[Cliente]],'BASE DE CLIENTES'!A:E,2,0)</f>
        <v>Planaltina</v>
      </c>
      <c r="D3671" s="16" t="str">
        <f>VLOOKUP(Tabela1[[#This Row],[Cliente]],'BASE DE CLIENTES'!A:C,3,0)</f>
        <v>GO</v>
      </c>
      <c r="E3671" s="16" t="str">
        <f>CONCATENATE(Tabela1[[#This Row],[CIDADE]],",",Tabela1[[#This Row],[UF]])</f>
        <v>Planaltina,GO</v>
      </c>
      <c r="F3671" s="15">
        <v>46051</v>
      </c>
      <c r="G3671" s="10">
        <v>1801.08</v>
      </c>
      <c r="H3671" s="10">
        <v>2400</v>
      </c>
      <c r="I3671" s="8">
        <f>Tabela1[[#This Row],[Valor total]]-Tabela1[[#This Row],[Valor custo]]</f>
        <v>598.92000000000007</v>
      </c>
      <c r="J3671" s="18">
        <f>Tabela1[[#This Row],[MARGEM BRUTA]]/Tabela1[[#This Row],[Valor total]]</f>
        <v>0.24955000000000002</v>
      </c>
      <c r="K3671" s="16" t="str">
        <f>VLOOKUP(Tabela1[[#This Row],[Cliente]],'BASE DE CLIENTES'!A:D,4,0)</f>
        <v>SERRALHEIRO</v>
      </c>
      <c r="L3671" s="16" t="str">
        <f>VLOOKUP(Tabela1[[#This Row],[Cliente]],'BASE DE CLIENTES'!A:E,5,0)</f>
        <v>Planaltina</v>
      </c>
    </row>
    <row r="3672" spans="1:12" x14ac:dyDescent="0.3">
      <c r="A3672" t="s">
        <v>809</v>
      </c>
      <c r="B3672" t="s">
        <v>19</v>
      </c>
      <c r="C3672" s="16" t="str">
        <f>VLOOKUP(Tabela1[[#This Row],[Cliente]],'BASE DE CLIENTES'!A:E,2,0)</f>
        <v>Águas Lindas de Goiás</v>
      </c>
      <c r="D3672" s="16" t="str">
        <f>VLOOKUP(Tabela1[[#This Row],[Cliente]],'BASE DE CLIENTES'!A:C,3,0)</f>
        <v>GO</v>
      </c>
      <c r="E3672" s="16" t="str">
        <f>CONCATENATE(Tabela1[[#This Row],[CIDADE]],",",Tabela1[[#This Row],[UF]])</f>
        <v>Águas Lindas de Goiás,GO</v>
      </c>
      <c r="F3672" s="15">
        <v>46051</v>
      </c>
      <c r="G3672">
        <v>105.06</v>
      </c>
      <c r="H3672">
        <v>220</v>
      </c>
      <c r="I3672" s="8">
        <f>Tabela1[[#This Row],[Valor total]]-Tabela1[[#This Row],[Valor custo]]</f>
        <v>114.94</v>
      </c>
      <c r="J3672" s="18">
        <f>Tabela1[[#This Row],[MARGEM BRUTA]]/Tabela1[[#This Row],[Valor total]]</f>
        <v>0.52245454545454539</v>
      </c>
      <c r="K3672" s="16" t="str">
        <f>VLOOKUP(Tabela1[[#This Row],[Cliente]],'BASE DE CLIENTES'!A:D,4,0)</f>
        <v>SERRALHEIRO</v>
      </c>
      <c r="L3672" s="16" t="str">
        <f>VLOOKUP(Tabela1[[#This Row],[Cliente]],'BASE DE CLIENTES'!A:E,5,0)</f>
        <v>Águas Lindas de Goiás</v>
      </c>
    </row>
    <row r="3673" spans="1:12" x14ac:dyDescent="0.3">
      <c r="A3673" t="s">
        <v>810</v>
      </c>
      <c r="B3673" t="s">
        <v>189</v>
      </c>
      <c r="C3673" s="16" t="str">
        <f>VLOOKUP(Tabela1[[#This Row],[Cliente]],'BASE DE CLIENTES'!A:E,2,0)</f>
        <v>Formosa</v>
      </c>
      <c r="D3673" s="16" t="str">
        <f>VLOOKUP(Tabela1[[#This Row],[Cliente]],'BASE DE CLIENTES'!A:C,3,0)</f>
        <v>GO</v>
      </c>
      <c r="E3673" s="16" t="str">
        <f>CONCATENATE(Tabela1[[#This Row],[CIDADE]],",",Tabela1[[#This Row],[UF]])</f>
        <v>Formosa,GO</v>
      </c>
      <c r="F3673" s="15">
        <v>46051</v>
      </c>
      <c r="G3673">
        <v>540.27</v>
      </c>
      <c r="H3673">
        <v>860</v>
      </c>
      <c r="I3673" s="8">
        <f>Tabela1[[#This Row],[Valor total]]-Tabela1[[#This Row],[Valor custo]]</f>
        <v>319.73</v>
      </c>
      <c r="J3673" s="18">
        <f>Tabela1[[#This Row],[MARGEM BRUTA]]/Tabela1[[#This Row],[Valor total]]</f>
        <v>0.37177906976744191</v>
      </c>
      <c r="K3673" s="16" t="str">
        <f>VLOOKUP(Tabela1[[#This Row],[Cliente]],'BASE DE CLIENTES'!A:D,4,0)</f>
        <v>SEM CLASSIFICAÇÃO</v>
      </c>
      <c r="L3673" s="16" t="str">
        <f>VLOOKUP(Tabela1[[#This Row],[Cliente]],'BASE DE CLIENTES'!A:E,5,0)</f>
        <v>Formosa</v>
      </c>
    </row>
    <row r="3674" spans="1:12" x14ac:dyDescent="0.3">
      <c r="A3674" t="s">
        <v>811</v>
      </c>
      <c r="B3674" t="s">
        <v>283</v>
      </c>
      <c r="C3674" s="16" t="str">
        <f>VLOOKUP(Tabela1[[#This Row],[Cliente]],'BASE DE CLIENTES'!A:E,2,0)</f>
        <v>Planaltina</v>
      </c>
      <c r="D3674" s="16" t="str">
        <f>VLOOKUP(Tabela1[[#This Row],[Cliente]],'BASE DE CLIENTES'!A:C,3,0)</f>
        <v>GO</v>
      </c>
      <c r="E3674" s="16" t="str">
        <f>CONCATENATE(Tabela1[[#This Row],[CIDADE]],",",Tabela1[[#This Row],[UF]])</f>
        <v>Planaltina,GO</v>
      </c>
      <c r="F3674" s="15">
        <v>46051</v>
      </c>
      <c r="G3674">
        <v>480</v>
      </c>
      <c r="H3674">
        <v>799</v>
      </c>
      <c r="I3674" s="8">
        <f>Tabela1[[#This Row],[Valor total]]-Tabela1[[#This Row],[Valor custo]]</f>
        <v>319</v>
      </c>
      <c r="J3674" s="18">
        <f>Tabela1[[#This Row],[MARGEM BRUTA]]/Tabela1[[#This Row],[Valor total]]</f>
        <v>0.39924906132665833</v>
      </c>
      <c r="K3674" s="16" t="str">
        <f>VLOOKUP(Tabela1[[#This Row],[Cliente]],'BASE DE CLIENTES'!A:D,4,0)</f>
        <v>SEM CLASSIFICAÇÃO</v>
      </c>
      <c r="L3674" s="16" t="str">
        <f>VLOOKUP(Tabela1[[#This Row],[Cliente]],'BASE DE CLIENTES'!A:E,5,0)</f>
        <v>Planaltina</v>
      </c>
    </row>
    <row r="3675" spans="1:12" x14ac:dyDescent="0.3">
      <c r="A3675" t="s">
        <v>812</v>
      </c>
      <c r="B3675" t="s">
        <v>99</v>
      </c>
      <c r="C3675" s="16" t="str">
        <f>VLOOKUP(Tabela1[[#This Row],[Cliente]],'BASE DE CLIENTES'!A:E,2,0)</f>
        <v>Brasília</v>
      </c>
      <c r="D3675" s="16" t="str">
        <f>VLOOKUP(Tabela1[[#This Row],[Cliente]],'BASE DE CLIENTES'!A:C,3,0)</f>
        <v>DF</v>
      </c>
      <c r="E3675" s="16" t="str">
        <f>CONCATENATE(Tabela1[[#This Row],[CIDADE]],",",Tabela1[[#This Row],[UF]])</f>
        <v>Brasília,DF</v>
      </c>
      <c r="F3675" s="15">
        <v>46051</v>
      </c>
      <c r="G3675" s="10">
        <v>2534.35</v>
      </c>
      <c r="H3675" s="10">
        <v>3720</v>
      </c>
      <c r="I3675" s="8">
        <f>Tabela1[[#This Row],[Valor total]]-Tabela1[[#This Row],[Valor custo]]</f>
        <v>1185.6500000000001</v>
      </c>
      <c r="J3675" s="18">
        <f>Tabela1[[#This Row],[MARGEM BRUTA]]/Tabela1[[#This Row],[Valor total]]</f>
        <v>0.31872311827956989</v>
      </c>
      <c r="K3675" s="16" t="str">
        <f>VLOOKUP(Tabela1[[#This Row],[Cliente]],'BASE DE CLIENTES'!A:D,4,0)</f>
        <v>EMPRESA COM MAQUINA</v>
      </c>
      <c r="L3675" s="16" t="str">
        <f>VLOOKUP(Tabela1[[#This Row],[Cliente]],'BASE DE CLIENTES'!A:E,5,0)</f>
        <v>ARAPOANGA (PLANALTINA)</v>
      </c>
    </row>
    <row r="3676" spans="1:12" x14ac:dyDescent="0.3">
      <c r="A3676" t="s">
        <v>813</v>
      </c>
      <c r="B3676" t="s">
        <v>27</v>
      </c>
      <c r="C3676" s="16" t="str">
        <f>VLOOKUP(Tabela1[[#This Row],[Cliente]],'BASE DE CLIENTES'!A:E,2,0)</f>
        <v>Brasília</v>
      </c>
      <c r="D3676" s="16" t="str">
        <f>VLOOKUP(Tabela1[[#This Row],[Cliente]],'BASE DE CLIENTES'!A:C,3,0)</f>
        <v>DF</v>
      </c>
      <c r="E3676" s="16" t="str">
        <f>CONCATENATE(Tabela1[[#This Row],[CIDADE]],",",Tabela1[[#This Row],[UF]])</f>
        <v>Brasília,DF</v>
      </c>
      <c r="F3676" s="15">
        <v>46050</v>
      </c>
      <c r="G3676">
        <v>983.1</v>
      </c>
      <c r="H3676">
        <v>900</v>
      </c>
      <c r="I3676" s="8">
        <f>Tabela1[[#This Row],[Valor total]]-Tabela1[[#This Row],[Valor custo]]</f>
        <v>-83.100000000000023</v>
      </c>
      <c r="J3676" s="18">
        <f>Tabela1[[#This Row],[MARGEM BRUTA]]/Tabela1[[#This Row],[Valor total]]</f>
        <v>-9.2333333333333364E-2</v>
      </c>
      <c r="K3676" s="16" t="str">
        <f>VLOOKUP(Tabela1[[#This Row],[Cliente]],'BASE DE CLIENTES'!A:D,4,0)</f>
        <v>EMPRESA SEM MAQUINA</v>
      </c>
      <c r="L3676" s="16" t="str">
        <f>VLOOKUP(Tabela1[[#This Row],[Cliente]],'BASE DE CLIENTES'!A:E,5,0)</f>
        <v>RECANTO DAS EMAS</v>
      </c>
    </row>
    <row r="3677" spans="1:12" x14ac:dyDescent="0.3">
      <c r="A3677" t="s">
        <v>814</v>
      </c>
      <c r="B3677" t="s">
        <v>230</v>
      </c>
      <c r="C3677" s="16" t="str">
        <f>VLOOKUP(Tabela1[[#This Row],[Cliente]],'BASE DE CLIENTES'!A:E,2,0)</f>
        <v>Brasília</v>
      </c>
      <c r="D3677" s="16" t="str">
        <f>VLOOKUP(Tabela1[[#This Row],[Cliente]],'BASE DE CLIENTES'!A:C,3,0)</f>
        <v>DF</v>
      </c>
      <c r="E3677" s="16" t="str">
        <f>CONCATENATE(Tabela1[[#This Row],[CIDADE]],",",Tabela1[[#This Row],[UF]])</f>
        <v>Brasília,DF</v>
      </c>
      <c r="F3677" s="15">
        <v>46050</v>
      </c>
      <c r="G3677">
        <v>45.06</v>
      </c>
      <c r="H3677">
        <v>210</v>
      </c>
      <c r="I3677" s="8">
        <f>Tabela1[[#This Row],[Valor total]]-Tabela1[[#This Row],[Valor custo]]</f>
        <v>164.94</v>
      </c>
      <c r="J3677" s="18">
        <f>Tabela1[[#This Row],[MARGEM BRUTA]]/Tabela1[[#This Row],[Valor total]]</f>
        <v>0.78542857142857136</v>
      </c>
      <c r="K3677" s="16" t="str">
        <f>VLOOKUP(Tabela1[[#This Row],[Cliente]],'BASE DE CLIENTES'!A:D,4,0)</f>
        <v>SERRALHEIRO</v>
      </c>
      <c r="L3677" s="16" t="str">
        <f>VLOOKUP(Tabela1[[#This Row],[Cliente]],'BASE DE CLIENTES'!A:E,5,0)</f>
        <v>SETOR HABITACIONAL SAMAMBAIA (VICENTE PIRES)</v>
      </c>
    </row>
    <row r="3678" spans="1:12" x14ac:dyDescent="0.3">
      <c r="A3678" t="s">
        <v>815</v>
      </c>
      <c r="B3678" t="s">
        <v>68</v>
      </c>
      <c r="C3678" s="16" t="str">
        <f>VLOOKUP(Tabela1[[#This Row],[Cliente]],'BASE DE CLIENTES'!A:E,2,0)</f>
        <v>Brasília</v>
      </c>
      <c r="D3678" s="16" t="str">
        <f>VLOOKUP(Tabela1[[#This Row],[Cliente]],'BASE DE CLIENTES'!A:C,3,0)</f>
        <v>DF</v>
      </c>
      <c r="E3678" s="16" t="str">
        <f>CONCATENATE(Tabela1[[#This Row],[CIDADE]],",",Tabela1[[#This Row],[UF]])</f>
        <v>Brasília,DF</v>
      </c>
      <c r="F3678" s="15">
        <v>46050</v>
      </c>
      <c r="G3678">
        <v>640.79</v>
      </c>
      <c r="H3678">
        <v>945</v>
      </c>
      <c r="I3678" s="8">
        <f>Tabela1[[#This Row],[Valor total]]-Tabela1[[#This Row],[Valor custo]]</f>
        <v>304.21000000000004</v>
      </c>
      <c r="J3678" s="18">
        <f>Tabela1[[#This Row],[MARGEM BRUTA]]/Tabela1[[#This Row],[Valor total]]</f>
        <v>0.32191534391534393</v>
      </c>
      <c r="K3678" s="16" t="str">
        <f>VLOOKUP(Tabela1[[#This Row],[Cliente]],'BASE DE CLIENTES'!A:D,4,0)</f>
        <v>EMPRESA COM MAQUINA</v>
      </c>
      <c r="L3678" s="16" t="str">
        <f>VLOOKUP(Tabela1[[#This Row],[Cliente]],'BASE DE CLIENTES'!A:E,5,0)</f>
        <v>SAMAMBAIA SUL (SAMAMBAIA)</v>
      </c>
    </row>
    <row r="3679" spans="1:12" x14ac:dyDescent="0.3">
      <c r="A3679" t="s">
        <v>816</v>
      </c>
      <c r="B3679" t="s">
        <v>88</v>
      </c>
      <c r="C3679" s="16" t="str">
        <f>VLOOKUP(Tabela1[[#This Row],[Cliente]],'BASE DE CLIENTES'!A:E,2,0)</f>
        <v>Brasília</v>
      </c>
      <c r="D3679" s="16" t="str">
        <f>VLOOKUP(Tabela1[[#This Row],[Cliente]],'BASE DE CLIENTES'!A:C,3,0)</f>
        <v>DF</v>
      </c>
      <c r="E3679" s="16" t="str">
        <f>CONCATENATE(Tabela1[[#This Row],[CIDADE]],",",Tabela1[[#This Row],[UF]])</f>
        <v>Brasília,DF</v>
      </c>
      <c r="F3679" s="15">
        <v>46050</v>
      </c>
      <c r="G3679">
        <v>33</v>
      </c>
      <c r="H3679">
        <v>150</v>
      </c>
      <c r="I3679" s="8">
        <f>Tabela1[[#This Row],[Valor total]]-Tabela1[[#This Row],[Valor custo]]</f>
        <v>117</v>
      </c>
      <c r="J3679" s="18">
        <f>Tabela1[[#This Row],[MARGEM BRUTA]]/Tabela1[[#This Row],[Valor total]]</f>
        <v>0.78</v>
      </c>
      <c r="K3679" s="16" t="str">
        <f>VLOOKUP(Tabela1[[#This Row],[Cliente]],'BASE DE CLIENTES'!A:D,4,0)</f>
        <v>SERRALHEIRO</v>
      </c>
      <c r="L3679" s="16" t="str">
        <f>VLOOKUP(Tabela1[[#This Row],[Cliente]],'BASE DE CLIENTES'!A:E,5,0)</f>
        <v>RECANTO DAS EMAS</v>
      </c>
    </row>
    <row r="3680" spans="1:12" x14ac:dyDescent="0.3">
      <c r="A3680" t="s">
        <v>817</v>
      </c>
      <c r="B3680" t="s">
        <v>343</v>
      </c>
      <c r="C3680" s="16" t="str">
        <f>VLOOKUP(Tabela1[[#This Row],[Cliente]],'BASE DE CLIENTES'!A:E,2,0)</f>
        <v>Brasília</v>
      </c>
      <c r="D3680" s="16" t="str">
        <f>VLOOKUP(Tabela1[[#This Row],[Cliente]],'BASE DE CLIENTES'!A:C,3,0)</f>
        <v>DF</v>
      </c>
      <c r="E3680" s="16" t="str">
        <f>CONCATENATE(Tabela1[[#This Row],[CIDADE]],",",Tabela1[[#This Row],[UF]])</f>
        <v>Brasília,DF</v>
      </c>
      <c r="F3680" s="15">
        <v>46050</v>
      </c>
      <c r="G3680">
        <v>450.27</v>
      </c>
      <c r="H3680">
        <v>620</v>
      </c>
      <c r="I3680" s="8">
        <f>Tabela1[[#This Row],[Valor total]]-Tabela1[[#This Row],[Valor custo]]</f>
        <v>169.73000000000002</v>
      </c>
      <c r="J3680" s="18">
        <f>Tabela1[[#This Row],[MARGEM BRUTA]]/Tabela1[[#This Row],[Valor total]]</f>
        <v>0.27375806451612905</v>
      </c>
      <c r="K3680" s="16" t="str">
        <f>VLOOKUP(Tabela1[[#This Row],[Cliente]],'BASE DE CLIENTES'!A:D,4,0)</f>
        <v>CLIENTE NOVO S/ IDENT.</v>
      </c>
      <c r="L3680" s="16" t="str">
        <f>VLOOKUP(Tabela1[[#This Row],[Cliente]],'BASE DE CLIENTES'!A:E,5,0)</f>
        <v>Brasília</v>
      </c>
    </row>
    <row r="3681" spans="1:12" x14ac:dyDescent="0.3">
      <c r="A3681" t="s">
        <v>818</v>
      </c>
      <c r="B3681" t="s">
        <v>216</v>
      </c>
      <c r="C3681" s="16" t="str">
        <f>VLOOKUP(Tabela1[[#This Row],[Cliente]],'BASE DE CLIENTES'!A:E,2,0)</f>
        <v>Brasília</v>
      </c>
      <c r="D3681" s="16" t="str">
        <f>VLOOKUP(Tabela1[[#This Row],[Cliente]],'BASE DE CLIENTES'!A:C,3,0)</f>
        <v>DF</v>
      </c>
      <c r="E3681" s="16" t="str">
        <f>CONCATENATE(Tabela1[[#This Row],[CIDADE]],",",Tabela1[[#This Row],[UF]])</f>
        <v>Brasília,DF</v>
      </c>
      <c r="F3681" s="15">
        <v>46050</v>
      </c>
      <c r="G3681" s="10">
        <v>8364.0499999999993</v>
      </c>
      <c r="H3681" s="10">
        <v>10830</v>
      </c>
      <c r="I3681" s="8">
        <f>Tabela1[[#This Row],[Valor total]]-Tabela1[[#This Row],[Valor custo]]</f>
        <v>2465.9500000000007</v>
      </c>
      <c r="J3681" s="18">
        <f>Tabela1[[#This Row],[MARGEM BRUTA]]/Tabela1[[#This Row],[Valor total]]</f>
        <v>0.22769621421976</v>
      </c>
      <c r="K3681" s="16" t="str">
        <f>VLOOKUP(Tabela1[[#This Row],[Cliente]],'BASE DE CLIENTES'!A:D,4,0)</f>
        <v>EMPRESA COM MAQUINA</v>
      </c>
      <c r="L3681" s="16" t="str">
        <f>VLOOKUP(Tabela1[[#This Row],[Cliente]],'BASE DE CLIENTES'!A:E,5,0)</f>
        <v>RIACHO FUNDO II</v>
      </c>
    </row>
    <row r="3682" spans="1:12" x14ac:dyDescent="0.3">
      <c r="A3682" t="s">
        <v>819</v>
      </c>
      <c r="B3682" t="s">
        <v>55</v>
      </c>
      <c r="C3682" s="16" t="str">
        <f>VLOOKUP(Tabela1[[#This Row],[Cliente]],'BASE DE CLIENTES'!A:E,2,0)</f>
        <v>Brasília</v>
      </c>
      <c r="D3682" s="16" t="str">
        <f>VLOOKUP(Tabela1[[#This Row],[Cliente]],'BASE DE CLIENTES'!A:C,3,0)</f>
        <v>DF</v>
      </c>
      <c r="E3682" s="16" t="str">
        <f>CONCATENATE(Tabela1[[#This Row],[CIDADE]],",",Tabela1[[#This Row],[UF]])</f>
        <v>Brasília,DF</v>
      </c>
      <c r="F3682" s="15">
        <v>46050</v>
      </c>
      <c r="G3682">
        <v>65</v>
      </c>
      <c r="H3682">
        <v>95</v>
      </c>
      <c r="I3682" s="8">
        <f>Tabela1[[#This Row],[Valor total]]-Tabela1[[#This Row],[Valor custo]]</f>
        <v>30</v>
      </c>
      <c r="J3682" s="18">
        <f>Tabela1[[#This Row],[MARGEM BRUTA]]/Tabela1[[#This Row],[Valor total]]</f>
        <v>0.31578947368421051</v>
      </c>
      <c r="K3682" s="16" t="str">
        <f>VLOOKUP(Tabela1[[#This Row],[Cliente]],'BASE DE CLIENTES'!A:D,4,0)</f>
        <v>EMPRESA SEM MAQUINA</v>
      </c>
      <c r="L3682" s="16" t="str">
        <f>VLOOKUP(Tabela1[[#This Row],[Cliente]],'BASE DE CLIENTES'!A:E,5,0)</f>
        <v>RECANTO DAS EMAS</v>
      </c>
    </row>
    <row r="3683" spans="1:12" x14ac:dyDescent="0.3">
      <c r="A3683" t="s">
        <v>820</v>
      </c>
      <c r="B3683" t="s">
        <v>55</v>
      </c>
      <c r="C3683" s="16" t="str">
        <f>VLOOKUP(Tabela1[[#This Row],[Cliente]],'BASE DE CLIENTES'!A:E,2,0)</f>
        <v>Brasília</v>
      </c>
      <c r="D3683" s="16" t="str">
        <f>VLOOKUP(Tabela1[[#This Row],[Cliente]],'BASE DE CLIENTES'!A:C,3,0)</f>
        <v>DF</v>
      </c>
      <c r="E3683" s="16" t="str">
        <f>CONCATENATE(Tabela1[[#This Row],[CIDADE]],",",Tabela1[[#This Row],[UF]])</f>
        <v>Brasília,DF</v>
      </c>
      <c r="F3683" s="15">
        <v>46050</v>
      </c>
      <c r="G3683">
        <v>510.31</v>
      </c>
      <c r="H3683">
        <v>750</v>
      </c>
      <c r="I3683" s="8">
        <f>Tabela1[[#This Row],[Valor total]]-Tabela1[[#This Row],[Valor custo]]</f>
        <v>239.69</v>
      </c>
      <c r="J3683" s="18">
        <f>Tabela1[[#This Row],[MARGEM BRUTA]]/Tabela1[[#This Row],[Valor total]]</f>
        <v>0.31958666666666669</v>
      </c>
      <c r="K3683" s="16" t="str">
        <f>VLOOKUP(Tabela1[[#This Row],[Cliente]],'BASE DE CLIENTES'!A:D,4,0)</f>
        <v>EMPRESA SEM MAQUINA</v>
      </c>
      <c r="L3683" s="16" t="str">
        <f>VLOOKUP(Tabela1[[#This Row],[Cliente]],'BASE DE CLIENTES'!A:E,5,0)</f>
        <v>RECANTO DAS EMAS</v>
      </c>
    </row>
    <row r="3684" spans="1:12" x14ac:dyDescent="0.3">
      <c r="A3684" t="s">
        <v>821</v>
      </c>
      <c r="B3684" t="s">
        <v>767</v>
      </c>
      <c r="C3684" s="16" t="str">
        <f>VLOOKUP(Tabela1[[#This Row],[Cliente]],'BASE DE CLIENTES'!A:E,2,0)</f>
        <v>Catalão</v>
      </c>
      <c r="D3684" s="16" t="str">
        <f>VLOOKUP(Tabela1[[#This Row],[Cliente]],'BASE DE CLIENTES'!A:C,3,0)</f>
        <v>GO</v>
      </c>
      <c r="E3684" s="16" t="str">
        <f>CONCATENATE(Tabela1[[#This Row],[CIDADE]],",",Tabela1[[#This Row],[UF]])</f>
        <v>Catalão,GO</v>
      </c>
      <c r="F3684" s="15">
        <v>46050</v>
      </c>
      <c r="G3684">
        <v>301.95999999999998</v>
      </c>
      <c r="H3684">
        <v>920</v>
      </c>
      <c r="I3684" s="8">
        <f>Tabela1[[#This Row],[Valor total]]-Tabela1[[#This Row],[Valor custo]]</f>
        <v>618.04</v>
      </c>
      <c r="J3684" s="18">
        <f>Tabela1[[#This Row],[MARGEM BRUTA]]/Tabela1[[#This Row],[Valor total]]</f>
        <v>0.67178260869565209</v>
      </c>
      <c r="K3684" s="16" t="str">
        <f>VLOOKUP(Tabela1[[#This Row],[Cliente]],'BASE DE CLIENTES'!A:D,4,0)</f>
        <v>CLIENTE NOVO S/ IDENT.</v>
      </c>
      <c r="L3684" s="16" t="str">
        <f>VLOOKUP(Tabela1[[#This Row],[Cliente]],'BASE DE CLIENTES'!A:E,5,0)</f>
        <v>Catalão</v>
      </c>
    </row>
    <row r="3685" spans="1:12" x14ac:dyDescent="0.3">
      <c r="A3685" t="s">
        <v>822</v>
      </c>
      <c r="B3685" t="s">
        <v>255</v>
      </c>
      <c r="C3685" s="16" t="str">
        <f>VLOOKUP(Tabela1[[#This Row],[Cliente]],'BASE DE CLIENTES'!A:E,2,0)</f>
        <v>Brasília</v>
      </c>
      <c r="D3685" s="16" t="str">
        <f>VLOOKUP(Tabela1[[#This Row],[Cliente]],'BASE DE CLIENTES'!A:C,3,0)</f>
        <v>DF</v>
      </c>
      <c r="E3685" s="16" t="str">
        <f>CONCATENATE(Tabela1[[#This Row],[CIDADE]],",",Tabela1[[#This Row],[UF]])</f>
        <v>Brasília,DF</v>
      </c>
      <c r="F3685" s="15">
        <v>46050</v>
      </c>
      <c r="G3685" s="10">
        <v>1193.22</v>
      </c>
      <c r="H3685" s="10">
        <v>1815</v>
      </c>
      <c r="I3685" s="8">
        <f>Tabela1[[#This Row],[Valor total]]-Tabela1[[#This Row],[Valor custo]]</f>
        <v>621.78</v>
      </c>
      <c r="J3685" s="18">
        <f>Tabela1[[#This Row],[MARGEM BRUTA]]/Tabela1[[#This Row],[Valor total]]</f>
        <v>0.34257851239669418</v>
      </c>
      <c r="K3685" s="16" t="str">
        <f>VLOOKUP(Tabela1[[#This Row],[Cliente]],'BASE DE CLIENTES'!A:D,4,0)</f>
        <v>EMPRESA COM MAQUINA</v>
      </c>
      <c r="L3685" s="16" t="str">
        <f>VLOOKUP(Tabela1[[#This Row],[Cliente]],'BASE DE CLIENTES'!A:E,5,0)</f>
        <v>ADE ÁGUAS CLARAS</v>
      </c>
    </row>
    <row r="3686" spans="1:12" x14ac:dyDescent="0.3">
      <c r="A3686" t="s">
        <v>823</v>
      </c>
      <c r="B3686" t="s">
        <v>321</v>
      </c>
      <c r="C3686" s="16" t="str">
        <f>VLOOKUP(Tabela1[[#This Row],[Cliente]],'BASE DE CLIENTES'!A:E,2,0)</f>
        <v>Valparaíso de Goiás</v>
      </c>
      <c r="D3686" s="16" t="str">
        <f>VLOOKUP(Tabela1[[#This Row],[Cliente]],'BASE DE CLIENTES'!A:C,3,0)</f>
        <v>GO</v>
      </c>
      <c r="E3686" s="16" t="str">
        <f>CONCATENATE(Tabela1[[#This Row],[CIDADE]],",",Tabela1[[#This Row],[UF]])</f>
        <v>Valparaíso de Goiás,GO</v>
      </c>
      <c r="F3686" s="15">
        <v>46050</v>
      </c>
      <c r="G3686" s="10">
        <v>1395.85</v>
      </c>
      <c r="H3686" s="10">
        <v>2150</v>
      </c>
      <c r="I3686" s="8">
        <f>Tabela1[[#This Row],[Valor total]]-Tabela1[[#This Row],[Valor custo]]</f>
        <v>754.15000000000009</v>
      </c>
      <c r="J3686" s="18">
        <f>Tabela1[[#This Row],[MARGEM BRUTA]]/Tabela1[[#This Row],[Valor total]]</f>
        <v>0.35076744186046516</v>
      </c>
      <c r="K3686" s="16" t="str">
        <f>VLOOKUP(Tabela1[[#This Row],[Cliente]],'BASE DE CLIENTES'!A:D,4,0)</f>
        <v>EMPRESA COM MAQUINA</v>
      </c>
      <c r="L3686" s="16" t="str">
        <f>VLOOKUP(Tabela1[[#This Row],[Cliente]],'BASE DE CLIENTES'!A:E,5,0)</f>
        <v>Valparaíso de Goiás</v>
      </c>
    </row>
    <row r="3687" spans="1:12" x14ac:dyDescent="0.3">
      <c r="A3687" t="s">
        <v>824</v>
      </c>
      <c r="B3687" t="s">
        <v>96</v>
      </c>
      <c r="C3687" s="16" t="str">
        <f>VLOOKUP(Tabela1[[#This Row],[Cliente]],'BASE DE CLIENTES'!A:E,2,0)</f>
        <v>Brasília</v>
      </c>
      <c r="D3687" s="16" t="str">
        <f>VLOOKUP(Tabela1[[#This Row],[Cliente]],'BASE DE CLIENTES'!A:C,3,0)</f>
        <v>DF</v>
      </c>
      <c r="E3687" s="16" t="str">
        <f>CONCATENATE(Tabela1[[#This Row],[CIDADE]],",",Tabela1[[#This Row],[UF]])</f>
        <v>Brasília,DF</v>
      </c>
      <c r="F3687" s="15">
        <v>46050</v>
      </c>
      <c r="G3687" s="10">
        <v>1088.17</v>
      </c>
      <c r="H3687" s="10">
        <v>1900</v>
      </c>
      <c r="I3687" s="8">
        <f>Tabela1[[#This Row],[Valor total]]-Tabela1[[#This Row],[Valor custo]]</f>
        <v>811.82999999999993</v>
      </c>
      <c r="J3687" s="18">
        <f>Tabela1[[#This Row],[MARGEM BRUTA]]/Tabela1[[#This Row],[Valor total]]</f>
        <v>0.42727894736842104</v>
      </c>
      <c r="K3687" s="16" t="str">
        <f>VLOOKUP(Tabela1[[#This Row],[Cliente]],'BASE DE CLIENTES'!A:D,4,0)</f>
        <v>EMPRESA SEM MAQUINA</v>
      </c>
      <c r="L3687" s="16" t="str">
        <f>VLOOKUP(Tabela1[[#This Row],[Cliente]],'BASE DE CLIENTES'!A:E,5,0)</f>
        <v>CEILANDIA NORTE (CEILANDIA)</v>
      </c>
    </row>
    <row r="3688" spans="1:12" x14ac:dyDescent="0.3">
      <c r="A3688" t="s">
        <v>825</v>
      </c>
      <c r="B3688" t="s">
        <v>255</v>
      </c>
      <c r="C3688" s="16" t="str">
        <f>VLOOKUP(Tabela1[[#This Row],[Cliente]],'BASE DE CLIENTES'!A:E,2,0)</f>
        <v>Brasília</v>
      </c>
      <c r="D3688" s="16" t="str">
        <f>VLOOKUP(Tabela1[[#This Row],[Cliente]],'BASE DE CLIENTES'!A:C,3,0)</f>
        <v>DF</v>
      </c>
      <c r="E3688" s="16" t="str">
        <f>CONCATENATE(Tabela1[[#This Row],[CIDADE]],",",Tabela1[[#This Row],[UF]])</f>
        <v>Brasília,DF</v>
      </c>
      <c r="F3688" s="15">
        <v>46050</v>
      </c>
      <c r="G3688">
        <v>450.27</v>
      </c>
      <c r="H3688">
        <v>655</v>
      </c>
      <c r="I3688" s="8">
        <f>Tabela1[[#This Row],[Valor total]]-Tabela1[[#This Row],[Valor custo]]</f>
        <v>204.73000000000002</v>
      </c>
      <c r="J3688" s="18">
        <f>Tabela1[[#This Row],[MARGEM BRUTA]]/Tabela1[[#This Row],[Valor total]]</f>
        <v>0.31256488549618322</v>
      </c>
      <c r="K3688" s="16" t="str">
        <f>VLOOKUP(Tabela1[[#This Row],[Cliente]],'BASE DE CLIENTES'!A:D,4,0)</f>
        <v>EMPRESA COM MAQUINA</v>
      </c>
      <c r="L3688" s="16" t="str">
        <f>VLOOKUP(Tabela1[[#This Row],[Cliente]],'BASE DE CLIENTES'!A:E,5,0)</f>
        <v>ADE ÁGUAS CLARAS</v>
      </c>
    </row>
    <row r="3689" spans="1:12" x14ac:dyDescent="0.3">
      <c r="A3689" t="s">
        <v>826</v>
      </c>
      <c r="B3689" t="s">
        <v>96</v>
      </c>
      <c r="C3689" s="16" t="str">
        <f>VLOOKUP(Tabela1[[#This Row],[Cliente]],'BASE DE CLIENTES'!A:E,2,0)</f>
        <v>Brasília</v>
      </c>
      <c r="D3689" s="16" t="str">
        <f>VLOOKUP(Tabela1[[#This Row],[Cliente]],'BASE DE CLIENTES'!A:C,3,0)</f>
        <v>DF</v>
      </c>
      <c r="E3689" s="16" t="str">
        <f>CONCATENATE(Tabela1[[#This Row],[CIDADE]],",",Tabela1[[#This Row],[UF]])</f>
        <v>Brasília,DF</v>
      </c>
      <c r="F3689" s="15">
        <v>46050</v>
      </c>
      <c r="G3689">
        <v>525.37</v>
      </c>
      <c r="H3689">
        <v>849</v>
      </c>
      <c r="I3689" s="8">
        <f>Tabela1[[#This Row],[Valor total]]-Tabela1[[#This Row],[Valor custo]]</f>
        <v>323.63</v>
      </c>
      <c r="J3689" s="18">
        <f>Tabela1[[#This Row],[MARGEM BRUTA]]/Tabela1[[#This Row],[Valor total]]</f>
        <v>0.38118963486454654</v>
      </c>
      <c r="K3689" s="16" t="str">
        <f>VLOOKUP(Tabela1[[#This Row],[Cliente]],'BASE DE CLIENTES'!A:D,4,0)</f>
        <v>EMPRESA SEM MAQUINA</v>
      </c>
      <c r="L3689" s="16" t="str">
        <f>VLOOKUP(Tabela1[[#This Row],[Cliente]],'BASE DE CLIENTES'!A:E,5,0)</f>
        <v>CEILANDIA NORTE (CEILANDIA)</v>
      </c>
    </row>
    <row r="3690" spans="1:12" x14ac:dyDescent="0.3">
      <c r="A3690" t="s">
        <v>827</v>
      </c>
      <c r="B3690" t="s">
        <v>76</v>
      </c>
      <c r="C3690" s="16" t="str">
        <f>VLOOKUP(Tabela1[[#This Row],[Cliente]],'BASE DE CLIENTES'!A:E,2,0)</f>
        <v>Brasília</v>
      </c>
      <c r="D3690" s="16" t="str">
        <f>VLOOKUP(Tabela1[[#This Row],[Cliente]],'BASE DE CLIENTES'!A:C,3,0)</f>
        <v>DF</v>
      </c>
      <c r="E3690" s="16" t="str">
        <f>CONCATENATE(Tabela1[[#This Row],[CIDADE]],",",Tabela1[[#This Row],[UF]])</f>
        <v>Brasília,DF</v>
      </c>
      <c r="F3690" s="15">
        <v>46050</v>
      </c>
      <c r="G3690" s="10">
        <v>4056.35</v>
      </c>
      <c r="H3690" s="10">
        <v>5980</v>
      </c>
      <c r="I3690" s="8">
        <f>Tabela1[[#This Row],[Valor total]]-Tabela1[[#This Row],[Valor custo]]</f>
        <v>1923.65</v>
      </c>
      <c r="J3690" s="18">
        <f>Tabela1[[#This Row],[MARGEM BRUTA]]/Tabela1[[#This Row],[Valor total]]</f>
        <v>0.32168060200668896</v>
      </c>
      <c r="K3690" s="16" t="str">
        <f>VLOOKUP(Tabela1[[#This Row],[Cliente]],'BASE DE CLIENTES'!A:D,4,0)</f>
        <v>EMPRESA COM MAQUINA</v>
      </c>
      <c r="L3690" s="16" t="str">
        <f>VLOOKUP(Tabela1[[#This Row],[Cliente]],'BASE DE CLIENTES'!A:E,5,0)</f>
        <v>Setor Placa da Mercedes (Núcleo Bandeirante)</v>
      </c>
    </row>
    <row r="3691" spans="1:12" x14ac:dyDescent="0.3">
      <c r="A3691" t="s">
        <v>828</v>
      </c>
      <c r="B3691" t="s">
        <v>120</v>
      </c>
      <c r="C3691" s="16" t="str">
        <f>VLOOKUP(Tabela1[[#This Row],[Cliente]],'BASE DE CLIENTES'!A:E,2,0)</f>
        <v>Brasília</v>
      </c>
      <c r="D3691" s="16" t="str">
        <f>VLOOKUP(Tabela1[[#This Row],[Cliente]],'BASE DE CLIENTES'!A:C,3,0)</f>
        <v>DF</v>
      </c>
      <c r="E3691" s="16" t="str">
        <f>CONCATENATE(Tabela1[[#This Row],[CIDADE]],",",Tabela1[[#This Row],[UF]])</f>
        <v>Brasília,DF</v>
      </c>
      <c r="F3691" s="15">
        <v>46050</v>
      </c>
      <c r="G3691">
        <v>645.28</v>
      </c>
      <c r="H3691">
        <v>970</v>
      </c>
      <c r="I3691" s="8">
        <f>Tabela1[[#This Row],[Valor total]]-Tabela1[[#This Row],[Valor custo]]</f>
        <v>324.72000000000003</v>
      </c>
      <c r="J3691" s="18">
        <f>Tabela1[[#This Row],[MARGEM BRUTA]]/Tabela1[[#This Row],[Valor total]]</f>
        <v>0.33476288659793818</v>
      </c>
      <c r="K3691" s="16" t="str">
        <f>VLOOKUP(Tabela1[[#This Row],[Cliente]],'BASE DE CLIENTES'!A:D,4,0)</f>
        <v>EMPRESA SEM MAQUINA</v>
      </c>
      <c r="L3691" s="16" t="str">
        <f>VLOOKUP(Tabela1[[#This Row],[Cliente]],'BASE DE CLIENTES'!A:E,5,0)</f>
        <v>SAMAMBAIA</v>
      </c>
    </row>
    <row r="3692" spans="1:12" x14ac:dyDescent="0.3">
      <c r="A3692" t="s">
        <v>829</v>
      </c>
      <c r="B3692" t="s">
        <v>19</v>
      </c>
      <c r="C3692" s="16" t="str">
        <f>VLOOKUP(Tabela1[[#This Row],[Cliente]],'BASE DE CLIENTES'!A:E,2,0)</f>
        <v>Águas Lindas de Goiás</v>
      </c>
      <c r="D3692" s="16" t="str">
        <f>VLOOKUP(Tabela1[[#This Row],[Cliente]],'BASE DE CLIENTES'!A:C,3,0)</f>
        <v>GO</v>
      </c>
      <c r="E3692" s="16" t="str">
        <f>CONCATENATE(Tabela1[[#This Row],[CIDADE]],",",Tabela1[[#This Row],[UF]])</f>
        <v>Águas Lindas de Goiás,GO</v>
      </c>
      <c r="F3692" s="15">
        <v>46050</v>
      </c>
      <c r="G3692" s="10">
        <v>1350.81</v>
      </c>
      <c r="H3692" s="10">
        <v>2155</v>
      </c>
      <c r="I3692" s="8">
        <f>Tabela1[[#This Row],[Valor total]]-Tabela1[[#This Row],[Valor custo]]</f>
        <v>804.19</v>
      </c>
      <c r="J3692" s="18">
        <f>Tabela1[[#This Row],[MARGEM BRUTA]]/Tabela1[[#This Row],[Valor total]]</f>
        <v>0.37317401392111371</v>
      </c>
      <c r="K3692" s="16" t="str">
        <f>VLOOKUP(Tabela1[[#This Row],[Cliente]],'BASE DE CLIENTES'!A:D,4,0)</f>
        <v>SERRALHEIRO</v>
      </c>
      <c r="L3692" s="16" t="str">
        <f>VLOOKUP(Tabela1[[#This Row],[Cliente]],'BASE DE CLIENTES'!A:E,5,0)</f>
        <v>Águas Lindas de Goiás</v>
      </c>
    </row>
    <row r="3693" spans="1:12" x14ac:dyDescent="0.3">
      <c r="A3693" t="s">
        <v>830</v>
      </c>
      <c r="B3693" t="s">
        <v>297</v>
      </c>
      <c r="C3693" s="16" t="str">
        <f>VLOOKUP(Tabela1[[#This Row],[Cliente]],'BASE DE CLIENTES'!A:E,2,0)</f>
        <v>Brasília</v>
      </c>
      <c r="D3693" s="16" t="str">
        <f>VLOOKUP(Tabela1[[#This Row],[Cliente]],'BASE DE CLIENTES'!A:C,3,0)</f>
        <v>DF</v>
      </c>
      <c r="E3693" s="16" t="str">
        <f>CONCATENATE(Tabela1[[#This Row],[CIDADE]],",",Tabela1[[#This Row],[UF]])</f>
        <v>Brasília,DF</v>
      </c>
      <c r="F3693" s="15">
        <v>46050</v>
      </c>
      <c r="G3693">
        <v>450.27</v>
      </c>
      <c r="H3693">
        <v>710</v>
      </c>
      <c r="I3693" s="8">
        <f>Tabela1[[#This Row],[Valor total]]-Tabela1[[#This Row],[Valor custo]]</f>
        <v>259.73</v>
      </c>
      <c r="J3693" s="18">
        <f>Tabela1[[#This Row],[MARGEM BRUTA]]/Tabela1[[#This Row],[Valor total]]</f>
        <v>0.36581690140845075</v>
      </c>
      <c r="K3693" s="16" t="str">
        <f>VLOOKUP(Tabela1[[#This Row],[Cliente]],'BASE DE CLIENTES'!A:D,4,0)</f>
        <v>SERRALHEIRO</v>
      </c>
      <c r="L3693" s="16" t="str">
        <f>VLOOKUP(Tabela1[[#This Row],[Cliente]],'BASE DE CLIENTES'!A:E,5,0)</f>
        <v>NA</v>
      </c>
    </row>
    <row r="3694" spans="1:12" x14ac:dyDescent="0.3">
      <c r="A3694" t="s">
        <v>831</v>
      </c>
      <c r="B3694" t="s">
        <v>354</v>
      </c>
      <c r="C3694" s="16" t="str">
        <f>VLOOKUP(Tabela1[[#This Row],[Cliente]],'BASE DE CLIENTES'!A:E,2,0)</f>
        <v>Goiânia</v>
      </c>
      <c r="D3694" s="16" t="str">
        <f>VLOOKUP(Tabela1[[#This Row],[Cliente]],'BASE DE CLIENTES'!A:C,3,0)</f>
        <v>GO</v>
      </c>
      <c r="E3694" s="16" t="str">
        <f>CONCATENATE(Tabela1[[#This Row],[CIDADE]],",",Tabela1[[#This Row],[UF]])</f>
        <v>Goiânia,GO</v>
      </c>
      <c r="F3694" s="15">
        <v>46050</v>
      </c>
      <c r="G3694" s="10">
        <v>2538.88</v>
      </c>
      <c r="H3694" s="10">
        <v>3850</v>
      </c>
      <c r="I3694" s="8">
        <f>Tabela1[[#This Row],[Valor total]]-Tabela1[[#This Row],[Valor custo]]</f>
        <v>1311.12</v>
      </c>
      <c r="J3694" s="18">
        <f>Tabela1[[#This Row],[MARGEM BRUTA]]/Tabela1[[#This Row],[Valor total]]</f>
        <v>0.34055064935064933</v>
      </c>
      <c r="K3694" s="16" t="str">
        <f>VLOOKUP(Tabela1[[#This Row],[Cliente]],'BASE DE CLIENTES'!A:D,4,0)</f>
        <v>CLIENTE NOVO S/ IDENT.</v>
      </c>
      <c r="L3694" s="16" t="str">
        <f>VLOOKUP(Tabela1[[#This Row],[Cliente]],'BASE DE CLIENTES'!A:E,5,0)</f>
        <v>Goiânia</v>
      </c>
    </row>
    <row r="3695" spans="1:12" x14ac:dyDescent="0.3">
      <c r="A3695" t="s">
        <v>832</v>
      </c>
      <c r="B3695" t="s">
        <v>316</v>
      </c>
      <c r="C3695" s="16" t="str">
        <f>VLOOKUP(Tabela1[[#This Row],[Cliente]],'BASE DE CLIENTES'!A:E,2,0)</f>
        <v>Valparaíso de Goiás</v>
      </c>
      <c r="D3695" s="16" t="str">
        <f>VLOOKUP(Tabela1[[#This Row],[Cliente]],'BASE DE CLIENTES'!A:C,3,0)</f>
        <v>GO</v>
      </c>
      <c r="E3695" s="16" t="str">
        <f>CONCATENATE(Tabela1[[#This Row],[CIDADE]],",",Tabela1[[#This Row],[UF]])</f>
        <v>Valparaíso de Goiás,GO</v>
      </c>
      <c r="F3695" s="15">
        <v>46050</v>
      </c>
      <c r="G3695" s="10">
        <v>1051.78</v>
      </c>
      <c r="H3695" s="10">
        <v>1550</v>
      </c>
      <c r="I3695" s="8">
        <f>Tabela1[[#This Row],[Valor total]]-Tabela1[[#This Row],[Valor custo]]</f>
        <v>498.22</v>
      </c>
      <c r="J3695" s="18">
        <f>Tabela1[[#This Row],[MARGEM BRUTA]]/Tabela1[[#This Row],[Valor total]]</f>
        <v>0.32143225806451614</v>
      </c>
      <c r="K3695" s="16" t="str">
        <f>VLOOKUP(Tabela1[[#This Row],[Cliente]],'BASE DE CLIENTES'!A:D,4,0)</f>
        <v>SERRALHEIRO</v>
      </c>
      <c r="L3695" s="16" t="str">
        <f>VLOOKUP(Tabela1[[#This Row],[Cliente]],'BASE DE CLIENTES'!A:E,5,0)</f>
        <v>Valparaíso de Goiás</v>
      </c>
    </row>
    <row r="3696" spans="1:12" x14ac:dyDescent="0.3">
      <c r="A3696" t="s">
        <v>833</v>
      </c>
      <c r="B3696" t="s">
        <v>161</v>
      </c>
      <c r="C3696" s="16" t="str">
        <f>VLOOKUP(Tabela1[[#This Row],[Cliente]],'BASE DE CLIENTES'!A:E,2,0)</f>
        <v>Brasília</v>
      </c>
      <c r="D3696" s="16" t="str">
        <f>VLOOKUP(Tabela1[[#This Row],[Cliente]],'BASE DE CLIENTES'!A:C,3,0)</f>
        <v>DF</v>
      </c>
      <c r="E3696" s="16" t="str">
        <f>CONCATENATE(Tabela1[[#This Row],[CIDADE]],",",Tabela1[[#This Row],[UF]])</f>
        <v>Brasília,DF</v>
      </c>
      <c r="F3696" s="15">
        <v>46050</v>
      </c>
      <c r="G3696" s="10">
        <v>18611.2</v>
      </c>
      <c r="H3696" s="10">
        <v>24700</v>
      </c>
      <c r="I3696" s="8">
        <f>Tabela1[[#This Row],[Valor total]]-Tabela1[[#This Row],[Valor custo]]</f>
        <v>6088.7999999999993</v>
      </c>
      <c r="J3696" s="18">
        <f>Tabela1[[#This Row],[MARGEM BRUTA]]/Tabela1[[#This Row],[Valor total]]</f>
        <v>0.24651012145748985</v>
      </c>
      <c r="K3696" s="16" t="str">
        <f>VLOOKUP(Tabela1[[#This Row],[Cliente]],'BASE DE CLIENTES'!A:D,4,0)</f>
        <v>EMPRESA COM MAQUINA</v>
      </c>
      <c r="L3696" s="16" t="str">
        <f>VLOOKUP(Tabela1[[#This Row],[Cliente]],'BASE DE CLIENTES'!A:E,5,0)</f>
        <v>RIACHO FUNDO II</v>
      </c>
    </row>
    <row r="3697" spans="1:12" x14ac:dyDescent="0.3">
      <c r="A3697" t="s">
        <v>834</v>
      </c>
      <c r="B3697" t="s">
        <v>303</v>
      </c>
      <c r="C3697" s="16" t="str">
        <f>VLOOKUP(Tabela1[[#This Row],[Cliente]],'BASE DE CLIENTES'!A:E,2,0)</f>
        <v>Trindade</v>
      </c>
      <c r="D3697" s="16" t="str">
        <f>VLOOKUP(Tabela1[[#This Row],[Cliente]],'BASE DE CLIENTES'!A:C,3,0)</f>
        <v>GO</v>
      </c>
      <c r="E3697" s="16" t="str">
        <f>CONCATENATE(Tabela1[[#This Row],[CIDADE]],",",Tabela1[[#This Row],[UF]])</f>
        <v>Trindade,GO</v>
      </c>
      <c r="F3697" s="15">
        <v>46049</v>
      </c>
      <c r="G3697" s="10">
        <v>1058.92</v>
      </c>
      <c r="H3697" s="10">
        <v>1550</v>
      </c>
      <c r="I3697" s="8">
        <f>Tabela1[[#This Row],[Valor total]]-Tabela1[[#This Row],[Valor custo]]</f>
        <v>491.07999999999993</v>
      </c>
      <c r="J3697" s="18">
        <f>Tabela1[[#This Row],[MARGEM BRUTA]]/Tabela1[[#This Row],[Valor total]]</f>
        <v>0.31682580645161285</v>
      </c>
      <c r="K3697" s="16" t="str">
        <f>VLOOKUP(Tabela1[[#This Row],[Cliente]],'BASE DE CLIENTES'!A:D,4,0)</f>
        <v>EMPRESA COM MAQUINA</v>
      </c>
      <c r="L3697" s="16" t="str">
        <f>VLOOKUP(Tabela1[[#This Row],[Cliente]],'BASE DE CLIENTES'!A:E,5,0)</f>
        <v>Trindade</v>
      </c>
    </row>
    <row r="3698" spans="1:12" x14ac:dyDescent="0.3">
      <c r="A3698" t="s">
        <v>835</v>
      </c>
      <c r="B3698" t="s">
        <v>236</v>
      </c>
      <c r="C3698" s="16" t="str">
        <f>VLOOKUP(Tabela1[[#This Row],[Cliente]],'BASE DE CLIENTES'!A:E,2,0)</f>
        <v>Goiânia</v>
      </c>
      <c r="D3698" s="16" t="str">
        <f>VLOOKUP(Tabela1[[#This Row],[Cliente]],'BASE DE CLIENTES'!A:C,3,0)</f>
        <v>GO</v>
      </c>
      <c r="E3698" s="16" t="str">
        <f>CONCATENATE(Tabela1[[#This Row],[CIDADE]],",",Tabela1[[#This Row],[UF]])</f>
        <v>Goiânia,GO</v>
      </c>
      <c r="F3698" s="15">
        <v>46049</v>
      </c>
      <c r="G3698" s="10">
        <v>1083</v>
      </c>
      <c r="H3698" s="10">
        <v>1560</v>
      </c>
      <c r="I3698" s="8">
        <f>Tabela1[[#This Row],[Valor total]]-Tabela1[[#This Row],[Valor custo]]</f>
        <v>477</v>
      </c>
      <c r="J3698" s="18">
        <f>Tabela1[[#This Row],[MARGEM BRUTA]]/Tabela1[[#This Row],[Valor total]]</f>
        <v>0.30576923076923079</v>
      </c>
      <c r="K3698" s="16" t="str">
        <f>VLOOKUP(Tabela1[[#This Row],[Cliente]],'BASE DE CLIENTES'!A:D,4,0)</f>
        <v>EMPRESA COM MAQUINA</v>
      </c>
      <c r="L3698" s="16" t="str">
        <f>VLOOKUP(Tabela1[[#This Row],[Cliente]],'BASE DE CLIENTES'!A:E,5,0)</f>
        <v>Goiânia</v>
      </c>
    </row>
    <row r="3699" spans="1:12" x14ac:dyDescent="0.3">
      <c r="A3699" t="s">
        <v>836</v>
      </c>
      <c r="B3699" t="s">
        <v>236</v>
      </c>
      <c r="C3699" s="16" t="str">
        <f>VLOOKUP(Tabela1[[#This Row],[Cliente]],'BASE DE CLIENTES'!A:E,2,0)</f>
        <v>Goiânia</v>
      </c>
      <c r="D3699" s="16" t="str">
        <f>VLOOKUP(Tabela1[[#This Row],[Cliente]],'BASE DE CLIENTES'!A:C,3,0)</f>
        <v>GO</v>
      </c>
      <c r="E3699" s="16" t="str">
        <f>CONCATENATE(Tabela1[[#This Row],[CIDADE]],",",Tabela1[[#This Row],[UF]])</f>
        <v>Goiânia,GO</v>
      </c>
      <c r="F3699" s="15">
        <v>46049</v>
      </c>
      <c r="G3699" s="10">
        <v>1583.47</v>
      </c>
      <c r="H3699" s="10">
        <v>2265</v>
      </c>
      <c r="I3699" s="8">
        <f>Tabela1[[#This Row],[Valor total]]-Tabela1[[#This Row],[Valor custo]]</f>
        <v>681.53</v>
      </c>
      <c r="J3699" s="18">
        <f>Tabela1[[#This Row],[MARGEM BRUTA]]/Tabela1[[#This Row],[Valor total]]</f>
        <v>0.30089624724061809</v>
      </c>
      <c r="K3699" s="16" t="str">
        <f>VLOOKUP(Tabela1[[#This Row],[Cliente]],'BASE DE CLIENTES'!A:D,4,0)</f>
        <v>EMPRESA COM MAQUINA</v>
      </c>
      <c r="L3699" s="16" t="str">
        <f>VLOOKUP(Tabela1[[#This Row],[Cliente]],'BASE DE CLIENTES'!A:E,5,0)</f>
        <v>Goiânia</v>
      </c>
    </row>
    <row r="3700" spans="1:12" x14ac:dyDescent="0.3">
      <c r="A3700" t="s">
        <v>837</v>
      </c>
      <c r="B3700" t="s">
        <v>88</v>
      </c>
      <c r="C3700" s="16" t="str">
        <f>VLOOKUP(Tabela1[[#This Row],[Cliente]],'BASE DE CLIENTES'!A:E,2,0)</f>
        <v>Brasília</v>
      </c>
      <c r="D3700" s="16" t="str">
        <f>VLOOKUP(Tabela1[[#This Row],[Cliente]],'BASE DE CLIENTES'!A:C,3,0)</f>
        <v>DF</v>
      </c>
      <c r="E3700" s="16" t="str">
        <f>CONCATENATE(Tabela1[[#This Row],[CIDADE]],",",Tabela1[[#This Row],[UF]])</f>
        <v>Brasília,DF</v>
      </c>
      <c r="F3700" s="15">
        <v>46049</v>
      </c>
      <c r="G3700">
        <v>120.1</v>
      </c>
      <c r="H3700">
        <v>300</v>
      </c>
      <c r="I3700" s="8">
        <f>Tabela1[[#This Row],[Valor total]]-Tabela1[[#This Row],[Valor custo]]</f>
        <v>179.9</v>
      </c>
      <c r="J3700" s="18">
        <f>Tabela1[[#This Row],[MARGEM BRUTA]]/Tabela1[[#This Row],[Valor total]]</f>
        <v>0.59966666666666668</v>
      </c>
      <c r="K3700" s="16" t="str">
        <f>VLOOKUP(Tabela1[[#This Row],[Cliente]],'BASE DE CLIENTES'!A:D,4,0)</f>
        <v>SERRALHEIRO</v>
      </c>
      <c r="L3700" s="16" t="str">
        <f>VLOOKUP(Tabela1[[#This Row],[Cliente]],'BASE DE CLIENTES'!A:E,5,0)</f>
        <v>RECANTO DAS EMAS</v>
      </c>
    </row>
    <row r="3701" spans="1:12" x14ac:dyDescent="0.3">
      <c r="A3701" t="s">
        <v>838</v>
      </c>
      <c r="B3701" t="s">
        <v>342</v>
      </c>
      <c r="C3701" s="16" t="str">
        <f>VLOOKUP(Tabela1[[#This Row],[Cliente]],'BASE DE CLIENTES'!A:E,2,0)</f>
        <v>Santo Antônio Descoberto</v>
      </c>
      <c r="D3701" s="16" t="str">
        <f>VLOOKUP(Tabela1[[#This Row],[Cliente]],'BASE DE CLIENTES'!A:C,3,0)</f>
        <v>GO</v>
      </c>
      <c r="E3701" s="16" t="str">
        <f>CONCATENATE(Tabela1[[#This Row],[CIDADE]],",",Tabela1[[#This Row],[UF]])</f>
        <v>Santo Antônio Descoberto,GO</v>
      </c>
      <c r="F3701" s="15">
        <v>46049</v>
      </c>
      <c r="G3701">
        <v>900.54</v>
      </c>
      <c r="H3701" s="10">
        <v>1290</v>
      </c>
      <c r="I3701" s="8">
        <f>Tabela1[[#This Row],[Valor total]]-Tabela1[[#This Row],[Valor custo]]</f>
        <v>389.46000000000004</v>
      </c>
      <c r="J3701" s="18">
        <f>Tabela1[[#This Row],[MARGEM BRUTA]]/Tabela1[[#This Row],[Valor total]]</f>
        <v>0.3019069767441861</v>
      </c>
      <c r="K3701" s="16" t="str">
        <f>VLOOKUP(Tabela1[[#This Row],[Cliente]],'BASE DE CLIENTES'!A:D,4,0)</f>
        <v>CLIENTE NOVO S/ IDENT.</v>
      </c>
      <c r="L3701" s="16" t="str">
        <f>VLOOKUP(Tabela1[[#This Row],[Cliente]],'BASE DE CLIENTES'!A:E,5,0)</f>
        <v>Santo Antônio Descoberto</v>
      </c>
    </row>
    <row r="3702" spans="1:12" x14ac:dyDescent="0.3">
      <c r="A3702" t="s">
        <v>839</v>
      </c>
      <c r="B3702" t="s">
        <v>27</v>
      </c>
      <c r="C3702" s="16" t="str">
        <f>VLOOKUP(Tabela1[[#This Row],[Cliente]],'BASE DE CLIENTES'!A:E,2,0)</f>
        <v>Brasília</v>
      </c>
      <c r="D3702" s="16" t="str">
        <f>VLOOKUP(Tabela1[[#This Row],[Cliente]],'BASE DE CLIENTES'!A:C,3,0)</f>
        <v>DF</v>
      </c>
      <c r="E3702" s="16" t="str">
        <f>CONCATENATE(Tabela1[[#This Row],[CIDADE]],",",Tabela1[[#This Row],[UF]])</f>
        <v>Brasília,DF</v>
      </c>
      <c r="F3702" s="15">
        <v>46049</v>
      </c>
      <c r="G3702">
        <v>20</v>
      </c>
      <c r="H3702">
        <v>40</v>
      </c>
      <c r="I3702" s="8">
        <f>Tabela1[[#This Row],[Valor total]]-Tabela1[[#This Row],[Valor custo]]</f>
        <v>20</v>
      </c>
      <c r="J3702" s="18">
        <f>Tabela1[[#This Row],[MARGEM BRUTA]]/Tabela1[[#This Row],[Valor total]]</f>
        <v>0.5</v>
      </c>
      <c r="K3702" s="16" t="str">
        <f>VLOOKUP(Tabela1[[#This Row],[Cliente]],'BASE DE CLIENTES'!A:D,4,0)</f>
        <v>EMPRESA SEM MAQUINA</v>
      </c>
      <c r="L3702" s="16" t="str">
        <f>VLOOKUP(Tabela1[[#This Row],[Cliente]],'BASE DE CLIENTES'!A:E,5,0)</f>
        <v>RECANTO DAS EMAS</v>
      </c>
    </row>
    <row r="3703" spans="1:12" x14ac:dyDescent="0.3">
      <c r="A3703" t="s">
        <v>840</v>
      </c>
      <c r="B3703" t="s">
        <v>27</v>
      </c>
      <c r="C3703" s="16" t="str">
        <f>VLOOKUP(Tabela1[[#This Row],[Cliente]],'BASE DE CLIENTES'!A:E,2,0)</f>
        <v>Brasília</v>
      </c>
      <c r="D3703" s="16" t="str">
        <f>VLOOKUP(Tabela1[[#This Row],[Cliente]],'BASE DE CLIENTES'!A:C,3,0)</f>
        <v>DF</v>
      </c>
      <c r="E3703" s="16" t="str">
        <f>CONCATENATE(Tabela1[[#This Row],[CIDADE]],",",Tabela1[[#This Row],[UF]])</f>
        <v>Brasília,DF</v>
      </c>
      <c r="F3703" s="15">
        <v>46049</v>
      </c>
      <c r="G3703">
        <v>56.28</v>
      </c>
      <c r="H3703">
        <v>150</v>
      </c>
      <c r="I3703" s="8">
        <f>Tabela1[[#This Row],[Valor total]]-Tabela1[[#This Row],[Valor custo]]</f>
        <v>93.72</v>
      </c>
      <c r="J3703" s="18">
        <f>Tabela1[[#This Row],[MARGEM BRUTA]]/Tabela1[[#This Row],[Valor total]]</f>
        <v>0.62480000000000002</v>
      </c>
      <c r="K3703" s="16" t="str">
        <f>VLOOKUP(Tabela1[[#This Row],[Cliente]],'BASE DE CLIENTES'!A:D,4,0)</f>
        <v>EMPRESA SEM MAQUINA</v>
      </c>
      <c r="L3703" s="16" t="str">
        <f>VLOOKUP(Tabela1[[#This Row],[Cliente]],'BASE DE CLIENTES'!A:E,5,0)</f>
        <v>RECANTO DAS EMAS</v>
      </c>
    </row>
    <row r="3704" spans="1:12" x14ac:dyDescent="0.3">
      <c r="A3704" t="s">
        <v>841</v>
      </c>
      <c r="B3704" t="s">
        <v>42</v>
      </c>
      <c r="C3704" s="16" t="str">
        <f>VLOOKUP(Tabela1[[#This Row],[Cliente]],'BASE DE CLIENTES'!A:E,2,0)</f>
        <v>Brasília</v>
      </c>
      <c r="D3704" s="16" t="str">
        <f>VLOOKUP(Tabela1[[#This Row],[Cliente]],'BASE DE CLIENTES'!A:C,3,0)</f>
        <v>DF</v>
      </c>
      <c r="E3704" s="16" t="str">
        <f>CONCATENATE(Tabela1[[#This Row],[CIDADE]],",",Tabela1[[#This Row],[UF]])</f>
        <v>Brasília,DF</v>
      </c>
      <c r="F3704" s="15">
        <v>46049</v>
      </c>
      <c r="G3704">
        <v>900.54</v>
      </c>
      <c r="H3704" s="10">
        <v>1230</v>
      </c>
      <c r="I3704" s="8">
        <f>Tabela1[[#This Row],[Valor total]]-Tabela1[[#This Row],[Valor custo]]</f>
        <v>329.46000000000004</v>
      </c>
      <c r="J3704" s="18">
        <f>Tabela1[[#This Row],[MARGEM BRUTA]]/Tabela1[[#This Row],[Valor total]]</f>
        <v>0.26785365853658538</v>
      </c>
      <c r="K3704" s="16" t="str">
        <f>VLOOKUP(Tabela1[[#This Row],[Cliente]],'BASE DE CLIENTES'!A:D,4,0)</f>
        <v>EMPRESA SEM MAQUINA</v>
      </c>
      <c r="L3704" s="16" t="str">
        <f>VLOOKUP(Tabela1[[#This Row],[Cliente]],'BASE DE CLIENTES'!A:E,5,0)</f>
        <v>SAMAMBAIA</v>
      </c>
    </row>
    <row r="3705" spans="1:12" x14ac:dyDescent="0.3">
      <c r="A3705" t="s">
        <v>842</v>
      </c>
      <c r="B3705" t="s">
        <v>189</v>
      </c>
      <c r="C3705" s="16" t="str">
        <f>VLOOKUP(Tabela1[[#This Row],[Cliente]],'BASE DE CLIENTES'!A:E,2,0)</f>
        <v>Formosa</v>
      </c>
      <c r="D3705" s="16" t="str">
        <f>VLOOKUP(Tabela1[[#This Row],[Cliente]],'BASE DE CLIENTES'!A:C,3,0)</f>
        <v>GO</v>
      </c>
      <c r="E3705" s="16" t="str">
        <f>CONCATENATE(Tabela1[[#This Row],[CIDADE]],",",Tabela1[[#This Row],[UF]])</f>
        <v>Formosa,GO</v>
      </c>
      <c r="F3705" s="15">
        <v>46049</v>
      </c>
      <c r="G3705">
        <v>210.07</v>
      </c>
      <c r="H3705">
        <v>500</v>
      </c>
      <c r="I3705" s="8">
        <f>Tabela1[[#This Row],[Valor total]]-Tabela1[[#This Row],[Valor custo]]</f>
        <v>289.93</v>
      </c>
      <c r="J3705" s="18">
        <f>Tabela1[[#This Row],[MARGEM BRUTA]]/Tabela1[[#This Row],[Valor total]]</f>
        <v>0.57986000000000004</v>
      </c>
      <c r="K3705" s="16" t="str">
        <f>VLOOKUP(Tabela1[[#This Row],[Cliente]],'BASE DE CLIENTES'!A:D,4,0)</f>
        <v>SEM CLASSIFICAÇÃO</v>
      </c>
      <c r="L3705" s="16" t="str">
        <f>VLOOKUP(Tabela1[[#This Row],[Cliente]],'BASE DE CLIENTES'!A:E,5,0)</f>
        <v>Formosa</v>
      </c>
    </row>
    <row r="3706" spans="1:12" x14ac:dyDescent="0.3">
      <c r="A3706" t="s">
        <v>843</v>
      </c>
      <c r="B3706" t="s">
        <v>108</v>
      </c>
      <c r="C3706" s="16" t="str">
        <f>VLOOKUP(Tabela1[[#This Row],[Cliente]],'BASE DE CLIENTES'!A:E,2,0)</f>
        <v>Brasília</v>
      </c>
      <c r="D3706" s="16" t="str">
        <f>VLOOKUP(Tabela1[[#This Row],[Cliente]],'BASE DE CLIENTES'!A:C,3,0)</f>
        <v>DF</v>
      </c>
      <c r="E3706" s="16" t="str">
        <f>CONCATENATE(Tabela1[[#This Row],[CIDADE]],",",Tabela1[[#This Row],[UF]])</f>
        <v>Brasília,DF</v>
      </c>
      <c r="F3706" s="15">
        <v>46049</v>
      </c>
      <c r="G3706">
        <v>41.75</v>
      </c>
      <c r="H3706">
        <v>75</v>
      </c>
      <c r="I3706" s="8">
        <f>Tabela1[[#This Row],[Valor total]]-Tabela1[[#This Row],[Valor custo]]</f>
        <v>33.25</v>
      </c>
      <c r="J3706" s="18">
        <f>Tabela1[[#This Row],[MARGEM BRUTA]]/Tabela1[[#This Row],[Valor total]]</f>
        <v>0.44333333333333336</v>
      </c>
      <c r="K3706" s="16" t="str">
        <f>VLOOKUP(Tabela1[[#This Row],[Cliente]],'BASE DE CLIENTES'!A:D,4,0)</f>
        <v>SERRALHEIRO</v>
      </c>
      <c r="L3706" s="16" t="str">
        <f>VLOOKUP(Tabela1[[#This Row],[Cliente]],'BASE DE CLIENTES'!A:E,5,0)</f>
        <v>Vila Planalto</v>
      </c>
    </row>
    <row r="3707" spans="1:12" x14ac:dyDescent="0.3">
      <c r="A3707" t="s">
        <v>844</v>
      </c>
      <c r="B3707" t="s">
        <v>161</v>
      </c>
      <c r="C3707" s="16" t="str">
        <f>VLOOKUP(Tabela1[[#This Row],[Cliente]],'BASE DE CLIENTES'!A:E,2,0)</f>
        <v>Brasília</v>
      </c>
      <c r="D3707" s="16" t="str">
        <f>VLOOKUP(Tabela1[[#This Row],[Cliente]],'BASE DE CLIENTES'!A:C,3,0)</f>
        <v>DF</v>
      </c>
      <c r="E3707" s="16" t="str">
        <f>CONCATENATE(Tabela1[[#This Row],[CIDADE]],",",Tabela1[[#This Row],[UF]])</f>
        <v>Brasília,DF</v>
      </c>
      <c r="F3707" s="15">
        <v>46049</v>
      </c>
      <c r="G3707">
        <v>946.14</v>
      </c>
      <c r="H3707" s="10">
        <v>1220</v>
      </c>
      <c r="I3707" s="8">
        <f>Tabela1[[#This Row],[Valor total]]-Tabela1[[#This Row],[Valor custo]]</f>
        <v>273.86</v>
      </c>
      <c r="J3707" s="18">
        <f>Tabela1[[#This Row],[MARGEM BRUTA]]/Tabela1[[#This Row],[Valor total]]</f>
        <v>0.22447540983606559</v>
      </c>
      <c r="K3707" s="16" t="str">
        <f>VLOOKUP(Tabela1[[#This Row],[Cliente]],'BASE DE CLIENTES'!A:D,4,0)</f>
        <v>EMPRESA COM MAQUINA</v>
      </c>
      <c r="L3707" s="16" t="str">
        <f>VLOOKUP(Tabela1[[#This Row],[Cliente]],'BASE DE CLIENTES'!A:E,5,0)</f>
        <v>RIACHO FUNDO II</v>
      </c>
    </row>
    <row r="3708" spans="1:12" x14ac:dyDescent="0.3">
      <c r="A3708" t="s">
        <v>845</v>
      </c>
      <c r="B3708" t="s">
        <v>769</v>
      </c>
      <c r="C3708" s="16" t="str">
        <f>VLOOKUP(Tabela1[[#This Row],[Cliente]],'BASE DE CLIENTES'!A:E,2,0)</f>
        <v>Brasília</v>
      </c>
      <c r="D3708" s="16" t="str">
        <f>VLOOKUP(Tabela1[[#This Row],[Cliente]],'BASE DE CLIENTES'!A:C,3,0)</f>
        <v>DF</v>
      </c>
      <c r="E3708" s="16" t="str">
        <f>CONCATENATE(Tabela1[[#This Row],[CIDADE]],",",Tabela1[[#This Row],[UF]])</f>
        <v>Brasília,DF</v>
      </c>
      <c r="F3708" s="15">
        <v>46049</v>
      </c>
      <c r="G3708" s="10">
        <v>1163.2</v>
      </c>
      <c r="H3708" s="10">
        <v>2650</v>
      </c>
      <c r="I3708" s="8">
        <f>Tabela1[[#This Row],[Valor total]]-Tabela1[[#This Row],[Valor custo]]</f>
        <v>1486.8</v>
      </c>
      <c r="J3708" s="18">
        <f>Tabela1[[#This Row],[MARGEM BRUTA]]/Tabela1[[#This Row],[Valor total]]</f>
        <v>0.56105660377358491</v>
      </c>
      <c r="K3708" s="16" t="str">
        <f>VLOOKUP(Tabela1[[#This Row],[Cliente]],'BASE DE CLIENTES'!A:D,4,0)</f>
        <v>CLIENTE NOVO S/ IDENT.</v>
      </c>
      <c r="L3708" s="16" t="str">
        <f>VLOOKUP(Tabela1[[#This Row],[Cliente]],'BASE DE CLIENTES'!A:E,5,0)</f>
        <v>Taguatinga Sul (Taguatinga)</v>
      </c>
    </row>
    <row r="3709" spans="1:12" x14ac:dyDescent="0.3">
      <c r="A3709" t="s">
        <v>846</v>
      </c>
      <c r="B3709" t="s">
        <v>85</v>
      </c>
      <c r="C3709" s="16" t="str">
        <f>VLOOKUP(Tabela1[[#This Row],[Cliente]],'BASE DE CLIENTES'!A:E,2,0)</f>
        <v>Brasília</v>
      </c>
      <c r="D3709" s="16" t="str">
        <f>VLOOKUP(Tabela1[[#This Row],[Cliente]],'BASE DE CLIENTES'!A:C,3,0)</f>
        <v>DF</v>
      </c>
      <c r="E3709" s="16" t="str">
        <f>CONCATENATE(Tabela1[[#This Row],[CIDADE]],",",Tabela1[[#This Row],[UF]])</f>
        <v>Brasília,DF</v>
      </c>
      <c r="F3709" s="15">
        <v>46049</v>
      </c>
      <c r="G3709">
        <v>457.78</v>
      </c>
      <c r="H3709">
        <v>700</v>
      </c>
      <c r="I3709" s="8">
        <f>Tabela1[[#This Row],[Valor total]]-Tabela1[[#This Row],[Valor custo]]</f>
        <v>242.22000000000003</v>
      </c>
      <c r="J3709" s="18">
        <f>Tabela1[[#This Row],[MARGEM BRUTA]]/Tabela1[[#This Row],[Valor total]]</f>
        <v>0.34602857142857146</v>
      </c>
      <c r="K3709" s="16" t="str">
        <f>VLOOKUP(Tabela1[[#This Row],[Cliente]],'BASE DE CLIENTES'!A:D,4,0)</f>
        <v>SERRALHEIRO</v>
      </c>
      <c r="L3709" s="16" t="str">
        <f>VLOOKUP(Tabela1[[#This Row],[Cliente]],'BASE DE CLIENTES'!A:E,5,0)</f>
        <v>SAMAMBAIA NORTE (SAMAMBAIA)</v>
      </c>
    </row>
    <row r="3710" spans="1:12" x14ac:dyDescent="0.3">
      <c r="A3710" t="s">
        <v>847</v>
      </c>
      <c r="B3710" t="s">
        <v>70</v>
      </c>
      <c r="C3710" s="16" t="str">
        <f>VLOOKUP(Tabela1[[#This Row],[Cliente]],'BASE DE CLIENTES'!A:E,2,0)</f>
        <v>Brasília</v>
      </c>
      <c r="D3710" s="16" t="str">
        <f>VLOOKUP(Tabela1[[#This Row],[Cliente]],'BASE DE CLIENTES'!A:C,3,0)</f>
        <v>DF</v>
      </c>
      <c r="E3710" s="16" t="str">
        <f>CONCATENATE(Tabela1[[#This Row],[CIDADE]],",",Tabela1[[#This Row],[UF]])</f>
        <v>Brasília,DF</v>
      </c>
      <c r="F3710" s="15">
        <v>46049</v>
      </c>
      <c r="G3710" s="10">
        <v>2574.0500000000002</v>
      </c>
      <c r="H3710" s="10">
        <v>3595</v>
      </c>
      <c r="I3710" s="8">
        <f>Tabela1[[#This Row],[Valor total]]-Tabela1[[#This Row],[Valor custo]]</f>
        <v>1020.9499999999998</v>
      </c>
      <c r="J3710" s="18">
        <f>Tabela1[[#This Row],[MARGEM BRUTA]]/Tabela1[[#This Row],[Valor total]]</f>
        <v>0.2839916550764951</v>
      </c>
      <c r="K3710" s="16" t="str">
        <f>VLOOKUP(Tabela1[[#This Row],[Cliente]],'BASE DE CLIENTES'!A:D,4,0)</f>
        <v>EMPRESA COM MAQUINA</v>
      </c>
      <c r="L3710" s="16" t="str">
        <f>VLOOKUP(Tabela1[[#This Row],[Cliente]],'BASE DE CLIENTES'!A:E,5,0)</f>
        <v>TAGUATINGA NORTE (TAGUATINGA)</v>
      </c>
    </row>
    <row r="3711" spans="1:12" x14ac:dyDescent="0.3">
      <c r="A3711" t="s">
        <v>848</v>
      </c>
      <c r="B3711" t="s">
        <v>176</v>
      </c>
      <c r="C3711" s="16" t="str">
        <f>VLOOKUP(Tabela1[[#This Row],[Cliente]],'BASE DE CLIENTES'!A:E,2,0)</f>
        <v>Brasília</v>
      </c>
      <c r="D3711" s="16" t="str">
        <f>VLOOKUP(Tabela1[[#This Row],[Cliente]],'BASE DE CLIENTES'!A:C,3,0)</f>
        <v>DF</v>
      </c>
      <c r="E3711" s="16" t="str">
        <f>CONCATENATE(Tabela1[[#This Row],[CIDADE]],",",Tabela1[[#This Row],[UF]])</f>
        <v>Brasília,DF</v>
      </c>
      <c r="F3711" s="15">
        <v>46049</v>
      </c>
      <c r="G3711">
        <v>450.27</v>
      </c>
      <c r="H3711">
        <v>700</v>
      </c>
      <c r="I3711" s="8">
        <f>Tabela1[[#This Row],[Valor total]]-Tabela1[[#This Row],[Valor custo]]</f>
        <v>249.73000000000002</v>
      </c>
      <c r="J3711" s="18">
        <f>Tabela1[[#This Row],[MARGEM BRUTA]]/Tabela1[[#This Row],[Valor total]]</f>
        <v>0.35675714285714288</v>
      </c>
      <c r="K3711" s="16" t="str">
        <f>VLOOKUP(Tabela1[[#This Row],[Cliente]],'BASE DE CLIENTES'!A:D,4,0)</f>
        <v>OUTROS RAMOS</v>
      </c>
      <c r="L3711" s="16" t="str">
        <f>VLOOKUP(Tabela1[[#This Row],[Cliente]],'BASE DE CLIENTES'!A:E,5,0)</f>
        <v>CEILANDIA NORTE</v>
      </c>
    </row>
    <row r="3712" spans="1:12" x14ac:dyDescent="0.3">
      <c r="A3712" t="s">
        <v>849</v>
      </c>
      <c r="B3712" t="s">
        <v>184</v>
      </c>
      <c r="C3712" s="16" t="str">
        <f>VLOOKUP(Tabela1[[#This Row],[Cliente]],'BASE DE CLIENTES'!A:E,2,0)</f>
        <v>Castanhal</v>
      </c>
      <c r="D3712" s="16" t="str">
        <f>VLOOKUP(Tabela1[[#This Row],[Cliente]],'BASE DE CLIENTES'!A:C,3,0)</f>
        <v>PA</v>
      </c>
      <c r="E3712" s="16" t="str">
        <f>CONCATENATE(Tabela1[[#This Row],[CIDADE]],",",Tabela1[[#This Row],[UF]])</f>
        <v>Castanhal,PA</v>
      </c>
      <c r="F3712" s="15">
        <v>46049</v>
      </c>
      <c r="G3712" s="10">
        <v>4502.7</v>
      </c>
      <c r="H3712" s="10">
        <v>6650</v>
      </c>
      <c r="I3712" s="8">
        <f>Tabela1[[#This Row],[Valor total]]-Tabela1[[#This Row],[Valor custo]]</f>
        <v>2147.3000000000002</v>
      </c>
      <c r="J3712" s="18">
        <f>Tabela1[[#This Row],[MARGEM BRUTA]]/Tabela1[[#This Row],[Valor total]]</f>
        <v>0.32290225563909775</v>
      </c>
      <c r="K3712" s="16" t="str">
        <f>VLOOKUP(Tabela1[[#This Row],[Cliente]],'BASE DE CLIENTES'!A:D,4,0)</f>
        <v>EMPRESA COM MAQUINA</v>
      </c>
      <c r="L3712" s="16" t="str">
        <f>VLOOKUP(Tabela1[[#This Row],[Cliente]],'BASE DE CLIENTES'!A:E,5,0)</f>
        <v>Castanhal</v>
      </c>
    </row>
    <row r="3713" spans="1:12" x14ac:dyDescent="0.3">
      <c r="A3713" t="s">
        <v>850</v>
      </c>
      <c r="B3713" t="s">
        <v>104</v>
      </c>
      <c r="C3713" s="16" t="str">
        <f>VLOOKUP(Tabela1[[#This Row],[Cliente]],'BASE DE CLIENTES'!A:E,2,0)</f>
        <v>Águas Lindas de Goiás</v>
      </c>
      <c r="D3713" s="16" t="str">
        <f>VLOOKUP(Tabela1[[#This Row],[Cliente]],'BASE DE CLIENTES'!A:C,3,0)</f>
        <v>GO</v>
      </c>
      <c r="E3713" s="16" t="str">
        <f>CONCATENATE(Tabela1[[#This Row],[CIDADE]],",",Tabela1[[#This Row],[UF]])</f>
        <v>Águas Lindas de Goiás,GO</v>
      </c>
      <c r="F3713" s="15">
        <v>46049</v>
      </c>
      <c r="G3713">
        <v>450.27</v>
      </c>
      <c r="H3713">
        <v>625</v>
      </c>
      <c r="I3713" s="8">
        <f>Tabela1[[#This Row],[Valor total]]-Tabela1[[#This Row],[Valor custo]]</f>
        <v>174.73000000000002</v>
      </c>
      <c r="J3713" s="18">
        <f>Tabela1[[#This Row],[MARGEM BRUTA]]/Tabela1[[#This Row],[Valor total]]</f>
        <v>0.27956800000000004</v>
      </c>
      <c r="K3713" s="16" t="str">
        <f>VLOOKUP(Tabela1[[#This Row],[Cliente]],'BASE DE CLIENTES'!A:D,4,0)</f>
        <v>EMPRESA SEM MAQUINA</v>
      </c>
      <c r="L3713" s="16" t="str">
        <f>VLOOKUP(Tabela1[[#This Row],[Cliente]],'BASE DE CLIENTES'!A:E,5,0)</f>
        <v>Águas Lindas de Goiás</v>
      </c>
    </row>
    <row r="3714" spans="1:12" x14ac:dyDescent="0.3">
      <c r="A3714" t="s">
        <v>851</v>
      </c>
      <c r="B3714" t="s">
        <v>109</v>
      </c>
      <c r="C3714" s="16" t="str">
        <f>VLOOKUP(Tabela1[[#This Row],[Cliente]],'BASE DE CLIENTES'!A:E,2,0)</f>
        <v>Águas Lindas de Goiás</v>
      </c>
      <c r="D3714" s="16" t="str">
        <f>VLOOKUP(Tabela1[[#This Row],[Cliente]],'BASE DE CLIENTES'!A:C,3,0)</f>
        <v>GO</v>
      </c>
      <c r="E3714" s="16" t="str">
        <f>CONCATENATE(Tabela1[[#This Row],[CIDADE]],",",Tabela1[[#This Row],[UF]])</f>
        <v>Águas Lindas de Goiás,GO</v>
      </c>
      <c r="F3714" s="15">
        <v>46049</v>
      </c>
      <c r="G3714" s="10">
        <v>1613.47</v>
      </c>
      <c r="H3714" s="10">
        <v>2400</v>
      </c>
      <c r="I3714" s="8">
        <f>Tabela1[[#This Row],[Valor total]]-Tabela1[[#This Row],[Valor custo]]</f>
        <v>786.53</v>
      </c>
      <c r="J3714" s="18">
        <f>Tabela1[[#This Row],[MARGEM BRUTA]]/Tabela1[[#This Row],[Valor total]]</f>
        <v>0.32772083333333329</v>
      </c>
      <c r="K3714" s="16" t="str">
        <f>VLOOKUP(Tabela1[[#This Row],[Cliente]],'BASE DE CLIENTES'!A:D,4,0)</f>
        <v>SERRALHEIRO</v>
      </c>
      <c r="L3714" s="16" t="str">
        <f>VLOOKUP(Tabela1[[#This Row],[Cliente]],'BASE DE CLIENTES'!A:E,5,0)</f>
        <v>Águas Lindas de Goiás</v>
      </c>
    </row>
    <row r="3715" spans="1:12" x14ac:dyDescent="0.3">
      <c r="A3715" t="s">
        <v>852</v>
      </c>
      <c r="B3715" t="s">
        <v>104</v>
      </c>
      <c r="C3715" s="16" t="str">
        <f>VLOOKUP(Tabela1[[#This Row],[Cliente]],'BASE DE CLIENTES'!A:E,2,0)</f>
        <v>Águas Lindas de Goiás</v>
      </c>
      <c r="D3715" s="16" t="str">
        <f>VLOOKUP(Tabela1[[#This Row],[Cliente]],'BASE DE CLIENTES'!A:C,3,0)</f>
        <v>GO</v>
      </c>
      <c r="E3715" s="16" t="str">
        <f>CONCATENATE(Tabela1[[#This Row],[CIDADE]],",",Tabela1[[#This Row],[UF]])</f>
        <v>Águas Lindas de Goiás,GO</v>
      </c>
      <c r="F3715" s="15">
        <v>46049</v>
      </c>
      <c r="G3715" s="10">
        <v>1706.51</v>
      </c>
      <c r="H3715" s="10">
        <v>2815</v>
      </c>
      <c r="I3715" s="8">
        <f>Tabela1[[#This Row],[Valor total]]-Tabela1[[#This Row],[Valor custo]]</f>
        <v>1108.49</v>
      </c>
      <c r="J3715" s="18">
        <f>Tabela1[[#This Row],[MARGEM BRUTA]]/Tabela1[[#This Row],[Valor total]]</f>
        <v>0.39377975133214921</v>
      </c>
      <c r="K3715" s="16" t="str">
        <f>VLOOKUP(Tabela1[[#This Row],[Cliente]],'BASE DE CLIENTES'!A:D,4,0)</f>
        <v>EMPRESA SEM MAQUINA</v>
      </c>
      <c r="L3715" s="16" t="str">
        <f>VLOOKUP(Tabela1[[#This Row],[Cliente]],'BASE DE CLIENTES'!A:E,5,0)</f>
        <v>Águas Lindas de Goiás</v>
      </c>
    </row>
    <row r="3716" spans="1:12" x14ac:dyDescent="0.3">
      <c r="A3716" t="s">
        <v>853</v>
      </c>
      <c r="B3716" t="s">
        <v>52</v>
      </c>
      <c r="C3716" s="16" t="str">
        <f>VLOOKUP(Tabela1[[#This Row],[Cliente]],'BASE DE CLIENTES'!A:E,2,0)</f>
        <v>Brasília</v>
      </c>
      <c r="D3716" s="16" t="str">
        <f>VLOOKUP(Tabela1[[#This Row],[Cliente]],'BASE DE CLIENTES'!A:C,3,0)</f>
        <v>DF</v>
      </c>
      <c r="E3716" s="16" t="str">
        <f>CONCATENATE(Tabela1[[#This Row],[CIDADE]],",",Tabela1[[#This Row],[UF]])</f>
        <v>Brasília,DF</v>
      </c>
      <c r="F3716" s="15">
        <v>46049</v>
      </c>
      <c r="G3716">
        <v>67.12</v>
      </c>
      <c r="H3716">
        <v>150</v>
      </c>
      <c r="I3716" s="8">
        <f>Tabela1[[#This Row],[Valor total]]-Tabela1[[#This Row],[Valor custo]]</f>
        <v>82.88</v>
      </c>
      <c r="J3716" s="18">
        <f>Tabela1[[#This Row],[MARGEM BRUTA]]/Tabela1[[#This Row],[Valor total]]</f>
        <v>0.55253333333333332</v>
      </c>
      <c r="K3716" s="16" t="str">
        <f>VLOOKUP(Tabela1[[#This Row],[Cliente]],'BASE DE CLIENTES'!A:D,4,0)</f>
        <v>SERRALHEIRO</v>
      </c>
      <c r="L3716" s="16" t="str">
        <f>VLOOKUP(Tabela1[[#This Row],[Cliente]],'BASE DE CLIENTES'!A:E,5,0)</f>
        <v>Ceilândia Sul (Ceilândia)</v>
      </c>
    </row>
    <row r="3717" spans="1:12" x14ac:dyDescent="0.3">
      <c r="A3717" t="s">
        <v>854</v>
      </c>
      <c r="B3717" t="s">
        <v>52</v>
      </c>
      <c r="C3717" s="16" t="str">
        <f>VLOOKUP(Tabela1[[#This Row],[Cliente]],'BASE DE CLIENTES'!A:E,2,0)</f>
        <v>Brasília</v>
      </c>
      <c r="D3717" s="16" t="str">
        <f>VLOOKUP(Tabela1[[#This Row],[Cliente]],'BASE DE CLIENTES'!A:C,3,0)</f>
        <v>DF</v>
      </c>
      <c r="E3717" s="16" t="str">
        <f>CONCATENATE(Tabela1[[#This Row],[CIDADE]],",",Tabela1[[#This Row],[UF]])</f>
        <v>Brasília,DF</v>
      </c>
      <c r="F3717" s="15">
        <v>46049</v>
      </c>
      <c r="G3717" s="10">
        <v>1163.2</v>
      </c>
      <c r="H3717" s="10">
        <v>1740</v>
      </c>
      <c r="I3717" s="8">
        <f>Tabela1[[#This Row],[Valor total]]-Tabela1[[#This Row],[Valor custo]]</f>
        <v>576.79999999999995</v>
      </c>
      <c r="J3717" s="18">
        <f>Tabela1[[#This Row],[MARGEM BRUTA]]/Tabela1[[#This Row],[Valor total]]</f>
        <v>0.33149425287356321</v>
      </c>
      <c r="K3717" s="16" t="str">
        <f>VLOOKUP(Tabela1[[#This Row],[Cliente]],'BASE DE CLIENTES'!A:D,4,0)</f>
        <v>SERRALHEIRO</v>
      </c>
      <c r="L3717" s="16" t="str">
        <f>VLOOKUP(Tabela1[[#This Row],[Cliente]],'BASE DE CLIENTES'!A:E,5,0)</f>
        <v>Ceilândia Sul (Ceilândia)</v>
      </c>
    </row>
    <row r="3718" spans="1:12" x14ac:dyDescent="0.3">
      <c r="A3718" t="s">
        <v>855</v>
      </c>
      <c r="B3718" t="s">
        <v>236</v>
      </c>
      <c r="C3718" s="16" t="str">
        <f>VLOOKUP(Tabela1[[#This Row],[Cliente]],'BASE DE CLIENTES'!A:E,2,0)</f>
        <v>Goiânia</v>
      </c>
      <c r="D3718" s="16" t="str">
        <f>VLOOKUP(Tabela1[[#This Row],[Cliente]],'BASE DE CLIENTES'!A:C,3,0)</f>
        <v>GO</v>
      </c>
      <c r="E3718" s="16" t="str">
        <f>CONCATENATE(Tabela1[[#This Row],[CIDADE]],",",Tabela1[[#This Row],[UF]])</f>
        <v>Goiânia,GO</v>
      </c>
      <c r="F3718" s="15">
        <v>46049</v>
      </c>
      <c r="G3718">
        <v>856.3</v>
      </c>
      <c r="H3718" s="10">
        <v>1255</v>
      </c>
      <c r="I3718" s="8">
        <f>Tabela1[[#This Row],[Valor total]]-Tabela1[[#This Row],[Valor custo]]</f>
        <v>398.70000000000005</v>
      </c>
      <c r="J3718" s="18">
        <f>Tabela1[[#This Row],[MARGEM BRUTA]]/Tabela1[[#This Row],[Valor total]]</f>
        <v>0.31768924302788848</v>
      </c>
      <c r="K3718" s="16" t="str">
        <f>VLOOKUP(Tabela1[[#This Row],[Cliente]],'BASE DE CLIENTES'!A:D,4,0)</f>
        <v>EMPRESA COM MAQUINA</v>
      </c>
      <c r="L3718" s="16" t="str">
        <f>VLOOKUP(Tabela1[[#This Row],[Cliente]],'BASE DE CLIENTES'!A:E,5,0)</f>
        <v>Goiânia</v>
      </c>
    </row>
    <row r="3719" spans="1:12" x14ac:dyDescent="0.3">
      <c r="A3719" t="s">
        <v>856</v>
      </c>
      <c r="B3719" t="s">
        <v>316</v>
      </c>
      <c r="C3719" s="16" t="str">
        <f>VLOOKUP(Tabela1[[#This Row],[Cliente]],'BASE DE CLIENTES'!A:E,2,0)</f>
        <v>Valparaíso de Goiás</v>
      </c>
      <c r="D3719" s="16" t="str">
        <f>VLOOKUP(Tabela1[[#This Row],[Cliente]],'BASE DE CLIENTES'!A:C,3,0)</f>
        <v>GO</v>
      </c>
      <c r="E3719" s="16" t="str">
        <f>CONCATENATE(Tabela1[[#This Row],[CIDADE]],",",Tabela1[[#This Row],[UF]])</f>
        <v>Valparaíso de Goiás,GO</v>
      </c>
      <c r="F3719" s="15">
        <v>46049</v>
      </c>
      <c r="G3719" s="10">
        <v>1148.19</v>
      </c>
      <c r="H3719" s="10">
        <v>1650</v>
      </c>
      <c r="I3719" s="8">
        <f>Tabela1[[#This Row],[Valor total]]-Tabela1[[#This Row],[Valor custo]]</f>
        <v>501.80999999999995</v>
      </c>
      <c r="J3719" s="18">
        <f>Tabela1[[#This Row],[MARGEM BRUTA]]/Tabela1[[#This Row],[Valor total]]</f>
        <v>0.30412727272727269</v>
      </c>
      <c r="K3719" s="16" t="str">
        <f>VLOOKUP(Tabela1[[#This Row],[Cliente]],'BASE DE CLIENTES'!A:D,4,0)</f>
        <v>SERRALHEIRO</v>
      </c>
      <c r="L3719" s="16" t="str">
        <f>VLOOKUP(Tabela1[[#This Row],[Cliente]],'BASE DE CLIENTES'!A:E,5,0)</f>
        <v>Valparaíso de Goiás</v>
      </c>
    </row>
    <row r="3720" spans="1:12" x14ac:dyDescent="0.3">
      <c r="A3720" t="s">
        <v>857</v>
      </c>
      <c r="B3720" t="s">
        <v>120</v>
      </c>
      <c r="C3720" s="16" t="str">
        <f>VLOOKUP(Tabela1[[#This Row],[Cliente]],'BASE DE CLIENTES'!A:E,2,0)</f>
        <v>Brasília</v>
      </c>
      <c r="D3720" s="16" t="str">
        <f>VLOOKUP(Tabela1[[#This Row],[Cliente]],'BASE DE CLIENTES'!A:C,3,0)</f>
        <v>DF</v>
      </c>
      <c r="E3720" s="16" t="str">
        <f>CONCATENATE(Tabela1[[#This Row],[CIDADE]],",",Tabela1[[#This Row],[UF]])</f>
        <v>Brasília,DF</v>
      </c>
      <c r="F3720" s="15">
        <v>46048</v>
      </c>
      <c r="G3720">
        <v>900.54</v>
      </c>
      <c r="H3720" s="10">
        <v>1270</v>
      </c>
      <c r="I3720" s="8">
        <f>Tabela1[[#This Row],[Valor total]]-Tabela1[[#This Row],[Valor custo]]</f>
        <v>369.46000000000004</v>
      </c>
      <c r="J3720" s="18">
        <f>Tabela1[[#This Row],[MARGEM BRUTA]]/Tabela1[[#This Row],[Valor total]]</f>
        <v>0.29091338582677168</v>
      </c>
      <c r="K3720" s="16" t="str">
        <f>VLOOKUP(Tabela1[[#This Row],[Cliente]],'BASE DE CLIENTES'!A:D,4,0)</f>
        <v>EMPRESA SEM MAQUINA</v>
      </c>
      <c r="L3720" s="16" t="str">
        <f>VLOOKUP(Tabela1[[#This Row],[Cliente]],'BASE DE CLIENTES'!A:E,5,0)</f>
        <v>SAMAMBAIA</v>
      </c>
    </row>
    <row r="3721" spans="1:12" x14ac:dyDescent="0.3">
      <c r="A3721" t="s">
        <v>858</v>
      </c>
      <c r="B3721" t="s">
        <v>309</v>
      </c>
      <c r="C3721" s="16" t="str">
        <f>VLOOKUP(Tabela1[[#This Row],[Cliente]],'BASE DE CLIENTES'!A:E,2,0)</f>
        <v>Uberlândia</v>
      </c>
      <c r="D3721" s="16" t="str">
        <f>VLOOKUP(Tabela1[[#This Row],[Cliente]],'BASE DE CLIENTES'!A:C,3,0)</f>
        <v>MG</v>
      </c>
      <c r="E3721" s="16" t="str">
        <f>CONCATENATE(Tabela1[[#This Row],[CIDADE]],",",Tabela1[[#This Row],[UF]])</f>
        <v>Uberlândia,MG</v>
      </c>
      <c r="F3721" s="15">
        <v>46048</v>
      </c>
      <c r="G3721">
        <v>562.79999999999995</v>
      </c>
      <c r="H3721" s="10">
        <v>1500</v>
      </c>
      <c r="I3721" s="8">
        <f>Tabela1[[#This Row],[Valor total]]-Tabela1[[#This Row],[Valor custo]]</f>
        <v>937.2</v>
      </c>
      <c r="J3721" s="18">
        <f>Tabela1[[#This Row],[MARGEM BRUTA]]/Tabela1[[#This Row],[Valor total]]</f>
        <v>0.62480000000000002</v>
      </c>
      <c r="K3721" s="16" t="str">
        <f>VLOOKUP(Tabela1[[#This Row],[Cliente]],'BASE DE CLIENTES'!A:D,4,0)</f>
        <v>EMPRESA COM MAQUINA</v>
      </c>
      <c r="L3721" s="16" t="str">
        <f>VLOOKUP(Tabela1[[#This Row],[Cliente]],'BASE DE CLIENTES'!A:E,5,0)</f>
        <v>Uberlândia</v>
      </c>
    </row>
    <row r="3722" spans="1:12" x14ac:dyDescent="0.3">
      <c r="A3722" t="s">
        <v>859</v>
      </c>
      <c r="B3722" t="s">
        <v>230</v>
      </c>
      <c r="C3722" s="16" t="str">
        <f>VLOOKUP(Tabela1[[#This Row],[Cliente]],'BASE DE CLIENTES'!A:E,2,0)</f>
        <v>Brasília</v>
      </c>
      <c r="D3722" s="16" t="str">
        <f>VLOOKUP(Tabela1[[#This Row],[Cliente]],'BASE DE CLIENTES'!A:C,3,0)</f>
        <v>DF</v>
      </c>
      <c r="E3722" s="16" t="str">
        <f>CONCATENATE(Tabela1[[#This Row],[CIDADE]],",",Tabela1[[#This Row],[UF]])</f>
        <v>Brasília,DF</v>
      </c>
      <c r="F3722" s="15">
        <v>46048</v>
      </c>
      <c r="G3722">
        <v>56.28</v>
      </c>
      <c r="H3722">
        <v>149</v>
      </c>
      <c r="I3722" s="8">
        <f>Tabela1[[#This Row],[Valor total]]-Tabela1[[#This Row],[Valor custo]]</f>
        <v>92.72</v>
      </c>
      <c r="J3722" s="18">
        <f>Tabela1[[#This Row],[MARGEM BRUTA]]/Tabela1[[#This Row],[Valor total]]</f>
        <v>0.62228187919463085</v>
      </c>
      <c r="K3722" s="16" t="str">
        <f>VLOOKUP(Tabela1[[#This Row],[Cliente]],'BASE DE CLIENTES'!A:D,4,0)</f>
        <v>SERRALHEIRO</v>
      </c>
      <c r="L3722" s="16" t="str">
        <f>VLOOKUP(Tabela1[[#This Row],[Cliente]],'BASE DE CLIENTES'!A:E,5,0)</f>
        <v>SETOR HABITACIONAL SAMAMBAIA (VICENTE PIRES)</v>
      </c>
    </row>
    <row r="3723" spans="1:12" x14ac:dyDescent="0.3">
      <c r="A3723" t="s">
        <v>860</v>
      </c>
      <c r="B3723" t="s">
        <v>68</v>
      </c>
      <c r="C3723" s="16" t="str">
        <f>VLOOKUP(Tabela1[[#This Row],[Cliente]],'BASE DE CLIENTES'!A:E,2,0)</f>
        <v>Brasília</v>
      </c>
      <c r="D3723" s="16" t="str">
        <f>VLOOKUP(Tabela1[[#This Row],[Cliente]],'BASE DE CLIENTES'!A:C,3,0)</f>
        <v>DF</v>
      </c>
      <c r="E3723" s="16" t="str">
        <f>CONCATENATE(Tabela1[[#This Row],[CIDADE]],",",Tabela1[[#This Row],[UF]])</f>
        <v>Brasília,DF</v>
      </c>
      <c r="F3723" s="15">
        <v>46048</v>
      </c>
      <c r="G3723">
        <v>33.56</v>
      </c>
      <c r="H3723">
        <v>85</v>
      </c>
      <c r="I3723" s="8">
        <f>Tabela1[[#This Row],[Valor total]]-Tabela1[[#This Row],[Valor custo]]</f>
        <v>51.44</v>
      </c>
      <c r="J3723" s="18">
        <f>Tabela1[[#This Row],[MARGEM BRUTA]]/Tabela1[[#This Row],[Valor total]]</f>
        <v>0.60517647058823532</v>
      </c>
      <c r="K3723" s="16" t="str">
        <f>VLOOKUP(Tabela1[[#This Row],[Cliente]],'BASE DE CLIENTES'!A:D,4,0)</f>
        <v>EMPRESA COM MAQUINA</v>
      </c>
      <c r="L3723" s="16" t="str">
        <f>VLOOKUP(Tabela1[[#This Row],[Cliente]],'BASE DE CLIENTES'!A:E,5,0)</f>
        <v>SAMAMBAIA SUL (SAMAMBAIA)</v>
      </c>
    </row>
    <row r="3724" spans="1:12" x14ac:dyDescent="0.3">
      <c r="A3724" t="s">
        <v>861</v>
      </c>
      <c r="B3724" t="s">
        <v>186</v>
      </c>
      <c r="C3724" s="16" t="str">
        <f>VLOOKUP(Tabela1[[#This Row],[Cliente]],'BASE DE CLIENTES'!A:E,2,0)</f>
        <v>Eunápolis</v>
      </c>
      <c r="D3724" s="16" t="str">
        <f>VLOOKUP(Tabela1[[#This Row],[Cliente]],'BASE DE CLIENTES'!A:C,3,0)</f>
        <v>BA</v>
      </c>
      <c r="E3724" s="16" t="str">
        <f>CONCATENATE(Tabela1[[#This Row],[CIDADE]],",",Tabela1[[#This Row],[UF]])</f>
        <v>Eunápolis,BA</v>
      </c>
      <c r="F3724" s="15">
        <v>46048</v>
      </c>
      <c r="G3724" s="10">
        <v>6648.36</v>
      </c>
      <c r="H3724" s="10">
        <v>12400</v>
      </c>
      <c r="I3724" s="8">
        <f>Tabela1[[#This Row],[Valor total]]-Tabela1[[#This Row],[Valor custo]]</f>
        <v>5751.64</v>
      </c>
      <c r="J3724" s="18">
        <f>Tabela1[[#This Row],[MARGEM BRUTA]]/Tabela1[[#This Row],[Valor total]]</f>
        <v>0.46384193548387098</v>
      </c>
      <c r="K3724" s="16" t="str">
        <f>VLOOKUP(Tabela1[[#This Row],[Cliente]],'BASE DE CLIENTES'!A:D,4,0)</f>
        <v>EMPRESA SEM MAQUINA</v>
      </c>
      <c r="L3724" s="16" t="str">
        <f>VLOOKUP(Tabela1[[#This Row],[Cliente]],'BASE DE CLIENTES'!A:E,5,0)</f>
        <v>Eunápolis</v>
      </c>
    </row>
    <row r="3725" spans="1:12" x14ac:dyDescent="0.3">
      <c r="A3725" t="s">
        <v>862</v>
      </c>
      <c r="B3725" t="s">
        <v>771</v>
      </c>
      <c r="C3725" s="16" t="str">
        <f>VLOOKUP(Tabela1[[#This Row],[Cliente]],'BASE DE CLIENTES'!A:E,2,0)</f>
        <v>Brasília</v>
      </c>
      <c r="D3725" s="16" t="str">
        <f>VLOOKUP(Tabela1[[#This Row],[Cliente]],'BASE DE CLIENTES'!A:C,3,0)</f>
        <v>DF</v>
      </c>
      <c r="E3725" s="16" t="str">
        <f>CONCATENATE(Tabela1[[#This Row],[CIDADE]],",",Tabela1[[#This Row],[UF]])</f>
        <v>Brasília,DF</v>
      </c>
      <c r="F3725" s="15">
        <v>46048</v>
      </c>
      <c r="G3725">
        <v>56.28</v>
      </c>
      <c r="H3725">
        <v>180</v>
      </c>
      <c r="I3725" s="8">
        <f>Tabela1[[#This Row],[Valor total]]-Tabela1[[#This Row],[Valor custo]]</f>
        <v>123.72</v>
      </c>
      <c r="J3725" s="18">
        <f>Tabela1[[#This Row],[MARGEM BRUTA]]/Tabela1[[#This Row],[Valor total]]</f>
        <v>0.68733333333333335</v>
      </c>
      <c r="K3725" s="16" t="str">
        <f>VLOOKUP(Tabela1[[#This Row],[Cliente]],'BASE DE CLIENTES'!A:D,4,0)</f>
        <v>CLIENTE NOVO S/ IDENT.</v>
      </c>
      <c r="L3725" s="16" t="str">
        <f>VLOOKUP(Tabela1[[#This Row],[Cliente]],'BASE DE CLIENTES'!A:E,5,0)</f>
        <v>Guará</v>
      </c>
    </row>
    <row r="3726" spans="1:12" x14ac:dyDescent="0.3">
      <c r="A3726" t="s">
        <v>863</v>
      </c>
      <c r="B3726" t="s">
        <v>55</v>
      </c>
      <c r="C3726" s="16" t="str">
        <f>VLOOKUP(Tabela1[[#This Row],[Cliente]],'BASE DE CLIENTES'!A:E,2,0)</f>
        <v>Brasília</v>
      </c>
      <c r="D3726" s="16" t="str">
        <f>VLOOKUP(Tabela1[[#This Row],[Cliente]],'BASE DE CLIENTES'!A:C,3,0)</f>
        <v>DF</v>
      </c>
      <c r="E3726" s="16" t="str">
        <f>CONCATENATE(Tabela1[[#This Row],[CIDADE]],",",Tabela1[[#This Row],[UF]])</f>
        <v>Brasília,DF</v>
      </c>
      <c r="F3726" s="15">
        <v>46048</v>
      </c>
      <c r="G3726">
        <v>524.5</v>
      </c>
      <c r="H3726">
        <v>852</v>
      </c>
      <c r="I3726" s="8">
        <f>Tabela1[[#This Row],[Valor total]]-Tabela1[[#This Row],[Valor custo]]</f>
        <v>327.5</v>
      </c>
      <c r="J3726" s="18">
        <f>Tabela1[[#This Row],[MARGEM BRUTA]]/Tabela1[[#This Row],[Valor total]]</f>
        <v>0.38438967136150237</v>
      </c>
      <c r="K3726" s="16" t="str">
        <f>VLOOKUP(Tabela1[[#This Row],[Cliente]],'BASE DE CLIENTES'!A:D,4,0)</f>
        <v>EMPRESA SEM MAQUINA</v>
      </c>
      <c r="L3726" s="16" t="str">
        <f>VLOOKUP(Tabela1[[#This Row],[Cliente]],'BASE DE CLIENTES'!A:E,5,0)</f>
        <v>RECANTO DAS EMAS</v>
      </c>
    </row>
    <row r="3727" spans="1:12" x14ac:dyDescent="0.3">
      <c r="A3727" t="s">
        <v>864</v>
      </c>
      <c r="B3727" t="s">
        <v>70</v>
      </c>
      <c r="C3727" s="16" t="str">
        <f>VLOOKUP(Tabela1[[#This Row],[Cliente]],'BASE DE CLIENTES'!A:E,2,0)</f>
        <v>Brasília</v>
      </c>
      <c r="D3727" s="16" t="str">
        <f>VLOOKUP(Tabela1[[#This Row],[Cliente]],'BASE DE CLIENTES'!A:C,3,0)</f>
        <v>DF</v>
      </c>
      <c r="E3727" s="16" t="str">
        <f>CONCATENATE(Tabela1[[#This Row],[CIDADE]],",",Tabela1[[#This Row],[UF]])</f>
        <v>Brasília,DF</v>
      </c>
      <c r="F3727" s="15">
        <v>46048</v>
      </c>
      <c r="G3727">
        <v>73.14</v>
      </c>
      <c r="H3727">
        <v>90</v>
      </c>
      <c r="I3727" s="8">
        <f>Tabela1[[#This Row],[Valor total]]-Tabela1[[#This Row],[Valor custo]]</f>
        <v>16.86</v>
      </c>
      <c r="J3727" s="18">
        <f>Tabela1[[#This Row],[MARGEM BRUTA]]/Tabela1[[#This Row],[Valor total]]</f>
        <v>0.18733333333333332</v>
      </c>
      <c r="K3727" s="16" t="str">
        <f>VLOOKUP(Tabela1[[#This Row],[Cliente]],'BASE DE CLIENTES'!A:D,4,0)</f>
        <v>EMPRESA COM MAQUINA</v>
      </c>
      <c r="L3727" s="16" t="str">
        <f>VLOOKUP(Tabela1[[#This Row],[Cliente]],'BASE DE CLIENTES'!A:E,5,0)</f>
        <v>TAGUATINGA NORTE (TAGUATINGA)</v>
      </c>
    </row>
    <row r="3728" spans="1:12" x14ac:dyDescent="0.3">
      <c r="A3728" t="s">
        <v>865</v>
      </c>
      <c r="B3728" t="s">
        <v>70</v>
      </c>
      <c r="C3728" s="16" t="str">
        <f>VLOOKUP(Tabela1[[#This Row],[Cliente]],'BASE DE CLIENTES'!A:E,2,0)</f>
        <v>Brasília</v>
      </c>
      <c r="D3728" s="16" t="str">
        <f>VLOOKUP(Tabela1[[#This Row],[Cliente]],'BASE DE CLIENTES'!A:C,3,0)</f>
        <v>DF</v>
      </c>
      <c r="E3728" s="16" t="str">
        <f>CONCATENATE(Tabela1[[#This Row],[CIDADE]],",",Tabela1[[#This Row],[UF]])</f>
        <v>Brasília,DF</v>
      </c>
      <c r="F3728" s="15">
        <v>46048</v>
      </c>
      <c r="G3728">
        <v>933.54</v>
      </c>
      <c r="H3728" s="10">
        <v>1450</v>
      </c>
      <c r="I3728" s="8">
        <f>Tabela1[[#This Row],[Valor total]]-Tabela1[[#This Row],[Valor custo]]</f>
        <v>516.46</v>
      </c>
      <c r="J3728" s="18">
        <f>Tabela1[[#This Row],[MARGEM BRUTA]]/Tabela1[[#This Row],[Valor total]]</f>
        <v>0.35617931034482764</v>
      </c>
      <c r="K3728" s="16" t="str">
        <f>VLOOKUP(Tabela1[[#This Row],[Cliente]],'BASE DE CLIENTES'!A:D,4,0)</f>
        <v>EMPRESA COM MAQUINA</v>
      </c>
      <c r="L3728" s="16" t="str">
        <f>VLOOKUP(Tabela1[[#This Row],[Cliente]],'BASE DE CLIENTES'!A:E,5,0)</f>
        <v>TAGUATINGA NORTE (TAGUATINGA)</v>
      </c>
    </row>
    <row r="3729" spans="1:12" x14ac:dyDescent="0.3">
      <c r="A3729" t="s">
        <v>866</v>
      </c>
      <c r="B3729" t="s">
        <v>264</v>
      </c>
      <c r="C3729" s="16" t="str">
        <f>VLOOKUP(Tabela1[[#This Row],[Cliente]],'BASE DE CLIENTES'!A:E,2,0)</f>
        <v>Brasília</v>
      </c>
      <c r="D3729" s="16" t="str">
        <f>VLOOKUP(Tabela1[[#This Row],[Cliente]],'BASE DE CLIENTES'!A:C,3,0)</f>
        <v>DF</v>
      </c>
      <c r="E3729" s="16" t="str">
        <f>CONCATENATE(Tabela1[[#This Row],[CIDADE]],",",Tabela1[[#This Row],[UF]])</f>
        <v>Brasília,DF</v>
      </c>
      <c r="F3729" s="15">
        <v>46048</v>
      </c>
      <c r="G3729">
        <v>60.08</v>
      </c>
      <c r="H3729">
        <v>224</v>
      </c>
      <c r="I3729" s="8">
        <f>Tabela1[[#This Row],[Valor total]]-Tabela1[[#This Row],[Valor custo]]</f>
        <v>163.92000000000002</v>
      </c>
      <c r="J3729" s="18">
        <f>Tabela1[[#This Row],[MARGEM BRUTA]]/Tabela1[[#This Row],[Valor total]]</f>
        <v>0.73178571428571437</v>
      </c>
      <c r="K3729" s="16" t="str">
        <f>VLOOKUP(Tabela1[[#This Row],[Cliente]],'BASE DE CLIENTES'!A:D,4,0)</f>
        <v>SERRALHEIRO</v>
      </c>
      <c r="L3729" s="16" t="str">
        <f>VLOOKUP(Tabela1[[#This Row],[Cliente]],'BASE DE CLIENTES'!A:E,5,0)</f>
        <v>Recanto das emas</v>
      </c>
    </row>
    <row r="3730" spans="1:12" x14ac:dyDescent="0.3">
      <c r="A3730" t="s">
        <v>867</v>
      </c>
      <c r="B3730" t="s">
        <v>264</v>
      </c>
      <c r="C3730" s="16" t="str">
        <f>VLOOKUP(Tabela1[[#This Row],[Cliente]],'BASE DE CLIENTES'!A:E,2,0)</f>
        <v>Brasília</v>
      </c>
      <c r="D3730" s="16" t="str">
        <f>VLOOKUP(Tabela1[[#This Row],[Cliente]],'BASE DE CLIENTES'!A:C,3,0)</f>
        <v>DF</v>
      </c>
      <c r="E3730" s="16" t="str">
        <f>CONCATENATE(Tabela1[[#This Row],[CIDADE]],",",Tabela1[[#This Row],[UF]])</f>
        <v>Brasília,DF</v>
      </c>
      <c r="F3730" s="15">
        <v>46048</v>
      </c>
      <c r="G3730">
        <v>5</v>
      </c>
      <c r="H3730">
        <v>8</v>
      </c>
      <c r="I3730" s="8">
        <f>Tabela1[[#This Row],[Valor total]]-Tabela1[[#This Row],[Valor custo]]</f>
        <v>3</v>
      </c>
      <c r="J3730" s="18">
        <f>Tabela1[[#This Row],[MARGEM BRUTA]]/Tabela1[[#This Row],[Valor total]]</f>
        <v>0.375</v>
      </c>
      <c r="K3730" s="16" t="str">
        <f>VLOOKUP(Tabela1[[#This Row],[Cliente]],'BASE DE CLIENTES'!A:D,4,0)</f>
        <v>SERRALHEIRO</v>
      </c>
      <c r="L3730" s="16" t="str">
        <f>VLOOKUP(Tabela1[[#This Row],[Cliente]],'BASE DE CLIENTES'!A:E,5,0)</f>
        <v>Recanto das emas</v>
      </c>
    </row>
    <row r="3731" spans="1:12" x14ac:dyDescent="0.3">
      <c r="A3731" t="s">
        <v>868</v>
      </c>
      <c r="B3731" t="s">
        <v>120</v>
      </c>
      <c r="C3731" s="16" t="str">
        <f>VLOOKUP(Tabela1[[#This Row],[Cliente]],'BASE DE CLIENTES'!A:E,2,0)</f>
        <v>Brasília</v>
      </c>
      <c r="D3731" s="16" t="str">
        <f>VLOOKUP(Tabela1[[#This Row],[Cliente]],'BASE DE CLIENTES'!A:C,3,0)</f>
        <v>DF</v>
      </c>
      <c r="E3731" s="16" t="str">
        <f>CONCATENATE(Tabela1[[#This Row],[CIDADE]],",",Tabela1[[#This Row],[UF]])</f>
        <v>Brasília,DF</v>
      </c>
      <c r="F3731" s="15">
        <v>46048</v>
      </c>
      <c r="G3731">
        <v>722</v>
      </c>
      <c r="H3731" s="10">
        <v>1230</v>
      </c>
      <c r="I3731" s="8">
        <f>Tabela1[[#This Row],[Valor total]]-Tabela1[[#This Row],[Valor custo]]</f>
        <v>508</v>
      </c>
      <c r="J3731" s="18">
        <f>Tabela1[[#This Row],[MARGEM BRUTA]]/Tabela1[[#This Row],[Valor total]]</f>
        <v>0.41300813008130083</v>
      </c>
      <c r="K3731" s="16" t="str">
        <f>VLOOKUP(Tabela1[[#This Row],[Cliente]],'BASE DE CLIENTES'!A:D,4,0)</f>
        <v>EMPRESA SEM MAQUINA</v>
      </c>
      <c r="L3731" s="16" t="str">
        <f>VLOOKUP(Tabela1[[#This Row],[Cliente]],'BASE DE CLIENTES'!A:E,5,0)</f>
        <v>SAMAMBAIA</v>
      </c>
    </row>
    <row r="3732" spans="1:12" x14ac:dyDescent="0.3">
      <c r="A3732" t="s">
        <v>869</v>
      </c>
      <c r="B3732" t="s">
        <v>68</v>
      </c>
      <c r="C3732" s="16" t="str">
        <f>VLOOKUP(Tabela1[[#This Row],[Cliente]],'BASE DE CLIENTES'!A:E,2,0)</f>
        <v>Brasília</v>
      </c>
      <c r="D3732" s="16" t="str">
        <f>VLOOKUP(Tabela1[[#This Row],[Cliente]],'BASE DE CLIENTES'!A:C,3,0)</f>
        <v>DF</v>
      </c>
      <c r="E3732" s="16" t="str">
        <f>CONCATENATE(Tabela1[[#This Row],[CIDADE]],",",Tabela1[[#This Row],[UF]])</f>
        <v>Brasília,DF</v>
      </c>
      <c r="F3732" s="15">
        <v>46048</v>
      </c>
      <c r="G3732">
        <v>90.06</v>
      </c>
      <c r="H3732">
        <v>160</v>
      </c>
      <c r="I3732" s="8">
        <f>Tabela1[[#This Row],[Valor total]]-Tabela1[[#This Row],[Valor custo]]</f>
        <v>69.94</v>
      </c>
      <c r="J3732" s="18">
        <f>Tabela1[[#This Row],[MARGEM BRUTA]]/Tabela1[[#This Row],[Valor total]]</f>
        <v>0.43712499999999999</v>
      </c>
      <c r="K3732" s="16" t="str">
        <f>VLOOKUP(Tabela1[[#This Row],[Cliente]],'BASE DE CLIENTES'!A:D,4,0)</f>
        <v>EMPRESA COM MAQUINA</v>
      </c>
      <c r="L3732" s="16" t="str">
        <f>VLOOKUP(Tabela1[[#This Row],[Cliente]],'BASE DE CLIENTES'!A:E,5,0)</f>
        <v>SAMAMBAIA SUL (SAMAMBAIA)</v>
      </c>
    </row>
    <row r="3733" spans="1:12" x14ac:dyDescent="0.3">
      <c r="A3733" t="s">
        <v>870</v>
      </c>
      <c r="B3733" t="s">
        <v>187</v>
      </c>
      <c r="C3733" s="16" t="str">
        <f>VLOOKUP(Tabela1[[#This Row],[Cliente]],'BASE DE CLIENTES'!A:E,2,0)</f>
        <v>Brasília</v>
      </c>
      <c r="D3733" s="16" t="str">
        <f>VLOOKUP(Tabela1[[#This Row],[Cliente]],'BASE DE CLIENTES'!A:C,3,0)</f>
        <v>DF</v>
      </c>
      <c r="E3733" s="16" t="str">
        <f>CONCATENATE(Tabela1[[#This Row],[CIDADE]],",",Tabela1[[#This Row],[UF]])</f>
        <v>Brasília,DF</v>
      </c>
      <c r="F3733" s="15">
        <v>46048</v>
      </c>
      <c r="G3733">
        <v>406.06</v>
      </c>
      <c r="H3733">
        <v>790</v>
      </c>
      <c r="I3733" s="8">
        <f>Tabela1[[#This Row],[Valor total]]-Tabela1[[#This Row],[Valor custo]]</f>
        <v>383.94</v>
      </c>
      <c r="J3733" s="18">
        <f>Tabela1[[#This Row],[MARGEM BRUTA]]/Tabela1[[#This Row],[Valor total]]</f>
        <v>0.48599999999999999</v>
      </c>
      <c r="K3733" s="16" t="str">
        <f>VLOOKUP(Tabela1[[#This Row],[Cliente]],'BASE DE CLIENTES'!A:D,4,0)</f>
        <v>SERRALHEIRO</v>
      </c>
      <c r="L3733" s="16" t="str">
        <f>VLOOKUP(Tabela1[[#This Row],[Cliente]],'BASE DE CLIENTES'!A:E,5,0)</f>
        <v>CEILANDIA SUL (CEILANDIA)</v>
      </c>
    </row>
    <row r="3734" spans="1:12" x14ac:dyDescent="0.3">
      <c r="A3734" t="s">
        <v>871</v>
      </c>
      <c r="B3734" t="s">
        <v>297</v>
      </c>
      <c r="C3734" s="16" t="str">
        <f>VLOOKUP(Tabela1[[#This Row],[Cliente]],'BASE DE CLIENTES'!A:E,2,0)</f>
        <v>Brasília</v>
      </c>
      <c r="D3734" s="16" t="str">
        <f>VLOOKUP(Tabela1[[#This Row],[Cliente]],'BASE DE CLIENTES'!A:C,3,0)</f>
        <v>DF</v>
      </c>
      <c r="E3734" s="16" t="str">
        <f>CONCATENATE(Tabela1[[#This Row],[CIDADE]],",",Tabela1[[#This Row],[UF]])</f>
        <v>Brasília,DF</v>
      </c>
      <c r="F3734" s="15">
        <v>46046</v>
      </c>
      <c r="G3734">
        <v>282.60000000000002</v>
      </c>
      <c r="H3734">
        <v>860</v>
      </c>
      <c r="I3734" s="8">
        <f>Tabela1[[#This Row],[Valor total]]-Tabela1[[#This Row],[Valor custo]]</f>
        <v>577.4</v>
      </c>
      <c r="J3734" s="18">
        <f>Tabela1[[#This Row],[MARGEM BRUTA]]/Tabela1[[#This Row],[Valor total]]</f>
        <v>0.6713953488372093</v>
      </c>
      <c r="K3734" s="16" t="str">
        <f>VLOOKUP(Tabela1[[#This Row],[Cliente]],'BASE DE CLIENTES'!A:D,4,0)</f>
        <v>SERRALHEIRO</v>
      </c>
      <c r="L3734" s="16" t="str">
        <f>VLOOKUP(Tabela1[[#This Row],[Cliente]],'BASE DE CLIENTES'!A:E,5,0)</f>
        <v>NA</v>
      </c>
    </row>
    <row r="3735" spans="1:12" x14ac:dyDescent="0.3">
      <c r="A3735" t="s">
        <v>872</v>
      </c>
      <c r="B3735" t="s">
        <v>256</v>
      </c>
      <c r="C3735" s="16" t="str">
        <f>VLOOKUP(Tabela1[[#This Row],[Cliente]],'BASE DE CLIENTES'!A:E,2,0)</f>
        <v>Luziânia</v>
      </c>
      <c r="D3735" s="16" t="str">
        <f>VLOOKUP(Tabela1[[#This Row],[Cliente]],'BASE DE CLIENTES'!A:C,3,0)</f>
        <v>GO</v>
      </c>
      <c r="E3735" s="16" t="str">
        <f>CONCATENATE(Tabela1[[#This Row],[CIDADE]],",",Tabela1[[#This Row],[UF]])</f>
        <v>Luziânia,GO</v>
      </c>
      <c r="F3735" s="15">
        <v>46045</v>
      </c>
      <c r="G3735">
        <v>0</v>
      </c>
      <c r="H3735">
        <v>45</v>
      </c>
      <c r="I3735" s="8">
        <f>Tabela1[[#This Row],[Valor total]]-Tabela1[[#This Row],[Valor custo]]</f>
        <v>45</v>
      </c>
      <c r="J3735" s="18">
        <f>Tabela1[[#This Row],[MARGEM BRUTA]]/Tabela1[[#This Row],[Valor total]]</f>
        <v>1</v>
      </c>
      <c r="K3735" s="16" t="str">
        <f>VLOOKUP(Tabela1[[#This Row],[Cliente]],'BASE DE CLIENTES'!A:D,4,0)</f>
        <v>SERRALHEIRO</v>
      </c>
      <c r="L3735" s="16" t="str">
        <f>VLOOKUP(Tabela1[[#This Row],[Cliente]],'BASE DE CLIENTES'!A:E,5,0)</f>
        <v>Luziânia</v>
      </c>
    </row>
    <row r="3736" spans="1:12" x14ac:dyDescent="0.3">
      <c r="A3736" t="s">
        <v>873</v>
      </c>
      <c r="B3736" t="s">
        <v>138</v>
      </c>
      <c r="C3736" s="16" t="str">
        <f>VLOOKUP(Tabela1[[#This Row],[Cliente]],'BASE DE CLIENTES'!A:E,2,0)</f>
        <v>Brasília</v>
      </c>
      <c r="D3736" s="16" t="str">
        <f>VLOOKUP(Tabela1[[#This Row],[Cliente]],'BASE DE CLIENTES'!A:C,3,0)</f>
        <v>DF</v>
      </c>
      <c r="E3736" s="16" t="str">
        <f>CONCATENATE(Tabela1[[#This Row],[CIDADE]],",",Tabela1[[#This Row],[UF]])</f>
        <v>Brasília,DF</v>
      </c>
      <c r="F3736" s="15">
        <v>46045</v>
      </c>
      <c r="G3736" s="10">
        <v>9600</v>
      </c>
      <c r="H3736" s="10">
        <v>13000</v>
      </c>
      <c r="I3736" s="8">
        <f>Tabela1[[#This Row],[Valor total]]-Tabela1[[#This Row],[Valor custo]]</f>
        <v>3400</v>
      </c>
      <c r="J3736" s="18">
        <f>Tabela1[[#This Row],[MARGEM BRUTA]]/Tabela1[[#This Row],[Valor total]]</f>
        <v>0.26153846153846155</v>
      </c>
      <c r="K3736" s="16" t="str">
        <f>VLOOKUP(Tabela1[[#This Row],[Cliente]],'BASE DE CLIENTES'!A:D,4,0)</f>
        <v>OUTROS RAMOS</v>
      </c>
      <c r="L3736" s="16" t="str">
        <f>VLOOKUP(Tabela1[[#This Row],[Cliente]],'BASE DE CLIENTES'!A:E,5,0)</f>
        <v>CEILANDIA NORTE (CEILANDIA)</v>
      </c>
    </row>
    <row r="3737" spans="1:12" x14ac:dyDescent="0.3">
      <c r="A3737" t="s">
        <v>874</v>
      </c>
      <c r="B3737" t="s">
        <v>27</v>
      </c>
      <c r="C3737" s="16" t="str">
        <f>VLOOKUP(Tabela1[[#This Row],[Cliente]],'BASE DE CLIENTES'!A:E,2,0)</f>
        <v>Brasília</v>
      </c>
      <c r="D3737" s="16" t="str">
        <f>VLOOKUP(Tabela1[[#This Row],[Cliente]],'BASE DE CLIENTES'!A:C,3,0)</f>
        <v>DF</v>
      </c>
      <c r="E3737" s="16" t="str">
        <f>CONCATENATE(Tabela1[[#This Row],[CIDADE]],",",Tabela1[[#This Row],[UF]])</f>
        <v>Brasília,DF</v>
      </c>
      <c r="F3737" s="15">
        <v>46045</v>
      </c>
      <c r="G3737" s="10">
        <v>1444</v>
      </c>
      <c r="H3737" s="10">
        <v>2460</v>
      </c>
      <c r="I3737" s="8">
        <f>Tabela1[[#This Row],[Valor total]]-Tabela1[[#This Row],[Valor custo]]</f>
        <v>1016</v>
      </c>
      <c r="J3737" s="18">
        <f>Tabela1[[#This Row],[MARGEM BRUTA]]/Tabela1[[#This Row],[Valor total]]</f>
        <v>0.41300813008130083</v>
      </c>
      <c r="K3737" s="16" t="str">
        <f>VLOOKUP(Tabela1[[#This Row],[Cliente]],'BASE DE CLIENTES'!A:D,4,0)</f>
        <v>EMPRESA SEM MAQUINA</v>
      </c>
      <c r="L3737" s="16" t="str">
        <f>VLOOKUP(Tabela1[[#This Row],[Cliente]],'BASE DE CLIENTES'!A:E,5,0)</f>
        <v>RECANTO DAS EMAS</v>
      </c>
    </row>
    <row r="3738" spans="1:12" x14ac:dyDescent="0.3">
      <c r="A3738" t="s">
        <v>875</v>
      </c>
      <c r="B3738" t="s">
        <v>19</v>
      </c>
      <c r="C3738" s="16" t="str">
        <f>VLOOKUP(Tabela1[[#This Row],[Cliente]],'BASE DE CLIENTES'!A:E,2,0)</f>
        <v>Águas Lindas de Goiás</v>
      </c>
      <c r="D3738" s="16" t="str">
        <f>VLOOKUP(Tabela1[[#This Row],[Cliente]],'BASE DE CLIENTES'!A:C,3,0)</f>
        <v>GO</v>
      </c>
      <c r="E3738" s="16" t="str">
        <f>CONCATENATE(Tabela1[[#This Row],[CIDADE]],",",Tabela1[[#This Row],[UF]])</f>
        <v>Águas Lindas de Goiás,GO</v>
      </c>
      <c r="F3738" s="15">
        <v>46045</v>
      </c>
      <c r="G3738">
        <v>900.54</v>
      </c>
      <c r="H3738" s="10">
        <v>1440</v>
      </c>
      <c r="I3738" s="8">
        <f>Tabela1[[#This Row],[Valor total]]-Tabela1[[#This Row],[Valor custo]]</f>
        <v>539.46</v>
      </c>
      <c r="J3738" s="18">
        <f>Tabela1[[#This Row],[MARGEM BRUTA]]/Tabela1[[#This Row],[Valor total]]</f>
        <v>0.37462500000000004</v>
      </c>
      <c r="K3738" s="16" t="str">
        <f>VLOOKUP(Tabela1[[#This Row],[Cliente]],'BASE DE CLIENTES'!A:D,4,0)</f>
        <v>SERRALHEIRO</v>
      </c>
      <c r="L3738" s="16" t="str">
        <f>VLOOKUP(Tabela1[[#This Row],[Cliente]],'BASE DE CLIENTES'!A:E,5,0)</f>
        <v>Águas Lindas de Goiás</v>
      </c>
    </row>
    <row r="3739" spans="1:12" x14ac:dyDescent="0.3">
      <c r="A3739" t="s">
        <v>876</v>
      </c>
      <c r="B3739" t="s">
        <v>120</v>
      </c>
      <c r="C3739" s="16" t="str">
        <f>VLOOKUP(Tabela1[[#This Row],[Cliente]],'BASE DE CLIENTES'!A:E,2,0)</f>
        <v>Brasília</v>
      </c>
      <c r="D3739" s="16" t="str">
        <f>VLOOKUP(Tabela1[[#This Row],[Cliente]],'BASE DE CLIENTES'!A:C,3,0)</f>
        <v>DF</v>
      </c>
      <c r="E3739" s="16" t="str">
        <f>CONCATENATE(Tabela1[[#This Row],[CIDADE]],",",Tabela1[[#This Row],[UF]])</f>
        <v>Brasília,DF</v>
      </c>
      <c r="F3739" s="15">
        <v>46045</v>
      </c>
      <c r="G3739">
        <v>361</v>
      </c>
      <c r="H3739">
        <v>615</v>
      </c>
      <c r="I3739" s="8">
        <f>Tabela1[[#This Row],[Valor total]]-Tabela1[[#This Row],[Valor custo]]</f>
        <v>254</v>
      </c>
      <c r="J3739" s="18">
        <f>Tabela1[[#This Row],[MARGEM BRUTA]]/Tabela1[[#This Row],[Valor total]]</f>
        <v>0.41300813008130083</v>
      </c>
      <c r="K3739" s="16" t="str">
        <f>VLOOKUP(Tabela1[[#This Row],[Cliente]],'BASE DE CLIENTES'!A:D,4,0)</f>
        <v>EMPRESA SEM MAQUINA</v>
      </c>
      <c r="L3739" s="16" t="str">
        <f>VLOOKUP(Tabela1[[#This Row],[Cliente]],'BASE DE CLIENTES'!A:E,5,0)</f>
        <v>SAMAMBAIA</v>
      </c>
    </row>
    <row r="3740" spans="1:12" x14ac:dyDescent="0.3">
      <c r="A3740" t="s">
        <v>877</v>
      </c>
      <c r="B3740" t="s">
        <v>27</v>
      </c>
      <c r="C3740" s="16" t="str">
        <f>VLOOKUP(Tabela1[[#This Row],[Cliente]],'BASE DE CLIENTES'!A:E,2,0)</f>
        <v>Brasília</v>
      </c>
      <c r="D3740" s="16" t="str">
        <f>VLOOKUP(Tabela1[[#This Row],[Cliente]],'BASE DE CLIENTES'!A:C,3,0)</f>
        <v>DF</v>
      </c>
      <c r="E3740" s="16" t="str">
        <f>CONCATENATE(Tabela1[[#This Row],[CIDADE]],",",Tabela1[[#This Row],[UF]])</f>
        <v>Brasília,DF</v>
      </c>
      <c r="F3740" s="15">
        <v>46045</v>
      </c>
      <c r="G3740">
        <v>808</v>
      </c>
      <c r="H3740" s="10">
        <v>1340</v>
      </c>
      <c r="I3740" s="8">
        <f>Tabela1[[#This Row],[Valor total]]-Tabela1[[#This Row],[Valor custo]]</f>
        <v>532</v>
      </c>
      <c r="J3740" s="18">
        <f>Tabela1[[#This Row],[MARGEM BRUTA]]/Tabela1[[#This Row],[Valor total]]</f>
        <v>0.39701492537313432</v>
      </c>
      <c r="K3740" s="16" t="str">
        <f>VLOOKUP(Tabela1[[#This Row],[Cliente]],'BASE DE CLIENTES'!A:D,4,0)</f>
        <v>EMPRESA SEM MAQUINA</v>
      </c>
      <c r="L3740" s="16" t="str">
        <f>VLOOKUP(Tabela1[[#This Row],[Cliente]],'BASE DE CLIENTES'!A:E,5,0)</f>
        <v>RECANTO DAS EMAS</v>
      </c>
    </row>
    <row r="3741" spans="1:12" x14ac:dyDescent="0.3">
      <c r="A3741" t="s">
        <v>878</v>
      </c>
      <c r="B3741" t="s">
        <v>109</v>
      </c>
      <c r="C3741" s="16" t="str">
        <f>VLOOKUP(Tabela1[[#This Row],[Cliente]],'BASE DE CLIENTES'!A:E,2,0)</f>
        <v>Águas Lindas de Goiás</v>
      </c>
      <c r="D3741" s="16" t="str">
        <f>VLOOKUP(Tabela1[[#This Row],[Cliente]],'BASE DE CLIENTES'!A:C,3,0)</f>
        <v>GO</v>
      </c>
      <c r="E3741" s="16" t="str">
        <f>CONCATENATE(Tabela1[[#This Row],[CIDADE]],",",Tabela1[[#This Row],[UF]])</f>
        <v>Águas Lindas de Goiás,GO</v>
      </c>
      <c r="F3741" s="15">
        <v>46045</v>
      </c>
      <c r="G3741">
        <v>300.18</v>
      </c>
      <c r="H3741">
        <v>600</v>
      </c>
      <c r="I3741" s="8">
        <f>Tabela1[[#This Row],[Valor total]]-Tabela1[[#This Row],[Valor custo]]</f>
        <v>299.82</v>
      </c>
      <c r="J3741" s="18">
        <f>Tabela1[[#This Row],[MARGEM BRUTA]]/Tabela1[[#This Row],[Valor total]]</f>
        <v>0.49969999999999998</v>
      </c>
      <c r="K3741" s="16" t="str">
        <f>VLOOKUP(Tabela1[[#This Row],[Cliente]],'BASE DE CLIENTES'!A:D,4,0)</f>
        <v>SERRALHEIRO</v>
      </c>
      <c r="L3741" s="16" t="str">
        <f>VLOOKUP(Tabela1[[#This Row],[Cliente]],'BASE DE CLIENTES'!A:E,5,0)</f>
        <v>Águas Lindas de Goiás</v>
      </c>
    </row>
    <row r="3742" spans="1:12" x14ac:dyDescent="0.3">
      <c r="A3742" t="s">
        <v>879</v>
      </c>
      <c r="B3742" t="s">
        <v>325</v>
      </c>
      <c r="C3742" s="16" t="str">
        <f>VLOOKUP(Tabela1[[#This Row],[Cliente]],'BASE DE CLIENTES'!A:E,2,0)</f>
        <v>Valparaíso de Goiás</v>
      </c>
      <c r="D3742" s="16" t="str">
        <f>VLOOKUP(Tabela1[[#This Row],[Cliente]],'BASE DE CLIENTES'!A:C,3,0)</f>
        <v>GO</v>
      </c>
      <c r="E3742" s="16" t="str">
        <f>CONCATENATE(Tabela1[[#This Row],[CIDADE]],",",Tabela1[[#This Row],[UF]])</f>
        <v>Valparaíso de Goiás,GO</v>
      </c>
      <c r="F3742" s="15">
        <v>46045</v>
      </c>
      <c r="G3742">
        <v>975.59</v>
      </c>
      <c r="H3742" s="10">
        <v>2350</v>
      </c>
      <c r="I3742" s="8">
        <f>Tabela1[[#This Row],[Valor total]]-Tabela1[[#This Row],[Valor custo]]</f>
        <v>1374.4099999999999</v>
      </c>
      <c r="J3742" s="18">
        <f>Tabela1[[#This Row],[MARGEM BRUTA]]/Tabela1[[#This Row],[Valor total]]</f>
        <v>0.58485531914893607</v>
      </c>
      <c r="K3742" s="16" t="str">
        <f>VLOOKUP(Tabela1[[#This Row],[Cliente]],'BASE DE CLIENTES'!A:D,4,0)</f>
        <v>SERRALHEIRO</v>
      </c>
      <c r="L3742" s="16" t="str">
        <f>VLOOKUP(Tabela1[[#This Row],[Cliente]],'BASE DE CLIENTES'!A:E,5,0)</f>
        <v>Valparaíso de Goiás</v>
      </c>
    </row>
    <row r="3743" spans="1:12" x14ac:dyDescent="0.3">
      <c r="A3743" t="s">
        <v>880</v>
      </c>
      <c r="B3743" t="s">
        <v>178</v>
      </c>
      <c r="C3743" s="16" t="str">
        <f>VLOOKUP(Tabela1[[#This Row],[Cliente]],'BASE DE CLIENTES'!A:E,2,0)</f>
        <v xml:space="preserve">Belém </v>
      </c>
      <c r="D3743" s="16" t="str">
        <f>VLOOKUP(Tabela1[[#This Row],[Cliente]],'BASE DE CLIENTES'!A:C,3,0)</f>
        <v>PA</v>
      </c>
      <c r="E3743" s="16" t="str">
        <f>CONCATENATE(Tabela1[[#This Row],[CIDADE]],",",Tabela1[[#This Row],[UF]])</f>
        <v>Belém ,PA</v>
      </c>
      <c r="F3743" s="15">
        <v>46045</v>
      </c>
      <c r="G3743" s="10">
        <v>12443.74</v>
      </c>
      <c r="H3743" s="10">
        <v>20620</v>
      </c>
      <c r="I3743" s="8">
        <f>Tabela1[[#This Row],[Valor total]]-Tabela1[[#This Row],[Valor custo]]</f>
        <v>8176.26</v>
      </c>
      <c r="J3743" s="18">
        <f>Tabela1[[#This Row],[MARGEM BRUTA]]/Tabela1[[#This Row],[Valor total]]</f>
        <v>0.39652085354025218</v>
      </c>
      <c r="K3743" s="16" t="str">
        <f>VLOOKUP(Tabela1[[#This Row],[Cliente]],'BASE DE CLIENTES'!A:D,4,0)</f>
        <v>EMPRESA COM MAQUINA</v>
      </c>
      <c r="L3743" s="16" t="str">
        <f>VLOOKUP(Tabela1[[#This Row],[Cliente]],'BASE DE CLIENTES'!A:E,5,0)</f>
        <v xml:space="preserve">Belém </v>
      </c>
    </row>
    <row r="3744" spans="1:12" x14ac:dyDescent="0.3">
      <c r="A3744" t="s">
        <v>881</v>
      </c>
      <c r="B3744" t="s">
        <v>311</v>
      </c>
      <c r="C3744" s="16" t="str">
        <f>VLOOKUP(Tabela1[[#This Row],[Cliente]],'BASE DE CLIENTES'!A:E,2,0)</f>
        <v>Uberlândia</v>
      </c>
      <c r="D3744" s="16" t="str">
        <f>VLOOKUP(Tabela1[[#This Row],[Cliente]],'BASE DE CLIENTES'!A:C,3,0)</f>
        <v>MG</v>
      </c>
      <c r="E3744" s="16" t="str">
        <f>CONCATENATE(Tabela1[[#This Row],[CIDADE]],",",Tabela1[[#This Row],[UF]])</f>
        <v>Uberlândia,MG</v>
      </c>
      <c r="F3744" s="15">
        <v>46045</v>
      </c>
      <c r="G3744" s="10">
        <v>52296.26</v>
      </c>
      <c r="H3744" s="10">
        <v>72000</v>
      </c>
      <c r="I3744" s="8">
        <f>Tabela1[[#This Row],[Valor total]]-Tabela1[[#This Row],[Valor custo]]</f>
        <v>19703.739999999998</v>
      </c>
      <c r="J3744" s="18">
        <f>Tabela1[[#This Row],[MARGEM BRUTA]]/Tabela1[[#This Row],[Valor total]]</f>
        <v>0.27366305555555553</v>
      </c>
      <c r="K3744" s="16" t="str">
        <f>VLOOKUP(Tabela1[[#This Row],[Cliente]],'BASE DE CLIENTES'!A:D,4,0)</f>
        <v>EMPRESA COM MAQUINA</v>
      </c>
      <c r="L3744" s="16" t="str">
        <f>VLOOKUP(Tabela1[[#This Row],[Cliente]],'BASE DE CLIENTES'!A:E,5,0)</f>
        <v>Uberlândia</v>
      </c>
    </row>
    <row r="3745" spans="1:12" x14ac:dyDescent="0.3">
      <c r="A3745" t="s">
        <v>882</v>
      </c>
      <c r="B3745" t="s">
        <v>70</v>
      </c>
      <c r="C3745" s="16" t="str">
        <f>VLOOKUP(Tabela1[[#This Row],[Cliente]],'BASE DE CLIENTES'!A:E,2,0)</f>
        <v>Brasília</v>
      </c>
      <c r="D3745" s="16" t="str">
        <f>VLOOKUP(Tabela1[[#This Row],[Cliente]],'BASE DE CLIENTES'!A:C,3,0)</f>
        <v>DF</v>
      </c>
      <c r="E3745" s="16" t="str">
        <f>CONCATENATE(Tabela1[[#This Row],[CIDADE]],",",Tabela1[[#This Row],[UF]])</f>
        <v>Brasília,DF</v>
      </c>
      <c r="F3745" s="15">
        <v>46045</v>
      </c>
      <c r="G3745">
        <v>450.27</v>
      </c>
      <c r="H3745">
        <v>645</v>
      </c>
      <c r="I3745" s="8">
        <f>Tabela1[[#This Row],[Valor total]]-Tabela1[[#This Row],[Valor custo]]</f>
        <v>194.73000000000002</v>
      </c>
      <c r="J3745" s="18">
        <f>Tabela1[[#This Row],[MARGEM BRUTA]]/Tabela1[[#This Row],[Valor total]]</f>
        <v>0.3019069767441861</v>
      </c>
      <c r="K3745" s="16" t="str">
        <f>VLOOKUP(Tabela1[[#This Row],[Cliente]],'BASE DE CLIENTES'!A:D,4,0)</f>
        <v>EMPRESA COM MAQUINA</v>
      </c>
      <c r="L3745" s="16" t="str">
        <f>VLOOKUP(Tabela1[[#This Row],[Cliente]],'BASE DE CLIENTES'!A:E,5,0)</f>
        <v>TAGUATINGA NORTE (TAGUATINGA)</v>
      </c>
    </row>
    <row r="3746" spans="1:12" x14ac:dyDescent="0.3">
      <c r="A3746" t="s">
        <v>883</v>
      </c>
      <c r="B3746" t="s">
        <v>52</v>
      </c>
      <c r="C3746" s="16" t="str">
        <f>VLOOKUP(Tabela1[[#This Row],[Cliente]],'BASE DE CLIENTES'!A:E,2,0)</f>
        <v>Brasília</v>
      </c>
      <c r="D3746" s="16" t="str">
        <f>VLOOKUP(Tabela1[[#This Row],[Cliente]],'BASE DE CLIENTES'!A:C,3,0)</f>
        <v>DF</v>
      </c>
      <c r="E3746" s="16" t="str">
        <f>CONCATENATE(Tabela1[[#This Row],[CIDADE]],",",Tabela1[[#This Row],[UF]])</f>
        <v>Brasília,DF</v>
      </c>
      <c r="F3746" s="15">
        <v>46045</v>
      </c>
      <c r="G3746">
        <v>555.34</v>
      </c>
      <c r="H3746">
        <v>880</v>
      </c>
      <c r="I3746" s="8">
        <f>Tabela1[[#This Row],[Valor total]]-Tabela1[[#This Row],[Valor custo]]</f>
        <v>324.65999999999997</v>
      </c>
      <c r="J3746" s="18">
        <f>Tabela1[[#This Row],[MARGEM BRUTA]]/Tabela1[[#This Row],[Valor total]]</f>
        <v>0.36893181818181814</v>
      </c>
      <c r="K3746" s="16" t="str">
        <f>VLOOKUP(Tabela1[[#This Row],[Cliente]],'BASE DE CLIENTES'!A:D,4,0)</f>
        <v>SERRALHEIRO</v>
      </c>
      <c r="L3746" s="16" t="str">
        <f>VLOOKUP(Tabela1[[#This Row],[Cliente]],'BASE DE CLIENTES'!A:E,5,0)</f>
        <v>Ceilândia Sul (Ceilândia)</v>
      </c>
    </row>
    <row r="3747" spans="1:12" x14ac:dyDescent="0.3">
      <c r="A3747" t="s">
        <v>884</v>
      </c>
      <c r="B3747" t="s">
        <v>42</v>
      </c>
      <c r="C3747" s="16" t="str">
        <f>VLOOKUP(Tabela1[[#This Row],[Cliente]],'BASE DE CLIENTES'!A:E,2,0)</f>
        <v>Brasília</v>
      </c>
      <c r="D3747" s="16" t="str">
        <f>VLOOKUP(Tabela1[[#This Row],[Cliente]],'BASE DE CLIENTES'!A:C,3,0)</f>
        <v>DF</v>
      </c>
      <c r="E3747" s="16" t="str">
        <f>CONCATENATE(Tabela1[[#This Row],[CIDADE]],",",Tabela1[[#This Row],[UF]])</f>
        <v>Brasília,DF</v>
      </c>
      <c r="F3747" s="15">
        <v>46044</v>
      </c>
      <c r="G3747">
        <v>722</v>
      </c>
      <c r="H3747" s="10">
        <v>1230</v>
      </c>
      <c r="I3747" s="8">
        <f>Tabela1[[#This Row],[Valor total]]-Tabela1[[#This Row],[Valor custo]]</f>
        <v>508</v>
      </c>
      <c r="J3747" s="18">
        <f>Tabela1[[#This Row],[MARGEM BRUTA]]/Tabela1[[#This Row],[Valor total]]</f>
        <v>0.41300813008130083</v>
      </c>
      <c r="K3747" s="16" t="str">
        <f>VLOOKUP(Tabela1[[#This Row],[Cliente]],'BASE DE CLIENTES'!A:D,4,0)</f>
        <v>EMPRESA SEM MAQUINA</v>
      </c>
      <c r="L3747" s="16" t="str">
        <f>VLOOKUP(Tabela1[[#This Row],[Cliente]],'BASE DE CLIENTES'!A:E,5,0)</f>
        <v>SAMAMBAIA</v>
      </c>
    </row>
    <row r="3748" spans="1:12" x14ac:dyDescent="0.3">
      <c r="A3748" t="s">
        <v>885</v>
      </c>
      <c r="B3748" t="s">
        <v>152</v>
      </c>
      <c r="C3748" s="16" t="str">
        <f>VLOOKUP(Tabela1[[#This Row],[Cliente]],'BASE DE CLIENTES'!A:E,2,0)</f>
        <v>Aparecida de Goiânia</v>
      </c>
      <c r="D3748" s="16" t="str">
        <f>VLOOKUP(Tabela1[[#This Row],[Cliente]],'BASE DE CLIENTES'!A:C,3,0)</f>
        <v>GO</v>
      </c>
      <c r="E3748" s="16" t="str">
        <f>CONCATENATE(Tabela1[[#This Row],[CIDADE]],",",Tabela1[[#This Row],[UF]])</f>
        <v>Aparecida de Goiânia,GO</v>
      </c>
      <c r="F3748" s="15">
        <v>46044</v>
      </c>
      <c r="G3748">
        <v>472.79</v>
      </c>
      <c r="H3748">
        <v>750</v>
      </c>
      <c r="I3748" s="8">
        <f>Tabela1[[#This Row],[Valor total]]-Tabela1[[#This Row],[Valor custo]]</f>
        <v>277.20999999999998</v>
      </c>
      <c r="J3748" s="18">
        <f>Tabela1[[#This Row],[MARGEM BRUTA]]/Tabela1[[#This Row],[Valor total]]</f>
        <v>0.36961333333333329</v>
      </c>
      <c r="K3748" s="16" t="str">
        <f>VLOOKUP(Tabela1[[#This Row],[Cliente]],'BASE DE CLIENTES'!A:D,4,0)</f>
        <v>TECNICO</v>
      </c>
      <c r="L3748" s="16" t="str">
        <f>VLOOKUP(Tabela1[[#This Row],[Cliente]],'BASE DE CLIENTES'!A:E,5,0)</f>
        <v>Aparecida de Goiânia</v>
      </c>
    </row>
    <row r="3749" spans="1:12" x14ac:dyDescent="0.3">
      <c r="A3749" t="s">
        <v>886</v>
      </c>
      <c r="B3749" t="s">
        <v>30</v>
      </c>
      <c r="C3749" s="16" t="str">
        <f>VLOOKUP(Tabela1[[#This Row],[Cliente]],'BASE DE CLIENTES'!A:E,2,0)</f>
        <v>Águas Lindas de Goiás</v>
      </c>
      <c r="D3749" s="16" t="str">
        <f>VLOOKUP(Tabela1[[#This Row],[Cliente]],'BASE DE CLIENTES'!A:C,3,0)</f>
        <v>GO</v>
      </c>
      <c r="E3749" s="16" t="str">
        <f>CONCATENATE(Tabela1[[#This Row],[CIDADE]],",",Tabela1[[#This Row],[UF]])</f>
        <v>Águas Lindas de Goiás,GO</v>
      </c>
      <c r="F3749" s="15">
        <v>46044</v>
      </c>
      <c r="G3749">
        <v>900.54</v>
      </c>
      <c r="H3749" s="10">
        <v>1305</v>
      </c>
      <c r="I3749" s="8">
        <f>Tabela1[[#This Row],[Valor total]]-Tabela1[[#This Row],[Valor custo]]</f>
        <v>404.46000000000004</v>
      </c>
      <c r="J3749" s="18">
        <f>Tabela1[[#This Row],[MARGEM BRUTA]]/Tabela1[[#This Row],[Valor total]]</f>
        <v>0.30993103448275866</v>
      </c>
      <c r="K3749" s="16" t="str">
        <f>VLOOKUP(Tabela1[[#This Row],[Cliente]],'BASE DE CLIENTES'!A:D,4,0)</f>
        <v>SERRALHEIRO</v>
      </c>
      <c r="L3749" s="16" t="str">
        <f>VLOOKUP(Tabela1[[#This Row],[Cliente]],'BASE DE CLIENTES'!A:E,5,0)</f>
        <v>Águas Lindas de Goiás</v>
      </c>
    </row>
    <row r="3750" spans="1:12" x14ac:dyDescent="0.3">
      <c r="A3750" t="s">
        <v>887</v>
      </c>
      <c r="B3750" t="s">
        <v>100</v>
      </c>
      <c r="C3750" s="16" t="str">
        <f>VLOOKUP(Tabela1[[#This Row],[Cliente]],'BASE DE CLIENTES'!A:E,2,0)</f>
        <v>Águas Lindas de Goiás</v>
      </c>
      <c r="D3750" s="16" t="str">
        <f>VLOOKUP(Tabela1[[#This Row],[Cliente]],'BASE DE CLIENTES'!A:C,3,0)</f>
        <v>GO</v>
      </c>
      <c r="E3750" s="16" t="str">
        <f>CONCATENATE(Tabela1[[#This Row],[CIDADE]],",",Tabela1[[#This Row],[UF]])</f>
        <v>Águas Lindas de Goiás,GO</v>
      </c>
      <c r="F3750" s="15">
        <v>46044</v>
      </c>
      <c r="G3750">
        <v>555.34</v>
      </c>
      <c r="H3750">
        <v>950</v>
      </c>
      <c r="I3750" s="8">
        <f>Tabela1[[#This Row],[Valor total]]-Tabela1[[#This Row],[Valor custo]]</f>
        <v>394.65999999999997</v>
      </c>
      <c r="J3750" s="18">
        <f>Tabela1[[#This Row],[MARGEM BRUTA]]/Tabela1[[#This Row],[Valor total]]</f>
        <v>0.41543157894736837</v>
      </c>
      <c r="K3750" s="16" t="str">
        <f>VLOOKUP(Tabela1[[#This Row],[Cliente]],'BASE DE CLIENTES'!A:D,4,0)</f>
        <v>EMPRESA SEM MAQUINA</v>
      </c>
      <c r="L3750" s="16" t="str">
        <f>VLOOKUP(Tabela1[[#This Row],[Cliente]],'BASE DE CLIENTES'!A:E,5,0)</f>
        <v>Águas Lindas de Goiás</v>
      </c>
    </row>
    <row r="3751" spans="1:12" x14ac:dyDescent="0.3">
      <c r="A3751" t="s">
        <v>888</v>
      </c>
      <c r="B3751" t="s">
        <v>139</v>
      </c>
      <c r="C3751" s="16" t="str">
        <f>VLOOKUP(Tabela1[[#This Row],[Cliente]],'BASE DE CLIENTES'!A:E,2,0)</f>
        <v>Brasília</v>
      </c>
      <c r="D3751" s="16" t="str">
        <f>VLOOKUP(Tabela1[[#This Row],[Cliente]],'BASE DE CLIENTES'!A:C,3,0)</f>
        <v>DF</v>
      </c>
      <c r="E3751" s="16" t="str">
        <f>CONCATENATE(Tabela1[[#This Row],[CIDADE]],",",Tabela1[[#This Row],[UF]])</f>
        <v>Brasília,DF</v>
      </c>
      <c r="F3751" s="15">
        <v>46044</v>
      </c>
      <c r="G3751" s="10">
        <v>1419.92</v>
      </c>
      <c r="H3751" s="10">
        <v>2390</v>
      </c>
      <c r="I3751" s="8">
        <f>Tabela1[[#This Row],[Valor total]]-Tabela1[[#This Row],[Valor custo]]</f>
        <v>970.07999999999993</v>
      </c>
      <c r="J3751" s="18">
        <f>Tabela1[[#This Row],[MARGEM BRUTA]]/Tabela1[[#This Row],[Valor total]]</f>
        <v>0.40589121338912132</v>
      </c>
      <c r="K3751" s="16" t="str">
        <f>VLOOKUP(Tabela1[[#This Row],[Cliente]],'BASE DE CLIENTES'!A:D,4,0)</f>
        <v>SEM CLASSIFICAÇÃO</v>
      </c>
      <c r="L3751" s="16" t="str">
        <f>VLOOKUP(Tabela1[[#This Row],[Cliente]],'BASE DE CLIENTES'!A:E,5,0)</f>
        <v>AREAL (AGUAS CLARAS)</v>
      </c>
    </row>
    <row r="3752" spans="1:12" x14ac:dyDescent="0.3">
      <c r="A3752" t="s">
        <v>889</v>
      </c>
      <c r="B3752" t="s">
        <v>66</v>
      </c>
      <c r="C3752" s="16" t="str">
        <f>VLOOKUP(Tabela1[[#This Row],[Cliente]],'BASE DE CLIENTES'!A:E,2,0)</f>
        <v>Águas Lindas de Goiás</v>
      </c>
      <c r="D3752" s="16" t="str">
        <f>VLOOKUP(Tabela1[[#This Row],[Cliente]],'BASE DE CLIENTES'!A:C,3,0)</f>
        <v>GO</v>
      </c>
      <c r="E3752" s="16" t="str">
        <f>CONCATENATE(Tabela1[[#This Row],[CIDADE]],",",Tabela1[[#This Row],[UF]])</f>
        <v>Águas Lindas de Goiás,GO</v>
      </c>
      <c r="F3752" s="15">
        <v>46044</v>
      </c>
      <c r="G3752">
        <v>556.30999999999995</v>
      </c>
      <c r="H3752">
        <v>960</v>
      </c>
      <c r="I3752" s="8">
        <f>Tabela1[[#This Row],[Valor total]]-Tabela1[[#This Row],[Valor custo]]</f>
        <v>403.69000000000005</v>
      </c>
      <c r="J3752" s="18">
        <f>Tabela1[[#This Row],[MARGEM BRUTA]]/Tabela1[[#This Row],[Valor total]]</f>
        <v>0.42051041666666672</v>
      </c>
      <c r="K3752" s="16" t="str">
        <f>VLOOKUP(Tabela1[[#This Row],[Cliente]],'BASE DE CLIENTES'!A:D,4,0)</f>
        <v>EMPRESA COM MAQUINA</v>
      </c>
      <c r="L3752" s="16" t="str">
        <f>VLOOKUP(Tabela1[[#This Row],[Cliente]],'BASE DE CLIENTES'!A:E,5,0)</f>
        <v>Águas Lindas de Goiás</v>
      </c>
    </row>
    <row r="3753" spans="1:12" x14ac:dyDescent="0.3">
      <c r="A3753" t="s">
        <v>890</v>
      </c>
      <c r="B3753" t="s">
        <v>117</v>
      </c>
      <c r="C3753" s="16" t="str">
        <f>VLOOKUP(Tabela1[[#This Row],[Cliente]],'BASE DE CLIENTES'!A:E,2,0)</f>
        <v>Brasília</v>
      </c>
      <c r="D3753" s="16" t="str">
        <f>VLOOKUP(Tabela1[[#This Row],[Cliente]],'BASE DE CLIENTES'!A:C,3,0)</f>
        <v>DF</v>
      </c>
      <c r="E3753" s="16" t="str">
        <f>CONCATENATE(Tabela1[[#This Row],[CIDADE]],",",Tabela1[[#This Row],[UF]])</f>
        <v>Brasília,DF</v>
      </c>
      <c r="F3753" s="15">
        <v>46044</v>
      </c>
      <c r="G3753">
        <v>90.06</v>
      </c>
      <c r="H3753">
        <v>160</v>
      </c>
      <c r="I3753" s="8">
        <f>Tabela1[[#This Row],[Valor total]]-Tabela1[[#This Row],[Valor custo]]</f>
        <v>69.94</v>
      </c>
      <c r="J3753" s="18">
        <f>Tabela1[[#This Row],[MARGEM BRUTA]]/Tabela1[[#This Row],[Valor total]]</f>
        <v>0.43712499999999999</v>
      </c>
      <c r="K3753" s="16" t="str">
        <f>VLOOKUP(Tabela1[[#This Row],[Cliente]],'BASE DE CLIENTES'!A:D,4,0)</f>
        <v>EMPRESA COM MAQUINA</v>
      </c>
      <c r="L3753" s="16" t="str">
        <f>VLOOKUP(Tabela1[[#This Row],[Cliente]],'BASE DE CLIENTES'!A:E,5,0)</f>
        <v>SETOR HABITACIONAL ARNIQUEIRA (AGUAS CLARAS)</v>
      </c>
    </row>
    <row r="3754" spans="1:12" x14ac:dyDescent="0.3">
      <c r="A3754" t="s">
        <v>891</v>
      </c>
      <c r="B3754" t="s">
        <v>256</v>
      </c>
      <c r="C3754" s="16" t="str">
        <f>VLOOKUP(Tabela1[[#This Row],[Cliente]],'BASE DE CLIENTES'!A:E,2,0)</f>
        <v>Luziânia</v>
      </c>
      <c r="D3754" s="16" t="str">
        <f>VLOOKUP(Tabela1[[#This Row],[Cliente]],'BASE DE CLIENTES'!A:C,3,0)</f>
        <v>GO</v>
      </c>
      <c r="E3754" s="16" t="str">
        <f>CONCATENATE(Tabela1[[#This Row],[CIDADE]],",",Tabela1[[#This Row],[UF]])</f>
        <v>Luziânia,GO</v>
      </c>
      <c r="F3754" s="15">
        <v>46044</v>
      </c>
      <c r="G3754">
        <v>769.21</v>
      </c>
      <c r="H3754" s="10">
        <v>1150</v>
      </c>
      <c r="I3754" s="8">
        <f>Tabela1[[#This Row],[Valor total]]-Tabela1[[#This Row],[Valor custo]]</f>
        <v>380.78999999999996</v>
      </c>
      <c r="J3754" s="18">
        <f>Tabela1[[#This Row],[MARGEM BRUTA]]/Tabela1[[#This Row],[Valor total]]</f>
        <v>0.33112173913043474</v>
      </c>
      <c r="K3754" s="16" t="str">
        <f>VLOOKUP(Tabela1[[#This Row],[Cliente]],'BASE DE CLIENTES'!A:D,4,0)</f>
        <v>SERRALHEIRO</v>
      </c>
      <c r="L3754" s="16" t="str">
        <f>VLOOKUP(Tabela1[[#This Row],[Cliente]],'BASE DE CLIENTES'!A:E,5,0)</f>
        <v>Luziânia</v>
      </c>
    </row>
    <row r="3755" spans="1:12" x14ac:dyDescent="0.3">
      <c r="A3755" t="s">
        <v>892</v>
      </c>
      <c r="B3755" t="s">
        <v>38</v>
      </c>
      <c r="C3755" s="16" t="str">
        <f>VLOOKUP(Tabela1[[#This Row],[Cliente]],'BASE DE CLIENTES'!A:E,2,0)</f>
        <v>Brasília</v>
      </c>
      <c r="D3755" s="16" t="str">
        <f>VLOOKUP(Tabela1[[#This Row],[Cliente]],'BASE DE CLIENTES'!A:C,3,0)</f>
        <v>DF</v>
      </c>
      <c r="E3755" s="16" t="str">
        <f>CONCATENATE(Tabela1[[#This Row],[CIDADE]],",",Tabela1[[#This Row],[UF]])</f>
        <v>Brasília,DF</v>
      </c>
      <c r="F3755" s="15">
        <v>46044</v>
      </c>
      <c r="G3755" s="10">
        <v>5270.52</v>
      </c>
      <c r="H3755" s="10">
        <v>8010</v>
      </c>
      <c r="I3755" s="8">
        <f>Tabela1[[#This Row],[Valor total]]-Tabela1[[#This Row],[Valor custo]]</f>
        <v>2739.4799999999996</v>
      </c>
      <c r="J3755" s="18">
        <f>Tabela1[[#This Row],[MARGEM BRUTA]]/Tabela1[[#This Row],[Valor total]]</f>
        <v>0.34200749063670405</v>
      </c>
      <c r="K3755" s="16" t="str">
        <f>VLOOKUP(Tabela1[[#This Row],[Cliente]],'BASE DE CLIENTES'!A:D,4,0)</f>
        <v>EMPRESA SEM MAQUINA</v>
      </c>
      <c r="L3755" s="16" t="str">
        <f>VLOOKUP(Tabela1[[#This Row],[Cliente]],'BASE DE CLIENTES'!A:E,5,0)</f>
        <v>PONTE ALTA NORTE (GAMA)</v>
      </c>
    </row>
    <row r="3756" spans="1:12" x14ac:dyDescent="0.3">
      <c r="A3756" t="s">
        <v>893</v>
      </c>
      <c r="B3756" t="s">
        <v>27</v>
      </c>
      <c r="C3756" s="16" t="str">
        <f>VLOOKUP(Tabela1[[#This Row],[Cliente]],'BASE DE CLIENTES'!A:E,2,0)</f>
        <v>Brasília</v>
      </c>
      <c r="D3756" s="16" t="str">
        <f>VLOOKUP(Tabela1[[#This Row],[Cliente]],'BASE DE CLIENTES'!A:C,3,0)</f>
        <v>DF</v>
      </c>
      <c r="E3756" s="16" t="str">
        <f>CONCATENATE(Tabela1[[#This Row],[CIDADE]],",",Tabela1[[#This Row],[UF]])</f>
        <v>Brasília,DF</v>
      </c>
      <c r="F3756" s="15">
        <v>46044</v>
      </c>
      <c r="G3756">
        <v>22.53</v>
      </c>
      <c r="H3756">
        <v>75</v>
      </c>
      <c r="I3756" s="8">
        <f>Tabela1[[#This Row],[Valor total]]-Tabela1[[#This Row],[Valor custo]]</f>
        <v>52.47</v>
      </c>
      <c r="J3756" s="18">
        <f>Tabela1[[#This Row],[MARGEM BRUTA]]/Tabela1[[#This Row],[Valor total]]</f>
        <v>0.6996</v>
      </c>
      <c r="K3756" s="16" t="str">
        <f>VLOOKUP(Tabela1[[#This Row],[Cliente]],'BASE DE CLIENTES'!A:D,4,0)</f>
        <v>EMPRESA SEM MAQUINA</v>
      </c>
      <c r="L3756" s="16" t="str">
        <f>VLOOKUP(Tabela1[[#This Row],[Cliente]],'BASE DE CLIENTES'!A:E,5,0)</f>
        <v>RECANTO DAS EMAS</v>
      </c>
    </row>
    <row r="3757" spans="1:12" x14ac:dyDescent="0.3">
      <c r="A3757" t="s">
        <v>894</v>
      </c>
      <c r="B3757" t="s">
        <v>27</v>
      </c>
      <c r="C3757" s="16" t="str">
        <f>VLOOKUP(Tabela1[[#This Row],[Cliente]],'BASE DE CLIENTES'!A:E,2,0)</f>
        <v>Brasília</v>
      </c>
      <c r="D3757" s="16" t="str">
        <f>VLOOKUP(Tabela1[[#This Row],[Cliente]],'BASE DE CLIENTES'!A:C,3,0)</f>
        <v>DF</v>
      </c>
      <c r="E3757" s="16" t="str">
        <f>CONCATENATE(Tabela1[[#This Row],[CIDADE]],",",Tabela1[[#This Row],[UF]])</f>
        <v>Brasília,DF</v>
      </c>
      <c r="F3757" s="15">
        <v>46044</v>
      </c>
      <c r="G3757">
        <v>337.38</v>
      </c>
      <c r="H3757">
        <v>546</v>
      </c>
      <c r="I3757" s="8">
        <f>Tabela1[[#This Row],[Valor total]]-Tabela1[[#This Row],[Valor custo]]</f>
        <v>208.62</v>
      </c>
      <c r="J3757" s="18">
        <f>Tabela1[[#This Row],[MARGEM BRUTA]]/Tabela1[[#This Row],[Valor total]]</f>
        <v>0.3820879120879121</v>
      </c>
      <c r="K3757" s="16" t="str">
        <f>VLOOKUP(Tabela1[[#This Row],[Cliente]],'BASE DE CLIENTES'!A:D,4,0)</f>
        <v>EMPRESA SEM MAQUINA</v>
      </c>
      <c r="L3757" s="16" t="str">
        <f>VLOOKUP(Tabela1[[#This Row],[Cliente]],'BASE DE CLIENTES'!A:E,5,0)</f>
        <v>RECANTO DAS EMAS</v>
      </c>
    </row>
    <row r="3758" spans="1:12" x14ac:dyDescent="0.3">
      <c r="A3758" t="s">
        <v>895</v>
      </c>
      <c r="B3758" t="s">
        <v>152</v>
      </c>
      <c r="C3758" s="16" t="str">
        <f>VLOOKUP(Tabela1[[#This Row],[Cliente]],'BASE DE CLIENTES'!A:E,2,0)</f>
        <v>Aparecida de Goiânia</v>
      </c>
      <c r="D3758" s="16" t="str">
        <f>VLOOKUP(Tabela1[[#This Row],[Cliente]],'BASE DE CLIENTES'!A:C,3,0)</f>
        <v>GO</v>
      </c>
      <c r="E3758" s="16" t="str">
        <f>CONCATENATE(Tabela1[[#This Row],[CIDADE]],",",Tabela1[[#This Row],[UF]])</f>
        <v>Aparecida de Goiânia,GO</v>
      </c>
      <c r="F3758" s="15">
        <v>46044</v>
      </c>
      <c r="G3758">
        <v>300.18</v>
      </c>
      <c r="H3758">
        <v>550</v>
      </c>
      <c r="I3758" s="8">
        <f>Tabela1[[#This Row],[Valor total]]-Tabela1[[#This Row],[Valor custo]]</f>
        <v>249.82</v>
      </c>
      <c r="J3758" s="18">
        <f>Tabela1[[#This Row],[MARGEM BRUTA]]/Tabela1[[#This Row],[Valor total]]</f>
        <v>0.4542181818181818</v>
      </c>
      <c r="K3758" s="16" t="str">
        <f>VLOOKUP(Tabela1[[#This Row],[Cliente]],'BASE DE CLIENTES'!A:D,4,0)</f>
        <v>TECNICO</v>
      </c>
      <c r="L3758" s="16" t="str">
        <f>VLOOKUP(Tabela1[[#This Row],[Cliente]],'BASE DE CLIENTES'!A:E,5,0)</f>
        <v>Aparecida de Goiânia</v>
      </c>
    </row>
    <row r="3759" spans="1:12" x14ac:dyDescent="0.3">
      <c r="A3759" t="s">
        <v>896</v>
      </c>
      <c r="B3759" t="s">
        <v>25</v>
      </c>
      <c r="C3759" s="16" t="str">
        <f>VLOOKUP(Tabela1[[#This Row],[Cliente]],'BASE DE CLIENTES'!A:E,2,0)</f>
        <v>Brasília</v>
      </c>
      <c r="D3759" s="16" t="str">
        <f>VLOOKUP(Tabela1[[#This Row],[Cliente]],'BASE DE CLIENTES'!A:C,3,0)</f>
        <v>DF</v>
      </c>
      <c r="E3759" s="16" t="str">
        <f>CONCATENATE(Tabela1[[#This Row],[CIDADE]],",",Tabela1[[#This Row],[UF]])</f>
        <v>Brasília,DF</v>
      </c>
      <c r="F3759" s="15">
        <v>46044</v>
      </c>
      <c r="G3759">
        <v>495.3</v>
      </c>
      <c r="H3759">
        <v>660</v>
      </c>
      <c r="I3759" s="8">
        <f>Tabela1[[#This Row],[Valor total]]-Tabela1[[#This Row],[Valor custo]]</f>
        <v>164.7</v>
      </c>
      <c r="J3759" s="18">
        <f>Tabela1[[#This Row],[MARGEM BRUTA]]/Tabela1[[#This Row],[Valor total]]</f>
        <v>0.24954545454545451</v>
      </c>
      <c r="K3759" s="16" t="str">
        <f>VLOOKUP(Tabela1[[#This Row],[Cliente]],'BASE DE CLIENTES'!A:D,4,0)</f>
        <v>EMPRESA COM MAQUINA</v>
      </c>
      <c r="L3759" s="16" t="str">
        <f>VLOOKUP(Tabela1[[#This Row],[Cliente]],'BASE DE CLIENTES'!A:E,5,0)</f>
        <v>CEILANDIA NORTE (CEILANDIA)</v>
      </c>
    </row>
    <row r="3760" spans="1:12" x14ac:dyDescent="0.3">
      <c r="A3760" t="s">
        <v>897</v>
      </c>
      <c r="B3760" t="s">
        <v>17</v>
      </c>
      <c r="C3760" s="16" t="str">
        <f>VLOOKUP(Tabela1[[#This Row],[Cliente]],'BASE DE CLIENTES'!A:E,2,0)</f>
        <v>Águas Lindas de Goiás</v>
      </c>
      <c r="D3760" s="16" t="str">
        <f>VLOOKUP(Tabela1[[#This Row],[Cliente]],'BASE DE CLIENTES'!A:C,3,0)</f>
        <v>GO</v>
      </c>
      <c r="E3760" s="16" t="str">
        <f>CONCATENATE(Tabela1[[#This Row],[CIDADE]],",",Tabela1[[#This Row],[UF]])</f>
        <v>Águas Lindas de Goiás,GO</v>
      </c>
      <c r="F3760" s="15">
        <v>46044</v>
      </c>
      <c r="G3760">
        <v>37.549999999999997</v>
      </c>
      <c r="H3760">
        <v>150</v>
      </c>
      <c r="I3760" s="8">
        <f>Tabela1[[#This Row],[Valor total]]-Tabela1[[#This Row],[Valor custo]]</f>
        <v>112.45</v>
      </c>
      <c r="J3760" s="18">
        <f>Tabela1[[#This Row],[MARGEM BRUTA]]/Tabela1[[#This Row],[Valor total]]</f>
        <v>0.7496666666666667</v>
      </c>
      <c r="K3760" s="16" t="str">
        <f>VLOOKUP(Tabela1[[#This Row],[Cliente]],'BASE DE CLIENTES'!A:D,4,0)</f>
        <v>SERRALHEIRO</v>
      </c>
      <c r="L3760" s="16" t="str">
        <f>VLOOKUP(Tabela1[[#This Row],[Cliente]],'BASE DE CLIENTES'!A:E,5,0)</f>
        <v>Águas Lindas de Goiás</v>
      </c>
    </row>
    <row r="3761" spans="1:12" x14ac:dyDescent="0.3">
      <c r="A3761" t="s">
        <v>898</v>
      </c>
      <c r="B3761" t="s">
        <v>321</v>
      </c>
      <c r="C3761" s="16" t="str">
        <f>VLOOKUP(Tabela1[[#This Row],[Cliente]],'BASE DE CLIENTES'!A:E,2,0)</f>
        <v>Valparaíso de Goiás</v>
      </c>
      <c r="D3761" s="16" t="str">
        <f>VLOOKUP(Tabela1[[#This Row],[Cliente]],'BASE DE CLIENTES'!A:C,3,0)</f>
        <v>GO</v>
      </c>
      <c r="E3761" s="16" t="str">
        <f>CONCATENATE(Tabela1[[#This Row],[CIDADE]],",",Tabela1[[#This Row],[UF]])</f>
        <v>Valparaíso de Goiás,GO</v>
      </c>
      <c r="F3761" s="15">
        <v>46044</v>
      </c>
      <c r="G3761" s="10">
        <v>2141.92</v>
      </c>
      <c r="H3761" s="10">
        <v>3410</v>
      </c>
      <c r="I3761" s="8">
        <f>Tabela1[[#This Row],[Valor total]]-Tabela1[[#This Row],[Valor custo]]</f>
        <v>1268.08</v>
      </c>
      <c r="J3761" s="18">
        <f>Tabela1[[#This Row],[MARGEM BRUTA]]/Tabela1[[#This Row],[Valor total]]</f>
        <v>0.37187096774193545</v>
      </c>
      <c r="K3761" s="16" t="str">
        <f>VLOOKUP(Tabela1[[#This Row],[Cliente]],'BASE DE CLIENTES'!A:D,4,0)</f>
        <v>EMPRESA COM MAQUINA</v>
      </c>
      <c r="L3761" s="16" t="str">
        <f>VLOOKUP(Tabela1[[#This Row],[Cliente]],'BASE DE CLIENTES'!A:E,5,0)</f>
        <v>Valparaíso de Goiás</v>
      </c>
    </row>
    <row r="3762" spans="1:12" x14ac:dyDescent="0.3">
      <c r="A3762" t="s">
        <v>899</v>
      </c>
      <c r="B3762" t="s">
        <v>70</v>
      </c>
      <c r="C3762" s="16" t="str">
        <f>VLOOKUP(Tabela1[[#This Row],[Cliente]],'BASE DE CLIENTES'!A:E,2,0)</f>
        <v>Brasília</v>
      </c>
      <c r="D3762" s="16" t="str">
        <f>VLOOKUP(Tabela1[[#This Row],[Cliente]],'BASE DE CLIENTES'!A:C,3,0)</f>
        <v>DF</v>
      </c>
      <c r="E3762" s="16" t="str">
        <f>CONCATENATE(Tabela1[[#This Row],[CIDADE]],",",Tabela1[[#This Row],[UF]])</f>
        <v>Brasília,DF</v>
      </c>
      <c r="F3762" s="15">
        <v>46044</v>
      </c>
      <c r="G3762">
        <v>45.6</v>
      </c>
      <c r="H3762">
        <v>115</v>
      </c>
      <c r="I3762" s="8">
        <f>Tabela1[[#This Row],[Valor total]]-Tabela1[[#This Row],[Valor custo]]</f>
        <v>69.400000000000006</v>
      </c>
      <c r="J3762" s="18">
        <f>Tabela1[[#This Row],[MARGEM BRUTA]]/Tabela1[[#This Row],[Valor total]]</f>
        <v>0.60347826086956524</v>
      </c>
      <c r="K3762" s="16" t="str">
        <f>VLOOKUP(Tabela1[[#This Row],[Cliente]],'BASE DE CLIENTES'!A:D,4,0)</f>
        <v>EMPRESA COM MAQUINA</v>
      </c>
      <c r="L3762" s="16" t="str">
        <f>VLOOKUP(Tabela1[[#This Row],[Cliente]],'BASE DE CLIENTES'!A:E,5,0)</f>
        <v>TAGUATINGA NORTE (TAGUATINGA)</v>
      </c>
    </row>
    <row r="3763" spans="1:12" x14ac:dyDescent="0.3">
      <c r="A3763" t="s">
        <v>900</v>
      </c>
      <c r="B3763" t="s">
        <v>152</v>
      </c>
      <c r="C3763" s="16" t="str">
        <f>VLOOKUP(Tabela1[[#This Row],[Cliente]],'BASE DE CLIENTES'!A:E,2,0)</f>
        <v>Aparecida de Goiânia</v>
      </c>
      <c r="D3763" s="16" t="str">
        <f>VLOOKUP(Tabela1[[#This Row],[Cliente]],'BASE DE CLIENTES'!A:C,3,0)</f>
        <v>GO</v>
      </c>
      <c r="E3763" s="16" t="str">
        <f>CONCATENATE(Tabela1[[#This Row],[CIDADE]],",",Tabela1[[#This Row],[UF]])</f>
        <v>Aparecida de Goiânia,GO</v>
      </c>
      <c r="F3763" s="15">
        <v>46044</v>
      </c>
      <c r="G3763">
        <v>300.18</v>
      </c>
      <c r="H3763">
        <v>550</v>
      </c>
      <c r="I3763" s="8">
        <f>Tabela1[[#This Row],[Valor total]]-Tabela1[[#This Row],[Valor custo]]</f>
        <v>249.82</v>
      </c>
      <c r="J3763" s="18">
        <f>Tabela1[[#This Row],[MARGEM BRUTA]]/Tabela1[[#This Row],[Valor total]]</f>
        <v>0.4542181818181818</v>
      </c>
      <c r="K3763" s="16" t="str">
        <f>VLOOKUP(Tabela1[[#This Row],[Cliente]],'BASE DE CLIENTES'!A:D,4,0)</f>
        <v>TECNICO</v>
      </c>
      <c r="L3763" s="16" t="str">
        <f>VLOOKUP(Tabela1[[#This Row],[Cliente]],'BASE DE CLIENTES'!A:E,5,0)</f>
        <v>Aparecida de Goiânia</v>
      </c>
    </row>
    <row r="3764" spans="1:12" x14ac:dyDescent="0.3">
      <c r="A3764" t="s">
        <v>901</v>
      </c>
      <c r="B3764" t="s">
        <v>152</v>
      </c>
      <c r="C3764" s="16" t="str">
        <f>VLOOKUP(Tabela1[[#This Row],[Cliente]],'BASE DE CLIENTES'!A:E,2,0)</f>
        <v>Aparecida de Goiânia</v>
      </c>
      <c r="D3764" s="16" t="str">
        <f>VLOOKUP(Tabela1[[#This Row],[Cliente]],'BASE DE CLIENTES'!A:C,3,0)</f>
        <v>GO</v>
      </c>
      <c r="E3764" s="16" t="str">
        <f>CONCATENATE(Tabela1[[#This Row],[CIDADE]],",",Tabela1[[#This Row],[UF]])</f>
        <v>Aparecida de Goiânia,GO</v>
      </c>
      <c r="F3764" s="15">
        <v>46044</v>
      </c>
      <c r="G3764">
        <v>250</v>
      </c>
      <c r="H3764">
        <v>300</v>
      </c>
      <c r="I3764" s="8">
        <f>Tabela1[[#This Row],[Valor total]]-Tabela1[[#This Row],[Valor custo]]</f>
        <v>50</v>
      </c>
      <c r="J3764" s="18">
        <f>Tabela1[[#This Row],[MARGEM BRUTA]]/Tabela1[[#This Row],[Valor total]]</f>
        <v>0.16666666666666666</v>
      </c>
      <c r="K3764" s="16" t="str">
        <f>VLOOKUP(Tabela1[[#This Row],[Cliente]],'BASE DE CLIENTES'!A:D,4,0)</f>
        <v>TECNICO</v>
      </c>
      <c r="L3764" s="16" t="str">
        <f>VLOOKUP(Tabela1[[#This Row],[Cliente]],'BASE DE CLIENTES'!A:E,5,0)</f>
        <v>Aparecida de Goiânia</v>
      </c>
    </row>
    <row r="3765" spans="1:12" x14ac:dyDescent="0.3">
      <c r="A3765" t="s">
        <v>902</v>
      </c>
      <c r="B3765" t="s">
        <v>152</v>
      </c>
      <c r="C3765" s="16" t="str">
        <f>VLOOKUP(Tabela1[[#This Row],[Cliente]],'BASE DE CLIENTES'!A:E,2,0)</f>
        <v>Aparecida de Goiânia</v>
      </c>
      <c r="D3765" s="16" t="str">
        <f>VLOOKUP(Tabela1[[#This Row],[Cliente]],'BASE DE CLIENTES'!A:C,3,0)</f>
        <v>GO</v>
      </c>
      <c r="E3765" s="16" t="str">
        <f>CONCATENATE(Tabela1[[#This Row],[CIDADE]],",",Tabela1[[#This Row],[UF]])</f>
        <v>Aparecida de Goiânia,GO</v>
      </c>
      <c r="F3765" s="15">
        <v>46044</v>
      </c>
      <c r="G3765" s="10">
        <v>1583.47</v>
      </c>
      <c r="H3765" s="10">
        <v>2265</v>
      </c>
      <c r="I3765" s="8">
        <f>Tabela1[[#This Row],[Valor total]]-Tabela1[[#This Row],[Valor custo]]</f>
        <v>681.53</v>
      </c>
      <c r="J3765" s="18">
        <f>Tabela1[[#This Row],[MARGEM BRUTA]]/Tabela1[[#This Row],[Valor total]]</f>
        <v>0.30089624724061809</v>
      </c>
      <c r="K3765" s="16" t="str">
        <f>VLOOKUP(Tabela1[[#This Row],[Cliente]],'BASE DE CLIENTES'!A:D,4,0)</f>
        <v>TECNICO</v>
      </c>
      <c r="L3765" s="16" t="str">
        <f>VLOOKUP(Tabela1[[#This Row],[Cliente]],'BASE DE CLIENTES'!A:E,5,0)</f>
        <v>Aparecida de Goiânia</v>
      </c>
    </row>
    <row r="3766" spans="1:12" x14ac:dyDescent="0.3">
      <c r="A3766" t="s">
        <v>903</v>
      </c>
      <c r="B3766" t="s">
        <v>152</v>
      </c>
      <c r="C3766" s="16" t="str">
        <f>VLOOKUP(Tabela1[[#This Row],[Cliente]],'BASE DE CLIENTES'!A:E,2,0)</f>
        <v>Aparecida de Goiânia</v>
      </c>
      <c r="D3766" s="16" t="str">
        <f>VLOOKUP(Tabela1[[#This Row],[Cliente]],'BASE DE CLIENTES'!A:C,3,0)</f>
        <v>GO</v>
      </c>
      <c r="E3766" s="16" t="str">
        <f>CONCATENATE(Tabela1[[#This Row],[CIDADE]],",",Tabela1[[#This Row],[UF]])</f>
        <v>Aparecida de Goiânia,GO</v>
      </c>
      <c r="F3766" s="15">
        <v>46043</v>
      </c>
      <c r="G3766">
        <v>472.79</v>
      </c>
      <c r="H3766">
        <v>685</v>
      </c>
      <c r="I3766" s="8">
        <f>Tabela1[[#This Row],[Valor total]]-Tabela1[[#This Row],[Valor custo]]</f>
        <v>212.20999999999998</v>
      </c>
      <c r="J3766" s="18">
        <f>Tabela1[[#This Row],[MARGEM BRUTA]]/Tabela1[[#This Row],[Valor total]]</f>
        <v>0.30979562043795617</v>
      </c>
      <c r="K3766" s="16" t="str">
        <f>VLOOKUP(Tabela1[[#This Row],[Cliente]],'BASE DE CLIENTES'!A:D,4,0)</f>
        <v>TECNICO</v>
      </c>
      <c r="L3766" s="16" t="str">
        <f>VLOOKUP(Tabela1[[#This Row],[Cliente]],'BASE DE CLIENTES'!A:E,5,0)</f>
        <v>Aparecida de Goiânia</v>
      </c>
    </row>
    <row r="3767" spans="1:12" x14ac:dyDescent="0.3">
      <c r="A3767" t="s">
        <v>904</v>
      </c>
      <c r="B3767" t="s">
        <v>179</v>
      </c>
      <c r="C3767" s="16" t="str">
        <f>VLOOKUP(Tabela1[[#This Row],[Cliente]],'BASE DE CLIENTES'!A:E,2,0)</f>
        <v>Brasilândia de Minas</v>
      </c>
      <c r="D3767" s="16" t="str">
        <f>VLOOKUP(Tabela1[[#This Row],[Cliente]],'BASE DE CLIENTES'!A:C,3,0)</f>
        <v>MG</v>
      </c>
      <c r="E3767" s="16" t="str">
        <f>CONCATENATE(Tabela1[[#This Row],[CIDADE]],",",Tabela1[[#This Row],[UF]])</f>
        <v>Brasilândia de Minas,MG</v>
      </c>
      <c r="F3767" s="15">
        <v>46044</v>
      </c>
      <c r="G3767">
        <v>539.5</v>
      </c>
      <c r="H3767">
        <v>928</v>
      </c>
      <c r="I3767" s="8">
        <f>Tabela1[[#This Row],[Valor total]]-Tabela1[[#This Row],[Valor custo]]</f>
        <v>388.5</v>
      </c>
      <c r="J3767" s="18">
        <f>Tabela1[[#This Row],[MARGEM BRUTA]]/Tabela1[[#This Row],[Valor total]]</f>
        <v>0.41864224137931033</v>
      </c>
      <c r="K3767" s="16" t="str">
        <f>VLOOKUP(Tabela1[[#This Row],[Cliente]],'BASE DE CLIENTES'!A:D,4,0)</f>
        <v>EMPRESA SEM MAQUINA</v>
      </c>
      <c r="L3767" s="16" t="str">
        <f>VLOOKUP(Tabela1[[#This Row],[Cliente]],'BASE DE CLIENTES'!A:E,5,0)</f>
        <v>Brasilândia de Minas</v>
      </c>
    </row>
    <row r="3768" spans="1:12" x14ac:dyDescent="0.3">
      <c r="A3768" t="s">
        <v>905</v>
      </c>
      <c r="B3768" t="s">
        <v>264</v>
      </c>
      <c r="C3768" s="16" t="str">
        <f>VLOOKUP(Tabela1[[#This Row],[Cliente]],'BASE DE CLIENTES'!A:E,2,0)</f>
        <v>Brasília</v>
      </c>
      <c r="D3768" s="16" t="str">
        <f>VLOOKUP(Tabela1[[#This Row],[Cliente]],'BASE DE CLIENTES'!A:C,3,0)</f>
        <v>DF</v>
      </c>
      <c r="E3768" s="16" t="str">
        <f>CONCATENATE(Tabela1[[#This Row],[CIDADE]],",",Tabela1[[#This Row],[UF]])</f>
        <v>Brasília,DF</v>
      </c>
      <c r="F3768" s="15">
        <v>46043</v>
      </c>
      <c r="G3768">
        <v>15.34</v>
      </c>
      <c r="H3768">
        <v>20</v>
      </c>
      <c r="I3768" s="8">
        <f>Tabela1[[#This Row],[Valor total]]-Tabela1[[#This Row],[Valor custo]]</f>
        <v>4.66</v>
      </c>
      <c r="J3768" s="18">
        <f>Tabela1[[#This Row],[MARGEM BRUTA]]/Tabela1[[#This Row],[Valor total]]</f>
        <v>0.23300000000000001</v>
      </c>
      <c r="K3768" s="16" t="str">
        <f>VLOOKUP(Tabela1[[#This Row],[Cliente]],'BASE DE CLIENTES'!A:D,4,0)</f>
        <v>SERRALHEIRO</v>
      </c>
      <c r="L3768" s="16" t="str">
        <f>VLOOKUP(Tabela1[[#This Row],[Cliente]],'BASE DE CLIENTES'!A:E,5,0)</f>
        <v>Recanto das emas</v>
      </c>
    </row>
    <row r="3769" spans="1:12" x14ac:dyDescent="0.3">
      <c r="A3769" t="s">
        <v>906</v>
      </c>
      <c r="B3769" t="s">
        <v>120</v>
      </c>
      <c r="C3769" s="16" t="str">
        <f>VLOOKUP(Tabela1[[#This Row],[Cliente]],'BASE DE CLIENTES'!A:E,2,0)</f>
        <v>Brasília</v>
      </c>
      <c r="D3769" s="16" t="str">
        <f>VLOOKUP(Tabela1[[#This Row],[Cliente]],'BASE DE CLIENTES'!A:C,3,0)</f>
        <v>DF</v>
      </c>
      <c r="E3769" s="16" t="str">
        <f>CONCATENATE(Tabela1[[#This Row],[CIDADE]],",",Tabela1[[#This Row],[UF]])</f>
        <v>Brasília,DF</v>
      </c>
      <c r="F3769" s="15">
        <v>46043</v>
      </c>
      <c r="G3769">
        <v>495.3</v>
      </c>
      <c r="H3769">
        <v>810</v>
      </c>
      <c r="I3769" s="8">
        <f>Tabela1[[#This Row],[Valor total]]-Tabela1[[#This Row],[Valor custo]]</f>
        <v>314.7</v>
      </c>
      <c r="J3769" s="18">
        <f>Tabela1[[#This Row],[MARGEM BRUTA]]/Tabela1[[#This Row],[Valor total]]</f>
        <v>0.38851851851851849</v>
      </c>
      <c r="K3769" s="16" t="str">
        <f>VLOOKUP(Tabela1[[#This Row],[Cliente]],'BASE DE CLIENTES'!A:D,4,0)</f>
        <v>EMPRESA SEM MAQUINA</v>
      </c>
      <c r="L3769" s="16" t="str">
        <f>VLOOKUP(Tabela1[[#This Row],[Cliente]],'BASE DE CLIENTES'!A:E,5,0)</f>
        <v>SAMAMBAIA</v>
      </c>
    </row>
    <row r="3770" spans="1:12" x14ac:dyDescent="0.3">
      <c r="A3770" t="s">
        <v>907</v>
      </c>
      <c r="B3770" t="s">
        <v>149</v>
      </c>
      <c r="C3770" s="16" t="str">
        <f>VLOOKUP(Tabela1[[#This Row],[Cliente]],'BASE DE CLIENTES'!A:E,2,0)</f>
        <v>Anápolis</v>
      </c>
      <c r="D3770" s="16" t="str">
        <f>VLOOKUP(Tabela1[[#This Row],[Cliente]],'BASE DE CLIENTES'!A:C,3,0)</f>
        <v>GO</v>
      </c>
      <c r="E3770" s="16" t="str">
        <f>CONCATENATE(Tabela1[[#This Row],[CIDADE]],",",Tabela1[[#This Row],[UF]])</f>
        <v>Anápolis,GO</v>
      </c>
      <c r="F3770" s="15">
        <v>46043</v>
      </c>
      <c r="G3770" s="10">
        <v>1267.68</v>
      </c>
      <c r="H3770" s="10">
        <v>1920</v>
      </c>
      <c r="I3770" s="8">
        <f>Tabela1[[#This Row],[Valor total]]-Tabela1[[#This Row],[Valor custo]]</f>
        <v>652.31999999999994</v>
      </c>
      <c r="J3770" s="18">
        <f>Tabela1[[#This Row],[MARGEM BRUTA]]/Tabela1[[#This Row],[Valor total]]</f>
        <v>0.33974999999999994</v>
      </c>
      <c r="K3770" s="16" t="str">
        <f>VLOOKUP(Tabela1[[#This Row],[Cliente]],'BASE DE CLIENTES'!A:D,4,0)</f>
        <v>EMPRESA COM MAQUINA</v>
      </c>
      <c r="L3770" s="16" t="str">
        <f>VLOOKUP(Tabela1[[#This Row],[Cliente]],'BASE DE CLIENTES'!A:E,5,0)</f>
        <v>Anápolis</v>
      </c>
    </row>
    <row r="3771" spans="1:12" x14ac:dyDescent="0.3">
      <c r="A3771" t="s">
        <v>908</v>
      </c>
      <c r="B3771" t="s">
        <v>152</v>
      </c>
      <c r="C3771" s="16" t="str">
        <f>VLOOKUP(Tabela1[[#This Row],[Cliente]],'BASE DE CLIENTES'!A:E,2,0)</f>
        <v>Aparecida de Goiânia</v>
      </c>
      <c r="D3771" s="16" t="str">
        <f>VLOOKUP(Tabela1[[#This Row],[Cliente]],'BASE DE CLIENTES'!A:C,3,0)</f>
        <v>GO</v>
      </c>
      <c r="E3771" s="16" t="str">
        <f>CONCATENATE(Tabela1[[#This Row],[CIDADE]],",",Tabela1[[#This Row],[UF]])</f>
        <v>Aparecida de Goiânia,GO</v>
      </c>
      <c r="F3771" s="15">
        <v>46042</v>
      </c>
      <c r="G3771">
        <v>300.18</v>
      </c>
      <c r="H3771">
        <v>550</v>
      </c>
      <c r="I3771" s="8">
        <f>Tabela1[[#This Row],[Valor total]]-Tabela1[[#This Row],[Valor custo]]</f>
        <v>249.82</v>
      </c>
      <c r="J3771" s="18">
        <f>Tabela1[[#This Row],[MARGEM BRUTA]]/Tabela1[[#This Row],[Valor total]]</f>
        <v>0.4542181818181818</v>
      </c>
      <c r="K3771" s="16" t="str">
        <f>VLOOKUP(Tabela1[[#This Row],[Cliente]],'BASE DE CLIENTES'!A:D,4,0)</f>
        <v>TECNICO</v>
      </c>
      <c r="L3771" s="16" t="str">
        <f>VLOOKUP(Tabela1[[#This Row],[Cliente]],'BASE DE CLIENTES'!A:E,5,0)</f>
        <v>Aparecida de Goiânia</v>
      </c>
    </row>
    <row r="3772" spans="1:12" x14ac:dyDescent="0.3">
      <c r="A3772" t="s">
        <v>909</v>
      </c>
      <c r="B3772" t="s">
        <v>68</v>
      </c>
      <c r="C3772" s="16" t="str">
        <f>VLOOKUP(Tabela1[[#This Row],[Cliente]],'BASE DE CLIENTES'!A:E,2,0)</f>
        <v>Brasília</v>
      </c>
      <c r="D3772" s="16" t="str">
        <f>VLOOKUP(Tabela1[[#This Row],[Cliente]],'BASE DE CLIENTES'!A:C,3,0)</f>
        <v>DF</v>
      </c>
      <c r="E3772" s="16" t="str">
        <f>CONCATENATE(Tabela1[[#This Row],[CIDADE]],",",Tabela1[[#This Row],[UF]])</f>
        <v>Brasília,DF</v>
      </c>
      <c r="F3772" s="15">
        <v>46043</v>
      </c>
      <c r="G3772" s="10">
        <v>1861.12</v>
      </c>
      <c r="H3772" s="10">
        <v>2525</v>
      </c>
      <c r="I3772" s="8">
        <f>Tabela1[[#This Row],[Valor total]]-Tabela1[[#This Row],[Valor custo]]</f>
        <v>663.88000000000011</v>
      </c>
      <c r="J3772" s="18">
        <f>Tabela1[[#This Row],[MARGEM BRUTA]]/Tabela1[[#This Row],[Valor total]]</f>
        <v>0.26292277227722777</v>
      </c>
      <c r="K3772" s="16" t="str">
        <f>VLOOKUP(Tabela1[[#This Row],[Cliente]],'BASE DE CLIENTES'!A:D,4,0)</f>
        <v>EMPRESA COM MAQUINA</v>
      </c>
      <c r="L3772" s="16" t="str">
        <f>VLOOKUP(Tabela1[[#This Row],[Cliente]],'BASE DE CLIENTES'!A:E,5,0)</f>
        <v>SAMAMBAIA SUL (SAMAMBAIA)</v>
      </c>
    </row>
    <row r="3773" spans="1:12" x14ac:dyDescent="0.3">
      <c r="A3773" t="s">
        <v>910</v>
      </c>
      <c r="B3773" t="s">
        <v>76</v>
      </c>
      <c r="C3773" s="16" t="str">
        <f>VLOOKUP(Tabela1[[#This Row],[Cliente]],'BASE DE CLIENTES'!A:E,2,0)</f>
        <v>Brasília</v>
      </c>
      <c r="D3773" s="16" t="str">
        <f>VLOOKUP(Tabela1[[#This Row],[Cliente]],'BASE DE CLIENTES'!A:C,3,0)</f>
        <v>DF</v>
      </c>
      <c r="E3773" s="16" t="str">
        <f>CONCATENATE(Tabela1[[#This Row],[CIDADE]],",",Tabela1[[#This Row],[UF]])</f>
        <v>Brasília,DF</v>
      </c>
      <c r="F3773" s="15">
        <v>46043</v>
      </c>
      <c r="G3773">
        <v>375.5</v>
      </c>
      <c r="H3773">
        <v>750</v>
      </c>
      <c r="I3773" s="8">
        <f>Tabela1[[#This Row],[Valor total]]-Tabela1[[#This Row],[Valor custo]]</f>
        <v>374.5</v>
      </c>
      <c r="J3773" s="18">
        <f>Tabela1[[#This Row],[MARGEM BRUTA]]/Tabela1[[#This Row],[Valor total]]</f>
        <v>0.49933333333333335</v>
      </c>
      <c r="K3773" s="16" t="str">
        <f>VLOOKUP(Tabela1[[#This Row],[Cliente]],'BASE DE CLIENTES'!A:D,4,0)</f>
        <v>EMPRESA COM MAQUINA</v>
      </c>
      <c r="L3773" s="16" t="str">
        <f>VLOOKUP(Tabela1[[#This Row],[Cliente]],'BASE DE CLIENTES'!A:E,5,0)</f>
        <v>Setor Placa da Mercedes (Núcleo Bandeirante)</v>
      </c>
    </row>
    <row r="3774" spans="1:12" x14ac:dyDescent="0.3">
      <c r="A3774" t="s">
        <v>911</v>
      </c>
      <c r="B3774" t="s">
        <v>773</v>
      </c>
      <c r="C3774" s="16" t="str">
        <f>VLOOKUP(Tabela1[[#This Row],[Cliente]],'BASE DE CLIENTES'!A:E,2,0)</f>
        <v>Brasília</v>
      </c>
      <c r="D3774" s="16" t="str">
        <f>VLOOKUP(Tabela1[[#This Row],[Cliente]],'BASE DE CLIENTES'!A:C,3,0)</f>
        <v>DF</v>
      </c>
      <c r="E3774" s="16" t="str">
        <f>CONCATENATE(Tabela1[[#This Row],[CIDADE]],",",Tabela1[[#This Row],[UF]])</f>
        <v>Brasília,DF</v>
      </c>
      <c r="F3774" s="15">
        <v>46043</v>
      </c>
      <c r="G3774">
        <v>300.18</v>
      </c>
      <c r="H3774">
        <v>550</v>
      </c>
      <c r="I3774" s="8">
        <f>Tabela1[[#This Row],[Valor total]]-Tabela1[[#This Row],[Valor custo]]</f>
        <v>249.82</v>
      </c>
      <c r="J3774" s="18">
        <f>Tabela1[[#This Row],[MARGEM BRUTA]]/Tabela1[[#This Row],[Valor total]]</f>
        <v>0.4542181818181818</v>
      </c>
      <c r="K3774" s="16" t="str">
        <f>VLOOKUP(Tabela1[[#This Row],[Cliente]],'BASE DE CLIENTES'!A:D,4,0)</f>
        <v>CLIENTE NOVO S/ IDENT.</v>
      </c>
      <c r="L3774" s="16" t="str">
        <f>VLOOKUP(Tabela1[[#This Row],[Cliente]],'BASE DE CLIENTES'!A:E,5,0)</f>
        <v>Itapoã</v>
      </c>
    </row>
    <row r="3775" spans="1:12" x14ac:dyDescent="0.3">
      <c r="A3775" t="s">
        <v>912</v>
      </c>
      <c r="B3775" t="s">
        <v>153</v>
      </c>
      <c r="C3775" s="16" t="str">
        <f>VLOOKUP(Tabela1[[#This Row],[Cliente]],'BASE DE CLIENTES'!A:E,2,0)</f>
        <v>Brasília</v>
      </c>
      <c r="D3775" s="16" t="str">
        <f>VLOOKUP(Tabela1[[#This Row],[Cliente]],'BASE DE CLIENTES'!A:C,3,0)</f>
        <v>DF</v>
      </c>
      <c r="E3775" s="16" t="str">
        <f>CONCATENATE(Tabela1[[#This Row],[CIDADE]],",",Tabela1[[#This Row],[UF]])</f>
        <v>Brasília,DF</v>
      </c>
      <c r="F3775" s="15">
        <v>46043</v>
      </c>
      <c r="G3775">
        <v>928.65</v>
      </c>
      <c r="H3775" s="10">
        <v>1450</v>
      </c>
      <c r="I3775" s="8">
        <f>Tabela1[[#This Row],[Valor total]]-Tabela1[[#This Row],[Valor custo]]</f>
        <v>521.35</v>
      </c>
      <c r="J3775" s="18">
        <f>Tabela1[[#This Row],[MARGEM BRUTA]]/Tabela1[[#This Row],[Valor total]]</f>
        <v>0.35955172413793107</v>
      </c>
      <c r="K3775" s="16" t="str">
        <f>VLOOKUP(Tabela1[[#This Row],[Cliente]],'BASE DE CLIENTES'!A:D,4,0)</f>
        <v>SERRALHEIRO</v>
      </c>
      <c r="L3775" s="16" t="str">
        <f>VLOOKUP(Tabela1[[#This Row],[Cliente]],'BASE DE CLIENTES'!A:E,5,0)</f>
        <v>PLANALTINA</v>
      </c>
    </row>
    <row r="3776" spans="1:12" x14ac:dyDescent="0.3">
      <c r="A3776" t="s">
        <v>913</v>
      </c>
      <c r="B3776" t="s">
        <v>296</v>
      </c>
      <c r="C3776" s="16" t="str">
        <f>VLOOKUP(Tabela1[[#This Row],[Cliente]],'BASE DE CLIENTES'!A:E,2,0)</f>
        <v>Santo Antônio Descoberto</v>
      </c>
      <c r="D3776" s="16" t="str">
        <f>VLOOKUP(Tabela1[[#This Row],[Cliente]],'BASE DE CLIENTES'!A:C,3,0)</f>
        <v>GO</v>
      </c>
      <c r="E3776" s="16" t="str">
        <f>CONCATENATE(Tabela1[[#This Row],[CIDADE]],",",Tabela1[[#This Row],[UF]])</f>
        <v>Santo Antônio Descoberto,GO</v>
      </c>
      <c r="F3776" s="15">
        <v>46043</v>
      </c>
      <c r="G3776">
        <v>575.5</v>
      </c>
      <c r="H3776">
        <v>400</v>
      </c>
      <c r="I3776" s="8">
        <f>Tabela1[[#This Row],[Valor total]]-Tabela1[[#This Row],[Valor custo]]</f>
        <v>-175.5</v>
      </c>
      <c r="J3776" s="18">
        <f>Tabela1[[#This Row],[MARGEM BRUTA]]/Tabela1[[#This Row],[Valor total]]</f>
        <v>-0.43874999999999997</v>
      </c>
      <c r="K3776" s="16" t="str">
        <f>VLOOKUP(Tabela1[[#This Row],[Cliente]],'BASE DE CLIENTES'!A:D,4,0)</f>
        <v>EMPRESA COM MAQUINA</v>
      </c>
      <c r="L3776" s="16" t="str">
        <f>VLOOKUP(Tabela1[[#This Row],[Cliente]],'BASE DE CLIENTES'!A:E,5,0)</f>
        <v>Santo Antônio Descoberto</v>
      </c>
    </row>
    <row r="3777" spans="1:12" x14ac:dyDescent="0.3">
      <c r="A3777" t="s">
        <v>914</v>
      </c>
      <c r="B3777" t="s">
        <v>342</v>
      </c>
      <c r="C3777" s="16" t="str">
        <f>VLOOKUP(Tabela1[[#This Row],[Cliente]],'BASE DE CLIENTES'!A:E,2,0)</f>
        <v>Santo Antônio Descoberto</v>
      </c>
      <c r="D3777" s="16" t="str">
        <f>VLOOKUP(Tabela1[[#This Row],[Cliente]],'BASE DE CLIENTES'!A:C,3,0)</f>
        <v>GO</v>
      </c>
      <c r="E3777" s="16" t="str">
        <f>CONCATENATE(Tabela1[[#This Row],[CIDADE]],",",Tabela1[[#This Row],[UF]])</f>
        <v>Santo Antônio Descoberto,GO</v>
      </c>
      <c r="F3777" s="15">
        <v>46043</v>
      </c>
      <c r="G3777">
        <v>48</v>
      </c>
      <c r="H3777">
        <v>50</v>
      </c>
      <c r="I3777" s="8">
        <f>Tabela1[[#This Row],[Valor total]]-Tabela1[[#This Row],[Valor custo]]</f>
        <v>2</v>
      </c>
      <c r="J3777" s="18">
        <f>Tabela1[[#This Row],[MARGEM BRUTA]]/Tabela1[[#This Row],[Valor total]]</f>
        <v>0.04</v>
      </c>
      <c r="K3777" s="16" t="str">
        <f>VLOOKUP(Tabela1[[#This Row],[Cliente]],'BASE DE CLIENTES'!A:D,4,0)</f>
        <v>CLIENTE NOVO S/ IDENT.</v>
      </c>
      <c r="L3777" s="16" t="str">
        <f>VLOOKUP(Tabela1[[#This Row],[Cliente]],'BASE DE CLIENTES'!A:E,5,0)</f>
        <v>Santo Antônio Descoberto</v>
      </c>
    </row>
    <row r="3778" spans="1:12" x14ac:dyDescent="0.3">
      <c r="A3778" t="s">
        <v>915</v>
      </c>
      <c r="B3778" t="s">
        <v>342</v>
      </c>
      <c r="C3778" s="16" t="str">
        <f>VLOOKUP(Tabela1[[#This Row],[Cliente]],'BASE DE CLIENTES'!A:E,2,0)</f>
        <v>Santo Antônio Descoberto</v>
      </c>
      <c r="D3778" s="16" t="str">
        <f>VLOOKUP(Tabela1[[#This Row],[Cliente]],'BASE DE CLIENTES'!A:C,3,0)</f>
        <v>GO</v>
      </c>
      <c r="E3778" s="16" t="str">
        <f>CONCATENATE(Tabela1[[#This Row],[CIDADE]],",",Tabela1[[#This Row],[UF]])</f>
        <v>Santo Antônio Descoberto,GO</v>
      </c>
      <c r="F3778" s="15">
        <v>46043</v>
      </c>
      <c r="G3778">
        <v>30.49</v>
      </c>
      <c r="H3778">
        <v>45</v>
      </c>
      <c r="I3778" s="8">
        <f>Tabela1[[#This Row],[Valor total]]-Tabela1[[#This Row],[Valor custo]]</f>
        <v>14.510000000000002</v>
      </c>
      <c r="J3778" s="18">
        <f>Tabela1[[#This Row],[MARGEM BRUTA]]/Tabela1[[#This Row],[Valor total]]</f>
        <v>0.32244444444444448</v>
      </c>
      <c r="K3778" s="16" t="str">
        <f>VLOOKUP(Tabela1[[#This Row],[Cliente]],'BASE DE CLIENTES'!A:D,4,0)</f>
        <v>CLIENTE NOVO S/ IDENT.</v>
      </c>
      <c r="L3778" s="16" t="str">
        <f>VLOOKUP(Tabela1[[#This Row],[Cliente]],'BASE DE CLIENTES'!A:E,5,0)</f>
        <v>Santo Antônio Descoberto</v>
      </c>
    </row>
    <row r="3779" spans="1:12" x14ac:dyDescent="0.3">
      <c r="A3779" t="s">
        <v>916</v>
      </c>
      <c r="B3779" t="s">
        <v>36</v>
      </c>
      <c r="C3779" s="16" t="str">
        <f>VLOOKUP(Tabela1[[#This Row],[Cliente]],'BASE DE CLIENTES'!A:E,2,0)</f>
        <v>Brasília</v>
      </c>
      <c r="D3779" s="16" t="str">
        <f>VLOOKUP(Tabela1[[#This Row],[Cliente]],'BASE DE CLIENTES'!A:C,3,0)</f>
        <v>DF</v>
      </c>
      <c r="E3779" s="16" t="str">
        <f>CONCATENATE(Tabela1[[#This Row],[CIDADE]],",",Tabela1[[#This Row],[UF]])</f>
        <v>Brasília,DF</v>
      </c>
      <c r="F3779" s="15">
        <v>46043</v>
      </c>
      <c r="G3779">
        <v>180</v>
      </c>
      <c r="H3779">
        <v>400</v>
      </c>
      <c r="I3779" s="8">
        <f>Tabela1[[#This Row],[Valor total]]-Tabela1[[#This Row],[Valor custo]]</f>
        <v>220</v>
      </c>
      <c r="J3779" s="18">
        <f>Tabela1[[#This Row],[MARGEM BRUTA]]/Tabela1[[#This Row],[Valor total]]</f>
        <v>0.55000000000000004</v>
      </c>
      <c r="K3779" s="16" t="str">
        <f>VLOOKUP(Tabela1[[#This Row],[Cliente]],'BASE DE CLIENTES'!A:D,4,0)</f>
        <v>SERRALHEIRO</v>
      </c>
      <c r="L3779" s="16" t="str">
        <f>VLOOKUP(Tabela1[[#This Row],[Cliente]],'BASE DE CLIENTES'!A:E,5,0)</f>
        <v>CEILANDIA SUL (CEILANDIA)</v>
      </c>
    </row>
    <row r="3780" spans="1:12" x14ac:dyDescent="0.3">
      <c r="A3780" t="s">
        <v>917</v>
      </c>
      <c r="B3780" t="s">
        <v>342</v>
      </c>
      <c r="C3780" s="16" t="str">
        <f>VLOOKUP(Tabela1[[#This Row],[Cliente]],'BASE DE CLIENTES'!A:E,2,0)</f>
        <v>Santo Antônio Descoberto</v>
      </c>
      <c r="D3780" s="16" t="str">
        <f>VLOOKUP(Tabela1[[#This Row],[Cliente]],'BASE DE CLIENTES'!A:C,3,0)</f>
        <v>GO</v>
      </c>
      <c r="E3780" s="16" t="str">
        <f>CONCATENATE(Tabela1[[#This Row],[CIDADE]],",",Tabela1[[#This Row],[UF]])</f>
        <v>Santo Antônio Descoberto,GO</v>
      </c>
      <c r="F3780" s="15">
        <v>46043</v>
      </c>
      <c r="G3780" s="10">
        <v>1163.2</v>
      </c>
      <c r="H3780" s="10">
        <v>1650</v>
      </c>
      <c r="I3780" s="8">
        <f>Tabela1[[#This Row],[Valor total]]-Tabela1[[#This Row],[Valor custo]]</f>
        <v>486.79999999999995</v>
      </c>
      <c r="J3780" s="18">
        <f>Tabela1[[#This Row],[MARGEM BRUTA]]/Tabela1[[#This Row],[Valor total]]</f>
        <v>0.29503030303030298</v>
      </c>
      <c r="K3780" s="16" t="str">
        <f>VLOOKUP(Tabela1[[#This Row],[Cliente]],'BASE DE CLIENTES'!A:D,4,0)</f>
        <v>CLIENTE NOVO S/ IDENT.</v>
      </c>
      <c r="L3780" s="16" t="str">
        <f>VLOOKUP(Tabela1[[#This Row],[Cliente]],'BASE DE CLIENTES'!A:E,5,0)</f>
        <v>Santo Antônio Descoberto</v>
      </c>
    </row>
    <row r="3781" spans="1:12" x14ac:dyDescent="0.3">
      <c r="A3781" t="s">
        <v>918</v>
      </c>
      <c r="B3781" t="s">
        <v>199</v>
      </c>
      <c r="C3781" s="16" t="str">
        <f>VLOOKUP(Tabela1[[#This Row],[Cliente]],'BASE DE CLIENTES'!A:E,2,0)</f>
        <v>Goiânia</v>
      </c>
      <c r="D3781" s="16" t="str">
        <f>VLOOKUP(Tabela1[[#This Row],[Cliente]],'BASE DE CLIENTES'!A:C,3,0)</f>
        <v>GO</v>
      </c>
      <c r="E3781" s="16" t="str">
        <f>CONCATENATE(Tabela1[[#This Row],[CIDADE]],",",Tabela1[[#This Row],[UF]])</f>
        <v>Goiânia,GO</v>
      </c>
      <c r="F3781" s="15">
        <v>46043</v>
      </c>
      <c r="G3781" s="10">
        <v>2884.08</v>
      </c>
      <c r="H3781" s="10">
        <v>4250</v>
      </c>
      <c r="I3781" s="8">
        <f>Tabela1[[#This Row],[Valor total]]-Tabela1[[#This Row],[Valor custo]]</f>
        <v>1365.92</v>
      </c>
      <c r="J3781" s="18">
        <f>Tabela1[[#This Row],[MARGEM BRUTA]]/Tabela1[[#This Row],[Valor total]]</f>
        <v>0.3213929411764706</v>
      </c>
      <c r="K3781" s="16" t="str">
        <f>VLOOKUP(Tabela1[[#This Row],[Cliente]],'BASE DE CLIENTES'!A:D,4,0)</f>
        <v>EMPRESA COM MAQUINA</v>
      </c>
      <c r="L3781" s="16" t="str">
        <f>VLOOKUP(Tabela1[[#This Row],[Cliente]],'BASE DE CLIENTES'!A:E,5,0)</f>
        <v>Goiânia</v>
      </c>
    </row>
    <row r="3782" spans="1:12" x14ac:dyDescent="0.3">
      <c r="A3782" t="s">
        <v>919</v>
      </c>
      <c r="B3782" t="s">
        <v>327</v>
      </c>
      <c r="C3782" s="16" t="str">
        <f>VLOOKUP(Tabela1[[#This Row],[Cliente]],'BASE DE CLIENTES'!A:E,2,0)</f>
        <v>Brasília</v>
      </c>
      <c r="D3782" s="16" t="str">
        <f>VLOOKUP(Tabela1[[#This Row],[Cliente]],'BASE DE CLIENTES'!A:C,3,0)</f>
        <v>DF</v>
      </c>
      <c r="E3782" s="16" t="str">
        <f>CONCATENATE(Tabela1[[#This Row],[CIDADE]],",",Tabela1[[#This Row],[UF]])</f>
        <v>Brasília,DF</v>
      </c>
      <c r="F3782" s="15">
        <v>46043</v>
      </c>
      <c r="G3782">
        <v>450.27</v>
      </c>
      <c r="H3782">
        <v>0</v>
      </c>
      <c r="I3782" s="8">
        <f>Tabela1[[#This Row],[Valor total]]-Tabela1[[#This Row],[Valor custo]]</f>
        <v>-450.27</v>
      </c>
      <c r="J3782" s="18" t="e">
        <f>Tabela1[[#This Row],[MARGEM BRUTA]]/Tabela1[[#This Row],[Valor total]]</f>
        <v>#DIV/0!</v>
      </c>
      <c r="K3782" s="16" t="str">
        <f>VLOOKUP(Tabela1[[#This Row],[Cliente]],'BASE DE CLIENTES'!A:D,4,0)</f>
        <v>SERRALHEIRO</v>
      </c>
      <c r="L3782" s="16" t="str">
        <f>VLOOKUP(Tabela1[[#This Row],[Cliente]],'BASE DE CLIENTES'!A:E,5,0)</f>
        <v>NA</v>
      </c>
    </row>
    <row r="3783" spans="1:12" x14ac:dyDescent="0.3">
      <c r="A3783" t="s">
        <v>920</v>
      </c>
      <c r="B3783" t="s">
        <v>27</v>
      </c>
      <c r="C3783" s="16" t="str">
        <f>VLOOKUP(Tabela1[[#This Row],[Cliente]],'BASE DE CLIENTES'!A:E,2,0)</f>
        <v>Brasília</v>
      </c>
      <c r="D3783" s="16" t="str">
        <f>VLOOKUP(Tabela1[[#This Row],[Cliente]],'BASE DE CLIENTES'!A:C,3,0)</f>
        <v>DF</v>
      </c>
      <c r="E3783" s="16" t="str">
        <f>CONCATENATE(Tabela1[[#This Row],[CIDADE]],",",Tabela1[[#This Row],[UF]])</f>
        <v>Brasília,DF</v>
      </c>
      <c r="F3783" s="15">
        <v>46043</v>
      </c>
      <c r="G3783">
        <v>722</v>
      </c>
      <c r="H3783" s="10">
        <v>1230</v>
      </c>
      <c r="I3783" s="8">
        <f>Tabela1[[#This Row],[Valor total]]-Tabela1[[#This Row],[Valor custo]]</f>
        <v>508</v>
      </c>
      <c r="J3783" s="18">
        <f>Tabela1[[#This Row],[MARGEM BRUTA]]/Tabela1[[#This Row],[Valor total]]</f>
        <v>0.41300813008130083</v>
      </c>
      <c r="K3783" s="16" t="str">
        <f>VLOOKUP(Tabela1[[#This Row],[Cliente]],'BASE DE CLIENTES'!A:D,4,0)</f>
        <v>EMPRESA SEM MAQUINA</v>
      </c>
      <c r="L3783" s="16" t="str">
        <f>VLOOKUP(Tabela1[[#This Row],[Cliente]],'BASE DE CLIENTES'!A:E,5,0)</f>
        <v>RECANTO DAS EMAS</v>
      </c>
    </row>
    <row r="3784" spans="1:12" x14ac:dyDescent="0.3">
      <c r="A3784" t="s">
        <v>921</v>
      </c>
      <c r="B3784" t="s">
        <v>216</v>
      </c>
      <c r="C3784" s="16" t="str">
        <f>VLOOKUP(Tabela1[[#This Row],[Cliente]],'BASE DE CLIENTES'!A:E,2,0)</f>
        <v>Brasília</v>
      </c>
      <c r="D3784" s="16" t="str">
        <f>VLOOKUP(Tabela1[[#This Row],[Cliente]],'BASE DE CLIENTES'!A:C,3,0)</f>
        <v>DF</v>
      </c>
      <c r="E3784" s="16" t="str">
        <f>CONCATENATE(Tabela1[[#This Row],[CIDADE]],",",Tabela1[[#This Row],[UF]])</f>
        <v>Brasília,DF</v>
      </c>
      <c r="F3784" s="15">
        <v>46043</v>
      </c>
      <c r="G3784" s="10">
        <v>9073</v>
      </c>
      <c r="H3784" s="10">
        <v>15125</v>
      </c>
      <c r="I3784" s="8">
        <f>Tabela1[[#This Row],[Valor total]]-Tabela1[[#This Row],[Valor custo]]</f>
        <v>6052</v>
      </c>
      <c r="J3784" s="18">
        <f>Tabela1[[#This Row],[MARGEM BRUTA]]/Tabela1[[#This Row],[Valor total]]</f>
        <v>0.40013223140495868</v>
      </c>
      <c r="K3784" s="16" t="str">
        <f>VLOOKUP(Tabela1[[#This Row],[Cliente]],'BASE DE CLIENTES'!A:D,4,0)</f>
        <v>EMPRESA COM MAQUINA</v>
      </c>
      <c r="L3784" s="16" t="str">
        <f>VLOOKUP(Tabela1[[#This Row],[Cliente]],'BASE DE CLIENTES'!A:E,5,0)</f>
        <v>RIACHO FUNDO II</v>
      </c>
    </row>
    <row r="3785" spans="1:12" x14ac:dyDescent="0.3">
      <c r="A3785" t="s">
        <v>922</v>
      </c>
      <c r="B3785" t="s">
        <v>161</v>
      </c>
      <c r="C3785" s="16" t="str">
        <f>VLOOKUP(Tabela1[[#This Row],[Cliente]],'BASE DE CLIENTES'!A:E,2,0)</f>
        <v>Brasília</v>
      </c>
      <c r="D3785" s="16" t="str">
        <f>VLOOKUP(Tabela1[[#This Row],[Cliente]],'BASE DE CLIENTES'!A:C,3,0)</f>
        <v>DF</v>
      </c>
      <c r="E3785" s="16" t="str">
        <f>CONCATENATE(Tabela1[[#This Row],[CIDADE]],",",Tabela1[[#This Row],[UF]])</f>
        <v>Brasília,DF</v>
      </c>
      <c r="F3785" s="15">
        <v>46043</v>
      </c>
      <c r="G3785" s="10">
        <v>14703.67</v>
      </c>
      <c r="H3785" s="10">
        <v>19910</v>
      </c>
      <c r="I3785" s="8">
        <f>Tabela1[[#This Row],[Valor total]]-Tabela1[[#This Row],[Valor custo]]</f>
        <v>5206.33</v>
      </c>
      <c r="J3785" s="18">
        <f>Tabela1[[#This Row],[MARGEM BRUTA]]/Tabela1[[#This Row],[Valor total]]</f>
        <v>0.26149321948769461</v>
      </c>
      <c r="K3785" s="16" t="str">
        <f>VLOOKUP(Tabela1[[#This Row],[Cliente]],'BASE DE CLIENTES'!A:D,4,0)</f>
        <v>EMPRESA COM MAQUINA</v>
      </c>
      <c r="L3785" s="16" t="str">
        <f>VLOOKUP(Tabela1[[#This Row],[Cliente]],'BASE DE CLIENTES'!A:E,5,0)</f>
        <v>RIACHO FUNDO II</v>
      </c>
    </row>
    <row r="3786" spans="1:12" x14ac:dyDescent="0.3">
      <c r="A3786" t="s">
        <v>923</v>
      </c>
      <c r="B3786" t="s">
        <v>42</v>
      </c>
      <c r="C3786" s="16" t="str">
        <f>VLOOKUP(Tabela1[[#This Row],[Cliente]],'BASE DE CLIENTES'!A:E,2,0)</f>
        <v>Brasília</v>
      </c>
      <c r="D3786" s="16" t="str">
        <f>VLOOKUP(Tabela1[[#This Row],[Cliente]],'BASE DE CLIENTES'!A:C,3,0)</f>
        <v>DF</v>
      </c>
      <c r="E3786" s="16" t="str">
        <f>CONCATENATE(Tabela1[[#This Row],[CIDADE]],",",Tabela1[[#This Row],[UF]])</f>
        <v>Brasília,DF</v>
      </c>
      <c r="F3786" s="15">
        <v>46043</v>
      </c>
      <c r="G3786">
        <v>472.79</v>
      </c>
      <c r="H3786">
        <v>750</v>
      </c>
      <c r="I3786" s="8">
        <f>Tabela1[[#This Row],[Valor total]]-Tabela1[[#This Row],[Valor custo]]</f>
        <v>277.20999999999998</v>
      </c>
      <c r="J3786" s="18">
        <f>Tabela1[[#This Row],[MARGEM BRUTA]]/Tabela1[[#This Row],[Valor total]]</f>
        <v>0.36961333333333329</v>
      </c>
      <c r="K3786" s="16" t="str">
        <f>VLOOKUP(Tabela1[[#This Row],[Cliente]],'BASE DE CLIENTES'!A:D,4,0)</f>
        <v>EMPRESA SEM MAQUINA</v>
      </c>
      <c r="L3786" s="16" t="str">
        <f>VLOOKUP(Tabela1[[#This Row],[Cliente]],'BASE DE CLIENTES'!A:E,5,0)</f>
        <v>SAMAMBAIA</v>
      </c>
    </row>
    <row r="3787" spans="1:12" x14ac:dyDescent="0.3">
      <c r="A3787" t="s">
        <v>924</v>
      </c>
      <c r="B3787" t="s">
        <v>221</v>
      </c>
      <c r="C3787" s="16" t="str">
        <f>VLOOKUP(Tabela1[[#This Row],[Cliente]],'BASE DE CLIENTES'!A:E,2,0)</f>
        <v>Goiânia</v>
      </c>
      <c r="D3787" s="16" t="str">
        <f>VLOOKUP(Tabela1[[#This Row],[Cliente]],'BASE DE CLIENTES'!A:C,3,0)</f>
        <v>GO</v>
      </c>
      <c r="E3787" s="16" t="str">
        <f>CONCATENATE(Tabela1[[#This Row],[CIDADE]],",",Tabela1[[#This Row],[UF]])</f>
        <v>Goiânia,GO</v>
      </c>
      <c r="F3787" s="15">
        <v>46043</v>
      </c>
      <c r="G3787" s="10">
        <v>8788.1200000000008</v>
      </c>
      <c r="H3787" s="10">
        <v>13325</v>
      </c>
      <c r="I3787" s="8">
        <f>Tabela1[[#This Row],[Valor total]]-Tabela1[[#This Row],[Valor custo]]</f>
        <v>4536.8799999999992</v>
      </c>
      <c r="J3787" s="18">
        <f>Tabela1[[#This Row],[MARGEM BRUTA]]/Tabela1[[#This Row],[Valor total]]</f>
        <v>0.34047879924953089</v>
      </c>
      <c r="K3787" s="16" t="str">
        <f>VLOOKUP(Tabela1[[#This Row],[Cliente]],'BASE DE CLIENTES'!A:D,4,0)</f>
        <v>EMPRESA COM MAQUINA</v>
      </c>
      <c r="L3787" s="16" t="str">
        <f>VLOOKUP(Tabela1[[#This Row],[Cliente]],'BASE DE CLIENTES'!A:E,5,0)</f>
        <v>Goiânia</v>
      </c>
    </row>
    <row r="3788" spans="1:12" x14ac:dyDescent="0.3">
      <c r="A3788" t="s">
        <v>925</v>
      </c>
      <c r="B3788" t="s">
        <v>117</v>
      </c>
      <c r="C3788" s="16" t="str">
        <f>VLOOKUP(Tabela1[[#This Row],[Cliente]],'BASE DE CLIENTES'!A:E,2,0)</f>
        <v>Brasília</v>
      </c>
      <c r="D3788" s="16" t="str">
        <f>VLOOKUP(Tabela1[[#This Row],[Cliente]],'BASE DE CLIENTES'!A:C,3,0)</f>
        <v>DF</v>
      </c>
      <c r="E3788" s="16" t="str">
        <f>CONCATENATE(Tabela1[[#This Row],[CIDADE]],",",Tabela1[[#This Row],[UF]])</f>
        <v>Brasília,DF</v>
      </c>
      <c r="F3788" s="15">
        <v>46042</v>
      </c>
      <c r="G3788">
        <v>712.93</v>
      </c>
      <c r="H3788" s="10">
        <v>1000</v>
      </c>
      <c r="I3788" s="8">
        <f>Tabela1[[#This Row],[Valor total]]-Tabela1[[#This Row],[Valor custo]]</f>
        <v>287.07000000000005</v>
      </c>
      <c r="J3788" s="18">
        <f>Tabela1[[#This Row],[MARGEM BRUTA]]/Tabela1[[#This Row],[Valor total]]</f>
        <v>0.28707000000000005</v>
      </c>
      <c r="K3788" s="16" t="str">
        <f>VLOOKUP(Tabela1[[#This Row],[Cliente]],'BASE DE CLIENTES'!A:D,4,0)</f>
        <v>EMPRESA COM MAQUINA</v>
      </c>
      <c r="L3788" s="16" t="str">
        <f>VLOOKUP(Tabela1[[#This Row],[Cliente]],'BASE DE CLIENTES'!A:E,5,0)</f>
        <v>SETOR HABITACIONAL ARNIQUEIRA (AGUAS CLARAS)</v>
      </c>
    </row>
    <row r="3789" spans="1:12" x14ac:dyDescent="0.3">
      <c r="A3789" t="s">
        <v>926</v>
      </c>
      <c r="B3789" t="s">
        <v>765</v>
      </c>
      <c r="C3789" s="16" t="str">
        <f>VLOOKUP(Tabela1[[#This Row],[Cliente]],'BASE DE CLIENTES'!A:E,2,0)</f>
        <v>Brasília</v>
      </c>
      <c r="D3789" s="16" t="str">
        <f>VLOOKUP(Tabela1[[#This Row],[Cliente]],'BASE DE CLIENTES'!A:C,3,0)</f>
        <v>DF</v>
      </c>
      <c r="E3789" s="16" t="str">
        <f>CONCATENATE(Tabela1[[#This Row],[CIDADE]],",",Tabela1[[#This Row],[UF]])</f>
        <v>Brasília,DF</v>
      </c>
      <c r="F3789" s="15">
        <v>46042</v>
      </c>
      <c r="G3789">
        <v>59.28</v>
      </c>
      <c r="H3789">
        <v>165</v>
      </c>
      <c r="I3789" s="8">
        <f>Tabela1[[#This Row],[Valor total]]-Tabela1[[#This Row],[Valor custo]]</f>
        <v>105.72</v>
      </c>
      <c r="J3789" s="18">
        <f>Tabela1[[#This Row],[MARGEM BRUTA]]/Tabela1[[#This Row],[Valor total]]</f>
        <v>0.6407272727272727</v>
      </c>
      <c r="K3789" s="16" t="str">
        <f>VLOOKUP(Tabela1[[#This Row],[Cliente]],'BASE DE CLIENTES'!A:D,4,0)</f>
        <v>SEM CLASSIFICAÇÃO</v>
      </c>
      <c r="L3789" s="16" t="str">
        <f>VLOOKUP(Tabela1[[#This Row],[Cliente]],'BASE DE CLIENTES'!A:E,5,0)</f>
        <v>SOBRADINHO</v>
      </c>
    </row>
    <row r="3790" spans="1:12" x14ac:dyDescent="0.3">
      <c r="A3790" t="s">
        <v>927</v>
      </c>
      <c r="B3790" t="s">
        <v>127</v>
      </c>
      <c r="C3790" s="16" t="str">
        <f>VLOOKUP(Tabela1[[#This Row],[Cliente]],'BASE DE CLIENTES'!A:E,2,0)</f>
        <v>Brasília</v>
      </c>
      <c r="D3790" s="16" t="str">
        <f>VLOOKUP(Tabela1[[#This Row],[Cliente]],'BASE DE CLIENTES'!A:C,3,0)</f>
        <v>DF</v>
      </c>
      <c r="E3790" s="16" t="str">
        <f>CONCATENATE(Tabela1[[#This Row],[CIDADE]],",",Tabela1[[#This Row],[UF]])</f>
        <v>Brasília,DF</v>
      </c>
      <c r="F3790" s="15">
        <v>46042</v>
      </c>
      <c r="G3790">
        <v>150</v>
      </c>
      <c r="H3790">
        <v>180</v>
      </c>
      <c r="I3790" s="8">
        <f>Tabela1[[#This Row],[Valor total]]-Tabela1[[#This Row],[Valor custo]]</f>
        <v>30</v>
      </c>
      <c r="J3790" s="18">
        <f>Tabela1[[#This Row],[MARGEM BRUTA]]/Tabela1[[#This Row],[Valor total]]</f>
        <v>0.16666666666666666</v>
      </c>
      <c r="K3790" s="16" t="str">
        <f>VLOOKUP(Tabela1[[#This Row],[Cliente]],'BASE DE CLIENTES'!A:D,4,0)</f>
        <v>EMPRESA COM MAQUINA</v>
      </c>
      <c r="L3790" s="16" t="str">
        <f>VLOOKUP(Tabela1[[#This Row],[Cliente]],'BASE DE CLIENTES'!A:E,5,0)</f>
        <v>CEILANDIA SUL (CEILANDIA)</v>
      </c>
    </row>
    <row r="3791" spans="1:12" x14ac:dyDescent="0.3">
      <c r="A3791" t="s">
        <v>928</v>
      </c>
      <c r="B3791" t="s">
        <v>138</v>
      </c>
      <c r="C3791" s="16" t="str">
        <f>VLOOKUP(Tabela1[[#This Row],[Cliente]],'BASE DE CLIENTES'!A:E,2,0)</f>
        <v>Brasília</v>
      </c>
      <c r="D3791" s="16" t="str">
        <f>VLOOKUP(Tabela1[[#This Row],[Cliente]],'BASE DE CLIENTES'!A:C,3,0)</f>
        <v>DF</v>
      </c>
      <c r="E3791" s="16" t="str">
        <f>CONCATENATE(Tabela1[[#This Row],[CIDADE]],",",Tabela1[[#This Row],[UF]])</f>
        <v>Brasília,DF</v>
      </c>
      <c r="F3791" s="15">
        <v>46042</v>
      </c>
      <c r="G3791" s="10">
        <v>9600</v>
      </c>
      <c r="H3791" s="10">
        <v>13000</v>
      </c>
      <c r="I3791" s="8">
        <f>Tabela1[[#This Row],[Valor total]]-Tabela1[[#This Row],[Valor custo]]</f>
        <v>3400</v>
      </c>
      <c r="J3791" s="18">
        <f>Tabela1[[#This Row],[MARGEM BRUTA]]/Tabela1[[#This Row],[Valor total]]</f>
        <v>0.26153846153846155</v>
      </c>
      <c r="K3791" s="16" t="str">
        <f>VLOOKUP(Tabela1[[#This Row],[Cliente]],'BASE DE CLIENTES'!A:D,4,0)</f>
        <v>OUTROS RAMOS</v>
      </c>
      <c r="L3791" s="16" t="str">
        <f>VLOOKUP(Tabela1[[#This Row],[Cliente]],'BASE DE CLIENTES'!A:E,5,0)</f>
        <v>CEILANDIA NORTE (CEILANDIA)</v>
      </c>
    </row>
    <row r="3792" spans="1:12" x14ac:dyDescent="0.3">
      <c r="A3792" t="s">
        <v>929</v>
      </c>
      <c r="B3792" t="s">
        <v>55</v>
      </c>
      <c r="C3792" s="16" t="str">
        <f>VLOOKUP(Tabela1[[#This Row],[Cliente]],'BASE DE CLIENTES'!A:E,2,0)</f>
        <v>Brasília</v>
      </c>
      <c r="D3792" s="16" t="str">
        <f>VLOOKUP(Tabela1[[#This Row],[Cliente]],'BASE DE CLIENTES'!A:C,3,0)</f>
        <v>DF</v>
      </c>
      <c r="E3792" s="16" t="str">
        <f>CONCATENATE(Tabela1[[#This Row],[CIDADE]],",",Tabela1[[#This Row],[UF]])</f>
        <v>Brasília,DF</v>
      </c>
      <c r="F3792" s="15">
        <v>46042</v>
      </c>
      <c r="G3792">
        <v>300.18</v>
      </c>
      <c r="H3792">
        <v>600</v>
      </c>
      <c r="I3792" s="8">
        <f>Tabela1[[#This Row],[Valor total]]-Tabela1[[#This Row],[Valor custo]]</f>
        <v>299.82</v>
      </c>
      <c r="J3792" s="18">
        <f>Tabela1[[#This Row],[MARGEM BRUTA]]/Tabela1[[#This Row],[Valor total]]</f>
        <v>0.49969999999999998</v>
      </c>
      <c r="K3792" s="16" t="str">
        <f>VLOOKUP(Tabela1[[#This Row],[Cliente]],'BASE DE CLIENTES'!A:D,4,0)</f>
        <v>EMPRESA SEM MAQUINA</v>
      </c>
      <c r="L3792" s="16" t="str">
        <f>VLOOKUP(Tabela1[[#This Row],[Cliente]],'BASE DE CLIENTES'!A:E,5,0)</f>
        <v>RECANTO DAS EMAS</v>
      </c>
    </row>
    <row r="3793" spans="1:12" x14ac:dyDescent="0.3">
      <c r="A3793" t="s">
        <v>930</v>
      </c>
      <c r="B3793" t="s">
        <v>27</v>
      </c>
      <c r="C3793" s="16" t="str">
        <f>VLOOKUP(Tabela1[[#This Row],[Cliente]],'BASE DE CLIENTES'!A:E,2,0)</f>
        <v>Brasília</v>
      </c>
      <c r="D3793" s="16" t="str">
        <f>VLOOKUP(Tabela1[[#This Row],[Cliente]],'BASE DE CLIENTES'!A:C,3,0)</f>
        <v>DF</v>
      </c>
      <c r="E3793" s="16" t="str">
        <f>CONCATENATE(Tabela1[[#This Row],[CIDADE]],",",Tabela1[[#This Row],[UF]])</f>
        <v>Brasília,DF</v>
      </c>
      <c r="F3793" s="15">
        <v>46042</v>
      </c>
      <c r="G3793">
        <v>722</v>
      </c>
      <c r="H3793" s="10">
        <v>1230</v>
      </c>
      <c r="I3793" s="8">
        <f>Tabela1[[#This Row],[Valor total]]-Tabela1[[#This Row],[Valor custo]]</f>
        <v>508</v>
      </c>
      <c r="J3793" s="18">
        <f>Tabela1[[#This Row],[MARGEM BRUTA]]/Tabela1[[#This Row],[Valor total]]</f>
        <v>0.41300813008130083</v>
      </c>
      <c r="K3793" s="16" t="str">
        <f>VLOOKUP(Tabela1[[#This Row],[Cliente]],'BASE DE CLIENTES'!A:D,4,0)</f>
        <v>EMPRESA SEM MAQUINA</v>
      </c>
      <c r="L3793" s="16" t="str">
        <f>VLOOKUP(Tabela1[[#This Row],[Cliente]],'BASE DE CLIENTES'!A:E,5,0)</f>
        <v>RECANTO DAS EMAS</v>
      </c>
    </row>
    <row r="3794" spans="1:12" x14ac:dyDescent="0.3">
      <c r="A3794" t="s">
        <v>931</v>
      </c>
      <c r="B3794" t="s">
        <v>260</v>
      </c>
      <c r="C3794" s="16" t="str">
        <f>VLOOKUP(Tabela1[[#This Row],[Cliente]],'BASE DE CLIENTES'!A:E,2,0)</f>
        <v>Luziânia</v>
      </c>
      <c r="D3794" s="16" t="str">
        <f>VLOOKUP(Tabela1[[#This Row],[Cliente]],'BASE DE CLIENTES'!A:C,3,0)</f>
        <v>GO</v>
      </c>
      <c r="E3794" s="16" t="str">
        <f>CONCATENATE(Tabela1[[#This Row],[CIDADE]],",",Tabela1[[#This Row],[UF]])</f>
        <v>Luziânia,GO</v>
      </c>
      <c r="F3794" s="15">
        <v>46042</v>
      </c>
      <c r="G3794">
        <v>7.5</v>
      </c>
      <c r="H3794">
        <v>20</v>
      </c>
      <c r="I3794" s="8">
        <f>Tabela1[[#This Row],[Valor total]]-Tabela1[[#This Row],[Valor custo]]</f>
        <v>12.5</v>
      </c>
      <c r="J3794" s="18">
        <f>Tabela1[[#This Row],[MARGEM BRUTA]]/Tabela1[[#This Row],[Valor total]]</f>
        <v>0.625</v>
      </c>
      <c r="K3794" s="16" t="str">
        <f>VLOOKUP(Tabela1[[#This Row],[Cliente]],'BASE DE CLIENTES'!A:D,4,0)</f>
        <v>SERRALHEIRO</v>
      </c>
      <c r="L3794" s="16" t="str">
        <f>VLOOKUP(Tabela1[[#This Row],[Cliente]],'BASE DE CLIENTES'!A:E,5,0)</f>
        <v>Luziânia</v>
      </c>
    </row>
    <row r="3795" spans="1:12" x14ac:dyDescent="0.3">
      <c r="A3795" t="s">
        <v>932</v>
      </c>
      <c r="B3795" t="s">
        <v>260</v>
      </c>
      <c r="C3795" s="16" t="str">
        <f>VLOOKUP(Tabela1[[#This Row],[Cliente]],'BASE DE CLIENTES'!A:E,2,0)</f>
        <v>Luziânia</v>
      </c>
      <c r="D3795" s="16" t="str">
        <f>VLOOKUP(Tabela1[[#This Row],[Cliente]],'BASE DE CLIENTES'!A:C,3,0)</f>
        <v>GO</v>
      </c>
      <c r="E3795" s="16" t="str">
        <f>CONCATENATE(Tabela1[[#This Row],[CIDADE]],",",Tabela1[[#This Row],[UF]])</f>
        <v>Luziânia,GO</v>
      </c>
      <c r="F3795" s="15">
        <v>46042</v>
      </c>
      <c r="G3795">
        <v>0</v>
      </c>
      <c r="H3795">
        <v>45</v>
      </c>
      <c r="I3795" s="8">
        <f>Tabela1[[#This Row],[Valor total]]-Tabela1[[#This Row],[Valor custo]]</f>
        <v>45</v>
      </c>
      <c r="J3795" s="18">
        <f>Tabela1[[#This Row],[MARGEM BRUTA]]/Tabela1[[#This Row],[Valor total]]</f>
        <v>1</v>
      </c>
      <c r="K3795" s="16" t="str">
        <f>VLOOKUP(Tabela1[[#This Row],[Cliente]],'BASE DE CLIENTES'!A:D,4,0)</f>
        <v>SERRALHEIRO</v>
      </c>
      <c r="L3795" s="16" t="str">
        <f>VLOOKUP(Tabela1[[#This Row],[Cliente]],'BASE DE CLIENTES'!A:E,5,0)</f>
        <v>Luziânia</v>
      </c>
    </row>
    <row r="3796" spans="1:12" x14ac:dyDescent="0.3">
      <c r="A3796" t="s">
        <v>933</v>
      </c>
      <c r="B3796" t="s">
        <v>141</v>
      </c>
      <c r="C3796" s="16" t="str">
        <f>VLOOKUP(Tabela1[[#This Row],[Cliente]],'BASE DE CLIENTES'!A:E,2,0)</f>
        <v>Brasília</v>
      </c>
      <c r="D3796" s="16" t="str">
        <f>VLOOKUP(Tabela1[[#This Row],[Cliente]],'BASE DE CLIENTES'!A:C,3,0)</f>
        <v>DF</v>
      </c>
      <c r="E3796" s="16" t="str">
        <f>CONCATENATE(Tabela1[[#This Row],[CIDADE]],",",Tabela1[[#This Row],[UF]])</f>
        <v>Brasília,DF</v>
      </c>
      <c r="F3796" s="15">
        <v>46042</v>
      </c>
      <c r="G3796">
        <v>553.79999999999995</v>
      </c>
      <c r="H3796" s="10">
        <v>1150</v>
      </c>
      <c r="I3796" s="8">
        <f>Tabela1[[#This Row],[Valor total]]-Tabela1[[#This Row],[Valor custo]]</f>
        <v>596.20000000000005</v>
      </c>
      <c r="J3796" s="18">
        <f>Tabela1[[#This Row],[MARGEM BRUTA]]/Tabela1[[#This Row],[Valor total]]</f>
        <v>0.51843478260869569</v>
      </c>
      <c r="K3796" s="16" t="str">
        <f>VLOOKUP(Tabela1[[#This Row],[Cliente]],'BASE DE CLIENTES'!A:D,4,0)</f>
        <v>EMPRESA COM MAQUINA</v>
      </c>
      <c r="L3796" s="16" t="str">
        <f>VLOOKUP(Tabela1[[#This Row],[Cliente]],'BASE DE CLIENTES'!A:E,5,0)</f>
        <v>TAGUATINGA</v>
      </c>
    </row>
    <row r="3797" spans="1:12" x14ac:dyDescent="0.3">
      <c r="A3797" t="s">
        <v>934</v>
      </c>
      <c r="B3797" t="s">
        <v>765</v>
      </c>
      <c r="C3797" s="16" t="str">
        <f>VLOOKUP(Tabela1[[#This Row],[Cliente]],'BASE DE CLIENTES'!A:E,2,0)</f>
        <v>Brasília</v>
      </c>
      <c r="D3797" s="16" t="str">
        <f>VLOOKUP(Tabela1[[#This Row],[Cliente]],'BASE DE CLIENTES'!A:C,3,0)</f>
        <v>DF</v>
      </c>
      <c r="E3797" s="16" t="str">
        <f>CONCATENATE(Tabela1[[#This Row],[CIDADE]],",",Tabela1[[#This Row],[UF]])</f>
        <v>Brasília,DF</v>
      </c>
      <c r="F3797" s="15">
        <v>46042</v>
      </c>
      <c r="G3797">
        <v>45.6</v>
      </c>
      <c r="H3797">
        <v>70</v>
      </c>
      <c r="I3797" s="8">
        <f>Tabela1[[#This Row],[Valor total]]-Tabela1[[#This Row],[Valor custo]]</f>
        <v>24.4</v>
      </c>
      <c r="J3797" s="18">
        <f>Tabela1[[#This Row],[MARGEM BRUTA]]/Tabela1[[#This Row],[Valor total]]</f>
        <v>0.34857142857142853</v>
      </c>
      <c r="K3797" s="16" t="str">
        <f>VLOOKUP(Tabela1[[#This Row],[Cliente]],'BASE DE CLIENTES'!A:D,4,0)</f>
        <v>SEM CLASSIFICAÇÃO</v>
      </c>
      <c r="L3797" s="16" t="str">
        <f>VLOOKUP(Tabela1[[#This Row],[Cliente]],'BASE DE CLIENTES'!A:E,5,0)</f>
        <v>SOBRADINHO</v>
      </c>
    </row>
    <row r="3798" spans="1:12" x14ac:dyDescent="0.3">
      <c r="A3798" t="s">
        <v>935</v>
      </c>
      <c r="B3798" t="s">
        <v>197</v>
      </c>
      <c r="C3798" s="16" t="str">
        <f>VLOOKUP(Tabela1[[#This Row],[Cliente]],'BASE DE CLIENTES'!A:E,2,0)</f>
        <v>Goiânia</v>
      </c>
      <c r="D3798" s="16" t="str">
        <f>VLOOKUP(Tabela1[[#This Row],[Cliente]],'BASE DE CLIENTES'!A:C,3,0)</f>
        <v>GO</v>
      </c>
      <c r="E3798" s="16" t="str">
        <f>CONCATENATE(Tabela1[[#This Row],[CIDADE]],",",Tabela1[[#This Row],[UF]])</f>
        <v>Goiânia,GO</v>
      </c>
      <c r="F3798" s="15">
        <v>46042</v>
      </c>
      <c r="G3798" s="10">
        <v>1350.81</v>
      </c>
      <c r="H3798" s="10">
        <v>1965</v>
      </c>
      <c r="I3798" s="8">
        <f>Tabela1[[#This Row],[Valor total]]-Tabela1[[#This Row],[Valor custo]]</f>
        <v>614.19000000000005</v>
      </c>
      <c r="J3798" s="18">
        <f>Tabela1[[#This Row],[MARGEM BRUTA]]/Tabela1[[#This Row],[Valor total]]</f>
        <v>0.31256488549618322</v>
      </c>
      <c r="K3798" s="16" t="str">
        <f>VLOOKUP(Tabela1[[#This Row],[Cliente]],'BASE DE CLIENTES'!A:D,4,0)</f>
        <v>EMPRESA COM MAQUINA</v>
      </c>
      <c r="L3798" s="16" t="str">
        <f>VLOOKUP(Tabela1[[#This Row],[Cliente]],'BASE DE CLIENTES'!A:E,5,0)</f>
        <v>Goiânia</v>
      </c>
    </row>
    <row r="3799" spans="1:12" x14ac:dyDescent="0.3">
      <c r="A3799" t="s">
        <v>936</v>
      </c>
      <c r="B3799" t="s">
        <v>34</v>
      </c>
      <c r="C3799" s="16" t="str">
        <f>VLOOKUP(Tabela1[[#This Row],[Cliente]],'BASE DE CLIENTES'!A:E,2,0)</f>
        <v>Brasília</v>
      </c>
      <c r="D3799" s="16" t="str">
        <f>VLOOKUP(Tabela1[[#This Row],[Cliente]],'BASE DE CLIENTES'!A:C,3,0)</f>
        <v>DF</v>
      </c>
      <c r="E3799" s="16" t="str">
        <f>CONCATENATE(Tabela1[[#This Row],[CIDADE]],",",Tabela1[[#This Row],[UF]])</f>
        <v>Brasília,DF</v>
      </c>
      <c r="F3799" s="15">
        <v>46042</v>
      </c>
      <c r="G3799">
        <v>13.69</v>
      </c>
      <c r="H3799">
        <v>120</v>
      </c>
      <c r="I3799" s="8">
        <f>Tabela1[[#This Row],[Valor total]]-Tabela1[[#This Row],[Valor custo]]</f>
        <v>106.31</v>
      </c>
      <c r="J3799" s="18">
        <f>Tabela1[[#This Row],[MARGEM BRUTA]]/Tabela1[[#This Row],[Valor total]]</f>
        <v>0.88591666666666669</v>
      </c>
      <c r="K3799" s="16" t="str">
        <f>VLOOKUP(Tabela1[[#This Row],[Cliente]],'BASE DE CLIENTES'!A:D,4,0)</f>
        <v>SERRALHEIRO</v>
      </c>
      <c r="L3799" s="16" t="str">
        <f>VLOOKUP(Tabela1[[#This Row],[Cliente]],'BASE DE CLIENTES'!A:E,5,0)</f>
        <v>RECANTO DAS EMAS</v>
      </c>
    </row>
    <row r="3800" spans="1:12" x14ac:dyDescent="0.3">
      <c r="A3800" t="s">
        <v>937</v>
      </c>
      <c r="B3800" t="s">
        <v>140</v>
      </c>
      <c r="C3800" s="16" t="str">
        <f>VLOOKUP(Tabela1[[#This Row],[Cliente]],'BASE DE CLIENTES'!A:E,2,0)</f>
        <v>Brasília</v>
      </c>
      <c r="D3800" s="16" t="str">
        <f>VLOOKUP(Tabela1[[#This Row],[Cliente]],'BASE DE CLIENTES'!A:C,3,0)</f>
        <v>DF</v>
      </c>
      <c r="E3800" s="16" t="str">
        <f>CONCATENATE(Tabela1[[#This Row],[CIDADE]],",",Tabela1[[#This Row],[UF]])</f>
        <v>Brasília,DF</v>
      </c>
      <c r="F3800" s="15">
        <v>46042</v>
      </c>
      <c r="G3800" s="10">
        <v>1996.16</v>
      </c>
      <c r="H3800" s="10">
        <v>2820</v>
      </c>
      <c r="I3800" s="8">
        <f>Tabela1[[#This Row],[Valor total]]-Tabela1[[#This Row],[Valor custo]]</f>
        <v>823.83999999999992</v>
      </c>
      <c r="J3800" s="18">
        <f>Tabela1[[#This Row],[MARGEM BRUTA]]/Tabela1[[#This Row],[Valor total]]</f>
        <v>0.29214184397163118</v>
      </c>
      <c r="K3800" s="16" t="str">
        <f>VLOOKUP(Tabela1[[#This Row],[Cliente]],'BASE DE CLIENTES'!A:D,4,0)</f>
        <v>EMPRESA COM MAQUINA</v>
      </c>
      <c r="L3800" s="16" t="str">
        <f>VLOOKUP(Tabela1[[#This Row],[Cliente]],'BASE DE CLIENTES'!A:E,5,0)</f>
        <v>RECANTO DAS EMAS</v>
      </c>
    </row>
    <row r="3801" spans="1:12" x14ac:dyDescent="0.3">
      <c r="A3801" t="s">
        <v>938</v>
      </c>
      <c r="B3801" t="s">
        <v>152</v>
      </c>
      <c r="C3801" s="16" t="str">
        <f>VLOOKUP(Tabela1[[#This Row],[Cliente]],'BASE DE CLIENTES'!A:E,2,0)</f>
        <v>Aparecida de Goiânia</v>
      </c>
      <c r="D3801" s="16" t="str">
        <f>VLOOKUP(Tabela1[[#This Row],[Cliente]],'BASE DE CLIENTES'!A:C,3,0)</f>
        <v>GO</v>
      </c>
      <c r="E3801" s="16" t="str">
        <f>CONCATENATE(Tabela1[[#This Row],[CIDADE]],",",Tabela1[[#This Row],[UF]])</f>
        <v>Aparecida de Goiânia,GO</v>
      </c>
      <c r="F3801" s="15">
        <v>46042</v>
      </c>
      <c r="G3801">
        <v>165</v>
      </c>
      <c r="H3801">
        <v>750</v>
      </c>
      <c r="I3801" s="8">
        <f>Tabela1[[#This Row],[Valor total]]-Tabela1[[#This Row],[Valor custo]]</f>
        <v>585</v>
      </c>
      <c r="J3801" s="18">
        <f>Tabela1[[#This Row],[MARGEM BRUTA]]/Tabela1[[#This Row],[Valor total]]</f>
        <v>0.78</v>
      </c>
      <c r="K3801" s="16" t="str">
        <f>VLOOKUP(Tabela1[[#This Row],[Cliente]],'BASE DE CLIENTES'!A:D,4,0)</f>
        <v>TECNICO</v>
      </c>
      <c r="L3801" s="16" t="str">
        <f>VLOOKUP(Tabela1[[#This Row],[Cliente]],'BASE DE CLIENTES'!A:E,5,0)</f>
        <v>Aparecida de Goiânia</v>
      </c>
    </row>
    <row r="3802" spans="1:12" x14ac:dyDescent="0.3">
      <c r="A3802" t="s">
        <v>939</v>
      </c>
      <c r="B3802" t="s">
        <v>104</v>
      </c>
      <c r="C3802" s="16" t="str">
        <f>VLOOKUP(Tabela1[[#This Row],[Cliente]],'BASE DE CLIENTES'!A:E,2,0)</f>
        <v>Águas Lindas de Goiás</v>
      </c>
      <c r="D3802" s="16" t="str">
        <f>VLOOKUP(Tabela1[[#This Row],[Cliente]],'BASE DE CLIENTES'!A:C,3,0)</f>
        <v>GO</v>
      </c>
      <c r="E3802" s="16" t="str">
        <f>CONCATENATE(Tabela1[[#This Row],[CIDADE]],",",Tabela1[[#This Row],[UF]])</f>
        <v>Águas Lindas de Goiás,GO</v>
      </c>
      <c r="F3802" s="15">
        <v>46042</v>
      </c>
      <c r="G3802">
        <v>960.58</v>
      </c>
      <c r="H3802" s="10">
        <v>1415</v>
      </c>
      <c r="I3802" s="8">
        <f>Tabela1[[#This Row],[Valor total]]-Tabela1[[#This Row],[Valor custo]]</f>
        <v>454.41999999999996</v>
      </c>
      <c r="J3802" s="18">
        <f>Tabela1[[#This Row],[MARGEM BRUTA]]/Tabela1[[#This Row],[Valor total]]</f>
        <v>0.32114487632508831</v>
      </c>
      <c r="K3802" s="16" t="str">
        <f>VLOOKUP(Tabela1[[#This Row],[Cliente]],'BASE DE CLIENTES'!A:D,4,0)</f>
        <v>EMPRESA SEM MAQUINA</v>
      </c>
      <c r="L3802" s="16" t="str">
        <f>VLOOKUP(Tabela1[[#This Row],[Cliente]],'BASE DE CLIENTES'!A:E,5,0)</f>
        <v>Águas Lindas de Goiás</v>
      </c>
    </row>
    <row r="3803" spans="1:12" x14ac:dyDescent="0.3">
      <c r="A3803" t="s">
        <v>940</v>
      </c>
      <c r="B3803" t="s">
        <v>30</v>
      </c>
      <c r="C3803" s="16" t="str">
        <f>VLOOKUP(Tabela1[[#This Row],[Cliente]],'BASE DE CLIENTES'!A:E,2,0)</f>
        <v>Águas Lindas de Goiás</v>
      </c>
      <c r="D3803" s="16" t="str">
        <f>VLOOKUP(Tabela1[[#This Row],[Cliente]],'BASE DE CLIENTES'!A:C,3,0)</f>
        <v>GO</v>
      </c>
      <c r="E3803" s="16" t="str">
        <f>CONCATENATE(Tabela1[[#This Row],[CIDADE]],",",Tabela1[[#This Row],[UF]])</f>
        <v>Águas Lindas de Goiás,GO</v>
      </c>
      <c r="F3803" s="15">
        <v>46042</v>
      </c>
      <c r="G3803">
        <v>450.27</v>
      </c>
      <c r="H3803">
        <v>655</v>
      </c>
      <c r="I3803" s="8">
        <f>Tabela1[[#This Row],[Valor total]]-Tabela1[[#This Row],[Valor custo]]</f>
        <v>204.73000000000002</v>
      </c>
      <c r="J3803" s="18">
        <f>Tabela1[[#This Row],[MARGEM BRUTA]]/Tabela1[[#This Row],[Valor total]]</f>
        <v>0.31256488549618322</v>
      </c>
      <c r="K3803" s="16" t="str">
        <f>VLOOKUP(Tabela1[[#This Row],[Cliente]],'BASE DE CLIENTES'!A:D,4,0)</f>
        <v>SERRALHEIRO</v>
      </c>
      <c r="L3803" s="16" t="str">
        <f>VLOOKUP(Tabela1[[#This Row],[Cliente]],'BASE DE CLIENTES'!A:E,5,0)</f>
        <v>Águas Lindas de Goiás</v>
      </c>
    </row>
    <row r="3804" spans="1:12" x14ac:dyDescent="0.3">
      <c r="A3804" t="s">
        <v>941</v>
      </c>
      <c r="B3804" t="s">
        <v>25</v>
      </c>
      <c r="C3804" s="16" t="str">
        <f>VLOOKUP(Tabela1[[#This Row],[Cliente]],'BASE DE CLIENTES'!A:E,2,0)</f>
        <v>Brasília</v>
      </c>
      <c r="D3804" s="16" t="str">
        <f>VLOOKUP(Tabela1[[#This Row],[Cliente]],'BASE DE CLIENTES'!A:C,3,0)</f>
        <v>DF</v>
      </c>
      <c r="E3804" s="16" t="str">
        <f>CONCATENATE(Tabela1[[#This Row],[CIDADE]],",",Tabela1[[#This Row],[UF]])</f>
        <v>Brasília,DF</v>
      </c>
      <c r="F3804" s="15">
        <v>46042</v>
      </c>
      <c r="G3804">
        <v>123</v>
      </c>
      <c r="H3804">
        <v>300</v>
      </c>
      <c r="I3804" s="8">
        <f>Tabela1[[#This Row],[Valor total]]-Tabela1[[#This Row],[Valor custo]]</f>
        <v>177</v>
      </c>
      <c r="J3804" s="18">
        <f>Tabela1[[#This Row],[MARGEM BRUTA]]/Tabela1[[#This Row],[Valor total]]</f>
        <v>0.59</v>
      </c>
      <c r="K3804" s="16" t="str">
        <f>VLOOKUP(Tabela1[[#This Row],[Cliente]],'BASE DE CLIENTES'!A:D,4,0)</f>
        <v>EMPRESA COM MAQUINA</v>
      </c>
      <c r="L3804" s="16" t="str">
        <f>VLOOKUP(Tabela1[[#This Row],[Cliente]],'BASE DE CLIENTES'!A:E,5,0)</f>
        <v>CEILANDIA NORTE (CEILANDIA)</v>
      </c>
    </row>
    <row r="3805" spans="1:12" x14ac:dyDescent="0.3">
      <c r="A3805" t="s">
        <v>942</v>
      </c>
      <c r="B3805" t="s">
        <v>99</v>
      </c>
      <c r="C3805" s="16" t="str">
        <f>VLOOKUP(Tabela1[[#This Row],[Cliente]],'BASE DE CLIENTES'!A:E,2,0)</f>
        <v>Brasília</v>
      </c>
      <c r="D3805" s="16" t="str">
        <f>VLOOKUP(Tabela1[[#This Row],[Cliente]],'BASE DE CLIENTES'!A:C,3,0)</f>
        <v>DF</v>
      </c>
      <c r="E3805" s="16" t="str">
        <f>CONCATENATE(Tabela1[[#This Row],[CIDADE]],",",Tabela1[[#This Row],[UF]])</f>
        <v>Brasília,DF</v>
      </c>
      <c r="F3805" s="15">
        <v>46042</v>
      </c>
      <c r="G3805" s="10">
        <v>4201.3900000000003</v>
      </c>
      <c r="H3805" s="10">
        <v>6670</v>
      </c>
      <c r="I3805" s="8">
        <f>Tabela1[[#This Row],[Valor total]]-Tabela1[[#This Row],[Valor custo]]</f>
        <v>2468.6099999999997</v>
      </c>
      <c r="J3805" s="18">
        <f>Tabela1[[#This Row],[MARGEM BRUTA]]/Tabela1[[#This Row],[Valor total]]</f>
        <v>0.37010644677661164</v>
      </c>
      <c r="K3805" s="16" t="str">
        <f>VLOOKUP(Tabela1[[#This Row],[Cliente]],'BASE DE CLIENTES'!A:D,4,0)</f>
        <v>EMPRESA COM MAQUINA</v>
      </c>
      <c r="L3805" s="16" t="str">
        <f>VLOOKUP(Tabela1[[#This Row],[Cliente]],'BASE DE CLIENTES'!A:E,5,0)</f>
        <v>ARAPOANGA (PLANALTINA)</v>
      </c>
    </row>
    <row r="3806" spans="1:12" x14ac:dyDescent="0.3">
      <c r="A3806" t="s">
        <v>943</v>
      </c>
      <c r="B3806" t="s">
        <v>206</v>
      </c>
      <c r="C3806" s="16" t="str">
        <f>VLOOKUP(Tabela1[[#This Row],[Cliente]],'BASE DE CLIENTES'!A:E,2,0)</f>
        <v>Goiânia</v>
      </c>
      <c r="D3806" s="16" t="str">
        <f>VLOOKUP(Tabela1[[#This Row],[Cliente]],'BASE DE CLIENTES'!A:C,3,0)</f>
        <v>GO</v>
      </c>
      <c r="E3806" s="16" t="str">
        <f>CONCATENATE(Tabela1[[#This Row],[CIDADE]],",",Tabela1[[#This Row],[UF]])</f>
        <v>Goiânia,GO</v>
      </c>
      <c r="F3806" s="15">
        <v>46042</v>
      </c>
      <c r="G3806" s="10">
        <v>11339.38</v>
      </c>
      <c r="H3806" s="10">
        <v>16900</v>
      </c>
      <c r="I3806" s="8">
        <f>Tabela1[[#This Row],[Valor total]]-Tabela1[[#This Row],[Valor custo]]</f>
        <v>5560.6200000000008</v>
      </c>
      <c r="J3806" s="18">
        <f>Tabela1[[#This Row],[MARGEM BRUTA]]/Tabela1[[#This Row],[Valor total]]</f>
        <v>0.32903076923076929</v>
      </c>
      <c r="K3806" s="16" t="str">
        <f>VLOOKUP(Tabela1[[#This Row],[Cliente]],'BASE DE CLIENTES'!A:D,4,0)</f>
        <v>EMPRESA COM MAQUINA</v>
      </c>
      <c r="L3806" s="16" t="str">
        <f>VLOOKUP(Tabela1[[#This Row],[Cliente]],'BASE DE CLIENTES'!A:E,5,0)</f>
        <v>Goiânia</v>
      </c>
    </row>
    <row r="3807" spans="1:12" x14ac:dyDescent="0.3">
      <c r="A3807" t="s">
        <v>944</v>
      </c>
      <c r="B3807" t="s">
        <v>152</v>
      </c>
      <c r="C3807" s="16" t="str">
        <f>VLOOKUP(Tabela1[[#This Row],[Cliente]],'BASE DE CLIENTES'!A:E,2,0)</f>
        <v>Aparecida de Goiânia</v>
      </c>
      <c r="D3807" s="16" t="str">
        <f>VLOOKUP(Tabela1[[#This Row],[Cliente]],'BASE DE CLIENTES'!A:C,3,0)</f>
        <v>GO</v>
      </c>
      <c r="E3807" s="16" t="str">
        <f>CONCATENATE(Tabela1[[#This Row],[CIDADE]],",",Tabela1[[#This Row],[UF]])</f>
        <v>Aparecida de Goiânia,GO</v>
      </c>
      <c r="F3807" s="15">
        <v>46041</v>
      </c>
      <c r="G3807">
        <v>45.6</v>
      </c>
      <c r="H3807">
        <v>70</v>
      </c>
      <c r="I3807" s="8">
        <f>Tabela1[[#This Row],[Valor total]]-Tabela1[[#This Row],[Valor custo]]</f>
        <v>24.4</v>
      </c>
      <c r="J3807" s="18">
        <f>Tabela1[[#This Row],[MARGEM BRUTA]]/Tabela1[[#This Row],[Valor total]]</f>
        <v>0.34857142857142853</v>
      </c>
      <c r="K3807" s="16" t="str">
        <f>VLOOKUP(Tabela1[[#This Row],[Cliente]],'BASE DE CLIENTES'!A:D,4,0)</f>
        <v>TECNICO</v>
      </c>
      <c r="L3807" s="16" t="str">
        <f>VLOOKUP(Tabela1[[#This Row],[Cliente]],'BASE DE CLIENTES'!A:E,5,0)</f>
        <v>Aparecida de Goiânia</v>
      </c>
    </row>
    <row r="3808" spans="1:12" x14ac:dyDescent="0.3">
      <c r="A3808" t="s">
        <v>945</v>
      </c>
      <c r="B3808" t="s">
        <v>15</v>
      </c>
      <c r="C3808" s="16" t="str">
        <f>VLOOKUP(Tabela1[[#This Row],[Cliente]],'BASE DE CLIENTES'!A:E,2,0)</f>
        <v>Brasília</v>
      </c>
      <c r="D3808" s="16" t="str">
        <f>VLOOKUP(Tabela1[[#This Row],[Cliente]],'BASE DE CLIENTES'!A:C,3,0)</f>
        <v>DF</v>
      </c>
      <c r="E3808" s="16" t="str">
        <f>CONCATENATE(Tabela1[[#This Row],[CIDADE]],",",Tabela1[[#This Row],[UF]])</f>
        <v>Brasília,DF</v>
      </c>
      <c r="F3808" s="15">
        <v>46041</v>
      </c>
      <c r="G3808">
        <v>697.92</v>
      </c>
      <c r="H3808">
        <v>975</v>
      </c>
      <c r="I3808" s="8">
        <f>Tabela1[[#This Row],[Valor total]]-Tabela1[[#This Row],[Valor custo]]</f>
        <v>277.08000000000004</v>
      </c>
      <c r="J3808" s="18">
        <f>Tabela1[[#This Row],[MARGEM BRUTA]]/Tabela1[[#This Row],[Valor total]]</f>
        <v>0.28418461538461542</v>
      </c>
      <c r="K3808" s="16" t="str">
        <f>VLOOKUP(Tabela1[[#This Row],[Cliente]],'BASE DE CLIENTES'!A:D,4,0)</f>
        <v>SERRALHEIRO</v>
      </c>
      <c r="L3808" s="16" t="str">
        <f>VLOOKUP(Tabela1[[#This Row],[Cliente]],'BASE DE CLIENTES'!A:E,5,0)</f>
        <v>SETOR HABITACIONAL VICENTE PIRES</v>
      </c>
    </row>
    <row r="3809" spans="1:12" x14ac:dyDescent="0.3">
      <c r="A3809" t="s">
        <v>946</v>
      </c>
      <c r="B3809" t="s">
        <v>232</v>
      </c>
      <c r="C3809" s="16" t="str">
        <f>VLOOKUP(Tabela1[[#This Row],[Cliente]],'BASE DE CLIENTES'!A:E,2,0)</f>
        <v>Brasília</v>
      </c>
      <c r="D3809" s="16" t="str">
        <f>VLOOKUP(Tabela1[[#This Row],[Cliente]],'BASE DE CLIENTES'!A:C,3,0)</f>
        <v>DF</v>
      </c>
      <c r="E3809" s="16" t="str">
        <f>CONCATENATE(Tabela1[[#This Row],[CIDADE]],",",Tabela1[[#This Row],[UF]])</f>
        <v>Brasília,DF</v>
      </c>
      <c r="F3809" s="15">
        <v>46041</v>
      </c>
      <c r="G3809">
        <v>56.28</v>
      </c>
      <c r="H3809">
        <v>150</v>
      </c>
      <c r="I3809" s="8">
        <f>Tabela1[[#This Row],[Valor total]]-Tabela1[[#This Row],[Valor custo]]</f>
        <v>93.72</v>
      </c>
      <c r="J3809" s="18">
        <f>Tabela1[[#This Row],[MARGEM BRUTA]]/Tabela1[[#This Row],[Valor total]]</f>
        <v>0.62480000000000002</v>
      </c>
      <c r="K3809" s="16" t="str">
        <f>VLOOKUP(Tabela1[[#This Row],[Cliente]],'BASE DE CLIENTES'!A:D,4,0)</f>
        <v>CHAVEIRO</v>
      </c>
      <c r="L3809" s="16" t="str">
        <f>VLOOKUP(Tabela1[[#This Row],[Cliente]],'BASE DE CLIENTES'!A:E,5,0)</f>
        <v>Areal (Águas Claras)</v>
      </c>
    </row>
    <row r="3810" spans="1:12" x14ac:dyDescent="0.3">
      <c r="A3810" t="s">
        <v>947</v>
      </c>
      <c r="B3810" t="s">
        <v>236</v>
      </c>
      <c r="C3810" s="16" t="str">
        <f>VLOOKUP(Tabela1[[#This Row],[Cliente]],'BASE DE CLIENTES'!A:E,2,0)</f>
        <v>Goiânia</v>
      </c>
      <c r="D3810" s="16" t="str">
        <f>VLOOKUP(Tabela1[[#This Row],[Cliente]],'BASE DE CLIENTES'!A:C,3,0)</f>
        <v>GO</v>
      </c>
      <c r="E3810" s="16" t="str">
        <f>CONCATENATE(Tabela1[[#This Row],[CIDADE]],",",Tabela1[[#This Row],[UF]])</f>
        <v>Goiânia,GO</v>
      </c>
      <c r="F3810" s="15">
        <v>46041</v>
      </c>
      <c r="G3810">
        <v>990.6</v>
      </c>
      <c r="H3810" s="10">
        <v>1470</v>
      </c>
      <c r="I3810" s="8">
        <f>Tabela1[[#This Row],[Valor total]]-Tabela1[[#This Row],[Valor custo]]</f>
        <v>479.4</v>
      </c>
      <c r="J3810" s="18">
        <f>Tabela1[[#This Row],[MARGEM BRUTA]]/Tabela1[[#This Row],[Valor total]]</f>
        <v>0.32612244897959181</v>
      </c>
      <c r="K3810" s="16" t="str">
        <f>VLOOKUP(Tabela1[[#This Row],[Cliente]],'BASE DE CLIENTES'!A:D,4,0)</f>
        <v>EMPRESA COM MAQUINA</v>
      </c>
      <c r="L3810" s="16" t="str">
        <f>VLOOKUP(Tabela1[[#This Row],[Cliente]],'BASE DE CLIENTES'!A:E,5,0)</f>
        <v>Goiânia</v>
      </c>
    </row>
    <row r="3811" spans="1:12" x14ac:dyDescent="0.3">
      <c r="A3811" t="s">
        <v>948</v>
      </c>
      <c r="B3811" t="s">
        <v>68</v>
      </c>
      <c r="C3811" s="16" t="str">
        <f>VLOOKUP(Tabela1[[#This Row],[Cliente]],'BASE DE CLIENTES'!A:E,2,0)</f>
        <v>Brasília</v>
      </c>
      <c r="D3811" s="16" t="str">
        <f>VLOOKUP(Tabela1[[#This Row],[Cliente]],'BASE DE CLIENTES'!A:C,3,0)</f>
        <v>DF</v>
      </c>
      <c r="E3811" s="16" t="str">
        <f>CONCATENATE(Tabela1[[#This Row],[CIDADE]],",",Tabela1[[#This Row],[UF]])</f>
        <v>Brasília,DF</v>
      </c>
      <c r="F3811" s="15">
        <v>46041</v>
      </c>
      <c r="G3811" s="10">
        <v>1000</v>
      </c>
      <c r="H3811" s="10">
        <v>1400</v>
      </c>
      <c r="I3811" s="8">
        <f>Tabela1[[#This Row],[Valor total]]-Tabela1[[#This Row],[Valor custo]]</f>
        <v>400</v>
      </c>
      <c r="J3811" s="18">
        <f>Tabela1[[#This Row],[MARGEM BRUTA]]/Tabela1[[#This Row],[Valor total]]</f>
        <v>0.2857142857142857</v>
      </c>
      <c r="K3811" s="16" t="str">
        <f>VLOOKUP(Tabela1[[#This Row],[Cliente]],'BASE DE CLIENTES'!A:D,4,0)</f>
        <v>EMPRESA COM MAQUINA</v>
      </c>
      <c r="L3811" s="16" t="str">
        <f>VLOOKUP(Tabela1[[#This Row],[Cliente]],'BASE DE CLIENTES'!A:E,5,0)</f>
        <v>SAMAMBAIA SUL (SAMAMBAIA)</v>
      </c>
    </row>
    <row r="3812" spans="1:12" x14ac:dyDescent="0.3">
      <c r="A3812" t="s">
        <v>949</v>
      </c>
      <c r="B3812" t="s">
        <v>52</v>
      </c>
      <c r="C3812" s="16" t="str">
        <f>VLOOKUP(Tabela1[[#This Row],[Cliente]],'BASE DE CLIENTES'!A:E,2,0)</f>
        <v>Brasília</v>
      </c>
      <c r="D3812" s="16" t="str">
        <f>VLOOKUP(Tabela1[[#This Row],[Cliente]],'BASE DE CLIENTES'!A:C,3,0)</f>
        <v>DF</v>
      </c>
      <c r="E3812" s="16" t="str">
        <f>CONCATENATE(Tabela1[[#This Row],[CIDADE]],",",Tabela1[[#This Row],[UF]])</f>
        <v>Brasília,DF</v>
      </c>
      <c r="F3812" s="15">
        <v>46041</v>
      </c>
      <c r="G3812">
        <v>450.27</v>
      </c>
      <c r="H3812">
        <v>700</v>
      </c>
      <c r="I3812" s="8">
        <f>Tabela1[[#This Row],[Valor total]]-Tabela1[[#This Row],[Valor custo]]</f>
        <v>249.73000000000002</v>
      </c>
      <c r="J3812" s="18">
        <f>Tabela1[[#This Row],[MARGEM BRUTA]]/Tabela1[[#This Row],[Valor total]]</f>
        <v>0.35675714285714288</v>
      </c>
      <c r="K3812" s="16" t="str">
        <f>VLOOKUP(Tabela1[[#This Row],[Cliente]],'BASE DE CLIENTES'!A:D,4,0)</f>
        <v>SERRALHEIRO</v>
      </c>
      <c r="L3812" s="16" t="str">
        <f>VLOOKUP(Tabela1[[#This Row],[Cliente]],'BASE DE CLIENTES'!A:E,5,0)</f>
        <v>Ceilândia Sul (Ceilândia)</v>
      </c>
    </row>
    <row r="3813" spans="1:12" x14ac:dyDescent="0.3">
      <c r="A3813" t="s">
        <v>950</v>
      </c>
      <c r="B3813" t="s">
        <v>264</v>
      </c>
      <c r="C3813" s="16" t="str">
        <f>VLOOKUP(Tabela1[[#This Row],[Cliente]],'BASE DE CLIENTES'!A:E,2,0)</f>
        <v>Brasília</v>
      </c>
      <c r="D3813" s="16" t="str">
        <f>VLOOKUP(Tabela1[[#This Row],[Cliente]],'BASE DE CLIENTES'!A:C,3,0)</f>
        <v>DF</v>
      </c>
      <c r="E3813" s="16" t="str">
        <f>CONCATENATE(Tabela1[[#This Row],[CIDADE]],",",Tabela1[[#This Row],[UF]])</f>
        <v>Brasília,DF</v>
      </c>
      <c r="F3813" s="15">
        <v>46041</v>
      </c>
      <c r="G3813">
        <v>86.77</v>
      </c>
      <c r="H3813">
        <v>165</v>
      </c>
      <c r="I3813" s="8">
        <f>Tabela1[[#This Row],[Valor total]]-Tabela1[[#This Row],[Valor custo]]</f>
        <v>78.23</v>
      </c>
      <c r="J3813" s="18">
        <f>Tabela1[[#This Row],[MARGEM BRUTA]]/Tabela1[[#This Row],[Valor total]]</f>
        <v>0.47412121212121217</v>
      </c>
      <c r="K3813" s="16" t="str">
        <f>VLOOKUP(Tabela1[[#This Row],[Cliente]],'BASE DE CLIENTES'!A:D,4,0)</f>
        <v>SERRALHEIRO</v>
      </c>
      <c r="L3813" s="16" t="str">
        <f>VLOOKUP(Tabela1[[#This Row],[Cliente]],'BASE DE CLIENTES'!A:E,5,0)</f>
        <v>Recanto das emas</v>
      </c>
    </row>
    <row r="3814" spans="1:12" x14ac:dyDescent="0.3">
      <c r="A3814" t="s">
        <v>951</v>
      </c>
      <c r="B3814" t="s">
        <v>120</v>
      </c>
      <c r="C3814" s="16" t="str">
        <f>VLOOKUP(Tabela1[[#This Row],[Cliente]],'BASE DE CLIENTES'!A:E,2,0)</f>
        <v>Brasília</v>
      </c>
      <c r="D3814" s="16" t="str">
        <f>VLOOKUP(Tabela1[[#This Row],[Cliente]],'BASE DE CLIENTES'!A:C,3,0)</f>
        <v>DF</v>
      </c>
      <c r="E3814" s="16" t="str">
        <f>CONCATENATE(Tabela1[[#This Row],[CIDADE]],",",Tabela1[[#This Row],[UF]])</f>
        <v>Brasília,DF</v>
      </c>
      <c r="F3814" s="15">
        <v>46041</v>
      </c>
      <c r="G3814">
        <v>722</v>
      </c>
      <c r="H3814" s="10">
        <v>1230</v>
      </c>
      <c r="I3814" s="8">
        <f>Tabela1[[#This Row],[Valor total]]-Tabela1[[#This Row],[Valor custo]]</f>
        <v>508</v>
      </c>
      <c r="J3814" s="18">
        <f>Tabela1[[#This Row],[MARGEM BRUTA]]/Tabela1[[#This Row],[Valor total]]</f>
        <v>0.41300813008130083</v>
      </c>
      <c r="K3814" s="16" t="str">
        <f>VLOOKUP(Tabela1[[#This Row],[Cliente]],'BASE DE CLIENTES'!A:D,4,0)</f>
        <v>EMPRESA SEM MAQUINA</v>
      </c>
      <c r="L3814" s="16" t="str">
        <f>VLOOKUP(Tabela1[[#This Row],[Cliente]],'BASE DE CLIENTES'!A:E,5,0)</f>
        <v>SAMAMBAIA</v>
      </c>
    </row>
    <row r="3815" spans="1:12" x14ac:dyDescent="0.3">
      <c r="A3815" t="s">
        <v>952</v>
      </c>
      <c r="B3815" t="s">
        <v>25</v>
      </c>
      <c r="C3815" s="16" t="str">
        <f>VLOOKUP(Tabela1[[#This Row],[Cliente]],'BASE DE CLIENTES'!A:E,2,0)</f>
        <v>Brasília</v>
      </c>
      <c r="D3815" s="16" t="str">
        <f>VLOOKUP(Tabela1[[#This Row],[Cliente]],'BASE DE CLIENTES'!A:C,3,0)</f>
        <v>DF</v>
      </c>
      <c r="E3815" s="16" t="str">
        <f>CONCATENATE(Tabela1[[#This Row],[CIDADE]],",",Tabela1[[#This Row],[UF]])</f>
        <v>Brasília,DF</v>
      </c>
      <c r="F3815" s="15">
        <v>46041</v>
      </c>
      <c r="G3815">
        <v>132.06</v>
      </c>
      <c r="H3815">
        <v>200</v>
      </c>
      <c r="I3815" s="8">
        <f>Tabela1[[#This Row],[Valor total]]-Tabela1[[#This Row],[Valor custo]]</f>
        <v>67.94</v>
      </c>
      <c r="J3815" s="18">
        <f>Tabela1[[#This Row],[MARGEM BRUTA]]/Tabela1[[#This Row],[Valor total]]</f>
        <v>0.3397</v>
      </c>
      <c r="K3815" s="16" t="str">
        <f>VLOOKUP(Tabela1[[#This Row],[Cliente]],'BASE DE CLIENTES'!A:D,4,0)</f>
        <v>EMPRESA COM MAQUINA</v>
      </c>
      <c r="L3815" s="16" t="str">
        <f>VLOOKUP(Tabela1[[#This Row],[Cliente]],'BASE DE CLIENTES'!A:E,5,0)</f>
        <v>CEILANDIA NORTE (CEILANDIA)</v>
      </c>
    </row>
    <row r="3816" spans="1:12" x14ac:dyDescent="0.3">
      <c r="A3816" t="s">
        <v>953</v>
      </c>
      <c r="B3816" t="s">
        <v>128</v>
      </c>
      <c r="C3816" s="16" t="str">
        <f>VLOOKUP(Tabela1[[#This Row],[Cliente]],'BASE DE CLIENTES'!A:E,2,0)</f>
        <v>Brasília</v>
      </c>
      <c r="D3816" s="16" t="str">
        <f>VLOOKUP(Tabela1[[#This Row],[Cliente]],'BASE DE CLIENTES'!A:C,3,0)</f>
        <v>DF</v>
      </c>
      <c r="E3816" s="16" t="str">
        <f>CONCATENATE(Tabela1[[#This Row],[CIDADE]],",",Tabela1[[#This Row],[UF]])</f>
        <v>Brasília,DF</v>
      </c>
      <c r="F3816" s="15">
        <v>46041</v>
      </c>
      <c r="G3816">
        <v>697.92</v>
      </c>
      <c r="H3816" s="10">
        <v>1000</v>
      </c>
      <c r="I3816" s="8">
        <f>Tabela1[[#This Row],[Valor total]]-Tabela1[[#This Row],[Valor custo]]</f>
        <v>302.08000000000004</v>
      </c>
      <c r="J3816" s="18">
        <f>Tabela1[[#This Row],[MARGEM BRUTA]]/Tabela1[[#This Row],[Valor total]]</f>
        <v>0.30208000000000002</v>
      </c>
      <c r="K3816" s="16" t="str">
        <f>VLOOKUP(Tabela1[[#This Row],[Cliente]],'BASE DE CLIENTES'!A:D,4,0)</f>
        <v>SERRALHEIRO</v>
      </c>
      <c r="L3816" s="16" t="str">
        <f>VLOOKUP(Tabela1[[#This Row],[Cliente]],'BASE DE CLIENTES'!A:E,5,0)</f>
        <v>TAGUATINGA NORTE</v>
      </c>
    </row>
    <row r="3817" spans="1:12" x14ac:dyDescent="0.3">
      <c r="A3817" t="s">
        <v>954</v>
      </c>
      <c r="B3817" t="s">
        <v>775</v>
      </c>
      <c r="C3817" s="16" t="str">
        <f>VLOOKUP(Tabela1[[#This Row],[Cliente]],'BASE DE CLIENTES'!A:E,2,0)</f>
        <v>Brasília</v>
      </c>
      <c r="D3817" s="16" t="str">
        <f>VLOOKUP(Tabela1[[#This Row],[Cliente]],'BASE DE CLIENTES'!A:C,3,0)</f>
        <v>DF</v>
      </c>
      <c r="E3817" s="16" t="str">
        <f>CONCATENATE(Tabela1[[#This Row],[CIDADE]],",",Tabela1[[#This Row],[UF]])</f>
        <v>Brasília,DF</v>
      </c>
      <c r="F3817" s="15">
        <v>46041</v>
      </c>
      <c r="G3817" s="10">
        <v>2999.79</v>
      </c>
      <c r="H3817" s="10">
        <v>5055</v>
      </c>
      <c r="I3817" s="8">
        <f>Tabela1[[#This Row],[Valor total]]-Tabela1[[#This Row],[Valor custo]]</f>
        <v>2055.21</v>
      </c>
      <c r="J3817" s="18">
        <f>Tabela1[[#This Row],[MARGEM BRUTA]]/Tabela1[[#This Row],[Valor total]]</f>
        <v>0.40656973293768545</v>
      </c>
      <c r="K3817" s="16" t="str">
        <f>VLOOKUP(Tabela1[[#This Row],[Cliente]],'BASE DE CLIENTES'!A:D,4,0)</f>
        <v>CLIENTE NOVO S/ IDENT.</v>
      </c>
      <c r="L3817" s="16" t="str">
        <f>VLOOKUP(Tabela1[[#This Row],[Cliente]],'BASE DE CLIENTES'!A:E,5,0)</f>
        <v>Brasília</v>
      </c>
    </row>
    <row r="3818" spans="1:12" x14ac:dyDescent="0.3">
      <c r="A3818" t="s">
        <v>955</v>
      </c>
      <c r="B3818" t="s">
        <v>147</v>
      </c>
      <c r="C3818" s="16" t="str">
        <f>VLOOKUP(Tabela1[[#This Row],[Cliente]],'BASE DE CLIENTES'!A:E,2,0)</f>
        <v>Brasília</v>
      </c>
      <c r="D3818" s="16" t="str">
        <f>VLOOKUP(Tabela1[[#This Row],[Cliente]],'BASE DE CLIENTES'!A:C,3,0)</f>
        <v>DF</v>
      </c>
      <c r="E3818" s="16" t="str">
        <f>CONCATENATE(Tabela1[[#This Row],[CIDADE]],",",Tabela1[[#This Row],[UF]])</f>
        <v>Brasília,DF</v>
      </c>
      <c r="F3818" s="15">
        <v>46041</v>
      </c>
      <c r="G3818">
        <v>751</v>
      </c>
      <c r="H3818" s="10">
        <v>1500</v>
      </c>
      <c r="I3818" s="8">
        <f>Tabela1[[#This Row],[Valor total]]-Tabela1[[#This Row],[Valor custo]]</f>
        <v>749</v>
      </c>
      <c r="J3818" s="18">
        <f>Tabela1[[#This Row],[MARGEM BRUTA]]/Tabela1[[#This Row],[Valor total]]</f>
        <v>0.49933333333333335</v>
      </c>
      <c r="K3818" s="16" t="str">
        <f>VLOOKUP(Tabela1[[#This Row],[Cliente]],'BASE DE CLIENTES'!A:D,4,0)</f>
        <v>SEM CLASSIFICAÇÃO</v>
      </c>
      <c r="L3818" s="16" t="str">
        <f>VLOOKUP(Tabela1[[#This Row],[Cliente]],'BASE DE CLIENTES'!A:E,5,0)</f>
        <v>AREAL (AGUAS CLARAS)</v>
      </c>
    </row>
    <row r="3819" spans="1:12" x14ac:dyDescent="0.3">
      <c r="A3819" t="s">
        <v>956</v>
      </c>
      <c r="B3819" t="s">
        <v>127</v>
      </c>
      <c r="C3819" s="16" t="str">
        <f>VLOOKUP(Tabela1[[#This Row],[Cliente]],'BASE DE CLIENTES'!A:E,2,0)</f>
        <v>Brasília</v>
      </c>
      <c r="D3819" s="16" t="str">
        <f>VLOOKUP(Tabela1[[#This Row],[Cliente]],'BASE DE CLIENTES'!A:C,3,0)</f>
        <v>DF</v>
      </c>
      <c r="E3819" s="16" t="str">
        <f>CONCATENATE(Tabela1[[#This Row],[CIDADE]],",",Tabela1[[#This Row],[UF]])</f>
        <v>Brasília,DF</v>
      </c>
      <c r="F3819" s="15">
        <v>46041</v>
      </c>
      <c r="G3819" s="10">
        <v>6420.3</v>
      </c>
      <c r="H3819" s="10">
        <v>9275</v>
      </c>
      <c r="I3819" s="8">
        <f>Tabela1[[#This Row],[Valor total]]-Tabela1[[#This Row],[Valor custo]]</f>
        <v>2854.7</v>
      </c>
      <c r="J3819" s="18">
        <f>Tabela1[[#This Row],[MARGEM BRUTA]]/Tabela1[[#This Row],[Valor total]]</f>
        <v>0.3077843665768194</v>
      </c>
      <c r="K3819" s="16" t="str">
        <f>VLOOKUP(Tabela1[[#This Row],[Cliente]],'BASE DE CLIENTES'!A:D,4,0)</f>
        <v>EMPRESA COM MAQUINA</v>
      </c>
      <c r="L3819" s="16" t="str">
        <f>VLOOKUP(Tabela1[[#This Row],[Cliente]],'BASE DE CLIENTES'!A:E,5,0)</f>
        <v>CEILANDIA SUL (CEILANDIA)</v>
      </c>
    </row>
    <row r="3820" spans="1:12" x14ac:dyDescent="0.3">
      <c r="A3820" t="s">
        <v>957</v>
      </c>
      <c r="B3820" t="s">
        <v>253</v>
      </c>
      <c r="C3820" s="16" t="str">
        <f>VLOOKUP(Tabela1[[#This Row],[Cliente]],'BASE DE CLIENTES'!A:E,2,0)</f>
        <v>Luziânia</v>
      </c>
      <c r="D3820" s="16" t="str">
        <f>VLOOKUP(Tabela1[[#This Row],[Cliente]],'BASE DE CLIENTES'!A:C,3,0)</f>
        <v>GO</v>
      </c>
      <c r="E3820" s="16" t="str">
        <f>CONCATENATE(Tabela1[[#This Row],[CIDADE]],",",Tabela1[[#This Row],[UF]])</f>
        <v>Luziânia,GO</v>
      </c>
      <c r="F3820" s="15">
        <v>46041</v>
      </c>
      <c r="G3820" s="10">
        <v>1223.26</v>
      </c>
      <c r="H3820" s="10">
        <v>1920</v>
      </c>
      <c r="I3820" s="8">
        <f>Tabela1[[#This Row],[Valor total]]-Tabela1[[#This Row],[Valor custo]]</f>
        <v>696.74</v>
      </c>
      <c r="J3820" s="18">
        <f>Tabela1[[#This Row],[MARGEM BRUTA]]/Tabela1[[#This Row],[Valor total]]</f>
        <v>0.36288541666666668</v>
      </c>
      <c r="K3820" s="16" t="str">
        <f>VLOOKUP(Tabela1[[#This Row],[Cliente]],'BASE DE CLIENTES'!A:D,4,0)</f>
        <v>EMPRESA COM MAQUINA</v>
      </c>
      <c r="L3820" s="16" t="str">
        <f>VLOOKUP(Tabela1[[#This Row],[Cliente]],'BASE DE CLIENTES'!A:E,5,0)</f>
        <v>Luziânia</v>
      </c>
    </row>
    <row r="3821" spans="1:12" x14ac:dyDescent="0.3">
      <c r="A3821" t="s">
        <v>958</v>
      </c>
      <c r="B3821" t="s">
        <v>352</v>
      </c>
      <c r="C3821" s="16" t="str">
        <f>VLOOKUP(Tabela1[[#This Row],[Cliente]],'BASE DE CLIENTES'!A:E,2,0)</f>
        <v>Foz do Iguaçu</v>
      </c>
      <c r="D3821" s="16" t="str">
        <f>VLOOKUP(Tabela1[[#This Row],[Cliente]],'BASE DE CLIENTES'!A:C,3,0)</f>
        <v>PR</v>
      </c>
      <c r="E3821" s="16" t="str">
        <f>CONCATENATE(Tabela1[[#This Row],[CIDADE]],",",Tabela1[[#This Row],[UF]])</f>
        <v>Foz do Iguaçu,PR</v>
      </c>
      <c r="F3821" s="15">
        <v>46041</v>
      </c>
      <c r="G3821">
        <v>562.79999999999995</v>
      </c>
      <c r="H3821" s="10">
        <v>1170</v>
      </c>
      <c r="I3821" s="8">
        <f>Tabela1[[#This Row],[Valor total]]-Tabela1[[#This Row],[Valor custo]]</f>
        <v>607.20000000000005</v>
      </c>
      <c r="J3821" s="18">
        <f>Tabela1[[#This Row],[MARGEM BRUTA]]/Tabela1[[#This Row],[Valor total]]</f>
        <v>0.51897435897435906</v>
      </c>
      <c r="K3821" s="16" t="str">
        <f>VLOOKUP(Tabela1[[#This Row],[Cliente]],'BASE DE CLIENTES'!A:D,4,0)</f>
        <v>CLIENTE NOVO S/ IDENT.</v>
      </c>
      <c r="L3821" s="16" t="str">
        <f>VLOOKUP(Tabela1[[#This Row],[Cliente]],'BASE DE CLIENTES'!A:E,5,0)</f>
        <v>Foz do Iguaçu</v>
      </c>
    </row>
    <row r="3822" spans="1:12" x14ac:dyDescent="0.3">
      <c r="A3822" t="s">
        <v>959</v>
      </c>
      <c r="B3822" t="s">
        <v>236</v>
      </c>
      <c r="C3822" s="16" t="str">
        <f>VLOOKUP(Tabela1[[#This Row],[Cliente]],'BASE DE CLIENTES'!A:E,2,0)</f>
        <v>Goiânia</v>
      </c>
      <c r="D3822" s="16" t="str">
        <f>VLOOKUP(Tabela1[[#This Row],[Cliente]],'BASE DE CLIENTES'!A:C,3,0)</f>
        <v>GO</v>
      </c>
      <c r="E3822" s="16" t="str">
        <f>CONCATENATE(Tabela1[[#This Row],[CIDADE]],",",Tabela1[[#This Row],[UF]])</f>
        <v>Goiânia,GO</v>
      </c>
      <c r="F3822" s="15">
        <v>46041</v>
      </c>
      <c r="G3822">
        <v>833.79</v>
      </c>
      <c r="H3822" s="10">
        <v>1205</v>
      </c>
      <c r="I3822" s="8">
        <f>Tabela1[[#This Row],[Valor total]]-Tabela1[[#This Row],[Valor custo]]</f>
        <v>371.21000000000004</v>
      </c>
      <c r="J3822" s="18">
        <f>Tabela1[[#This Row],[MARGEM BRUTA]]/Tabela1[[#This Row],[Valor total]]</f>
        <v>0.30805809128630707</v>
      </c>
      <c r="K3822" s="16" t="str">
        <f>VLOOKUP(Tabela1[[#This Row],[Cliente]],'BASE DE CLIENTES'!A:D,4,0)</f>
        <v>EMPRESA COM MAQUINA</v>
      </c>
      <c r="L3822" s="16" t="str">
        <f>VLOOKUP(Tabela1[[#This Row],[Cliente]],'BASE DE CLIENTES'!A:E,5,0)</f>
        <v>Goiânia</v>
      </c>
    </row>
    <row r="3823" spans="1:12" x14ac:dyDescent="0.3">
      <c r="A3823" t="s">
        <v>960</v>
      </c>
      <c r="B3823" t="s">
        <v>70</v>
      </c>
      <c r="C3823" s="16" t="str">
        <f>VLOOKUP(Tabela1[[#This Row],[Cliente]],'BASE DE CLIENTES'!A:E,2,0)</f>
        <v>Brasília</v>
      </c>
      <c r="D3823" s="16" t="str">
        <f>VLOOKUP(Tabela1[[#This Row],[Cliente]],'BASE DE CLIENTES'!A:C,3,0)</f>
        <v>DF</v>
      </c>
      <c r="E3823" s="16" t="str">
        <f>CONCATENATE(Tabela1[[#This Row],[CIDADE]],",",Tabela1[[#This Row],[UF]])</f>
        <v>Brasília,DF</v>
      </c>
      <c r="F3823" s="15">
        <v>46041</v>
      </c>
      <c r="G3823">
        <v>361</v>
      </c>
      <c r="H3823">
        <v>615</v>
      </c>
      <c r="I3823" s="8">
        <f>Tabela1[[#This Row],[Valor total]]-Tabela1[[#This Row],[Valor custo]]</f>
        <v>254</v>
      </c>
      <c r="J3823" s="18">
        <f>Tabela1[[#This Row],[MARGEM BRUTA]]/Tabela1[[#This Row],[Valor total]]</f>
        <v>0.41300813008130083</v>
      </c>
      <c r="K3823" s="16" t="str">
        <f>VLOOKUP(Tabela1[[#This Row],[Cliente]],'BASE DE CLIENTES'!A:D,4,0)</f>
        <v>EMPRESA COM MAQUINA</v>
      </c>
      <c r="L3823" s="16" t="str">
        <f>VLOOKUP(Tabela1[[#This Row],[Cliente]],'BASE DE CLIENTES'!A:E,5,0)</f>
        <v>TAGUATINGA NORTE (TAGUATINGA)</v>
      </c>
    </row>
    <row r="3824" spans="1:12" x14ac:dyDescent="0.3">
      <c r="A3824" t="s">
        <v>961</v>
      </c>
      <c r="B3824" t="s">
        <v>227</v>
      </c>
      <c r="C3824" s="16" t="str">
        <f>VLOOKUP(Tabela1[[#This Row],[Cliente]],'BASE DE CLIENTES'!A:E,2,0)</f>
        <v>Goiânia</v>
      </c>
      <c r="D3824" s="16" t="str">
        <f>VLOOKUP(Tabela1[[#This Row],[Cliente]],'BASE DE CLIENTES'!A:C,3,0)</f>
        <v>GO</v>
      </c>
      <c r="E3824" s="16" t="str">
        <f>CONCATENATE(Tabela1[[#This Row],[CIDADE]],",",Tabela1[[#This Row],[UF]])</f>
        <v>Goiânia,GO</v>
      </c>
      <c r="F3824" s="15">
        <v>46041</v>
      </c>
      <c r="G3824" s="10">
        <v>7220</v>
      </c>
      <c r="H3824" s="10">
        <v>11000</v>
      </c>
      <c r="I3824" s="8">
        <f>Tabela1[[#This Row],[Valor total]]-Tabela1[[#This Row],[Valor custo]]</f>
        <v>3780</v>
      </c>
      <c r="J3824" s="18">
        <f>Tabela1[[#This Row],[MARGEM BRUTA]]/Tabela1[[#This Row],[Valor total]]</f>
        <v>0.34363636363636363</v>
      </c>
      <c r="K3824" s="16" t="str">
        <f>VLOOKUP(Tabela1[[#This Row],[Cliente]],'BASE DE CLIENTES'!A:D,4,0)</f>
        <v>EMPRESA SEM MAQUINA</v>
      </c>
      <c r="L3824" s="16" t="str">
        <f>VLOOKUP(Tabela1[[#This Row],[Cliente]],'BASE DE CLIENTES'!A:E,5,0)</f>
        <v>Goiânia</v>
      </c>
    </row>
    <row r="3825" spans="1:12" x14ac:dyDescent="0.3">
      <c r="A3825" t="s">
        <v>962</v>
      </c>
      <c r="B3825" t="s">
        <v>42</v>
      </c>
      <c r="C3825" s="16" t="str">
        <f>VLOOKUP(Tabela1[[#This Row],[Cliente]],'BASE DE CLIENTES'!A:E,2,0)</f>
        <v>Brasília</v>
      </c>
      <c r="D3825" s="16" t="str">
        <f>VLOOKUP(Tabela1[[#This Row],[Cliente]],'BASE DE CLIENTES'!A:C,3,0)</f>
        <v>DF</v>
      </c>
      <c r="E3825" s="16" t="str">
        <f>CONCATENATE(Tabela1[[#This Row],[CIDADE]],",",Tabela1[[#This Row],[UF]])</f>
        <v>Brasília,DF</v>
      </c>
      <c r="F3825" s="15">
        <v>46041</v>
      </c>
      <c r="G3825" s="10">
        <v>1350.81</v>
      </c>
      <c r="H3825" s="10">
        <v>1965</v>
      </c>
      <c r="I3825" s="8">
        <f>Tabela1[[#This Row],[Valor total]]-Tabela1[[#This Row],[Valor custo]]</f>
        <v>614.19000000000005</v>
      </c>
      <c r="J3825" s="18">
        <f>Tabela1[[#This Row],[MARGEM BRUTA]]/Tabela1[[#This Row],[Valor total]]</f>
        <v>0.31256488549618322</v>
      </c>
      <c r="K3825" s="16" t="str">
        <f>VLOOKUP(Tabela1[[#This Row],[Cliente]],'BASE DE CLIENTES'!A:D,4,0)</f>
        <v>EMPRESA SEM MAQUINA</v>
      </c>
      <c r="L3825" s="16" t="str">
        <f>VLOOKUP(Tabela1[[#This Row],[Cliente]],'BASE DE CLIENTES'!A:E,5,0)</f>
        <v>SAMAMBAIA</v>
      </c>
    </row>
    <row r="3826" spans="1:12" x14ac:dyDescent="0.3">
      <c r="A3826" t="s">
        <v>963</v>
      </c>
      <c r="B3826" t="s">
        <v>161</v>
      </c>
      <c r="C3826" s="16" t="str">
        <f>VLOOKUP(Tabela1[[#This Row],[Cliente]],'BASE DE CLIENTES'!A:E,2,0)</f>
        <v>Brasília</v>
      </c>
      <c r="D3826" s="16" t="str">
        <f>VLOOKUP(Tabela1[[#This Row],[Cliente]],'BASE DE CLIENTES'!A:C,3,0)</f>
        <v>DF</v>
      </c>
      <c r="E3826" s="16" t="str">
        <f>CONCATENATE(Tabela1[[#This Row],[CIDADE]],",",Tabela1[[#This Row],[UF]])</f>
        <v>Brasília,DF</v>
      </c>
      <c r="F3826" s="15">
        <v>46041</v>
      </c>
      <c r="G3826">
        <v>250</v>
      </c>
      <c r="H3826">
        <v>300</v>
      </c>
      <c r="I3826" s="8">
        <f>Tabela1[[#This Row],[Valor total]]-Tabela1[[#This Row],[Valor custo]]</f>
        <v>50</v>
      </c>
      <c r="J3826" s="18">
        <f>Tabela1[[#This Row],[MARGEM BRUTA]]/Tabela1[[#This Row],[Valor total]]</f>
        <v>0.16666666666666666</v>
      </c>
      <c r="K3826" s="16" t="str">
        <f>VLOOKUP(Tabela1[[#This Row],[Cliente]],'BASE DE CLIENTES'!A:D,4,0)</f>
        <v>EMPRESA COM MAQUINA</v>
      </c>
      <c r="L3826" s="16" t="str">
        <f>VLOOKUP(Tabela1[[#This Row],[Cliente]],'BASE DE CLIENTES'!A:E,5,0)</f>
        <v>RIACHO FUNDO II</v>
      </c>
    </row>
    <row r="3827" spans="1:12" x14ac:dyDescent="0.3">
      <c r="A3827" t="s">
        <v>964</v>
      </c>
      <c r="B3827" t="s">
        <v>161</v>
      </c>
      <c r="C3827" s="16" t="str">
        <f>VLOOKUP(Tabela1[[#This Row],[Cliente]],'BASE DE CLIENTES'!A:E,2,0)</f>
        <v>Brasília</v>
      </c>
      <c r="D3827" s="16" t="str">
        <f>VLOOKUP(Tabela1[[#This Row],[Cliente]],'BASE DE CLIENTES'!A:C,3,0)</f>
        <v>DF</v>
      </c>
      <c r="E3827" s="16" t="str">
        <f>CONCATENATE(Tabela1[[#This Row],[CIDADE]],",",Tabela1[[#This Row],[UF]])</f>
        <v>Brasília,DF</v>
      </c>
      <c r="F3827" s="15">
        <v>46041</v>
      </c>
      <c r="G3827" s="10">
        <v>10830</v>
      </c>
      <c r="H3827" s="10">
        <v>17100</v>
      </c>
      <c r="I3827" s="8">
        <f>Tabela1[[#This Row],[Valor total]]-Tabela1[[#This Row],[Valor custo]]</f>
        <v>6270</v>
      </c>
      <c r="J3827" s="18">
        <f>Tabela1[[#This Row],[MARGEM BRUTA]]/Tabela1[[#This Row],[Valor total]]</f>
        <v>0.36666666666666664</v>
      </c>
      <c r="K3827" s="16" t="str">
        <f>VLOOKUP(Tabela1[[#This Row],[Cliente]],'BASE DE CLIENTES'!A:D,4,0)</f>
        <v>EMPRESA COM MAQUINA</v>
      </c>
      <c r="L3827" s="16" t="str">
        <f>VLOOKUP(Tabela1[[#This Row],[Cliente]],'BASE DE CLIENTES'!A:E,5,0)</f>
        <v>RIACHO FUNDO II</v>
      </c>
    </row>
    <row r="3828" spans="1:12" x14ac:dyDescent="0.3">
      <c r="A3828" t="s">
        <v>965</v>
      </c>
      <c r="B3828" t="s">
        <v>776</v>
      </c>
      <c r="C3828" s="16" t="str">
        <f>VLOOKUP(Tabela1[[#This Row],[Cliente]],'BASE DE CLIENTES'!A:E,2,0)</f>
        <v>Brasília</v>
      </c>
      <c r="D3828" s="16" t="str">
        <f>VLOOKUP(Tabela1[[#This Row],[Cliente]],'BASE DE CLIENTES'!A:C,3,0)</f>
        <v>DF</v>
      </c>
      <c r="E3828" s="16" t="str">
        <f>CONCATENATE(Tabela1[[#This Row],[CIDADE]],",",Tabela1[[#This Row],[UF]])</f>
        <v>Brasília,DF</v>
      </c>
      <c r="F3828" s="15">
        <v>46052</v>
      </c>
      <c r="G3828">
        <v>0</v>
      </c>
      <c r="H3828">
        <v>0</v>
      </c>
      <c r="I3828" s="8">
        <f>Tabela1[[#This Row],[Valor total]]-Tabela1[[#This Row],[Valor custo]]</f>
        <v>0</v>
      </c>
      <c r="J3828" s="18" t="e">
        <f>Tabela1[[#This Row],[MARGEM BRUTA]]/Tabela1[[#This Row],[Valor total]]</f>
        <v>#DIV/0!</v>
      </c>
      <c r="K3828" s="16" t="str">
        <f>VLOOKUP(Tabela1[[#This Row],[Cliente]],'BASE DE CLIENTES'!A:D,4,0)</f>
        <v>CLIENTE NOVO S/ IDENT.</v>
      </c>
      <c r="L3828" s="16" t="str">
        <f>VLOOKUP(Tabela1[[#This Row],[Cliente]],'BASE DE CLIENTES'!A:E,5,0)</f>
        <v>Estrutural</v>
      </c>
    </row>
    <row r="3829" spans="1:12" x14ac:dyDescent="0.3">
      <c r="A3829" t="s">
        <v>966</v>
      </c>
      <c r="B3829" t="s">
        <v>68</v>
      </c>
      <c r="C3829" s="16" t="str">
        <f>VLOOKUP(Tabela1[[#This Row],[Cliente]],'BASE DE CLIENTES'!A:E,2,0)</f>
        <v>Brasília</v>
      </c>
      <c r="D3829" s="16" t="str">
        <f>VLOOKUP(Tabela1[[#This Row],[Cliente]],'BASE DE CLIENTES'!A:C,3,0)</f>
        <v>DF</v>
      </c>
      <c r="E3829" s="16" t="str">
        <f>CONCATENATE(Tabela1[[#This Row],[CIDADE]],",",Tabela1[[#This Row],[UF]])</f>
        <v>Brasília,DF</v>
      </c>
      <c r="F3829" s="15">
        <v>46038</v>
      </c>
      <c r="G3829" s="10">
        <v>2496.4899999999998</v>
      </c>
      <c r="H3829" s="10">
        <v>4125</v>
      </c>
      <c r="I3829" s="8">
        <f>Tabela1[[#This Row],[Valor total]]-Tabela1[[#This Row],[Valor custo]]</f>
        <v>1628.5100000000002</v>
      </c>
      <c r="J3829" s="18">
        <f>Tabela1[[#This Row],[MARGEM BRUTA]]/Tabela1[[#This Row],[Valor total]]</f>
        <v>0.3947903030303031</v>
      </c>
      <c r="K3829" s="16" t="str">
        <f>VLOOKUP(Tabela1[[#This Row],[Cliente]],'BASE DE CLIENTES'!A:D,4,0)</f>
        <v>EMPRESA COM MAQUINA</v>
      </c>
      <c r="L3829" s="16" t="str">
        <f>VLOOKUP(Tabela1[[#This Row],[Cliente]],'BASE DE CLIENTES'!A:E,5,0)</f>
        <v>SAMAMBAIA SUL (SAMAMBAIA)</v>
      </c>
    </row>
    <row r="3830" spans="1:12" x14ac:dyDescent="0.3">
      <c r="A3830" t="s">
        <v>967</v>
      </c>
      <c r="B3830" t="s">
        <v>260</v>
      </c>
      <c r="C3830" s="16" t="str">
        <f>VLOOKUP(Tabela1[[#This Row],[Cliente]],'BASE DE CLIENTES'!A:E,2,0)</f>
        <v>Luziânia</v>
      </c>
      <c r="D3830" s="16" t="str">
        <f>VLOOKUP(Tabela1[[#This Row],[Cliente]],'BASE DE CLIENTES'!A:C,3,0)</f>
        <v>GO</v>
      </c>
      <c r="E3830" s="16" t="str">
        <f>CONCATENATE(Tabela1[[#This Row],[CIDADE]],",",Tabela1[[#This Row],[UF]])</f>
        <v>Luziânia,GO</v>
      </c>
      <c r="F3830" s="15">
        <v>46038</v>
      </c>
      <c r="G3830">
        <v>35</v>
      </c>
      <c r="H3830">
        <v>20</v>
      </c>
      <c r="I3830" s="8">
        <f>Tabela1[[#This Row],[Valor total]]-Tabela1[[#This Row],[Valor custo]]</f>
        <v>-15</v>
      </c>
      <c r="J3830" s="18">
        <f>Tabela1[[#This Row],[MARGEM BRUTA]]/Tabela1[[#This Row],[Valor total]]</f>
        <v>-0.75</v>
      </c>
      <c r="K3830" s="16" t="str">
        <f>VLOOKUP(Tabela1[[#This Row],[Cliente]],'BASE DE CLIENTES'!A:D,4,0)</f>
        <v>SERRALHEIRO</v>
      </c>
      <c r="L3830" s="16" t="str">
        <f>VLOOKUP(Tabela1[[#This Row],[Cliente]],'BASE DE CLIENTES'!A:E,5,0)</f>
        <v>Luziânia</v>
      </c>
    </row>
    <row r="3831" spans="1:12" x14ac:dyDescent="0.3">
      <c r="A3831" t="s">
        <v>968</v>
      </c>
      <c r="B3831" t="s">
        <v>260</v>
      </c>
      <c r="C3831" s="16" t="str">
        <f>VLOOKUP(Tabela1[[#This Row],[Cliente]],'BASE DE CLIENTES'!A:E,2,0)</f>
        <v>Luziânia</v>
      </c>
      <c r="D3831" s="16" t="str">
        <f>VLOOKUP(Tabela1[[#This Row],[Cliente]],'BASE DE CLIENTES'!A:C,3,0)</f>
        <v>GO</v>
      </c>
      <c r="E3831" s="16" t="str">
        <f>CONCATENATE(Tabela1[[#This Row],[CIDADE]],",",Tabela1[[#This Row],[UF]])</f>
        <v>Luziânia,GO</v>
      </c>
      <c r="F3831" s="15">
        <v>46038</v>
      </c>
      <c r="G3831">
        <v>33</v>
      </c>
      <c r="H3831">
        <v>120</v>
      </c>
      <c r="I3831" s="8">
        <f>Tabela1[[#This Row],[Valor total]]-Tabela1[[#This Row],[Valor custo]]</f>
        <v>87</v>
      </c>
      <c r="J3831" s="18">
        <f>Tabela1[[#This Row],[MARGEM BRUTA]]/Tabela1[[#This Row],[Valor total]]</f>
        <v>0.72499999999999998</v>
      </c>
      <c r="K3831" s="16" t="str">
        <f>VLOOKUP(Tabela1[[#This Row],[Cliente]],'BASE DE CLIENTES'!A:D,4,0)</f>
        <v>SERRALHEIRO</v>
      </c>
      <c r="L3831" s="16" t="str">
        <f>VLOOKUP(Tabela1[[#This Row],[Cliente]],'BASE DE CLIENTES'!A:E,5,0)</f>
        <v>Luziânia</v>
      </c>
    </row>
    <row r="3832" spans="1:12" x14ac:dyDescent="0.3">
      <c r="A3832" t="s">
        <v>969</v>
      </c>
      <c r="B3832" t="s">
        <v>120</v>
      </c>
      <c r="C3832" s="16" t="str">
        <f>VLOOKUP(Tabela1[[#This Row],[Cliente]],'BASE DE CLIENTES'!A:E,2,0)</f>
        <v>Brasília</v>
      </c>
      <c r="D3832" s="16" t="str">
        <f>VLOOKUP(Tabela1[[#This Row],[Cliente]],'BASE DE CLIENTES'!A:C,3,0)</f>
        <v>DF</v>
      </c>
      <c r="E3832" s="16" t="str">
        <f>CONCATENATE(Tabela1[[#This Row],[CIDADE]],",",Tabela1[[#This Row],[UF]])</f>
        <v>Brasília,DF</v>
      </c>
      <c r="F3832" s="15">
        <v>46038</v>
      </c>
      <c r="G3832">
        <v>377.85</v>
      </c>
      <c r="H3832">
        <v>615</v>
      </c>
      <c r="I3832" s="8">
        <f>Tabela1[[#This Row],[Valor total]]-Tabela1[[#This Row],[Valor custo]]</f>
        <v>237.14999999999998</v>
      </c>
      <c r="J3832" s="18">
        <f>Tabela1[[#This Row],[MARGEM BRUTA]]/Tabela1[[#This Row],[Valor total]]</f>
        <v>0.38560975609756093</v>
      </c>
      <c r="K3832" s="16" t="str">
        <f>VLOOKUP(Tabela1[[#This Row],[Cliente]],'BASE DE CLIENTES'!A:D,4,0)</f>
        <v>EMPRESA SEM MAQUINA</v>
      </c>
      <c r="L3832" s="16" t="str">
        <f>VLOOKUP(Tabela1[[#This Row],[Cliente]],'BASE DE CLIENTES'!A:E,5,0)</f>
        <v>SAMAMBAIA</v>
      </c>
    </row>
    <row r="3833" spans="1:12" x14ac:dyDescent="0.3">
      <c r="A3833" t="s">
        <v>970</v>
      </c>
      <c r="B3833" t="s">
        <v>152</v>
      </c>
      <c r="C3833" s="16" t="str">
        <f>VLOOKUP(Tabela1[[#This Row],[Cliente]],'BASE DE CLIENTES'!A:E,2,0)</f>
        <v>Aparecida de Goiânia</v>
      </c>
      <c r="D3833" s="16" t="str">
        <f>VLOOKUP(Tabela1[[#This Row],[Cliente]],'BASE DE CLIENTES'!A:C,3,0)</f>
        <v>GO</v>
      </c>
      <c r="E3833" s="16" t="str">
        <f>CONCATENATE(Tabela1[[#This Row],[CIDADE]],",",Tabela1[[#This Row],[UF]])</f>
        <v>Aparecida de Goiânia,GO</v>
      </c>
      <c r="F3833" s="15">
        <v>46038</v>
      </c>
      <c r="G3833">
        <v>697.92</v>
      </c>
      <c r="H3833">
        <v>950</v>
      </c>
      <c r="I3833" s="8">
        <f>Tabela1[[#This Row],[Valor total]]-Tabela1[[#This Row],[Valor custo]]</f>
        <v>252.08000000000004</v>
      </c>
      <c r="J3833" s="18">
        <f>Tabela1[[#This Row],[MARGEM BRUTA]]/Tabela1[[#This Row],[Valor total]]</f>
        <v>0.26534736842105267</v>
      </c>
      <c r="K3833" s="16" t="str">
        <f>VLOOKUP(Tabela1[[#This Row],[Cliente]],'BASE DE CLIENTES'!A:D,4,0)</f>
        <v>TECNICO</v>
      </c>
      <c r="L3833" s="16" t="str">
        <f>VLOOKUP(Tabela1[[#This Row],[Cliente]],'BASE DE CLIENTES'!A:E,5,0)</f>
        <v>Aparecida de Goiânia</v>
      </c>
    </row>
    <row r="3834" spans="1:12" x14ac:dyDescent="0.3">
      <c r="A3834" t="s">
        <v>971</v>
      </c>
      <c r="B3834" t="s">
        <v>152</v>
      </c>
      <c r="C3834" s="16" t="str">
        <f>VLOOKUP(Tabela1[[#This Row],[Cliente]],'BASE DE CLIENTES'!A:E,2,0)</f>
        <v>Aparecida de Goiânia</v>
      </c>
      <c r="D3834" s="16" t="str">
        <f>VLOOKUP(Tabela1[[#This Row],[Cliente]],'BASE DE CLIENTES'!A:C,3,0)</f>
        <v>GO</v>
      </c>
      <c r="E3834" s="16" t="str">
        <f>CONCATENATE(Tabela1[[#This Row],[CIDADE]],",",Tabela1[[#This Row],[UF]])</f>
        <v>Aparecida de Goiânia,GO</v>
      </c>
      <c r="F3834" s="15">
        <v>46038</v>
      </c>
      <c r="G3834">
        <v>697.92</v>
      </c>
      <c r="H3834">
        <v>950</v>
      </c>
      <c r="I3834" s="8">
        <f>Tabela1[[#This Row],[Valor total]]-Tabela1[[#This Row],[Valor custo]]</f>
        <v>252.08000000000004</v>
      </c>
      <c r="J3834" s="18">
        <f>Tabela1[[#This Row],[MARGEM BRUTA]]/Tabela1[[#This Row],[Valor total]]</f>
        <v>0.26534736842105267</v>
      </c>
      <c r="K3834" s="16" t="str">
        <f>VLOOKUP(Tabela1[[#This Row],[Cliente]],'BASE DE CLIENTES'!A:D,4,0)</f>
        <v>TECNICO</v>
      </c>
      <c r="L3834" s="16" t="str">
        <f>VLOOKUP(Tabela1[[#This Row],[Cliente]],'BASE DE CLIENTES'!A:E,5,0)</f>
        <v>Aparecida de Goiânia</v>
      </c>
    </row>
    <row r="3835" spans="1:12" x14ac:dyDescent="0.3">
      <c r="A3835" t="s">
        <v>972</v>
      </c>
      <c r="B3835" t="s">
        <v>152</v>
      </c>
      <c r="C3835" s="16" t="str">
        <f>VLOOKUP(Tabela1[[#This Row],[Cliente]],'BASE DE CLIENTES'!A:E,2,0)</f>
        <v>Aparecida de Goiânia</v>
      </c>
      <c r="D3835" s="16" t="str">
        <f>VLOOKUP(Tabela1[[#This Row],[Cliente]],'BASE DE CLIENTES'!A:C,3,0)</f>
        <v>GO</v>
      </c>
      <c r="E3835" s="16" t="str">
        <f>CONCATENATE(Tabela1[[#This Row],[CIDADE]],",",Tabela1[[#This Row],[UF]])</f>
        <v>Aparecida de Goiânia,GO</v>
      </c>
      <c r="F3835" s="15">
        <v>46038</v>
      </c>
      <c r="G3835">
        <v>45.06</v>
      </c>
      <c r="H3835">
        <v>150</v>
      </c>
      <c r="I3835" s="8">
        <f>Tabela1[[#This Row],[Valor total]]-Tabela1[[#This Row],[Valor custo]]</f>
        <v>104.94</v>
      </c>
      <c r="J3835" s="18">
        <f>Tabela1[[#This Row],[MARGEM BRUTA]]/Tabela1[[#This Row],[Valor total]]</f>
        <v>0.6996</v>
      </c>
      <c r="K3835" s="16" t="str">
        <f>VLOOKUP(Tabela1[[#This Row],[Cliente]],'BASE DE CLIENTES'!A:D,4,0)</f>
        <v>TECNICO</v>
      </c>
      <c r="L3835" s="16" t="str">
        <f>VLOOKUP(Tabela1[[#This Row],[Cliente]],'BASE DE CLIENTES'!A:E,5,0)</f>
        <v>Aparecida de Goiânia</v>
      </c>
    </row>
    <row r="3836" spans="1:12" x14ac:dyDescent="0.3">
      <c r="A3836" t="s">
        <v>973</v>
      </c>
      <c r="B3836" t="s">
        <v>27</v>
      </c>
      <c r="C3836" s="16" t="str">
        <f>VLOOKUP(Tabela1[[#This Row],[Cliente]],'BASE DE CLIENTES'!A:E,2,0)</f>
        <v>Brasília</v>
      </c>
      <c r="D3836" s="16" t="str">
        <f>VLOOKUP(Tabela1[[#This Row],[Cliente]],'BASE DE CLIENTES'!A:C,3,0)</f>
        <v>DF</v>
      </c>
      <c r="E3836" s="16" t="str">
        <f>CONCATENATE(Tabela1[[#This Row],[CIDADE]],",",Tabela1[[#This Row],[UF]])</f>
        <v>Brasília,DF</v>
      </c>
      <c r="F3836" s="15">
        <v>46038</v>
      </c>
      <c r="G3836">
        <v>50</v>
      </c>
      <c r="H3836">
        <v>60</v>
      </c>
      <c r="I3836" s="8">
        <f>Tabela1[[#This Row],[Valor total]]-Tabela1[[#This Row],[Valor custo]]</f>
        <v>10</v>
      </c>
      <c r="J3836" s="18">
        <f>Tabela1[[#This Row],[MARGEM BRUTA]]/Tabela1[[#This Row],[Valor total]]</f>
        <v>0.16666666666666666</v>
      </c>
      <c r="K3836" s="16" t="str">
        <f>VLOOKUP(Tabela1[[#This Row],[Cliente]],'BASE DE CLIENTES'!A:D,4,0)</f>
        <v>EMPRESA SEM MAQUINA</v>
      </c>
      <c r="L3836" s="16" t="str">
        <f>VLOOKUP(Tabela1[[#This Row],[Cliente]],'BASE DE CLIENTES'!A:E,5,0)</f>
        <v>RECANTO DAS EMAS</v>
      </c>
    </row>
    <row r="3837" spans="1:12" x14ac:dyDescent="0.3">
      <c r="A3837" t="s">
        <v>974</v>
      </c>
      <c r="B3837" t="s">
        <v>27</v>
      </c>
      <c r="C3837" s="16" t="str">
        <f>VLOOKUP(Tabela1[[#This Row],[Cliente]],'BASE DE CLIENTES'!A:E,2,0)</f>
        <v>Brasília</v>
      </c>
      <c r="D3837" s="16" t="str">
        <f>VLOOKUP(Tabela1[[#This Row],[Cliente]],'BASE DE CLIENTES'!A:C,3,0)</f>
        <v>DF</v>
      </c>
      <c r="E3837" s="16" t="str">
        <f>CONCATENATE(Tabela1[[#This Row],[CIDADE]],",",Tabela1[[#This Row],[UF]])</f>
        <v>Brasília,DF</v>
      </c>
      <c r="F3837" s="15">
        <v>46038</v>
      </c>
      <c r="G3837">
        <v>850.64</v>
      </c>
      <c r="H3837" s="10">
        <v>1215</v>
      </c>
      <c r="I3837" s="8">
        <f>Tabela1[[#This Row],[Valor total]]-Tabela1[[#This Row],[Valor custo]]</f>
        <v>364.36</v>
      </c>
      <c r="J3837" s="18">
        <f>Tabela1[[#This Row],[MARGEM BRUTA]]/Tabela1[[#This Row],[Valor total]]</f>
        <v>0.29988477366255145</v>
      </c>
      <c r="K3837" s="16" t="str">
        <f>VLOOKUP(Tabela1[[#This Row],[Cliente]],'BASE DE CLIENTES'!A:D,4,0)</f>
        <v>EMPRESA SEM MAQUINA</v>
      </c>
      <c r="L3837" s="16" t="str">
        <f>VLOOKUP(Tabela1[[#This Row],[Cliente]],'BASE DE CLIENTES'!A:E,5,0)</f>
        <v>RECANTO DAS EMAS</v>
      </c>
    </row>
    <row r="3838" spans="1:12" x14ac:dyDescent="0.3">
      <c r="A3838" t="s">
        <v>975</v>
      </c>
      <c r="B3838" t="s">
        <v>98</v>
      </c>
      <c r="C3838" s="16" t="str">
        <f>VLOOKUP(Tabela1[[#This Row],[Cliente]],'BASE DE CLIENTES'!A:E,2,0)</f>
        <v>Brasília</v>
      </c>
      <c r="D3838" s="16" t="str">
        <f>VLOOKUP(Tabela1[[#This Row],[Cliente]],'BASE DE CLIENTES'!A:C,3,0)</f>
        <v>DF</v>
      </c>
      <c r="E3838" s="16" t="str">
        <f>CONCATENATE(Tabela1[[#This Row],[CIDADE]],",",Tabela1[[#This Row],[UF]])</f>
        <v>Brasília,DF</v>
      </c>
      <c r="F3838" s="15">
        <v>46038</v>
      </c>
      <c r="G3838">
        <v>75.099999999999994</v>
      </c>
      <c r="H3838">
        <v>250</v>
      </c>
      <c r="I3838" s="8">
        <f>Tabela1[[#This Row],[Valor total]]-Tabela1[[#This Row],[Valor custo]]</f>
        <v>174.9</v>
      </c>
      <c r="J3838" s="18">
        <f>Tabela1[[#This Row],[MARGEM BRUTA]]/Tabela1[[#This Row],[Valor total]]</f>
        <v>0.6996</v>
      </c>
      <c r="K3838" s="16" t="str">
        <f>VLOOKUP(Tabela1[[#This Row],[Cliente]],'BASE DE CLIENTES'!A:D,4,0)</f>
        <v>SERRALHEIRO</v>
      </c>
      <c r="L3838" s="16" t="str">
        <f>VLOOKUP(Tabela1[[#This Row],[Cliente]],'BASE DE CLIENTES'!A:E,5,0)</f>
        <v>SANTA MARIA</v>
      </c>
    </row>
    <row r="3839" spans="1:12" x14ac:dyDescent="0.3">
      <c r="A3839" t="s">
        <v>976</v>
      </c>
      <c r="B3839" t="s">
        <v>70</v>
      </c>
      <c r="C3839" s="16" t="str">
        <f>VLOOKUP(Tabela1[[#This Row],[Cliente]],'BASE DE CLIENTES'!A:E,2,0)</f>
        <v>Brasília</v>
      </c>
      <c r="D3839" s="16" t="str">
        <f>VLOOKUP(Tabela1[[#This Row],[Cliente]],'BASE DE CLIENTES'!A:C,3,0)</f>
        <v>DF</v>
      </c>
      <c r="E3839" s="16" t="str">
        <f>CONCATENATE(Tabela1[[#This Row],[CIDADE]],",",Tabela1[[#This Row],[UF]])</f>
        <v>Brasília,DF</v>
      </c>
      <c r="F3839" s="15">
        <v>46038</v>
      </c>
      <c r="G3839" s="10">
        <v>1228.49</v>
      </c>
      <c r="H3839" s="10">
        <v>1880</v>
      </c>
      <c r="I3839" s="8">
        <f>Tabela1[[#This Row],[Valor total]]-Tabela1[[#This Row],[Valor custo]]</f>
        <v>651.51</v>
      </c>
      <c r="J3839" s="18">
        <f>Tabela1[[#This Row],[MARGEM BRUTA]]/Tabela1[[#This Row],[Valor total]]</f>
        <v>0.3465478723404255</v>
      </c>
      <c r="K3839" s="16" t="str">
        <f>VLOOKUP(Tabela1[[#This Row],[Cliente]],'BASE DE CLIENTES'!A:D,4,0)</f>
        <v>EMPRESA COM MAQUINA</v>
      </c>
      <c r="L3839" s="16" t="str">
        <f>VLOOKUP(Tabela1[[#This Row],[Cliente]],'BASE DE CLIENTES'!A:E,5,0)</f>
        <v>TAGUATINGA NORTE (TAGUATINGA)</v>
      </c>
    </row>
    <row r="3840" spans="1:12" x14ac:dyDescent="0.3">
      <c r="A3840" t="s">
        <v>977</v>
      </c>
      <c r="B3840" t="s">
        <v>106</v>
      </c>
      <c r="C3840" s="16" t="str">
        <f>VLOOKUP(Tabela1[[#This Row],[Cliente]],'BASE DE CLIENTES'!A:E,2,0)</f>
        <v>Brasília</v>
      </c>
      <c r="D3840" s="16" t="str">
        <f>VLOOKUP(Tabela1[[#This Row],[Cliente]],'BASE DE CLIENTES'!A:C,3,0)</f>
        <v>DF</v>
      </c>
      <c r="E3840" s="16" t="str">
        <f>CONCATENATE(Tabela1[[#This Row],[CIDADE]],",",Tabela1[[#This Row],[UF]])</f>
        <v>Brasília,DF</v>
      </c>
      <c r="F3840" s="15">
        <v>46038</v>
      </c>
      <c r="G3840" s="10">
        <v>4140.6000000000004</v>
      </c>
      <c r="H3840" s="10">
        <v>6350</v>
      </c>
      <c r="I3840" s="8">
        <f>Tabela1[[#This Row],[Valor total]]-Tabela1[[#This Row],[Valor custo]]</f>
        <v>2209.3999999999996</v>
      </c>
      <c r="J3840" s="18">
        <f>Tabela1[[#This Row],[MARGEM BRUTA]]/Tabela1[[#This Row],[Valor total]]</f>
        <v>0.34793700787401571</v>
      </c>
      <c r="K3840" s="16" t="str">
        <f>VLOOKUP(Tabela1[[#This Row],[Cliente]],'BASE DE CLIENTES'!A:D,4,0)</f>
        <v>EMPRESA COM MAQUINA</v>
      </c>
      <c r="L3840" s="16" t="str">
        <f>VLOOKUP(Tabela1[[#This Row],[Cliente]],'BASE DE CLIENTES'!A:E,5,0)</f>
        <v>26 DE SETEMBRO</v>
      </c>
    </row>
    <row r="3841" spans="1:12" x14ac:dyDescent="0.3">
      <c r="A3841" t="s">
        <v>978</v>
      </c>
      <c r="B3841" t="s">
        <v>111</v>
      </c>
      <c r="C3841" s="16" t="str">
        <f>VLOOKUP(Tabela1[[#This Row],[Cliente]],'BASE DE CLIENTES'!A:E,2,0)</f>
        <v>Brasília</v>
      </c>
      <c r="D3841" s="16" t="str">
        <f>VLOOKUP(Tabela1[[#This Row],[Cliente]],'BASE DE CLIENTES'!A:C,3,0)</f>
        <v>DF</v>
      </c>
      <c r="E3841" s="16" t="str">
        <f>CONCATENATE(Tabela1[[#This Row],[CIDADE]],",",Tabela1[[#This Row],[UF]])</f>
        <v>Brasília,DF</v>
      </c>
      <c r="F3841" s="15">
        <v>46038</v>
      </c>
      <c r="G3841" s="10">
        <v>5543.64</v>
      </c>
      <c r="H3841" s="10">
        <v>9565</v>
      </c>
      <c r="I3841" s="8">
        <f>Tabela1[[#This Row],[Valor total]]-Tabela1[[#This Row],[Valor custo]]</f>
        <v>4021.3599999999997</v>
      </c>
      <c r="J3841" s="18">
        <f>Tabela1[[#This Row],[MARGEM BRUTA]]/Tabela1[[#This Row],[Valor total]]</f>
        <v>0.42042446419236795</v>
      </c>
      <c r="K3841" s="16" t="str">
        <f>VLOOKUP(Tabela1[[#This Row],[Cliente]],'BASE DE CLIENTES'!A:D,4,0)</f>
        <v>EMPRESA SEM MAQUINA</v>
      </c>
      <c r="L3841" s="16" t="str">
        <f>VLOOKUP(Tabela1[[#This Row],[Cliente]],'BASE DE CLIENTES'!A:E,5,0)</f>
        <v>TAGUATINGA SUL (TAGUATINGA)</v>
      </c>
    </row>
    <row r="3842" spans="1:12" x14ac:dyDescent="0.3">
      <c r="A3842" t="s">
        <v>979</v>
      </c>
      <c r="B3842" t="s">
        <v>141</v>
      </c>
      <c r="C3842" s="16" t="str">
        <f>VLOOKUP(Tabela1[[#This Row],[Cliente]],'BASE DE CLIENTES'!A:E,2,0)</f>
        <v>Brasília</v>
      </c>
      <c r="D3842" s="16" t="str">
        <f>VLOOKUP(Tabela1[[#This Row],[Cliente]],'BASE DE CLIENTES'!A:C,3,0)</f>
        <v>DF</v>
      </c>
      <c r="E3842" s="16" t="str">
        <f>CONCATENATE(Tabela1[[#This Row],[CIDADE]],",",Tabela1[[#This Row],[UF]])</f>
        <v>Brasília,DF</v>
      </c>
      <c r="F3842" s="15">
        <v>46038</v>
      </c>
      <c r="G3842" s="10">
        <v>4436.6000000000004</v>
      </c>
      <c r="H3842" s="10">
        <v>6200</v>
      </c>
      <c r="I3842" s="8">
        <f>Tabela1[[#This Row],[Valor total]]-Tabela1[[#This Row],[Valor custo]]</f>
        <v>1763.3999999999996</v>
      </c>
      <c r="J3842" s="18">
        <f>Tabela1[[#This Row],[MARGEM BRUTA]]/Tabela1[[#This Row],[Valor total]]</f>
        <v>0.28441935483870961</v>
      </c>
      <c r="K3842" s="16" t="str">
        <f>VLOOKUP(Tabela1[[#This Row],[Cliente]],'BASE DE CLIENTES'!A:D,4,0)</f>
        <v>EMPRESA COM MAQUINA</v>
      </c>
      <c r="L3842" s="16" t="str">
        <f>VLOOKUP(Tabela1[[#This Row],[Cliente]],'BASE DE CLIENTES'!A:E,5,0)</f>
        <v>TAGUATINGA</v>
      </c>
    </row>
    <row r="3843" spans="1:12" x14ac:dyDescent="0.3">
      <c r="A3843" t="s">
        <v>980</v>
      </c>
      <c r="B3843" t="s">
        <v>15</v>
      </c>
      <c r="C3843" s="16" t="str">
        <f>VLOOKUP(Tabela1[[#This Row],[Cliente]],'BASE DE CLIENTES'!A:E,2,0)</f>
        <v>Brasília</v>
      </c>
      <c r="D3843" s="16" t="str">
        <f>VLOOKUP(Tabela1[[#This Row],[Cliente]],'BASE DE CLIENTES'!A:C,3,0)</f>
        <v>DF</v>
      </c>
      <c r="E3843" s="16" t="str">
        <f>CONCATENATE(Tabela1[[#This Row],[CIDADE]],",",Tabela1[[#This Row],[UF]])</f>
        <v>Brasília,DF</v>
      </c>
      <c r="F3843" s="15">
        <v>46038</v>
      </c>
      <c r="G3843" s="10">
        <v>3489.6</v>
      </c>
      <c r="H3843" s="10">
        <v>4750</v>
      </c>
      <c r="I3843" s="8">
        <f>Tabela1[[#This Row],[Valor total]]-Tabela1[[#This Row],[Valor custo]]</f>
        <v>1260.4000000000001</v>
      </c>
      <c r="J3843" s="18">
        <f>Tabela1[[#This Row],[MARGEM BRUTA]]/Tabela1[[#This Row],[Valor total]]</f>
        <v>0.26534736842105267</v>
      </c>
      <c r="K3843" s="16" t="str">
        <f>VLOOKUP(Tabela1[[#This Row],[Cliente]],'BASE DE CLIENTES'!A:D,4,0)</f>
        <v>SERRALHEIRO</v>
      </c>
      <c r="L3843" s="16" t="str">
        <f>VLOOKUP(Tabela1[[#This Row],[Cliente]],'BASE DE CLIENTES'!A:E,5,0)</f>
        <v>SETOR HABITACIONAL VICENTE PIRES</v>
      </c>
    </row>
    <row r="3844" spans="1:12" x14ac:dyDescent="0.3">
      <c r="A3844" t="s">
        <v>981</v>
      </c>
      <c r="B3844" t="s">
        <v>778</v>
      </c>
      <c r="C3844" s="16" t="str">
        <f>VLOOKUP(Tabela1[[#This Row],[Cliente]],'BASE DE CLIENTES'!A:E,2,0)</f>
        <v>Brasília</v>
      </c>
      <c r="D3844" s="16" t="str">
        <f>VLOOKUP(Tabela1[[#This Row],[Cliente]],'BASE DE CLIENTES'!A:C,3,0)</f>
        <v>DF</v>
      </c>
      <c r="E3844" s="16" t="str">
        <f>CONCATENATE(Tabela1[[#This Row],[CIDADE]],",",Tabela1[[#This Row],[UF]])</f>
        <v>Brasília,DF</v>
      </c>
      <c r="F3844" s="15">
        <v>46038</v>
      </c>
      <c r="G3844">
        <v>33.56</v>
      </c>
      <c r="H3844">
        <v>85</v>
      </c>
      <c r="I3844" s="8">
        <f>Tabela1[[#This Row],[Valor total]]-Tabela1[[#This Row],[Valor custo]]</f>
        <v>51.44</v>
      </c>
      <c r="J3844" s="18">
        <f>Tabela1[[#This Row],[MARGEM BRUTA]]/Tabela1[[#This Row],[Valor total]]</f>
        <v>0.60517647058823532</v>
      </c>
      <c r="K3844" s="16" t="str">
        <f>VLOOKUP(Tabela1[[#This Row],[Cliente]],'BASE DE CLIENTES'!A:D,4,0)</f>
        <v>CLIENTE NOVO S/ IDENT.</v>
      </c>
      <c r="L3844" s="16" t="str">
        <f>VLOOKUP(Tabela1[[#This Row],[Cliente]],'BASE DE CLIENTES'!A:E,5,0)</f>
        <v>Ceilândia</v>
      </c>
    </row>
    <row r="3845" spans="1:12" x14ac:dyDescent="0.3">
      <c r="A3845" t="s">
        <v>982</v>
      </c>
      <c r="B3845" t="s">
        <v>778</v>
      </c>
      <c r="C3845" s="16" t="str">
        <f>VLOOKUP(Tabela1[[#This Row],[Cliente]],'BASE DE CLIENTES'!A:E,2,0)</f>
        <v>Brasília</v>
      </c>
      <c r="D3845" s="16" t="str">
        <f>VLOOKUP(Tabela1[[#This Row],[Cliente]],'BASE DE CLIENTES'!A:C,3,0)</f>
        <v>DF</v>
      </c>
      <c r="E3845" s="16" t="str">
        <f>CONCATENATE(Tabela1[[#This Row],[CIDADE]],",",Tabela1[[#This Row],[UF]])</f>
        <v>Brasília,DF</v>
      </c>
      <c r="F3845" s="15">
        <v>46038</v>
      </c>
      <c r="G3845">
        <v>10</v>
      </c>
      <c r="H3845">
        <v>15</v>
      </c>
      <c r="I3845" s="8">
        <f>Tabela1[[#This Row],[Valor total]]-Tabela1[[#This Row],[Valor custo]]</f>
        <v>5</v>
      </c>
      <c r="J3845" s="18">
        <f>Tabela1[[#This Row],[MARGEM BRUTA]]/Tabela1[[#This Row],[Valor total]]</f>
        <v>0.33333333333333331</v>
      </c>
      <c r="K3845" s="16" t="str">
        <f>VLOOKUP(Tabela1[[#This Row],[Cliente]],'BASE DE CLIENTES'!A:D,4,0)</f>
        <v>CLIENTE NOVO S/ IDENT.</v>
      </c>
      <c r="L3845" s="16" t="str">
        <f>VLOOKUP(Tabela1[[#This Row],[Cliente]],'BASE DE CLIENTES'!A:E,5,0)</f>
        <v>Ceilândia</v>
      </c>
    </row>
    <row r="3846" spans="1:12" x14ac:dyDescent="0.3">
      <c r="A3846" t="s">
        <v>983</v>
      </c>
      <c r="B3846" t="s">
        <v>216</v>
      </c>
      <c r="C3846" s="16" t="str">
        <f>VLOOKUP(Tabela1[[#This Row],[Cliente]],'BASE DE CLIENTES'!A:E,2,0)</f>
        <v>Brasília</v>
      </c>
      <c r="D3846" s="16" t="str">
        <f>VLOOKUP(Tabela1[[#This Row],[Cliente]],'BASE DE CLIENTES'!A:C,3,0)</f>
        <v>DF</v>
      </c>
      <c r="E3846" s="16" t="str">
        <f>CONCATENATE(Tabela1[[#This Row],[CIDADE]],",",Tabela1[[#This Row],[UF]])</f>
        <v>Brasília,DF</v>
      </c>
      <c r="F3846" s="15">
        <v>46038</v>
      </c>
      <c r="G3846">
        <v>751</v>
      </c>
      <c r="H3846" s="10">
        <v>1700</v>
      </c>
      <c r="I3846" s="8">
        <f>Tabela1[[#This Row],[Valor total]]-Tabela1[[#This Row],[Valor custo]]</f>
        <v>949</v>
      </c>
      <c r="J3846" s="18">
        <f>Tabela1[[#This Row],[MARGEM BRUTA]]/Tabela1[[#This Row],[Valor total]]</f>
        <v>0.55823529411764705</v>
      </c>
      <c r="K3846" s="16" t="str">
        <f>VLOOKUP(Tabela1[[#This Row],[Cliente]],'BASE DE CLIENTES'!A:D,4,0)</f>
        <v>EMPRESA COM MAQUINA</v>
      </c>
      <c r="L3846" s="16" t="str">
        <f>VLOOKUP(Tabela1[[#This Row],[Cliente]],'BASE DE CLIENTES'!A:E,5,0)</f>
        <v>RIACHO FUNDO II</v>
      </c>
    </row>
    <row r="3847" spans="1:12" x14ac:dyDescent="0.3">
      <c r="A3847" t="s">
        <v>984</v>
      </c>
      <c r="B3847" t="s">
        <v>80</v>
      </c>
      <c r="C3847" s="16" t="str">
        <f>VLOOKUP(Tabela1[[#This Row],[Cliente]],'BASE DE CLIENTES'!A:E,2,0)</f>
        <v>Brasília</v>
      </c>
      <c r="D3847" s="16" t="str">
        <f>VLOOKUP(Tabela1[[#This Row],[Cliente]],'BASE DE CLIENTES'!A:C,3,0)</f>
        <v>DF</v>
      </c>
      <c r="E3847" s="16" t="str">
        <f>CONCATENATE(Tabela1[[#This Row],[CIDADE]],",",Tabela1[[#This Row],[UF]])</f>
        <v>Brasília,DF</v>
      </c>
      <c r="F3847" s="15">
        <v>46038</v>
      </c>
      <c r="G3847">
        <v>945.57</v>
      </c>
      <c r="H3847" s="10">
        <v>1450</v>
      </c>
      <c r="I3847" s="8">
        <f>Tabela1[[#This Row],[Valor total]]-Tabela1[[#This Row],[Valor custo]]</f>
        <v>504.42999999999995</v>
      </c>
      <c r="J3847" s="18">
        <f>Tabela1[[#This Row],[MARGEM BRUTA]]/Tabela1[[#This Row],[Valor total]]</f>
        <v>0.34788275862068962</v>
      </c>
      <c r="K3847" s="16" t="str">
        <f>VLOOKUP(Tabela1[[#This Row],[Cliente]],'BASE DE CLIENTES'!A:D,4,0)</f>
        <v>EMPRESA SEM MAQUINA</v>
      </c>
      <c r="L3847" s="16" t="str">
        <f>VLOOKUP(Tabela1[[#This Row],[Cliente]],'BASE DE CLIENTES'!A:E,5,0)</f>
        <v>JOKEY</v>
      </c>
    </row>
    <row r="3848" spans="1:12" x14ac:dyDescent="0.3">
      <c r="A3848" t="s">
        <v>985</v>
      </c>
      <c r="B3848" t="s">
        <v>68</v>
      </c>
      <c r="C3848" s="16" t="str">
        <f>VLOOKUP(Tabela1[[#This Row],[Cliente]],'BASE DE CLIENTES'!A:E,2,0)</f>
        <v>Brasília</v>
      </c>
      <c r="D3848" s="16" t="str">
        <f>VLOOKUP(Tabela1[[#This Row],[Cliente]],'BASE DE CLIENTES'!A:C,3,0)</f>
        <v>DF</v>
      </c>
      <c r="E3848" s="16" t="str">
        <f>CONCATENATE(Tabela1[[#This Row],[CIDADE]],",",Tabela1[[#This Row],[UF]])</f>
        <v>Brasília,DF</v>
      </c>
      <c r="F3848" s="15">
        <v>46038</v>
      </c>
      <c r="G3848">
        <v>483.83</v>
      </c>
      <c r="H3848">
        <v>710</v>
      </c>
      <c r="I3848" s="8">
        <f>Tabela1[[#This Row],[Valor total]]-Tabela1[[#This Row],[Valor custo]]</f>
        <v>226.17000000000002</v>
      </c>
      <c r="J3848" s="18">
        <f>Tabela1[[#This Row],[MARGEM BRUTA]]/Tabela1[[#This Row],[Valor total]]</f>
        <v>0.31854929577464791</v>
      </c>
      <c r="K3848" s="16" t="str">
        <f>VLOOKUP(Tabela1[[#This Row],[Cliente]],'BASE DE CLIENTES'!A:D,4,0)</f>
        <v>EMPRESA COM MAQUINA</v>
      </c>
      <c r="L3848" s="16" t="str">
        <f>VLOOKUP(Tabela1[[#This Row],[Cliente]],'BASE DE CLIENTES'!A:E,5,0)</f>
        <v>SAMAMBAIA SUL (SAMAMBAIA)</v>
      </c>
    </row>
    <row r="3849" spans="1:12" x14ac:dyDescent="0.3">
      <c r="A3849" t="s">
        <v>986</v>
      </c>
      <c r="B3849" t="s">
        <v>322</v>
      </c>
      <c r="C3849" s="16" t="str">
        <f>VLOOKUP(Tabela1[[#This Row],[Cliente]],'BASE DE CLIENTES'!A:E,2,0)</f>
        <v>Brasília</v>
      </c>
      <c r="D3849" s="16" t="str">
        <f>VLOOKUP(Tabela1[[#This Row],[Cliente]],'BASE DE CLIENTES'!A:C,3,0)</f>
        <v>DF</v>
      </c>
      <c r="E3849" s="16" t="str">
        <f>CONCATENATE(Tabela1[[#This Row],[CIDADE]],",",Tabela1[[#This Row],[UF]])</f>
        <v>Brasília,DF</v>
      </c>
      <c r="F3849" s="15">
        <v>46038</v>
      </c>
      <c r="G3849">
        <v>293.13</v>
      </c>
      <c r="H3849">
        <v>380</v>
      </c>
      <c r="I3849" s="8">
        <f>Tabela1[[#This Row],[Valor total]]-Tabela1[[#This Row],[Valor custo]]</f>
        <v>86.87</v>
      </c>
      <c r="J3849" s="18">
        <f>Tabela1[[#This Row],[MARGEM BRUTA]]/Tabela1[[#This Row],[Valor total]]</f>
        <v>0.22860526315789476</v>
      </c>
      <c r="K3849" s="16" t="str">
        <f>VLOOKUP(Tabela1[[#This Row],[Cliente]],'BASE DE CLIENTES'!A:D,4,0)</f>
        <v>SERRALHEIRO</v>
      </c>
      <c r="L3849" s="16" t="str">
        <f>VLOOKUP(Tabela1[[#This Row],[Cliente]],'BASE DE CLIENTES'!A:E,5,0)</f>
        <v>RIACHO FUNDO I</v>
      </c>
    </row>
    <row r="3850" spans="1:12" x14ac:dyDescent="0.3">
      <c r="A3850" t="s">
        <v>987</v>
      </c>
      <c r="B3850" t="s">
        <v>66</v>
      </c>
      <c r="C3850" s="16" t="str">
        <f>VLOOKUP(Tabela1[[#This Row],[Cliente]],'BASE DE CLIENTES'!A:E,2,0)</f>
        <v>Águas Lindas de Goiás</v>
      </c>
      <c r="D3850" s="16" t="str">
        <f>VLOOKUP(Tabela1[[#This Row],[Cliente]],'BASE DE CLIENTES'!A:C,3,0)</f>
        <v>GO</v>
      </c>
      <c r="E3850" s="16" t="str">
        <f>CONCATENATE(Tabela1[[#This Row],[CIDADE]],",",Tabela1[[#This Row],[UF]])</f>
        <v>Águas Lindas de Goiás,GO</v>
      </c>
      <c r="F3850" s="15">
        <v>46038</v>
      </c>
      <c r="G3850">
        <v>918.52</v>
      </c>
      <c r="H3850" s="10">
        <v>1180</v>
      </c>
      <c r="I3850" s="8">
        <f>Tabela1[[#This Row],[Valor total]]-Tabela1[[#This Row],[Valor custo]]</f>
        <v>261.48</v>
      </c>
      <c r="J3850" s="18">
        <f>Tabela1[[#This Row],[MARGEM BRUTA]]/Tabela1[[#This Row],[Valor total]]</f>
        <v>0.22159322033898307</v>
      </c>
      <c r="K3850" s="16" t="str">
        <f>VLOOKUP(Tabela1[[#This Row],[Cliente]],'BASE DE CLIENTES'!A:D,4,0)</f>
        <v>EMPRESA COM MAQUINA</v>
      </c>
      <c r="L3850" s="16" t="str">
        <f>VLOOKUP(Tabela1[[#This Row],[Cliente]],'BASE DE CLIENTES'!A:E,5,0)</f>
        <v>Águas Lindas de Goiás</v>
      </c>
    </row>
    <row r="3851" spans="1:12" x14ac:dyDescent="0.3">
      <c r="A3851" t="s">
        <v>988</v>
      </c>
      <c r="B3851" t="s">
        <v>76</v>
      </c>
      <c r="C3851" s="16" t="str">
        <f>VLOOKUP(Tabela1[[#This Row],[Cliente]],'BASE DE CLIENTES'!A:E,2,0)</f>
        <v>Brasília</v>
      </c>
      <c r="D3851" s="16" t="str">
        <f>VLOOKUP(Tabela1[[#This Row],[Cliente]],'BASE DE CLIENTES'!A:C,3,0)</f>
        <v>DF</v>
      </c>
      <c r="E3851" s="16" t="str">
        <f>CONCATENATE(Tabela1[[#This Row],[CIDADE]],",",Tabela1[[#This Row],[UF]])</f>
        <v>Brasília,DF</v>
      </c>
      <c r="F3851" s="15">
        <v>46038</v>
      </c>
      <c r="G3851" s="10">
        <v>1350.81</v>
      </c>
      <c r="H3851" s="10">
        <v>3800</v>
      </c>
      <c r="I3851" s="8">
        <f>Tabela1[[#This Row],[Valor total]]-Tabela1[[#This Row],[Valor custo]]</f>
        <v>2449.19</v>
      </c>
      <c r="J3851" s="18">
        <f>Tabela1[[#This Row],[MARGEM BRUTA]]/Tabela1[[#This Row],[Valor total]]</f>
        <v>0.6445236842105263</v>
      </c>
      <c r="K3851" s="16" t="str">
        <f>VLOOKUP(Tabela1[[#This Row],[Cliente]],'BASE DE CLIENTES'!A:D,4,0)</f>
        <v>EMPRESA COM MAQUINA</v>
      </c>
      <c r="L3851" s="16" t="str">
        <f>VLOOKUP(Tabela1[[#This Row],[Cliente]],'BASE DE CLIENTES'!A:E,5,0)</f>
        <v>Setor Placa da Mercedes (Núcleo Bandeirante)</v>
      </c>
    </row>
    <row r="3852" spans="1:12" x14ac:dyDescent="0.3">
      <c r="A3852" t="s">
        <v>989</v>
      </c>
      <c r="B3852" t="s">
        <v>216</v>
      </c>
      <c r="C3852" s="16" t="str">
        <f>VLOOKUP(Tabela1[[#This Row],[Cliente]],'BASE DE CLIENTES'!A:E,2,0)</f>
        <v>Brasília</v>
      </c>
      <c r="D3852" s="16" t="str">
        <f>VLOOKUP(Tabela1[[#This Row],[Cliente]],'BASE DE CLIENTES'!A:C,3,0)</f>
        <v>DF</v>
      </c>
      <c r="E3852" s="16" t="str">
        <f>CONCATENATE(Tabela1[[#This Row],[CIDADE]],",",Tabela1[[#This Row],[UF]])</f>
        <v>Brasília,DF</v>
      </c>
      <c r="F3852" s="15">
        <v>46038</v>
      </c>
      <c r="G3852" s="10">
        <v>5129.8500000000004</v>
      </c>
      <c r="H3852" s="10">
        <v>8900</v>
      </c>
      <c r="I3852" s="8">
        <f>Tabela1[[#This Row],[Valor total]]-Tabela1[[#This Row],[Valor custo]]</f>
        <v>3770.1499999999996</v>
      </c>
      <c r="J3852" s="18">
        <f>Tabela1[[#This Row],[MARGEM BRUTA]]/Tabela1[[#This Row],[Valor total]]</f>
        <v>0.42361235955056176</v>
      </c>
      <c r="K3852" s="16" t="str">
        <f>VLOOKUP(Tabela1[[#This Row],[Cliente]],'BASE DE CLIENTES'!A:D,4,0)</f>
        <v>EMPRESA COM MAQUINA</v>
      </c>
      <c r="L3852" s="16" t="str">
        <f>VLOOKUP(Tabela1[[#This Row],[Cliente]],'BASE DE CLIENTES'!A:E,5,0)</f>
        <v>RIACHO FUNDO II</v>
      </c>
    </row>
    <row r="3853" spans="1:12" x14ac:dyDescent="0.3">
      <c r="A3853" t="s">
        <v>990</v>
      </c>
      <c r="B3853" t="s">
        <v>127</v>
      </c>
      <c r="C3853" s="16" t="str">
        <f>VLOOKUP(Tabela1[[#This Row],[Cliente]],'BASE DE CLIENTES'!A:E,2,0)</f>
        <v>Brasília</v>
      </c>
      <c r="D3853" s="16" t="str">
        <f>VLOOKUP(Tabela1[[#This Row],[Cliente]],'BASE DE CLIENTES'!A:C,3,0)</f>
        <v>DF</v>
      </c>
      <c r="E3853" s="16" t="str">
        <f>CONCATENATE(Tabela1[[#This Row],[CIDADE]],",",Tabela1[[#This Row],[UF]])</f>
        <v>Brasília,DF</v>
      </c>
      <c r="F3853" s="15">
        <v>46038</v>
      </c>
      <c r="G3853">
        <v>769.39</v>
      </c>
      <c r="H3853" s="10">
        <v>1340</v>
      </c>
      <c r="I3853" s="8">
        <f>Tabela1[[#This Row],[Valor total]]-Tabela1[[#This Row],[Valor custo]]</f>
        <v>570.61</v>
      </c>
      <c r="J3853" s="18">
        <f>Tabela1[[#This Row],[MARGEM BRUTA]]/Tabela1[[#This Row],[Valor total]]</f>
        <v>0.42582835820895526</v>
      </c>
      <c r="K3853" s="16" t="str">
        <f>VLOOKUP(Tabela1[[#This Row],[Cliente]],'BASE DE CLIENTES'!A:D,4,0)</f>
        <v>EMPRESA COM MAQUINA</v>
      </c>
      <c r="L3853" s="16" t="str">
        <f>VLOOKUP(Tabela1[[#This Row],[Cliente]],'BASE DE CLIENTES'!A:E,5,0)</f>
        <v>CEILANDIA SUL (CEILANDIA)</v>
      </c>
    </row>
    <row r="3854" spans="1:12" x14ac:dyDescent="0.3">
      <c r="A3854" t="s">
        <v>991</v>
      </c>
      <c r="B3854" t="s">
        <v>85</v>
      </c>
      <c r="C3854" s="16" t="str">
        <f>VLOOKUP(Tabela1[[#This Row],[Cliente]],'BASE DE CLIENTES'!A:E,2,0)</f>
        <v>Brasília</v>
      </c>
      <c r="D3854" s="16" t="str">
        <f>VLOOKUP(Tabela1[[#This Row],[Cliente]],'BASE DE CLIENTES'!A:C,3,0)</f>
        <v>DF</v>
      </c>
      <c r="E3854" s="16" t="str">
        <f>CONCATENATE(Tabela1[[#This Row],[CIDADE]],",",Tabela1[[#This Row],[UF]])</f>
        <v>Brasília,DF</v>
      </c>
      <c r="F3854" s="15">
        <v>46038</v>
      </c>
      <c r="G3854">
        <v>90.06</v>
      </c>
      <c r="H3854">
        <v>215</v>
      </c>
      <c r="I3854" s="8">
        <f>Tabela1[[#This Row],[Valor total]]-Tabela1[[#This Row],[Valor custo]]</f>
        <v>124.94</v>
      </c>
      <c r="J3854" s="18">
        <f>Tabela1[[#This Row],[MARGEM BRUTA]]/Tabela1[[#This Row],[Valor total]]</f>
        <v>0.58111627906976748</v>
      </c>
      <c r="K3854" s="16" t="str">
        <f>VLOOKUP(Tabela1[[#This Row],[Cliente]],'BASE DE CLIENTES'!A:D,4,0)</f>
        <v>SERRALHEIRO</v>
      </c>
      <c r="L3854" s="16" t="str">
        <f>VLOOKUP(Tabela1[[#This Row],[Cliente]],'BASE DE CLIENTES'!A:E,5,0)</f>
        <v>SAMAMBAIA NORTE (SAMAMBAIA)</v>
      </c>
    </row>
    <row r="3855" spans="1:12" x14ac:dyDescent="0.3">
      <c r="A3855" t="s">
        <v>992</v>
      </c>
      <c r="B3855" t="s">
        <v>327</v>
      </c>
      <c r="C3855" s="16" t="str">
        <f>VLOOKUP(Tabela1[[#This Row],[Cliente]],'BASE DE CLIENTES'!A:E,2,0)</f>
        <v>Brasília</v>
      </c>
      <c r="D3855" s="16" t="str">
        <f>VLOOKUP(Tabela1[[#This Row],[Cliente]],'BASE DE CLIENTES'!A:C,3,0)</f>
        <v>DF</v>
      </c>
      <c r="E3855" s="16" t="str">
        <f>CONCATENATE(Tabela1[[#This Row],[CIDADE]],",",Tabela1[[#This Row],[UF]])</f>
        <v>Brasília,DF</v>
      </c>
      <c r="F3855" s="15">
        <v>46037</v>
      </c>
      <c r="G3855">
        <v>712.93</v>
      </c>
      <c r="H3855" s="10">
        <v>1100</v>
      </c>
      <c r="I3855" s="8">
        <f>Tabela1[[#This Row],[Valor total]]-Tabela1[[#This Row],[Valor custo]]</f>
        <v>387.07000000000005</v>
      </c>
      <c r="J3855" s="18">
        <f>Tabela1[[#This Row],[MARGEM BRUTA]]/Tabela1[[#This Row],[Valor total]]</f>
        <v>0.35188181818181824</v>
      </c>
      <c r="K3855" s="16" t="str">
        <f>VLOOKUP(Tabela1[[#This Row],[Cliente]],'BASE DE CLIENTES'!A:D,4,0)</f>
        <v>SERRALHEIRO</v>
      </c>
      <c r="L3855" s="16" t="str">
        <f>VLOOKUP(Tabela1[[#This Row],[Cliente]],'BASE DE CLIENTES'!A:E,5,0)</f>
        <v>NA</v>
      </c>
    </row>
    <row r="3856" spans="1:12" x14ac:dyDescent="0.3">
      <c r="A3856" t="s">
        <v>993</v>
      </c>
      <c r="B3856" t="s">
        <v>255</v>
      </c>
      <c r="C3856" s="16" t="str">
        <f>VLOOKUP(Tabela1[[#This Row],[Cliente]],'BASE DE CLIENTES'!A:E,2,0)</f>
        <v>Brasília</v>
      </c>
      <c r="D3856" s="16" t="str">
        <f>VLOOKUP(Tabela1[[#This Row],[Cliente]],'BASE DE CLIENTES'!A:C,3,0)</f>
        <v>DF</v>
      </c>
      <c r="E3856" s="16" t="str">
        <f>CONCATENATE(Tabela1[[#This Row],[CIDADE]],",",Tabela1[[#This Row],[UF]])</f>
        <v>Brasília,DF</v>
      </c>
      <c r="F3856" s="15">
        <v>46037</v>
      </c>
      <c r="G3856">
        <v>900.54</v>
      </c>
      <c r="H3856" s="10">
        <v>1300</v>
      </c>
      <c r="I3856" s="8">
        <f>Tabela1[[#This Row],[Valor total]]-Tabela1[[#This Row],[Valor custo]]</f>
        <v>399.46000000000004</v>
      </c>
      <c r="J3856" s="18">
        <f>Tabela1[[#This Row],[MARGEM BRUTA]]/Tabela1[[#This Row],[Valor total]]</f>
        <v>0.30727692307692311</v>
      </c>
      <c r="K3856" s="16" t="str">
        <f>VLOOKUP(Tabela1[[#This Row],[Cliente]],'BASE DE CLIENTES'!A:D,4,0)</f>
        <v>EMPRESA COM MAQUINA</v>
      </c>
      <c r="L3856" s="16" t="str">
        <f>VLOOKUP(Tabela1[[#This Row],[Cliente]],'BASE DE CLIENTES'!A:E,5,0)</f>
        <v>ADE ÁGUAS CLARAS</v>
      </c>
    </row>
    <row r="3857" spans="1:12" x14ac:dyDescent="0.3">
      <c r="A3857" t="s">
        <v>994</v>
      </c>
      <c r="B3857" t="s">
        <v>343</v>
      </c>
      <c r="C3857" s="16" t="str">
        <f>VLOOKUP(Tabela1[[#This Row],[Cliente]],'BASE DE CLIENTES'!A:E,2,0)</f>
        <v>Brasília</v>
      </c>
      <c r="D3857" s="16" t="str">
        <f>VLOOKUP(Tabela1[[#This Row],[Cliente]],'BASE DE CLIENTES'!A:C,3,0)</f>
        <v>DF</v>
      </c>
      <c r="E3857" s="16" t="str">
        <f>CONCATENATE(Tabela1[[#This Row],[CIDADE]],",",Tabela1[[#This Row],[UF]])</f>
        <v>Brasília,DF</v>
      </c>
      <c r="F3857" s="15">
        <v>46037</v>
      </c>
      <c r="G3857">
        <v>27.38</v>
      </c>
      <c r="H3857">
        <v>220</v>
      </c>
      <c r="I3857" s="8">
        <f>Tabela1[[#This Row],[Valor total]]-Tabela1[[#This Row],[Valor custo]]</f>
        <v>192.62</v>
      </c>
      <c r="J3857" s="18">
        <f>Tabela1[[#This Row],[MARGEM BRUTA]]/Tabela1[[#This Row],[Valor total]]</f>
        <v>0.87554545454545452</v>
      </c>
      <c r="K3857" s="16" t="str">
        <f>VLOOKUP(Tabela1[[#This Row],[Cliente]],'BASE DE CLIENTES'!A:D,4,0)</f>
        <v>CLIENTE NOVO S/ IDENT.</v>
      </c>
      <c r="L3857" s="16" t="str">
        <f>VLOOKUP(Tabela1[[#This Row],[Cliente]],'BASE DE CLIENTES'!A:E,5,0)</f>
        <v>Brasília</v>
      </c>
    </row>
    <row r="3858" spans="1:12" x14ac:dyDescent="0.3">
      <c r="A3858" t="s">
        <v>995</v>
      </c>
      <c r="B3858" t="s">
        <v>55</v>
      </c>
      <c r="C3858" s="16" t="str">
        <f>VLOOKUP(Tabela1[[#This Row],[Cliente]],'BASE DE CLIENTES'!A:E,2,0)</f>
        <v>Brasília</v>
      </c>
      <c r="D3858" s="16" t="str">
        <f>VLOOKUP(Tabela1[[#This Row],[Cliente]],'BASE DE CLIENTES'!A:C,3,0)</f>
        <v>DF</v>
      </c>
      <c r="E3858" s="16" t="str">
        <f>CONCATENATE(Tabela1[[#This Row],[CIDADE]],",",Tabela1[[#This Row],[UF]])</f>
        <v>Brasília,DF</v>
      </c>
      <c r="F3858" s="15">
        <v>46037</v>
      </c>
      <c r="G3858">
        <v>126</v>
      </c>
      <c r="H3858">
        <v>165</v>
      </c>
      <c r="I3858" s="8">
        <f>Tabela1[[#This Row],[Valor total]]-Tabela1[[#This Row],[Valor custo]]</f>
        <v>39</v>
      </c>
      <c r="J3858" s="18">
        <f>Tabela1[[#This Row],[MARGEM BRUTA]]/Tabela1[[#This Row],[Valor total]]</f>
        <v>0.23636363636363636</v>
      </c>
      <c r="K3858" s="16" t="str">
        <f>VLOOKUP(Tabela1[[#This Row],[Cliente]],'BASE DE CLIENTES'!A:D,4,0)</f>
        <v>EMPRESA SEM MAQUINA</v>
      </c>
      <c r="L3858" s="16" t="str">
        <f>VLOOKUP(Tabela1[[#This Row],[Cliente]],'BASE DE CLIENTES'!A:E,5,0)</f>
        <v>RECANTO DAS EMAS</v>
      </c>
    </row>
    <row r="3859" spans="1:12" x14ac:dyDescent="0.3">
      <c r="A3859" t="s">
        <v>996</v>
      </c>
      <c r="B3859" t="s">
        <v>311</v>
      </c>
      <c r="C3859" s="16" t="str">
        <f>VLOOKUP(Tabela1[[#This Row],[Cliente]],'BASE DE CLIENTES'!A:E,2,0)</f>
        <v>Uberlândia</v>
      </c>
      <c r="D3859" s="16" t="str">
        <f>VLOOKUP(Tabela1[[#This Row],[Cliente]],'BASE DE CLIENTES'!A:C,3,0)</f>
        <v>MG</v>
      </c>
      <c r="E3859" s="16" t="str">
        <f>CONCATENATE(Tabela1[[#This Row],[CIDADE]],",",Tabela1[[#This Row],[UF]])</f>
        <v>Uberlândia,MG</v>
      </c>
      <c r="F3859" s="15">
        <v>46037</v>
      </c>
      <c r="G3859" s="10">
        <v>11819.61</v>
      </c>
      <c r="H3859" s="10">
        <v>16585</v>
      </c>
      <c r="I3859" s="8">
        <f>Tabela1[[#This Row],[Valor total]]-Tabela1[[#This Row],[Valor custo]]</f>
        <v>4765.3899999999994</v>
      </c>
      <c r="J3859" s="18">
        <f>Tabela1[[#This Row],[MARGEM BRUTA]]/Tabela1[[#This Row],[Valor total]]</f>
        <v>0.28733132348507684</v>
      </c>
      <c r="K3859" s="16" t="str">
        <f>VLOOKUP(Tabela1[[#This Row],[Cliente]],'BASE DE CLIENTES'!A:D,4,0)</f>
        <v>EMPRESA COM MAQUINA</v>
      </c>
      <c r="L3859" s="16" t="str">
        <f>VLOOKUP(Tabela1[[#This Row],[Cliente]],'BASE DE CLIENTES'!A:E,5,0)</f>
        <v>Uberlândia</v>
      </c>
    </row>
    <row r="3860" spans="1:12" x14ac:dyDescent="0.3">
      <c r="A3860" t="s">
        <v>997</v>
      </c>
      <c r="B3860" t="s">
        <v>307</v>
      </c>
      <c r="C3860" s="16" t="str">
        <f>VLOOKUP(Tabela1[[#This Row],[Cliente]],'BASE DE CLIENTES'!A:E,2,0)</f>
        <v>Uberaba</v>
      </c>
      <c r="D3860" s="16" t="str">
        <f>VLOOKUP(Tabela1[[#This Row],[Cliente]],'BASE DE CLIENTES'!A:C,3,0)</f>
        <v>MG</v>
      </c>
      <c r="E3860" s="16" t="str">
        <f>CONCATENATE(Tabela1[[#This Row],[CIDADE]],",",Tabela1[[#This Row],[UF]])</f>
        <v>Uberaba,MG</v>
      </c>
      <c r="F3860" s="15">
        <v>46037</v>
      </c>
      <c r="G3860" s="10">
        <v>10056.1</v>
      </c>
      <c r="H3860" s="10">
        <v>16500</v>
      </c>
      <c r="I3860" s="8">
        <f>Tabela1[[#This Row],[Valor total]]-Tabela1[[#This Row],[Valor custo]]</f>
        <v>6443.9</v>
      </c>
      <c r="J3860" s="18">
        <f>Tabela1[[#This Row],[MARGEM BRUTA]]/Tabela1[[#This Row],[Valor total]]</f>
        <v>0.39053939393939391</v>
      </c>
      <c r="K3860" s="16" t="str">
        <f>VLOOKUP(Tabela1[[#This Row],[Cliente]],'BASE DE CLIENTES'!A:D,4,0)</f>
        <v>EMPRESA COM MAQUINA</v>
      </c>
      <c r="L3860" s="16" t="str">
        <f>VLOOKUP(Tabela1[[#This Row],[Cliente]],'BASE DE CLIENTES'!A:E,5,0)</f>
        <v>Uberaba</v>
      </c>
    </row>
    <row r="3861" spans="1:12" x14ac:dyDescent="0.3">
      <c r="A3861" t="s">
        <v>998</v>
      </c>
      <c r="B3861" t="s">
        <v>321</v>
      </c>
      <c r="C3861" s="16" t="str">
        <f>VLOOKUP(Tabela1[[#This Row],[Cliente]],'BASE DE CLIENTES'!A:E,2,0)</f>
        <v>Valparaíso de Goiás</v>
      </c>
      <c r="D3861" s="16" t="str">
        <f>VLOOKUP(Tabela1[[#This Row],[Cliente]],'BASE DE CLIENTES'!A:C,3,0)</f>
        <v>GO</v>
      </c>
      <c r="E3861" s="16" t="str">
        <f>CONCATENATE(Tabela1[[#This Row],[CIDADE]],",",Tabela1[[#This Row],[UF]])</f>
        <v>Valparaíso de Goiás,GO</v>
      </c>
      <c r="F3861" s="15">
        <v>46037</v>
      </c>
      <c r="G3861">
        <v>377.85</v>
      </c>
      <c r="H3861">
        <v>615</v>
      </c>
      <c r="I3861" s="8">
        <f>Tabela1[[#This Row],[Valor total]]-Tabela1[[#This Row],[Valor custo]]</f>
        <v>237.14999999999998</v>
      </c>
      <c r="J3861" s="18">
        <f>Tabela1[[#This Row],[MARGEM BRUTA]]/Tabela1[[#This Row],[Valor total]]</f>
        <v>0.38560975609756093</v>
      </c>
      <c r="K3861" s="16" t="str">
        <f>VLOOKUP(Tabela1[[#This Row],[Cliente]],'BASE DE CLIENTES'!A:D,4,0)</f>
        <v>EMPRESA COM MAQUINA</v>
      </c>
      <c r="L3861" s="16" t="str">
        <f>VLOOKUP(Tabela1[[#This Row],[Cliente]],'BASE DE CLIENTES'!A:E,5,0)</f>
        <v>Valparaíso de Goiás</v>
      </c>
    </row>
    <row r="3862" spans="1:12" x14ac:dyDescent="0.3">
      <c r="A3862" t="s">
        <v>999</v>
      </c>
      <c r="B3862" t="s">
        <v>255</v>
      </c>
      <c r="C3862" s="16" t="str">
        <f>VLOOKUP(Tabela1[[#This Row],[Cliente]],'BASE DE CLIENTES'!A:E,2,0)</f>
        <v>Brasília</v>
      </c>
      <c r="D3862" s="16" t="str">
        <f>VLOOKUP(Tabela1[[#This Row],[Cliente]],'BASE DE CLIENTES'!A:C,3,0)</f>
        <v>DF</v>
      </c>
      <c r="E3862" s="16" t="str">
        <f>CONCATENATE(Tabela1[[#This Row],[CIDADE]],",",Tabela1[[#This Row],[UF]])</f>
        <v>Brasília,DF</v>
      </c>
      <c r="F3862" s="15">
        <v>46037</v>
      </c>
      <c r="G3862">
        <v>900.54</v>
      </c>
      <c r="H3862" s="10">
        <v>1300</v>
      </c>
      <c r="I3862" s="8">
        <f>Tabela1[[#This Row],[Valor total]]-Tabela1[[#This Row],[Valor custo]]</f>
        <v>399.46000000000004</v>
      </c>
      <c r="J3862" s="18">
        <f>Tabela1[[#This Row],[MARGEM BRUTA]]/Tabela1[[#This Row],[Valor total]]</f>
        <v>0.30727692307692311</v>
      </c>
      <c r="K3862" s="16" t="str">
        <f>VLOOKUP(Tabela1[[#This Row],[Cliente]],'BASE DE CLIENTES'!A:D,4,0)</f>
        <v>EMPRESA COM MAQUINA</v>
      </c>
      <c r="L3862" s="16" t="str">
        <f>VLOOKUP(Tabela1[[#This Row],[Cliente]],'BASE DE CLIENTES'!A:E,5,0)</f>
        <v>ADE ÁGUAS CLARAS</v>
      </c>
    </row>
    <row r="3863" spans="1:12" x14ac:dyDescent="0.3">
      <c r="A3863" t="s">
        <v>1000</v>
      </c>
      <c r="B3863" t="s">
        <v>92</v>
      </c>
      <c r="C3863" s="16" t="str">
        <f>VLOOKUP(Tabela1[[#This Row],[Cliente]],'BASE DE CLIENTES'!A:E,2,0)</f>
        <v>Brasília</v>
      </c>
      <c r="D3863" s="16" t="str">
        <f>VLOOKUP(Tabela1[[#This Row],[Cliente]],'BASE DE CLIENTES'!A:C,3,0)</f>
        <v>DF</v>
      </c>
      <c r="E3863" s="16" t="str">
        <f>CONCATENATE(Tabela1[[#This Row],[CIDADE]],",",Tabela1[[#This Row],[UF]])</f>
        <v>Brasília,DF</v>
      </c>
      <c r="F3863" s="15">
        <v>46037</v>
      </c>
      <c r="G3863">
        <v>12.2</v>
      </c>
      <c r="H3863">
        <v>16</v>
      </c>
      <c r="I3863" s="8">
        <f>Tabela1[[#This Row],[Valor total]]-Tabela1[[#This Row],[Valor custo]]</f>
        <v>3.8000000000000007</v>
      </c>
      <c r="J3863" s="18">
        <f>Tabela1[[#This Row],[MARGEM BRUTA]]/Tabela1[[#This Row],[Valor total]]</f>
        <v>0.23750000000000004</v>
      </c>
      <c r="K3863" s="16" t="str">
        <f>VLOOKUP(Tabela1[[#This Row],[Cliente]],'BASE DE CLIENTES'!A:D,4,0)</f>
        <v>EMPRESA SEM MAQUINA</v>
      </c>
      <c r="L3863" s="16" t="str">
        <f>VLOOKUP(Tabela1[[#This Row],[Cliente]],'BASE DE CLIENTES'!A:E,5,0)</f>
        <v>SOBRADINHO</v>
      </c>
    </row>
    <row r="3864" spans="1:12" x14ac:dyDescent="0.3">
      <c r="A3864" t="s">
        <v>1001</v>
      </c>
      <c r="B3864" t="s">
        <v>92</v>
      </c>
      <c r="C3864" s="16" t="str">
        <f>VLOOKUP(Tabela1[[#This Row],[Cliente]],'BASE DE CLIENTES'!A:E,2,0)</f>
        <v>Brasília</v>
      </c>
      <c r="D3864" s="16" t="str">
        <f>VLOOKUP(Tabela1[[#This Row],[Cliente]],'BASE DE CLIENTES'!A:C,3,0)</f>
        <v>DF</v>
      </c>
      <c r="E3864" s="16" t="str">
        <f>CONCATENATE(Tabela1[[#This Row],[CIDADE]],",",Tabela1[[#This Row],[UF]])</f>
        <v>Brasília,DF</v>
      </c>
      <c r="F3864" s="15">
        <v>46037</v>
      </c>
      <c r="G3864">
        <v>828.12</v>
      </c>
      <c r="H3864" s="10">
        <v>1290</v>
      </c>
      <c r="I3864" s="8">
        <f>Tabela1[[#This Row],[Valor total]]-Tabela1[[#This Row],[Valor custo]]</f>
        <v>461.88</v>
      </c>
      <c r="J3864" s="18">
        <f>Tabela1[[#This Row],[MARGEM BRUTA]]/Tabela1[[#This Row],[Valor total]]</f>
        <v>0.35804651162790696</v>
      </c>
      <c r="K3864" s="16" t="str">
        <f>VLOOKUP(Tabela1[[#This Row],[Cliente]],'BASE DE CLIENTES'!A:D,4,0)</f>
        <v>EMPRESA SEM MAQUINA</v>
      </c>
      <c r="L3864" s="16" t="str">
        <f>VLOOKUP(Tabela1[[#This Row],[Cliente]],'BASE DE CLIENTES'!A:E,5,0)</f>
        <v>SOBRADINHO</v>
      </c>
    </row>
    <row r="3865" spans="1:12" x14ac:dyDescent="0.3">
      <c r="A3865" t="s">
        <v>1002</v>
      </c>
      <c r="B3865" t="s">
        <v>152</v>
      </c>
      <c r="C3865" s="16" t="str">
        <f>VLOOKUP(Tabela1[[#This Row],[Cliente]],'BASE DE CLIENTES'!A:E,2,0)</f>
        <v>Aparecida de Goiânia</v>
      </c>
      <c r="D3865" s="16" t="str">
        <f>VLOOKUP(Tabela1[[#This Row],[Cliente]],'BASE DE CLIENTES'!A:C,3,0)</f>
        <v>GO</v>
      </c>
      <c r="E3865" s="16" t="str">
        <f>CONCATENATE(Tabela1[[#This Row],[CIDADE]],",",Tabela1[[#This Row],[UF]])</f>
        <v>Aparecida de Goiânia,GO</v>
      </c>
      <c r="F3865" s="15">
        <v>46037</v>
      </c>
      <c r="G3865">
        <v>495.3</v>
      </c>
      <c r="H3865">
        <v>850</v>
      </c>
      <c r="I3865" s="8">
        <f>Tabela1[[#This Row],[Valor total]]-Tabela1[[#This Row],[Valor custo]]</f>
        <v>354.7</v>
      </c>
      <c r="J3865" s="18">
        <f>Tabela1[[#This Row],[MARGEM BRUTA]]/Tabela1[[#This Row],[Valor total]]</f>
        <v>0.41729411764705882</v>
      </c>
      <c r="K3865" s="16" t="str">
        <f>VLOOKUP(Tabela1[[#This Row],[Cliente]],'BASE DE CLIENTES'!A:D,4,0)</f>
        <v>TECNICO</v>
      </c>
      <c r="L3865" s="16" t="str">
        <f>VLOOKUP(Tabela1[[#This Row],[Cliente]],'BASE DE CLIENTES'!A:E,5,0)</f>
        <v>Aparecida de Goiânia</v>
      </c>
    </row>
    <row r="3866" spans="1:12" x14ac:dyDescent="0.3">
      <c r="A3866" t="s">
        <v>1003</v>
      </c>
      <c r="B3866" t="s">
        <v>120</v>
      </c>
      <c r="C3866" s="16" t="str">
        <f>VLOOKUP(Tabela1[[#This Row],[Cliente]],'BASE DE CLIENTES'!A:E,2,0)</f>
        <v>Brasília</v>
      </c>
      <c r="D3866" s="16" t="str">
        <f>VLOOKUP(Tabela1[[#This Row],[Cliente]],'BASE DE CLIENTES'!A:C,3,0)</f>
        <v>DF</v>
      </c>
      <c r="E3866" s="16" t="str">
        <f>CONCATENATE(Tabela1[[#This Row],[CIDADE]],",",Tabela1[[#This Row],[UF]])</f>
        <v>Brasília,DF</v>
      </c>
      <c r="F3866" s="15">
        <v>46037</v>
      </c>
      <c r="G3866" s="10">
        <v>1511.4</v>
      </c>
      <c r="H3866" s="10">
        <v>2460</v>
      </c>
      <c r="I3866" s="8">
        <f>Tabela1[[#This Row],[Valor total]]-Tabela1[[#This Row],[Valor custo]]</f>
        <v>948.59999999999991</v>
      </c>
      <c r="J3866" s="18">
        <f>Tabela1[[#This Row],[MARGEM BRUTA]]/Tabela1[[#This Row],[Valor total]]</f>
        <v>0.38560975609756093</v>
      </c>
      <c r="K3866" s="16" t="str">
        <f>VLOOKUP(Tabela1[[#This Row],[Cliente]],'BASE DE CLIENTES'!A:D,4,0)</f>
        <v>EMPRESA SEM MAQUINA</v>
      </c>
      <c r="L3866" s="16" t="str">
        <f>VLOOKUP(Tabela1[[#This Row],[Cliente]],'BASE DE CLIENTES'!A:E,5,0)</f>
        <v>SAMAMBAIA</v>
      </c>
    </row>
    <row r="3867" spans="1:12" x14ac:dyDescent="0.3">
      <c r="A3867" t="s">
        <v>1004</v>
      </c>
      <c r="B3867" t="s">
        <v>152</v>
      </c>
      <c r="C3867" s="16" t="str">
        <f>VLOOKUP(Tabela1[[#This Row],[Cliente]],'BASE DE CLIENTES'!A:E,2,0)</f>
        <v>Aparecida de Goiânia</v>
      </c>
      <c r="D3867" s="16" t="str">
        <f>VLOOKUP(Tabela1[[#This Row],[Cliente]],'BASE DE CLIENTES'!A:C,3,0)</f>
        <v>GO</v>
      </c>
      <c r="E3867" s="16" t="str">
        <f>CONCATENATE(Tabela1[[#This Row],[CIDADE]],",",Tabela1[[#This Row],[UF]])</f>
        <v>Aparecida de Goiânia,GO</v>
      </c>
      <c r="F3867" s="15">
        <v>46037</v>
      </c>
      <c r="G3867">
        <v>472.79</v>
      </c>
      <c r="H3867">
        <v>685</v>
      </c>
      <c r="I3867" s="8">
        <f>Tabela1[[#This Row],[Valor total]]-Tabela1[[#This Row],[Valor custo]]</f>
        <v>212.20999999999998</v>
      </c>
      <c r="J3867" s="18">
        <f>Tabela1[[#This Row],[MARGEM BRUTA]]/Tabela1[[#This Row],[Valor total]]</f>
        <v>0.30979562043795617</v>
      </c>
      <c r="K3867" s="16" t="str">
        <f>VLOOKUP(Tabela1[[#This Row],[Cliente]],'BASE DE CLIENTES'!A:D,4,0)</f>
        <v>TECNICO</v>
      </c>
      <c r="L3867" s="16" t="str">
        <f>VLOOKUP(Tabela1[[#This Row],[Cliente]],'BASE DE CLIENTES'!A:E,5,0)</f>
        <v>Aparecida de Goiânia</v>
      </c>
    </row>
    <row r="3868" spans="1:12" x14ac:dyDescent="0.3">
      <c r="A3868" t="s">
        <v>1005</v>
      </c>
      <c r="B3868" t="s">
        <v>78</v>
      </c>
      <c r="C3868" s="16" t="str">
        <f>VLOOKUP(Tabela1[[#This Row],[Cliente]],'BASE DE CLIENTES'!A:E,2,0)</f>
        <v>Brasília</v>
      </c>
      <c r="D3868" s="16" t="str">
        <f>VLOOKUP(Tabela1[[#This Row],[Cliente]],'BASE DE CLIENTES'!A:C,3,0)</f>
        <v>DF</v>
      </c>
      <c r="E3868" s="16" t="str">
        <f>CONCATENATE(Tabela1[[#This Row],[CIDADE]],",",Tabela1[[#This Row],[UF]])</f>
        <v>Brasília,DF</v>
      </c>
      <c r="F3868" s="15">
        <v>46037</v>
      </c>
      <c r="G3868">
        <v>139.41999999999999</v>
      </c>
      <c r="H3868">
        <v>255</v>
      </c>
      <c r="I3868" s="8">
        <f>Tabela1[[#This Row],[Valor total]]-Tabela1[[#This Row],[Valor custo]]</f>
        <v>115.58000000000001</v>
      </c>
      <c r="J3868" s="18">
        <f>Tabela1[[#This Row],[MARGEM BRUTA]]/Tabela1[[#This Row],[Valor total]]</f>
        <v>0.45325490196078438</v>
      </c>
      <c r="K3868" s="16" t="str">
        <f>VLOOKUP(Tabela1[[#This Row],[Cliente]],'BASE DE CLIENTES'!A:D,4,0)</f>
        <v>SERRALHEIRO</v>
      </c>
      <c r="L3868" s="16" t="str">
        <f>VLOOKUP(Tabela1[[#This Row],[Cliente]],'BASE DE CLIENTES'!A:E,5,0)</f>
        <v>Vila do Boa (São Sebastião)</v>
      </c>
    </row>
    <row r="3869" spans="1:12" x14ac:dyDescent="0.3">
      <c r="A3869" t="s">
        <v>1006</v>
      </c>
      <c r="B3869" t="s">
        <v>38</v>
      </c>
      <c r="C3869" s="16" t="str">
        <f>VLOOKUP(Tabela1[[#This Row],[Cliente]],'BASE DE CLIENTES'!A:E,2,0)</f>
        <v>Brasília</v>
      </c>
      <c r="D3869" s="16" t="str">
        <f>VLOOKUP(Tabela1[[#This Row],[Cliente]],'BASE DE CLIENTES'!A:C,3,0)</f>
        <v>DF</v>
      </c>
      <c r="E3869" s="16" t="str">
        <f>CONCATENATE(Tabela1[[#This Row],[CIDADE]],",",Tabela1[[#This Row],[UF]])</f>
        <v>Brasília,DF</v>
      </c>
      <c r="F3869" s="15">
        <v>46037</v>
      </c>
      <c r="G3869">
        <v>960.58</v>
      </c>
      <c r="H3869">
        <v>740</v>
      </c>
      <c r="I3869" s="8">
        <f>Tabela1[[#This Row],[Valor total]]-Tabela1[[#This Row],[Valor custo]]</f>
        <v>-220.58000000000004</v>
      </c>
      <c r="J3869" s="18">
        <f>Tabela1[[#This Row],[MARGEM BRUTA]]/Tabela1[[#This Row],[Valor total]]</f>
        <v>-0.29808108108108111</v>
      </c>
      <c r="K3869" s="16" t="str">
        <f>VLOOKUP(Tabela1[[#This Row],[Cliente]],'BASE DE CLIENTES'!A:D,4,0)</f>
        <v>EMPRESA SEM MAQUINA</v>
      </c>
      <c r="L3869" s="16" t="str">
        <f>VLOOKUP(Tabela1[[#This Row],[Cliente]],'BASE DE CLIENTES'!A:E,5,0)</f>
        <v>PONTE ALTA NORTE (GAMA)</v>
      </c>
    </row>
    <row r="3870" spans="1:12" x14ac:dyDescent="0.3">
      <c r="A3870" t="s">
        <v>1007</v>
      </c>
      <c r="B3870" t="s">
        <v>27</v>
      </c>
      <c r="C3870" s="16" t="str">
        <f>VLOOKUP(Tabela1[[#This Row],[Cliente]],'BASE DE CLIENTES'!A:E,2,0)</f>
        <v>Brasília</v>
      </c>
      <c r="D3870" s="16" t="str">
        <f>VLOOKUP(Tabela1[[#This Row],[Cliente]],'BASE DE CLIENTES'!A:C,3,0)</f>
        <v>DF</v>
      </c>
      <c r="E3870" s="16" t="str">
        <f>CONCATENATE(Tabela1[[#This Row],[CIDADE]],",",Tabela1[[#This Row],[UF]])</f>
        <v>Brasília,DF</v>
      </c>
      <c r="F3870" s="15">
        <v>46037</v>
      </c>
      <c r="G3870">
        <v>487.81</v>
      </c>
      <c r="H3870">
        <v>670</v>
      </c>
      <c r="I3870" s="8">
        <f>Tabela1[[#This Row],[Valor total]]-Tabela1[[#This Row],[Valor custo]]</f>
        <v>182.19</v>
      </c>
      <c r="J3870" s="18">
        <f>Tabela1[[#This Row],[MARGEM BRUTA]]/Tabela1[[#This Row],[Valor total]]</f>
        <v>0.27192537313432835</v>
      </c>
      <c r="K3870" s="16" t="str">
        <f>VLOOKUP(Tabela1[[#This Row],[Cliente]],'BASE DE CLIENTES'!A:D,4,0)</f>
        <v>EMPRESA SEM MAQUINA</v>
      </c>
      <c r="L3870" s="16" t="str">
        <f>VLOOKUP(Tabela1[[#This Row],[Cliente]],'BASE DE CLIENTES'!A:E,5,0)</f>
        <v>RECANTO DAS EMAS</v>
      </c>
    </row>
    <row r="3871" spans="1:12" x14ac:dyDescent="0.3">
      <c r="A3871" t="s">
        <v>1008</v>
      </c>
      <c r="B3871" t="s">
        <v>111</v>
      </c>
      <c r="C3871" s="16" t="str">
        <f>VLOOKUP(Tabela1[[#This Row],[Cliente]],'BASE DE CLIENTES'!A:E,2,0)</f>
        <v>Brasília</v>
      </c>
      <c r="D3871" s="16" t="str">
        <f>VLOOKUP(Tabela1[[#This Row],[Cliente]],'BASE DE CLIENTES'!A:C,3,0)</f>
        <v>DF</v>
      </c>
      <c r="E3871" s="16" t="str">
        <f>CONCATENATE(Tabela1[[#This Row],[CIDADE]],",",Tabela1[[#This Row],[UF]])</f>
        <v>Brasília,DF</v>
      </c>
      <c r="F3871" s="15">
        <v>46037</v>
      </c>
      <c r="G3871" s="10">
        <v>1395.84</v>
      </c>
      <c r="H3871" s="10">
        <v>2000</v>
      </c>
      <c r="I3871" s="8">
        <f>Tabela1[[#This Row],[Valor total]]-Tabela1[[#This Row],[Valor custo]]</f>
        <v>604.16000000000008</v>
      </c>
      <c r="J3871" s="18">
        <f>Tabela1[[#This Row],[MARGEM BRUTA]]/Tabela1[[#This Row],[Valor total]]</f>
        <v>0.30208000000000002</v>
      </c>
      <c r="K3871" s="16" t="str">
        <f>VLOOKUP(Tabela1[[#This Row],[Cliente]],'BASE DE CLIENTES'!A:D,4,0)</f>
        <v>EMPRESA SEM MAQUINA</v>
      </c>
      <c r="L3871" s="16" t="str">
        <f>VLOOKUP(Tabela1[[#This Row],[Cliente]],'BASE DE CLIENTES'!A:E,5,0)</f>
        <v>TAGUATINGA SUL (TAGUATINGA)</v>
      </c>
    </row>
    <row r="3872" spans="1:12" x14ac:dyDescent="0.3">
      <c r="A3872" t="s">
        <v>1009</v>
      </c>
      <c r="B3872" t="s">
        <v>108</v>
      </c>
      <c r="C3872" s="16" t="str">
        <f>VLOOKUP(Tabela1[[#This Row],[Cliente]],'BASE DE CLIENTES'!A:E,2,0)</f>
        <v>Brasília</v>
      </c>
      <c r="D3872" s="16" t="str">
        <f>VLOOKUP(Tabela1[[#This Row],[Cliente]],'BASE DE CLIENTES'!A:C,3,0)</f>
        <v>DF</v>
      </c>
      <c r="E3872" s="16" t="str">
        <f>CONCATENATE(Tabela1[[#This Row],[CIDADE]],",",Tabela1[[#This Row],[UF]])</f>
        <v>Brasília,DF</v>
      </c>
      <c r="F3872" s="15">
        <v>46037</v>
      </c>
      <c r="G3872">
        <v>50</v>
      </c>
      <c r="H3872">
        <v>60</v>
      </c>
      <c r="I3872" s="8">
        <f>Tabela1[[#This Row],[Valor total]]-Tabela1[[#This Row],[Valor custo]]</f>
        <v>10</v>
      </c>
      <c r="J3872" s="18">
        <f>Tabela1[[#This Row],[MARGEM BRUTA]]/Tabela1[[#This Row],[Valor total]]</f>
        <v>0.16666666666666666</v>
      </c>
      <c r="K3872" s="16" t="str">
        <f>VLOOKUP(Tabela1[[#This Row],[Cliente]],'BASE DE CLIENTES'!A:D,4,0)</f>
        <v>SERRALHEIRO</v>
      </c>
      <c r="L3872" s="16" t="str">
        <f>VLOOKUP(Tabela1[[#This Row],[Cliente]],'BASE DE CLIENTES'!A:E,5,0)</f>
        <v>Vila Planalto</v>
      </c>
    </row>
    <row r="3873" spans="1:12" x14ac:dyDescent="0.3">
      <c r="A3873" t="s">
        <v>1010</v>
      </c>
      <c r="B3873" t="s">
        <v>68</v>
      </c>
      <c r="C3873" s="16" t="str">
        <f>VLOOKUP(Tabela1[[#This Row],[Cliente]],'BASE DE CLIENTES'!A:E,2,0)</f>
        <v>Brasília</v>
      </c>
      <c r="D3873" s="16" t="str">
        <f>VLOOKUP(Tabela1[[#This Row],[Cliente]],'BASE DE CLIENTES'!A:C,3,0)</f>
        <v>DF</v>
      </c>
      <c r="E3873" s="16" t="str">
        <f>CONCATENATE(Tabela1[[#This Row],[CIDADE]],",",Tabela1[[#This Row],[UF]])</f>
        <v>Brasília,DF</v>
      </c>
      <c r="F3873" s="15">
        <v>46037</v>
      </c>
      <c r="G3873" s="10">
        <v>1025.54</v>
      </c>
      <c r="H3873" s="10">
        <v>1400</v>
      </c>
      <c r="I3873" s="8">
        <f>Tabela1[[#This Row],[Valor total]]-Tabela1[[#This Row],[Valor custo]]</f>
        <v>374.46000000000004</v>
      </c>
      <c r="J3873" s="18">
        <f>Tabela1[[#This Row],[MARGEM BRUTA]]/Tabela1[[#This Row],[Valor total]]</f>
        <v>0.26747142857142858</v>
      </c>
      <c r="K3873" s="16" t="str">
        <f>VLOOKUP(Tabela1[[#This Row],[Cliente]],'BASE DE CLIENTES'!A:D,4,0)</f>
        <v>EMPRESA COM MAQUINA</v>
      </c>
      <c r="L3873" s="16" t="str">
        <f>VLOOKUP(Tabela1[[#This Row],[Cliente]],'BASE DE CLIENTES'!A:E,5,0)</f>
        <v>SAMAMBAIA SUL (SAMAMBAIA)</v>
      </c>
    </row>
    <row r="3874" spans="1:12" x14ac:dyDescent="0.3">
      <c r="A3874" t="s">
        <v>1011</v>
      </c>
      <c r="B3874" t="s">
        <v>108</v>
      </c>
      <c r="C3874" s="16" t="str">
        <f>VLOOKUP(Tabela1[[#This Row],[Cliente]],'BASE DE CLIENTES'!A:E,2,0)</f>
        <v>Brasília</v>
      </c>
      <c r="D3874" s="16" t="str">
        <f>VLOOKUP(Tabela1[[#This Row],[Cliente]],'BASE DE CLIENTES'!A:C,3,0)</f>
        <v>DF</v>
      </c>
      <c r="E3874" s="16" t="str">
        <f>CONCATENATE(Tabela1[[#This Row],[CIDADE]],",",Tabela1[[#This Row],[UF]])</f>
        <v>Brasília,DF</v>
      </c>
      <c r="F3874" s="15">
        <v>46037</v>
      </c>
      <c r="G3874">
        <v>323.14</v>
      </c>
      <c r="H3874">
        <v>390</v>
      </c>
      <c r="I3874" s="8">
        <f>Tabela1[[#This Row],[Valor total]]-Tabela1[[#This Row],[Valor custo]]</f>
        <v>66.860000000000014</v>
      </c>
      <c r="J3874" s="18">
        <f>Tabela1[[#This Row],[MARGEM BRUTA]]/Tabela1[[#This Row],[Valor total]]</f>
        <v>0.17143589743589746</v>
      </c>
      <c r="K3874" s="16" t="str">
        <f>VLOOKUP(Tabela1[[#This Row],[Cliente]],'BASE DE CLIENTES'!A:D,4,0)</f>
        <v>SERRALHEIRO</v>
      </c>
      <c r="L3874" s="16" t="str">
        <f>VLOOKUP(Tabela1[[#This Row],[Cliente]],'BASE DE CLIENTES'!A:E,5,0)</f>
        <v>Vila Planalto</v>
      </c>
    </row>
    <row r="3875" spans="1:12" x14ac:dyDescent="0.3">
      <c r="A3875" t="s">
        <v>1012</v>
      </c>
      <c r="B3875" t="s">
        <v>187</v>
      </c>
      <c r="C3875" s="16" t="str">
        <f>VLOOKUP(Tabela1[[#This Row],[Cliente]],'BASE DE CLIENTES'!A:E,2,0)</f>
        <v>Brasília</v>
      </c>
      <c r="D3875" s="16" t="str">
        <f>VLOOKUP(Tabela1[[#This Row],[Cliente]],'BASE DE CLIENTES'!A:C,3,0)</f>
        <v>DF</v>
      </c>
      <c r="E3875" s="16" t="str">
        <f>CONCATENATE(Tabela1[[#This Row],[CIDADE]],",",Tabela1[[#This Row],[UF]])</f>
        <v>Brasília,DF</v>
      </c>
      <c r="F3875" s="15">
        <v>46037</v>
      </c>
      <c r="G3875">
        <v>377.85</v>
      </c>
      <c r="H3875">
        <v>630</v>
      </c>
      <c r="I3875" s="8">
        <f>Tabela1[[#This Row],[Valor total]]-Tabela1[[#This Row],[Valor custo]]</f>
        <v>252.14999999999998</v>
      </c>
      <c r="J3875" s="18">
        <f>Tabela1[[#This Row],[MARGEM BRUTA]]/Tabela1[[#This Row],[Valor total]]</f>
        <v>0.40023809523809523</v>
      </c>
      <c r="K3875" s="16" t="str">
        <f>VLOOKUP(Tabela1[[#This Row],[Cliente]],'BASE DE CLIENTES'!A:D,4,0)</f>
        <v>SERRALHEIRO</v>
      </c>
      <c r="L3875" s="16" t="str">
        <f>VLOOKUP(Tabela1[[#This Row],[Cliente]],'BASE DE CLIENTES'!A:E,5,0)</f>
        <v>CEILANDIA SUL (CEILANDIA)</v>
      </c>
    </row>
    <row r="3876" spans="1:12" x14ac:dyDescent="0.3">
      <c r="A3876" t="s">
        <v>1013</v>
      </c>
      <c r="B3876" t="s">
        <v>42</v>
      </c>
      <c r="C3876" s="16" t="str">
        <f>VLOOKUP(Tabela1[[#This Row],[Cliente]],'BASE DE CLIENTES'!A:E,2,0)</f>
        <v>Brasília</v>
      </c>
      <c r="D3876" s="16" t="str">
        <f>VLOOKUP(Tabela1[[#This Row],[Cliente]],'BASE DE CLIENTES'!A:C,3,0)</f>
        <v>DF</v>
      </c>
      <c r="E3876" s="16" t="str">
        <f>CONCATENATE(Tabela1[[#This Row],[CIDADE]],",",Tabela1[[#This Row],[UF]])</f>
        <v>Brasília,DF</v>
      </c>
      <c r="F3876" s="15">
        <v>46037</v>
      </c>
      <c r="G3876" s="10">
        <v>1133.55</v>
      </c>
      <c r="H3876" s="10">
        <v>1845</v>
      </c>
      <c r="I3876" s="8">
        <f>Tabela1[[#This Row],[Valor total]]-Tabela1[[#This Row],[Valor custo]]</f>
        <v>711.45</v>
      </c>
      <c r="J3876" s="18">
        <f>Tabela1[[#This Row],[MARGEM BRUTA]]/Tabela1[[#This Row],[Valor total]]</f>
        <v>0.38560975609756099</v>
      </c>
      <c r="K3876" s="16" t="str">
        <f>VLOOKUP(Tabela1[[#This Row],[Cliente]],'BASE DE CLIENTES'!A:D,4,0)</f>
        <v>EMPRESA SEM MAQUINA</v>
      </c>
      <c r="L3876" s="16" t="str">
        <f>VLOOKUP(Tabela1[[#This Row],[Cliente]],'BASE DE CLIENTES'!A:E,5,0)</f>
        <v>SAMAMBAIA</v>
      </c>
    </row>
    <row r="3877" spans="1:12" x14ac:dyDescent="0.3">
      <c r="A3877" t="s">
        <v>1014</v>
      </c>
      <c r="B3877" t="s">
        <v>38</v>
      </c>
      <c r="C3877" s="16" t="str">
        <f>VLOOKUP(Tabela1[[#This Row],[Cliente]],'BASE DE CLIENTES'!A:E,2,0)</f>
        <v>Brasília</v>
      </c>
      <c r="D3877" s="16" t="str">
        <f>VLOOKUP(Tabela1[[#This Row],[Cliente]],'BASE DE CLIENTES'!A:C,3,0)</f>
        <v>DF</v>
      </c>
      <c r="E3877" s="16" t="str">
        <f>CONCATENATE(Tabela1[[#This Row],[CIDADE]],",",Tabela1[[#This Row],[UF]])</f>
        <v>Brasília,DF</v>
      </c>
      <c r="F3877" s="15">
        <v>46036</v>
      </c>
      <c r="G3877" s="10">
        <v>1638.72</v>
      </c>
      <c r="H3877" s="10">
        <v>2500</v>
      </c>
      <c r="I3877" s="8">
        <f>Tabela1[[#This Row],[Valor total]]-Tabela1[[#This Row],[Valor custo]]</f>
        <v>861.28</v>
      </c>
      <c r="J3877" s="18">
        <f>Tabela1[[#This Row],[MARGEM BRUTA]]/Tabela1[[#This Row],[Valor total]]</f>
        <v>0.34451199999999998</v>
      </c>
      <c r="K3877" s="16" t="str">
        <f>VLOOKUP(Tabela1[[#This Row],[Cliente]],'BASE DE CLIENTES'!A:D,4,0)</f>
        <v>EMPRESA SEM MAQUINA</v>
      </c>
      <c r="L3877" s="16" t="str">
        <f>VLOOKUP(Tabela1[[#This Row],[Cliente]],'BASE DE CLIENTES'!A:E,5,0)</f>
        <v>PONTE ALTA NORTE (GAMA)</v>
      </c>
    </row>
    <row r="3878" spans="1:12" x14ac:dyDescent="0.3">
      <c r="A3878" t="s">
        <v>1015</v>
      </c>
      <c r="B3878" t="s">
        <v>68</v>
      </c>
      <c r="C3878" s="16" t="str">
        <f>VLOOKUP(Tabela1[[#This Row],[Cliente]],'BASE DE CLIENTES'!A:E,2,0)</f>
        <v>Brasília</v>
      </c>
      <c r="D3878" s="16" t="str">
        <f>VLOOKUP(Tabela1[[#This Row],[Cliente]],'BASE DE CLIENTES'!A:C,3,0)</f>
        <v>DF</v>
      </c>
      <c r="E3878" s="16" t="str">
        <f>CONCATENATE(Tabela1[[#This Row],[CIDADE]],",",Tabela1[[#This Row],[UF]])</f>
        <v>Brasília,DF</v>
      </c>
      <c r="F3878" s="15">
        <v>46036</v>
      </c>
      <c r="G3878">
        <v>723.64</v>
      </c>
      <c r="H3878" s="10">
        <v>1270</v>
      </c>
      <c r="I3878" s="8">
        <f>Tabela1[[#This Row],[Valor total]]-Tabela1[[#This Row],[Valor custo]]</f>
        <v>546.36</v>
      </c>
      <c r="J3878" s="18">
        <f>Tabela1[[#This Row],[MARGEM BRUTA]]/Tabela1[[#This Row],[Valor total]]</f>
        <v>0.43020472440944885</v>
      </c>
      <c r="K3878" s="16" t="str">
        <f>VLOOKUP(Tabela1[[#This Row],[Cliente]],'BASE DE CLIENTES'!A:D,4,0)</f>
        <v>EMPRESA COM MAQUINA</v>
      </c>
      <c r="L3878" s="16" t="str">
        <f>VLOOKUP(Tabela1[[#This Row],[Cliente]],'BASE DE CLIENTES'!A:E,5,0)</f>
        <v>SAMAMBAIA SUL (SAMAMBAIA)</v>
      </c>
    </row>
    <row r="3879" spans="1:12" x14ac:dyDescent="0.3">
      <c r="A3879" t="s">
        <v>1016</v>
      </c>
      <c r="B3879" t="s">
        <v>316</v>
      </c>
      <c r="C3879" s="16" t="str">
        <f>VLOOKUP(Tabela1[[#This Row],[Cliente]],'BASE DE CLIENTES'!A:E,2,0)</f>
        <v>Valparaíso de Goiás</v>
      </c>
      <c r="D3879" s="16" t="str">
        <f>VLOOKUP(Tabela1[[#This Row],[Cliente]],'BASE DE CLIENTES'!A:C,3,0)</f>
        <v>GO</v>
      </c>
      <c r="E3879" s="16" t="str">
        <f>CONCATENATE(Tabela1[[#This Row],[CIDADE]],",",Tabela1[[#This Row],[UF]])</f>
        <v>Valparaíso de Goiás,GO</v>
      </c>
      <c r="F3879" s="15">
        <v>46036</v>
      </c>
      <c r="G3879">
        <v>510.31</v>
      </c>
      <c r="H3879">
        <v>750</v>
      </c>
      <c r="I3879" s="8">
        <f>Tabela1[[#This Row],[Valor total]]-Tabela1[[#This Row],[Valor custo]]</f>
        <v>239.69</v>
      </c>
      <c r="J3879" s="18">
        <f>Tabela1[[#This Row],[MARGEM BRUTA]]/Tabela1[[#This Row],[Valor total]]</f>
        <v>0.31958666666666669</v>
      </c>
      <c r="K3879" s="16" t="str">
        <f>VLOOKUP(Tabela1[[#This Row],[Cliente]],'BASE DE CLIENTES'!A:D,4,0)</f>
        <v>SERRALHEIRO</v>
      </c>
      <c r="L3879" s="16" t="str">
        <f>VLOOKUP(Tabela1[[#This Row],[Cliente]],'BASE DE CLIENTES'!A:E,5,0)</f>
        <v>Valparaíso de Goiás</v>
      </c>
    </row>
    <row r="3880" spans="1:12" x14ac:dyDescent="0.3">
      <c r="A3880" t="s">
        <v>1017</v>
      </c>
      <c r="B3880" t="s">
        <v>316</v>
      </c>
      <c r="C3880" s="16" t="str">
        <f>VLOOKUP(Tabela1[[#This Row],[Cliente]],'BASE DE CLIENTES'!A:E,2,0)</f>
        <v>Valparaíso de Goiás</v>
      </c>
      <c r="D3880" s="16" t="str">
        <f>VLOOKUP(Tabela1[[#This Row],[Cliente]],'BASE DE CLIENTES'!A:C,3,0)</f>
        <v>GO</v>
      </c>
      <c r="E3880" s="16" t="str">
        <f>CONCATENATE(Tabela1[[#This Row],[CIDADE]],",",Tabela1[[#This Row],[UF]])</f>
        <v>Valparaíso de Goiás,GO</v>
      </c>
      <c r="F3880" s="15">
        <v>46036</v>
      </c>
      <c r="G3880" s="10">
        <v>1148.19</v>
      </c>
      <c r="H3880" s="10">
        <v>1820</v>
      </c>
      <c r="I3880" s="8">
        <f>Tabela1[[#This Row],[Valor total]]-Tabela1[[#This Row],[Valor custo]]</f>
        <v>671.81</v>
      </c>
      <c r="J3880" s="18">
        <f>Tabela1[[#This Row],[MARGEM BRUTA]]/Tabela1[[#This Row],[Valor total]]</f>
        <v>0.36912637362637357</v>
      </c>
      <c r="K3880" s="16" t="str">
        <f>VLOOKUP(Tabela1[[#This Row],[Cliente]],'BASE DE CLIENTES'!A:D,4,0)</f>
        <v>SERRALHEIRO</v>
      </c>
      <c r="L3880" s="16" t="str">
        <f>VLOOKUP(Tabela1[[#This Row],[Cliente]],'BASE DE CLIENTES'!A:E,5,0)</f>
        <v>Valparaíso de Goiás</v>
      </c>
    </row>
    <row r="3881" spans="1:12" x14ac:dyDescent="0.3">
      <c r="A3881" t="s">
        <v>1018</v>
      </c>
      <c r="B3881" t="s">
        <v>70</v>
      </c>
      <c r="C3881" s="16" t="str">
        <f>VLOOKUP(Tabela1[[#This Row],[Cliente]],'BASE DE CLIENTES'!A:E,2,0)</f>
        <v>Brasília</v>
      </c>
      <c r="D3881" s="16" t="str">
        <f>VLOOKUP(Tabela1[[#This Row],[Cliente]],'BASE DE CLIENTES'!A:C,3,0)</f>
        <v>DF</v>
      </c>
      <c r="E3881" s="16" t="str">
        <f>CONCATENATE(Tabela1[[#This Row],[CIDADE]],",",Tabela1[[#This Row],[UF]])</f>
        <v>Brasília,DF</v>
      </c>
      <c r="F3881" s="15">
        <v>46036</v>
      </c>
      <c r="G3881">
        <v>150</v>
      </c>
      <c r="H3881">
        <v>180</v>
      </c>
      <c r="I3881" s="8">
        <f>Tabela1[[#This Row],[Valor total]]-Tabela1[[#This Row],[Valor custo]]</f>
        <v>30</v>
      </c>
      <c r="J3881" s="18">
        <f>Tabela1[[#This Row],[MARGEM BRUTA]]/Tabela1[[#This Row],[Valor total]]</f>
        <v>0.16666666666666666</v>
      </c>
      <c r="K3881" s="16" t="str">
        <f>VLOOKUP(Tabela1[[#This Row],[Cliente]],'BASE DE CLIENTES'!A:D,4,0)</f>
        <v>EMPRESA COM MAQUINA</v>
      </c>
      <c r="L3881" s="16" t="str">
        <f>VLOOKUP(Tabela1[[#This Row],[Cliente]],'BASE DE CLIENTES'!A:E,5,0)</f>
        <v>TAGUATINGA NORTE (TAGUATINGA)</v>
      </c>
    </row>
    <row r="3882" spans="1:12" x14ac:dyDescent="0.3">
      <c r="A3882" t="s">
        <v>1019</v>
      </c>
      <c r="B3882" t="s">
        <v>70</v>
      </c>
      <c r="C3882" s="16" t="str">
        <f>VLOOKUP(Tabela1[[#This Row],[Cliente]],'BASE DE CLIENTES'!A:E,2,0)</f>
        <v>Brasília</v>
      </c>
      <c r="D3882" s="16" t="str">
        <f>VLOOKUP(Tabela1[[#This Row],[Cliente]],'BASE DE CLIENTES'!A:C,3,0)</f>
        <v>DF</v>
      </c>
      <c r="E3882" s="16" t="str">
        <f>CONCATENATE(Tabela1[[#This Row],[CIDADE]],",",Tabela1[[#This Row],[UF]])</f>
        <v>Brasília,DF</v>
      </c>
      <c r="F3882" s="15">
        <v>46036</v>
      </c>
      <c r="G3882">
        <v>697.92</v>
      </c>
      <c r="H3882">
        <v>950</v>
      </c>
      <c r="I3882" s="8">
        <f>Tabela1[[#This Row],[Valor total]]-Tabela1[[#This Row],[Valor custo]]</f>
        <v>252.08000000000004</v>
      </c>
      <c r="J3882" s="18">
        <f>Tabela1[[#This Row],[MARGEM BRUTA]]/Tabela1[[#This Row],[Valor total]]</f>
        <v>0.26534736842105267</v>
      </c>
      <c r="K3882" s="16" t="str">
        <f>VLOOKUP(Tabela1[[#This Row],[Cliente]],'BASE DE CLIENTES'!A:D,4,0)</f>
        <v>EMPRESA COM MAQUINA</v>
      </c>
      <c r="L3882" s="16" t="str">
        <f>VLOOKUP(Tabela1[[#This Row],[Cliente]],'BASE DE CLIENTES'!A:E,5,0)</f>
        <v>TAGUATINGA NORTE (TAGUATINGA)</v>
      </c>
    </row>
    <row r="3883" spans="1:12" x14ac:dyDescent="0.3">
      <c r="A3883" t="s">
        <v>1020</v>
      </c>
      <c r="B3883" t="s">
        <v>42</v>
      </c>
      <c r="C3883" s="16" t="str">
        <f>VLOOKUP(Tabela1[[#This Row],[Cliente]],'BASE DE CLIENTES'!A:E,2,0)</f>
        <v>Brasília</v>
      </c>
      <c r="D3883" s="16" t="str">
        <f>VLOOKUP(Tabela1[[#This Row],[Cliente]],'BASE DE CLIENTES'!A:C,3,0)</f>
        <v>DF</v>
      </c>
      <c r="E3883" s="16" t="str">
        <f>CONCATENATE(Tabela1[[#This Row],[CIDADE]],",",Tabela1[[#This Row],[UF]])</f>
        <v>Brasília,DF</v>
      </c>
      <c r="F3883" s="15">
        <v>46036</v>
      </c>
      <c r="G3883" s="10">
        <v>1090.78</v>
      </c>
      <c r="H3883" s="10">
        <v>1615</v>
      </c>
      <c r="I3883" s="8">
        <f>Tabela1[[#This Row],[Valor total]]-Tabela1[[#This Row],[Valor custo]]</f>
        <v>524.22</v>
      </c>
      <c r="J3883" s="18">
        <f>Tabela1[[#This Row],[MARGEM BRUTA]]/Tabela1[[#This Row],[Valor total]]</f>
        <v>0.32459442724458204</v>
      </c>
      <c r="K3883" s="16" t="str">
        <f>VLOOKUP(Tabela1[[#This Row],[Cliente]],'BASE DE CLIENTES'!A:D,4,0)</f>
        <v>EMPRESA SEM MAQUINA</v>
      </c>
      <c r="L3883" s="16" t="str">
        <f>VLOOKUP(Tabela1[[#This Row],[Cliente]],'BASE DE CLIENTES'!A:E,5,0)</f>
        <v>SAMAMBAIA</v>
      </c>
    </row>
    <row r="3884" spans="1:12" x14ac:dyDescent="0.3">
      <c r="A3884" t="s">
        <v>1021</v>
      </c>
      <c r="B3884" t="s">
        <v>117</v>
      </c>
      <c r="C3884" s="16" t="str">
        <f>VLOOKUP(Tabela1[[#This Row],[Cliente]],'BASE DE CLIENTES'!A:E,2,0)</f>
        <v>Brasília</v>
      </c>
      <c r="D3884" s="16" t="str">
        <f>VLOOKUP(Tabela1[[#This Row],[Cliente]],'BASE DE CLIENTES'!A:C,3,0)</f>
        <v>DF</v>
      </c>
      <c r="E3884" s="16" t="str">
        <f>CONCATENATE(Tabela1[[#This Row],[CIDADE]],",",Tabela1[[#This Row],[UF]])</f>
        <v>Brasília,DF</v>
      </c>
      <c r="F3884" s="15">
        <v>46036</v>
      </c>
      <c r="G3884">
        <v>45.6</v>
      </c>
      <c r="H3884">
        <v>70</v>
      </c>
      <c r="I3884" s="8">
        <f>Tabela1[[#This Row],[Valor total]]-Tabela1[[#This Row],[Valor custo]]</f>
        <v>24.4</v>
      </c>
      <c r="J3884" s="18">
        <f>Tabela1[[#This Row],[MARGEM BRUTA]]/Tabela1[[#This Row],[Valor total]]</f>
        <v>0.34857142857142853</v>
      </c>
      <c r="K3884" s="16" t="str">
        <f>VLOOKUP(Tabela1[[#This Row],[Cliente]],'BASE DE CLIENTES'!A:D,4,0)</f>
        <v>EMPRESA COM MAQUINA</v>
      </c>
      <c r="L3884" s="16" t="str">
        <f>VLOOKUP(Tabela1[[#This Row],[Cliente]],'BASE DE CLIENTES'!A:E,5,0)</f>
        <v>SETOR HABITACIONAL ARNIQUEIRA (AGUAS CLARAS)</v>
      </c>
    </row>
    <row r="3885" spans="1:12" x14ac:dyDescent="0.3">
      <c r="A3885" t="s">
        <v>1022</v>
      </c>
      <c r="B3885" t="s">
        <v>780</v>
      </c>
      <c r="C3885" s="16" t="str">
        <f>VLOOKUP(Tabela1[[#This Row],[Cliente]],'BASE DE CLIENTES'!A:E,2,0)</f>
        <v>Brasília</v>
      </c>
      <c r="D3885" s="16" t="str">
        <f>VLOOKUP(Tabela1[[#This Row],[Cliente]],'BASE DE CLIENTES'!A:C,3,0)</f>
        <v>DF</v>
      </c>
      <c r="E3885" s="16" t="str">
        <f>CONCATENATE(Tabela1[[#This Row],[CIDADE]],",",Tabela1[[#This Row],[UF]])</f>
        <v>Brasília,DF</v>
      </c>
      <c r="F3885" s="15">
        <v>46036</v>
      </c>
      <c r="G3885">
        <v>112.56</v>
      </c>
      <c r="H3885">
        <v>360</v>
      </c>
      <c r="I3885" s="8">
        <f>Tabela1[[#This Row],[Valor total]]-Tabela1[[#This Row],[Valor custo]]</f>
        <v>247.44</v>
      </c>
      <c r="J3885" s="18">
        <f>Tabela1[[#This Row],[MARGEM BRUTA]]/Tabela1[[#This Row],[Valor total]]</f>
        <v>0.68733333333333335</v>
      </c>
      <c r="K3885" s="16" t="str">
        <f>VLOOKUP(Tabela1[[#This Row],[Cliente]],'BASE DE CLIENTES'!A:D,4,0)</f>
        <v>CLIENTE NOVO S/ IDENT.</v>
      </c>
      <c r="L3885" s="16" t="str">
        <f>VLOOKUP(Tabela1[[#This Row],[Cliente]],'BASE DE CLIENTES'!A:E,5,0)</f>
        <v>Ceilândia</v>
      </c>
    </row>
    <row r="3886" spans="1:12" x14ac:dyDescent="0.3">
      <c r="A3886" t="s">
        <v>1023</v>
      </c>
      <c r="B3886" t="s">
        <v>152</v>
      </c>
      <c r="C3886" s="16" t="str">
        <f>VLOOKUP(Tabela1[[#This Row],[Cliente]],'BASE DE CLIENTES'!A:E,2,0)</f>
        <v>Aparecida de Goiânia</v>
      </c>
      <c r="D3886" s="16" t="str">
        <f>VLOOKUP(Tabela1[[#This Row],[Cliente]],'BASE DE CLIENTES'!A:C,3,0)</f>
        <v>GO</v>
      </c>
      <c r="E3886" s="16" t="str">
        <f>CONCATENATE(Tabela1[[#This Row],[CIDADE]],",",Tabela1[[#This Row],[UF]])</f>
        <v>Aparecida de Goiânia,GO</v>
      </c>
      <c r="F3886" s="15">
        <v>46036</v>
      </c>
      <c r="G3886">
        <v>495.3</v>
      </c>
      <c r="H3886">
        <v>735</v>
      </c>
      <c r="I3886" s="8">
        <f>Tabela1[[#This Row],[Valor total]]-Tabela1[[#This Row],[Valor custo]]</f>
        <v>239.7</v>
      </c>
      <c r="J3886" s="18">
        <f>Tabela1[[#This Row],[MARGEM BRUTA]]/Tabela1[[#This Row],[Valor total]]</f>
        <v>0.32612244897959181</v>
      </c>
      <c r="K3886" s="16" t="str">
        <f>VLOOKUP(Tabela1[[#This Row],[Cliente]],'BASE DE CLIENTES'!A:D,4,0)</f>
        <v>TECNICO</v>
      </c>
      <c r="L3886" s="16" t="str">
        <f>VLOOKUP(Tabela1[[#This Row],[Cliente]],'BASE DE CLIENTES'!A:E,5,0)</f>
        <v>Aparecida de Goiânia</v>
      </c>
    </row>
    <row r="3887" spans="1:12" x14ac:dyDescent="0.3">
      <c r="A3887" t="s">
        <v>1024</v>
      </c>
      <c r="B3887" t="s">
        <v>776</v>
      </c>
      <c r="C3887" s="16" t="str">
        <f>VLOOKUP(Tabela1[[#This Row],[Cliente]],'BASE DE CLIENTES'!A:E,2,0)</f>
        <v>Brasília</v>
      </c>
      <c r="D3887" s="16" t="str">
        <f>VLOOKUP(Tabela1[[#This Row],[Cliente]],'BASE DE CLIENTES'!A:C,3,0)</f>
        <v>DF</v>
      </c>
      <c r="E3887" s="16" t="str">
        <f>CONCATENATE(Tabela1[[#This Row],[CIDADE]],",",Tabela1[[#This Row],[UF]])</f>
        <v>Brasília,DF</v>
      </c>
      <c r="F3887" s="15">
        <v>46036</v>
      </c>
      <c r="G3887">
        <v>555.34</v>
      </c>
      <c r="H3887">
        <v>900</v>
      </c>
      <c r="I3887" s="8">
        <f>Tabela1[[#This Row],[Valor total]]-Tabela1[[#This Row],[Valor custo]]</f>
        <v>344.65999999999997</v>
      </c>
      <c r="J3887" s="18">
        <f>Tabela1[[#This Row],[MARGEM BRUTA]]/Tabela1[[#This Row],[Valor total]]</f>
        <v>0.38295555555555549</v>
      </c>
      <c r="K3887" s="16" t="str">
        <f>VLOOKUP(Tabela1[[#This Row],[Cliente]],'BASE DE CLIENTES'!A:D,4,0)</f>
        <v>CLIENTE NOVO S/ IDENT.</v>
      </c>
      <c r="L3887" s="16" t="str">
        <f>VLOOKUP(Tabela1[[#This Row],[Cliente]],'BASE DE CLIENTES'!A:E,5,0)</f>
        <v>Estrutural</v>
      </c>
    </row>
    <row r="3888" spans="1:12" x14ac:dyDescent="0.3">
      <c r="A3888" t="s">
        <v>1025</v>
      </c>
      <c r="B3888" t="s">
        <v>78</v>
      </c>
      <c r="C3888" s="16" t="str">
        <f>VLOOKUP(Tabela1[[#This Row],[Cliente]],'BASE DE CLIENTES'!A:E,2,0)</f>
        <v>Brasília</v>
      </c>
      <c r="D3888" s="16" t="str">
        <f>VLOOKUP(Tabela1[[#This Row],[Cliente]],'BASE DE CLIENTES'!A:C,3,0)</f>
        <v>DF</v>
      </c>
      <c r="E3888" s="16" t="str">
        <f>CONCATENATE(Tabela1[[#This Row],[CIDADE]],",",Tabela1[[#This Row],[UF]])</f>
        <v>Brasília,DF</v>
      </c>
      <c r="F3888" s="15">
        <v>46036</v>
      </c>
      <c r="G3888" s="10">
        <v>1020.62</v>
      </c>
      <c r="H3888" s="10">
        <v>1450</v>
      </c>
      <c r="I3888" s="8">
        <f>Tabela1[[#This Row],[Valor total]]-Tabela1[[#This Row],[Valor custo]]</f>
        <v>429.38</v>
      </c>
      <c r="J3888" s="18">
        <f>Tabela1[[#This Row],[MARGEM BRUTA]]/Tabela1[[#This Row],[Valor total]]</f>
        <v>0.29612413793103448</v>
      </c>
      <c r="K3888" s="16" t="str">
        <f>VLOOKUP(Tabela1[[#This Row],[Cliente]],'BASE DE CLIENTES'!A:D,4,0)</f>
        <v>SERRALHEIRO</v>
      </c>
      <c r="L3888" s="16" t="str">
        <f>VLOOKUP(Tabela1[[#This Row],[Cliente]],'BASE DE CLIENTES'!A:E,5,0)</f>
        <v>Vila do Boa (São Sebastião)</v>
      </c>
    </row>
    <row r="3889" spans="1:12" x14ac:dyDescent="0.3">
      <c r="A3889" t="s">
        <v>1026</v>
      </c>
      <c r="B3889" t="s">
        <v>230</v>
      </c>
      <c r="C3889" s="16" t="str">
        <f>VLOOKUP(Tabela1[[#This Row],[Cliente]],'BASE DE CLIENTES'!A:E,2,0)</f>
        <v>Brasília</v>
      </c>
      <c r="D3889" s="16" t="str">
        <f>VLOOKUP(Tabela1[[#This Row],[Cliente]],'BASE DE CLIENTES'!A:C,3,0)</f>
        <v>DF</v>
      </c>
      <c r="E3889" s="16" t="str">
        <f>CONCATENATE(Tabela1[[#This Row],[CIDADE]],",",Tabela1[[#This Row],[UF]])</f>
        <v>Brasília,DF</v>
      </c>
      <c r="F3889" s="15">
        <v>46036</v>
      </c>
      <c r="G3889">
        <v>377.85</v>
      </c>
      <c r="H3889">
        <v>529</v>
      </c>
      <c r="I3889" s="8">
        <f>Tabela1[[#This Row],[Valor total]]-Tabela1[[#This Row],[Valor custo]]</f>
        <v>151.14999999999998</v>
      </c>
      <c r="J3889" s="18">
        <f>Tabela1[[#This Row],[MARGEM BRUTA]]/Tabela1[[#This Row],[Valor total]]</f>
        <v>0.28572778827977313</v>
      </c>
      <c r="K3889" s="16" t="str">
        <f>VLOOKUP(Tabela1[[#This Row],[Cliente]],'BASE DE CLIENTES'!A:D,4,0)</f>
        <v>SERRALHEIRO</v>
      </c>
      <c r="L3889" s="16" t="str">
        <f>VLOOKUP(Tabela1[[#This Row],[Cliente]],'BASE DE CLIENTES'!A:E,5,0)</f>
        <v>SETOR HABITACIONAL SAMAMBAIA (VICENTE PIRES)</v>
      </c>
    </row>
    <row r="3890" spans="1:12" x14ac:dyDescent="0.3">
      <c r="A3890" t="s">
        <v>1027</v>
      </c>
      <c r="B3890" t="s">
        <v>68</v>
      </c>
      <c r="C3890" s="16" t="str">
        <f>VLOOKUP(Tabela1[[#This Row],[Cliente]],'BASE DE CLIENTES'!A:E,2,0)</f>
        <v>Brasília</v>
      </c>
      <c r="D3890" s="16" t="str">
        <f>VLOOKUP(Tabela1[[#This Row],[Cliente]],'BASE DE CLIENTES'!A:C,3,0)</f>
        <v>DF</v>
      </c>
      <c r="E3890" s="16" t="str">
        <f>CONCATENATE(Tabela1[[#This Row],[CIDADE]],",",Tabela1[[#This Row],[UF]])</f>
        <v>Brasília,DF</v>
      </c>
      <c r="F3890" s="15">
        <v>46036</v>
      </c>
      <c r="G3890">
        <v>747.79</v>
      </c>
      <c r="H3890" s="10">
        <v>1077</v>
      </c>
      <c r="I3890" s="8">
        <f>Tabela1[[#This Row],[Valor total]]-Tabela1[[#This Row],[Valor custo]]</f>
        <v>329.21000000000004</v>
      </c>
      <c r="J3890" s="18">
        <f>Tabela1[[#This Row],[MARGEM BRUTA]]/Tabela1[[#This Row],[Valor total]]</f>
        <v>0.30567316620241414</v>
      </c>
      <c r="K3890" s="16" t="str">
        <f>VLOOKUP(Tabela1[[#This Row],[Cliente]],'BASE DE CLIENTES'!A:D,4,0)</f>
        <v>EMPRESA COM MAQUINA</v>
      </c>
      <c r="L3890" s="16" t="str">
        <f>VLOOKUP(Tabela1[[#This Row],[Cliente]],'BASE DE CLIENTES'!A:E,5,0)</f>
        <v>SAMAMBAIA SUL (SAMAMBAIA)</v>
      </c>
    </row>
    <row r="3891" spans="1:12" x14ac:dyDescent="0.3">
      <c r="A3891" t="s">
        <v>1028</v>
      </c>
      <c r="B3891" t="s">
        <v>152</v>
      </c>
      <c r="C3891" s="16" t="str">
        <f>VLOOKUP(Tabela1[[#This Row],[Cliente]],'BASE DE CLIENTES'!A:E,2,0)</f>
        <v>Aparecida de Goiânia</v>
      </c>
      <c r="D3891" s="16" t="str">
        <f>VLOOKUP(Tabela1[[#This Row],[Cliente]],'BASE DE CLIENTES'!A:C,3,0)</f>
        <v>GO</v>
      </c>
      <c r="E3891" s="16" t="str">
        <f>CONCATENATE(Tabela1[[#This Row],[CIDADE]],",",Tabela1[[#This Row],[UF]])</f>
        <v>Aparecida de Goiânia,GO</v>
      </c>
      <c r="F3891" s="15">
        <v>46036</v>
      </c>
      <c r="G3891">
        <v>250</v>
      </c>
      <c r="H3891">
        <v>300</v>
      </c>
      <c r="I3891" s="8">
        <f>Tabela1[[#This Row],[Valor total]]-Tabela1[[#This Row],[Valor custo]]</f>
        <v>50</v>
      </c>
      <c r="J3891" s="18">
        <f>Tabela1[[#This Row],[MARGEM BRUTA]]/Tabela1[[#This Row],[Valor total]]</f>
        <v>0.16666666666666666</v>
      </c>
      <c r="K3891" s="16" t="str">
        <f>VLOOKUP(Tabela1[[#This Row],[Cliente]],'BASE DE CLIENTES'!A:D,4,0)</f>
        <v>TECNICO</v>
      </c>
      <c r="L3891" s="16" t="str">
        <f>VLOOKUP(Tabela1[[#This Row],[Cliente]],'BASE DE CLIENTES'!A:E,5,0)</f>
        <v>Aparecida de Goiânia</v>
      </c>
    </row>
    <row r="3892" spans="1:12" x14ac:dyDescent="0.3">
      <c r="A3892" t="s">
        <v>1029</v>
      </c>
      <c r="B3892" t="s">
        <v>97</v>
      </c>
      <c r="C3892" s="16" t="str">
        <f>VLOOKUP(Tabela1[[#This Row],[Cliente]],'BASE DE CLIENTES'!A:E,2,0)</f>
        <v>Brasília</v>
      </c>
      <c r="D3892" s="16" t="str">
        <f>VLOOKUP(Tabela1[[#This Row],[Cliente]],'BASE DE CLIENTES'!A:C,3,0)</f>
        <v>DF</v>
      </c>
      <c r="E3892" s="16" t="str">
        <f>CONCATENATE(Tabela1[[#This Row],[CIDADE]],",",Tabela1[[#This Row],[UF]])</f>
        <v>Brasília,DF</v>
      </c>
      <c r="F3892" s="15">
        <v>46036</v>
      </c>
      <c r="G3892">
        <v>712.93</v>
      </c>
      <c r="H3892" s="10">
        <v>1150</v>
      </c>
      <c r="I3892" s="8">
        <f>Tabela1[[#This Row],[Valor total]]-Tabela1[[#This Row],[Valor custo]]</f>
        <v>437.07000000000005</v>
      </c>
      <c r="J3892" s="18">
        <f>Tabela1[[#This Row],[MARGEM BRUTA]]/Tabela1[[#This Row],[Valor total]]</f>
        <v>0.38006086956521745</v>
      </c>
      <c r="K3892" s="16" t="str">
        <f>VLOOKUP(Tabela1[[#This Row],[Cliente]],'BASE DE CLIENTES'!A:D,4,0)</f>
        <v>SERRALHEIRO</v>
      </c>
      <c r="L3892" s="16" t="str">
        <f>VLOOKUP(Tabela1[[#This Row],[Cliente]],'BASE DE CLIENTES'!A:E,5,0)</f>
        <v>CEILANDIA NORTE</v>
      </c>
    </row>
    <row r="3893" spans="1:12" x14ac:dyDescent="0.3">
      <c r="A3893" t="s">
        <v>1030</v>
      </c>
      <c r="B3893" t="s">
        <v>85</v>
      </c>
      <c r="C3893" s="16" t="str">
        <f>VLOOKUP(Tabela1[[#This Row],[Cliente]],'BASE DE CLIENTES'!A:E,2,0)</f>
        <v>Brasília</v>
      </c>
      <c r="D3893" s="16" t="str">
        <f>VLOOKUP(Tabela1[[#This Row],[Cliente]],'BASE DE CLIENTES'!A:C,3,0)</f>
        <v>DF</v>
      </c>
      <c r="E3893" s="16" t="str">
        <f>CONCATENATE(Tabela1[[#This Row],[CIDADE]],",",Tabela1[[#This Row],[UF]])</f>
        <v>Brasília,DF</v>
      </c>
      <c r="F3893" s="15">
        <v>46036</v>
      </c>
      <c r="G3893">
        <v>0</v>
      </c>
      <c r="H3893">
        <v>90</v>
      </c>
      <c r="I3893" s="8">
        <f>Tabela1[[#This Row],[Valor total]]-Tabela1[[#This Row],[Valor custo]]</f>
        <v>90</v>
      </c>
      <c r="J3893" s="18">
        <f>Tabela1[[#This Row],[MARGEM BRUTA]]/Tabela1[[#This Row],[Valor total]]</f>
        <v>1</v>
      </c>
      <c r="K3893" s="16" t="str">
        <f>VLOOKUP(Tabela1[[#This Row],[Cliente]],'BASE DE CLIENTES'!A:D,4,0)</f>
        <v>SERRALHEIRO</v>
      </c>
      <c r="L3893" s="16" t="str">
        <f>VLOOKUP(Tabela1[[#This Row],[Cliente]],'BASE DE CLIENTES'!A:E,5,0)</f>
        <v>SAMAMBAIA NORTE (SAMAMBAIA)</v>
      </c>
    </row>
    <row r="3894" spans="1:12" x14ac:dyDescent="0.3">
      <c r="A3894" t="s">
        <v>1031</v>
      </c>
      <c r="B3894" t="s">
        <v>20</v>
      </c>
      <c r="C3894" s="16" t="str">
        <f>VLOOKUP(Tabela1[[#This Row],[Cliente]],'BASE DE CLIENTES'!A:E,2,0)</f>
        <v>Brasília</v>
      </c>
      <c r="D3894" s="16" t="str">
        <f>VLOOKUP(Tabela1[[#This Row],[Cliente]],'BASE DE CLIENTES'!A:C,3,0)</f>
        <v>DF</v>
      </c>
      <c r="E3894" s="16" t="str">
        <f>CONCATENATE(Tabela1[[#This Row],[CIDADE]],",",Tabela1[[#This Row],[UF]])</f>
        <v>Brasília,DF</v>
      </c>
      <c r="F3894" s="15">
        <v>46036</v>
      </c>
      <c r="G3894">
        <v>293.13</v>
      </c>
      <c r="H3894">
        <v>400</v>
      </c>
      <c r="I3894" s="8">
        <f>Tabela1[[#This Row],[Valor total]]-Tabela1[[#This Row],[Valor custo]]</f>
        <v>106.87</v>
      </c>
      <c r="J3894" s="18">
        <f>Tabela1[[#This Row],[MARGEM BRUTA]]/Tabela1[[#This Row],[Valor total]]</f>
        <v>0.267175</v>
      </c>
      <c r="K3894" s="16" t="str">
        <f>VLOOKUP(Tabela1[[#This Row],[Cliente]],'BASE DE CLIENTES'!A:D,4,0)</f>
        <v>CHAVEIRO</v>
      </c>
      <c r="L3894" s="16" t="str">
        <f>VLOOKUP(Tabela1[[#This Row],[Cliente]],'BASE DE CLIENTES'!A:E,5,0)</f>
        <v>NA</v>
      </c>
    </row>
    <row r="3895" spans="1:12" x14ac:dyDescent="0.3">
      <c r="A3895" t="s">
        <v>1032</v>
      </c>
      <c r="B3895" t="s">
        <v>206</v>
      </c>
      <c r="C3895" s="16" t="str">
        <f>VLOOKUP(Tabela1[[#This Row],[Cliente]],'BASE DE CLIENTES'!A:E,2,0)</f>
        <v>Goiânia</v>
      </c>
      <c r="D3895" s="16" t="str">
        <f>VLOOKUP(Tabela1[[#This Row],[Cliente]],'BASE DE CLIENTES'!A:C,3,0)</f>
        <v>GO</v>
      </c>
      <c r="E3895" s="16" t="str">
        <f>CONCATENATE(Tabela1[[#This Row],[CIDADE]],",",Tabela1[[#This Row],[UF]])</f>
        <v>Goiânia,GO</v>
      </c>
      <c r="F3895" s="15">
        <v>46036</v>
      </c>
      <c r="G3895" s="10">
        <v>8427.6200000000008</v>
      </c>
      <c r="H3895" s="10">
        <v>12500</v>
      </c>
      <c r="I3895" s="8">
        <f>Tabela1[[#This Row],[Valor total]]-Tabela1[[#This Row],[Valor custo]]</f>
        <v>4072.3799999999992</v>
      </c>
      <c r="J3895" s="18">
        <f>Tabela1[[#This Row],[MARGEM BRUTA]]/Tabela1[[#This Row],[Valor total]]</f>
        <v>0.32579039999999992</v>
      </c>
      <c r="K3895" s="16" t="str">
        <f>VLOOKUP(Tabela1[[#This Row],[Cliente]],'BASE DE CLIENTES'!A:D,4,0)</f>
        <v>EMPRESA COM MAQUINA</v>
      </c>
      <c r="L3895" s="16" t="str">
        <f>VLOOKUP(Tabela1[[#This Row],[Cliente]],'BASE DE CLIENTES'!A:E,5,0)</f>
        <v>Goiânia</v>
      </c>
    </row>
    <row r="3896" spans="1:12" x14ac:dyDescent="0.3">
      <c r="A3896" t="s">
        <v>1033</v>
      </c>
      <c r="B3896" t="s">
        <v>36</v>
      </c>
      <c r="C3896" s="16" t="str">
        <f>VLOOKUP(Tabela1[[#This Row],[Cliente]],'BASE DE CLIENTES'!A:E,2,0)</f>
        <v>Brasília</v>
      </c>
      <c r="D3896" s="16" t="str">
        <f>VLOOKUP(Tabela1[[#This Row],[Cliente]],'BASE DE CLIENTES'!A:C,3,0)</f>
        <v>DF</v>
      </c>
      <c r="E3896" s="16" t="str">
        <f>CONCATENATE(Tabela1[[#This Row],[CIDADE]],",",Tabela1[[#This Row],[UF]])</f>
        <v>Brasília,DF</v>
      </c>
      <c r="F3896" s="15">
        <v>46036</v>
      </c>
      <c r="G3896">
        <v>30.49</v>
      </c>
      <c r="H3896">
        <v>45</v>
      </c>
      <c r="I3896" s="8">
        <f>Tabela1[[#This Row],[Valor total]]-Tabela1[[#This Row],[Valor custo]]</f>
        <v>14.510000000000002</v>
      </c>
      <c r="J3896" s="18">
        <f>Tabela1[[#This Row],[MARGEM BRUTA]]/Tabela1[[#This Row],[Valor total]]</f>
        <v>0.32244444444444448</v>
      </c>
      <c r="K3896" s="16" t="str">
        <f>VLOOKUP(Tabela1[[#This Row],[Cliente]],'BASE DE CLIENTES'!A:D,4,0)</f>
        <v>SERRALHEIRO</v>
      </c>
      <c r="L3896" s="16" t="str">
        <f>VLOOKUP(Tabela1[[#This Row],[Cliente]],'BASE DE CLIENTES'!A:E,5,0)</f>
        <v>CEILANDIA SUL (CEILANDIA)</v>
      </c>
    </row>
    <row r="3897" spans="1:12" x14ac:dyDescent="0.3">
      <c r="A3897" t="s">
        <v>1034</v>
      </c>
      <c r="B3897" t="s">
        <v>321</v>
      </c>
      <c r="C3897" s="16" t="str">
        <f>VLOOKUP(Tabela1[[#This Row],[Cliente]],'BASE DE CLIENTES'!A:E,2,0)</f>
        <v>Valparaíso de Goiás</v>
      </c>
      <c r="D3897" s="16" t="str">
        <f>VLOOKUP(Tabela1[[#This Row],[Cliente]],'BASE DE CLIENTES'!A:C,3,0)</f>
        <v>GO</v>
      </c>
      <c r="E3897" s="16" t="str">
        <f>CONCATENATE(Tabela1[[#This Row],[CIDADE]],",",Tabela1[[#This Row],[UF]])</f>
        <v>Valparaíso de Goiás,GO</v>
      </c>
      <c r="F3897" s="15">
        <v>46035</v>
      </c>
      <c r="G3897">
        <v>377.85</v>
      </c>
      <c r="H3897">
        <v>615</v>
      </c>
      <c r="I3897" s="8">
        <f>Tabela1[[#This Row],[Valor total]]-Tabela1[[#This Row],[Valor custo]]</f>
        <v>237.14999999999998</v>
      </c>
      <c r="J3897" s="18">
        <f>Tabela1[[#This Row],[MARGEM BRUTA]]/Tabela1[[#This Row],[Valor total]]</f>
        <v>0.38560975609756093</v>
      </c>
      <c r="K3897" s="16" t="str">
        <f>VLOOKUP(Tabela1[[#This Row],[Cliente]],'BASE DE CLIENTES'!A:D,4,0)</f>
        <v>EMPRESA COM MAQUINA</v>
      </c>
      <c r="L3897" s="16" t="str">
        <f>VLOOKUP(Tabela1[[#This Row],[Cliente]],'BASE DE CLIENTES'!A:E,5,0)</f>
        <v>Valparaíso de Goiás</v>
      </c>
    </row>
    <row r="3898" spans="1:12" x14ac:dyDescent="0.3">
      <c r="A3898" t="s">
        <v>1035</v>
      </c>
      <c r="B3898" t="s">
        <v>161</v>
      </c>
      <c r="C3898" s="16" t="str">
        <f>VLOOKUP(Tabela1[[#This Row],[Cliente]],'BASE DE CLIENTES'!A:E,2,0)</f>
        <v>Brasília</v>
      </c>
      <c r="D3898" s="16" t="str">
        <f>VLOOKUP(Tabela1[[#This Row],[Cliente]],'BASE DE CLIENTES'!A:C,3,0)</f>
        <v>DF</v>
      </c>
      <c r="E3898" s="16" t="str">
        <f>CONCATENATE(Tabela1[[#This Row],[CIDADE]],",",Tabela1[[#This Row],[UF]])</f>
        <v>Brasília,DF</v>
      </c>
      <c r="F3898" s="15">
        <v>46035</v>
      </c>
      <c r="G3898">
        <v>132</v>
      </c>
      <c r="H3898">
        <v>220</v>
      </c>
      <c r="I3898" s="8">
        <f>Tabela1[[#This Row],[Valor total]]-Tabela1[[#This Row],[Valor custo]]</f>
        <v>88</v>
      </c>
      <c r="J3898" s="18">
        <f>Tabela1[[#This Row],[MARGEM BRUTA]]/Tabela1[[#This Row],[Valor total]]</f>
        <v>0.4</v>
      </c>
      <c r="K3898" s="16" t="str">
        <f>VLOOKUP(Tabela1[[#This Row],[Cliente]],'BASE DE CLIENTES'!A:D,4,0)</f>
        <v>EMPRESA COM MAQUINA</v>
      </c>
      <c r="L3898" s="16" t="str">
        <f>VLOOKUP(Tabela1[[#This Row],[Cliente]],'BASE DE CLIENTES'!A:E,5,0)</f>
        <v>RIACHO FUNDO II</v>
      </c>
    </row>
    <row r="3899" spans="1:12" x14ac:dyDescent="0.3">
      <c r="A3899" t="s">
        <v>1036</v>
      </c>
      <c r="B3899" t="s">
        <v>68</v>
      </c>
      <c r="C3899" s="16" t="str">
        <f>VLOOKUP(Tabela1[[#This Row],[Cliente]],'BASE DE CLIENTES'!A:E,2,0)</f>
        <v>Brasília</v>
      </c>
      <c r="D3899" s="16" t="str">
        <f>VLOOKUP(Tabela1[[#This Row],[Cliente]],'BASE DE CLIENTES'!A:C,3,0)</f>
        <v>DF</v>
      </c>
      <c r="E3899" s="16" t="str">
        <f>CONCATENATE(Tabela1[[#This Row],[CIDADE]],",",Tabela1[[#This Row],[UF]])</f>
        <v>Brasília,DF</v>
      </c>
      <c r="F3899" s="15">
        <v>46035</v>
      </c>
      <c r="G3899">
        <v>487.8</v>
      </c>
      <c r="H3899">
        <v>850</v>
      </c>
      <c r="I3899" s="8">
        <f>Tabela1[[#This Row],[Valor total]]-Tabela1[[#This Row],[Valor custo]]</f>
        <v>362.2</v>
      </c>
      <c r="J3899" s="18">
        <f>Tabela1[[#This Row],[MARGEM BRUTA]]/Tabela1[[#This Row],[Valor total]]</f>
        <v>0.42611764705882349</v>
      </c>
      <c r="K3899" s="16" t="str">
        <f>VLOOKUP(Tabela1[[#This Row],[Cliente]],'BASE DE CLIENTES'!A:D,4,0)</f>
        <v>EMPRESA COM MAQUINA</v>
      </c>
      <c r="L3899" s="16" t="str">
        <f>VLOOKUP(Tabela1[[#This Row],[Cliente]],'BASE DE CLIENTES'!A:E,5,0)</f>
        <v>SAMAMBAIA SUL (SAMAMBAIA)</v>
      </c>
    </row>
    <row r="3900" spans="1:12" x14ac:dyDescent="0.3">
      <c r="A3900" t="s">
        <v>1037</v>
      </c>
      <c r="B3900" t="s">
        <v>236</v>
      </c>
      <c r="C3900" s="16" t="str">
        <f>VLOOKUP(Tabela1[[#This Row],[Cliente]],'BASE DE CLIENTES'!A:E,2,0)</f>
        <v>Goiânia</v>
      </c>
      <c r="D3900" s="16" t="str">
        <f>VLOOKUP(Tabela1[[#This Row],[Cliente]],'BASE DE CLIENTES'!A:C,3,0)</f>
        <v>GO</v>
      </c>
      <c r="E3900" s="16" t="str">
        <f>CONCATENATE(Tabela1[[#This Row],[CIDADE]],",",Tabela1[[#This Row],[UF]])</f>
        <v>Goiânia,GO</v>
      </c>
      <c r="F3900" s="15">
        <v>46035</v>
      </c>
      <c r="G3900" s="10">
        <v>1511.4</v>
      </c>
      <c r="H3900" s="10">
        <v>2080</v>
      </c>
      <c r="I3900" s="8">
        <f>Tabela1[[#This Row],[Valor total]]-Tabela1[[#This Row],[Valor custo]]</f>
        <v>568.59999999999991</v>
      </c>
      <c r="J3900" s="18">
        <f>Tabela1[[#This Row],[MARGEM BRUTA]]/Tabela1[[#This Row],[Valor total]]</f>
        <v>0.27336538461538457</v>
      </c>
      <c r="K3900" s="16" t="str">
        <f>VLOOKUP(Tabela1[[#This Row],[Cliente]],'BASE DE CLIENTES'!A:D,4,0)</f>
        <v>EMPRESA COM MAQUINA</v>
      </c>
      <c r="L3900" s="16" t="str">
        <f>VLOOKUP(Tabela1[[#This Row],[Cliente]],'BASE DE CLIENTES'!A:E,5,0)</f>
        <v>Goiânia</v>
      </c>
    </row>
    <row r="3901" spans="1:12" x14ac:dyDescent="0.3">
      <c r="A3901" t="s">
        <v>1038</v>
      </c>
      <c r="B3901" t="s">
        <v>236</v>
      </c>
      <c r="C3901" s="16" t="str">
        <f>VLOOKUP(Tabela1[[#This Row],[Cliente]],'BASE DE CLIENTES'!A:E,2,0)</f>
        <v>Goiânia</v>
      </c>
      <c r="D3901" s="16" t="str">
        <f>VLOOKUP(Tabela1[[#This Row],[Cliente]],'BASE DE CLIENTES'!A:C,3,0)</f>
        <v>GO</v>
      </c>
      <c r="E3901" s="16" t="str">
        <f>CONCATENATE(Tabela1[[#This Row],[CIDADE]],",",Tabela1[[#This Row],[UF]])</f>
        <v>Goiânia,GO</v>
      </c>
      <c r="F3901" s="15">
        <v>46035</v>
      </c>
      <c r="G3901" s="10">
        <v>2101.2800000000002</v>
      </c>
      <c r="H3901" s="10">
        <v>3050</v>
      </c>
      <c r="I3901" s="8">
        <f>Tabela1[[#This Row],[Valor total]]-Tabela1[[#This Row],[Valor custo]]</f>
        <v>948.7199999999998</v>
      </c>
      <c r="J3901" s="18">
        <f>Tabela1[[#This Row],[MARGEM BRUTA]]/Tabela1[[#This Row],[Valor total]]</f>
        <v>0.31105573770491796</v>
      </c>
      <c r="K3901" s="16" t="str">
        <f>VLOOKUP(Tabela1[[#This Row],[Cliente]],'BASE DE CLIENTES'!A:D,4,0)</f>
        <v>EMPRESA COM MAQUINA</v>
      </c>
      <c r="L3901" s="16" t="str">
        <f>VLOOKUP(Tabela1[[#This Row],[Cliente]],'BASE DE CLIENTES'!A:E,5,0)</f>
        <v>Goiânia</v>
      </c>
    </row>
    <row r="3902" spans="1:12" x14ac:dyDescent="0.3">
      <c r="A3902" t="s">
        <v>1039</v>
      </c>
      <c r="B3902" t="s">
        <v>27</v>
      </c>
      <c r="C3902" s="16" t="str">
        <f>VLOOKUP(Tabela1[[#This Row],[Cliente]],'BASE DE CLIENTES'!A:E,2,0)</f>
        <v>Brasília</v>
      </c>
      <c r="D3902" s="16" t="str">
        <f>VLOOKUP(Tabela1[[#This Row],[Cliente]],'BASE DE CLIENTES'!A:C,3,0)</f>
        <v>DF</v>
      </c>
      <c r="E3902" s="16" t="str">
        <f>CONCATENATE(Tabela1[[#This Row],[CIDADE]],",",Tabela1[[#This Row],[UF]])</f>
        <v>Brasília,DF</v>
      </c>
      <c r="F3902" s="15">
        <v>46035</v>
      </c>
      <c r="G3902" s="10">
        <v>3778.5</v>
      </c>
      <c r="H3902" s="10">
        <v>4650</v>
      </c>
      <c r="I3902" s="8">
        <f>Tabela1[[#This Row],[Valor total]]-Tabela1[[#This Row],[Valor custo]]</f>
        <v>871.5</v>
      </c>
      <c r="J3902" s="18">
        <f>Tabela1[[#This Row],[MARGEM BRUTA]]/Tabela1[[#This Row],[Valor total]]</f>
        <v>0.18741935483870967</v>
      </c>
      <c r="K3902" s="16" t="str">
        <f>VLOOKUP(Tabela1[[#This Row],[Cliente]],'BASE DE CLIENTES'!A:D,4,0)</f>
        <v>EMPRESA SEM MAQUINA</v>
      </c>
      <c r="L3902" s="16" t="str">
        <f>VLOOKUP(Tabela1[[#This Row],[Cliente]],'BASE DE CLIENTES'!A:E,5,0)</f>
        <v>RECANTO DAS EMAS</v>
      </c>
    </row>
    <row r="3903" spans="1:12" x14ac:dyDescent="0.3">
      <c r="A3903" t="s">
        <v>1040</v>
      </c>
      <c r="B3903" t="s">
        <v>36</v>
      </c>
      <c r="C3903" s="16" t="str">
        <f>VLOOKUP(Tabela1[[#This Row],[Cliente]],'BASE DE CLIENTES'!A:E,2,0)</f>
        <v>Brasília</v>
      </c>
      <c r="D3903" s="16" t="str">
        <f>VLOOKUP(Tabela1[[#This Row],[Cliente]],'BASE DE CLIENTES'!A:C,3,0)</f>
        <v>DF</v>
      </c>
      <c r="E3903" s="16" t="str">
        <f>CONCATENATE(Tabela1[[#This Row],[CIDADE]],",",Tabela1[[#This Row],[UF]])</f>
        <v>Brasília,DF</v>
      </c>
      <c r="F3903" s="15">
        <v>46035</v>
      </c>
      <c r="G3903" s="10">
        <v>1801.08</v>
      </c>
      <c r="H3903" s="10">
        <v>2880</v>
      </c>
      <c r="I3903" s="8">
        <f>Tabela1[[#This Row],[Valor total]]-Tabela1[[#This Row],[Valor custo]]</f>
        <v>1078.92</v>
      </c>
      <c r="J3903" s="18">
        <f>Tabela1[[#This Row],[MARGEM BRUTA]]/Tabela1[[#This Row],[Valor total]]</f>
        <v>0.37462500000000004</v>
      </c>
      <c r="K3903" s="16" t="str">
        <f>VLOOKUP(Tabela1[[#This Row],[Cliente]],'BASE DE CLIENTES'!A:D,4,0)</f>
        <v>SERRALHEIRO</v>
      </c>
      <c r="L3903" s="16" t="str">
        <f>VLOOKUP(Tabela1[[#This Row],[Cliente]],'BASE DE CLIENTES'!A:E,5,0)</f>
        <v>CEILANDIA SUL (CEILANDIA)</v>
      </c>
    </row>
    <row r="3904" spans="1:12" x14ac:dyDescent="0.3">
      <c r="A3904" t="s">
        <v>1041</v>
      </c>
      <c r="B3904" t="s">
        <v>152</v>
      </c>
      <c r="C3904" s="16" t="str">
        <f>VLOOKUP(Tabela1[[#This Row],[Cliente]],'BASE DE CLIENTES'!A:E,2,0)</f>
        <v>Aparecida de Goiânia</v>
      </c>
      <c r="D3904" s="16" t="str">
        <f>VLOOKUP(Tabela1[[#This Row],[Cliente]],'BASE DE CLIENTES'!A:C,3,0)</f>
        <v>GO</v>
      </c>
      <c r="E3904" s="16" t="str">
        <f>CONCATENATE(Tabela1[[#This Row],[CIDADE]],",",Tabela1[[#This Row],[UF]])</f>
        <v>Aparecida de Goiânia,GO</v>
      </c>
      <c r="F3904" s="15">
        <v>46035</v>
      </c>
      <c r="G3904">
        <v>495.3</v>
      </c>
      <c r="H3904">
        <v>830</v>
      </c>
      <c r="I3904" s="8">
        <f>Tabela1[[#This Row],[Valor total]]-Tabela1[[#This Row],[Valor custo]]</f>
        <v>334.7</v>
      </c>
      <c r="J3904" s="18">
        <f>Tabela1[[#This Row],[MARGEM BRUTA]]/Tabela1[[#This Row],[Valor total]]</f>
        <v>0.40325301204819275</v>
      </c>
      <c r="K3904" s="16" t="str">
        <f>VLOOKUP(Tabela1[[#This Row],[Cliente]],'BASE DE CLIENTES'!A:D,4,0)</f>
        <v>TECNICO</v>
      </c>
      <c r="L3904" s="16" t="str">
        <f>VLOOKUP(Tabela1[[#This Row],[Cliente]],'BASE DE CLIENTES'!A:E,5,0)</f>
        <v>Aparecida de Goiânia</v>
      </c>
    </row>
    <row r="3905" spans="1:12" x14ac:dyDescent="0.3">
      <c r="A3905" t="s">
        <v>1042</v>
      </c>
      <c r="B3905" t="s">
        <v>120</v>
      </c>
      <c r="C3905" s="16" t="str">
        <f>VLOOKUP(Tabela1[[#This Row],[Cliente]],'BASE DE CLIENTES'!A:E,2,0)</f>
        <v>Brasília</v>
      </c>
      <c r="D3905" s="16" t="str">
        <f>VLOOKUP(Tabela1[[#This Row],[Cliente]],'BASE DE CLIENTES'!A:C,3,0)</f>
        <v>DF</v>
      </c>
      <c r="E3905" s="16" t="str">
        <f>CONCATENATE(Tabela1[[#This Row],[CIDADE]],",",Tabela1[[#This Row],[UF]])</f>
        <v>Brasília,DF</v>
      </c>
      <c r="F3905" s="15">
        <v>46035</v>
      </c>
      <c r="G3905">
        <v>75</v>
      </c>
      <c r="H3905">
        <v>90</v>
      </c>
      <c r="I3905" s="8">
        <f>Tabela1[[#This Row],[Valor total]]-Tabela1[[#This Row],[Valor custo]]</f>
        <v>15</v>
      </c>
      <c r="J3905" s="18">
        <f>Tabela1[[#This Row],[MARGEM BRUTA]]/Tabela1[[#This Row],[Valor total]]</f>
        <v>0.16666666666666666</v>
      </c>
      <c r="K3905" s="16" t="str">
        <f>VLOOKUP(Tabela1[[#This Row],[Cliente]],'BASE DE CLIENTES'!A:D,4,0)</f>
        <v>EMPRESA SEM MAQUINA</v>
      </c>
      <c r="L3905" s="16" t="str">
        <f>VLOOKUP(Tabela1[[#This Row],[Cliente]],'BASE DE CLIENTES'!A:E,5,0)</f>
        <v>SAMAMBAIA</v>
      </c>
    </row>
    <row r="3906" spans="1:12" x14ac:dyDescent="0.3">
      <c r="A3906" t="s">
        <v>1043</v>
      </c>
      <c r="B3906" t="s">
        <v>199</v>
      </c>
      <c r="C3906" s="16" t="str">
        <f>VLOOKUP(Tabela1[[#This Row],[Cliente]],'BASE DE CLIENTES'!A:E,2,0)</f>
        <v>Goiânia</v>
      </c>
      <c r="D3906" s="16" t="str">
        <f>VLOOKUP(Tabela1[[#This Row],[Cliente]],'BASE DE CLIENTES'!A:C,3,0)</f>
        <v>GO</v>
      </c>
      <c r="E3906" s="16" t="str">
        <f>CONCATENATE(Tabela1[[#This Row],[CIDADE]],",",Tabela1[[#This Row],[UF]])</f>
        <v>Goiânia,GO</v>
      </c>
      <c r="F3906" s="15">
        <v>46035</v>
      </c>
      <c r="G3906" s="10">
        <v>1470.94</v>
      </c>
      <c r="H3906" s="10">
        <v>2050</v>
      </c>
      <c r="I3906" s="8">
        <f>Tabela1[[#This Row],[Valor total]]-Tabela1[[#This Row],[Valor custo]]</f>
        <v>579.05999999999995</v>
      </c>
      <c r="J3906" s="18">
        <f>Tabela1[[#This Row],[MARGEM BRUTA]]/Tabela1[[#This Row],[Valor total]]</f>
        <v>0.28246829268292678</v>
      </c>
      <c r="K3906" s="16" t="str">
        <f>VLOOKUP(Tabela1[[#This Row],[Cliente]],'BASE DE CLIENTES'!A:D,4,0)</f>
        <v>EMPRESA COM MAQUINA</v>
      </c>
      <c r="L3906" s="16" t="str">
        <f>VLOOKUP(Tabela1[[#This Row],[Cliente]],'BASE DE CLIENTES'!A:E,5,0)</f>
        <v>Goiânia</v>
      </c>
    </row>
    <row r="3907" spans="1:12" x14ac:dyDescent="0.3">
      <c r="A3907" t="s">
        <v>1044</v>
      </c>
      <c r="B3907" t="s">
        <v>184</v>
      </c>
      <c r="C3907" s="16" t="str">
        <f>VLOOKUP(Tabela1[[#This Row],[Cliente]],'BASE DE CLIENTES'!A:E,2,0)</f>
        <v>Castanhal</v>
      </c>
      <c r="D3907" s="16" t="str">
        <f>VLOOKUP(Tabela1[[#This Row],[Cliente]],'BASE DE CLIENTES'!A:C,3,0)</f>
        <v>PA</v>
      </c>
      <c r="E3907" s="16" t="str">
        <f>CONCATENATE(Tabela1[[#This Row],[CIDADE]],",",Tabela1[[#This Row],[UF]])</f>
        <v>Castanhal,PA</v>
      </c>
      <c r="F3907" s="15">
        <v>46035</v>
      </c>
      <c r="G3907" s="10">
        <v>9376.18</v>
      </c>
      <c r="H3907" s="10">
        <v>14750</v>
      </c>
      <c r="I3907" s="8">
        <f>Tabela1[[#This Row],[Valor total]]-Tabela1[[#This Row],[Valor custo]]</f>
        <v>5373.82</v>
      </c>
      <c r="J3907" s="18">
        <f>Tabela1[[#This Row],[MARGEM BRUTA]]/Tabela1[[#This Row],[Valor total]]</f>
        <v>0.36432677966101695</v>
      </c>
      <c r="K3907" s="16" t="str">
        <f>VLOOKUP(Tabela1[[#This Row],[Cliente]],'BASE DE CLIENTES'!A:D,4,0)</f>
        <v>EMPRESA COM MAQUINA</v>
      </c>
      <c r="L3907" s="16" t="str">
        <f>VLOOKUP(Tabela1[[#This Row],[Cliente]],'BASE DE CLIENTES'!A:E,5,0)</f>
        <v>Castanhal</v>
      </c>
    </row>
    <row r="3908" spans="1:12" x14ac:dyDescent="0.3">
      <c r="A3908" t="s">
        <v>1045</v>
      </c>
      <c r="B3908" t="s">
        <v>70</v>
      </c>
      <c r="C3908" s="16" t="str">
        <f>VLOOKUP(Tabela1[[#This Row],[Cliente]],'BASE DE CLIENTES'!A:E,2,0)</f>
        <v>Brasília</v>
      </c>
      <c r="D3908" s="16" t="str">
        <f>VLOOKUP(Tabela1[[#This Row],[Cliente]],'BASE DE CLIENTES'!A:C,3,0)</f>
        <v>DF</v>
      </c>
      <c r="E3908" s="16" t="str">
        <f>CONCATENATE(Tabela1[[#This Row],[CIDADE]],",",Tabela1[[#This Row],[UF]])</f>
        <v>Brasília,DF</v>
      </c>
      <c r="F3908" s="15">
        <v>46035</v>
      </c>
      <c r="G3908">
        <v>900.54</v>
      </c>
      <c r="H3908" s="10">
        <v>1310</v>
      </c>
      <c r="I3908" s="8">
        <f>Tabela1[[#This Row],[Valor total]]-Tabela1[[#This Row],[Valor custo]]</f>
        <v>409.46000000000004</v>
      </c>
      <c r="J3908" s="18">
        <f>Tabela1[[#This Row],[MARGEM BRUTA]]/Tabela1[[#This Row],[Valor total]]</f>
        <v>0.31256488549618322</v>
      </c>
      <c r="K3908" s="16" t="str">
        <f>VLOOKUP(Tabela1[[#This Row],[Cliente]],'BASE DE CLIENTES'!A:D,4,0)</f>
        <v>EMPRESA COM MAQUINA</v>
      </c>
      <c r="L3908" s="16" t="str">
        <f>VLOOKUP(Tabela1[[#This Row],[Cliente]],'BASE DE CLIENTES'!A:E,5,0)</f>
        <v>TAGUATINGA NORTE (TAGUATINGA)</v>
      </c>
    </row>
    <row r="3909" spans="1:12" x14ac:dyDescent="0.3">
      <c r="A3909" t="s">
        <v>1046</v>
      </c>
      <c r="B3909" t="s">
        <v>236</v>
      </c>
      <c r="C3909" s="16" t="str">
        <f>VLOOKUP(Tabela1[[#This Row],[Cliente]],'BASE DE CLIENTES'!A:E,2,0)</f>
        <v>Goiânia</v>
      </c>
      <c r="D3909" s="16" t="str">
        <f>VLOOKUP(Tabela1[[#This Row],[Cliente]],'BASE DE CLIENTES'!A:C,3,0)</f>
        <v>GO</v>
      </c>
      <c r="E3909" s="16" t="str">
        <f>CONCATENATE(Tabela1[[#This Row],[CIDADE]],",",Tabela1[[#This Row],[UF]])</f>
        <v>Goiânia,GO</v>
      </c>
      <c r="F3909" s="15">
        <v>46035</v>
      </c>
      <c r="G3909">
        <v>377.85</v>
      </c>
      <c r="H3909">
        <v>571.95000000000005</v>
      </c>
      <c r="I3909" s="8">
        <f>Tabela1[[#This Row],[Valor total]]-Tabela1[[#This Row],[Valor custo]]</f>
        <v>194.10000000000002</v>
      </c>
      <c r="J3909" s="18">
        <f>Tabela1[[#This Row],[MARGEM BRUTA]]/Tabela1[[#This Row],[Valor total]]</f>
        <v>0.33936532913716233</v>
      </c>
      <c r="K3909" s="16" t="str">
        <f>VLOOKUP(Tabela1[[#This Row],[Cliente]],'BASE DE CLIENTES'!A:D,4,0)</f>
        <v>EMPRESA COM MAQUINA</v>
      </c>
      <c r="L3909" s="16" t="str">
        <f>VLOOKUP(Tabela1[[#This Row],[Cliente]],'BASE DE CLIENTES'!A:E,5,0)</f>
        <v>Goiânia</v>
      </c>
    </row>
    <row r="3910" spans="1:12" x14ac:dyDescent="0.3">
      <c r="A3910" t="s">
        <v>1047</v>
      </c>
      <c r="B3910" t="s">
        <v>297</v>
      </c>
      <c r="C3910" s="16" t="str">
        <f>VLOOKUP(Tabela1[[#This Row],[Cliente]],'BASE DE CLIENTES'!A:E,2,0)</f>
        <v>Brasília</v>
      </c>
      <c r="D3910" s="16" t="str">
        <f>VLOOKUP(Tabela1[[#This Row],[Cliente]],'BASE DE CLIENTES'!A:C,3,0)</f>
        <v>DF</v>
      </c>
      <c r="E3910" s="16" t="str">
        <f>CONCATENATE(Tabela1[[#This Row],[CIDADE]],",",Tabela1[[#This Row],[UF]])</f>
        <v>Brasília,DF</v>
      </c>
      <c r="F3910" s="15">
        <v>46034</v>
      </c>
      <c r="G3910">
        <v>377.85</v>
      </c>
      <c r="H3910">
        <v>645</v>
      </c>
      <c r="I3910" s="8">
        <f>Tabela1[[#This Row],[Valor total]]-Tabela1[[#This Row],[Valor custo]]</f>
        <v>267.14999999999998</v>
      </c>
      <c r="J3910" s="18">
        <f>Tabela1[[#This Row],[MARGEM BRUTA]]/Tabela1[[#This Row],[Valor total]]</f>
        <v>0.41418604651162788</v>
      </c>
      <c r="K3910" s="16" t="str">
        <f>VLOOKUP(Tabela1[[#This Row],[Cliente]],'BASE DE CLIENTES'!A:D,4,0)</f>
        <v>SERRALHEIRO</v>
      </c>
      <c r="L3910" s="16" t="str">
        <f>VLOOKUP(Tabela1[[#This Row],[Cliente]],'BASE DE CLIENTES'!A:E,5,0)</f>
        <v>NA</v>
      </c>
    </row>
    <row r="3911" spans="1:12" x14ac:dyDescent="0.3">
      <c r="A3911" t="s">
        <v>1048</v>
      </c>
      <c r="B3911" t="s">
        <v>23</v>
      </c>
      <c r="C3911" s="16" t="str">
        <f>VLOOKUP(Tabela1[[#This Row],[Cliente]],'BASE DE CLIENTES'!A:E,2,0)</f>
        <v>Brasília</v>
      </c>
      <c r="D3911" s="16" t="str">
        <f>VLOOKUP(Tabela1[[#This Row],[Cliente]],'BASE DE CLIENTES'!A:C,3,0)</f>
        <v>DF</v>
      </c>
      <c r="E3911" s="16" t="str">
        <f>CONCATENATE(Tabela1[[#This Row],[CIDADE]],",",Tabela1[[#This Row],[UF]])</f>
        <v>Brasília,DF</v>
      </c>
      <c r="F3911" s="15">
        <v>46034</v>
      </c>
      <c r="G3911">
        <v>35</v>
      </c>
      <c r="H3911">
        <v>45</v>
      </c>
      <c r="I3911" s="8">
        <f>Tabela1[[#This Row],[Valor total]]-Tabela1[[#This Row],[Valor custo]]</f>
        <v>10</v>
      </c>
      <c r="J3911" s="18">
        <f>Tabela1[[#This Row],[MARGEM BRUTA]]/Tabela1[[#This Row],[Valor total]]</f>
        <v>0.22222222222222221</v>
      </c>
      <c r="K3911" s="16" t="str">
        <f>VLOOKUP(Tabela1[[#This Row],[Cliente]],'BASE DE CLIENTES'!A:D,4,0)</f>
        <v>EMPRESA SEM MAQUINA</v>
      </c>
      <c r="L3911" s="16" t="str">
        <f>VLOOKUP(Tabela1[[#This Row],[Cliente]],'BASE DE CLIENTES'!A:E,5,0)</f>
        <v>SETOR INDUSTRIAL (TAGUATINGA)</v>
      </c>
    </row>
    <row r="3912" spans="1:12" x14ac:dyDescent="0.3">
      <c r="A3912" t="s">
        <v>1049</v>
      </c>
      <c r="B3912" t="s">
        <v>42</v>
      </c>
      <c r="C3912" s="16" t="str">
        <f>VLOOKUP(Tabela1[[#This Row],[Cliente]],'BASE DE CLIENTES'!A:E,2,0)</f>
        <v>Brasília</v>
      </c>
      <c r="D3912" s="16" t="str">
        <f>VLOOKUP(Tabela1[[#This Row],[Cliente]],'BASE DE CLIENTES'!A:C,3,0)</f>
        <v>DF</v>
      </c>
      <c r="E3912" s="16" t="str">
        <f>CONCATENATE(Tabela1[[#This Row],[CIDADE]],",",Tabela1[[#This Row],[UF]])</f>
        <v>Brasília,DF</v>
      </c>
      <c r="F3912" s="15">
        <v>46034</v>
      </c>
      <c r="G3912">
        <v>751</v>
      </c>
      <c r="H3912" s="10">
        <v>1500</v>
      </c>
      <c r="I3912" s="8">
        <f>Tabela1[[#This Row],[Valor total]]-Tabela1[[#This Row],[Valor custo]]</f>
        <v>749</v>
      </c>
      <c r="J3912" s="18">
        <f>Tabela1[[#This Row],[MARGEM BRUTA]]/Tabela1[[#This Row],[Valor total]]</f>
        <v>0.49933333333333335</v>
      </c>
      <c r="K3912" s="16" t="str">
        <f>VLOOKUP(Tabela1[[#This Row],[Cliente]],'BASE DE CLIENTES'!A:D,4,0)</f>
        <v>EMPRESA SEM MAQUINA</v>
      </c>
      <c r="L3912" s="16" t="str">
        <f>VLOOKUP(Tabela1[[#This Row],[Cliente]],'BASE DE CLIENTES'!A:E,5,0)</f>
        <v>SAMAMBAIA</v>
      </c>
    </row>
    <row r="3913" spans="1:12" x14ac:dyDescent="0.3">
      <c r="A3913" t="s">
        <v>1050</v>
      </c>
      <c r="B3913" t="s">
        <v>42</v>
      </c>
      <c r="C3913" s="16" t="str">
        <f>VLOOKUP(Tabela1[[#This Row],[Cliente]],'BASE DE CLIENTES'!A:E,2,0)</f>
        <v>Brasília</v>
      </c>
      <c r="D3913" s="16" t="str">
        <f>VLOOKUP(Tabela1[[#This Row],[Cliente]],'BASE DE CLIENTES'!A:C,3,0)</f>
        <v>DF</v>
      </c>
      <c r="E3913" s="16" t="str">
        <f>CONCATENATE(Tabela1[[#This Row],[CIDADE]],",",Tabela1[[#This Row],[UF]])</f>
        <v>Brasília,DF</v>
      </c>
      <c r="F3913" s="15">
        <v>46034</v>
      </c>
      <c r="G3913">
        <v>828.84</v>
      </c>
      <c r="H3913" s="10">
        <v>1320</v>
      </c>
      <c r="I3913" s="8">
        <f>Tabela1[[#This Row],[Valor total]]-Tabela1[[#This Row],[Valor custo]]</f>
        <v>491.15999999999997</v>
      </c>
      <c r="J3913" s="18">
        <f>Tabela1[[#This Row],[MARGEM BRUTA]]/Tabela1[[#This Row],[Valor total]]</f>
        <v>0.37209090909090908</v>
      </c>
      <c r="K3913" s="16" t="str">
        <f>VLOOKUP(Tabela1[[#This Row],[Cliente]],'BASE DE CLIENTES'!A:D,4,0)</f>
        <v>EMPRESA SEM MAQUINA</v>
      </c>
      <c r="L3913" s="16" t="str">
        <f>VLOOKUP(Tabela1[[#This Row],[Cliente]],'BASE DE CLIENTES'!A:E,5,0)</f>
        <v>SAMAMBAIA</v>
      </c>
    </row>
    <row r="3914" spans="1:12" x14ac:dyDescent="0.3">
      <c r="A3914" t="s">
        <v>1051</v>
      </c>
      <c r="B3914" t="s">
        <v>138</v>
      </c>
      <c r="C3914" s="16" t="str">
        <f>VLOOKUP(Tabela1[[#This Row],[Cliente]],'BASE DE CLIENTES'!A:E,2,0)</f>
        <v>Brasília</v>
      </c>
      <c r="D3914" s="16" t="str">
        <f>VLOOKUP(Tabela1[[#This Row],[Cliente]],'BASE DE CLIENTES'!A:C,3,0)</f>
        <v>DF</v>
      </c>
      <c r="E3914" s="16" t="str">
        <f>CONCATENATE(Tabela1[[#This Row],[CIDADE]],",",Tabela1[[#This Row],[UF]])</f>
        <v>Brasília,DF</v>
      </c>
      <c r="F3914" s="15">
        <v>46034</v>
      </c>
      <c r="G3914" s="10">
        <v>1126.5</v>
      </c>
      <c r="H3914" s="10">
        <v>2250</v>
      </c>
      <c r="I3914" s="8">
        <f>Tabela1[[#This Row],[Valor total]]-Tabela1[[#This Row],[Valor custo]]</f>
        <v>1123.5</v>
      </c>
      <c r="J3914" s="18">
        <f>Tabela1[[#This Row],[MARGEM BRUTA]]/Tabela1[[#This Row],[Valor total]]</f>
        <v>0.49933333333333335</v>
      </c>
      <c r="K3914" s="16" t="str">
        <f>VLOOKUP(Tabela1[[#This Row],[Cliente]],'BASE DE CLIENTES'!A:D,4,0)</f>
        <v>OUTROS RAMOS</v>
      </c>
      <c r="L3914" s="16" t="str">
        <f>VLOOKUP(Tabela1[[#This Row],[Cliente]],'BASE DE CLIENTES'!A:E,5,0)</f>
        <v>CEILANDIA NORTE (CEILANDIA)</v>
      </c>
    </row>
    <row r="3915" spans="1:12" x14ac:dyDescent="0.3">
      <c r="A3915" t="s">
        <v>1052</v>
      </c>
      <c r="B3915" t="s">
        <v>152</v>
      </c>
      <c r="C3915" s="16" t="str">
        <f>VLOOKUP(Tabela1[[#This Row],[Cliente]],'BASE DE CLIENTES'!A:E,2,0)</f>
        <v>Aparecida de Goiânia</v>
      </c>
      <c r="D3915" s="16" t="str">
        <f>VLOOKUP(Tabela1[[#This Row],[Cliente]],'BASE DE CLIENTES'!A:C,3,0)</f>
        <v>GO</v>
      </c>
      <c r="E3915" s="16" t="str">
        <f>CONCATENATE(Tabela1[[#This Row],[CIDADE]],",",Tabela1[[#This Row],[UF]])</f>
        <v>Aparecida de Goiânia,GO</v>
      </c>
      <c r="F3915" s="15">
        <v>46034</v>
      </c>
      <c r="G3915">
        <v>300.18</v>
      </c>
      <c r="H3915">
        <v>550</v>
      </c>
      <c r="I3915" s="8">
        <f>Tabela1[[#This Row],[Valor total]]-Tabela1[[#This Row],[Valor custo]]</f>
        <v>249.82</v>
      </c>
      <c r="J3915" s="18">
        <f>Tabela1[[#This Row],[MARGEM BRUTA]]/Tabela1[[#This Row],[Valor total]]</f>
        <v>0.4542181818181818</v>
      </c>
      <c r="K3915" s="16" t="str">
        <f>VLOOKUP(Tabela1[[#This Row],[Cliente]],'BASE DE CLIENTES'!A:D,4,0)</f>
        <v>TECNICO</v>
      </c>
      <c r="L3915" s="16" t="str">
        <f>VLOOKUP(Tabela1[[#This Row],[Cliente]],'BASE DE CLIENTES'!A:E,5,0)</f>
        <v>Aparecida de Goiânia</v>
      </c>
    </row>
    <row r="3916" spans="1:12" x14ac:dyDescent="0.3">
      <c r="A3916" t="s">
        <v>1053</v>
      </c>
      <c r="B3916" t="s">
        <v>152</v>
      </c>
      <c r="C3916" s="16" t="str">
        <f>VLOOKUP(Tabela1[[#This Row],[Cliente]],'BASE DE CLIENTES'!A:E,2,0)</f>
        <v>Aparecida de Goiânia</v>
      </c>
      <c r="D3916" s="16" t="str">
        <f>VLOOKUP(Tabela1[[#This Row],[Cliente]],'BASE DE CLIENTES'!A:C,3,0)</f>
        <v>GO</v>
      </c>
      <c r="E3916" s="16" t="str">
        <f>CONCATENATE(Tabela1[[#This Row],[CIDADE]],",",Tabela1[[#This Row],[UF]])</f>
        <v>Aparecida de Goiânia,GO</v>
      </c>
      <c r="F3916" s="15">
        <v>46034</v>
      </c>
      <c r="G3916">
        <v>75.099999999999994</v>
      </c>
      <c r="H3916">
        <v>350</v>
      </c>
      <c r="I3916" s="8">
        <f>Tabela1[[#This Row],[Valor total]]-Tabela1[[#This Row],[Valor custo]]</f>
        <v>274.89999999999998</v>
      </c>
      <c r="J3916" s="18">
        <f>Tabela1[[#This Row],[MARGEM BRUTA]]/Tabela1[[#This Row],[Valor total]]</f>
        <v>0.78542857142857136</v>
      </c>
      <c r="K3916" s="16" t="str">
        <f>VLOOKUP(Tabela1[[#This Row],[Cliente]],'BASE DE CLIENTES'!A:D,4,0)</f>
        <v>TECNICO</v>
      </c>
      <c r="L3916" s="16" t="str">
        <f>VLOOKUP(Tabela1[[#This Row],[Cliente]],'BASE DE CLIENTES'!A:E,5,0)</f>
        <v>Aparecida de Goiânia</v>
      </c>
    </row>
    <row r="3917" spans="1:12" x14ac:dyDescent="0.3">
      <c r="A3917" t="s">
        <v>1054</v>
      </c>
      <c r="B3917" t="s">
        <v>311</v>
      </c>
      <c r="C3917" s="16" t="str">
        <f>VLOOKUP(Tabela1[[#This Row],[Cliente]],'BASE DE CLIENTES'!A:E,2,0)</f>
        <v>Uberlândia</v>
      </c>
      <c r="D3917" s="16" t="str">
        <f>VLOOKUP(Tabela1[[#This Row],[Cliente]],'BASE DE CLIENTES'!A:C,3,0)</f>
        <v>MG</v>
      </c>
      <c r="E3917" s="16" t="str">
        <f>CONCATENATE(Tabela1[[#This Row],[CIDADE]],",",Tabela1[[#This Row],[UF]])</f>
        <v>Uberlândia,MG</v>
      </c>
      <c r="F3917" s="15">
        <v>46034</v>
      </c>
      <c r="G3917" s="10">
        <v>6619.06</v>
      </c>
      <c r="H3917" s="10">
        <v>9730</v>
      </c>
      <c r="I3917" s="8">
        <f>Tabela1[[#This Row],[Valor total]]-Tabela1[[#This Row],[Valor custo]]</f>
        <v>3110.9399999999996</v>
      </c>
      <c r="J3917" s="18">
        <f>Tabela1[[#This Row],[MARGEM BRUTA]]/Tabela1[[#This Row],[Valor total]]</f>
        <v>0.31972661870503594</v>
      </c>
      <c r="K3917" s="16" t="str">
        <f>VLOOKUP(Tabela1[[#This Row],[Cliente]],'BASE DE CLIENTES'!A:D,4,0)</f>
        <v>EMPRESA COM MAQUINA</v>
      </c>
      <c r="L3917" s="16" t="str">
        <f>VLOOKUP(Tabela1[[#This Row],[Cliente]],'BASE DE CLIENTES'!A:E,5,0)</f>
        <v>Uberlândia</v>
      </c>
    </row>
    <row r="3918" spans="1:12" x14ac:dyDescent="0.3">
      <c r="A3918" t="s">
        <v>1055</v>
      </c>
      <c r="B3918" t="s">
        <v>149</v>
      </c>
      <c r="C3918" s="16" t="str">
        <f>VLOOKUP(Tabela1[[#This Row],[Cliente]],'BASE DE CLIENTES'!A:E,2,0)</f>
        <v>Anápolis</v>
      </c>
      <c r="D3918" s="16" t="str">
        <f>VLOOKUP(Tabela1[[#This Row],[Cliente]],'BASE DE CLIENTES'!A:C,3,0)</f>
        <v>GO</v>
      </c>
      <c r="E3918" s="16" t="str">
        <f>CONCATENATE(Tabela1[[#This Row],[CIDADE]],",",Tabela1[[#This Row],[UF]])</f>
        <v>Anápolis,GO</v>
      </c>
      <c r="F3918" s="15">
        <v>46034</v>
      </c>
      <c r="G3918" s="10">
        <v>6877.86</v>
      </c>
      <c r="H3918" s="10">
        <v>10095</v>
      </c>
      <c r="I3918" s="8">
        <f>Tabela1[[#This Row],[Valor total]]-Tabela1[[#This Row],[Valor custo]]</f>
        <v>3217.1400000000003</v>
      </c>
      <c r="J3918" s="18">
        <f>Tabela1[[#This Row],[MARGEM BRUTA]]/Tabela1[[#This Row],[Valor total]]</f>
        <v>0.31868647845468057</v>
      </c>
      <c r="K3918" s="16" t="str">
        <f>VLOOKUP(Tabela1[[#This Row],[Cliente]],'BASE DE CLIENTES'!A:D,4,0)</f>
        <v>EMPRESA COM MAQUINA</v>
      </c>
      <c r="L3918" s="16" t="str">
        <f>VLOOKUP(Tabela1[[#This Row],[Cliente]],'BASE DE CLIENTES'!A:E,5,0)</f>
        <v>Anápolis</v>
      </c>
    </row>
    <row r="3919" spans="1:12" x14ac:dyDescent="0.3">
      <c r="A3919" t="s">
        <v>1056</v>
      </c>
      <c r="B3919" t="s">
        <v>199</v>
      </c>
      <c r="C3919" s="16" t="str">
        <f>VLOOKUP(Tabela1[[#This Row],[Cliente]],'BASE DE CLIENTES'!A:E,2,0)</f>
        <v>Goiânia</v>
      </c>
      <c r="D3919" s="16" t="str">
        <f>VLOOKUP(Tabela1[[#This Row],[Cliente]],'BASE DE CLIENTES'!A:C,3,0)</f>
        <v>GO</v>
      </c>
      <c r="E3919" s="16" t="str">
        <f>CONCATENATE(Tabela1[[#This Row],[CIDADE]],",",Tabela1[[#This Row],[UF]])</f>
        <v>Goiânia,GO</v>
      </c>
      <c r="F3919" s="15">
        <v>46034</v>
      </c>
      <c r="G3919" s="10">
        <v>3804.89</v>
      </c>
      <c r="H3919" s="10">
        <v>5575</v>
      </c>
      <c r="I3919" s="8">
        <f>Tabela1[[#This Row],[Valor total]]-Tabela1[[#This Row],[Valor custo]]</f>
        <v>1770.1100000000001</v>
      </c>
      <c r="J3919" s="18">
        <f>Tabela1[[#This Row],[MARGEM BRUTA]]/Tabela1[[#This Row],[Valor total]]</f>
        <v>0.3175085201793722</v>
      </c>
      <c r="K3919" s="16" t="str">
        <f>VLOOKUP(Tabela1[[#This Row],[Cliente]],'BASE DE CLIENTES'!A:D,4,0)</f>
        <v>EMPRESA COM MAQUINA</v>
      </c>
      <c r="L3919" s="16" t="str">
        <f>VLOOKUP(Tabela1[[#This Row],[Cliente]],'BASE DE CLIENTES'!A:E,5,0)</f>
        <v>Goiânia</v>
      </c>
    </row>
    <row r="3920" spans="1:12" x14ac:dyDescent="0.3">
      <c r="A3920" t="s">
        <v>1057</v>
      </c>
      <c r="B3920" t="s">
        <v>15</v>
      </c>
      <c r="C3920" s="16" t="str">
        <f>VLOOKUP(Tabela1[[#This Row],[Cliente]],'BASE DE CLIENTES'!A:E,2,0)</f>
        <v>Brasília</v>
      </c>
      <c r="D3920" s="16" t="str">
        <f>VLOOKUP(Tabela1[[#This Row],[Cliente]],'BASE DE CLIENTES'!A:C,3,0)</f>
        <v>DF</v>
      </c>
      <c r="E3920" s="16" t="str">
        <f>CONCATENATE(Tabela1[[#This Row],[CIDADE]],",",Tabela1[[#This Row],[UF]])</f>
        <v>Brasília,DF</v>
      </c>
      <c r="F3920" s="15">
        <v>46034</v>
      </c>
      <c r="G3920">
        <v>697.92</v>
      </c>
      <c r="H3920" s="10">
        <v>1000</v>
      </c>
      <c r="I3920" s="8">
        <f>Tabela1[[#This Row],[Valor total]]-Tabela1[[#This Row],[Valor custo]]</f>
        <v>302.08000000000004</v>
      </c>
      <c r="J3920" s="18">
        <f>Tabela1[[#This Row],[MARGEM BRUTA]]/Tabela1[[#This Row],[Valor total]]</f>
        <v>0.30208000000000002</v>
      </c>
      <c r="K3920" s="16" t="str">
        <f>VLOOKUP(Tabela1[[#This Row],[Cliente]],'BASE DE CLIENTES'!A:D,4,0)</f>
        <v>SERRALHEIRO</v>
      </c>
      <c r="L3920" s="16" t="str">
        <f>VLOOKUP(Tabela1[[#This Row],[Cliente]],'BASE DE CLIENTES'!A:E,5,0)</f>
        <v>SETOR HABITACIONAL VICENTE PIRES</v>
      </c>
    </row>
    <row r="3921" spans="1:12" x14ac:dyDescent="0.3">
      <c r="A3921" t="s">
        <v>1058</v>
      </c>
      <c r="B3921" t="s">
        <v>256</v>
      </c>
      <c r="C3921" s="16" t="str">
        <f>VLOOKUP(Tabela1[[#This Row],[Cliente]],'BASE DE CLIENTES'!A:E,2,0)</f>
        <v>Luziânia</v>
      </c>
      <c r="D3921" s="16" t="str">
        <f>VLOOKUP(Tabela1[[#This Row],[Cliente]],'BASE DE CLIENTES'!A:C,3,0)</f>
        <v>GO</v>
      </c>
      <c r="E3921" s="16" t="str">
        <f>CONCATENATE(Tabela1[[#This Row],[CIDADE]],",",Tabela1[[#This Row],[UF]])</f>
        <v>Luziânia,GO</v>
      </c>
      <c r="F3921" s="15">
        <v>46034</v>
      </c>
      <c r="G3921">
        <v>105.1</v>
      </c>
      <c r="H3921">
        <v>345</v>
      </c>
      <c r="I3921" s="8">
        <f>Tabela1[[#This Row],[Valor total]]-Tabela1[[#This Row],[Valor custo]]</f>
        <v>239.9</v>
      </c>
      <c r="J3921" s="18">
        <f>Tabela1[[#This Row],[MARGEM BRUTA]]/Tabela1[[#This Row],[Valor total]]</f>
        <v>0.69536231884057975</v>
      </c>
      <c r="K3921" s="16" t="str">
        <f>VLOOKUP(Tabela1[[#This Row],[Cliente]],'BASE DE CLIENTES'!A:D,4,0)</f>
        <v>SERRALHEIRO</v>
      </c>
      <c r="L3921" s="16" t="str">
        <f>VLOOKUP(Tabela1[[#This Row],[Cliente]],'BASE DE CLIENTES'!A:E,5,0)</f>
        <v>Luziânia</v>
      </c>
    </row>
    <row r="3922" spans="1:12" x14ac:dyDescent="0.3">
      <c r="A3922" t="s">
        <v>1059</v>
      </c>
      <c r="B3922" t="s">
        <v>104</v>
      </c>
      <c r="C3922" s="16" t="str">
        <f>VLOOKUP(Tabela1[[#This Row],[Cliente]],'BASE DE CLIENTES'!A:E,2,0)</f>
        <v>Águas Lindas de Goiás</v>
      </c>
      <c r="D3922" s="16" t="str">
        <f>VLOOKUP(Tabela1[[#This Row],[Cliente]],'BASE DE CLIENTES'!A:C,3,0)</f>
        <v>GO</v>
      </c>
      <c r="E3922" s="16" t="str">
        <f>CONCATENATE(Tabela1[[#This Row],[CIDADE]],",",Tabela1[[#This Row],[UF]])</f>
        <v>Águas Lindas de Goiás,GO</v>
      </c>
      <c r="F3922" s="15">
        <v>46034</v>
      </c>
      <c r="G3922">
        <v>487.8</v>
      </c>
      <c r="H3922">
        <v>850</v>
      </c>
      <c r="I3922" s="8">
        <f>Tabela1[[#This Row],[Valor total]]-Tabela1[[#This Row],[Valor custo]]</f>
        <v>362.2</v>
      </c>
      <c r="J3922" s="18">
        <f>Tabela1[[#This Row],[MARGEM BRUTA]]/Tabela1[[#This Row],[Valor total]]</f>
        <v>0.42611764705882349</v>
      </c>
      <c r="K3922" s="16" t="str">
        <f>VLOOKUP(Tabela1[[#This Row],[Cliente]],'BASE DE CLIENTES'!A:D,4,0)</f>
        <v>EMPRESA SEM MAQUINA</v>
      </c>
      <c r="L3922" s="16" t="str">
        <f>VLOOKUP(Tabela1[[#This Row],[Cliente]],'BASE DE CLIENTES'!A:E,5,0)</f>
        <v>Águas Lindas de Goiás</v>
      </c>
    </row>
    <row r="3923" spans="1:12" x14ac:dyDescent="0.3">
      <c r="A3923" t="s">
        <v>1060</v>
      </c>
      <c r="B3923" t="s">
        <v>19</v>
      </c>
      <c r="C3923" s="16" t="str">
        <f>VLOOKUP(Tabela1[[#This Row],[Cliente]],'BASE DE CLIENTES'!A:E,2,0)</f>
        <v>Águas Lindas de Goiás</v>
      </c>
      <c r="D3923" s="16" t="str">
        <f>VLOOKUP(Tabela1[[#This Row],[Cliente]],'BASE DE CLIENTES'!A:C,3,0)</f>
        <v>GO</v>
      </c>
      <c r="E3923" s="16" t="str">
        <f>CONCATENATE(Tabela1[[#This Row],[CIDADE]],",",Tabela1[[#This Row],[UF]])</f>
        <v>Águas Lindas de Goiás,GO</v>
      </c>
      <c r="F3923" s="15">
        <v>46034</v>
      </c>
      <c r="G3923">
        <v>30.49</v>
      </c>
      <c r="H3923">
        <v>45</v>
      </c>
      <c r="I3923" s="8">
        <f>Tabela1[[#This Row],[Valor total]]-Tabela1[[#This Row],[Valor custo]]</f>
        <v>14.510000000000002</v>
      </c>
      <c r="J3923" s="18">
        <f>Tabela1[[#This Row],[MARGEM BRUTA]]/Tabela1[[#This Row],[Valor total]]</f>
        <v>0.32244444444444448</v>
      </c>
      <c r="K3923" s="16" t="str">
        <f>VLOOKUP(Tabela1[[#This Row],[Cliente]],'BASE DE CLIENTES'!A:D,4,0)</f>
        <v>SERRALHEIRO</v>
      </c>
      <c r="L3923" s="16" t="str">
        <f>VLOOKUP(Tabela1[[#This Row],[Cliente]],'BASE DE CLIENTES'!A:E,5,0)</f>
        <v>Águas Lindas de Goiás</v>
      </c>
    </row>
    <row r="3924" spans="1:12" x14ac:dyDescent="0.3">
      <c r="A3924" t="s">
        <v>1061</v>
      </c>
      <c r="B3924" t="s">
        <v>19</v>
      </c>
      <c r="C3924" s="16" t="str">
        <f>VLOOKUP(Tabela1[[#This Row],[Cliente]],'BASE DE CLIENTES'!A:E,2,0)</f>
        <v>Águas Lindas de Goiás</v>
      </c>
      <c r="D3924" s="16" t="str">
        <f>VLOOKUP(Tabela1[[#This Row],[Cliente]],'BASE DE CLIENTES'!A:C,3,0)</f>
        <v>GO</v>
      </c>
      <c r="E3924" s="16" t="str">
        <f>CONCATENATE(Tabela1[[#This Row],[CIDADE]],",",Tabela1[[#This Row],[UF]])</f>
        <v>Águas Lindas de Goiás,GO</v>
      </c>
      <c r="F3924" s="15">
        <v>46034</v>
      </c>
      <c r="G3924">
        <v>472.79</v>
      </c>
      <c r="H3924">
        <v>785</v>
      </c>
      <c r="I3924" s="8">
        <f>Tabela1[[#This Row],[Valor total]]-Tabela1[[#This Row],[Valor custo]]</f>
        <v>312.20999999999998</v>
      </c>
      <c r="J3924" s="18">
        <f>Tabela1[[#This Row],[MARGEM BRUTA]]/Tabela1[[#This Row],[Valor total]]</f>
        <v>0.39771974522292991</v>
      </c>
      <c r="K3924" s="16" t="str">
        <f>VLOOKUP(Tabela1[[#This Row],[Cliente]],'BASE DE CLIENTES'!A:D,4,0)</f>
        <v>SERRALHEIRO</v>
      </c>
      <c r="L3924" s="16" t="str">
        <f>VLOOKUP(Tabela1[[#This Row],[Cliente]],'BASE DE CLIENTES'!A:E,5,0)</f>
        <v>Águas Lindas de Goiás</v>
      </c>
    </row>
    <row r="3925" spans="1:12" x14ac:dyDescent="0.3">
      <c r="A3925" t="s">
        <v>1062</v>
      </c>
      <c r="B3925" t="s">
        <v>96</v>
      </c>
      <c r="C3925" s="16" t="str">
        <f>VLOOKUP(Tabela1[[#This Row],[Cliente]],'BASE DE CLIENTES'!A:E,2,0)</f>
        <v>Brasília</v>
      </c>
      <c r="D3925" s="16" t="str">
        <f>VLOOKUP(Tabela1[[#This Row],[Cliente]],'BASE DE CLIENTES'!A:C,3,0)</f>
        <v>DF</v>
      </c>
      <c r="E3925" s="16" t="str">
        <f>CONCATENATE(Tabela1[[#This Row],[CIDADE]],",",Tabela1[[#This Row],[UF]])</f>
        <v>Brasília,DF</v>
      </c>
      <c r="F3925" s="15">
        <v>46034</v>
      </c>
      <c r="G3925">
        <v>755.7</v>
      </c>
      <c r="H3925" s="10">
        <v>1249</v>
      </c>
      <c r="I3925" s="8">
        <f>Tabela1[[#This Row],[Valor total]]-Tabela1[[#This Row],[Valor custo]]</f>
        <v>493.29999999999995</v>
      </c>
      <c r="J3925" s="18">
        <f>Tabela1[[#This Row],[MARGEM BRUTA]]/Tabela1[[#This Row],[Valor total]]</f>
        <v>0.39495596477181744</v>
      </c>
      <c r="K3925" s="16" t="str">
        <f>VLOOKUP(Tabela1[[#This Row],[Cliente]],'BASE DE CLIENTES'!A:D,4,0)</f>
        <v>EMPRESA SEM MAQUINA</v>
      </c>
      <c r="L3925" s="16" t="str">
        <f>VLOOKUP(Tabela1[[#This Row],[Cliente]],'BASE DE CLIENTES'!A:E,5,0)</f>
        <v>CEILANDIA NORTE (CEILANDIA)</v>
      </c>
    </row>
    <row r="3926" spans="1:12" x14ac:dyDescent="0.3">
      <c r="A3926" t="s">
        <v>1063</v>
      </c>
      <c r="B3926" t="s">
        <v>222</v>
      </c>
      <c r="C3926" s="16" t="str">
        <f>VLOOKUP(Tabela1[[#This Row],[Cliente]],'BASE DE CLIENTES'!A:E,2,0)</f>
        <v>Goiânia</v>
      </c>
      <c r="D3926" s="16" t="str">
        <f>VLOOKUP(Tabela1[[#This Row],[Cliente]],'BASE DE CLIENTES'!A:C,3,0)</f>
        <v>GO</v>
      </c>
      <c r="E3926" s="16" t="str">
        <f>CONCATENATE(Tabela1[[#This Row],[CIDADE]],",",Tabela1[[#This Row],[UF]])</f>
        <v>Goiânia,GO</v>
      </c>
      <c r="F3926" s="15">
        <v>46034</v>
      </c>
      <c r="G3926" s="10">
        <v>6461.4</v>
      </c>
      <c r="H3926" s="10">
        <v>9300</v>
      </c>
      <c r="I3926" s="8">
        <f>Tabela1[[#This Row],[Valor total]]-Tabela1[[#This Row],[Valor custo]]</f>
        <v>2838.6000000000004</v>
      </c>
      <c r="J3926" s="18">
        <f>Tabela1[[#This Row],[MARGEM BRUTA]]/Tabela1[[#This Row],[Valor total]]</f>
        <v>0.30522580645161296</v>
      </c>
      <c r="K3926" s="16" t="str">
        <f>VLOOKUP(Tabela1[[#This Row],[Cliente]],'BASE DE CLIENTES'!A:D,4,0)</f>
        <v>EMPRESA COM MAQUINA</v>
      </c>
      <c r="L3926" s="16" t="str">
        <f>VLOOKUP(Tabela1[[#This Row],[Cliente]],'BASE DE CLIENTES'!A:E,5,0)</f>
        <v>Goiânia</v>
      </c>
    </row>
    <row r="3927" spans="1:12" x14ac:dyDescent="0.3">
      <c r="A3927" t="s">
        <v>1064</v>
      </c>
      <c r="B3927" t="s">
        <v>236</v>
      </c>
      <c r="C3927" s="16" t="str">
        <f>VLOOKUP(Tabela1[[#This Row],[Cliente]],'BASE DE CLIENTES'!A:E,2,0)</f>
        <v>Goiânia</v>
      </c>
      <c r="D3927" s="16" t="str">
        <f>VLOOKUP(Tabela1[[#This Row],[Cliente]],'BASE DE CLIENTES'!A:C,3,0)</f>
        <v>GO</v>
      </c>
      <c r="E3927" s="16" t="str">
        <f>CONCATENATE(Tabela1[[#This Row],[CIDADE]],",",Tabela1[[#This Row],[UF]])</f>
        <v>Goiânia,GO</v>
      </c>
      <c r="F3927" s="15">
        <v>46032</v>
      </c>
      <c r="G3927">
        <v>900.54</v>
      </c>
      <c r="H3927" s="10">
        <v>1170</v>
      </c>
      <c r="I3927" s="8">
        <f>Tabela1[[#This Row],[Valor total]]-Tabela1[[#This Row],[Valor custo]]</f>
        <v>269.46000000000004</v>
      </c>
      <c r="J3927" s="18">
        <f>Tabela1[[#This Row],[MARGEM BRUTA]]/Tabela1[[#This Row],[Valor total]]</f>
        <v>0.23030769230769235</v>
      </c>
      <c r="K3927" s="16" t="str">
        <f>VLOOKUP(Tabela1[[#This Row],[Cliente]],'BASE DE CLIENTES'!A:D,4,0)</f>
        <v>EMPRESA COM MAQUINA</v>
      </c>
      <c r="L3927" s="16" t="str">
        <f>VLOOKUP(Tabela1[[#This Row],[Cliente]],'BASE DE CLIENTES'!A:E,5,0)</f>
        <v>Goiânia</v>
      </c>
    </row>
    <row r="3928" spans="1:12" x14ac:dyDescent="0.3">
      <c r="A3928" t="s">
        <v>1065</v>
      </c>
      <c r="B3928" t="s">
        <v>236</v>
      </c>
      <c r="C3928" s="16" t="str">
        <f>VLOOKUP(Tabela1[[#This Row],[Cliente]],'BASE DE CLIENTES'!A:E,2,0)</f>
        <v>Goiânia</v>
      </c>
      <c r="D3928" s="16" t="str">
        <f>VLOOKUP(Tabela1[[#This Row],[Cliente]],'BASE DE CLIENTES'!A:C,3,0)</f>
        <v>GO</v>
      </c>
      <c r="E3928" s="16" t="str">
        <f>CONCATENATE(Tabela1[[#This Row],[CIDADE]],",",Tabela1[[#This Row],[UF]])</f>
        <v>Goiânia,GO</v>
      </c>
      <c r="F3928" s="15">
        <v>46032</v>
      </c>
      <c r="G3928" s="10">
        <v>1936.17</v>
      </c>
      <c r="H3928" s="10">
        <v>2790</v>
      </c>
      <c r="I3928" s="8">
        <f>Tabela1[[#This Row],[Valor total]]-Tabela1[[#This Row],[Valor custo]]</f>
        <v>853.82999999999993</v>
      </c>
      <c r="J3928" s="18">
        <f>Tabela1[[#This Row],[MARGEM BRUTA]]/Tabela1[[#This Row],[Valor total]]</f>
        <v>0.30603225806451612</v>
      </c>
      <c r="K3928" s="16" t="str">
        <f>VLOOKUP(Tabela1[[#This Row],[Cliente]],'BASE DE CLIENTES'!A:D,4,0)</f>
        <v>EMPRESA COM MAQUINA</v>
      </c>
      <c r="L3928" s="16" t="str">
        <f>VLOOKUP(Tabela1[[#This Row],[Cliente]],'BASE DE CLIENTES'!A:E,5,0)</f>
        <v>Goiânia</v>
      </c>
    </row>
    <row r="3929" spans="1:12" x14ac:dyDescent="0.3">
      <c r="A3929" t="s">
        <v>1066</v>
      </c>
      <c r="B3929" t="s">
        <v>308</v>
      </c>
      <c r="C3929" s="16" t="str">
        <f>VLOOKUP(Tabela1[[#This Row],[Cliente]],'BASE DE CLIENTES'!A:E,2,0)</f>
        <v>Uberaba</v>
      </c>
      <c r="D3929" s="16" t="str">
        <f>VLOOKUP(Tabela1[[#This Row],[Cliente]],'BASE DE CLIENTES'!A:C,3,0)</f>
        <v>MG</v>
      </c>
      <c r="E3929" s="16" t="str">
        <f>CONCATENATE(Tabela1[[#This Row],[CIDADE]],",",Tabela1[[#This Row],[UF]])</f>
        <v>Uberaba,MG</v>
      </c>
      <c r="F3929" s="15">
        <v>46031</v>
      </c>
      <c r="G3929" s="10">
        <v>14784</v>
      </c>
      <c r="H3929" s="10">
        <v>21350</v>
      </c>
      <c r="I3929" s="8">
        <f>Tabela1[[#This Row],[Valor total]]-Tabela1[[#This Row],[Valor custo]]</f>
        <v>6566</v>
      </c>
      <c r="J3929" s="18">
        <f>Tabela1[[#This Row],[MARGEM BRUTA]]/Tabela1[[#This Row],[Valor total]]</f>
        <v>0.30754098360655735</v>
      </c>
      <c r="K3929" s="16" t="str">
        <f>VLOOKUP(Tabela1[[#This Row],[Cliente]],'BASE DE CLIENTES'!A:D,4,0)</f>
        <v>EMPRESA COM MAQUINA</v>
      </c>
      <c r="L3929" s="16" t="str">
        <f>VLOOKUP(Tabela1[[#This Row],[Cliente]],'BASE DE CLIENTES'!A:E,5,0)</f>
        <v>Uberaba</v>
      </c>
    </row>
    <row r="3930" spans="1:12" x14ac:dyDescent="0.3">
      <c r="A3930" t="s">
        <v>1067</v>
      </c>
      <c r="B3930" t="s">
        <v>76</v>
      </c>
      <c r="C3930" s="16" t="str">
        <f>VLOOKUP(Tabela1[[#This Row],[Cliente]],'BASE DE CLIENTES'!A:E,2,0)</f>
        <v>Brasília</v>
      </c>
      <c r="D3930" s="16" t="str">
        <f>VLOOKUP(Tabela1[[#This Row],[Cliente]],'BASE DE CLIENTES'!A:C,3,0)</f>
        <v>DF</v>
      </c>
      <c r="E3930" s="16" t="str">
        <f>CONCATENATE(Tabela1[[#This Row],[CIDADE]],",",Tabela1[[#This Row],[UF]])</f>
        <v>Brasília,DF</v>
      </c>
      <c r="F3930" s="15">
        <v>46031</v>
      </c>
      <c r="G3930" s="10">
        <v>5788.98</v>
      </c>
      <c r="H3930" s="10">
        <v>8200</v>
      </c>
      <c r="I3930" s="8">
        <f>Tabela1[[#This Row],[Valor total]]-Tabela1[[#This Row],[Valor custo]]</f>
        <v>2411.0200000000004</v>
      </c>
      <c r="J3930" s="18">
        <f>Tabela1[[#This Row],[MARGEM BRUTA]]/Tabela1[[#This Row],[Valor total]]</f>
        <v>0.29402682926829271</v>
      </c>
      <c r="K3930" s="16" t="str">
        <f>VLOOKUP(Tabela1[[#This Row],[Cliente]],'BASE DE CLIENTES'!A:D,4,0)</f>
        <v>EMPRESA COM MAQUINA</v>
      </c>
      <c r="L3930" s="16" t="str">
        <f>VLOOKUP(Tabela1[[#This Row],[Cliente]],'BASE DE CLIENTES'!A:E,5,0)</f>
        <v>Setor Placa da Mercedes (Núcleo Bandeirante)</v>
      </c>
    </row>
    <row r="3931" spans="1:12" x14ac:dyDescent="0.3">
      <c r="A3931" t="s">
        <v>1068</v>
      </c>
      <c r="B3931" t="s">
        <v>356</v>
      </c>
      <c r="C3931" s="16" t="str">
        <f>VLOOKUP(Tabela1[[#This Row],[Cliente]],'BASE DE CLIENTES'!A:E,2,0)</f>
        <v>Trindade</v>
      </c>
      <c r="D3931" s="16" t="str">
        <f>VLOOKUP(Tabela1[[#This Row],[Cliente]],'BASE DE CLIENTES'!A:C,3,0)</f>
        <v>GO</v>
      </c>
      <c r="E3931" s="16" t="str">
        <f>CONCATENATE(Tabela1[[#This Row],[CIDADE]],",",Tabela1[[#This Row],[UF]])</f>
        <v>Trindade,GO</v>
      </c>
      <c r="F3931" s="15">
        <v>46031</v>
      </c>
      <c r="G3931">
        <v>180.12</v>
      </c>
      <c r="H3931">
        <v>330</v>
      </c>
      <c r="I3931" s="8">
        <f>Tabela1[[#This Row],[Valor total]]-Tabela1[[#This Row],[Valor custo]]</f>
        <v>149.88</v>
      </c>
      <c r="J3931" s="18">
        <f>Tabela1[[#This Row],[MARGEM BRUTA]]/Tabela1[[#This Row],[Valor total]]</f>
        <v>0.45418181818181819</v>
      </c>
      <c r="K3931" s="16" t="str">
        <f>VLOOKUP(Tabela1[[#This Row],[Cliente]],'BASE DE CLIENTES'!A:D,4,0)</f>
        <v>SERRALHEIRO</v>
      </c>
      <c r="L3931" s="16" t="str">
        <f>VLOOKUP(Tabela1[[#This Row],[Cliente]],'BASE DE CLIENTES'!A:E,5,0)</f>
        <v>Trindade</v>
      </c>
    </row>
    <row r="3932" spans="1:12" x14ac:dyDescent="0.3">
      <c r="A3932" t="s">
        <v>1069</v>
      </c>
      <c r="B3932" t="s">
        <v>111</v>
      </c>
      <c r="C3932" s="16" t="str">
        <f>VLOOKUP(Tabela1[[#This Row],[Cliente]],'BASE DE CLIENTES'!A:E,2,0)</f>
        <v>Brasília</v>
      </c>
      <c r="D3932" s="16" t="str">
        <f>VLOOKUP(Tabela1[[#This Row],[Cliente]],'BASE DE CLIENTES'!A:C,3,0)</f>
        <v>DF</v>
      </c>
      <c r="E3932" s="16" t="str">
        <f>CONCATENATE(Tabela1[[#This Row],[CIDADE]],",",Tabela1[[#This Row],[UF]])</f>
        <v>Brasília,DF</v>
      </c>
      <c r="F3932" s="15">
        <v>46031</v>
      </c>
      <c r="G3932">
        <v>828.12</v>
      </c>
      <c r="H3932" s="10">
        <v>1247</v>
      </c>
      <c r="I3932" s="8">
        <f>Tabela1[[#This Row],[Valor total]]-Tabela1[[#This Row],[Valor custo]]</f>
        <v>418.88</v>
      </c>
      <c r="J3932" s="18">
        <f>Tabela1[[#This Row],[MARGEM BRUTA]]/Tabela1[[#This Row],[Valor total]]</f>
        <v>0.33591018444266241</v>
      </c>
      <c r="K3932" s="16" t="str">
        <f>VLOOKUP(Tabela1[[#This Row],[Cliente]],'BASE DE CLIENTES'!A:D,4,0)</f>
        <v>EMPRESA SEM MAQUINA</v>
      </c>
      <c r="L3932" s="16" t="str">
        <f>VLOOKUP(Tabela1[[#This Row],[Cliente]],'BASE DE CLIENTES'!A:E,5,0)</f>
        <v>TAGUATINGA SUL (TAGUATINGA)</v>
      </c>
    </row>
    <row r="3933" spans="1:12" x14ac:dyDescent="0.3">
      <c r="A3933" t="s">
        <v>1070</v>
      </c>
      <c r="B3933" t="s">
        <v>68</v>
      </c>
      <c r="C3933" s="16" t="str">
        <f>VLOOKUP(Tabela1[[#This Row],[Cliente]],'BASE DE CLIENTES'!A:E,2,0)</f>
        <v>Brasília</v>
      </c>
      <c r="D3933" s="16" t="str">
        <f>VLOOKUP(Tabela1[[#This Row],[Cliente]],'BASE DE CLIENTES'!A:C,3,0)</f>
        <v>DF</v>
      </c>
      <c r="E3933" s="16" t="str">
        <f>CONCATENATE(Tabela1[[#This Row],[CIDADE]],",",Tabela1[[#This Row],[UF]])</f>
        <v>Brasília,DF</v>
      </c>
      <c r="F3933" s="15">
        <v>46031</v>
      </c>
      <c r="G3933">
        <v>555.34</v>
      </c>
      <c r="H3933">
        <v>825</v>
      </c>
      <c r="I3933" s="8">
        <f>Tabela1[[#This Row],[Valor total]]-Tabela1[[#This Row],[Valor custo]]</f>
        <v>269.65999999999997</v>
      </c>
      <c r="J3933" s="18">
        <f>Tabela1[[#This Row],[MARGEM BRUTA]]/Tabela1[[#This Row],[Valor total]]</f>
        <v>0.32686060606060602</v>
      </c>
      <c r="K3933" s="16" t="str">
        <f>VLOOKUP(Tabela1[[#This Row],[Cliente]],'BASE DE CLIENTES'!A:D,4,0)</f>
        <v>EMPRESA COM MAQUINA</v>
      </c>
      <c r="L3933" s="16" t="str">
        <f>VLOOKUP(Tabela1[[#This Row],[Cliente]],'BASE DE CLIENTES'!A:E,5,0)</f>
        <v>SAMAMBAIA SUL (SAMAMBAIA)</v>
      </c>
    </row>
    <row r="3934" spans="1:12" x14ac:dyDescent="0.3">
      <c r="A3934" t="s">
        <v>1071</v>
      </c>
      <c r="B3934" t="s">
        <v>343</v>
      </c>
      <c r="C3934" s="16" t="str">
        <f>VLOOKUP(Tabela1[[#This Row],[Cliente]],'BASE DE CLIENTES'!A:E,2,0)</f>
        <v>Brasília</v>
      </c>
      <c r="D3934" s="16" t="str">
        <f>VLOOKUP(Tabela1[[#This Row],[Cliente]],'BASE DE CLIENTES'!A:C,3,0)</f>
        <v>DF</v>
      </c>
      <c r="E3934" s="16" t="str">
        <f>CONCATENATE(Tabela1[[#This Row],[CIDADE]],",",Tabela1[[#This Row],[UF]])</f>
        <v>Brasília,DF</v>
      </c>
      <c r="F3934" s="15">
        <v>46031</v>
      </c>
      <c r="G3934">
        <v>148.24</v>
      </c>
      <c r="H3934">
        <v>390</v>
      </c>
      <c r="I3934" s="8">
        <f>Tabela1[[#This Row],[Valor total]]-Tabela1[[#This Row],[Valor custo]]</f>
        <v>241.76</v>
      </c>
      <c r="J3934" s="18">
        <f>Tabela1[[#This Row],[MARGEM BRUTA]]/Tabela1[[#This Row],[Valor total]]</f>
        <v>0.61989743589743584</v>
      </c>
      <c r="K3934" s="16" t="str">
        <f>VLOOKUP(Tabela1[[#This Row],[Cliente]],'BASE DE CLIENTES'!A:D,4,0)</f>
        <v>CLIENTE NOVO S/ IDENT.</v>
      </c>
      <c r="L3934" s="16" t="str">
        <f>VLOOKUP(Tabela1[[#This Row],[Cliente]],'BASE DE CLIENTES'!A:E,5,0)</f>
        <v>Brasília</v>
      </c>
    </row>
    <row r="3935" spans="1:12" x14ac:dyDescent="0.3">
      <c r="A3935" t="s">
        <v>1072</v>
      </c>
      <c r="B3935" t="s">
        <v>151</v>
      </c>
      <c r="C3935" s="16" t="str">
        <f>VLOOKUP(Tabela1[[#This Row],[Cliente]],'BASE DE CLIENTES'!A:E,2,0)</f>
        <v>Aparecida de Goiânia</v>
      </c>
      <c r="D3935" s="16" t="str">
        <f>VLOOKUP(Tabela1[[#This Row],[Cliente]],'BASE DE CLIENTES'!A:C,3,0)</f>
        <v>GO</v>
      </c>
      <c r="E3935" s="16" t="str">
        <f>CONCATENATE(Tabela1[[#This Row],[CIDADE]],",",Tabela1[[#This Row],[UF]])</f>
        <v>Aparecida de Goiânia,GO</v>
      </c>
      <c r="F3935" s="15">
        <v>46031</v>
      </c>
      <c r="G3935" s="10">
        <v>1148.19</v>
      </c>
      <c r="H3935" s="10">
        <v>1600</v>
      </c>
      <c r="I3935" s="8">
        <f>Tabela1[[#This Row],[Valor total]]-Tabela1[[#This Row],[Valor custo]]</f>
        <v>451.80999999999995</v>
      </c>
      <c r="J3935" s="18">
        <f>Tabela1[[#This Row],[MARGEM BRUTA]]/Tabela1[[#This Row],[Valor total]]</f>
        <v>0.28238124999999997</v>
      </c>
      <c r="K3935" s="16" t="str">
        <f>VLOOKUP(Tabela1[[#This Row],[Cliente]],'BASE DE CLIENTES'!A:D,4,0)</f>
        <v>EMPRESA COM MAQUINA</v>
      </c>
      <c r="L3935" s="16" t="str">
        <f>VLOOKUP(Tabela1[[#This Row],[Cliente]],'BASE DE CLIENTES'!A:E,5,0)</f>
        <v>Aparecida de Goiânia</v>
      </c>
    </row>
    <row r="3936" spans="1:12" x14ac:dyDescent="0.3">
      <c r="A3936" t="s">
        <v>1073</v>
      </c>
      <c r="B3936" t="s">
        <v>161</v>
      </c>
      <c r="C3936" s="16" t="str">
        <f>VLOOKUP(Tabela1[[#This Row],[Cliente]],'BASE DE CLIENTES'!A:E,2,0)</f>
        <v>Brasília</v>
      </c>
      <c r="D3936" s="16" t="str">
        <f>VLOOKUP(Tabela1[[#This Row],[Cliente]],'BASE DE CLIENTES'!A:C,3,0)</f>
        <v>DF</v>
      </c>
      <c r="E3936" s="16" t="str">
        <f>CONCATENATE(Tabela1[[#This Row],[CIDADE]],",",Tabela1[[#This Row],[UF]])</f>
        <v>Brasília,DF</v>
      </c>
      <c r="F3936" s="15">
        <v>46031</v>
      </c>
      <c r="G3936" s="10">
        <v>9680.9</v>
      </c>
      <c r="H3936" s="10">
        <v>14965</v>
      </c>
      <c r="I3936" s="8">
        <f>Tabela1[[#This Row],[Valor total]]-Tabela1[[#This Row],[Valor custo]]</f>
        <v>5284.1</v>
      </c>
      <c r="J3936" s="18">
        <f>Tabela1[[#This Row],[MARGEM BRUTA]]/Tabela1[[#This Row],[Valor total]]</f>
        <v>0.35309722686267964</v>
      </c>
      <c r="K3936" s="16" t="str">
        <f>VLOOKUP(Tabela1[[#This Row],[Cliente]],'BASE DE CLIENTES'!A:D,4,0)</f>
        <v>EMPRESA COM MAQUINA</v>
      </c>
      <c r="L3936" s="16" t="str">
        <f>VLOOKUP(Tabela1[[#This Row],[Cliente]],'BASE DE CLIENTES'!A:E,5,0)</f>
        <v>RIACHO FUNDO II</v>
      </c>
    </row>
    <row r="3937" spans="1:12" x14ac:dyDescent="0.3">
      <c r="A3937" t="s">
        <v>1074</v>
      </c>
      <c r="B3937" t="s">
        <v>70</v>
      </c>
      <c r="C3937" s="16" t="str">
        <f>VLOOKUP(Tabela1[[#This Row],[Cliente]],'BASE DE CLIENTES'!A:E,2,0)</f>
        <v>Brasília</v>
      </c>
      <c r="D3937" s="16" t="str">
        <f>VLOOKUP(Tabela1[[#This Row],[Cliente]],'BASE DE CLIENTES'!A:C,3,0)</f>
        <v>DF</v>
      </c>
      <c r="E3937" s="16" t="str">
        <f>CONCATENATE(Tabela1[[#This Row],[CIDADE]],",",Tabela1[[#This Row],[UF]])</f>
        <v>Brasília,DF</v>
      </c>
      <c r="F3937" s="15">
        <v>46031</v>
      </c>
      <c r="G3937" s="10">
        <v>1420.78</v>
      </c>
      <c r="H3937" s="10">
        <v>2225</v>
      </c>
      <c r="I3937" s="8">
        <f>Tabela1[[#This Row],[Valor total]]-Tabela1[[#This Row],[Valor custo]]</f>
        <v>804.22</v>
      </c>
      <c r="J3937" s="18">
        <f>Tabela1[[#This Row],[MARGEM BRUTA]]/Tabela1[[#This Row],[Valor total]]</f>
        <v>0.36144719101123596</v>
      </c>
      <c r="K3937" s="16" t="str">
        <f>VLOOKUP(Tabela1[[#This Row],[Cliente]],'BASE DE CLIENTES'!A:D,4,0)</f>
        <v>EMPRESA COM MAQUINA</v>
      </c>
      <c r="L3937" s="16" t="str">
        <f>VLOOKUP(Tabela1[[#This Row],[Cliente]],'BASE DE CLIENTES'!A:E,5,0)</f>
        <v>TAGUATINGA NORTE (TAGUATINGA)</v>
      </c>
    </row>
    <row r="3938" spans="1:12" x14ac:dyDescent="0.3">
      <c r="A3938" t="s">
        <v>1075</v>
      </c>
      <c r="B3938" t="s">
        <v>27</v>
      </c>
      <c r="C3938" s="16" t="str">
        <f>VLOOKUP(Tabela1[[#This Row],[Cliente]],'BASE DE CLIENTES'!A:E,2,0)</f>
        <v>Brasília</v>
      </c>
      <c r="D3938" s="16" t="str">
        <f>VLOOKUP(Tabela1[[#This Row],[Cliente]],'BASE DE CLIENTES'!A:C,3,0)</f>
        <v>DF</v>
      </c>
      <c r="E3938" s="16" t="str">
        <f>CONCATENATE(Tabela1[[#This Row],[CIDADE]],",",Tabela1[[#This Row],[UF]])</f>
        <v>Brasília,DF</v>
      </c>
      <c r="F3938" s="15">
        <v>46030</v>
      </c>
      <c r="G3938">
        <v>450.27</v>
      </c>
      <c r="H3938">
        <v>505</v>
      </c>
      <c r="I3938" s="8">
        <f>Tabela1[[#This Row],[Valor total]]-Tabela1[[#This Row],[Valor custo]]</f>
        <v>54.730000000000018</v>
      </c>
      <c r="J3938" s="18">
        <f>Tabela1[[#This Row],[MARGEM BRUTA]]/Tabela1[[#This Row],[Valor total]]</f>
        <v>0.10837623762376242</v>
      </c>
      <c r="K3938" s="16" t="str">
        <f>VLOOKUP(Tabela1[[#This Row],[Cliente]],'BASE DE CLIENTES'!A:D,4,0)</f>
        <v>EMPRESA SEM MAQUINA</v>
      </c>
      <c r="L3938" s="16" t="str">
        <f>VLOOKUP(Tabela1[[#This Row],[Cliente]],'BASE DE CLIENTES'!A:E,5,0)</f>
        <v>RECANTO DAS EMAS</v>
      </c>
    </row>
    <row r="3939" spans="1:12" x14ac:dyDescent="0.3">
      <c r="A3939" t="s">
        <v>1076</v>
      </c>
      <c r="B3939" t="s">
        <v>765</v>
      </c>
      <c r="C3939" s="16" t="str">
        <f>VLOOKUP(Tabela1[[#This Row],[Cliente]],'BASE DE CLIENTES'!A:E,2,0)</f>
        <v>Brasília</v>
      </c>
      <c r="D3939" s="16" t="str">
        <f>VLOOKUP(Tabela1[[#This Row],[Cliente]],'BASE DE CLIENTES'!A:C,3,0)</f>
        <v>DF</v>
      </c>
      <c r="E3939" s="16" t="str">
        <f>CONCATENATE(Tabela1[[#This Row],[CIDADE]],",",Tabela1[[#This Row],[UF]])</f>
        <v>Brasília,DF</v>
      </c>
      <c r="F3939" s="15">
        <v>46030</v>
      </c>
      <c r="G3939">
        <v>127.58</v>
      </c>
      <c r="H3939">
        <v>370</v>
      </c>
      <c r="I3939" s="8">
        <f>Tabela1[[#This Row],[Valor total]]-Tabela1[[#This Row],[Valor custo]]</f>
        <v>242.42000000000002</v>
      </c>
      <c r="J3939" s="18">
        <f>Tabela1[[#This Row],[MARGEM BRUTA]]/Tabela1[[#This Row],[Valor total]]</f>
        <v>0.65518918918918923</v>
      </c>
      <c r="K3939" s="16" t="str">
        <f>VLOOKUP(Tabela1[[#This Row],[Cliente]],'BASE DE CLIENTES'!A:D,4,0)</f>
        <v>SEM CLASSIFICAÇÃO</v>
      </c>
      <c r="L3939" s="16" t="str">
        <f>VLOOKUP(Tabela1[[#This Row],[Cliente]],'BASE DE CLIENTES'!A:E,5,0)</f>
        <v>SOBRADINHO</v>
      </c>
    </row>
    <row r="3940" spans="1:12" x14ac:dyDescent="0.3">
      <c r="A3940" t="s">
        <v>1077</v>
      </c>
      <c r="B3940" t="s">
        <v>38</v>
      </c>
      <c r="C3940" s="16" t="str">
        <f>VLOOKUP(Tabela1[[#This Row],[Cliente]],'BASE DE CLIENTES'!A:E,2,0)</f>
        <v>Brasília</v>
      </c>
      <c r="D3940" s="16" t="str">
        <f>VLOOKUP(Tabela1[[#This Row],[Cliente]],'BASE DE CLIENTES'!A:C,3,0)</f>
        <v>DF</v>
      </c>
      <c r="E3940" s="16" t="str">
        <f>CONCATENATE(Tabela1[[#This Row],[CIDADE]],",",Tabela1[[#This Row],[UF]])</f>
        <v>Brasília,DF</v>
      </c>
      <c r="F3940" s="15">
        <v>46030</v>
      </c>
      <c r="G3940" s="10">
        <v>4238.17</v>
      </c>
      <c r="H3940" s="10">
        <v>6680</v>
      </c>
      <c r="I3940" s="8">
        <f>Tabela1[[#This Row],[Valor total]]-Tabela1[[#This Row],[Valor custo]]</f>
        <v>2441.83</v>
      </c>
      <c r="J3940" s="18">
        <f>Tabela1[[#This Row],[MARGEM BRUTA]]/Tabela1[[#This Row],[Valor total]]</f>
        <v>0.36554341317365269</v>
      </c>
      <c r="K3940" s="16" t="str">
        <f>VLOOKUP(Tabela1[[#This Row],[Cliente]],'BASE DE CLIENTES'!A:D,4,0)</f>
        <v>EMPRESA SEM MAQUINA</v>
      </c>
      <c r="L3940" s="16" t="str">
        <f>VLOOKUP(Tabela1[[#This Row],[Cliente]],'BASE DE CLIENTES'!A:E,5,0)</f>
        <v>PONTE ALTA NORTE (GAMA)</v>
      </c>
    </row>
    <row r="3941" spans="1:12" x14ac:dyDescent="0.3">
      <c r="A3941" t="s">
        <v>1078</v>
      </c>
      <c r="B3941" t="s">
        <v>68</v>
      </c>
      <c r="C3941" s="16" t="str">
        <f>VLOOKUP(Tabela1[[#This Row],[Cliente]],'BASE DE CLIENTES'!A:E,2,0)</f>
        <v>Brasília</v>
      </c>
      <c r="D3941" s="16" t="str">
        <f>VLOOKUP(Tabela1[[#This Row],[Cliente]],'BASE DE CLIENTES'!A:C,3,0)</f>
        <v>DF</v>
      </c>
      <c r="E3941" s="16" t="str">
        <f>CONCATENATE(Tabela1[[#This Row],[CIDADE]],",",Tabela1[[#This Row],[UF]])</f>
        <v>Brasília,DF</v>
      </c>
      <c r="F3941" s="15">
        <v>46030</v>
      </c>
      <c r="G3941">
        <v>487.8</v>
      </c>
      <c r="H3941">
        <v>850</v>
      </c>
      <c r="I3941" s="8">
        <f>Tabela1[[#This Row],[Valor total]]-Tabela1[[#This Row],[Valor custo]]</f>
        <v>362.2</v>
      </c>
      <c r="J3941" s="18">
        <f>Tabela1[[#This Row],[MARGEM BRUTA]]/Tabela1[[#This Row],[Valor total]]</f>
        <v>0.42611764705882349</v>
      </c>
      <c r="K3941" s="16" t="str">
        <f>VLOOKUP(Tabela1[[#This Row],[Cliente]],'BASE DE CLIENTES'!A:D,4,0)</f>
        <v>EMPRESA COM MAQUINA</v>
      </c>
      <c r="L3941" s="16" t="str">
        <f>VLOOKUP(Tabela1[[#This Row],[Cliente]],'BASE DE CLIENTES'!A:E,5,0)</f>
        <v>SAMAMBAIA SUL (SAMAMBAIA)</v>
      </c>
    </row>
    <row r="3942" spans="1:12" x14ac:dyDescent="0.3">
      <c r="A3942" t="s">
        <v>1079</v>
      </c>
      <c r="B3942" t="s">
        <v>23</v>
      </c>
      <c r="C3942" s="16" t="str">
        <f>VLOOKUP(Tabela1[[#This Row],[Cliente]],'BASE DE CLIENTES'!A:E,2,0)</f>
        <v>Brasília</v>
      </c>
      <c r="D3942" s="16" t="str">
        <f>VLOOKUP(Tabela1[[#This Row],[Cliente]],'BASE DE CLIENTES'!A:C,3,0)</f>
        <v>DF</v>
      </c>
      <c r="E3942" s="16" t="str">
        <f>CONCATENATE(Tabela1[[#This Row],[CIDADE]],",",Tabela1[[#This Row],[UF]])</f>
        <v>Brasília,DF</v>
      </c>
      <c r="F3942" s="15">
        <v>46030</v>
      </c>
      <c r="G3942" s="10">
        <v>1008.59</v>
      </c>
      <c r="H3942" s="10">
        <v>1700</v>
      </c>
      <c r="I3942" s="8">
        <f>Tabela1[[#This Row],[Valor total]]-Tabela1[[#This Row],[Valor custo]]</f>
        <v>691.41</v>
      </c>
      <c r="J3942" s="18">
        <f>Tabela1[[#This Row],[MARGEM BRUTA]]/Tabela1[[#This Row],[Valor total]]</f>
        <v>0.40671176470588233</v>
      </c>
      <c r="K3942" s="16" t="str">
        <f>VLOOKUP(Tabela1[[#This Row],[Cliente]],'BASE DE CLIENTES'!A:D,4,0)</f>
        <v>EMPRESA SEM MAQUINA</v>
      </c>
      <c r="L3942" s="16" t="str">
        <f>VLOOKUP(Tabela1[[#This Row],[Cliente]],'BASE DE CLIENTES'!A:E,5,0)</f>
        <v>SETOR INDUSTRIAL (TAGUATINGA)</v>
      </c>
    </row>
    <row r="3943" spans="1:12" x14ac:dyDescent="0.3">
      <c r="A3943" t="s">
        <v>1080</v>
      </c>
      <c r="B3943" t="s">
        <v>96</v>
      </c>
      <c r="C3943" s="16" t="str">
        <f>VLOOKUP(Tabela1[[#This Row],[Cliente]],'BASE DE CLIENTES'!A:E,2,0)</f>
        <v>Brasília</v>
      </c>
      <c r="D3943" s="16" t="str">
        <f>VLOOKUP(Tabela1[[#This Row],[Cliente]],'BASE DE CLIENTES'!A:C,3,0)</f>
        <v>DF</v>
      </c>
      <c r="E3943" s="16" t="str">
        <f>CONCATENATE(Tabela1[[#This Row],[CIDADE]],",",Tabela1[[#This Row],[UF]])</f>
        <v>Brasília,DF</v>
      </c>
      <c r="F3943" s="15">
        <v>46030</v>
      </c>
      <c r="G3943">
        <v>856.38</v>
      </c>
      <c r="H3943" s="10">
        <v>1389</v>
      </c>
      <c r="I3943" s="8">
        <f>Tabela1[[#This Row],[Valor total]]-Tabela1[[#This Row],[Valor custo]]</f>
        <v>532.62</v>
      </c>
      <c r="J3943" s="18">
        <f>Tabela1[[#This Row],[MARGEM BRUTA]]/Tabela1[[#This Row],[Valor total]]</f>
        <v>0.38345572354211666</v>
      </c>
      <c r="K3943" s="16" t="str">
        <f>VLOOKUP(Tabela1[[#This Row],[Cliente]],'BASE DE CLIENTES'!A:D,4,0)</f>
        <v>EMPRESA SEM MAQUINA</v>
      </c>
      <c r="L3943" s="16" t="str">
        <f>VLOOKUP(Tabela1[[#This Row],[Cliente]],'BASE DE CLIENTES'!A:E,5,0)</f>
        <v>CEILANDIA NORTE (CEILANDIA)</v>
      </c>
    </row>
    <row r="3944" spans="1:12" x14ac:dyDescent="0.3">
      <c r="A3944" t="s">
        <v>1081</v>
      </c>
      <c r="B3944" t="s">
        <v>216</v>
      </c>
      <c r="C3944" s="16" t="str">
        <f>VLOOKUP(Tabela1[[#This Row],[Cliente]],'BASE DE CLIENTES'!A:E,2,0)</f>
        <v>Brasília</v>
      </c>
      <c r="D3944" s="16" t="str">
        <f>VLOOKUP(Tabela1[[#This Row],[Cliente]],'BASE DE CLIENTES'!A:C,3,0)</f>
        <v>DF</v>
      </c>
      <c r="E3944" s="16" t="str">
        <f>CONCATENATE(Tabela1[[#This Row],[CIDADE]],",",Tabela1[[#This Row],[UF]])</f>
        <v>Brasília,DF</v>
      </c>
      <c r="F3944" s="15">
        <v>46030</v>
      </c>
      <c r="G3944" s="10">
        <v>1200.73</v>
      </c>
      <c r="H3944" s="10">
        <v>1850</v>
      </c>
      <c r="I3944" s="8">
        <f>Tabela1[[#This Row],[Valor total]]-Tabela1[[#This Row],[Valor custo]]</f>
        <v>649.27</v>
      </c>
      <c r="J3944" s="18">
        <f>Tabela1[[#This Row],[MARGEM BRUTA]]/Tabela1[[#This Row],[Valor total]]</f>
        <v>0.35095675675675675</v>
      </c>
      <c r="K3944" s="16" t="str">
        <f>VLOOKUP(Tabela1[[#This Row],[Cliente]],'BASE DE CLIENTES'!A:D,4,0)</f>
        <v>EMPRESA COM MAQUINA</v>
      </c>
      <c r="L3944" s="16" t="str">
        <f>VLOOKUP(Tabela1[[#This Row],[Cliente]],'BASE DE CLIENTES'!A:E,5,0)</f>
        <v>RIACHO FUNDO II</v>
      </c>
    </row>
    <row r="3945" spans="1:12" x14ac:dyDescent="0.3">
      <c r="A3945" t="s">
        <v>1082</v>
      </c>
      <c r="B3945" t="s">
        <v>49</v>
      </c>
      <c r="C3945" s="16" t="str">
        <f>VLOOKUP(Tabela1[[#This Row],[Cliente]],'BASE DE CLIENTES'!A:E,2,0)</f>
        <v>Brasília</v>
      </c>
      <c r="D3945" s="16" t="str">
        <f>VLOOKUP(Tabela1[[#This Row],[Cliente]],'BASE DE CLIENTES'!A:C,3,0)</f>
        <v>DF</v>
      </c>
      <c r="E3945" s="16" t="str">
        <f>CONCATENATE(Tabela1[[#This Row],[CIDADE]],",",Tabela1[[#This Row],[UF]])</f>
        <v>Brasília,DF</v>
      </c>
      <c r="F3945" s="15">
        <v>46030</v>
      </c>
      <c r="G3945" s="10">
        <v>1711.04</v>
      </c>
      <c r="H3945" s="10">
        <v>2620</v>
      </c>
      <c r="I3945" s="8">
        <f>Tabela1[[#This Row],[Valor total]]-Tabela1[[#This Row],[Valor custo]]</f>
        <v>908.96</v>
      </c>
      <c r="J3945" s="18">
        <f>Tabela1[[#This Row],[MARGEM BRUTA]]/Tabela1[[#This Row],[Valor total]]</f>
        <v>0.3469312977099237</v>
      </c>
      <c r="K3945" s="16" t="str">
        <f>VLOOKUP(Tabela1[[#This Row],[Cliente]],'BASE DE CLIENTES'!A:D,4,0)</f>
        <v>EMPRESA COM MAQUINA</v>
      </c>
      <c r="L3945" s="16" t="str">
        <f>VLOOKUP(Tabela1[[#This Row],[Cliente]],'BASE DE CLIENTES'!A:E,5,0)</f>
        <v>TAGUATINGA</v>
      </c>
    </row>
    <row r="3946" spans="1:12" x14ac:dyDescent="0.3">
      <c r="A3946" t="s">
        <v>1083</v>
      </c>
      <c r="B3946" t="s">
        <v>120</v>
      </c>
      <c r="C3946" s="16" t="str">
        <f>VLOOKUP(Tabela1[[#This Row],[Cliente]],'BASE DE CLIENTES'!A:E,2,0)</f>
        <v>Brasília</v>
      </c>
      <c r="D3946" s="16" t="str">
        <f>VLOOKUP(Tabela1[[#This Row],[Cliente]],'BASE DE CLIENTES'!A:C,3,0)</f>
        <v>DF</v>
      </c>
      <c r="E3946" s="16" t="str">
        <f>CONCATENATE(Tabela1[[#This Row],[CIDADE]],",",Tabela1[[#This Row],[UF]])</f>
        <v>Brasília,DF</v>
      </c>
      <c r="F3946" s="15">
        <v>46030</v>
      </c>
      <c r="G3946">
        <v>945.58</v>
      </c>
      <c r="H3946" s="10">
        <v>1500</v>
      </c>
      <c r="I3946" s="8">
        <f>Tabela1[[#This Row],[Valor total]]-Tabela1[[#This Row],[Valor custo]]</f>
        <v>554.41999999999996</v>
      </c>
      <c r="J3946" s="18">
        <f>Tabela1[[#This Row],[MARGEM BRUTA]]/Tabela1[[#This Row],[Valor total]]</f>
        <v>0.36961333333333329</v>
      </c>
      <c r="K3946" s="16" t="str">
        <f>VLOOKUP(Tabela1[[#This Row],[Cliente]],'BASE DE CLIENTES'!A:D,4,0)</f>
        <v>EMPRESA SEM MAQUINA</v>
      </c>
      <c r="L3946" s="16" t="str">
        <f>VLOOKUP(Tabela1[[#This Row],[Cliente]],'BASE DE CLIENTES'!A:E,5,0)</f>
        <v>SAMAMBAIA</v>
      </c>
    </row>
    <row r="3947" spans="1:12" x14ac:dyDescent="0.3">
      <c r="A3947" t="s">
        <v>1084</v>
      </c>
      <c r="B3947" t="s">
        <v>96</v>
      </c>
      <c r="C3947" s="16" t="str">
        <f>VLOOKUP(Tabela1[[#This Row],[Cliente]],'BASE DE CLIENTES'!A:E,2,0)</f>
        <v>Brasília</v>
      </c>
      <c r="D3947" s="16" t="str">
        <f>VLOOKUP(Tabela1[[#This Row],[Cliente]],'BASE DE CLIENTES'!A:C,3,0)</f>
        <v>DF</v>
      </c>
      <c r="E3947" s="16" t="str">
        <f>CONCATENATE(Tabela1[[#This Row],[CIDADE]],",",Tabela1[[#This Row],[UF]])</f>
        <v>Brasília,DF</v>
      </c>
      <c r="F3947" s="15">
        <v>46029</v>
      </c>
      <c r="G3947">
        <v>563.85</v>
      </c>
      <c r="H3947">
        <v>845</v>
      </c>
      <c r="I3947" s="8">
        <f>Tabela1[[#This Row],[Valor total]]-Tabela1[[#This Row],[Valor custo]]</f>
        <v>281.14999999999998</v>
      </c>
      <c r="J3947" s="18">
        <f>Tabela1[[#This Row],[MARGEM BRUTA]]/Tabela1[[#This Row],[Valor total]]</f>
        <v>0.33272189349112424</v>
      </c>
      <c r="K3947" s="16" t="str">
        <f>VLOOKUP(Tabela1[[#This Row],[Cliente]],'BASE DE CLIENTES'!A:D,4,0)</f>
        <v>EMPRESA SEM MAQUINA</v>
      </c>
      <c r="L3947" s="16" t="str">
        <f>VLOOKUP(Tabela1[[#This Row],[Cliente]],'BASE DE CLIENTES'!A:E,5,0)</f>
        <v>CEILANDIA NORTE (CEILANDIA)</v>
      </c>
    </row>
    <row r="3948" spans="1:12" x14ac:dyDescent="0.3">
      <c r="A3948" t="s">
        <v>1085</v>
      </c>
      <c r="B3948" t="s">
        <v>183</v>
      </c>
      <c r="C3948" s="16" t="str">
        <f>VLOOKUP(Tabela1[[#This Row],[Cliente]],'BASE DE CLIENTES'!A:E,2,0)</f>
        <v>Caldas Novas</v>
      </c>
      <c r="D3948" s="16" t="str">
        <f>VLOOKUP(Tabela1[[#This Row],[Cliente]],'BASE DE CLIENTES'!A:C,3,0)</f>
        <v>GO</v>
      </c>
      <c r="E3948" s="16" t="str">
        <f>CONCATENATE(Tabela1[[#This Row],[CIDADE]],",",Tabela1[[#This Row],[UF]])</f>
        <v>Caldas Novas,GO</v>
      </c>
      <c r="F3948" s="15">
        <v>46029</v>
      </c>
      <c r="G3948" s="10">
        <v>1133.55</v>
      </c>
      <c r="H3948" s="10">
        <v>1715.85</v>
      </c>
      <c r="I3948" s="8">
        <f>Tabela1[[#This Row],[Valor total]]-Tabela1[[#This Row],[Valor custo]]</f>
        <v>582.29999999999995</v>
      </c>
      <c r="J3948" s="18">
        <f>Tabela1[[#This Row],[MARGEM BRUTA]]/Tabela1[[#This Row],[Valor total]]</f>
        <v>0.33936532913716233</v>
      </c>
      <c r="K3948" s="16" t="str">
        <f>VLOOKUP(Tabela1[[#This Row],[Cliente]],'BASE DE CLIENTES'!A:D,4,0)</f>
        <v>EMPRESA COM MAQUINA</v>
      </c>
      <c r="L3948" s="16" t="str">
        <f>VLOOKUP(Tabela1[[#This Row],[Cliente]],'BASE DE CLIENTES'!A:E,5,0)</f>
        <v>Caldas Novas</v>
      </c>
    </row>
    <row r="3949" spans="1:12" x14ac:dyDescent="0.3">
      <c r="A3949" t="s">
        <v>1086</v>
      </c>
      <c r="B3949" t="s">
        <v>152</v>
      </c>
      <c r="C3949" s="16" t="str">
        <f>VLOOKUP(Tabela1[[#This Row],[Cliente]],'BASE DE CLIENTES'!A:E,2,0)</f>
        <v>Aparecida de Goiânia</v>
      </c>
      <c r="D3949" s="16" t="str">
        <f>VLOOKUP(Tabela1[[#This Row],[Cliente]],'BASE DE CLIENTES'!A:C,3,0)</f>
        <v>GO</v>
      </c>
      <c r="E3949" s="16" t="str">
        <f>CONCATENATE(Tabela1[[#This Row],[CIDADE]],",",Tabela1[[#This Row],[UF]])</f>
        <v>Aparecida de Goiânia,GO</v>
      </c>
      <c r="F3949" s="15">
        <v>46029</v>
      </c>
      <c r="G3949">
        <v>510.31</v>
      </c>
      <c r="H3949">
        <v>750</v>
      </c>
      <c r="I3949" s="8">
        <f>Tabela1[[#This Row],[Valor total]]-Tabela1[[#This Row],[Valor custo]]</f>
        <v>239.69</v>
      </c>
      <c r="J3949" s="18">
        <f>Tabela1[[#This Row],[MARGEM BRUTA]]/Tabela1[[#This Row],[Valor total]]</f>
        <v>0.31958666666666669</v>
      </c>
      <c r="K3949" s="16" t="str">
        <f>VLOOKUP(Tabela1[[#This Row],[Cliente]],'BASE DE CLIENTES'!A:D,4,0)</f>
        <v>TECNICO</v>
      </c>
      <c r="L3949" s="16" t="str">
        <f>VLOOKUP(Tabela1[[#This Row],[Cliente]],'BASE DE CLIENTES'!A:E,5,0)</f>
        <v>Aparecida de Goiânia</v>
      </c>
    </row>
    <row r="3950" spans="1:12" x14ac:dyDescent="0.3">
      <c r="A3950" t="s">
        <v>1087</v>
      </c>
      <c r="B3950" t="s">
        <v>236</v>
      </c>
      <c r="C3950" s="16" t="str">
        <f>VLOOKUP(Tabela1[[#This Row],[Cliente]],'BASE DE CLIENTES'!A:E,2,0)</f>
        <v>Goiânia</v>
      </c>
      <c r="D3950" s="16" t="str">
        <f>VLOOKUP(Tabela1[[#This Row],[Cliente]],'BASE DE CLIENTES'!A:C,3,0)</f>
        <v>GO</v>
      </c>
      <c r="E3950" s="16" t="str">
        <f>CONCATENATE(Tabela1[[#This Row],[CIDADE]],",",Tabela1[[#This Row],[UF]])</f>
        <v>Goiânia,GO</v>
      </c>
      <c r="F3950" s="15">
        <v>46029</v>
      </c>
      <c r="G3950">
        <v>555.34</v>
      </c>
      <c r="H3950">
        <v>790</v>
      </c>
      <c r="I3950" s="8">
        <f>Tabela1[[#This Row],[Valor total]]-Tabela1[[#This Row],[Valor custo]]</f>
        <v>234.65999999999997</v>
      </c>
      <c r="J3950" s="18">
        <f>Tabela1[[#This Row],[MARGEM BRUTA]]/Tabela1[[#This Row],[Valor total]]</f>
        <v>0.29703797468354426</v>
      </c>
      <c r="K3950" s="16" t="str">
        <f>VLOOKUP(Tabela1[[#This Row],[Cliente]],'BASE DE CLIENTES'!A:D,4,0)</f>
        <v>EMPRESA COM MAQUINA</v>
      </c>
      <c r="L3950" s="16" t="str">
        <f>VLOOKUP(Tabela1[[#This Row],[Cliente]],'BASE DE CLIENTES'!A:E,5,0)</f>
        <v>Goiânia</v>
      </c>
    </row>
    <row r="3951" spans="1:12" x14ac:dyDescent="0.3">
      <c r="A3951" t="s">
        <v>1088</v>
      </c>
      <c r="B3951" t="s">
        <v>236</v>
      </c>
      <c r="C3951" s="16" t="str">
        <f>VLOOKUP(Tabela1[[#This Row],[Cliente]],'BASE DE CLIENTES'!A:E,2,0)</f>
        <v>Goiânia</v>
      </c>
      <c r="D3951" s="16" t="str">
        <f>VLOOKUP(Tabela1[[#This Row],[Cliente]],'BASE DE CLIENTES'!A:C,3,0)</f>
        <v>GO</v>
      </c>
      <c r="E3951" s="16" t="str">
        <f>CONCATENATE(Tabela1[[#This Row],[CIDADE]],",",Tabela1[[#This Row],[UF]])</f>
        <v>Goiânia,GO</v>
      </c>
      <c r="F3951" s="15">
        <v>46029</v>
      </c>
      <c r="G3951" s="10">
        <v>1110.68</v>
      </c>
      <c r="H3951" s="10">
        <v>1580</v>
      </c>
      <c r="I3951" s="8">
        <f>Tabela1[[#This Row],[Valor total]]-Tabela1[[#This Row],[Valor custo]]</f>
        <v>469.31999999999994</v>
      </c>
      <c r="J3951" s="18">
        <f>Tabela1[[#This Row],[MARGEM BRUTA]]/Tabela1[[#This Row],[Valor total]]</f>
        <v>0.29703797468354426</v>
      </c>
      <c r="K3951" s="16" t="str">
        <f>VLOOKUP(Tabela1[[#This Row],[Cliente]],'BASE DE CLIENTES'!A:D,4,0)</f>
        <v>EMPRESA COM MAQUINA</v>
      </c>
      <c r="L3951" s="16" t="str">
        <f>VLOOKUP(Tabela1[[#This Row],[Cliente]],'BASE DE CLIENTES'!A:E,5,0)</f>
        <v>Goiânia</v>
      </c>
    </row>
    <row r="3952" spans="1:12" x14ac:dyDescent="0.3">
      <c r="A3952" t="s">
        <v>1089</v>
      </c>
      <c r="B3952" t="s">
        <v>220</v>
      </c>
      <c r="C3952" s="16" t="str">
        <f>VLOOKUP(Tabela1[[#This Row],[Cliente]],'BASE DE CLIENTES'!A:E,2,0)</f>
        <v>Goiânia</v>
      </c>
      <c r="D3952" s="16" t="str">
        <f>VLOOKUP(Tabela1[[#This Row],[Cliente]],'BASE DE CLIENTES'!A:C,3,0)</f>
        <v>GO</v>
      </c>
      <c r="E3952" s="16" t="str">
        <f>CONCATENATE(Tabela1[[#This Row],[CIDADE]],",",Tabela1[[#This Row],[UF]])</f>
        <v>Goiânia,GO</v>
      </c>
      <c r="F3952" s="15">
        <v>46029</v>
      </c>
      <c r="G3952">
        <v>0</v>
      </c>
      <c r="H3952">
        <v>350</v>
      </c>
      <c r="I3952" s="8">
        <f>Tabela1[[#This Row],[Valor total]]-Tabela1[[#This Row],[Valor custo]]</f>
        <v>350</v>
      </c>
      <c r="J3952" s="18">
        <f>Tabela1[[#This Row],[MARGEM BRUTA]]/Tabela1[[#This Row],[Valor total]]</f>
        <v>1</v>
      </c>
      <c r="K3952" s="16" t="str">
        <f>VLOOKUP(Tabela1[[#This Row],[Cliente]],'BASE DE CLIENTES'!A:D,4,0)</f>
        <v>EMPRESA COM MAQUINA</v>
      </c>
      <c r="L3952" s="16" t="str">
        <f>VLOOKUP(Tabela1[[#This Row],[Cliente]],'BASE DE CLIENTES'!A:E,5,0)</f>
        <v>Goiânia</v>
      </c>
    </row>
    <row r="3953" spans="1:12" x14ac:dyDescent="0.3">
      <c r="A3953" t="s">
        <v>1090</v>
      </c>
      <c r="B3953" t="s">
        <v>19</v>
      </c>
      <c r="C3953" s="16" t="str">
        <f>VLOOKUP(Tabela1[[#This Row],[Cliente]],'BASE DE CLIENTES'!A:E,2,0)</f>
        <v>Águas Lindas de Goiás</v>
      </c>
      <c r="D3953" s="16" t="str">
        <f>VLOOKUP(Tabela1[[#This Row],[Cliente]],'BASE DE CLIENTES'!A:C,3,0)</f>
        <v>GO</v>
      </c>
      <c r="E3953" s="16" t="str">
        <f>CONCATENATE(Tabela1[[#This Row],[CIDADE]],",",Tabela1[[#This Row],[UF]])</f>
        <v>Águas Lindas de Goiás,GO</v>
      </c>
      <c r="F3953" s="15">
        <v>46029</v>
      </c>
      <c r="G3953">
        <v>495.3</v>
      </c>
      <c r="H3953">
        <v>875</v>
      </c>
      <c r="I3953" s="8">
        <f>Tabela1[[#This Row],[Valor total]]-Tabela1[[#This Row],[Valor custo]]</f>
        <v>379.7</v>
      </c>
      <c r="J3953" s="18">
        <f>Tabela1[[#This Row],[MARGEM BRUTA]]/Tabela1[[#This Row],[Valor total]]</f>
        <v>0.43394285714285713</v>
      </c>
      <c r="K3953" s="16" t="str">
        <f>VLOOKUP(Tabela1[[#This Row],[Cliente]],'BASE DE CLIENTES'!A:D,4,0)</f>
        <v>SERRALHEIRO</v>
      </c>
      <c r="L3953" s="16" t="str">
        <f>VLOOKUP(Tabela1[[#This Row],[Cliente]],'BASE DE CLIENTES'!A:E,5,0)</f>
        <v>Águas Lindas de Goiás</v>
      </c>
    </row>
    <row r="3954" spans="1:12" x14ac:dyDescent="0.3">
      <c r="A3954" t="s">
        <v>1091</v>
      </c>
      <c r="B3954" t="s">
        <v>342</v>
      </c>
      <c r="C3954" s="16" t="str">
        <f>VLOOKUP(Tabela1[[#This Row],[Cliente]],'BASE DE CLIENTES'!A:E,2,0)</f>
        <v>Santo Antônio Descoberto</v>
      </c>
      <c r="D3954" s="16" t="str">
        <f>VLOOKUP(Tabela1[[#This Row],[Cliente]],'BASE DE CLIENTES'!A:C,3,0)</f>
        <v>GO</v>
      </c>
      <c r="E3954" s="16" t="str">
        <f>CONCATENATE(Tabela1[[#This Row],[CIDADE]],",",Tabela1[[#This Row],[UF]])</f>
        <v>Santo Antônio Descoberto,GO</v>
      </c>
      <c r="F3954" s="15">
        <v>46029</v>
      </c>
      <c r="G3954" s="10">
        <v>7410.28</v>
      </c>
      <c r="H3954" s="10">
        <v>10770</v>
      </c>
      <c r="I3954" s="8">
        <f>Tabela1[[#This Row],[Valor total]]-Tabela1[[#This Row],[Valor custo]]</f>
        <v>3359.7200000000003</v>
      </c>
      <c r="J3954" s="18">
        <f>Tabela1[[#This Row],[MARGEM BRUTA]]/Tabela1[[#This Row],[Valor total]]</f>
        <v>0.31195171773444758</v>
      </c>
      <c r="K3954" s="16" t="str">
        <f>VLOOKUP(Tabela1[[#This Row],[Cliente]],'BASE DE CLIENTES'!A:D,4,0)</f>
        <v>CLIENTE NOVO S/ IDENT.</v>
      </c>
      <c r="L3954" s="16" t="str">
        <f>VLOOKUP(Tabela1[[#This Row],[Cliente]],'BASE DE CLIENTES'!A:E,5,0)</f>
        <v>Santo Antônio Descoberto</v>
      </c>
    </row>
    <row r="3955" spans="1:12" x14ac:dyDescent="0.3">
      <c r="A3955" t="s">
        <v>1092</v>
      </c>
      <c r="B3955" t="s">
        <v>27</v>
      </c>
      <c r="C3955" s="16" t="str">
        <f>VLOOKUP(Tabela1[[#This Row],[Cliente]],'BASE DE CLIENTES'!A:E,2,0)</f>
        <v>Brasília</v>
      </c>
      <c r="D3955" s="16" t="str">
        <f>VLOOKUP(Tabela1[[#This Row],[Cliente]],'BASE DE CLIENTES'!A:C,3,0)</f>
        <v>DF</v>
      </c>
      <c r="E3955" s="16" t="str">
        <f>CONCATENATE(Tabela1[[#This Row],[CIDADE]],",",Tabela1[[#This Row],[UF]])</f>
        <v>Brasília,DF</v>
      </c>
      <c r="F3955" s="15">
        <v>46029</v>
      </c>
      <c r="G3955" s="10">
        <v>1470.94</v>
      </c>
      <c r="H3955" s="10">
        <v>2150</v>
      </c>
      <c r="I3955" s="8">
        <f>Tabela1[[#This Row],[Valor total]]-Tabela1[[#This Row],[Valor custo]]</f>
        <v>679.06</v>
      </c>
      <c r="J3955" s="18">
        <f>Tabela1[[#This Row],[MARGEM BRUTA]]/Tabela1[[#This Row],[Valor total]]</f>
        <v>0.31584186046511625</v>
      </c>
      <c r="K3955" s="16" t="str">
        <f>VLOOKUP(Tabela1[[#This Row],[Cliente]],'BASE DE CLIENTES'!A:D,4,0)</f>
        <v>EMPRESA SEM MAQUINA</v>
      </c>
      <c r="L3955" s="16" t="str">
        <f>VLOOKUP(Tabela1[[#This Row],[Cliente]],'BASE DE CLIENTES'!A:E,5,0)</f>
        <v>RECANTO DAS EMAS</v>
      </c>
    </row>
    <row r="3956" spans="1:12" x14ac:dyDescent="0.3">
      <c r="A3956" t="s">
        <v>1093</v>
      </c>
      <c r="B3956" t="s">
        <v>68</v>
      </c>
      <c r="C3956" s="16" t="str">
        <f>VLOOKUP(Tabela1[[#This Row],[Cliente]],'BASE DE CLIENTES'!A:E,2,0)</f>
        <v>Brasília</v>
      </c>
      <c r="D3956" s="16" t="str">
        <f>VLOOKUP(Tabela1[[#This Row],[Cliente]],'BASE DE CLIENTES'!A:C,3,0)</f>
        <v>DF</v>
      </c>
      <c r="E3956" s="16" t="str">
        <f>CONCATENATE(Tabela1[[#This Row],[CIDADE]],",",Tabela1[[#This Row],[UF]])</f>
        <v>Brasília,DF</v>
      </c>
      <c r="F3956" s="15">
        <v>46029</v>
      </c>
      <c r="G3956">
        <v>377.85</v>
      </c>
      <c r="H3956">
        <v>575</v>
      </c>
      <c r="I3956" s="8">
        <f>Tabela1[[#This Row],[Valor total]]-Tabela1[[#This Row],[Valor custo]]</f>
        <v>197.14999999999998</v>
      </c>
      <c r="J3956" s="18">
        <f>Tabela1[[#This Row],[MARGEM BRUTA]]/Tabela1[[#This Row],[Valor total]]</f>
        <v>0.34286956521739126</v>
      </c>
      <c r="K3956" s="16" t="str">
        <f>VLOOKUP(Tabela1[[#This Row],[Cliente]],'BASE DE CLIENTES'!A:D,4,0)</f>
        <v>EMPRESA COM MAQUINA</v>
      </c>
      <c r="L3956" s="16" t="str">
        <f>VLOOKUP(Tabela1[[#This Row],[Cliente]],'BASE DE CLIENTES'!A:E,5,0)</f>
        <v>SAMAMBAIA SUL (SAMAMBAIA)</v>
      </c>
    </row>
    <row r="3957" spans="1:12" x14ac:dyDescent="0.3">
      <c r="A3957" t="s">
        <v>1094</v>
      </c>
      <c r="B3957" t="s">
        <v>25</v>
      </c>
      <c r="C3957" s="16" t="str">
        <f>VLOOKUP(Tabela1[[#This Row],[Cliente]],'BASE DE CLIENTES'!A:E,2,0)</f>
        <v>Brasília</v>
      </c>
      <c r="D3957" s="16" t="str">
        <f>VLOOKUP(Tabela1[[#This Row],[Cliente]],'BASE DE CLIENTES'!A:C,3,0)</f>
        <v>DF</v>
      </c>
      <c r="E3957" s="16" t="str">
        <f>CONCATENATE(Tabela1[[#This Row],[CIDADE]],",",Tabela1[[#This Row],[UF]])</f>
        <v>Brasília,DF</v>
      </c>
      <c r="F3957" s="15">
        <v>46029</v>
      </c>
      <c r="G3957" s="10">
        <v>7030</v>
      </c>
      <c r="H3957" s="10">
        <v>10690</v>
      </c>
      <c r="I3957" s="8">
        <f>Tabela1[[#This Row],[Valor total]]-Tabela1[[#This Row],[Valor custo]]</f>
        <v>3660</v>
      </c>
      <c r="J3957" s="18">
        <f>Tabela1[[#This Row],[MARGEM BRUTA]]/Tabela1[[#This Row],[Valor total]]</f>
        <v>0.34237605238540691</v>
      </c>
      <c r="K3957" s="16" t="str">
        <f>VLOOKUP(Tabela1[[#This Row],[Cliente]],'BASE DE CLIENTES'!A:D,4,0)</f>
        <v>EMPRESA COM MAQUINA</v>
      </c>
      <c r="L3957" s="16" t="str">
        <f>VLOOKUP(Tabela1[[#This Row],[Cliente]],'BASE DE CLIENTES'!A:E,5,0)</f>
        <v>CEILANDIA NORTE (CEILANDIA)</v>
      </c>
    </row>
    <row r="3958" spans="1:12" x14ac:dyDescent="0.3">
      <c r="A3958" t="s">
        <v>1095</v>
      </c>
      <c r="B3958" t="s">
        <v>232</v>
      </c>
      <c r="C3958" s="16" t="str">
        <f>VLOOKUP(Tabela1[[#This Row],[Cliente]],'BASE DE CLIENTES'!A:E,2,0)</f>
        <v>Brasília</v>
      </c>
      <c r="D3958" s="16" t="str">
        <f>VLOOKUP(Tabela1[[#This Row],[Cliente]],'BASE DE CLIENTES'!A:C,3,0)</f>
        <v>DF</v>
      </c>
      <c r="E3958" s="16" t="str">
        <f>CONCATENATE(Tabela1[[#This Row],[CIDADE]],",",Tabela1[[#This Row],[UF]])</f>
        <v>Brasília,DF</v>
      </c>
      <c r="F3958" s="15">
        <v>46029</v>
      </c>
      <c r="G3958">
        <v>586.26</v>
      </c>
      <c r="H3958">
        <v>900</v>
      </c>
      <c r="I3958" s="8">
        <f>Tabela1[[#This Row],[Valor total]]-Tabela1[[#This Row],[Valor custo]]</f>
        <v>313.74</v>
      </c>
      <c r="J3958" s="18">
        <f>Tabela1[[#This Row],[MARGEM BRUTA]]/Tabela1[[#This Row],[Valor total]]</f>
        <v>0.34860000000000002</v>
      </c>
      <c r="K3958" s="16" t="str">
        <f>VLOOKUP(Tabela1[[#This Row],[Cliente]],'BASE DE CLIENTES'!A:D,4,0)</f>
        <v>CHAVEIRO</v>
      </c>
      <c r="L3958" s="16" t="str">
        <f>VLOOKUP(Tabela1[[#This Row],[Cliente]],'BASE DE CLIENTES'!A:E,5,0)</f>
        <v>Areal (Águas Claras)</v>
      </c>
    </row>
    <row r="3959" spans="1:12" x14ac:dyDescent="0.3">
      <c r="A3959" t="s">
        <v>1096</v>
      </c>
      <c r="B3959" t="s">
        <v>111</v>
      </c>
      <c r="C3959" s="16" t="str">
        <f>VLOOKUP(Tabela1[[#This Row],[Cliente]],'BASE DE CLIENTES'!A:E,2,0)</f>
        <v>Brasília</v>
      </c>
      <c r="D3959" s="16" t="str">
        <f>VLOOKUP(Tabela1[[#This Row],[Cliente]],'BASE DE CLIENTES'!A:C,3,0)</f>
        <v>DF</v>
      </c>
      <c r="E3959" s="16" t="str">
        <f>CONCATENATE(Tabela1[[#This Row],[CIDADE]],",",Tabela1[[#This Row],[UF]])</f>
        <v>Brasília,DF</v>
      </c>
      <c r="F3959" s="15">
        <v>46029</v>
      </c>
      <c r="G3959" s="10">
        <v>2103.12</v>
      </c>
      <c r="H3959" s="10">
        <v>2956</v>
      </c>
      <c r="I3959" s="8">
        <f>Tabela1[[#This Row],[Valor total]]-Tabela1[[#This Row],[Valor custo]]</f>
        <v>852.88000000000011</v>
      </c>
      <c r="J3959" s="18">
        <f>Tabela1[[#This Row],[MARGEM BRUTA]]/Tabela1[[#This Row],[Valor total]]</f>
        <v>0.28852503382949934</v>
      </c>
      <c r="K3959" s="16" t="str">
        <f>VLOOKUP(Tabela1[[#This Row],[Cliente]],'BASE DE CLIENTES'!A:D,4,0)</f>
        <v>EMPRESA SEM MAQUINA</v>
      </c>
      <c r="L3959" s="16" t="str">
        <f>VLOOKUP(Tabela1[[#This Row],[Cliente]],'BASE DE CLIENTES'!A:E,5,0)</f>
        <v>TAGUATINGA SUL (TAGUATINGA)</v>
      </c>
    </row>
    <row r="3960" spans="1:12" x14ac:dyDescent="0.3">
      <c r="A3960" t="s">
        <v>1097</v>
      </c>
      <c r="B3960" t="s">
        <v>152</v>
      </c>
      <c r="C3960" s="16" t="str">
        <f>VLOOKUP(Tabela1[[#This Row],[Cliente]],'BASE DE CLIENTES'!A:E,2,0)</f>
        <v>Aparecida de Goiânia</v>
      </c>
      <c r="D3960" s="16" t="str">
        <f>VLOOKUP(Tabela1[[#This Row],[Cliente]],'BASE DE CLIENTES'!A:C,3,0)</f>
        <v>GO</v>
      </c>
      <c r="E3960" s="16" t="str">
        <f>CONCATENATE(Tabela1[[#This Row],[CIDADE]],",",Tabela1[[#This Row],[UF]])</f>
        <v>Aparecida de Goiânia,GO</v>
      </c>
      <c r="F3960" s="15">
        <v>46029</v>
      </c>
      <c r="G3960" s="10">
        <v>1020.62</v>
      </c>
      <c r="H3960" s="10">
        <v>1500</v>
      </c>
      <c r="I3960" s="8">
        <f>Tabela1[[#This Row],[Valor total]]-Tabela1[[#This Row],[Valor custo]]</f>
        <v>479.38</v>
      </c>
      <c r="J3960" s="18">
        <f>Tabela1[[#This Row],[MARGEM BRUTA]]/Tabela1[[#This Row],[Valor total]]</f>
        <v>0.31958666666666669</v>
      </c>
      <c r="K3960" s="16" t="str">
        <f>VLOOKUP(Tabela1[[#This Row],[Cliente]],'BASE DE CLIENTES'!A:D,4,0)</f>
        <v>TECNICO</v>
      </c>
      <c r="L3960" s="16" t="str">
        <f>VLOOKUP(Tabela1[[#This Row],[Cliente]],'BASE DE CLIENTES'!A:E,5,0)</f>
        <v>Aparecida de Goiânia</v>
      </c>
    </row>
    <row r="3961" spans="1:12" x14ac:dyDescent="0.3">
      <c r="A3961" t="s">
        <v>1098</v>
      </c>
      <c r="B3961" t="s">
        <v>97</v>
      </c>
      <c r="C3961" s="16" t="str">
        <f>VLOOKUP(Tabela1[[#This Row],[Cliente]],'BASE DE CLIENTES'!A:E,2,0)</f>
        <v>Brasília</v>
      </c>
      <c r="D3961" s="16" t="str">
        <f>VLOOKUP(Tabela1[[#This Row],[Cliente]],'BASE DE CLIENTES'!A:C,3,0)</f>
        <v>DF</v>
      </c>
      <c r="E3961" s="16" t="str">
        <f>CONCATENATE(Tabela1[[#This Row],[CIDADE]],",",Tabela1[[#This Row],[UF]])</f>
        <v>Brasília,DF</v>
      </c>
      <c r="F3961" s="15">
        <v>46029</v>
      </c>
      <c r="G3961">
        <v>377.85</v>
      </c>
      <c r="H3961">
        <v>645</v>
      </c>
      <c r="I3961" s="8">
        <f>Tabela1[[#This Row],[Valor total]]-Tabela1[[#This Row],[Valor custo]]</f>
        <v>267.14999999999998</v>
      </c>
      <c r="J3961" s="18">
        <f>Tabela1[[#This Row],[MARGEM BRUTA]]/Tabela1[[#This Row],[Valor total]]</f>
        <v>0.41418604651162788</v>
      </c>
      <c r="K3961" s="16" t="str">
        <f>VLOOKUP(Tabela1[[#This Row],[Cliente]],'BASE DE CLIENTES'!A:D,4,0)</f>
        <v>SERRALHEIRO</v>
      </c>
      <c r="L3961" s="16" t="str">
        <f>VLOOKUP(Tabela1[[#This Row],[Cliente]],'BASE DE CLIENTES'!A:E,5,0)</f>
        <v>CEILANDIA NORTE</v>
      </c>
    </row>
    <row r="3962" spans="1:12" x14ac:dyDescent="0.3">
      <c r="A3962" t="s">
        <v>1099</v>
      </c>
      <c r="B3962" t="s">
        <v>127</v>
      </c>
      <c r="C3962" s="16" t="str">
        <f>VLOOKUP(Tabela1[[#This Row],[Cliente]],'BASE DE CLIENTES'!A:E,2,0)</f>
        <v>Brasília</v>
      </c>
      <c r="D3962" s="16" t="str">
        <f>VLOOKUP(Tabela1[[#This Row],[Cliente]],'BASE DE CLIENTES'!A:C,3,0)</f>
        <v>DF</v>
      </c>
      <c r="E3962" s="16" t="str">
        <f>CONCATENATE(Tabela1[[#This Row],[CIDADE]],",",Tabela1[[#This Row],[UF]])</f>
        <v>Brasília,DF</v>
      </c>
      <c r="F3962" s="15">
        <v>46029</v>
      </c>
      <c r="G3962">
        <v>555.34</v>
      </c>
      <c r="H3962">
        <v>870</v>
      </c>
      <c r="I3962" s="8">
        <f>Tabela1[[#This Row],[Valor total]]-Tabela1[[#This Row],[Valor custo]]</f>
        <v>314.65999999999997</v>
      </c>
      <c r="J3962" s="18">
        <f>Tabela1[[#This Row],[MARGEM BRUTA]]/Tabela1[[#This Row],[Valor total]]</f>
        <v>0.36167816091954019</v>
      </c>
      <c r="K3962" s="16" t="str">
        <f>VLOOKUP(Tabela1[[#This Row],[Cliente]],'BASE DE CLIENTES'!A:D,4,0)</f>
        <v>EMPRESA COM MAQUINA</v>
      </c>
      <c r="L3962" s="16" t="str">
        <f>VLOOKUP(Tabela1[[#This Row],[Cliente]],'BASE DE CLIENTES'!A:E,5,0)</f>
        <v>CEILANDIA SUL (CEILANDIA)</v>
      </c>
    </row>
    <row r="3963" spans="1:12" x14ac:dyDescent="0.3">
      <c r="A3963" t="s">
        <v>1100</v>
      </c>
      <c r="B3963" t="s">
        <v>232</v>
      </c>
      <c r="C3963" s="16" t="str">
        <f>VLOOKUP(Tabela1[[#This Row],[Cliente]],'BASE DE CLIENTES'!A:E,2,0)</f>
        <v>Brasília</v>
      </c>
      <c r="D3963" s="16" t="str">
        <f>VLOOKUP(Tabela1[[#This Row],[Cliente]],'BASE DE CLIENTES'!A:C,3,0)</f>
        <v>DF</v>
      </c>
      <c r="E3963" s="16" t="str">
        <f>CONCATENATE(Tabela1[[#This Row],[CIDADE]],",",Tabela1[[#This Row],[UF]])</f>
        <v>Brasília,DF</v>
      </c>
      <c r="F3963" s="15">
        <v>46028</v>
      </c>
      <c r="G3963">
        <v>293.13</v>
      </c>
      <c r="H3963">
        <v>400</v>
      </c>
      <c r="I3963" s="8">
        <f>Tabela1[[#This Row],[Valor total]]-Tabela1[[#This Row],[Valor custo]]</f>
        <v>106.87</v>
      </c>
      <c r="J3963" s="18">
        <f>Tabela1[[#This Row],[MARGEM BRUTA]]/Tabela1[[#This Row],[Valor total]]</f>
        <v>0.267175</v>
      </c>
      <c r="K3963" s="16" t="str">
        <f>VLOOKUP(Tabela1[[#This Row],[Cliente]],'BASE DE CLIENTES'!A:D,4,0)</f>
        <v>CHAVEIRO</v>
      </c>
      <c r="L3963" s="16" t="str">
        <f>VLOOKUP(Tabela1[[#This Row],[Cliente]],'BASE DE CLIENTES'!A:E,5,0)</f>
        <v>Areal (Águas Claras)</v>
      </c>
    </row>
    <row r="3964" spans="1:12" x14ac:dyDescent="0.3">
      <c r="A3964" t="s">
        <v>1101</v>
      </c>
      <c r="B3964" t="s">
        <v>355</v>
      </c>
      <c r="C3964" s="16" t="str">
        <f>VLOOKUP(Tabela1[[#This Row],[Cliente]],'BASE DE CLIENTES'!A:E,2,0)</f>
        <v>Valparaíso de Goiás</v>
      </c>
      <c r="D3964" s="16" t="str">
        <f>VLOOKUP(Tabela1[[#This Row],[Cliente]],'BASE DE CLIENTES'!A:C,3,0)</f>
        <v>GO</v>
      </c>
      <c r="E3964" s="16" t="str">
        <f>CONCATENATE(Tabela1[[#This Row],[CIDADE]],",",Tabela1[[#This Row],[UF]])</f>
        <v>Valparaíso de Goiás,GO</v>
      </c>
      <c r="F3964" s="15">
        <v>46028</v>
      </c>
      <c r="G3964" s="10">
        <v>1530.93</v>
      </c>
      <c r="H3964" s="10">
        <v>2400</v>
      </c>
      <c r="I3964" s="8">
        <f>Tabela1[[#This Row],[Valor total]]-Tabela1[[#This Row],[Valor custo]]</f>
        <v>869.06999999999994</v>
      </c>
      <c r="J3964" s="18">
        <f>Tabela1[[#This Row],[MARGEM BRUTA]]/Tabela1[[#This Row],[Valor total]]</f>
        <v>0.36211249999999995</v>
      </c>
      <c r="K3964" s="16" t="str">
        <f>VLOOKUP(Tabela1[[#This Row],[Cliente]],'BASE DE CLIENTES'!A:D,4,0)</f>
        <v>CLIENTE NOVO S/ IDENT.</v>
      </c>
      <c r="L3964" s="16" t="str">
        <f>VLOOKUP(Tabela1[[#This Row],[Cliente]],'BASE DE CLIENTES'!A:E,5,0)</f>
        <v>Valparaíso de Goiás</v>
      </c>
    </row>
    <row r="3965" spans="1:12" x14ac:dyDescent="0.3">
      <c r="A3965" t="s">
        <v>1102</v>
      </c>
      <c r="B3965" t="s">
        <v>230</v>
      </c>
      <c r="C3965" s="16" t="str">
        <f>VLOOKUP(Tabela1[[#This Row],[Cliente]],'BASE DE CLIENTES'!A:E,2,0)</f>
        <v>Brasília</v>
      </c>
      <c r="D3965" s="16" t="str">
        <f>VLOOKUP(Tabela1[[#This Row],[Cliente]],'BASE DE CLIENTES'!A:C,3,0)</f>
        <v>DF</v>
      </c>
      <c r="E3965" s="16" t="str">
        <f>CONCATENATE(Tabela1[[#This Row],[CIDADE]],",",Tabela1[[#This Row],[UF]])</f>
        <v>Brasília,DF</v>
      </c>
      <c r="F3965" s="15">
        <v>46028</v>
      </c>
      <c r="G3965">
        <v>52.57</v>
      </c>
      <c r="H3965">
        <v>200</v>
      </c>
      <c r="I3965" s="8">
        <f>Tabela1[[#This Row],[Valor total]]-Tabela1[[#This Row],[Valor custo]]</f>
        <v>147.43</v>
      </c>
      <c r="J3965" s="18">
        <f>Tabela1[[#This Row],[MARGEM BRUTA]]/Tabela1[[#This Row],[Valor total]]</f>
        <v>0.73715000000000008</v>
      </c>
      <c r="K3965" s="16" t="str">
        <f>VLOOKUP(Tabela1[[#This Row],[Cliente]],'BASE DE CLIENTES'!A:D,4,0)</f>
        <v>SERRALHEIRO</v>
      </c>
      <c r="L3965" s="16" t="str">
        <f>VLOOKUP(Tabela1[[#This Row],[Cliente]],'BASE DE CLIENTES'!A:E,5,0)</f>
        <v>SETOR HABITACIONAL SAMAMBAIA (VICENTE PIRES)</v>
      </c>
    </row>
    <row r="3966" spans="1:12" x14ac:dyDescent="0.3">
      <c r="A3966" t="s">
        <v>1103</v>
      </c>
      <c r="B3966" t="s">
        <v>297</v>
      </c>
      <c r="C3966" s="16" t="str">
        <f>VLOOKUP(Tabela1[[#This Row],[Cliente]],'BASE DE CLIENTES'!A:E,2,0)</f>
        <v>Brasília</v>
      </c>
      <c r="D3966" s="16" t="str">
        <f>VLOOKUP(Tabela1[[#This Row],[Cliente]],'BASE DE CLIENTES'!A:C,3,0)</f>
        <v>DF</v>
      </c>
      <c r="E3966" s="16" t="str">
        <f>CONCATENATE(Tabela1[[#This Row],[CIDADE]],",",Tabela1[[#This Row],[UF]])</f>
        <v>Brasília,DF</v>
      </c>
      <c r="F3966" s="15">
        <v>46028</v>
      </c>
      <c r="G3966">
        <v>300.18</v>
      </c>
      <c r="H3966">
        <v>580</v>
      </c>
      <c r="I3966" s="8">
        <f>Tabela1[[#This Row],[Valor total]]-Tabela1[[#This Row],[Valor custo]]</f>
        <v>279.82</v>
      </c>
      <c r="J3966" s="18">
        <f>Tabela1[[#This Row],[MARGEM BRUTA]]/Tabela1[[#This Row],[Valor total]]</f>
        <v>0.48244827586206895</v>
      </c>
      <c r="K3966" s="16" t="str">
        <f>VLOOKUP(Tabela1[[#This Row],[Cliente]],'BASE DE CLIENTES'!A:D,4,0)</f>
        <v>SERRALHEIRO</v>
      </c>
      <c r="L3966" s="16" t="str">
        <f>VLOOKUP(Tabela1[[#This Row],[Cliente]],'BASE DE CLIENTES'!A:E,5,0)</f>
        <v>NA</v>
      </c>
    </row>
    <row r="3967" spans="1:12" x14ac:dyDescent="0.3">
      <c r="A3967" t="s">
        <v>1104</v>
      </c>
      <c r="B3967" t="s">
        <v>142</v>
      </c>
      <c r="C3967" s="16" t="str">
        <f>VLOOKUP(Tabela1[[#This Row],[Cliente]],'BASE DE CLIENTES'!A:E,2,0)</f>
        <v>Brasília</v>
      </c>
      <c r="D3967" s="16" t="str">
        <f>VLOOKUP(Tabela1[[#This Row],[Cliente]],'BASE DE CLIENTES'!A:C,3,0)</f>
        <v>DF</v>
      </c>
      <c r="E3967" s="16" t="str">
        <f>CONCATENATE(Tabela1[[#This Row],[CIDADE]],",",Tabela1[[#This Row],[UF]])</f>
        <v>Brasília,DF</v>
      </c>
      <c r="F3967" s="15">
        <v>46028</v>
      </c>
      <c r="G3967">
        <v>22.53</v>
      </c>
      <c r="H3967">
        <v>105</v>
      </c>
      <c r="I3967" s="8">
        <f>Tabela1[[#This Row],[Valor total]]-Tabela1[[#This Row],[Valor custo]]</f>
        <v>82.47</v>
      </c>
      <c r="J3967" s="18">
        <f>Tabela1[[#This Row],[MARGEM BRUTA]]/Tabela1[[#This Row],[Valor total]]</f>
        <v>0.78542857142857136</v>
      </c>
      <c r="K3967" s="16" t="str">
        <f>VLOOKUP(Tabela1[[#This Row],[Cliente]],'BASE DE CLIENTES'!A:D,4,0)</f>
        <v>OUTROS RAMOS</v>
      </c>
      <c r="L3967" s="16" t="str">
        <f>VLOOKUP(Tabela1[[#This Row],[Cliente]],'BASE DE CLIENTES'!A:E,5,0)</f>
        <v>RIACHO FUNDO II</v>
      </c>
    </row>
    <row r="3968" spans="1:12" x14ac:dyDescent="0.3">
      <c r="A3968" t="s">
        <v>1105</v>
      </c>
      <c r="B3968" t="s">
        <v>205</v>
      </c>
      <c r="C3968" s="16" t="str">
        <f>VLOOKUP(Tabela1[[#This Row],[Cliente]],'BASE DE CLIENTES'!A:E,2,0)</f>
        <v>Brasília</v>
      </c>
      <c r="D3968" s="16" t="str">
        <f>VLOOKUP(Tabela1[[#This Row],[Cliente]],'BASE DE CLIENTES'!A:C,3,0)</f>
        <v>DF</v>
      </c>
      <c r="E3968" s="16" t="str">
        <f>CONCATENATE(Tabela1[[#This Row],[CIDADE]],",",Tabela1[[#This Row],[UF]])</f>
        <v>Brasília,DF</v>
      </c>
      <c r="F3968" s="15">
        <v>46028</v>
      </c>
      <c r="G3968">
        <v>751</v>
      </c>
      <c r="H3968" s="10">
        <v>1700</v>
      </c>
      <c r="I3968" s="8">
        <f>Tabela1[[#This Row],[Valor total]]-Tabela1[[#This Row],[Valor custo]]</f>
        <v>949</v>
      </c>
      <c r="J3968" s="18">
        <f>Tabela1[[#This Row],[MARGEM BRUTA]]/Tabela1[[#This Row],[Valor total]]</f>
        <v>0.55823529411764705</v>
      </c>
      <c r="K3968" s="16" t="str">
        <f>VLOOKUP(Tabela1[[#This Row],[Cliente]],'BASE DE CLIENTES'!A:D,4,0)</f>
        <v>PRODUTOS ELETRONICOS</v>
      </c>
      <c r="L3968" s="16" t="str">
        <f>VLOOKUP(Tabela1[[#This Row],[Cliente]],'BASE DE CLIENTES'!A:E,5,0)</f>
        <v>AREAL (AGUAS CLARAS)</v>
      </c>
    </row>
    <row r="3969" spans="1:12" x14ac:dyDescent="0.3">
      <c r="A3969" t="s">
        <v>1106</v>
      </c>
      <c r="B3969" t="s">
        <v>112</v>
      </c>
      <c r="C3969" s="16" t="str">
        <f>VLOOKUP(Tabela1[[#This Row],[Cliente]],'BASE DE CLIENTES'!A:E,2,0)</f>
        <v>Brasília</v>
      </c>
      <c r="D3969" s="16" t="str">
        <f>VLOOKUP(Tabela1[[#This Row],[Cliente]],'BASE DE CLIENTES'!A:C,3,0)</f>
        <v>DF</v>
      </c>
      <c r="E3969" s="16" t="str">
        <f>CONCATENATE(Tabela1[[#This Row],[CIDADE]],",",Tabela1[[#This Row],[UF]])</f>
        <v>Brasília,DF</v>
      </c>
      <c r="F3969" s="15">
        <v>46028</v>
      </c>
      <c r="G3969">
        <v>40</v>
      </c>
      <c r="H3969">
        <v>80</v>
      </c>
      <c r="I3969" s="8">
        <f>Tabela1[[#This Row],[Valor total]]-Tabela1[[#This Row],[Valor custo]]</f>
        <v>40</v>
      </c>
      <c r="J3969" s="18">
        <f>Tabela1[[#This Row],[MARGEM BRUTA]]/Tabela1[[#This Row],[Valor total]]</f>
        <v>0.5</v>
      </c>
      <c r="K3969" s="16" t="str">
        <f>VLOOKUP(Tabela1[[#This Row],[Cliente]],'BASE DE CLIENTES'!A:D,4,0)</f>
        <v>SERRALHEIRO</v>
      </c>
      <c r="L3969" s="16" t="str">
        <f>VLOOKUP(Tabela1[[#This Row],[Cliente]],'BASE DE CLIENTES'!A:E,5,0)</f>
        <v>RIACHO FUNDO I</v>
      </c>
    </row>
    <row r="3970" spans="1:12" x14ac:dyDescent="0.3">
      <c r="A3970" t="s">
        <v>1107</v>
      </c>
      <c r="B3970" t="s">
        <v>161</v>
      </c>
      <c r="C3970" s="16" t="str">
        <f>VLOOKUP(Tabela1[[#This Row],[Cliente]],'BASE DE CLIENTES'!A:E,2,0)</f>
        <v>Brasília</v>
      </c>
      <c r="D3970" s="16" t="str">
        <f>VLOOKUP(Tabela1[[#This Row],[Cliente]],'BASE DE CLIENTES'!A:C,3,0)</f>
        <v>DF</v>
      </c>
      <c r="E3970" s="16" t="str">
        <f>CONCATENATE(Tabela1[[#This Row],[CIDADE]],",",Tabela1[[#This Row],[UF]])</f>
        <v>Brasília,DF</v>
      </c>
      <c r="F3970" s="15">
        <v>46028</v>
      </c>
      <c r="G3970" s="10">
        <v>3182.47</v>
      </c>
      <c r="H3970" s="10">
        <v>5250</v>
      </c>
      <c r="I3970" s="8">
        <f>Tabela1[[#This Row],[Valor total]]-Tabela1[[#This Row],[Valor custo]]</f>
        <v>2067.5300000000002</v>
      </c>
      <c r="J3970" s="18">
        <f>Tabela1[[#This Row],[MARGEM BRUTA]]/Tabela1[[#This Row],[Valor total]]</f>
        <v>0.39381523809523811</v>
      </c>
      <c r="K3970" s="16" t="str">
        <f>VLOOKUP(Tabela1[[#This Row],[Cliente]],'BASE DE CLIENTES'!A:D,4,0)</f>
        <v>EMPRESA COM MAQUINA</v>
      </c>
      <c r="L3970" s="16" t="str">
        <f>VLOOKUP(Tabela1[[#This Row],[Cliente]],'BASE DE CLIENTES'!A:E,5,0)</f>
        <v>RIACHO FUNDO II</v>
      </c>
    </row>
    <row r="3971" spans="1:12" x14ac:dyDescent="0.3">
      <c r="A3971" t="s">
        <v>1108</v>
      </c>
      <c r="B3971" t="s">
        <v>36</v>
      </c>
      <c r="C3971" s="16" t="str">
        <f>VLOOKUP(Tabela1[[#This Row],[Cliente]],'BASE DE CLIENTES'!A:E,2,0)</f>
        <v>Brasília</v>
      </c>
      <c r="D3971" s="16" t="str">
        <f>VLOOKUP(Tabela1[[#This Row],[Cliente]],'BASE DE CLIENTES'!A:C,3,0)</f>
        <v>DF</v>
      </c>
      <c r="E3971" s="16" t="str">
        <f>CONCATENATE(Tabela1[[#This Row],[CIDADE]],",",Tabela1[[#This Row],[UF]])</f>
        <v>Brasília,DF</v>
      </c>
      <c r="F3971" s="15">
        <v>46028</v>
      </c>
      <c r="G3971">
        <v>7.51</v>
      </c>
      <c r="H3971">
        <v>35</v>
      </c>
      <c r="I3971" s="8">
        <f>Tabela1[[#This Row],[Valor total]]-Tabela1[[#This Row],[Valor custo]]</f>
        <v>27.490000000000002</v>
      </c>
      <c r="J3971" s="18">
        <f>Tabela1[[#This Row],[MARGEM BRUTA]]/Tabela1[[#This Row],[Valor total]]</f>
        <v>0.78542857142857148</v>
      </c>
      <c r="K3971" s="16" t="str">
        <f>VLOOKUP(Tabela1[[#This Row],[Cliente]],'BASE DE CLIENTES'!A:D,4,0)</f>
        <v>SERRALHEIRO</v>
      </c>
      <c r="L3971" s="16" t="str">
        <f>VLOOKUP(Tabela1[[#This Row],[Cliente]],'BASE DE CLIENTES'!A:E,5,0)</f>
        <v>CEILANDIA SUL (CEILANDIA)</v>
      </c>
    </row>
    <row r="3972" spans="1:12" x14ac:dyDescent="0.3">
      <c r="A3972" t="s">
        <v>1109</v>
      </c>
      <c r="B3972" t="s">
        <v>27</v>
      </c>
      <c r="C3972" s="16" t="str">
        <f>VLOOKUP(Tabela1[[#This Row],[Cliente]],'BASE DE CLIENTES'!A:E,2,0)</f>
        <v>Brasília</v>
      </c>
      <c r="D3972" s="16" t="str">
        <f>VLOOKUP(Tabela1[[#This Row],[Cliente]],'BASE DE CLIENTES'!A:C,3,0)</f>
        <v>DF</v>
      </c>
      <c r="E3972" s="16" t="str">
        <f>CONCATENATE(Tabela1[[#This Row],[CIDADE]],",",Tabela1[[#This Row],[UF]])</f>
        <v>Brasília,DF</v>
      </c>
      <c r="F3972" s="15">
        <v>46028</v>
      </c>
      <c r="G3972">
        <v>472.79</v>
      </c>
      <c r="H3972">
        <v>600</v>
      </c>
      <c r="I3972" s="8">
        <f>Tabela1[[#This Row],[Valor total]]-Tabela1[[#This Row],[Valor custo]]</f>
        <v>127.20999999999998</v>
      </c>
      <c r="J3972" s="18">
        <f>Tabela1[[#This Row],[MARGEM BRUTA]]/Tabela1[[#This Row],[Valor total]]</f>
        <v>0.21201666666666663</v>
      </c>
      <c r="K3972" s="16" t="str">
        <f>VLOOKUP(Tabela1[[#This Row],[Cliente]],'BASE DE CLIENTES'!A:D,4,0)</f>
        <v>EMPRESA SEM MAQUINA</v>
      </c>
      <c r="L3972" s="16" t="str">
        <f>VLOOKUP(Tabela1[[#This Row],[Cliente]],'BASE DE CLIENTES'!A:E,5,0)</f>
        <v>RECANTO DAS EMAS</v>
      </c>
    </row>
    <row r="3973" spans="1:12" x14ac:dyDescent="0.3">
      <c r="A3973" t="s">
        <v>1110</v>
      </c>
      <c r="B3973" t="s">
        <v>767</v>
      </c>
      <c r="C3973" s="16" t="str">
        <f>VLOOKUP(Tabela1[[#This Row],[Cliente]],'BASE DE CLIENTES'!A:E,2,0)</f>
        <v>Catalão</v>
      </c>
      <c r="D3973" s="16" t="str">
        <f>VLOOKUP(Tabela1[[#This Row],[Cliente]],'BASE DE CLIENTES'!A:C,3,0)</f>
        <v>GO</v>
      </c>
      <c r="E3973" s="16" t="str">
        <f>CONCATENATE(Tabela1[[#This Row],[CIDADE]],",",Tabela1[[#This Row],[UF]])</f>
        <v>Catalão,GO</v>
      </c>
      <c r="F3973" s="15">
        <v>46028</v>
      </c>
      <c r="G3973">
        <v>146.12</v>
      </c>
      <c r="H3973">
        <v>475</v>
      </c>
      <c r="I3973" s="8">
        <f>Tabela1[[#This Row],[Valor total]]-Tabela1[[#This Row],[Valor custo]]</f>
        <v>328.88</v>
      </c>
      <c r="J3973" s="18">
        <f>Tabela1[[#This Row],[MARGEM BRUTA]]/Tabela1[[#This Row],[Valor total]]</f>
        <v>0.69237894736842109</v>
      </c>
      <c r="K3973" s="16" t="str">
        <f>VLOOKUP(Tabela1[[#This Row],[Cliente]],'BASE DE CLIENTES'!A:D,4,0)</f>
        <v>CLIENTE NOVO S/ IDENT.</v>
      </c>
      <c r="L3973" s="16" t="str">
        <f>VLOOKUP(Tabela1[[#This Row],[Cliente]],'BASE DE CLIENTES'!A:E,5,0)</f>
        <v>Catalão</v>
      </c>
    </row>
    <row r="3974" spans="1:12" x14ac:dyDescent="0.3">
      <c r="A3974" t="s">
        <v>1111</v>
      </c>
      <c r="B3974" t="s">
        <v>152</v>
      </c>
      <c r="C3974" s="16" t="str">
        <f>VLOOKUP(Tabela1[[#This Row],[Cliente]],'BASE DE CLIENTES'!A:E,2,0)</f>
        <v>Aparecida de Goiânia</v>
      </c>
      <c r="D3974" s="16" t="str">
        <f>VLOOKUP(Tabela1[[#This Row],[Cliente]],'BASE DE CLIENTES'!A:C,3,0)</f>
        <v>GO</v>
      </c>
      <c r="E3974" s="16" t="str">
        <f>CONCATENATE(Tabela1[[#This Row],[CIDADE]],",",Tabela1[[#This Row],[UF]])</f>
        <v>Aparecida de Goiânia,GO</v>
      </c>
      <c r="F3974" s="15">
        <v>46028</v>
      </c>
      <c r="G3974">
        <v>91.5</v>
      </c>
      <c r="H3974">
        <v>120</v>
      </c>
      <c r="I3974" s="8">
        <f>Tabela1[[#This Row],[Valor total]]-Tabela1[[#This Row],[Valor custo]]</f>
        <v>28.5</v>
      </c>
      <c r="J3974" s="18">
        <f>Tabela1[[#This Row],[MARGEM BRUTA]]/Tabela1[[#This Row],[Valor total]]</f>
        <v>0.23749999999999999</v>
      </c>
      <c r="K3974" s="16" t="str">
        <f>VLOOKUP(Tabela1[[#This Row],[Cliente]],'BASE DE CLIENTES'!A:D,4,0)</f>
        <v>TECNICO</v>
      </c>
      <c r="L3974" s="16" t="str">
        <f>VLOOKUP(Tabela1[[#This Row],[Cliente]],'BASE DE CLIENTES'!A:E,5,0)</f>
        <v>Aparecida de Goiânia</v>
      </c>
    </row>
    <row r="3975" spans="1:12" x14ac:dyDescent="0.3">
      <c r="A3975" t="s">
        <v>1112</v>
      </c>
      <c r="B3975" t="s">
        <v>112</v>
      </c>
      <c r="C3975" s="16" t="str">
        <f>VLOOKUP(Tabela1[[#This Row],[Cliente]],'BASE DE CLIENTES'!A:E,2,0)</f>
        <v>Brasília</v>
      </c>
      <c r="D3975" s="16" t="str">
        <f>VLOOKUP(Tabela1[[#This Row],[Cliente]],'BASE DE CLIENTES'!A:C,3,0)</f>
        <v>DF</v>
      </c>
      <c r="E3975" s="16" t="str">
        <f>CONCATENATE(Tabela1[[#This Row],[CIDADE]],",",Tabela1[[#This Row],[UF]])</f>
        <v>Brasília,DF</v>
      </c>
      <c r="F3975" s="15">
        <v>46028</v>
      </c>
      <c r="G3975">
        <v>450.27</v>
      </c>
      <c r="H3975">
        <v>700</v>
      </c>
      <c r="I3975" s="8">
        <f>Tabela1[[#This Row],[Valor total]]-Tabela1[[#This Row],[Valor custo]]</f>
        <v>249.73000000000002</v>
      </c>
      <c r="J3975" s="18">
        <f>Tabela1[[#This Row],[MARGEM BRUTA]]/Tabela1[[#This Row],[Valor total]]</f>
        <v>0.35675714285714288</v>
      </c>
      <c r="K3975" s="16" t="str">
        <f>VLOOKUP(Tabela1[[#This Row],[Cliente]],'BASE DE CLIENTES'!A:D,4,0)</f>
        <v>SERRALHEIRO</v>
      </c>
      <c r="L3975" s="16" t="str">
        <f>VLOOKUP(Tabela1[[#This Row],[Cliente]],'BASE DE CLIENTES'!A:E,5,0)</f>
        <v>RIACHO FUNDO I</v>
      </c>
    </row>
    <row r="3976" spans="1:12" x14ac:dyDescent="0.3">
      <c r="A3976" t="s">
        <v>1113</v>
      </c>
      <c r="B3976" t="s">
        <v>99</v>
      </c>
      <c r="C3976" s="16" t="str">
        <f>VLOOKUP(Tabela1[[#This Row],[Cliente]],'BASE DE CLIENTES'!A:E,2,0)</f>
        <v>Brasília</v>
      </c>
      <c r="D3976" s="16" t="str">
        <f>VLOOKUP(Tabela1[[#This Row],[Cliente]],'BASE DE CLIENTES'!A:C,3,0)</f>
        <v>DF</v>
      </c>
      <c r="E3976" s="16" t="str">
        <f>CONCATENATE(Tabela1[[#This Row],[CIDADE]],",",Tabela1[[#This Row],[UF]])</f>
        <v>Brasília,DF</v>
      </c>
      <c r="F3976" s="15">
        <v>46028</v>
      </c>
      <c r="G3976" s="10">
        <v>3953.13</v>
      </c>
      <c r="H3976" s="10">
        <v>6205</v>
      </c>
      <c r="I3976" s="8">
        <f>Tabela1[[#This Row],[Valor total]]-Tabela1[[#This Row],[Valor custo]]</f>
        <v>2251.87</v>
      </c>
      <c r="J3976" s="18">
        <f>Tabela1[[#This Row],[MARGEM BRUTA]]/Tabela1[[#This Row],[Valor total]]</f>
        <v>0.3629121676067687</v>
      </c>
      <c r="K3976" s="16" t="str">
        <f>VLOOKUP(Tabela1[[#This Row],[Cliente]],'BASE DE CLIENTES'!A:D,4,0)</f>
        <v>EMPRESA COM MAQUINA</v>
      </c>
      <c r="L3976" s="16" t="str">
        <f>VLOOKUP(Tabela1[[#This Row],[Cliente]],'BASE DE CLIENTES'!A:E,5,0)</f>
        <v>ARAPOANGA (PLANALTINA)</v>
      </c>
    </row>
    <row r="3977" spans="1:12" x14ac:dyDescent="0.3">
      <c r="A3977" t="s">
        <v>1114</v>
      </c>
      <c r="B3977" t="s">
        <v>106</v>
      </c>
      <c r="C3977" s="16" t="str">
        <f>VLOOKUP(Tabela1[[#This Row],[Cliente]],'BASE DE CLIENTES'!A:E,2,0)</f>
        <v>Brasília</v>
      </c>
      <c r="D3977" s="16" t="str">
        <f>VLOOKUP(Tabela1[[#This Row],[Cliente]],'BASE DE CLIENTES'!A:C,3,0)</f>
        <v>DF</v>
      </c>
      <c r="E3977" s="16" t="str">
        <f>CONCATENATE(Tabela1[[#This Row],[CIDADE]],",",Tabela1[[#This Row],[UF]])</f>
        <v>Brasília,DF</v>
      </c>
      <c r="F3977" s="15">
        <v>46028</v>
      </c>
      <c r="G3977">
        <v>56.28</v>
      </c>
      <c r="H3977">
        <v>180</v>
      </c>
      <c r="I3977" s="8">
        <f>Tabela1[[#This Row],[Valor total]]-Tabela1[[#This Row],[Valor custo]]</f>
        <v>123.72</v>
      </c>
      <c r="J3977" s="18">
        <f>Tabela1[[#This Row],[MARGEM BRUTA]]/Tabela1[[#This Row],[Valor total]]</f>
        <v>0.68733333333333335</v>
      </c>
      <c r="K3977" s="16" t="str">
        <f>VLOOKUP(Tabela1[[#This Row],[Cliente]],'BASE DE CLIENTES'!A:D,4,0)</f>
        <v>EMPRESA COM MAQUINA</v>
      </c>
      <c r="L3977" s="16" t="str">
        <f>VLOOKUP(Tabela1[[#This Row],[Cliente]],'BASE DE CLIENTES'!A:E,5,0)</f>
        <v>26 DE SETEMBRO</v>
      </c>
    </row>
    <row r="3978" spans="1:12" x14ac:dyDescent="0.3">
      <c r="A3978" t="s">
        <v>1115</v>
      </c>
      <c r="B3978" t="s">
        <v>19</v>
      </c>
      <c r="C3978" s="16" t="str">
        <f>VLOOKUP(Tabela1[[#This Row],[Cliente]],'BASE DE CLIENTES'!A:E,2,0)</f>
        <v>Águas Lindas de Goiás</v>
      </c>
      <c r="D3978" s="16" t="str">
        <f>VLOOKUP(Tabela1[[#This Row],[Cliente]],'BASE DE CLIENTES'!A:C,3,0)</f>
        <v>GO</v>
      </c>
      <c r="E3978" s="16" t="str">
        <f>CONCATENATE(Tabela1[[#This Row],[CIDADE]],",",Tabela1[[#This Row],[UF]])</f>
        <v>Águas Lindas de Goiás,GO</v>
      </c>
      <c r="F3978" s="15">
        <v>46028</v>
      </c>
      <c r="G3978">
        <v>377.85</v>
      </c>
      <c r="H3978">
        <v>645</v>
      </c>
      <c r="I3978" s="8">
        <f>Tabela1[[#This Row],[Valor total]]-Tabela1[[#This Row],[Valor custo]]</f>
        <v>267.14999999999998</v>
      </c>
      <c r="J3978" s="18">
        <f>Tabela1[[#This Row],[MARGEM BRUTA]]/Tabela1[[#This Row],[Valor total]]</f>
        <v>0.41418604651162788</v>
      </c>
      <c r="K3978" s="16" t="str">
        <f>VLOOKUP(Tabela1[[#This Row],[Cliente]],'BASE DE CLIENTES'!A:D,4,0)</f>
        <v>SERRALHEIRO</v>
      </c>
      <c r="L3978" s="16" t="str">
        <f>VLOOKUP(Tabela1[[#This Row],[Cliente]],'BASE DE CLIENTES'!A:E,5,0)</f>
        <v>Águas Lindas de Goiás</v>
      </c>
    </row>
    <row r="3979" spans="1:12" x14ac:dyDescent="0.3">
      <c r="A3979" t="s">
        <v>1116</v>
      </c>
      <c r="B3979" t="s">
        <v>152</v>
      </c>
      <c r="C3979" s="16" t="str">
        <f>VLOOKUP(Tabela1[[#This Row],[Cliente]],'BASE DE CLIENTES'!A:E,2,0)</f>
        <v>Aparecida de Goiânia</v>
      </c>
      <c r="D3979" s="16" t="str">
        <f>VLOOKUP(Tabela1[[#This Row],[Cliente]],'BASE DE CLIENTES'!A:C,3,0)</f>
        <v>GO</v>
      </c>
      <c r="E3979" s="16" t="str">
        <f>CONCATENATE(Tabela1[[#This Row],[CIDADE]],",",Tabela1[[#This Row],[UF]])</f>
        <v>Aparecida de Goiânia,GO</v>
      </c>
      <c r="F3979" s="15">
        <v>46028</v>
      </c>
      <c r="G3979">
        <v>510.31</v>
      </c>
      <c r="H3979">
        <v>750</v>
      </c>
      <c r="I3979" s="8">
        <f>Tabela1[[#This Row],[Valor total]]-Tabela1[[#This Row],[Valor custo]]</f>
        <v>239.69</v>
      </c>
      <c r="J3979" s="18">
        <f>Tabela1[[#This Row],[MARGEM BRUTA]]/Tabela1[[#This Row],[Valor total]]</f>
        <v>0.31958666666666669</v>
      </c>
      <c r="K3979" s="16" t="str">
        <f>VLOOKUP(Tabela1[[#This Row],[Cliente]],'BASE DE CLIENTES'!A:D,4,0)</f>
        <v>TECNICO</v>
      </c>
      <c r="L3979" s="16" t="str">
        <f>VLOOKUP(Tabela1[[#This Row],[Cliente]],'BASE DE CLIENTES'!A:E,5,0)</f>
        <v>Aparecida de Goiânia</v>
      </c>
    </row>
    <row r="3980" spans="1:12" x14ac:dyDescent="0.3">
      <c r="A3980" t="s">
        <v>1117</v>
      </c>
      <c r="B3980" t="s">
        <v>152</v>
      </c>
      <c r="C3980" s="16" t="str">
        <f>VLOOKUP(Tabela1[[#This Row],[Cliente]],'BASE DE CLIENTES'!A:E,2,0)</f>
        <v>Aparecida de Goiânia</v>
      </c>
      <c r="D3980" s="16" t="str">
        <f>VLOOKUP(Tabela1[[#This Row],[Cliente]],'BASE DE CLIENTES'!A:C,3,0)</f>
        <v>GO</v>
      </c>
      <c r="E3980" s="16" t="str">
        <f>CONCATENATE(Tabela1[[#This Row],[CIDADE]],",",Tabela1[[#This Row],[UF]])</f>
        <v>Aparecida de Goiânia,GO</v>
      </c>
      <c r="F3980" s="15">
        <v>46028</v>
      </c>
      <c r="G3980">
        <v>300.18</v>
      </c>
      <c r="H3980">
        <v>500</v>
      </c>
      <c r="I3980" s="8">
        <f>Tabela1[[#This Row],[Valor total]]-Tabela1[[#This Row],[Valor custo]]</f>
        <v>199.82</v>
      </c>
      <c r="J3980" s="18">
        <f>Tabela1[[#This Row],[MARGEM BRUTA]]/Tabela1[[#This Row],[Valor total]]</f>
        <v>0.39964</v>
      </c>
      <c r="K3980" s="16" t="str">
        <f>VLOOKUP(Tabela1[[#This Row],[Cliente]],'BASE DE CLIENTES'!A:D,4,0)</f>
        <v>TECNICO</v>
      </c>
      <c r="L3980" s="16" t="str">
        <f>VLOOKUP(Tabela1[[#This Row],[Cliente]],'BASE DE CLIENTES'!A:E,5,0)</f>
        <v>Aparecida de Goiânia</v>
      </c>
    </row>
    <row r="3981" spans="1:12" x14ac:dyDescent="0.3">
      <c r="A3981" t="s">
        <v>1118</v>
      </c>
      <c r="B3981" t="s">
        <v>68</v>
      </c>
      <c r="C3981" s="16" t="str">
        <f>VLOOKUP(Tabela1[[#This Row],[Cliente]],'BASE DE CLIENTES'!A:E,2,0)</f>
        <v>Brasília</v>
      </c>
      <c r="D3981" s="16" t="str">
        <f>VLOOKUP(Tabela1[[#This Row],[Cliente]],'BASE DE CLIENTES'!A:C,3,0)</f>
        <v>DF</v>
      </c>
      <c r="E3981" s="16" t="str">
        <f>CONCATENATE(Tabela1[[#This Row],[CIDADE]],",",Tabela1[[#This Row],[UF]])</f>
        <v>Brasília,DF</v>
      </c>
      <c r="F3981" s="15">
        <v>46028</v>
      </c>
      <c r="G3981">
        <v>835</v>
      </c>
      <c r="H3981" s="10">
        <v>1025</v>
      </c>
      <c r="I3981" s="8">
        <f>Tabela1[[#This Row],[Valor total]]-Tabela1[[#This Row],[Valor custo]]</f>
        <v>190</v>
      </c>
      <c r="J3981" s="18">
        <f>Tabela1[[#This Row],[MARGEM BRUTA]]/Tabela1[[#This Row],[Valor total]]</f>
        <v>0.18536585365853658</v>
      </c>
      <c r="K3981" s="16" t="str">
        <f>VLOOKUP(Tabela1[[#This Row],[Cliente]],'BASE DE CLIENTES'!A:D,4,0)</f>
        <v>EMPRESA COM MAQUINA</v>
      </c>
      <c r="L3981" s="16" t="str">
        <f>VLOOKUP(Tabela1[[#This Row],[Cliente]],'BASE DE CLIENTES'!A:E,5,0)</f>
        <v>SAMAMBAIA SUL (SAMAMBAIA)</v>
      </c>
    </row>
    <row r="3982" spans="1:12" x14ac:dyDescent="0.3">
      <c r="A3982" t="s">
        <v>1119</v>
      </c>
      <c r="B3982" t="s">
        <v>98</v>
      </c>
      <c r="C3982" s="16" t="str">
        <f>VLOOKUP(Tabela1[[#This Row],[Cliente]],'BASE DE CLIENTES'!A:E,2,0)</f>
        <v>Brasília</v>
      </c>
      <c r="D3982" s="16" t="str">
        <f>VLOOKUP(Tabela1[[#This Row],[Cliente]],'BASE DE CLIENTES'!A:C,3,0)</f>
        <v>DF</v>
      </c>
      <c r="E3982" s="16" t="str">
        <f>CONCATENATE(Tabela1[[#This Row],[CIDADE]],",",Tabela1[[#This Row],[UF]])</f>
        <v>Brasília,DF</v>
      </c>
      <c r="F3982" s="15">
        <v>46028</v>
      </c>
      <c r="G3982">
        <v>300.18</v>
      </c>
      <c r="H3982">
        <v>550</v>
      </c>
      <c r="I3982" s="8">
        <f>Tabela1[[#This Row],[Valor total]]-Tabela1[[#This Row],[Valor custo]]</f>
        <v>249.82</v>
      </c>
      <c r="J3982" s="18">
        <f>Tabela1[[#This Row],[MARGEM BRUTA]]/Tabela1[[#This Row],[Valor total]]</f>
        <v>0.4542181818181818</v>
      </c>
      <c r="K3982" s="16" t="str">
        <f>VLOOKUP(Tabela1[[#This Row],[Cliente]],'BASE DE CLIENTES'!A:D,4,0)</f>
        <v>SERRALHEIRO</v>
      </c>
      <c r="L3982" s="16" t="str">
        <f>VLOOKUP(Tabela1[[#This Row],[Cliente]],'BASE DE CLIENTES'!A:E,5,0)</f>
        <v>SANTA MARIA</v>
      </c>
    </row>
    <row r="3983" spans="1:12" x14ac:dyDescent="0.3">
      <c r="A3983" t="s">
        <v>1120</v>
      </c>
      <c r="B3983" t="s">
        <v>137</v>
      </c>
      <c r="C3983" s="16" t="str">
        <f>VLOOKUP(Tabela1[[#This Row],[Cliente]],'BASE DE CLIENTES'!A:E,2,0)</f>
        <v>Brasília</v>
      </c>
      <c r="D3983" s="16" t="str">
        <f>VLOOKUP(Tabela1[[#This Row],[Cliente]],'BASE DE CLIENTES'!A:C,3,0)</f>
        <v>DF</v>
      </c>
      <c r="E3983" s="16" t="str">
        <f>CONCATENATE(Tabela1[[#This Row],[CIDADE]],",",Tabela1[[#This Row],[UF]])</f>
        <v>Brasília,DF</v>
      </c>
      <c r="F3983" s="15">
        <v>46027</v>
      </c>
      <c r="G3983">
        <v>2</v>
      </c>
      <c r="H3983">
        <v>50</v>
      </c>
      <c r="I3983" s="8">
        <f>Tabela1[[#This Row],[Valor total]]-Tabela1[[#This Row],[Valor custo]]</f>
        <v>48</v>
      </c>
      <c r="J3983" s="18">
        <f>Tabela1[[#This Row],[MARGEM BRUTA]]/Tabela1[[#This Row],[Valor total]]</f>
        <v>0.96</v>
      </c>
      <c r="K3983" s="16" t="str">
        <f>VLOOKUP(Tabela1[[#This Row],[Cliente]],'BASE DE CLIENTES'!A:D,4,0)</f>
        <v>SÓCIO</v>
      </c>
      <c r="L3983" s="16" t="str">
        <f>VLOOKUP(Tabela1[[#This Row],[Cliente]],'BASE DE CLIENTES'!A:E,5,0)</f>
        <v>Taguatinga Sul (Taguatinga)</v>
      </c>
    </row>
    <row r="3984" spans="1:12" x14ac:dyDescent="0.3">
      <c r="A3984" t="s">
        <v>1121</v>
      </c>
      <c r="B3984" t="s">
        <v>316</v>
      </c>
      <c r="C3984" s="16" t="str">
        <f>VLOOKUP(Tabela1[[#This Row],[Cliente]],'BASE DE CLIENTES'!A:E,2,0)</f>
        <v>Valparaíso de Goiás</v>
      </c>
      <c r="D3984" s="16" t="str">
        <f>VLOOKUP(Tabela1[[#This Row],[Cliente]],'BASE DE CLIENTES'!A:C,3,0)</f>
        <v>GO</v>
      </c>
      <c r="E3984" s="16" t="str">
        <f>CONCATENATE(Tabela1[[#This Row],[CIDADE]],",",Tabela1[[#This Row],[UF]])</f>
        <v>Valparaíso de Goiás,GO</v>
      </c>
      <c r="F3984" s="15">
        <v>46027</v>
      </c>
      <c r="G3984">
        <v>888.16</v>
      </c>
      <c r="H3984" s="10">
        <v>1380</v>
      </c>
      <c r="I3984" s="8">
        <f>Tabela1[[#This Row],[Valor total]]-Tabela1[[#This Row],[Valor custo]]</f>
        <v>491.84000000000003</v>
      </c>
      <c r="J3984" s="18">
        <f>Tabela1[[#This Row],[MARGEM BRUTA]]/Tabela1[[#This Row],[Valor total]]</f>
        <v>0.35640579710144932</v>
      </c>
      <c r="K3984" s="16" t="str">
        <f>VLOOKUP(Tabela1[[#This Row],[Cliente]],'BASE DE CLIENTES'!A:D,4,0)</f>
        <v>SERRALHEIRO</v>
      </c>
      <c r="L3984" s="16" t="str">
        <f>VLOOKUP(Tabela1[[#This Row],[Cliente]],'BASE DE CLIENTES'!A:E,5,0)</f>
        <v>Valparaíso de Goiás</v>
      </c>
    </row>
    <row r="3985" spans="1:12" x14ac:dyDescent="0.3">
      <c r="A3985" t="s">
        <v>1122</v>
      </c>
      <c r="B3985" t="s">
        <v>55</v>
      </c>
      <c r="C3985" s="16" t="str">
        <f>VLOOKUP(Tabela1[[#This Row],[Cliente]],'BASE DE CLIENTES'!A:E,2,0)</f>
        <v>Brasília</v>
      </c>
      <c r="D3985" s="16" t="str">
        <f>VLOOKUP(Tabela1[[#This Row],[Cliente]],'BASE DE CLIENTES'!A:C,3,0)</f>
        <v>DF</v>
      </c>
      <c r="E3985" s="16" t="str">
        <f>CONCATENATE(Tabela1[[#This Row],[CIDADE]],",",Tabela1[[#This Row],[UF]])</f>
        <v>Brasília,DF</v>
      </c>
      <c r="F3985" s="15">
        <v>46027</v>
      </c>
      <c r="G3985">
        <v>450.27</v>
      </c>
      <c r="H3985">
        <v>685</v>
      </c>
      <c r="I3985" s="8">
        <f>Tabela1[[#This Row],[Valor total]]-Tabela1[[#This Row],[Valor custo]]</f>
        <v>234.73000000000002</v>
      </c>
      <c r="J3985" s="18">
        <f>Tabela1[[#This Row],[MARGEM BRUTA]]/Tabela1[[#This Row],[Valor total]]</f>
        <v>0.34267153284671537</v>
      </c>
      <c r="K3985" s="16" t="str">
        <f>VLOOKUP(Tabela1[[#This Row],[Cliente]],'BASE DE CLIENTES'!A:D,4,0)</f>
        <v>EMPRESA SEM MAQUINA</v>
      </c>
      <c r="L3985" s="16" t="str">
        <f>VLOOKUP(Tabela1[[#This Row],[Cliente]],'BASE DE CLIENTES'!A:E,5,0)</f>
        <v>RECANTO DAS EMAS</v>
      </c>
    </row>
    <row r="3986" spans="1:12" x14ac:dyDescent="0.3">
      <c r="A3986" t="s">
        <v>1123</v>
      </c>
      <c r="B3986" t="s">
        <v>236</v>
      </c>
      <c r="C3986" s="16" t="str">
        <f>VLOOKUP(Tabela1[[#This Row],[Cliente]],'BASE DE CLIENTES'!A:E,2,0)</f>
        <v>Goiânia</v>
      </c>
      <c r="D3986" s="16" t="str">
        <f>VLOOKUP(Tabela1[[#This Row],[Cliente]],'BASE DE CLIENTES'!A:C,3,0)</f>
        <v>GO</v>
      </c>
      <c r="E3986" s="16" t="str">
        <f>CONCATENATE(Tabela1[[#This Row],[CIDADE]],",",Tabela1[[#This Row],[UF]])</f>
        <v>Goiânia,GO</v>
      </c>
      <c r="F3986" s="15">
        <v>46027</v>
      </c>
      <c r="G3986" s="10">
        <v>1350.81</v>
      </c>
      <c r="H3986" s="10">
        <v>1755</v>
      </c>
      <c r="I3986" s="8">
        <f>Tabela1[[#This Row],[Valor total]]-Tabela1[[#This Row],[Valor custo]]</f>
        <v>404.19000000000005</v>
      </c>
      <c r="J3986" s="18">
        <f>Tabela1[[#This Row],[MARGEM BRUTA]]/Tabela1[[#This Row],[Valor total]]</f>
        <v>0.23030769230769235</v>
      </c>
      <c r="K3986" s="16" t="str">
        <f>VLOOKUP(Tabela1[[#This Row],[Cliente]],'BASE DE CLIENTES'!A:D,4,0)</f>
        <v>EMPRESA COM MAQUINA</v>
      </c>
      <c r="L3986" s="16" t="str">
        <f>VLOOKUP(Tabela1[[#This Row],[Cliente]],'BASE DE CLIENTES'!A:E,5,0)</f>
        <v>Goiânia</v>
      </c>
    </row>
    <row r="3987" spans="1:12" x14ac:dyDescent="0.3">
      <c r="A3987" t="s">
        <v>1124</v>
      </c>
      <c r="B3987" t="s">
        <v>97</v>
      </c>
      <c r="C3987" s="16" t="str">
        <f>VLOOKUP(Tabela1[[#This Row],[Cliente]],'BASE DE CLIENTES'!A:E,2,0)</f>
        <v>Brasília</v>
      </c>
      <c r="D3987" s="16" t="str">
        <f>VLOOKUP(Tabela1[[#This Row],[Cliente]],'BASE DE CLIENTES'!A:C,3,0)</f>
        <v>DF</v>
      </c>
      <c r="E3987" s="16" t="str">
        <f>CONCATENATE(Tabela1[[#This Row],[CIDADE]],",",Tabela1[[#This Row],[UF]])</f>
        <v>Brasília,DF</v>
      </c>
      <c r="F3987" s="15">
        <v>46027</v>
      </c>
      <c r="G3987">
        <v>73.14</v>
      </c>
      <c r="H3987">
        <v>90</v>
      </c>
      <c r="I3987" s="8">
        <f>Tabela1[[#This Row],[Valor total]]-Tabela1[[#This Row],[Valor custo]]</f>
        <v>16.86</v>
      </c>
      <c r="J3987" s="18">
        <f>Tabela1[[#This Row],[MARGEM BRUTA]]/Tabela1[[#This Row],[Valor total]]</f>
        <v>0.18733333333333332</v>
      </c>
      <c r="K3987" s="16" t="str">
        <f>VLOOKUP(Tabela1[[#This Row],[Cliente]],'BASE DE CLIENTES'!A:D,4,0)</f>
        <v>SERRALHEIRO</v>
      </c>
      <c r="L3987" s="16" t="str">
        <f>VLOOKUP(Tabela1[[#This Row],[Cliente]],'BASE DE CLIENTES'!A:E,5,0)</f>
        <v>CEILANDIA NORTE</v>
      </c>
    </row>
    <row r="3988" spans="1:12" x14ac:dyDescent="0.3">
      <c r="A3988" t="s">
        <v>1125</v>
      </c>
      <c r="B3988" t="s">
        <v>781</v>
      </c>
      <c r="C3988" s="16" t="str">
        <f>VLOOKUP(Tabela1[[#This Row],[Cliente]],'BASE DE CLIENTES'!A:E,2,0)</f>
        <v>Brasília</v>
      </c>
      <c r="D3988" s="16" t="str">
        <f>VLOOKUP(Tabela1[[#This Row],[Cliente]],'BASE DE CLIENTES'!A:C,3,0)</f>
        <v>DF</v>
      </c>
      <c r="E3988" s="16" t="str">
        <f>CONCATENATE(Tabela1[[#This Row],[CIDADE]],",",Tabela1[[#This Row],[UF]])</f>
        <v>Brasília,DF</v>
      </c>
      <c r="F3988" s="15">
        <v>46027</v>
      </c>
      <c r="G3988">
        <v>377.85</v>
      </c>
      <c r="H3988">
        <v>645</v>
      </c>
      <c r="I3988" s="8">
        <f>Tabela1[[#This Row],[Valor total]]-Tabela1[[#This Row],[Valor custo]]</f>
        <v>267.14999999999998</v>
      </c>
      <c r="J3988" s="18">
        <f>Tabela1[[#This Row],[MARGEM BRUTA]]/Tabela1[[#This Row],[Valor total]]</f>
        <v>0.41418604651162788</v>
      </c>
      <c r="K3988" s="16" t="str">
        <f>VLOOKUP(Tabela1[[#This Row],[Cliente]],'BASE DE CLIENTES'!A:D,4,0)</f>
        <v>CLIENTE NOVO S/ IDENT.</v>
      </c>
      <c r="L3988" s="16" t="str">
        <f>VLOOKUP(Tabela1[[#This Row],[Cliente]],'BASE DE CLIENTES'!A:E,5,0)</f>
        <v>Samambaia</v>
      </c>
    </row>
    <row r="3989" spans="1:12" x14ac:dyDescent="0.3">
      <c r="A3989" t="s">
        <v>1126</v>
      </c>
      <c r="B3989" t="s">
        <v>97</v>
      </c>
      <c r="C3989" s="16" t="str">
        <f>VLOOKUP(Tabela1[[#This Row],[Cliente]],'BASE DE CLIENTES'!A:E,2,0)</f>
        <v>Brasília</v>
      </c>
      <c r="D3989" s="16" t="str">
        <f>VLOOKUP(Tabela1[[#This Row],[Cliente]],'BASE DE CLIENTES'!A:C,3,0)</f>
        <v>DF</v>
      </c>
      <c r="E3989" s="16" t="str">
        <f>CONCATENATE(Tabela1[[#This Row],[CIDADE]],",",Tabela1[[#This Row],[UF]])</f>
        <v>Brasília,DF</v>
      </c>
      <c r="F3989" s="15">
        <v>46027</v>
      </c>
      <c r="G3989">
        <v>697.92</v>
      </c>
      <c r="H3989" s="10">
        <v>1100</v>
      </c>
      <c r="I3989" s="8">
        <f>Tabela1[[#This Row],[Valor total]]-Tabela1[[#This Row],[Valor custo]]</f>
        <v>402.08000000000004</v>
      </c>
      <c r="J3989" s="18">
        <f>Tabela1[[#This Row],[MARGEM BRUTA]]/Tabela1[[#This Row],[Valor total]]</f>
        <v>0.36552727272727276</v>
      </c>
      <c r="K3989" s="16" t="str">
        <f>VLOOKUP(Tabela1[[#This Row],[Cliente]],'BASE DE CLIENTES'!A:D,4,0)</f>
        <v>SERRALHEIRO</v>
      </c>
      <c r="L3989" s="16" t="str">
        <f>VLOOKUP(Tabela1[[#This Row],[Cliente]],'BASE DE CLIENTES'!A:E,5,0)</f>
        <v>CEILANDIA NORTE</v>
      </c>
    </row>
    <row r="3990" spans="1:12" x14ac:dyDescent="0.3">
      <c r="A3990" t="s">
        <v>1127</v>
      </c>
      <c r="B3990" t="s">
        <v>343</v>
      </c>
      <c r="C3990" s="16" t="str">
        <f>VLOOKUP(Tabela1[[#This Row],[Cliente]],'BASE DE CLIENTES'!A:E,2,0)</f>
        <v>Brasília</v>
      </c>
      <c r="D3990" s="16" t="str">
        <f>VLOOKUP(Tabela1[[#This Row],[Cliente]],'BASE DE CLIENTES'!A:C,3,0)</f>
        <v>DF</v>
      </c>
      <c r="E3990" s="16" t="str">
        <f>CONCATENATE(Tabela1[[#This Row],[CIDADE]],",",Tabela1[[#This Row],[UF]])</f>
        <v>Brasília,DF</v>
      </c>
      <c r="F3990" s="15">
        <v>46027</v>
      </c>
      <c r="G3990">
        <v>125</v>
      </c>
      <c r="H3990">
        <v>150</v>
      </c>
      <c r="I3990" s="8">
        <f>Tabela1[[#This Row],[Valor total]]-Tabela1[[#This Row],[Valor custo]]</f>
        <v>25</v>
      </c>
      <c r="J3990" s="18">
        <f>Tabela1[[#This Row],[MARGEM BRUTA]]/Tabela1[[#This Row],[Valor total]]</f>
        <v>0.16666666666666666</v>
      </c>
      <c r="K3990" s="16" t="str">
        <f>VLOOKUP(Tabela1[[#This Row],[Cliente]],'BASE DE CLIENTES'!A:D,4,0)</f>
        <v>CLIENTE NOVO S/ IDENT.</v>
      </c>
      <c r="L3990" s="16" t="str">
        <f>VLOOKUP(Tabela1[[#This Row],[Cliente]],'BASE DE CLIENTES'!A:E,5,0)</f>
        <v>Brasília</v>
      </c>
    </row>
    <row r="3991" spans="1:12" x14ac:dyDescent="0.3">
      <c r="A3991" t="s">
        <v>1128</v>
      </c>
      <c r="B3991" t="s">
        <v>206</v>
      </c>
      <c r="C3991" s="16" t="str">
        <f>VLOOKUP(Tabela1[[#This Row],[Cliente]],'BASE DE CLIENTES'!A:E,2,0)</f>
        <v>Goiânia</v>
      </c>
      <c r="D3991" s="16" t="str">
        <f>VLOOKUP(Tabela1[[#This Row],[Cliente]],'BASE DE CLIENTES'!A:C,3,0)</f>
        <v>GO</v>
      </c>
      <c r="E3991" s="16" t="str">
        <f>CONCATENATE(Tabela1[[#This Row],[CIDADE]],",",Tabela1[[#This Row],[UF]])</f>
        <v>Goiânia,GO</v>
      </c>
      <c r="F3991" s="15">
        <v>46027</v>
      </c>
      <c r="G3991" s="10">
        <v>14419.23</v>
      </c>
      <c r="H3991" s="10">
        <v>21065</v>
      </c>
      <c r="I3991" s="8">
        <f>Tabela1[[#This Row],[Valor total]]-Tabela1[[#This Row],[Valor custo]]</f>
        <v>6645.77</v>
      </c>
      <c r="J3991" s="18">
        <f>Tabela1[[#This Row],[MARGEM BRUTA]]/Tabela1[[#This Row],[Valor total]]</f>
        <v>0.31548872537384287</v>
      </c>
      <c r="K3991" s="16" t="str">
        <f>VLOOKUP(Tabela1[[#This Row],[Cliente]],'BASE DE CLIENTES'!A:D,4,0)</f>
        <v>EMPRESA COM MAQUINA</v>
      </c>
      <c r="L3991" s="16" t="str">
        <f>VLOOKUP(Tabela1[[#This Row],[Cliente]],'BASE DE CLIENTES'!A:E,5,0)</f>
        <v>Goiânia</v>
      </c>
    </row>
    <row r="3992" spans="1:12" x14ac:dyDescent="0.3">
      <c r="A3992" t="s">
        <v>1129</v>
      </c>
      <c r="B3992" t="s">
        <v>38</v>
      </c>
      <c r="C3992" s="16" t="str">
        <f>VLOOKUP(Tabela1[[#This Row],[Cliente]],'BASE DE CLIENTES'!A:E,2,0)</f>
        <v>Brasília</v>
      </c>
      <c r="D3992" s="16" t="str">
        <f>VLOOKUP(Tabela1[[#This Row],[Cliente]],'BASE DE CLIENTES'!A:C,3,0)</f>
        <v>DF</v>
      </c>
      <c r="E3992" s="16" t="str">
        <f>CONCATENATE(Tabela1[[#This Row],[CIDADE]],",",Tabela1[[#This Row],[UF]])</f>
        <v>Brasília,DF</v>
      </c>
      <c r="F3992" s="15">
        <v>46027</v>
      </c>
      <c r="G3992">
        <v>510.31</v>
      </c>
      <c r="H3992">
        <v>760</v>
      </c>
      <c r="I3992" s="8">
        <f>Tabela1[[#This Row],[Valor total]]-Tabela1[[#This Row],[Valor custo]]</f>
        <v>249.69</v>
      </c>
      <c r="J3992" s="18">
        <f>Tabela1[[#This Row],[MARGEM BRUTA]]/Tabela1[[#This Row],[Valor total]]</f>
        <v>0.32853947368421055</v>
      </c>
      <c r="K3992" s="16" t="str">
        <f>VLOOKUP(Tabela1[[#This Row],[Cliente]],'BASE DE CLIENTES'!A:D,4,0)</f>
        <v>EMPRESA SEM MAQUINA</v>
      </c>
      <c r="L3992" s="16" t="str">
        <f>VLOOKUP(Tabela1[[#This Row],[Cliente]],'BASE DE CLIENTES'!A:E,5,0)</f>
        <v>PONTE ALTA NORTE (GAMA)</v>
      </c>
    </row>
    <row r="3993" spans="1:12" x14ac:dyDescent="0.3">
      <c r="A3993" t="s">
        <v>1130</v>
      </c>
      <c r="B3993" t="s">
        <v>189</v>
      </c>
      <c r="C3993" s="16" t="str">
        <f>VLOOKUP(Tabela1[[#This Row],[Cliente]],'BASE DE CLIENTES'!A:E,2,0)</f>
        <v>Formosa</v>
      </c>
      <c r="D3993" s="16" t="str">
        <f>VLOOKUP(Tabela1[[#This Row],[Cliente]],'BASE DE CLIENTES'!A:C,3,0)</f>
        <v>GO</v>
      </c>
      <c r="E3993" s="16" t="str">
        <f>CONCATENATE(Tabela1[[#This Row],[CIDADE]],",",Tabela1[[#This Row],[UF]])</f>
        <v>Formosa,GO</v>
      </c>
      <c r="F3993" s="15">
        <v>46027</v>
      </c>
      <c r="G3993" s="10">
        <v>1434.81</v>
      </c>
      <c r="H3993" s="10">
        <v>2060</v>
      </c>
      <c r="I3993" s="8">
        <f>Tabela1[[#This Row],[Valor total]]-Tabela1[[#This Row],[Valor custo]]</f>
        <v>625.19000000000005</v>
      </c>
      <c r="J3993" s="18">
        <f>Tabela1[[#This Row],[MARGEM BRUTA]]/Tabela1[[#This Row],[Valor total]]</f>
        <v>0.30349029126213595</v>
      </c>
      <c r="K3993" s="16" t="str">
        <f>VLOOKUP(Tabela1[[#This Row],[Cliente]],'BASE DE CLIENTES'!A:D,4,0)</f>
        <v>SEM CLASSIFICAÇÃO</v>
      </c>
      <c r="L3993" s="16" t="str">
        <f>VLOOKUP(Tabela1[[#This Row],[Cliente]],'BASE DE CLIENTES'!A:E,5,0)</f>
        <v>Formosa</v>
      </c>
    </row>
    <row r="3994" spans="1:12" x14ac:dyDescent="0.3">
      <c r="A3994" t="s">
        <v>1131</v>
      </c>
      <c r="B3994" t="s">
        <v>183</v>
      </c>
      <c r="C3994" s="16" t="str">
        <f>VLOOKUP(Tabela1[[#This Row],[Cliente]],'BASE DE CLIENTES'!A:E,2,0)</f>
        <v>Caldas Novas</v>
      </c>
      <c r="D3994" s="16" t="str">
        <f>VLOOKUP(Tabela1[[#This Row],[Cliente]],'BASE DE CLIENTES'!A:C,3,0)</f>
        <v>GO</v>
      </c>
      <c r="E3994" s="16" t="str">
        <f>CONCATENATE(Tabela1[[#This Row],[CIDADE]],",",Tabela1[[#This Row],[UF]])</f>
        <v>Caldas Novas,GO</v>
      </c>
      <c r="F3994" s="15">
        <v>46027</v>
      </c>
      <c r="G3994" s="10">
        <v>1133.55</v>
      </c>
      <c r="H3994" s="10">
        <v>1715.85</v>
      </c>
      <c r="I3994" s="8">
        <f>Tabela1[[#This Row],[Valor total]]-Tabela1[[#This Row],[Valor custo]]</f>
        <v>582.29999999999995</v>
      </c>
      <c r="J3994" s="18">
        <f>Tabela1[[#This Row],[MARGEM BRUTA]]/Tabela1[[#This Row],[Valor total]]</f>
        <v>0.33936532913716233</v>
      </c>
      <c r="K3994" s="16" t="str">
        <f>VLOOKUP(Tabela1[[#This Row],[Cliente]],'BASE DE CLIENTES'!A:D,4,0)</f>
        <v>EMPRESA COM MAQUINA</v>
      </c>
      <c r="L3994" s="16" t="str">
        <f>VLOOKUP(Tabela1[[#This Row],[Cliente]],'BASE DE CLIENTES'!A:E,5,0)</f>
        <v>Caldas Novas</v>
      </c>
    </row>
    <row r="3995" spans="1:12" x14ac:dyDescent="0.3">
      <c r="A3995" t="s">
        <v>1132</v>
      </c>
      <c r="B3995" t="s">
        <v>236</v>
      </c>
      <c r="C3995" s="16" t="str">
        <f>VLOOKUP(Tabela1[[#This Row],[Cliente]],'BASE DE CLIENTES'!A:E,2,0)</f>
        <v>Goiânia</v>
      </c>
      <c r="D3995" s="16" t="str">
        <f>VLOOKUP(Tabela1[[#This Row],[Cliente]],'BASE DE CLIENTES'!A:C,3,0)</f>
        <v>GO</v>
      </c>
      <c r="E3995" s="16" t="str">
        <f>CONCATENATE(Tabela1[[#This Row],[CIDADE]],",",Tabela1[[#This Row],[UF]])</f>
        <v>Goiânia,GO</v>
      </c>
      <c r="F3995" s="15">
        <v>46024</v>
      </c>
      <c r="G3995">
        <v>945.57</v>
      </c>
      <c r="H3995" s="10">
        <v>1300</v>
      </c>
      <c r="I3995" s="8">
        <f>Tabela1[[#This Row],[Valor total]]-Tabela1[[#This Row],[Valor custo]]</f>
        <v>354.42999999999995</v>
      </c>
      <c r="J3995" s="18">
        <f>Tabela1[[#This Row],[MARGEM BRUTA]]/Tabela1[[#This Row],[Valor total]]</f>
        <v>0.2726384615384615</v>
      </c>
      <c r="K3995" s="16" t="str">
        <f>VLOOKUP(Tabela1[[#This Row],[Cliente]],'BASE DE CLIENTES'!A:D,4,0)</f>
        <v>EMPRESA COM MAQUINA</v>
      </c>
      <c r="L3995" s="16" t="str">
        <f>VLOOKUP(Tabela1[[#This Row],[Cliente]],'BASE DE CLIENTES'!A:E,5,0)</f>
        <v>Goiânia</v>
      </c>
    </row>
    <row r="3996" spans="1:12" x14ac:dyDescent="0.3">
      <c r="A3996" t="s">
        <v>1133</v>
      </c>
      <c r="B3996" t="s">
        <v>152</v>
      </c>
      <c r="C3996" s="16" t="str">
        <f>VLOOKUP(Tabela1[[#This Row],[Cliente]],'BASE DE CLIENTES'!A:E,2,0)</f>
        <v>Aparecida de Goiânia</v>
      </c>
      <c r="D3996" s="16" t="str">
        <f>VLOOKUP(Tabela1[[#This Row],[Cliente]],'BASE DE CLIENTES'!A:C,3,0)</f>
        <v>GO</v>
      </c>
      <c r="E3996" s="16" t="str">
        <f>CONCATENATE(Tabela1[[#This Row],[CIDADE]],",",Tabela1[[#This Row],[UF]])</f>
        <v>Aparecida de Goiânia,GO</v>
      </c>
      <c r="F3996" s="15">
        <v>46024</v>
      </c>
      <c r="G3996">
        <v>377.85</v>
      </c>
      <c r="H3996">
        <v>615</v>
      </c>
      <c r="I3996" s="8">
        <f>Tabela1[[#This Row],[Valor total]]-Tabela1[[#This Row],[Valor custo]]</f>
        <v>237.14999999999998</v>
      </c>
      <c r="J3996" s="18">
        <f>Tabela1[[#This Row],[MARGEM BRUTA]]/Tabela1[[#This Row],[Valor total]]</f>
        <v>0.38560975609756093</v>
      </c>
      <c r="K3996" s="16" t="str">
        <f>VLOOKUP(Tabela1[[#This Row],[Cliente]],'BASE DE CLIENTES'!A:D,4,0)</f>
        <v>TECNICO</v>
      </c>
      <c r="L3996" s="16" t="str">
        <f>VLOOKUP(Tabela1[[#This Row],[Cliente]],'BASE DE CLIENTES'!A:E,5,0)</f>
        <v>Aparecida de Goiânia</v>
      </c>
    </row>
    <row r="3997" spans="1:12" x14ac:dyDescent="0.3">
      <c r="A3997" t="s">
        <v>1134</v>
      </c>
      <c r="B3997" t="s">
        <v>52</v>
      </c>
      <c r="C3997" s="16" t="str">
        <f>VLOOKUP(Tabela1[[#This Row],[Cliente]],'BASE DE CLIENTES'!A:E,2,0)</f>
        <v>Brasília</v>
      </c>
      <c r="D3997" s="16" t="str">
        <f>VLOOKUP(Tabela1[[#This Row],[Cliente]],'BASE DE CLIENTES'!A:C,3,0)</f>
        <v>DF</v>
      </c>
      <c r="E3997" s="16" t="str">
        <f>CONCATENATE(Tabela1[[#This Row],[CIDADE]],",",Tabela1[[#This Row],[UF]])</f>
        <v>Brasília,DF</v>
      </c>
      <c r="F3997" s="15">
        <v>46027</v>
      </c>
      <c r="G3997" s="10">
        <v>1746.3</v>
      </c>
      <c r="H3997" s="10">
        <v>2960</v>
      </c>
      <c r="I3997" s="8">
        <f>Tabela1[[#This Row],[Valor total]]-Tabela1[[#This Row],[Valor custo]]</f>
        <v>1213.7</v>
      </c>
      <c r="J3997" s="18">
        <f>Tabela1[[#This Row],[MARGEM BRUTA]]/Tabela1[[#This Row],[Valor total]]</f>
        <v>0.4100337837837838</v>
      </c>
      <c r="K3997" s="16" t="str">
        <f>VLOOKUP(Tabela1[[#This Row],[Cliente]],'BASE DE CLIENTES'!A:D,4,0)</f>
        <v>SERRALHEIRO</v>
      </c>
      <c r="L3997" s="16" t="str">
        <f>VLOOKUP(Tabela1[[#This Row],[Cliente]],'BASE DE CLIENTES'!A:E,5,0)</f>
        <v>Ceilândia Sul (Ceilândia)</v>
      </c>
    </row>
    <row r="3998" spans="1:12" x14ac:dyDescent="0.3">
      <c r="A3998" t="s">
        <v>1135</v>
      </c>
      <c r="B3998" t="s">
        <v>199</v>
      </c>
      <c r="C3998" s="16" t="str">
        <f>VLOOKUP(Tabela1[[#This Row],[Cliente]],'BASE DE CLIENTES'!A:E,2,0)</f>
        <v>Goiânia</v>
      </c>
      <c r="D3998" s="16" t="str">
        <f>VLOOKUP(Tabela1[[#This Row],[Cliente]],'BASE DE CLIENTES'!A:C,3,0)</f>
        <v>GO</v>
      </c>
      <c r="E3998" s="16" t="str">
        <f>CONCATENATE(Tabela1[[#This Row],[CIDADE]],",",Tabela1[[#This Row],[UF]])</f>
        <v>Goiânia,GO</v>
      </c>
      <c r="F3998" s="15">
        <v>46027</v>
      </c>
      <c r="G3998" s="10">
        <v>3001.84</v>
      </c>
      <c r="H3998" s="10">
        <v>4360</v>
      </c>
      <c r="I3998" s="8">
        <f>Tabela1[[#This Row],[Valor total]]-Tabela1[[#This Row],[Valor custo]]</f>
        <v>1358.1599999999999</v>
      </c>
      <c r="J3998" s="18">
        <f>Tabela1[[#This Row],[MARGEM BRUTA]]/Tabela1[[#This Row],[Valor total]]</f>
        <v>0.31150458715596324</v>
      </c>
      <c r="K3998" s="16" t="str">
        <f>VLOOKUP(Tabela1[[#This Row],[Cliente]],'BASE DE CLIENTES'!A:D,4,0)</f>
        <v>EMPRESA COM MAQUINA</v>
      </c>
      <c r="L3998" s="16" t="str">
        <f>VLOOKUP(Tabela1[[#This Row],[Cliente]],'BASE DE CLIENTES'!A:E,5,0)</f>
        <v>Goiânia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7713-D53D-46FB-804D-9DDC5F4C5421}">
  <dimension ref="A1:M655"/>
  <sheetViews>
    <sheetView showGridLines="0" topLeftCell="A632" workbookViewId="0">
      <selection activeCell="E641" sqref="E641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3" width="45.109375" bestFit="1" customWidth="1"/>
    <col min="4" max="4" width="13.109375" bestFit="1" customWidth="1"/>
    <col min="5" max="5" width="15.109375" bestFit="1" customWidth="1"/>
    <col min="6" max="6" width="14" bestFit="1" customWidth="1"/>
    <col min="7" max="7" width="14.77734375" bestFit="1" customWidth="1"/>
    <col min="8" max="8" width="12.44140625" bestFit="1" customWidth="1"/>
    <col min="9" max="9" width="11.88671875" bestFit="1" customWidth="1"/>
    <col min="10" max="10" width="14" bestFit="1" customWidth="1"/>
    <col min="11" max="11" width="12.88671875" bestFit="1" customWidth="1"/>
    <col min="12" max="12" width="11" bestFit="1" customWidth="1"/>
    <col min="13" max="13" width="11.88671875" style="12" bestFit="1" customWidth="1"/>
  </cols>
  <sheetData>
    <row r="1" spans="1:13" x14ac:dyDescent="0.3">
      <c r="A1" t="s">
        <v>490</v>
      </c>
      <c r="B1" t="s">
        <v>491</v>
      </c>
      <c r="C1" t="s">
        <v>492</v>
      </c>
      <c r="D1" t="s">
        <v>493</v>
      </c>
      <c r="E1" s="5" t="s">
        <v>494</v>
      </c>
      <c r="F1" s="5" t="s">
        <v>495</v>
      </c>
      <c r="G1" s="5" t="s">
        <v>496</v>
      </c>
      <c r="H1" s="5" t="s">
        <v>497</v>
      </c>
      <c r="I1" s="5" t="s">
        <v>498</v>
      </c>
      <c r="J1" s="5" t="s">
        <v>7</v>
      </c>
      <c r="K1" s="5" t="s">
        <v>499</v>
      </c>
      <c r="L1" t="s">
        <v>500</v>
      </c>
      <c r="M1" s="12" t="s">
        <v>750</v>
      </c>
    </row>
    <row r="2" spans="1:13" x14ac:dyDescent="0.3">
      <c r="A2" t="s">
        <v>501</v>
      </c>
      <c r="B2" t="s">
        <v>502</v>
      </c>
      <c r="C2" t="s">
        <v>503</v>
      </c>
      <c r="D2" s="10">
        <v>5014</v>
      </c>
      <c r="E2" s="5">
        <v>6.93</v>
      </c>
      <c r="F2" s="5">
        <v>34747.019999999997</v>
      </c>
      <c r="G2" s="5">
        <v>7.76</v>
      </c>
      <c r="H2" s="5">
        <v>55.68</v>
      </c>
      <c r="I2" s="5">
        <v>0</v>
      </c>
      <c r="J2" s="5">
        <v>38918.019999999997</v>
      </c>
      <c r="K2" s="5">
        <v>4171</v>
      </c>
      <c r="L2" t="s">
        <v>504</v>
      </c>
      <c r="M2" s="13">
        <v>2025</v>
      </c>
    </row>
    <row r="3" spans="1:13" x14ac:dyDescent="0.3">
      <c r="A3" t="s">
        <v>505</v>
      </c>
      <c r="B3" t="s">
        <v>502</v>
      </c>
      <c r="C3" t="s">
        <v>506</v>
      </c>
      <c r="D3" s="10">
        <v>1350</v>
      </c>
      <c r="E3" s="5">
        <v>2.5</v>
      </c>
      <c r="F3" s="5">
        <v>3375</v>
      </c>
      <c r="G3" s="5">
        <v>3.07</v>
      </c>
      <c r="H3" s="5">
        <v>5.75</v>
      </c>
      <c r="I3" s="5">
        <v>83.02</v>
      </c>
      <c r="J3" s="5">
        <v>4139.7700000000004</v>
      </c>
      <c r="K3" s="5">
        <v>764.77</v>
      </c>
      <c r="L3" t="s">
        <v>504</v>
      </c>
      <c r="M3" s="13">
        <v>2025</v>
      </c>
    </row>
    <row r="4" spans="1:13" x14ac:dyDescent="0.3">
      <c r="A4" t="s">
        <v>507</v>
      </c>
      <c r="B4" t="s">
        <v>502</v>
      </c>
      <c r="C4" t="s">
        <v>508</v>
      </c>
      <c r="D4">
        <v>325</v>
      </c>
      <c r="E4" s="5">
        <v>0.65</v>
      </c>
      <c r="F4" s="5">
        <v>211.25</v>
      </c>
      <c r="G4" s="5">
        <v>1.19</v>
      </c>
      <c r="H4" s="5">
        <v>2.88</v>
      </c>
      <c r="I4" s="5">
        <v>0</v>
      </c>
      <c r="J4" s="5">
        <v>387.12</v>
      </c>
      <c r="K4" s="5">
        <v>175.87</v>
      </c>
      <c r="L4" t="s">
        <v>504</v>
      </c>
      <c r="M4" s="13">
        <v>2025</v>
      </c>
    </row>
    <row r="5" spans="1:13" x14ac:dyDescent="0.3">
      <c r="A5" t="s">
        <v>509</v>
      </c>
      <c r="B5" t="s">
        <v>502</v>
      </c>
      <c r="C5" t="s">
        <v>510</v>
      </c>
      <c r="D5">
        <v>325</v>
      </c>
      <c r="E5" s="5">
        <v>0.65</v>
      </c>
      <c r="F5" s="5">
        <v>211.25</v>
      </c>
      <c r="G5" s="5">
        <v>1.19</v>
      </c>
      <c r="H5" s="5">
        <v>2.88</v>
      </c>
      <c r="I5" s="5">
        <v>0</v>
      </c>
      <c r="J5" s="5">
        <v>387.12</v>
      </c>
      <c r="K5" s="5">
        <v>175.87</v>
      </c>
      <c r="L5" t="s">
        <v>504</v>
      </c>
      <c r="M5" s="13">
        <v>2025</v>
      </c>
    </row>
    <row r="6" spans="1:13" x14ac:dyDescent="0.3">
      <c r="A6" t="s">
        <v>511</v>
      </c>
      <c r="B6" t="s">
        <v>502</v>
      </c>
      <c r="C6" t="s">
        <v>512</v>
      </c>
      <c r="D6">
        <v>228</v>
      </c>
      <c r="E6" s="5">
        <v>439.2</v>
      </c>
      <c r="F6" s="5">
        <v>100137.60000000001</v>
      </c>
      <c r="G6" s="5">
        <v>620.02</v>
      </c>
      <c r="H6" s="5">
        <v>493.63</v>
      </c>
      <c r="I6" s="5">
        <v>117.86</v>
      </c>
      <c r="J6" s="5">
        <v>141364.23000000001</v>
      </c>
      <c r="K6" s="5">
        <v>41226.629999999997</v>
      </c>
      <c r="L6" t="s">
        <v>504</v>
      </c>
      <c r="M6" s="13">
        <v>2025</v>
      </c>
    </row>
    <row r="7" spans="1:13" x14ac:dyDescent="0.3">
      <c r="A7" t="s">
        <v>513</v>
      </c>
      <c r="B7" t="s">
        <v>502</v>
      </c>
      <c r="C7" t="s">
        <v>514</v>
      </c>
      <c r="D7">
        <v>172</v>
      </c>
      <c r="E7" s="5">
        <v>514.45000000000005</v>
      </c>
      <c r="F7" s="5">
        <v>88485.4</v>
      </c>
      <c r="G7" s="5">
        <v>693.33</v>
      </c>
      <c r="H7" s="5">
        <v>621.03</v>
      </c>
      <c r="I7" s="5">
        <v>95.11</v>
      </c>
      <c r="J7" s="5">
        <v>119252.68</v>
      </c>
      <c r="K7" s="5">
        <v>30767.279999999999</v>
      </c>
      <c r="L7" t="s">
        <v>504</v>
      </c>
      <c r="M7" s="13">
        <v>2025</v>
      </c>
    </row>
    <row r="8" spans="1:13" x14ac:dyDescent="0.3">
      <c r="A8" t="s">
        <v>515</v>
      </c>
      <c r="B8" t="s">
        <v>502</v>
      </c>
      <c r="C8" t="s">
        <v>516</v>
      </c>
      <c r="D8">
        <v>159</v>
      </c>
      <c r="E8" s="5">
        <v>10.44</v>
      </c>
      <c r="F8" s="5">
        <v>1659.96</v>
      </c>
      <c r="G8" s="5">
        <v>31.03</v>
      </c>
      <c r="H8" s="5">
        <v>7.07</v>
      </c>
      <c r="I8" s="5">
        <v>129.22</v>
      </c>
      <c r="J8" s="5">
        <v>4933.09</v>
      </c>
      <c r="K8" s="5">
        <v>3273.13</v>
      </c>
      <c r="L8" t="s">
        <v>504</v>
      </c>
      <c r="M8" s="13">
        <v>2025</v>
      </c>
    </row>
    <row r="9" spans="1:13" x14ac:dyDescent="0.3">
      <c r="A9" t="s">
        <v>517</v>
      </c>
      <c r="B9" t="s">
        <v>502</v>
      </c>
      <c r="C9" t="s">
        <v>518</v>
      </c>
      <c r="D9">
        <v>100</v>
      </c>
      <c r="E9" s="5">
        <v>3.26</v>
      </c>
      <c r="F9" s="5">
        <v>326</v>
      </c>
      <c r="G9" s="5">
        <v>5</v>
      </c>
      <c r="H9" s="5">
        <v>0</v>
      </c>
      <c r="I9" s="5">
        <v>0</v>
      </c>
      <c r="J9" s="5">
        <v>500</v>
      </c>
      <c r="K9" s="5">
        <v>174</v>
      </c>
      <c r="L9" t="s">
        <v>504</v>
      </c>
      <c r="M9" s="13">
        <v>2025</v>
      </c>
    </row>
    <row r="10" spans="1:13" x14ac:dyDescent="0.3">
      <c r="A10" t="s">
        <v>519</v>
      </c>
      <c r="B10" t="s">
        <v>502</v>
      </c>
      <c r="C10" t="s">
        <v>520</v>
      </c>
      <c r="D10">
        <v>100</v>
      </c>
      <c r="E10" s="5">
        <v>0.96</v>
      </c>
      <c r="F10" s="5">
        <v>96</v>
      </c>
      <c r="G10" s="5">
        <v>0.88</v>
      </c>
      <c r="H10" s="5">
        <v>0</v>
      </c>
      <c r="I10" s="5">
        <v>0</v>
      </c>
      <c r="J10" s="5">
        <v>87.5</v>
      </c>
      <c r="K10" s="5">
        <v>-8.5</v>
      </c>
      <c r="L10" t="s">
        <v>504</v>
      </c>
      <c r="M10" s="13">
        <v>2025</v>
      </c>
    </row>
    <row r="11" spans="1:13" x14ac:dyDescent="0.3">
      <c r="A11" t="s">
        <v>521</v>
      </c>
      <c r="B11" t="s">
        <v>502</v>
      </c>
      <c r="C11" t="s">
        <v>522</v>
      </c>
      <c r="D11">
        <v>84</v>
      </c>
      <c r="E11" s="5">
        <v>531.45000000000005</v>
      </c>
      <c r="F11" s="5">
        <v>44641.8</v>
      </c>
      <c r="G11" s="5">
        <v>756.44</v>
      </c>
      <c r="H11" s="5">
        <v>233.09</v>
      </c>
      <c r="I11" s="5">
        <v>0</v>
      </c>
      <c r="J11" s="5">
        <v>63540.91</v>
      </c>
      <c r="K11" s="5">
        <v>18899.11</v>
      </c>
      <c r="L11" t="s">
        <v>504</v>
      </c>
      <c r="M11" s="13">
        <v>2025</v>
      </c>
    </row>
    <row r="12" spans="1:13" x14ac:dyDescent="0.3">
      <c r="A12" t="s">
        <v>523</v>
      </c>
      <c r="B12" t="s">
        <v>502</v>
      </c>
      <c r="C12" t="s">
        <v>524</v>
      </c>
      <c r="D12">
        <v>70</v>
      </c>
      <c r="E12" s="5">
        <v>12.55</v>
      </c>
      <c r="F12" s="5">
        <v>878.5</v>
      </c>
      <c r="G12" s="5">
        <v>13.71</v>
      </c>
      <c r="H12" s="5">
        <v>10</v>
      </c>
      <c r="I12" s="5">
        <v>0</v>
      </c>
      <c r="J12" s="5">
        <v>960</v>
      </c>
      <c r="K12" s="5">
        <v>81.5</v>
      </c>
      <c r="L12" t="s">
        <v>504</v>
      </c>
      <c r="M12" s="13">
        <v>2025</v>
      </c>
    </row>
    <row r="13" spans="1:13" x14ac:dyDescent="0.3">
      <c r="A13" t="s">
        <v>525</v>
      </c>
      <c r="B13" t="s">
        <v>502</v>
      </c>
      <c r="C13" t="s">
        <v>526</v>
      </c>
      <c r="D13">
        <v>67</v>
      </c>
      <c r="E13" s="5">
        <v>409.87</v>
      </c>
      <c r="F13" s="5">
        <v>27461.29</v>
      </c>
      <c r="G13" s="5">
        <v>571.94000000000005</v>
      </c>
      <c r="H13" s="5">
        <v>0</v>
      </c>
      <c r="I13" s="5">
        <v>0</v>
      </c>
      <c r="J13" s="5">
        <v>38320</v>
      </c>
      <c r="K13" s="5">
        <v>10858.71</v>
      </c>
      <c r="L13" t="s">
        <v>504</v>
      </c>
      <c r="M13" s="13">
        <v>2025</v>
      </c>
    </row>
    <row r="14" spans="1:13" x14ac:dyDescent="0.3">
      <c r="A14" t="s">
        <v>527</v>
      </c>
      <c r="B14" t="s">
        <v>502</v>
      </c>
      <c r="C14" t="s">
        <v>528</v>
      </c>
      <c r="D14">
        <v>61</v>
      </c>
      <c r="E14" s="5">
        <v>57.13</v>
      </c>
      <c r="F14" s="5">
        <v>3484.93</v>
      </c>
      <c r="G14" s="5">
        <v>184.11</v>
      </c>
      <c r="H14" s="5">
        <v>129.19</v>
      </c>
      <c r="I14" s="5">
        <v>0</v>
      </c>
      <c r="J14" s="5">
        <v>11230.81</v>
      </c>
      <c r="K14" s="5">
        <v>7745.88</v>
      </c>
      <c r="L14" t="s">
        <v>504</v>
      </c>
      <c r="M14" s="13">
        <v>2025</v>
      </c>
    </row>
    <row r="15" spans="1:13" x14ac:dyDescent="0.3">
      <c r="A15" t="s">
        <v>529</v>
      </c>
      <c r="B15" t="s">
        <v>502</v>
      </c>
      <c r="C15" t="s">
        <v>530</v>
      </c>
      <c r="D15">
        <v>58</v>
      </c>
      <c r="E15" s="5">
        <v>593.83000000000004</v>
      </c>
      <c r="F15" s="5">
        <v>34442.14</v>
      </c>
      <c r="G15" s="5">
        <v>861.01</v>
      </c>
      <c r="H15" s="5">
        <v>54.08</v>
      </c>
      <c r="I15" s="5">
        <v>77.569999999999993</v>
      </c>
      <c r="J15" s="5">
        <v>49938.49</v>
      </c>
      <c r="K15" s="5">
        <v>15496.35</v>
      </c>
      <c r="L15" t="s">
        <v>504</v>
      </c>
      <c r="M15" s="13">
        <v>2025</v>
      </c>
    </row>
    <row r="16" spans="1:13" x14ac:dyDescent="0.3">
      <c r="A16" t="s">
        <v>531</v>
      </c>
      <c r="B16" t="s">
        <v>502</v>
      </c>
      <c r="C16" t="s">
        <v>532</v>
      </c>
      <c r="D16">
        <v>58</v>
      </c>
      <c r="E16" s="5">
        <v>12.38</v>
      </c>
      <c r="F16" s="5">
        <v>718.04</v>
      </c>
      <c r="G16" s="5">
        <v>16.12</v>
      </c>
      <c r="H16" s="5">
        <v>0</v>
      </c>
      <c r="I16" s="5">
        <v>0</v>
      </c>
      <c r="J16" s="5">
        <v>934.8</v>
      </c>
      <c r="K16" s="5">
        <v>216.76</v>
      </c>
      <c r="L16" t="s">
        <v>504</v>
      </c>
      <c r="M16" s="13">
        <v>2025</v>
      </c>
    </row>
    <row r="17" spans="1:13" x14ac:dyDescent="0.3">
      <c r="A17" t="s">
        <v>533</v>
      </c>
      <c r="B17" t="s">
        <v>502</v>
      </c>
      <c r="C17" t="s">
        <v>534</v>
      </c>
      <c r="D17">
        <v>54</v>
      </c>
      <c r="E17" s="5">
        <v>12.97</v>
      </c>
      <c r="F17" s="5">
        <v>700.38</v>
      </c>
      <c r="G17" s="5">
        <v>19.46</v>
      </c>
      <c r="H17" s="5">
        <v>2.68</v>
      </c>
      <c r="I17" s="5">
        <v>0</v>
      </c>
      <c r="J17" s="5">
        <v>1051.02</v>
      </c>
      <c r="K17" s="5">
        <v>350.64</v>
      </c>
      <c r="L17" t="s">
        <v>504</v>
      </c>
      <c r="M17" s="13">
        <v>2025</v>
      </c>
    </row>
    <row r="18" spans="1:13" x14ac:dyDescent="0.3">
      <c r="A18" t="s">
        <v>535</v>
      </c>
      <c r="B18" t="s">
        <v>502</v>
      </c>
      <c r="C18" t="s">
        <v>536</v>
      </c>
      <c r="D18">
        <v>51</v>
      </c>
      <c r="E18" s="5">
        <v>548.47</v>
      </c>
      <c r="F18" s="5">
        <v>27971.97</v>
      </c>
      <c r="G18" s="5">
        <v>810.89</v>
      </c>
      <c r="H18" s="5">
        <v>382.33</v>
      </c>
      <c r="I18" s="5">
        <v>67.97</v>
      </c>
      <c r="J18" s="5">
        <v>41355.64</v>
      </c>
      <c r="K18" s="5">
        <v>13383.67</v>
      </c>
      <c r="L18" t="s">
        <v>504</v>
      </c>
      <c r="M18" s="13">
        <v>2025</v>
      </c>
    </row>
    <row r="19" spans="1:13" x14ac:dyDescent="0.3">
      <c r="A19" t="s">
        <v>537</v>
      </c>
      <c r="B19" t="s">
        <v>502</v>
      </c>
      <c r="C19" t="s">
        <v>538</v>
      </c>
      <c r="D19">
        <v>49</v>
      </c>
      <c r="E19" s="5">
        <v>25</v>
      </c>
      <c r="F19" s="5">
        <v>1225</v>
      </c>
      <c r="G19" s="5">
        <v>29.99</v>
      </c>
      <c r="H19" s="5">
        <v>25.27</v>
      </c>
      <c r="I19" s="5">
        <v>0</v>
      </c>
      <c r="J19" s="5">
        <v>1469.73</v>
      </c>
      <c r="K19" s="5">
        <v>244.73</v>
      </c>
      <c r="L19" t="s">
        <v>504</v>
      </c>
      <c r="M19" s="13">
        <v>2025</v>
      </c>
    </row>
    <row r="20" spans="1:13" x14ac:dyDescent="0.3">
      <c r="A20" t="s">
        <v>539</v>
      </c>
      <c r="B20" t="s">
        <v>502</v>
      </c>
      <c r="C20" t="s">
        <v>540</v>
      </c>
      <c r="D20">
        <v>42</v>
      </c>
      <c r="E20" s="5">
        <v>718.57</v>
      </c>
      <c r="F20" s="5">
        <v>30179.94</v>
      </c>
      <c r="G20" s="5">
        <v>1191.75</v>
      </c>
      <c r="H20" s="5">
        <v>486.49</v>
      </c>
      <c r="I20" s="5">
        <v>0</v>
      </c>
      <c r="J20" s="5">
        <v>50053.51</v>
      </c>
      <c r="K20" s="5">
        <v>19873.57</v>
      </c>
      <c r="L20" t="s">
        <v>504</v>
      </c>
      <c r="M20" s="13">
        <v>2025</v>
      </c>
    </row>
    <row r="21" spans="1:13" x14ac:dyDescent="0.3">
      <c r="A21" t="s">
        <v>541</v>
      </c>
      <c r="B21" t="s">
        <v>502</v>
      </c>
      <c r="C21" t="s">
        <v>542</v>
      </c>
      <c r="D21">
        <v>40</v>
      </c>
      <c r="E21" s="5">
        <v>684.55</v>
      </c>
      <c r="F21" s="5">
        <v>27382</v>
      </c>
      <c r="G21" s="5">
        <v>1134.1500000000001</v>
      </c>
      <c r="H21" s="5">
        <v>284.14999999999998</v>
      </c>
      <c r="I21" s="5">
        <v>0</v>
      </c>
      <c r="J21" s="5">
        <v>45365.85</v>
      </c>
      <c r="K21" s="5">
        <v>17983.849999999999</v>
      </c>
      <c r="L21" t="s">
        <v>504</v>
      </c>
      <c r="M21" s="13">
        <v>2025</v>
      </c>
    </row>
    <row r="22" spans="1:13" x14ac:dyDescent="0.3">
      <c r="A22" t="s">
        <v>543</v>
      </c>
      <c r="B22" t="s">
        <v>502</v>
      </c>
      <c r="C22" t="s">
        <v>544</v>
      </c>
      <c r="D22">
        <v>30</v>
      </c>
      <c r="E22" s="5">
        <v>2.7</v>
      </c>
      <c r="F22" s="5">
        <v>81</v>
      </c>
      <c r="G22" s="5">
        <v>3.67</v>
      </c>
      <c r="H22" s="5">
        <v>0</v>
      </c>
      <c r="I22" s="5">
        <v>0</v>
      </c>
      <c r="J22" s="5">
        <v>110</v>
      </c>
      <c r="K22" s="5">
        <v>29</v>
      </c>
      <c r="L22" t="s">
        <v>504</v>
      </c>
      <c r="M22" s="13">
        <v>2025</v>
      </c>
    </row>
    <row r="23" spans="1:13" x14ac:dyDescent="0.3">
      <c r="A23" t="s">
        <v>545</v>
      </c>
      <c r="B23" t="s">
        <v>502</v>
      </c>
      <c r="C23" t="s">
        <v>546</v>
      </c>
      <c r="D23">
        <v>28</v>
      </c>
      <c r="E23" s="5">
        <v>13.69</v>
      </c>
      <c r="F23" s="5">
        <v>383.32</v>
      </c>
      <c r="G23" s="5">
        <v>106.29</v>
      </c>
      <c r="H23" s="5">
        <v>0</v>
      </c>
      <c r="I23" s="5">
        <v>31.18</v>
      </c>
      <c r="J23" s="5">
        <v>2976.18</v>
      </c>
      <c r="K23" s="5">
        <v>2592.86</v>
      </c>
      <c r="L23" t="s">
        <v>504</v>
      </c>
      <c r="M23" s="13">
        <v>2025</v>
      </c>
    </row>
    <row r="24" spans="1:13" x14ac:dyDescent="0.3">
      <c r="A24" t="s">
        <v>547</v>
      </c>
      <c r="B24" t="s">
        <v>502</v>
      </c>
      <c r="C24" t="s">
        <v>548</v>
      </c>
      <c r="D24">
        <v>26</v>
      </c>
      <c r="E24" s="5">
        <v>3.05</v>
      </c>
      <c r="F24" s="5">
        <v>79.3</v>
      </c>
      <c r="G24" s="5">
        <v>4.5</v>
      </c>
      <c r="H24" s="5">
        <v>0</v>
      </c>
      <c r="I24" s="5">
        <v>0</v>
      </c>
      <c r="J24" s="5">
        <v>117</v>
      </c>
      <c r="K24" s="5">
        <v>37.700000000000003</v>
      </c>
      <c r="L24" t="s">
        <v>504</v>
      </c>
      <c r="M24" s="13">
        <v>2025</v>
      </c>
    </row>
    <row r="25" spans="1:13" x14ac:dyDescent="0.3">
      <c r="A25" t="s">
        <v>549</v>
      </c>
      <c r="B25" t="s">
        <v>502</v>
      </c>
      <c r="C25" t="s">
        <v>550</v>
      </c>
      <c r="D25">
        <v>25</v>
      </c>
      <c r="E25" s="5">
        <v>42</v>
      </c>
      <c r="F25" s="5">
        <v>1050</v>
      </c>
      <c r="G25" s="5">
        <v>63</v>
      </c>
      <c r="H25" s="5">
        <v>10.09</v>
      </c>
      <c r="I25" s="5">
        <v>0</v>
      </c>
      <c r="J25" s="5">
        <v>1574.91</v>
      </c>
      <c r="K25" s="5">
        <v>524.91</v>
      </c>
      <c r="L25" t="s">
        <v>504</v>
      </c>
      <c r="M25" s="13">
        <v>2025</v>
      </c>
    </row>
    <row r="26" spans="1:13" x14ac:dyDescent="0.3">
      <c r="A26" t="s">
        <v>551</v>
      </c>
      <c r="B26" t="s">
        <v>502</v>
      </c>
      <c r="C26" t="s">
        <v>552</v>
      </c>
      <c r="D26">
        <v>22</v>
      </c>
      <c r="E26" s="5">
        <v>61.37</v>
      </c>
      <c r="F26" s="5">
        <v>1350.14</v>
      </c>
      <c r="G26" s="5">
        <v>88.18</v>
      </c>
      <c r="H26" s="5">
        <v>0</v>
      </c>
      <c r="I26" s="5">
        <v>0</v>
      </c>
      <c r="J26" s="5">
        <v>1940</v>
      </c>
      <c r="K26" s="5">
        <v>589.86</v>
      </c>
      <c r="L26" t="s">
        <v>504</v>
      </c>
      <c r="M26" s="13">
        <v>2025</v>
      </c>
    </row>
    <row r="27" spans="1:13" x14ac:dyDescent="0.3">
      <c r="A27" t="s">
        <v>553</v>
      </c>
      <c r="B27" t="s">
        <v>502</v>
      </c>
      <c r="C27" t="s">
        <v>554</v>
      </c>
      <c r="D27">
        <v>20</v>
      </c>
      <c r="E27" s="5">
        <v>707.23</v>
      </c>
      <c r="F27" s="5">
        <v>14144.6</v>
      </c>
      <c r="G27" s="5">
        <v>1315.18</v>
      </c>
      <c r="H27" s="5">
        <v>296.33999999999997</v>
      </c>
      <c r="I27" s="5">
        <v>0</v>
      </c>
      <c r="J27" s="5">
        <v>26303.66</v>
      </c>
      <c r="K27" s="5">
        <v>12159.06</v>
      </c>
      <c r="L27" t="s">
        <v>504</v>
      </c>
      <c r="M27" s="13">
        <v>2025</v>
      </c>
    </row>
    <row r="28" spans="1:13" x14ac:dyDescent="0.3">
      <c r="A28" t="s">
        <v>555</v>
      </c>
      <c r="B28" t="s">
        <v>502</v>
      </c>
      <c r="C28" t="s">
        <v>556</v>
      </c>
      <c r="D28">
        <v>13</v>
      </c>
      <c r="E28" s="5">
        <v>888.67</v>
      </c>
      <c r="F28" s="5">
        <v>11552.71</v>
      </c>
      <c r="G28" s="5">
        <v>1365.38</v>
      </c>
      <c r="H28" s="5">
        <v>0</v>
      </c>
      <c r="I28" s="5">
        <v>0</v>
      </c>
      <c r="J28" s="5">
        <v>17750</v>
      </c>
      <c r="K28" s="5">
        <v>6197.29</v>
      </c>
      <c r="L28" t="s">
        <v>504</v>
      </c>
      <c r="M28" s="13">
        <v>2025</v>
      </c>
    </row>
    <row r="29" spans="1:13" x14ac:dyDescent="0.3">
      <c r="A29" t="s">
        <v>557</v>
      </c>
      <c r="B29" t="s">
        <v>502</v>
      </c>
      <c r="C29" t="s">
        <v>558</v>
      </c>
      <c r="D29">
        <v>11</v>
      </c>
      <c r="E29" s="5">
        <v>268.45999999999998</v>
      </c>
      <c r="F29" s="5">
        <v>2953.06</v>
      </c>
      <c r="G29" s="5">
        <v>519.54999999999995</v>
      </c>
      <c r="H29" s="5">
        <v>0</v>
      </c>
      <c r="I29" s="5">
        <v>25</v>
      </c>
      <c r="J29" s="5">
        <v>5715</v>
      </c>
      <c r="K29" s="5">
        <v>2761.94</v>
      </c>
      <c r="L29" t="s">
        <v>504</v>
      </c>
      <c r="M29" s="13">
        <v>2025</v>
      </c>
    </row>
    <row r="30" spans="1:13" x14ac:dyDescent="0.3">
      <c r="A30" t="s">
        <v>559</v>
      </c>
      <c r="B30" t="s">
        <v>502</v>
      </c>
      <c r="C30" t="s">
        <v>560</v>
      </c>
      <c r="D30">
        <v>10</v>
      </c>
      <c r="E30" s="5">
        <v>41</v>
      </c>
      <c r="F30" s="5">
        <v>410</v>
      </c>
      <c r="G30" s="5">
        <v>74.7</v>
      </c>
      <c r="H30" s="5">
        <v>3.02</v>
      </c>
      <c r="I30" s="5">
        <v>0</v>
      </c>
      <c r="J30" s="5">
        <v>746.98</v>
      </c>
      <c r="K30" s="5">
        <v>336.98</v>
      </c>
      <c r="L30" t="s">
        <v>504</v>
      </c>
      <c r="M30" s="13">
        <v>2025</v>
      </c>
    </row>
    <row r="31" spans="1:13" x14ac:dyDescent="0.3">
      <c r="A31" t="s">
        <v>561</v>
      </c>
      <c r="B31" t="s">
        <v>502</v>
      </c>
      <c r="C31" t="s">
        <v>562</v>
      </c>
      <c r="D31">
        <v>8</v>
      </c>
      <c r="E31" s="5">
        <v>5</v>
      </c>
      <c r="F31" s="5">
        <v>40</v>
      </c>
      <c r="G31" s="5">
        <v>8</v>
      </c>
      <c r="H31" s="5">
        <v>0</v>
      </c>
      <c r="I31" s="5">
        <v>0</v>
      </c>
      <c r="J31" s="5">
        <v>64</v>
      </c>
      <c r="K31" s="5">
        <v>24</v>
      </c>
      <c r="L31" t="s">
        <v>504</v>
      </c>
      <c r="M31" s="13">
        <v>2025</v>
      </c>
    </row>
    <row r="32" spans="1:13" x14ac:dyDescent="0.3">
      <c r="A32" t="s">
        <v>563</v>
      </c>
      <c r="B32" t="s">
        <v>502</v>
      </c>
      <c r="C32" t="s">
        <v>564</v>
      </c>
      <c r="D32">
        <v>7</v>
      </c>
      <c r="E32" s="5">
        <v>33</v>
      </c>
      <c r="F32" s="5">
        <v>231</v>
      </c>
      <c r="G32" s="5">
        <v>111.11</v>
      </c>
      <c r="H32" s="5">
        <v>17.489999999999998</v>
      </c>
      <c r="I32" s="5">
        <v>35.28</v>
      </c>
      <c r="J32" s="5">
        <v>777.79</v>
      </c>
      <c r="K32" s="5">
        <v>546.79</v>
      </c>
      <c r="L32" t="s">
        <v>504</v>
      </c>
      <c r="M32" s="13">
        <v>2025</v>
      </c>
    </row>
    <row r="33" spans="1:13" x14ac:dyDescent="0.3">
      <c r="A33" t="s">
        <v>565</v>
      </c>
      <c r="B33" t="s">
        <v>502</v>
      </c>
      <c r="C33" t="s">
        <v>566</v>
      </c>
      <c r="D33">
        <v>4</v>
      </c>
      <c r="E33" s="5">
        <v>90</v>
      </c>
      <c r="F33" s="5">
        <v>360</v>
      </c>
      <c r="G33" s="5">
        <v>200</v>
      </c>
      <c r="H33" s="5">
        <v>0</v>
      </c>
      <c r="I33" s="5">
        <v>0</v>
      </c>
      <c r="J33" s="5">
        <v>800</v>
      </c>
      <c r="K33" s="5">
        <v>440</v>
      </c>
      <c r="L33" t="s">
        <v>504</v>
      </c>
      <c r="M33" s="13">
        <v>2025</v>
      </c>
    </row>
    <row r="34" spans="1:13" x14ac:dyDescent="0.3">
      <c r="A34" t="s">
        <v>567</v>
      </c>
      <c r="B34" t="s">
        <v>502</v>
      </c>
      <c r="C34" t="s">
        <v>568</v>
      </c>
      <c r="D34">
        <v>4</v>
      </c>
      <c r="E34" s="5">
        <v>100</v>
      </c>
      <c r="F34" s="5">
        <v>400</v>
      </c>
      <c r="G34" s="5">
        <v>200</v>
      </c>
      <c r="H34" s="5">
        <v>0</v>
      </c>
      <c r="I34" s="5">
        <v>0</v>
      </c>
      <c r="J34" s="5">
        <v>800</v>
      </c>
      <c r="K34" s="5">
        <v>400</v>
      </c>
      <c r="L34" t="s">
        <v>504</v>
      </c>
      <c r="M34" s="13">
        <v>2025</v>
      </c>
    </row>
    <row r="35" spans="1:13" x14ac:dyDescent="0.3">
      <c r="A35" t="s">
        <v>569</v>
      </c>
      <c r="B35" t="s">
        <v>502</v>
      </c>
      <c r="C35" t="s">
        <v>570</v>
      </c>
      <c r="D35">
        <v>3</v>
      </c>
      <c r="E35" s="5">
        <v>9.3800000000000008</v>
      </c>
      <c r="F35" s="5">
        <v>28.14</v>
      </c>
      <c r="G35" s="5">
        <v>15</v>
      </c>
      <c r="H35" s="5">
        <v>0</v>
      </c>
      <c r="I35" s="5">
        <v>0</v>
      </c>
      <c r="J35" s="5">
        <v>45</v>
      </c>
      <c r="K35" s="5">
        <v>16.86</v>
      </c>
      <c r="L35" t="s">
        <v>504</v>
      </c>
      <c r="M35" s="13">
        <v>2025</v>
      </c>
    </row>
    <row r="36" spans="1:13" x14ac:dyDescent="0.3">
      <c r="A36" t="s">
        <v>571</v>
      </c>
      <c r="B36" t="s">
        <v>502</v>
      </c>
      <c r="C36" t="s">
        <v>572</v>
      </c>
      <c r="D36">
        <v>2</v>
      </c>
      <c r="E36" s="5">
        <v>540.99</v>
      </c>
      <c r="F36" s="5">
        <v>1081.98</v>
      </c>
      <c r="G36" s="5">
        <v>830.5</v>
      </c>
      <c r="H36" s="5">
        <v>0</v>
      </c>
      <c r="I36" s="5">
        <v>0</v>
      </c>
      <c r="J36" s="5">
        <v>1661</v>
      </c>
      <c r="K36" s="5">
        <v>579.02</v>
      </c>
      <c r="L36" t="s">
        <v>504</v>
      </c>
      <c r="M36" s="13">
        <v>2025</v>
      </c>
    </row>
    <row r="37" spans="1:13" x14ac:dyDescent="0.3">
      <c r="A37" t="s">
        <v>573</v>
      </c>
      <c r="B37" t="s">
        <v>502</v>
      </c>
      <c r="C37" t="s">
        <v>574</v>
      </c>
      <c r="D37">
        <v>2</v>
      </c>
      <c r="E37" s="5">
        <v>400</v>
      </c>
      <c r="F37" s="5">
        <v>800</v>
      </c>
      <c r="G37" s="5">
        <v>600</v>
      </c>
      <c r="H37" s="5">
        <v>0</v>
      </c>
      <c r="I37" s="5">
        <v>0</v>
      </c>
      <c r="J37" s="5">
        <v>1200</v>
      </c>
      <c r="K37" s="5">
        <v>400</v>
      </c>
      <c r="L37" t="s">
        <v>504</v>
      </c>
      <c r="M37" s="13">
        <v>2025</v>
      </c>
    </row>
    <row r="38" spans="1:13" x14ac:dyDescent="0.3">
      <c r="A38" t="s">
        <v>575</v>
      </c>
      <c r="B38" t="s">
        <v>502</v>
      </c>
      <c r="C38" t="s">
        <v>576</v>
      </c>
      <c r="D38">
        <v>1</v>
      </c>
      <c r="E38" s="5">
        <v>3</v>
      </c>
      <c r="F38" s="5">
        <v>3</v>
      </c>
      <c r="G38" s="5">
        <v>45</v>
      </c>
      <c r="H38" s="5">
        <v>0</v>
      </c>
      <c r="I38" s="5">
        <v>0</v>
      </c>
      <c r="J38" s="5">
        <v>45</v>
      </c>
      <c r="K38" s="5">
        <v>42</v>
      </c>
      <c r="L38" t="s">
        <v>504</v>
      </c>
      <c r="M38" s="13">
        <v>2025</v>
      </c>
    </row>
    <row r="39" spans="1:13" x14ac:dyDescent="0.3">
      <c r="A39" t="s">
        <v>577</v>
      </c>
      <c r="B39" t="s">
        <v>502</v>
      </c>
      <c r="C39" t="s">
        <v>578</v>
      </c>
      <c r="D39">
        <v>1</v>
      </c>
      <c r="E39" s="5">
        <v>30.49</v>
      </c>
      <c r="F39" s="5">
        <v>30.49</v>
      </c>
      <c r="G39" s="5">
        <v>45</v>
      </c>
      <c r="H39" s="5">
        <v>0</v>
      </c>
      <c r="I39" s="5">
        <v>0</v>
      </c>
      <c r="J39" s="5">
        <v>45</v>
      </c>
      <c r="K39" s="5">
        <v>14.51</v>
      </c>
      <c r="L39" t="s">
        <v>504</v>
      </c>
      <c r="M39" s="13">
        <v>2025</v>
      </c>
    </row>
    <row r="40" spans="1:13" x14ac:dyDescent="0.3">
      <c r="A40" t="s">
        <v>502</v>
      </c>
      <c r="B40" t="s">
        <v>502</v>
      </c>
      <c r="C40" t="s">
        <v>579</v>
      </c>
      <c r="D40">
        <v>1</v>
      </c>
      <c r="E40" s="5">
        <v>0</v>
      </c>
      <c r="F40" s="5">
        <v>0</v>
      </c>
      <c r="G40" s="5">
        <v>250</v>
      </c>
      <c r="H40" s="5">
        <v>0</v>
      </c>
      <c r="I40" s="5">
        <v>0</v>
      </c>
      <c r="J40" s="5">
        <v>250</v>
      </c>
      <c r="K40" s="5">
        <v>250</v>
      </c>
      <c r="L40" t="s">
        <v>504</v>
      </c>
      <c r="M40" s="13">
        <v>2025</v>
      </c>
    </row>
    <row r="41" spans="1:13" x14ac:dyDescent="0.3">
      <c r="A41" t="s">
        <v>502</v>
      </c>
      <c r="B41" t="s">
        <v>502</v>
      </c>
      <c r="C41" t="s">
        <v>580</v>
      </c>
      <c r="D41">
        <v>1</v>
      </c>
      <c r="E41" s="5">
        <v>0</v>
      </c>
      <c r="F41" s="5">
        <v>0</v>
      </c>
      <c r="G41" s="5">
        <v>85</v>
      </c>
      <c r="H41" s="5">
        <v>0</v>
      </c>
      <c r="I41" s="5">
        <v>0</v>
      </c>
      <c r="J41" s="5">
        <v>85</v>
      </c>
      <c r="K41" s="5">
        <v>85</v>
      </c>
      <c r="L41" t="s">
        <v>504</v>
      </c>
      <c r="M41" s="13">
        <v>2025</v>
      </c>
    </row>
    <row r="42" spans="1:13" x14ac:dyDescent="0.3">
      <c r="A42" t="s">
        <v>502</v>
      </c>
      <c r="B42" t="s">
        <v>502</v>
      </c>
      <c r="C42" t="s">
        <v>581</v>
      </c>
      <c r="D42">
        <v>1</v>
      </c>
      <c r="E42" s="5">
        <v>0</v>
      </c>
      <c r="F42" s="5">
        <v>0</v>
      </c>
      <c r="G42" s="5">
        <v>500</v>
      </c>
      <c r="H42" s="5">
        <v>0</v>
      </c>
      <c r="I42" s="5">
        <v>0</v>
      </c>
      <c r="J42" s="5">
        <v>500</v>
      </c>
      <c r="K42" s="5">
        <v>500</v>
      </c>
      <c r="L42" t="s">
        <v>504</v>
      </c>
      <c r="M42" s="13">
        <v>2025</v>
      </c>
    </row>
    <row r="43" spans="1:13" x14ac:dyDescent="0.3">
      <c r="A43" t="s">
        <v>582</v>
      </c>
      <c r="B43" t="s">
        <v>502</v>
      </c>
      <c r="C43" t="s">
        <v>583</v>
      </c>
      <c r="D43">
        <v>1</v>
      </c>
      <c r="E43" s="5">
        <v>150</v>
      </c>
      <c r="F43" s="5">
        <v>150</v>
      </c>
      <c r="G43" s="5">
        <v>530</v>
      </c>
      <c r="H43" s="5">
        <v>0</v>
      </c>
      <c r="I43" s="5">
        <v>0</v>
      </c>
      <c r="J43" s="5">
        <v>530</v>
      </c>
      <c r="K43" s="5">
        <v>380</v>
      </c>
      <c r="L43" t="s">
        <v>504</v>
      </c>
      <c r="M43" s="13">
        <v>2025</v>
      </c>
    </row>
    <row r="44" spans="1:13" x14ac:dyDescent="0.3">
      <c r="A44" t="s">
        <v>502</v>
      </c>
      <c r="B44" t="s">
        <v>502</v>
      </c>
      <c r="C44" t="s">
        <v>584</v>
      </c>
      <c r="D44">
        <v>1</v>
      </c>
      <c r="E44" s="5">
        <v>0</v>
      </c>
      <c r="F44" s="5">
        <v>0</v>
      </c>
      <c r="G44" s="5">
        <v>350</v>
      </c>
      <c r="H44" s="5">
        <v>0</v>
      </c>
      <c r="I44" s="5">
        <v>0</v>
      </c>
      <c r="J44" s="5">
        <v>350</v>
      </c>
      <c r="K44" s="5">
        <v>350</v>
      </c>
      <c r="L44" t="s">
        <v>504</v>
      </c>
      <c r="M44" s="13">
        <v>2025</v>
      </c>
    </row>
    <row r="45" spans="1:13" x14ac:dyDescent="0.3">
      <c r="A45" t="s">
        <v>585</v>
      </c>
      <c r="B45" t="s">
        <v>502</v>
      </c>
      <c r="C45" t="s">
        <v>586</v>
      </c>
      <c r="D45">
        <v>1</v>
      </c>
      <c r="E45" s="5">
        <v>911.35</v>
      </c>
      <c r="F45" s="5">
        <v>911.35</v>
      </c>
      <c r="G45" s="5">
        <v>1802.5</v>
      </c>
      <c r="H45" s="5">
        <v>0</v>
      </c>
      <c r="I45" s="5">
        <v>0</v>
      </c>
      <c r="J45" s="5">
        <v>1802.5</v>
      </c>
      <c r="K45" s="5">
        <v>891.15</v>
      </c>
      <c r="L45" t="s">
        <v>504</v>
      </c>
      <c r="M45" s="13">
        <v>2025</v>
      </c>
    </row>
    <row r="46" spans="1:13" x14ac:dyDescent="0.3">
      <c r="A46" t="s">
        <v>587</v>
      </c>
      <c r="B46" t="s">
        <v>502</v>
      </c>
      <c r="C46" t="s">
        <v>588</v>
      </c>
      <c r="D46">
        <v>1</v>
      </c>
      <c r="E46" s="5">
        <v>718.57</v>
      </c>
      <c r="F46" s="5">
        <v>718.57</v>
      </c>
      <c r="G46" s="5">
        <v>1550</v>
      </c>
      <c r="H46" s="5">
        <v>0</v>
      </c>
      <c r="I46" s="5">
        <v>0</v>
      </c>
      <c r="J46" s="5">
        <v>1550</v>
      </c>
      <c r="K46" s="5">
        <v>831.43</v>
      </c>
      <c r="L46" t="s">
        <v>504</v>
      </c>
      <c r="M46" s="13">
        <v>2025</v>
      </c>
    </row>
    <row r="47" spans="1:13" x14ac:dyDescent="0.3">
      <c r="A47" t="s">
        <v>502</v>
      </c>
      <c r="B47" t="s">
        <v>502</v>
      </c>
      <c r="C47" t="s">
        <v>589</v>
      </c>
      <c r="D47">
        <v>1</v>
      </c>
      <c r="E47" s="5">
        <v>0</v>
      </c>
      <c r="F47" s="5">
        <v>0</v>
      </c>
      <c r="G47" s="5">
        <v>538.89</v>
      </c>
      <c r="H47" s="5">
        <v>11.11</v>
      </c>
      <c r="I47" s="5">
        <v>0</v>
      </c>
      <c r="J47" s="5">
        <v>538.89</v>
      </c>
      <c r="K47" s="5">
        <v>538.89</v>
      </c>
      <c r="L47" t="s">
        <v>504</v>
      </c>
      <c r="M47" s="13">
        <v>2025</v>
      </c>
    </row>
    <row r="48" spans="1:13" x14ac:dyDescent="0.3">
      <c r="A48" t="s">
        <v>502</v>
      </c>
      <c r="B48" t="s">
        <v>502</v>
      </c>
      <c r="C48" t="s">
        <v>590</v>
      </c>
      <c r="D48">
        <v>1</v>
      </c>
      <c r="E48" s="5">
        <v>0</v>
      </c>
      <c r="F48" s="5">
        <v>0</v>
      </c>
      <c r="G48" s="5">
        <v>550</v>
      </c>
      <c r="H48" s="5">
        <v>0</v>
      </c>
      <c r="I48" s="5">
        <v>0</v>
      </c>
      <c r="J48" s="5">
        <v>550</v>
      </c>
      <c r="K48" s="5">
        <v>550</v>
      </c>
      <c r="L48" t="s">
        <v>504</v>
      </c>
      <c r="M48" s="13">
        <v>2025</v>
      </c>
    </row>
    <row r="49" spans="1:13" x14ac:dyDescent="0.3">
      <c r="A49" t="s">
        <v>591</v>
      </c>
      <c r="B49" t="s">
        <v>502</v>
      </c>
      <c r="C49" t="s">
        <v>592</v>
      </c>
      <c r="D49">
        <v>1</v>
      </c>
      <c r="E49" s="5">
        <v>33.56</v>
      </c>
      <c r="F49" s="5">
        <v>33.56</v>
      </c>
      <c r="G49" s="5">
        <v>85</v>
      </c>
      <c r="H49" s="5">
        <v>0</v>
      </c>
      <c r="I49" s="5">
        <v>0</v>
      </c>
      <c r="J49" s="5">
        <v>85</v>
      </c>
      <c r="K49" s="5">
        <v>51.44</v>
      </c>
      <c r="L49" t="s">
        <v>504</v>
      </c>
      <c r="M49" s="13">
        <v>2025</v>
      </c>
    </row>
    <row r="50" spans="1:13" x14ac:dyDescent="0.3">
      <c r="A50" t="s">
        <v>502</v>
      </c>
      <c r="B50" t="s">
        <v>502</v>
      </c>
      <c r="C50" t="s">
        <v>593</v>
      </c>
      <c r="D50">
        <v>1</v>
      </c>
      <c r="E50" s="5">
        <v>0</v>
      </c>
      <c r="F50" s="5">
        <v>0</v>
      </c>
      <c r="G50" s="5">
        <v>250</v>
      </c>
      <c r="H50" s="5">
        <v>0</v>
      </c>
      <c r="I50" s="5">
        <v>0</v>
      </c>
      <c r="J50" s="5">
        <v>250</v>
      </c>
      <c r="K50" s="5">
        <v>250</v>
      </c>
      <c r="L50" t="s">
        <v>504</v>
      </c>
      <c r="M50" s="13">
        <v>2025</v>
      </c>
    </row>
    <row r="51" spans="1:13" x14ac:dyDescent="0.3">
      <c r="A51" t="s">
        <v>505</v>
      </c>
      <c r="B51" t="s">
        <v>502</v>
      </c>
      <c r="C51" t="s">
        <v>506</v>
      </c>
      <c r="D51">
        <v>850</v>
      </c>
      <c r="E51" s="5">
        <v>2.5</v>
      </c>
      <c r="F51" s="5">
        <v>2125</v>
      </c>
      <c r="G51" s="5">
        <v>3</v>
      </c>
      <c r="H51" s="5">
        <v>1.72</v>
      </c>
      <c r="I51" s="5">
        <v>0</v>
      </c>
      <c r="J51" s="5">
        <v>2548.2800000000002</v>
      </c>
      <c r="K51" s="5">
        <v>423.28</v>
      </c>
      <c r="L51" t="s">
        <v>594</v>
      </c>
      <c r="M51" s="13">
        <v>2025</v>
      </c>
    </row>
    <row r="52" spans="1:13" x14ac:dyDescent="0.3">
      <c r="A52" t="s">
        <v>515</v>
      </c>
      <c r="B52" t="s">
        <v>502</v>
      </c>
      <c r="C52" t="s">
        <v>516</v>
      </c>
      <c r="D52">
        <v>260</v>
      </c>
      <c r="E52" s="5">
        <v>10.44</v>
      </c>
      <c r="F52" s="5">
        <v>2714.4</v>
      </c>
      <c r="G52" s="5">
        <v>31.83</v>
      </c>
      <c r="H52" s="5">
        <v>1.97</v>
      </c>
      <c r="I52" s="5">
        <v>69.53</v>
      </c>
      <c r="J52" s="5">
        <v>8275.5300000000007</v>
      </c>
      <c r="K52" s="5">
        <v>5561.13</v>
      </c>
      <c r="L52" t="s">
        <v>594</v>
      </c>
      <c r="M52" s="13">
        <v>2025</v>
      </c>
    </row>
    <row r="53" spans="1:13" x14ac:dyDescent="0.3">
      <c r="A53" t="s">
        <v>511</v>
      </c>
      <c r="B53" t="s">
        <v>502</v>
      </c>
      <c r="C53" t="s">
        <v>512</v>
      </c>
      <c r="D53">
        <v>182</v>
      </c>
      <c r="E53" s="5">
        <v>439.2</v>
      </c>
      <c r="F53" s="5">
        <v>79934.399999999994</v>
      </c>
      <c r="G53" s="5">
        <v>618.1</v>
      </c>
      <c r="H53" s="5">
        <v>553.77</v>
      </c>
      <c r="I53" s="5">
        <v>136.43</v>
      </c>
      <c r="J53" s="5">
        <v>112494.66</v>
      </c>
      <c r="K53" s="5">
        <v>32560.26</v>
      </c>
      <c r="L53" t="s">
        <v>594</v>
      </c>
      <c r="M53" s="13">
        <v>2025</v>
      </c>
    </row>
    <row r="54" spans="1:13" x14ac:dyDescent="0.3">
      <c r="A54" t="s">
        <v>547</v>
      </c>
      <c r="B54" t="s">
        <v>502</v>
      </c>
      <c r="C54" t="s">
        <v>548</v>
      </c>
      <c r="D54">
        <v>136</v>
      </c>
      <c r="E54" s="5">
        <v>3.05</v>
      </c>
      <c r="F54" s="5">
        <v>414.8</v>
      </c>
      <c r="G54" s="5">
        <v>4.12</v>
      </c>
      <c r="H54" s="5">
        <v>0</v>
      </c>
      <c r="I54" s="5">
        <v>0</v>
      </c>
      <c r="J54" s="5">
        <v>560</v>
      </c>
      <c r="K54" s="5">
        <v>145.19999999999999</v>
      </c>
      <c r="L54" t="s">
        <v>594</v>
      </c>
      <c r="M54" s="13">
        <v>2025</v>
      </c>
    </row>
    <row r="55" spans="1:13" x14ac:dyDescent="0.3">
      <c r="A55" t="s">
        <v>513</v>
      </c>
      <c r="B55" t="s">
        <v>502</v>
      </c>
      <c r="C55" t="s">
        <v>514</v>
      </c>
      <c r="D55">
        <v>109</v>
      </c>
      <c r="E55" s="5">
        <v>514.45000000000005</v>
      </c>
      <c r="F55" s="5">
        <v>56075.05</v>
      </c>
      <c r="G55" s="5">
        <v>682.22</v>
      </c>
      <c r="H55" s="5">
        <v>283.01</v>
      </c>
      <c r="I55" s="5">
        <v>138.38999999999999</v>
      </c>
      <c r="J55" s="5">
        <v>74362.38</v>
      </c>
      <c r="K55" s="5">
        <v>18287.330000000002</v>
      </c>
      <c r="L55" t="s">
        <v>594</v>
      </c>
      <c r="M55" s="13">
        <v>2025</v>
      </c>
    </row>
    <row r="56" spans="1:13" x14ac:dyDescent="0.3">
      <c r="A56" t="s">
        <v>545</v>
      </c>
      <c r="B56" t="s">
        <v>502</v>
      </c>
      <c r="C56" t="s">
        <v>546</v>
      </c>
      <c r="D56">
        <v>97</v>
      </c>
      <c r="E56" s="5">
        <v>13.69</v>
      </c>
      <c r="F56" s="5">
        <v>1327.93</v>
      </c>
      <c r="G56" s="5">
        <v>87.61</v>
      </c>
      <c r="H56" s="5">
        <v>4.1500000000000004</v>
      </c>
      <c r="I56" s="5">
        <v>4.37</v>
      </c>
      <c r="J56" s="5">
        <v>8498.32</v>
      </c>
      <c r="K56" s="5">
        <v>7170.39</v>
      </c>
      <c r="L56" t="s">
        <v>594</v>
      </c>
      <c r="M56" s="13">
        <v>2025</v>
      </c>
    </row>
    <row r="57" spans="1:13" x14ac:dyDescent="0.3">
      <c r="A57" t="s">
        <v>521</v>
      </c>
      <c r="B57" t="s">
        <v>502</v>
      </c>
      <c r="C57" t="s">
        <v>522</v>
      </c>
      <c r="D57">
        <v>83</v>
      </c>
      <c r="E57" s="5">
        <v>531.45000000000005</v>
      </c>
      <c r="F57" s="5">
        <v>44110.35</v>
      </c>
      <c r="G57" s="5">
        <v>745.61</v>
      </c>
      <c r="H57" s="5">
        <v>385.44</v>
      </c>
      <c r="I57" s="5">
        <v>60.23</v>
      </c>
      <c r="J57" s="5">
        <v>61885.39</v>
      </c>
      <c r="K57" s="5">
        <v>17775.04</v>
      </c>
      <c r="L57" t="s">
        <v>594</v>
      </c>
      <c r="M57" s="13">
        <v>2025</v>
      </c>
    </row>
    <row r="58" spans="1:13" x14ac:dyDescent="0.3">
      <c r="A58" t="s">
        <v>525</v>
      </c>
      <c r="B58" t="s">
        <v>502</v>
      </c>
      <c r="C58" t="s">
        <v>526</v>
      </c>
      <c r="D58">
        <v>81</v>
      </c>
      <c r="E58" s="5">
        <v>409.87</v>
      </c>
      <c r="F58" s="5">
        <v>33199.47</v>
      </c>
      <c r="G58" s="5">
        <v>552.86</v>
      </c>
      <c r="H58" s="5">
        <v>103.55</v>
      </c>
      <c r="I58" s="5">
        <v>0</v>
      </c>
      <c r="J58" s="5">
        <v>44781.45</v>
      </c>
      <c r="K58" s="5">
        <v>11581.98</v>
      </c>
      <c r="L58" t="s">
        <v>594</v>
      </c>
      <c r="M58" s="13">
        <v>2025</v>
      </c>
    </row>
    <row r="59" spans="1:13" x14ac:dyDescent="0.3">
      <c r="A59" t="s">
        <v>531</v>
      </c>
      <c r="B59" t="s">
        <v>502</v>
      </c>
      <c r="C59" t="s">
        <v>532</v>
      </c>
      <c r="D59">
        <v>79</v>
      </c>
      <c r="E59" s="5">
        <v>12.38</v>
      </c>
      <c r="F59" s="5">
        <v>978.02</v>
      </c>
      <c r="G59" s="5">
        <v>15.64</v>
      </c>
      <c r="H59" s="5">
        <v>0</v>
      </c>
      <c r="I59" s="5">
        <v>17.25</v>
      </c>
      <c r="J59" s="5">
        <v>1235.55</v>
      </c>
      <c r="K59" s="5">
        <v>257.52999999999997</v>
      </c>
      <c r="L59" t="s">
        <v>594</v>
      </c>
      <c r="M59" s="13">
        <v>2025</v>
      </c>
    </row>
    <row r="60" spans="1:13" x14ac:dyDescent="0.3">
      <c r="A60" t="s">
        <v>509</v>
      </c>
      <c r="B60" t="s">
        <v>502</v>
      </c>
      <c r="C60" t="s">
        <v>510</v>
      </c>
      <c r="D60">
        <v>63</v>
      </c>
      <c r="E60" s="5">
        <v>0.65</v>
      </c>
      <c r="F60" s="5">
        <v>40.950000000000003</v>
      </c>
      <c r="G60" s="5">
        <v>1.2</v>
      </c>
      <c r="H60" s="5">
        <v>0</v>
      </c>
      <c r="I60" s="5">
        <v>0</v>
      </c>
      <c r="J60" s="5">
        <v>75.599999999999994</v>
      </c>
      <c r="K60" s="5">
        <v>34.65</v>
      </c>
      <c r="L60" t="s">
        <v>594</v>
      </c>
      <c r="M60" s="13">
        <v>2025</v>
      </c>
    </row>
    <row r="61" spans="1:13" x14ac:dyDescent="0.3">
      <c r="A61" t="s">
        <v>507</v>
      </c>
      <c r="B61" t="s">
        <v>502</v>
      </c>
      <c r="C61" t="s">
        <v>508</v>
      </c>
      <c r="D61">
        <v>63</v>
      </c>
      <c r="E61" s="5">
        <v>0.65</v>
      </c>
      <c r="F61" s="5">
        <v>40.950000000000003</v>
      </c>
      <c r="G61" s="5">
        <v>1.2</v>
      </c>
      <c r="H61" s="5">
        <v>0</v>
      </c>
      <c r="I61" s="5">
        <v>0</v>
      </c>
      <c r="J61" s="5">
        <v>75.599999999999994</v>
      </c>
      <c r="K61" s="5">
        <v>34.65</v>
      </c>
      <c r="L61" t="s">
        <v>594</v>
      </c>
      <c r="M61" s="13">
        <v>2025</v>
      </c>
    </row>
    <row r="62" spans="1:13" x14ac:dyDescent="0.3">
      <c r="A62" t="s">
        <v>553</v>
      </c>
      <c r="B62" t="s">
        <v>502</v>
      </c>
      <c r="C62" t="s">
        <v>554</v>
      </c>
      <c r="D62">
        <v>61</v>
      </c>
      <c r="E62" s="5">
        <v>707.23</v>
      </c>
      <c r="F62" s="5">
        <v>43141.03</v>
      </c>
      <c r="G62" s="5">
        <v>1329.4</v>
      </c>
      <c r="H62" s="5">
        <v>447.59</v>
      </c>
      <c r="I62" s="5">
        <v>241.29</v>
      </c>
      <c r="J62" s="5">
        <v>81093.7</v>
      </c>
      <c r="K62" s="5">
        <v>37952.67</v>
      </c>
      <c r="L62" t="s">
        <v>594</v>
      </c>
      <c r="M62" s="13">
        <v>2025</v>
      </c>
    </row>
    <row r="63" spans="1:13" x14ac:dyDescent="0.3">
      <c r="A63" t="s">
        <v>535</v>
      </c>
      <c r="B63" t="s">
        <v>502</v>
      </c>
      <c r="C63" t="s">
        <v>536</v>
      </c>
      <c r="D63">
        <v>55</v>
      </c>
      <c r="E63" s="5">
        <v>548.47</v>
      </c>
      <c r="F63" s="5">
        <v>30165.85</v>
      </c>
      <c r="G63" s="5">
        <v>799.63</v>
      </c>
      <c r="H63" s="5">
        <v>320.2</v>
      </c>
      <c r="I63" s="5">
        <v>0</v>
      </c>
      <c r="J63" s="5">
        <v>43979.8</v>
      </c>
      <c r="K63" s="5">
        <v>13813.95</v>
      </c>
      <c r="L63" t="s">
        <v>594</v>
      </c>
      <c r="M63" s="13">
        <v>2025</v>
      </c>
    </row>
    <row r="64" spans="1:13" x14ac:dyDescent="0.3">
      <c r="A64" t="s">
        <v>517</v>
      </c>
      <c r="B64" t="s">
        <v>502</v>
      </c>
      <c r="C64" t="s">
        <v>518</v>
      </c>
      <c r="D64">
        <v>52</v>
      </c>
      <c r="E64" s="5">
        <v>3.26</v>
      </c>
      <c r="F64" s="5">
        <v>169.52</v>
      </c>
      <c r="G64" s="5">
        <v>5</v>
      </c>
      <c r="H64" s="5">
        <v>0</v>
      </c>
      <c r="I64" s="5">
        <v>0</v>
      </c>
      <c r="J64" s="5">
        <v>260</v>
      </c>
      <c r="K64" s="5">
        <v>90.48</v>
      </c>
      <c r="L64" t="s">
        <v>594</v>
      </c>
      <c r="M64" s="13">
        <v>2025</v>
      </c>
    </row>
    <row r="65" spans="1:13" x14ac:dyDescent="0.3">
      <c r="A65" t="s">
        <v>595</v>
      </c>
      <c r="B65" t="s">
        <v>502</v>
      </c>
      <c r="C65" t="s">
        <v>596</v>
      </c>
      <c r="D65">
        <v>50</v>
      </c>
      <c r="E65" s="5">
        <v>1.47</v>
      </c>
      <c r="F65" s="5">
        <v>73.5</v>
      </c>
      <c r="G65" s="5">
        <v>1.8</v>
      </c>
      <c r="H65" s="5">
        <v>0</v>
      </c>
      <c r="I65" s="5">
        <v>0</v>
      </c>
      <c r="J65" s="5">
        <v>90</v>
      </c>
      <c r="K65" s="5">
        <v>16.5</v>
      </c>
      <c r="L65" t="s">
        <v>594</v>
      </c>
      <c r="M65" s="13">
        <v>2025</v>
      </c>
    </row>
    <row r="66" spans="1:13" x14ac:dyDescent="0.3">
      <c r="A66" t="s">
        <v>523</v>
      </c>
      <c r="B66" t="s">
        <v>502</v>
      </c>
      <c r="C66" t="s">
        <v>524</v>
      </c>
      <c r="D66">
        <v>40</v>
      </c>
      <c r="E66" s="5">
        <v>12.55</v>
      </c>
      <c r="F66" s="5">
        <v>502</v>
      </c>
      <c r="G66" s="5">
        <v>13.5</v>
      </c>
      <c r="H66" s="5">
        <v>5</v>
      </c>
      <c r="I66" s="5">
        <v>0</v>
      </c>
      <c r="J66" s="5">
        <v>540</v>
      </c>
      <c r="K66" s="5">
        <v>38</v>
      </c>
      <c r="L66" t="s">
        <v>594</v>
      </c>
      <c r="M66" s="13">
        <v>2025</v>
      </c>
    </row>
    <row r="67" spans="1:13" x14ac:dyDescent="0.3">
      <c r="A67" t="s">
        <v>563</v>
      </c>
      <c r="B67" t="s">
        <v>502</v>
      </c>
      <c r="C67" t="s">
        <v>564</v>
      </c>
      <c r="D67">
        <v>38</v>
      </c>
      <c r="E67" s="5">
        <v>33</v>
      </c>
      <c r="F67" s="5">
        <v>1254</v>
      </c>
      <c r="G67" s="5">
        <v>136.46</v>
      </c>
      <c r="H67" s="5">
        <v>17.97</v>
      </c>
      <c r="I67" s="5">
        <v>53.62</v>
      </c>
      <c r="J67" s="5">
        <v>5185.6499999999996</v>
      </c>
      <c r="K67" s="5">
        <v>3931.65</v>
      </c>
      <c r="L67" t="s">
        <v>594</v>
      </c>
      <c r="M67" s="13">
        <v>2025</v>
      </c>
    </row>
    <row r="68" spans="1:13" x14ac:dyDescent="0.3">
      <c r="A68" t="s">
        <v>527</v>
      </c>
      <c r="B68" t="s">
        <v>502</v>
      </c>
      <c r="C68" t="s">
        <v>528</v>
      </c>
      <c r="D68">
        <v>35</v>
      </c>
      <c r="E68" s="5">
        <v>57.13</v>
      </c>
      <c r="F68" s="5">
        <v>1999.55</v>
      </c>
      <c r="G68" s="5">
        <v>179.84</v>
      </c>
      <c r="H68" s="5">
        <v>25.44</v>
      </c>
      <c r="I68" s="5">
        <v>0</v>
      </c>
      <c r="J68" s="5">
        <v>6294.56</v>
      </c>
      <c r="K68" s="5">
        <v>4295.01</v>
      </c>
      <c r="L68" t="s">
        <v>594</v>
      </c>
      <c r="M68" s="13">
        <v>2025</v>
      </c>
    </row>
    <row r="69" spans="1:13" x14ac:dyDescent="0.3">
      <c r="A69" t="s">
        <v>539</v>
      </c>
      <c r="B69" t="s">
        <v>502</v>
      </c>
      <c r="C69" t="s">
        <v>540</v>
      </c>
      <c r="D69">
        <v>30</v>
      </c>
      <c r="E69" s="5">
        <v>718.57</v>
      </c>
      <c r="F69" s="5">
        <v>21557.1</v>
      </c>
      <c r="G69" s="5">
        <v>1222.67</v>
      </c>
      <c r="H69" s="5">
        <v>0</v>
      </c>
      <c r="I69" s="5">
        <v>0</v>
      </c>
      <c r="J69" s="5">
        <v>36680</v>
      </c>
      <c r="K69" s="5">
        <v>15122.9</v>
      </c>
      <c r="L69" t="s">
        <v>594</v>
      </c>
      <c r="M69" s="13">
        <v>2025</v>
      </c>
    </row>
    <row r="70" spans="1:13" x14ac:dyDescent="0.3">
      <c r="A70" t="s">
        <v>529</v>
      </c>
      <c r="B70" t="s">
        <v>502</v>
      </c>
      <c r="C70" t="s">
        <v>530</v>
      </c>
      <c r="D70">
        <v>30</v>
      </c>
      <c r="E70" s="5">
        <v>593.83000000000004</v>
      </c>
      <c r="F70" s="5">
        <v>17814.900000000001</v>
      </c>
      <c r="G70" s="5">
        <v>862.14</v>
      </c>
      <c r="H70" s="5">
        <v>150.88</v>
      </c>
      <c r="I70" s="5">
        <v>0</v>
      </c>
      <c r="J70" s="5">
        <v>25864.12</v>
      </c>
      <c r="K70" s="5">
        <v>8049.22</v>
      </c>
      <c r="L70" t="s">
        <v>594</v>
      </c>
      <c r="M70" s="13">
        <v>2025</v>
      </c>
    </row>
    <row r="71" spans="1:13" x14ac:dyDescent="0.3">
      <c r="A71" t="s">
        <v>537</v>
      </c>
      <c r="B71" t="s">
        <v>502</v>
      </c>
      <c r="C71" t="s">
        <v>538</v>
      </c>
      <c r="D71">
        <v>27</v>
      </c>
      <c r="E71" s="5">
        <v>25</v>
      </c>
      <c r="F71" s="5">
        <v>675</v>
      </c>
      <c r="G71" s="5">
        <v>29.99</v>
      </c>
      <c r="H71" s="5">
        <v>0.2</v>
      </c>
      <c r="I71" s="5">
        <v>0</v>
      </c>
      <c r="J71" s="5">
        <v>809.8</v>
      </c>
      <c r="K71" s="5">
        <v>134.80000000000001</v>
      </c>
      <c r="L71" t="s">
        <v>594</v>
      </c>
      <c r="M71" s="13">
        <v>2025</v>
      </c>
    </row>
    <row r="72" spans="1:13" x14ac:dyDescent="0.3">
      <c r="A72" t="s">
        <v>549</v>
      </c>
      <c r="B72" t="s">
        <v>502</v>
      </c>
      <c r="C72" t="s">
        <v>550</v>
      </c>
      <c r="D72">
        <v>26</v>
      </c>
      <c r="E72" s="5">
        <v>42</v>
      </c>
      <c r="F72" s="5">
        <v>1092</v>
      </c>
      <c r="G72" s="5">
        <v>55</v>
      </c>
      <c r="H72" s="5">
        <v>0</v>
      </c>
      <c r="I72" s="5">
        <v>0</v>
      </c>
      <c r="J72" s="5">
        <v>1430</v>
      </c>
      <c r="K72" s="5">
        <v>338</v>
      </c>
      <c r="L72" t="s">
        <v>594</v>
      </c>
      <c r="M72" s="13">
        <v>2025</v>
      </c>
    </row>
    <row r="73" spans="1:13" x14ac:dyDescent="0.3">
      <c r="A73" t="s">
        <v>519</v>
      </c>
      <c r="B73" t="s">
        <v>502</v>
      </c>
      <c r="C73" t="s">
        <v>520</v>
      </c>
      <c r="D73">
        <v>25</v>
      </c>
      <c r="E73" s="5">
        <v>0.96</v>
      </c>
      <c r="F73" s="5">
        <v>24</v>
      </c>
      <c r="G73" s="5">
        <v>1.6</v>
      </c>
      <c r="H73" s="5">
        <v>0</v>
      </c>
      <c r="I73" s="5">
        <v>0</v>
      </c>
      <c r="J73" s="5">
        <v>40</v>
      </c>
      <c r="K73" s="5">
        <v>16</v>
      </c>
      <c r="L73" t="s">
        <v>594</v>
      </c>
      <c r="M73" s="13">
        <v>2025</v>
      </c>
    </row>
    <row r="74" spans="1:13" x14ac:dyDescent="0.3">
      <c r="A74" t="s">
        <v>502</v>
      </c>
      <c r="B74" t="s">
        <v>502</v>
      </c>
      <c r="C74" t="s">
        <v>534</v>
      </c>
      <c r="D74">
        <v>24</v>
      </c>
      <c r="E74" s="5">
        <v>12.97</v>
      </c>
      <c r="F74" s="5">
        <v>311.27999999999997</v>
      </c>
      <c r="G74" s="5">
        <v>18</v>
      </c>
      <c r="H74" s="5">
        <v>0</v>
      </c>
      <c r="I74" s="5">
        <v>0</v>
      </c>
      <c r="J74" s="5">
        <v>432</v>
      </c>
      <c r="K74" s="5">
        <v>120.72</v>
      </c>
      <c r="L74" t="s">
        <v>594</v>
      </c>
      <c r="M74" s="13">
        <v>2025</v>
      </c>
    </row>
    <row r="75" spans="1:13" x14ac:dyDescent="0.3">
      <c r="A75" t="s">
        <v>565</v>
      </c>
      <c r="B75" t="s">
        <v>502</v>
      </c>
      <c r="C75" t="s">
        <v>566</v>
      </c>
      <c r="D75">
        <v>21</v>
      </c>
      <c r="E75" s="5">
        <v>90</v>
      </c>
      <c r="F75" s="5">
        <v>1890</v>
      </c>
      <c r="G75" s="5">
        <v>202.86</v>
      </c>
      <c r="H75" s="5">
        <v>0</v>
      </c>
      <c r="I75" s="5">
        <v>0</v>
      </c>
      <c r="J75" s="5">
        <v>4260</v>
      </c>
      <c r="K75" s="5">
        <v>2370</v>
      </c>
      <c r="L75" t="s">
        <v>594</v>
      </c>
      <c r="M75" s="13">
        <v>2025</v>
      </c>
    </row>
    <row r="76" spans="1:13" x14ac:dyDescent="0.3">
      <c r="A76" t="s">
        <v>557</v>
      </c>
      <c r="B76" t="s">
        <v>502</v>
      </c>
      <c r="C76" t="s">
        <v>558</v>
      </c>
      <c r="D76">
        <v>21</v>
      </c>
      <c r="E76" s="5">
        <v>268.45999999999998</v>
      </c>
      <c r="F76" s="5">
        <v>5637.66</v>
      </c>
      <c r="G76" s="5">
        <v>479.14</v>
      </c>
      <c r="H76" s="5">
        <v>518.03</v>
      </c>
      <c r="I76" s="5">
        <v>0</v>
      </c>
      <c r="J76" s="5">
        <v>10061.969999999999</v>
      </c>
      <c r="K76" s="5">
        <v>4424.3100000000004</v>
      </c>
      <c r="L76" t="s">
        <v>594</v>
      </c>
      <c r="M76" s="13">
        <v>2025</v>
      </c>
    </row>
    <row r="77" spans="1:13" x14ac:dyDescent="0.3">
      <c r="A77" t="s">
        <v>551</v>
      </c>
      <c r="B77" t="s">
        <v>502</v>
      </c>
      <c r="C77" t="s">
        <v>552</v>
      </c>
      <c r="D77">
        <v>16</v>
      </c>
      <c r="E77" s="5">
        <v>61.37</v>
      </c>
      <c r="F77" s="5">
        <v>981.92</v>
      </c>
      <c r="G77" s="5">
        <v>86.25</v>
      </c>
      <c r="H77" s="5">
        <v>0</v>
      </c>
      <c r="I77" s="5">
        <v>0</v>
      </c>
      <c r="J77" s="5">
        <v>1380</v>
      </c>
      <c r="K77" s="5">
        <v>398.08</v>
      </c>
      <c r="L77" t="s">
        <v>594</v>
      </c>
      <c r="M77" s="13">
        <v>2025</v>
      </c>
    </row>
    <row r="78" spans="1:13" x14ac:dyDescent="0.3">
      <c r="A78" t="s">
        <v>559</v>
      </c>
      <c r="B78" t="s">
        <v>502</v>
      </c>
      <c r="C78" t="s">
        <v>560</v>
      </c>
      <c r="D78">
        <v>10</v>
      </c>
      <c r="E78" s="5">
        <v>48.39</v>
      </c>
      <c r="F78" s="5">
        <v>483.89</v>
      </c>
      <c r="G78" s="5">
        <v>77.7</v>
      </c>
      <c r="H78" s="5">
        <v>2.98</v>
      </c>
      <c r="I78" s="5">
        <v>0</v>
      </c>
      <c r="J78" s="5">
        <v>777.02</v>
      </c>
      <c r="K78" s="5">
        <v>293.13</v>
      </c>
      <c r="L78" t="s">
        <v>594</v>
      </c>
      <c r="M78" s="13">
        <v>2025</v>
      </c>
    </row>
    <row r="79" spans="1:13" x14ac:dyDescent="0.3">
      <c r="A79" t="s">
        <v>543</v>
      </c>
      <c r="B79" t="s">
        <v>502</v>
      </c>
      <c r="C79" t="s">
        <v>544</v>
      </c>
      <c r="D79">
        <v>10</v>
      </c>
      <c r="E79" s="5">
        <v>2.7</v>
      </c>
      <c r="F79" s="5">
        <v>27</v>
      </c>
      <c r="G79" s="5">
        <v>4</v>
      </c>
      <c r="H79" s="5">
        <v>0</v>
      </c>
      <c r="I79" s="5">
        <v>0</v>
      </c>
      <c r="J79" s="5">
        <v>40</v>
      </c>
      <c r="K79" s="5">
        <v>13</v>
      </c>
      <c r="L79" t="s">
        <v>594</v>
      </c>
      <c r="M79" s="13">
        <v>2025</v>
      </c>
    </row>
    <row r="80" spans="1:13" x14ac:dyDescent="0.3">
      <c r="A80" t="s">
        <v>561</v>
      </c>
      <c r="B80" t="s">
        <v>502</v>
      </c>
      <c r="C80" t="s">
        <v>562</v>
      </c>
      <c r="D80">
        <v>7</v>
      </c>
      <c r="E80" s="5">
        <v>5</v>
      </c>
      <c r="F80" s="5">
        <v>35</v>
      </c>
      <c r="G80" s="5">
        <v>8</v>
      </c>
      <c r="H80" s="5">
        <v>0</v>
      </c>
      <c r="I80" s="5">
        <v>0</v>
      </c>
      <c r="J80" s="5">
        <v>56</v>
      </c>
      <c r="K80" s="5">
        <v>21</v>
      </c>
      <c r="L80" t="s">
        <v>594</v>
      </c>
      <c r="M80" s="13">
        <v>2025</v>
      </c>
    </row>
    <row r="81" spans="1:13" x14ac:dyDescent="0.3">
      <c r="A81" t="s">
        <v>585</v>
      </c>
      <c r="B81" t="s">
        <v>502</v>
      </c>
      <c r="C81" t="s">
        <v>586</v>
      </c>
      <c r="D81">
        <v>6</v>
      </c>
      <c r="E81" s="5">
        <v>911.35</v>
      </c>
      <c r="F81" s="5">
        <v>5468.1</v>
      </c>
      <c r="G81" s="5">
        <v>1355.24</v>
      </c>
      <c r="H81" s="5">
        <v>32.47</v>
      </c>
      <c r="I81" s="5">
        <v>13.9</v>
      </c>
      <c r="J81" s="5">
        <v>8131.43</v>
      </c>
      <c r="K81" s="5">
        <v>2663.33</v>
      </c>
      <c r="L81" t="s">
        <v>594</v>
      </c>
      <c r="M81" s="13">
        <v>2025</v>
      </c>
    </row>
    <row r="82" spans="1:13" x14ac:dyDescent="0.3">
      <c r="A82" t="s">
        <v>597</v>
      </c>
      <c r="B82" t="s">
        <v>502</v>
      </c>
      <c r="C82" t="s">
        <v>598</v>
      </c>
      <c r="D82">
        <v>6</v>
      </c>
      <c r="E82" s="5">
        <v>0</v>
      </c>
      <c r="F82" s="5">
        <v>0</v>
      </c>
      <c r="G82" s="5">
        <v>200</v>
      </c>
      <c r="H82" s="5">
        <v>0</v>
      </c>
      <c r="I82" s="5">
        <v>0</v>
      </c>
      <c r="J82" s="5">
        <v>1200</v>
      </c>
      <c r="K82" s="5">
        <v>1200</v>
      </c>
      <c r="L82" t="s">
        <v>594</v>
      </c>
      <c r="M82" s="13">
        <v>2025</v>
      </c>
    </row>
    <row r="83" spans="1:13" x14ac:dyDescent="0.3">
      <c r="A83" t="s">
        <v>571</v>
      </c>
      <c r="B83" t="s">
        <v>502</v>
      </c>
      <c r="C83" t="s">
        <v>572</v>
      </c>
      <c r="D83">
        <v>5</v>
      </c>
      <c r="E83" s="5">
        <v>540.99</v>
      </c>
      <c r="F83" s="5">
        <v>2704.95</v>
      </c>
      <c r="G83" s="5">
        <v>842.2</v>
      </c>
      <c r="H83" s="5">
        <v>0</v>
      </c>
      <c r="I83" s="5">
        <v>0</v>
      </c>
      <c r="J83" s="5">
        <v>4211</v>
      </c>
      <c r="K83" s="5">
        <v>1506.05</v>
      </c>
      <c r="L83" t="s">
        <v>594</v>
      </c>
      <c r="M83" s="13">
        <v>2025</v>
      </c>
    </row>
    <row r="84" spans="1:13" x14ac:dyDescent="0.3">
      <c r="A84" t="s">
        <v>599</v>
      </c>
      <c r="B84" t="s">
        <v>502</v>
      </c>
      <c r="C84" t="s">
        <v>600</v>
      </c>
      <c r="D84">
        <v>4</v>
      </c>
      <c r="E84" s="5">
        <v>300</v>
      </c>
      <c r="F84" s="5">
        <v>1200</v>
      </c>
      <c r="G84" s="5">
        <v>1600</v>
      </c>
      <c r="H84" s="5">
        <v>0</v>
      </c>
      <c r="I84" s="5">
        <v>0</v>
      </c>
      <c r="J84" s="5">
        <v>6400</v>
      </c>
      <c r="K84" s="5">
        <v>5200</v>
      </c>
      <c r="L84" t="s">
        <v>594</v>
      </c>
      <c r="M84" s="13">
        <v>2025</v>
      </c>
    </row>
    <row r="85" spans="1:13" x14ac:dyDescent="0.3">
      <c r="A85" t="s">
        <v>541</v>
      </c>
      <c r="B85" t="s">
        <v>502</v>
      </c>
      <c r="C85" t="s">
        <v>542</v>
      </c>
      <c r="D85">
        <v>3</v>
      </c>
      <c r="E85" s="5">
        <v>684.55</v>
      </c>
      <c r="F85" s="5">
        <v>2053.65</v>
      </c>
      <c r="G85" s="5">
        <v>1153.33</v>
      </c>
      <c r="H85" s="5">
        <v>0</v>
      </c>
      <c r="I85" s="5">
        <v>0</v>
      </c>
      <c r="J85" s="5">
        <v>3460</v>
      </c>
      <c r="K85" s="5">
        <v>1406.35</v>
      </c>
      <c r="L85" t="s">
        <v>594</v>
      </c>
      <c r="M85" s="13">
        <v>2025</v>
      </c>
    </row>
    <row r="86" spans="1:13" x14ac:dyDescent="0.3">
      <c r="A86" t="s">
        <v>582</v>
      </c>
      <c r="B86" t="s">
        <v>502</v>
      </c>
      <c r="C86" t="s">
        <v>601</v>
      </c>
      <c r="D86">
        <v>3</v>
      </c>
      <c r="E86" s="5">
        <v>150</v>
      </c>
      <c r="F86" s="5">
        <v>450</v>
      </c>
      <c r="G86" s="5">
        <v>280</v>
      </c>
      <c r="H86" s="5">
        <v>450</v>
      </c>
      <c r="I86" s="5">
        <v>0</v>
      </c>
      <c r="J86" s="5">
        <v>840</v>
      </c>
      <c r="K86" s="5">
        <v>390</v>
      </c>
      <c r="L86" t="s">
        <v>594</v>
      </c>
      <c r="M86" s="13">
        <v>2025</v>
      </c>
    </row>
    <row r="87" spans="1:13" x14ac:dyDescent="0.3">
      <c r="A87" t="s">
        <v>602</v>
      </c>
      <c r="B87" t="s">
        <v>502</v>
      </c>
      <c r="C87" t="s">
        <v>603</v>
      </c>
      <c r="D87">
        <v>3</v>
      </c>
      <c r="E87" s="5">
        <v>52.14</v>
      </c>
      <c r="F87" s="5">
        <v>156.43</v>
      </c>
      <c r="G87" s="5">
        <v>70</v>
      </c>
      <c r="H87" s="5">
        <v>0</v>
      </c>
      <c r="I87" s="5">
        <v>0</v>
      </c>
      <c r="J87" s="5">
        <v>210</v>
      </c>
      <c r="K87" s="5">
        <v>53.57</v>
      </c>
      <c r="L87" t="s">
        <v>594</v>
      </c>
      <c r="M87" s="13">
        <v>2025</v>
      </c>
    </row>
    <row r="88" spans="1:13" x14ac:dyDescent="0.3">
      <c r="A88" t="s">
        <v>577</v>
      </c>
      <c r="B88" t="s">
        <v>502</v>
      </c>
      <c r="C88" t="s">
        <v>578</v>
      </c>
      <c r="D88">
        <v>3</v>
      </c>
      <c r="E88" s="5">
        <v>30.49</v>
      </c>
      <c r="F88" s="5">
        <v>91.47</v>
      </c>
      <c r="G88" s="5">
        <v>45</v>
      </c>
      <c r="H88" s="5">
        <v>0</v>
      </c>
      <c r="I88" s="5">
        <v>0</v>
      </c>
      <c r="J88" s="5">
        <v>135</v>
      </c>
      <c r="K88" s="5">
        <v>43.53</v>
      </c>
      <c r="L88" t="s">
        <v>594</v>
      </c>
      <c r="M88" s="13">
        <v>2025</v>
      </c>
    </row>
    <row r="89" spans="1:13" x14ac:dyDescent="0.3">
      <c r="A89" t="s">
        <v>555</v>
      </c>
      <c r="B89" t="s">
        <v>502</v>
      </c>
      <c r="C89" t="s">
        <v>556</v>
      </c>
      <c r="D89">
        <v>2</v>
      </c>
      <c r="E89" s="5">
        <v>888.67</v>
      </c>
      <c r="F89" s="5">
        <v>1777.34</v>
      </c>
      <c r="G89" s="5">
        <v>1298.2</v>
      </c>
      <c r="H89" s="5">
        <v>403.6</v>
      </c>
      <c r="I89" s="5">
        <v>0</v>
      </c>
      <c r="J89" s="5">
        <v>2596.4</v>
      </c>
      <c r="K89" s="5">
        <v>819.06</v>
      </c>
      <c r="L89" t="s">
        <v>594</v>
      </c>
      <c r="M89" s="13">
        <v>2025</v>
      </c>
    </row>
    <row r="90" spans="1:13" x14ac:dyDescent="0.3">
      <c r="A90" t="s">
        <v>502</v>
      </c>
      <c r="B90" t="s">
        <v>502</v>
      </c>
      <c r="C90" t="s">
        <v>604</v>
      </c>
      <c r="D90">
        <v>2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t="s">
        <v>594</v>
      </c>
      <c r="M90" s="13">
        <v>2025</v>
      </c>
    </row>
    <row r="91" spans="1:13" x14ac:dyDescent="0.3">
      <c r="A91" t="s">
        <v>605</v>
      </c>
      <c r="B91" t="s">
        <v>502</v>
      </c>
      <c r="C91" t="s">
        <v>606</v>
      </c>
      <c r="D91">
        <v>2</v>
      </c>
      <c r="E91" s="5">
        <v>20</v>
      </c>
      <c r="F91" s="5">
        <v>40</v>
      </c>
      <c r="G91" s="5">
        <v>45</v>
      </c>
      <c r="H91" s="5">
        <v>0</v>
      </c>
      <c r="I91" s="5">
        <v>0</v>
      </c>
      <c r="J91" s="5">
        <v>90</v>
      </c>
      <c r="K91" s="5">
        <v>50</v>
      </c>
      <c r="L91" t="s">
        <v>594</v>
      </c>
      <c r="M91" s="13">
        <v>2025</v>
      </c>
    </row>
    <row r="92" spans="1:13" x14ac:dyDescent="0.3">
      <c r="A92" t="s">
        <v>591</v>
      </c>
      <c r="B92" t="s">
        <v>502</v>
      </c>
      <c r="C92" t="s">
        <v>592</v>
      </c>
      <c r="D92">
        <v>1</v>
      </c>
      <c r="E92" s="5">
        <v>33.56</v>
      </c>
      <c r="F92" s="5">
        <v>33.56</v>
      </c>
      <c r="G92" s="5">
        <v>85</v>
      </c>
      <c r="H92" s="5">
        <v>0</v>
      </c>
      <c r="I92" s="5">
        <v>0</v>
      </c>
      <c r="J92" s="5">
        <v>85</v>
      </c>
      <c r="K92" s="5">
        <v>51.44</v>
      </c>
      <c r="L92" t="s">
        <v>594</v>
      </c>
      <c r="M92" s="13">
        <v>2025</v>
      </c>
    </row>
    <row r="93" spans="1:13" x14ac:dyDescent="0.3">
      <c r="A93" t="s">
        <v>607</v>
      </c>
      <c r="B93" t="s">
        <v>502</v>
      </c>
      <c r="C93" t="s">
        <v>608</v>
      </c>
      <c r="D93">
        <v>1</v>
      </c>
      <c r="E93" s="5">
        <v>650</v>
      </c>
      <c r="F93" s="5">
        <v>650</v>
      </c>
      <c r="G93" s="5">
        <v>1450</v>
      </c>
      <c r="H93" s="5">
        <v>0</v>
      </c>
      <c r="I93" s="5">
        <v>0</v>
      </c>
      <c r="J93" s="5">
        <v>1450</v>
      </c>
      <c r="K93" s="5">
        <v>800</v>
      </c>
      <c r="L93" t="s">
        <v>594</v>
      </c>
      <c r="M93" s="13">
        <v>2025</v>
      </c>
    </row>
    <row r="94" spans="1:13" x14ac:dyDescent="0.3">
      <c r="A94" t="s">
        <v>567</v>
      </c>
      <c r="B94" t="s">
        <v>502</v>
      </c>
      <c r="C94" t="s">
        <v>609</v>
      </c>
      <c r="D94">
        <v>1</v>
      </c>
      <c r="E94" s="5">
        <v>100</v>
      </c>
      <c r="F94" s="5">
        <v>100</v>
      </c>
      <c r="G94" s="5">
        <v>200</v>
      </c>
      <c r="H94" s="5">
        <v>0</v>
      </c>
      <c r="I94" s="5">
        <v>0</v>
      </c>
      <c r="J94" s="5">
        <v>200</v>
      </c>
      <c r="K94" s="5">
        <v>100</v>
      </c>
      <c r="L94" t="s">
        <v>594</v>
      </c>
      <c r="M94" s="13">
        <v>2025</v>
      </c>
    </row>
    <row r="95" spans="1:13" x14ac:dyDescent="0.3">
      <c r="A95" t="s">
        <v>610</v>
      </c>
      <c r="B95" t="s">
        <v>502</v>
      </c>
      <c r="C95" t="s">
        <v>611</v>
      </c>
      <c r="D95">
        <v>1</v>
      </c>
      <c r="E95" s="5">
        <v>180</v>
      </c>
      <c r="F95" s="5">
        <v>180</v>
      </c>
      <c r="G95" s="5">
        <v>2.13</v>
      </c>
      <c r="H95" s="5">
        <v>550</v>
      </c>
      <c r="I95" s="5">
        <v>2.13</v>
      </c>
      <c r="J95" s="5">
        <v>2.13</v>
      </c>
      <c r="K95" s="5">
        <v>-177.87</v>
      </c>
      <c r="L95" t="s">
        <v>594</v>
      </c>
      <c r="M95" s="13">
        <v>2025</v>
      </c>
    </row>
    <row r="96" spans="1:13" x14ac:dyDescent="0.3">
      <c r="A96" t="s">
        <v>502</v>
      </c>
      <c r="B96" t="s">
        <v>502</v>
      </c>
      <c r="C96" t="s">
        <v>612</v>
      </c>
      <c r="D96">
        <v>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t="s">
        <v>594</v>
      </c>
      <c r="M96" s="13">
        <v>2025</v>
      </c>
    </row>
    <row r="97" spans="1:13" x14ac:dyDescent="0.3">
      <c r="A97" t="s">
        <v>502</v>
      </c>
      <c r="B97" t="s">
        <v>502</v>
      </c>
      <c r="C97" t="s">
        <v>613</v>
      </c>
      <c r="D97">
        <v>1</v>
      </c>
      <c r="E97" s="5">
        <v>0</v>
      </c>
      <c r="F97" s="5">
        <v>0</v>
      </c>
      <c r="G97" s="5">
        <v>149.01</v>
      </c>
      <c r="H97" s="5">
        <v>0.99</v>
      </c>
      <c r="I97" s="5">
        <v>0</v>
      </c>
      <c r="J97" s="5">
        <v>149.01</v>
      </c>
      <c r="K97" s="5">
        <v>149.01</v>
      </c>
      <c r="L97" t="s">
        <v>594</v>
      </c>
      <c r="M97" s="13">
        <v>2025</v>
      </c>
    </row>
    <row r="98" spans="1:13" x14ac:dyDescent="0.3">
      <c r="A98" t="s">
        <v>614</v>
      </c>
      <c r="B98" t="s">
        <v>502</v>
      </c>
      <c r="C98" t="s">
        <v>615</v>
      </c>
      <c r="D98">
        <v>1</v>
      </c>
      <c r="E98" s="5">
        <v>33.56</v>
      </c>
      <c r="F98" s="5">
        <v>33.56</v>
      </c>
      <c r="G98" s="5">
        <v>39.74</v>
      </c>
      <c r="H98" s="5">
        <v>0.26</v>
      </c>
      <c r="I98" s="5">
        <v>0</v>
      </c>
      <c r="J98" s="5">
        <v>39.74</v>
      </c>
      <c r="K98" s="5">
        <v>6.18</v>
      </c>
      <c r="L98" t="s">
        <v>594</v>
      </c>
      <c r="M98" s="13">
        <v>2025</v>
      </c>
    </row>
    <row r="99" spans="1:13" x14ac:dyDescent="0.3">
      <c r="A99" t="s">
        <v>575</v>
      </c>
      <c r="B99" t="s">
        <v>502</v>
      </c>
      <c r="C99" t="s">
        <v>576</v>
      </c>
      <c r="D99">
        <v>1</v>
      </c>
      <c r="E99" s="5">
        <v>3</v>
      </c>
      <c r="F99" s="5">
        <v>3</v>
      </c>
      <c r="G99" s="5">
        <v>44.15</v>
      </c>
      <c r="H99" s="5">
        <v>0.85</v>
      </c>
      <c r="I99" s="5">
        <v>0</v>
      </c>
      <c r="J99" s="5">
        <v>44.15</v>
      </c>
      <c r="K99" s="5">
        <v>41.15</v>
      </c>
      <c r="L99" t="s">
        <v>594</v>
      </c>
      <c r="M99" s="13">
        <v>2025</v>
      </c>
    </row>
    <row r="100" spans="1:13" x14ac:dyDescent="0.3">
      <c r="A100" t="s">
        <v>616</v>
      </c>
      <c r="B100" t="s">
        <v>502</v>
      </c>
      <c r="C100" t="s">
        <v>617</v>
      </c>
      <c r="D100">
        <v>1</v>
      </c>
      <c r="E100" s="5">
        <v>307.68</v>
      </c>
      <c r="F100" s="5">
        <v>307.68</v>
      </c>
      <c r="G100" s="5">
        <v>590</v>
      </c>
      <c r="H100" s="5">
        <v>0</v>
      </c>
      <c r="I100" s="5">
        <v>0</v>
      </c>
      <c r="J100" s="5">
        <v>590</v>
      </c>
      <c r="K100" s="5">
        <v>282.32</v>
      </c>
      <c r="L100" t="s">
        <v>594</v>
      </c>
      <c r="M100" s="13">
        <v>2025</v>
      </c>
    </row>
    <row r="101" spans="1:13" x14ac:dyDescent="0.3">
      <c r="A101" t="s">
        <v>505</v>
      </c>
      <c r="B101" t="s">
        <v>502</v>
      </c>
      <c r="C101" t="s">
        <v>506</v>
      </c>
      <c r="D101">
        <v>1300</v>
      </c>
      <c r="E101" s="5">
        <v>2.5</v>
      </c>
      <c r="F101" s="5">
        <v>3250</v>
      </c>
      <c r="G101" s="5">
        <v>3.02</v>
      </c>
      <c r="H101" s="5">
        <v>4.07</v>
      </c>
      <c r="I101" s="5">
        <v>29.56</v>
      </c>
      <c r="J101" s="5">
        <v>3930.49</v>
      </c>
      <c r="K101" s="5">
        <v>680.49</v>
      </c>
      <c r="L101" t="s">
        <v>618</v>
      </c>
      <c r="M101" s="13">
        <v>2025</v>
      </c>
    </row>
    <row r="102" spans="1:13" x14ac:dyDescent="0.3">
      <c r="A102" t="s">
        <v>515</v>
      </c>
      <c r="B102" t="s">
        <v>502</v>
      </c>
      <c r="C102" t="s">
        <v>516</v>
      </c>
      <c r="D102">
        <v>377</v>
      </c>
      <c r="E102" s="5">
        <v>9.83</v>
      </c>
      <c r="F102" s="5">
        <v>3704.74</v>
      </c>
      <c r="G102" s="5">
        <v>30.42</v>
      </c>
      <c r="H102" s="5">
        <v>202.41</v>
      </c>
      <c r="I102" s="5">
        <v>15.79</v>
      </c>
      <c r="J102" s="5">
        <v>11469.83</v>
      </c>
      <c r="K102" s="5">
        <v>7765.09</v>
      </c>
      <c r="L102" t="s">
        <v>618</v>
      </c>
      <c r="M102" s="13">
        <v>2025</v>
      </c>
    </row>
    <row r="103" spans="1:13" x14ac:dyDescent="0.3">
      <c r="A103" t="s">
        <v>507</v>
      </c>
      <c r="B103" t="s">
        <v>502</v>
      </c>
      <c r="C103" t="s">
        <v>508</v>
      </c>
      <c r="D103">
        <v>225</v>
      </c>
      <c r="E103" s="5">
        <v>0.65</v>
      </c>
      <c r="F103" s="5">
        <v>146.25</v>
      </c>
      <c r="G103" s="5">
        <v>1</v>
      </c>
      <c r="H103" s="5">
        <v>10</v>
      </c>
      <c r="I103" s="5">
        <v>0</v>
      </c>
      <c r="J103" s="5">
        <v>225</v>
      </c>
      <c r="K103" s="5">
        <v>78.75</v>
      </c>
      <c r="L103" t="s">
        <v>618</v>
      </c>
      <c r="M103" s="13">
        <v>2025</v>
      </c>
    </row>
    <row r="104" spans="1:13" x14ac:dyDescent="0.3">
      <c r="A104" t="s">
        <v>509</v>
      </c>
      <c r="B104" t="s">
        <v>502</v>
      </c>
      <c r="C104" t="s">
        <v>510</v>
      </c>
      <c r="D104">
        <v>225</v>
      </c>
      <c r="E104" s="5">
        <v>0.65</v>
      </c>
      <c r="F104" s="5">
        <v>146.25</v>
      </c>
      <c r="G104" s="5">
        <v>1</v>
      </c>
      <c r="H104" s="5">
        <v>10</v>
      </c>
      <c r="I104" s="5">
        <v>0</v>
      </c>
      <c r="J104" s="5">
        <v>225</v>
      </c>
      <c r="K104" s="5">
        <v>78.75</v>
      </c>
      <c r="L104" t="s">
        <v>618</v>
      </c>
      <c r="M104" s="13">
        <v>2025</v>
      </c>
    </row>
    <row r="105" spans="1:13" x14ac:dyDescent="0.3">
      <c r="A105" t="s">
        <v>513</v>
      </c>
      <c r="B105" t="s">
        <v>502</v>
      </c>
      <c r="C105" t="s">
        <v>514</v>
      </c>
      <c r="D105">
        <v>205</v>
      </c>
      <c r="E105" s="5">
        <v>511.01</v>
      </c>
      <c r="F105" s="5">
        <v>104757.6</v>
      </c>
      <c r="G105" s="5">
        <v>660.43</v>
      </c>
      <c r="H105" s="5">
        <v>1940.78</v>
      </c>
      <c r="I105" s="5">
        <v>89</v>
      </c>
      <c r="J105" s="5">
        <v>135388.22</v>
      </c>
      <c r="K105" s="5">
        <v>30630.62</v>
      </c>
      <c r="L105" t="s">
        <v>618</v>
      </c>
      <c r="M105" s="13">
        <v>2025</v>
      </c>
    </row>
    <row r="106" spans="1:13" x14ac:dyDescent="0.3">
      <c r="A106" t="s">
        <v>511</v>
      </c>
      <c r="B106" t="s">
        <v>502</v>
      </c>
      <c r="C106" t="s">
        <v>512</v>
      </c>
      <c r="D106">
        <v>186</v>
      </c>
      <c r="E106" s="5">
        <v>440.04</v>
      </c>
      <c r="F106" s="5">
        <v>81847.199999999997</v>
      </c>
      <c r="G106" s="5">
        <v>620.48</v>
      </c>
      <c r="H106" s="5">
        <v>1183.2</v>
      </c>
      <c r="I106" s="5">
        <v>178.25</v>
      </c>
      <c r="J106" s="5">
        <v>115409.05</v>
      </c>
      <c r="K106" s="5">
        <v>33561.85</v>
      </c>
      <c r="L106" t="s">
        <v>618</v>
      </c>
      <c r="M106" s="13">
        <v>2025</v>
      </c>
    </row>
    <row r="107" spans="1:13" x14ac:dyDescent="0.3">
      <c r="A107" t="s">
        <v>537</v>
      </c>
      <c r="B107" t="s">
        <v>502</v>
      </c>
      <c r="C107" t="s">
        <v>538</v>
      </c>
      <c r="D107">
        <v>112</v>
      </c>
      <c r="E107" s="5">
        <v>25</v>
      </c>
      <c r="F107" s="5">
        <v>2800</v>
      </c>
      <c r="G107" s="5">
        <v>29.84</v>
      </c>
      <c r="H107" s="5">
        <v>0.08</v>
      </c>
      <c r="I107" s="5">
        <v>22.64</v>
      </c>
      <c r="J107" s="5">
        <v>3342.56</v>
      </c>
      <c r="K107" s="5">
        <v>542.55999999999995</v>
      </c>
      <c r="L107" t="s">
        <v>618</v>
      </c>
      <c r="M107" s="13">
        <v>2025</v>
      </c>
    </row>
    <row r="108" spans="1:13" x14ac:dyDescent="0.3">
      <c r="A108" t="s">
        <v>525</v>
      </c>
      <c r="B108" t="s">
        <v>502</v>
      </c>
      <c r="C108" t="s">
        <v>526</v>
      </c>
      <c r="D108">
        <v>93</v>
      </c>
      <c r="E108" s="5">
        <v>409.87</v>
      </c>
      <c r="F108" s="5">
        <v>38117.910000000003</v>
      </c>
      <c r="G108" s="5">
        <v>529.61</v>
      </c>
      <c r="H108" s="5">
        <v>640.82000000000005</v>
      </c>
      <c r="I108" s="5">
        <v>0</v>
      </c>
      <c r="J108" s="5">
        <v>49254.18</v>
      </c>
      <c r="K108" s="5">
        <v>11136.27</v>
      </c>
      <c r="L108" t="s">
        <v>618</v>
      </c>
      <c r="M108" s="13">
        <v>2025</v>
      </c>
    </row>
    <row r="109" spans="1:13" x14ac:dyDescent="0.3">
      <c r="A109" t="s">
        <v>521</v>
      </c>
      <c r="B109" t="s">
        <v>502</v>
      </c>
      <c r="C109" t="s">
        <v>522</v>
      </c>
      <c r="D109">
        <v>81</v>
      </c>
      <c r="E109" s="5">
        <v>528.9</v>
      </c>
      <c r="F109" s="5">
        <v>42840.75</v>
      </c>
      <c r="G109" s="5">
        <v>749.63</v>
      </c>
      <c r="H109" s="5">
        <v>102.61</v>
      </c>
      <c r="I109" s="5">
        <v>113.03</v>
      </c>
      <c r="J109" s="5">
        <v>60720.42</v>
      </c>
      <c r="K109" s="5">
        <v>17879.669999999998</v>
      </c>
      <c r="L109" t="s">
        <v>618</v>
      </c>
      <c r="M109" s="13">
        <v>2025</v>
      </c>
    </row>
    <row r="110" spans="1:13" x14ac:dyDescent="0.3">
      <c r="A110" t="s">
        <v>531</v>
      </c>
      <c r="B110" t="s">
        <v>502</v>
      </c>
      <c r="C110" t="s">
        <v>532</v>
      </c>
      <c r="D110">
        <v>78</v>
      </c>
      <c r="E110" s="5">
        <v>12.38</v>
      </c>
      <c r="F110" s="5">
        <v>965.64</v>
      </c>
      <c r="G110" s="5">
        <v>15.1</v>
      </c>
      <c r="H110" s="5">
        <v>2.52</v>
      </c>
      <c r="I110" s="5">
        <v>13.03</v>
      </c>
      <c r="J110" s="5">
        <v>1177.5</v>
      </c>
      <c r="K110" s="5">
        <v>211.86</v>
      </c>
      <c r="L110" t="s">
        <v>618</v>
      </c>
      <c r="M110" s="13">
        <v>2025</v>
      </c>
    </row>
    <row r="111" spans="1:13" x14ac:dyDescent="0.3">
      <c r="A111" t="s">
        <v>535</v>
      </c>
      <c r="B111" t="s">
        <v>502</v>
      </c>
      <c r="C111" t="s">
        <v>536</v>
      </c>
      <c r="D111">
        <v>54</v>
      </c>
      <c r="E111" s="5">
        <v>546.44000000000005</v>
      </c>
      <c r="F111" s="5">
        <v>29507.5</v>
      </c>
      <c r="G111" s="5">
        <v>805.76</v>
      </c>
      <c r="H111" s="5">
        <v>450</v>
      </c>
      <c r="I111" s="5">
        <v>145.85</v>
      </c>
      <c r="J111" s="5">
        <v>43510.85</v>
      </c>
      <c r="K111" s="5">
        <v>14003.35</v>
      </c>
      <c r="L111" t="s">
        <v>618</v>
      </c>
      <c r="M111" s="13">
        <v>2025</v>
      </c>
    </row>
    <row r="112" spans="1:13" x14ac:dyDescent="0.3">
      <c r="A112" t="s">
        <v>529</v>
      </c>
      <c r="B112" t="s">
        <v>502</v>
      </c>
      <c r="C112" t="s">
        <v>530</v>
      </c>
      <c r="D112">
        <v>36</v>
      </c>
      <c r="E112" s="5">
        <v>593.55999999999995</v>
      </c>
      <c r="F112" s="5">
        <v>21368.05</v>
      </c>
      <c r="G112" s="5">
        <v>870.49</v>
      </c>
      <c r="H112" s="5">
        <v>86.5</v>
      </c>
      <c r="I112" s="5">
        <v>14</v>
      </c>
      <c r="J112" s="5">
        <v>31337.5</v>
      </c>
      <c r="K112" s="5">
        <v>9969.4500000000007</v>
      </c>
      <c r="L112" t="s">
        <v>618</v>
      </c>
      <c r="M112" s="13">
        <v>2025</v>
      </c>
    </row>
    <row r="113" spans="1:13" x14ac:dyDescent="0.3">
      <c r="A113" t="s">
        <v>541</v>
      </c>
      <c r="B113" t="s">
        <v>502</v>
      </c>
      <c r="C113" t="s">
        <v>542</v>
      </c>
      <c r="D113">
        <v>35</v>
      </c>
      <c r="E113" s="5">
        <v>688.19</v>
      </c>
      <c r="F113" s="5">
        <v>24086.5</v>
      </c>
      <c r="G113" s="5">
        <v>1210.53</v>
      </c>
      <c r="H113" s="5">
        <v>178.07</v>
      </c>
      <c r="I113" s="5">
        <v>46.51</v>
      </c>
      <c r="J113" s="5">
        <v>42368.44</v>
      </c>
      <c r="K113" s="5">
        <v>18281.939999999999</v>
      </c>
      <c r="L113" t="s">
        <v>618</v>
      </c>
      <c r="M113" s="13">
        <v>2025</v>
      </c>
    </row>
    <row r="114" spans="1:13" x14ac:dyDescent="0.3">
      <c r="A114" t="s">
        <v>523</v>
      </c>
      <c r="B114" t="s">
        <v>502</v>
      </c>
      <c r="C114" t="s">
        <v>524</v>
      </c>
      <c r="D114">
        <v>35</v>
      </c>
      <c r="E114" s="5">
        <v>12.55</v>
      </c>
      <c r="F114" s="5">
        <v>439.25</v>
      </c>
      <c r="G114" s="5">
        <v>14.14</v>
      </c>
      <c r="H114" s="5">
        <v>0</v>
      </c>
      <c r="I114" s="5">
        <v>0</v>
      </c>
      <c r="J114" s="5">
        <v>495</v>
      </c>
      <c r="K114" s="5">
        <v>55.75</v>
      </c>
      <c r="L114" t="s">
        <v>618</v>
      </c>
      <c r="M114" s="13">
        <v>2025</v>
      </c>
    </row>
    <row r="115" spans="1:13" x14ac:dyDescent="0.3">
      <c r="A115" t="s">
        <v>545</v>
      </c>
      <c r="B115" t="s">
        <v>502</v>
      </c>
      <c r="C115" t="s">
        <v>546</v>
      </c>
      <c r="D115">
        <v>35</v>
      </c>
      <c r="E115" s="5">
        <v>13.69</v>
      </c>
      <c r="F115" s="5">
        <v>479.15</v>
      </c>
      <c r="G115" s="5">
        <v>103.53</v>
      </c>
      <c r="H115" s="5">
        <v>9.61</v>
      </c>
      <c r="I115" s="5">
        <v>4.6399999999999997</v>
      </c>
      <c r="J115" s="5">
        <v>3623.44</v>
      </c>
      <c r="K115" s="5">
        <v>3144.29</v>
      </c>
      <c r="L115" t="s">
        <v>618</v>
      </c>
      <c r="M115" s="13">
        <v>2025</v>
      </c>
    </row>
    <row r="116" spans="1:13" x14ac:dyDescent="0.3">
      <c r="A116" t="s">
        <v>547</v>
      </c>
      <c r="B116" t="s">
        <v>502</v>
      </c>
      <c r="C116" t="s">
        <v>548</v>
      </c>
      <c r="D116">
        <v>34</v>
      </c>
      <c r="E116" s="5">
        <v>3.05</v>
      </c>
      <c r="F116" s="5">
        <v>103.7</v>
      </c>
      <c r="G116" s="5">
        <v>4.76</v>
      </c>
      <c r="H116" s="5">
        <v>0</v>
      </c>
      <c r="I116" s="5">
        <v>8.6999999999999993</v>
      </c>
      <c r="J116" s="5">
        <v>161.69</v>
      </c>
      <c r="K116" s="5">
        <v>57.99</v>
      </c>
      <c r="L116" t="s">
        <v>618</v>
      </c>
      <c r="M116" s="13">
        <v>2025</v>
      </c>
    </row>
    <row r="117" spans="1:13" x14ac:dyDescent="0.3">
      <c r="A117" t="s">
        <v>539</v>
      </c>
      <c r="B117" t="s">
        <v>502</v>
      </c>
      <c r="C117" t="s">
        <v>540</v>
      </c>
      <c r="D117">
        <v>31</v>
      </c>
      <c r="E117" s="5">
        <v>719.4</v>
      </c>
      <c r="F117" s="5">
        <v>22301.39</v>
      </c>
      <c r="G117" s="5">
        <v>1332.54</v>
      </c>
      <c r="H117" s="5">
        <v>50.41</v>
      </c>
      <c r="I117" s="5">
        <v>9.25</v>
      </c>
      <c r="J117" s="5">
        <v>41308.839999999997</v>
      </c>
      <c r="K117" s="5">
        <v>19007.45</v>
      </c>
      <c r="L117" t="s">
        <v>618</v>
      </c>
      <c r="M117" s="13">
        <v>2025</v>
      </c>
    </row>
    <row r="118" spans="1:13" x14ac:dyDescent="0.3">
      <c r="A118" t="s">
        <v>551</v>
      </c>
      <c r="B118" t="s">
        <v>502</v>
      </c>
      <c r="C118" t="s">
        <v>552</v>
      </c>
      <c r="D118">
        <v>26</v>
      </c>
      <c r="E118" s="5">
        <v>61.37</v>
      </c>
      <c r="F118" s="5">
        <v>1595.62</v>
      </c>
      <c r="G118" s="5">
        <v>87.19</v>
      </c>
      <c r="H118" s="5">
        <v>0</v>
      </c>
      <c r="I118" s="5">
        <v>17</v>
      </c>
      <c r="J118" s="5">
        <v>2267</v>
      </c>
      <c r="K118" s="5">
        <v>671.38</v>
      </c>
      <c r="L118" t="s">
        <v>618</v>
      </c>
      <c r="M118" s="13">
        <v>2025</v>
      </c>
    </row>
    <row r="119" spans="1:13" x14ac:dyDescent="0.3">
      <c r="A119" t="s">
        <v>549</v>
      </c>
      <c r="B119" t="s">
        <v>502</v>
      </c>
      <c r="C119" t="s">
        <v>619</v>
      </c>
      <c r="D119">
        <v>19</v>
      </c>
      <c r="E119" s="5">
        <v>42</v>
      </c>
      <c r="F119" s="5">
        <v>798</v>
      </c>
      <c r="G119" s="5">
        <v>55</v>
      </c>
      <c r="H119" s="5">
        <v>0</v>
      </c>
      <c r="I119" s="5">
        <v>0</v>
      </c>
      <c r="J119" s="5">
        <v>1045</v>
      </c>
      <c r="K119" s="5">
        <v>247</v>
      </c>
      <c r="L119" t="s">
        <v>618</v>
      </c>
      <c r="M119" s="13">
        <v>2025</v>
      </c>
    </row>
    <row r="120" spans="1:13" x14ac:dyDescent="0.3">
      <c r="A120" t="s">
        <v>527</v>
      </c>
      <c r="B120" t="s">
        <v>502</v>
      </c>
      <c r="C120" t="s">
        <v>528</v>
      </c>
      <c r="D120">
        <v>17</v>
      </c>
      <c r="E120" s="5">
        <v>57.13</v>
      </c>
      <c r="F120" s="5">
        <v>971.21</v>
      </c>
      <c r="G120" s="5">
        <v>193.97</v>
      </c>
      <c r="H120" s="5">
        <v>0</v>
      </c>
      <c r="I120" s="5">
        <v>27.47</v>
      </c>
      <c r="J120" s="5">
        <v>3297.47</v>
      </c>
      <c r="K120" s="5">
        <v>2326.2600000000002</v>
      </c>
      <c r="L120" t="s">
        <v>618</v>
      </c>
      <c r="M120" s="13">
        <v>2025</v>
      </c>
    </row>
    <row r="121" spans="1:13" x14ac:dyDescent="0.3">
      <c r="A121" t="s">
        <v>553</v>
      </c>
      <c r="B121" t="s">
        <v>502</v>
      </c>
      <c r="C121" t="s">
        <v>554</v>
      </c>
      <c r="D121">
        <v>14</v>
      </c>
      <c r="E121" s="5">
        <v>707.23</v>
      </c>
      <c r="F121" s="5">
        <v>9901.2199999999993</v>
      </c>
      <c r="G121" s="5">
        <v>1417.86</v>
      </c>
      <c r="H121" s="5">
        <v>50</v>
      </c>
      <c r="I121" s="5">
        <v>0</v>
      </c>
      <c r="J121" s="5">
        <v>19850</v>
      </c>
      <c r="K121" s="5">
        <v>9948.7800000000007</v>
      </c>
      <c r="L121" t="s">
        <v>618</v>
      </c>
      <c r="M121" s="13">
        <v>2025</v>
      </c>
    </row>
    <row r="122" spans="1:13" x14ac:dyDescent="0.3">
      <c r="A122" t="s">
        <v>620</v>
      </c>
      <c r="B122" t="s">
        <v>502</v>
      </c>
      <c r="C122" t="s">
        <v>621</v>
      </c>
      <c r="D122">
        <v>13</v>
      </c>
      <c r="E122" s="5">
        <v>41</v>
      </c>
      <c r="F122" s="5">
        <v>533</v>
      </c>
      <c r="G122" s="5">
        <v>54.9</v>
      </c>
      <c r="H122" s="5">
        <v>1.34</v>
      </c>
      <c r="I122" s="5">
        <v>0</v>
      </c>
      <c r="J122" s="5">
        <v>713.66</v>
      </c>
      <c r="K122" s="5">
        <v>180.66</v>
      </c>
      <c r="L122" t="s">
        <v>618</v>
      </c>
      <c r="M122" s="13">
        <v>2025</v>
      </c>
    </row>
    <row r="123" spans="1:13" x14ac:dyDescent="0.3">
      <c r="A123" t="s">
        <v>557</v>
      </c>
      <c r="B123" t="s">
        <v>502</v>
      </c>
      <c r="C123" t="s">
        <v>558</v>
      </c>
      <c r="D123">
        <v>12</v>
      </c>
      <c r="E123" s="5">
        <v>268.45999999999998</v>
      </c>
      <c r="F123" s="5">
        <v>3221.52</v>
      </c>
      <c r="G123" s="5">
        <v>526.48</v>
      </c>
      <c r="H123" s="5">
        <v>0</v>
      </c>
      <c r="I123" s="5">
        <v>17.75</v>
      </c>
      <c r="J123" s="5">
        <v>6317.75</v>
      </c>
      <c r="K123" s="5">
        <v>3096.23</v>
      </c>
      <c r="L123" t="s">
        <v>618</v>
      </c>
      <c r="M123" s="13">
        <v>2025</v>
      </c>
    </row>
    <row r="124" spans="1:13" x14ac:dyDescent="0.3">
      <c r="A124" t="s">
        <v>559</v>
      </c>
      <c r="B124" t="s">
        <v>502</v>
      </c>
      <c r="C124" t="s">
        <v>560</v>
      </c>
      <c r="D124">
        <v>12</v>
      </c>
      <c r="E124" s="5">
        <v>49.21</v>
      </c>
      <c r="F124" s="5">
        <v>590.52</v>
      </c>
      <c r="G124" s="5">
        <v>80.83</v>
      </c>
      <c r="H124" s="5">
        <v>0.02</v>
      </c>
      <c r="I124" s="5">
        <v>0</v>
      </c>
      <c r="J124" s="5">
        <v>969.98</v>
      </c>
      <c r="K124" s="5">
        <v>379.46</v>
      </c>
      <c r="L124" t="s">
        <v>618</v>
      </c>
      <c r="M124" s="13">
        <v>2025</v>
      </c>
    </row>
    <row r="125" spans="1:13" x14ac:dyDescent="0.3">
      <c r="A125" t="s">
        <v>575</v>
      </c>
      <c r="B125" t="s">
        <v>502</v>
      </c>
      <c r="C125" t="s">
        <v>576</v>
      </c>
      <c r="D125">
        <v>12</v>
      </c>
      <c r="E125" s="5">
        <v>3</v>
      </c>
      <c r="F125" s="5">
        <v>36</v>
      </c>
      <c r="G125" s="5">
        <v>49.58</v>
      </c>
      <c r="H125" s="5">
        <v>50</v>
      </c>
      <c r="I125" s="5">
        <v>30.8</v>
      </c>
      <c r="J125" s="5">
        <v>595</v>
      </c>
      <c r="K125" s="5">
        <v>559</v>
      </c>
      <c r="L125" t="s">
        <v>618</v>
      </c>
      <c r="M125" s="13">
        <v>2025</v>
      </c>
    </row>
    <row r="126" spans="1:13" x14ac:dyDescent="0.3">
      <c r="A126" t="s">
        <v>614</v>
      </c>
      <c r="B126" t="s">
        <v>502</v>
      </c>
      <c r="C126" t="s">
        <v>615</v>
      </c>
      <c r="D126">
        <v>9</v>
      </c>
      <c r="E126" s="5">
        <v>33.56</v>
      </c>
      <c r="F126" s="5">
        <v>302.04000000000002</v>
      </c>
      <c r="G126" s="5">
        <v>42.97</v>
      </c>
      <c r="H126" s="5">
        <v>73.25</v>
      </c>
      <c r="I126" s="5">
        <v>0</v>
      </c>
      <c r="J126" s="5">
        <v>386.7</v>
      </c>
      <c r="K126" s="5">
        <v>84.66</v>
      </c>
      <c r="L126" t="s">
        <v>618</v>
      </c>
      <c r="M126" s="13">
        <v>2025</v>
      </c>
    </row>
    <row r="127" spans="1:13" x14ac:dyDescent="0.3">
      <c r="A127" t="s">
        <v>622</v>
      </c>
      <c r="B127" t="s">
        <v>502</v>
      </c>
      <c r="C127" t="s">
        <v>623</v>
      </c>
      <c r="D127">
        <v>9</v>
      </c>
      <c r="E127" s="5">
        <v>743.59</v>
      </c>
      <c r="F127" s="5">
        <v>6692.28</v>
      </c>
      <c r="G127" s="5">
        <v>1605.56</v>
      </c>
      <c r="H127" s="5">
        <v>150</v>
      </c>
      <c r="I127" s="5">
        <v>0</v>
      </c>
      <c r="J127" s="5">
        <v>14450</v>
      </c>
      <c r="K127" s="5">
        <v>7757.72</v>
      </c>
      <c r="L127" t="s">
        <v>618</v>
      </c>
      <c r="M127" s="13">
        <v>2025</v>
      </c>
    </row>
    <row r="128" spans="1:13" x14ac:dyDescent="0.3">
      <c r="A128" t="s">
        <v>587</v>
      </c>
      <c r="B128" t="s">
        <v>502</v>
      </c>
      <c r="C128" t="s">
        <v>588</v>
      </c>
      <c r="D128">
        <v>9</v>
      </c>
      <c r="E128" s="5">
        <v>722.84</v>
      </c>
      <c r="F128" s="5">
        <v>6505.56</v>
      </c>
      <c r="G128" s="5">
        <v>1503.77</v>
      </c>
      <c r="H128" s="5">
        <v>266.07</v>
      </c>
      <c r="I128" s="5">
        <v>0</v>
      </c>
      <c r="J128" s="5">
        <v>13533.93</v>
      </c>
      <c r="K128" s="5">
        <v>7028.37</v>
      </c>
      <c r="L128" t="s">
        <v>618</v>
      </c>
      <c r="M128" s="13">
        <v>2025</v>
      </c>
    </row>
    <row r="129" spans="1:13" x14ac:dyDescent="0.3">
      <c r="A129" t="s">
        <v>563</v>
      </c>
      <c r="B129" t="s">
        <v>502</v>
      </c>
      <c r="C129" t="s">
        <v>564</v>
      </c>
      <c r="D129">
        <v>8</v>
      </c>
      <c r="E129" s="5">
        <v>33</v>
      </c>
      <c r="F129" s="5">
        <v>264</v>
      </c>
      <c r="G129" s="5">
        <v>154.18</v>
      </c>
      <c r="H129" s="5">
        <v>0</v>
      </c>
      <c r="I129" s="5">
        <v>33.46</v>
      </c>
      <c r="J129" s="5">
        <v>1233.46</v>
      </c>
      <c r="K129" s="5">
        <v>969.46</v>
      </c>
      <c r="L129" t="s">
        <v>618</v>
      </c>
      <c r="M129" s="13">
        <v>2025</v>
      </c>
    </row>
    <row r="130" spans="1:13" x14ac:dyDescent="0.3">
      <c r="A130" t="s">
        <v>591</v>
      </c>
      <c r="B130" t="s">
        <v>502</v>
      </c>
      <c r="C130" t="s">
        <v>592</v>
      </c>
      <c r="D130">
        <v>7</v>
      </c>
      <c r="E130" s="5">
        <v>33.56</v>
      </c>
      <c r="F130" s="5">
        <v>234.92</v>
      </c>
      <c r="G130" s="5">
        <v>85</v>
      </c>
      <c r="H130" s="5">
        <v>0</v>
      </c>
      <c r="I130" s="5">
        <v>0</v>
      </c>
      <c r="J130" s="5">
        <v>595</v>
      </c>
      <c r="K130" s="5">
        <v>360.08</v>
      </c>
      <c r="L130" t="s">
        <v>618</v>
      </c>
      <c r="M130" s="13">
        <v>2025</v>
      </c>
    </row>
    <row r="131" spans="1:13" x14ac:dyDescent="0.3">
      <c r="A131" t="s">
        <v>624</v>
      </c>
      <c r="B131" t="s">
        <v>502</v>
      </c>
      <c r="C131" t="s">
        <v>625</v>
      </c>
      <c r="D131">
        <v>4</v>
      </c>
      <c r="E131" s="5">
        <v>35</v>
      </c>
      <c r="F131" s="5">
        <v>140</v>
      </c>
      <c r="G131" s="5">
        <v>55</v>
      </c>
      <c r="H131" s="5">
        <v>20</v>
      </c>
      <c r="I131" s="5">
        <v>0</v>
      </c>
      <c r="J131" s="5">
        <v>220</v>
      </c>
      <c r="K131" s="5">
        <v>80</v>
      </c>
      <c r="L131" t="s">
        <v>618</v>
      </c>
      <c r="M131" s="13">
        <v>2025</v>
      </c>
    </row>
    <row r="132" spans="1:13" x14ac:dyDescent="0.3">
      <c r="A132" t="s">
        <v>565</v>
      </c>
      <c r="B132" t="s">
        <v>502</v>
      </c>
      <c r="C132" t="s">
        <v>566</v>
      </c>
      <c r="D132">
        <v>4</v>
      </c>
      <c r="E132" s="5">
        <v>90</v>
      </c>
      <c r="F132" s="5">
        <v>360</v>
      </c>
      <c r="G132" s="5">
        <v>195.51</v>
      </c>
      <c r="H132" s="5">
        <v>0</v>
      </c>
      <c r="I132" s="5">
        <v>2.0499999999999998</v>
      </c>
      <c r="J132" s="5">
        <v>782.05</v>
      </c>
      <c r="K132" s="5">
        <v>422.05</v>
      </c>
      <c r="L132" t="s">
        <v>618</v>
      </c>
      <c r="M132" s="13">
        <v>2025</v>
      </c>
    </row>
    <row r="133" spans="1:13" x14ac:dyDescent="0.3">
      <c r="A133" t="s">
        <v>585</v>
      </c>
      <c r="B133" t="s">
        <v>502</v>
      </c>
      <c r="C133" t="s">
        <v>586</v>
      </c>
      <c r="D133">
        <v>3</v>
      </c>
      <c r="E133" s="5">
        <v>911.35</v>
      </c>
      <c r="F133" s="5">
        <v>2734.05</v>
      </c>
      <c r="G133" s="5">
        <v>1400</v>
      </c>
      <c r="H133" s="5">
        <v>0</v>
      </c>
      <c r="I133" s="5">
        <v>0</v>
      </c>
      <c r="J133" s="5">
        <v>4200</v>
      </c>
      <c r="K133" s="5">
        <v>1465.95</v>
      </c>
      <c r="L133" t="s">
        <v>618</v>
      </c>
      <c r="M133" s="13">
        <v>2025</v>
      </c>
    </row>
    <row r="134" spans="1:13" x14ac:dyDescent="0.3">
      <c r="A134" t="s">
        <v>561</v>
      </c>
      <c r="B134" t="s">
        <v>502</v>
      </c>
      <c r="C134" t="s">
        <v>562</v>
      </c>
      <c r="D134">
        <v>3</v>
      </c>
      <c r="E134" s="5">
        <v>5</v>
      </c>
      <c r="F134" s="5">
        <v>15</v>
      </c>
      <c r="G134" s="5">
        <v>8</v>
      </c>
      <c r="H134" s="5">
        <v>0</v>
      </c>
      <c r="I134" s="5">
        <v>0</v>
      </c>
      <c r="J134" s="5">
        <v>24</v>
      </c>
      <c r="K134" s="5">
        <v>9</v>
      </c>
      <c r="L134" t="s">
        <v>618</v>
      </c>
      <c r="M134" s="13">
        <v>2025</v>
      </c>
    </row>
    <row r="135" spans="1:13" x14ac:dyDescent="0.3">
      <c r="A135" t="s">
        <v>555</v>
      </c>
      <c r="B135" t="s">
        <v>502</v>
      </c>
      <c r="C135" t="s">
        <v>556</v>
      </c>
      <c r="D135">
        <v>3</v>
      </c>
      <c r="E135" s="5">
        <v>958.22</v>
      </c>
      <c r="F135" s="5">
        <v>2874.67</v>
      </c>
      <c r="G135" s="5">
        <v>1400</v>
      </c>
      <c r="H135" s="5">
        <v>0</v>
      </c>
      <c r="I135" s="5">
        <v>0</v>
      </c>
      <c r="J135" s="5">
        <v>4200</v>
      </c>
      <c r="K135" s="5">
        <v>1325.33</v>
      </c>
      <c r="L135" t="s">
        <v>618</v>
      </c>
      <c r="M135" s="13">
        <v>2025</v>
      </c>
    </row>
    <row r="136" spans="1:13" x14ac:dyDescent="0.3">
      <c r="A136" t="s">
        <v>502</v>
      </c>
      <c r="B136" t="s">
        <v>502</v>
      </c>
      <c r="C136" t="s">
        <v>626</v>
      </c>
      <c r="D136">
        <v>2</v>
      </c>
      <c r="E136" s="5">
        <v>0</v>
      </c>
      <c r="F136" s="5">
        <v>0</v>
      </c>
      <c r="G136" s="5">
        <v>200</v>
      </c>
      <c r="H136" s="5">
        <v>0</v>
      </c>
      <c r="I136" s="5">
        <v>0</v>
      </c>
      <c r="J136" s="5">
        <v>400</v>
      </c>
      <c r="K136" s="5">
        <v>400</v>
      </c>
      <c r="L136" t="s">
        <v>618</v>
      </c>
      <c r="M136" s="13">
        <v>2025</v>
      </c>
    </row>
    <row r="137" spans="1:13" x14ac:dyDescent="0.3">
      <c r="A137" t="s">
        <v>577</v>
      </c>
      <c r="B137" t="s">
        <v>502</v>
      </c>
      <c r="C137" t="s">
        <v>578</v>
      </c>
      <c r="D137">
        <v>2</v>
      </c>
      <c r="E137" s="5">
        <v>30.49</v>
      </c>
      <c r="F137" s="5">
        <v>60.98</v>
      </c>
      <c r="G137" s="5">
        <v>42.5</v>
      </c>
      <c r="H137" s="5">
        <v>0</v>
      </c>
      <c r="I137" s="5">
        <v>0</v>
      </c>
      <c r="J137" s="5">
        <v>85</v>
      </c>
      <c r="K137" s="5">
        <v>24.02</v>
      </c>
      <c r="L137" t="s">
        <v>618</v>
      </c>
      <c r="M137" s="13">
        <v>2025</v>
      </c>
    </row>
    <row r="138" spans="1:13" x14ac:dyDescent="0.3">
      <c r="A138" t="s">
        <v>627</v>
      </c>
      <c r="B138" t="s">
        <v>502</v>
      </c>
      <c r="C138" t="s">
        <v>628</v>
      </c>
      <c r="D138">
        <v>2</v>
      </c>
      <c r="E138" s="5">
        <v>20.92</v>
      </c>
      <c r="F138" s="5">
        <v>41.84</v>
      </c>
      <c r="G138" s="5">
        <v>35</v>
      </c>
      <c r="H138" s="5">
        <v>0</v>
      </c>
      <c r="I138" s="5">
        <v>0</v>
      </c>
      <c r="J138" s="5">
        <v>70</v>
      </c>
      <c r="K138" s="5">
        <v>28.16</v>
      </c>
      <c r="L138" t="s">
        <v>618</v>
      </c>
      <c r="M138" s="13">
        <v>2025</v>
      </c>
    </row>
    <row r="139" spans="1:13" x14ac:dyDescent="0.3">
      <c r="A139" t="s">
        <v>629</v>
      </c>
      <c r="B139" t="s">
        <v>502</v>
      </c>
      <c r="C139" t="s">
        <v>630</v>
      </c>
      <c r="D139">
        <v>2</v>
      </c>
      <c r="E139" s="5">
        <v>10.58</v>
      </c>
      <c r="F139" s="5">
        <v>21.16</v>
      </c>
      <c r="G139" s="5">
        <v>21</v>
      </c>
      <c r="H139" s="5">
        <v>0</v>
      </c>
      <c r="I139" s="5">
        <v>0</v>
      </c>
      <c r="J139" s="5">
        <v>42</v>
      </c>
      <c r="K139" s="5">
        <v>20.84</v>
      </c>
      <c r="L139" t="s">
        <v>618</v>
      </c>
      <c r="M139" s="13">
        <v>2025</v>
      </c>
    </row>
    <row r="140" spans="1:13" x14ac:dyDescent="0.3">
      <c r="A140" t="s">
        <v>567</v>
      </c>
      <c r="B140" t="s">
        <v>502</v>
      </c>
      <c r="C140" t="s">
        <v>609</v>
      </c>
      <c r="D140">
        <v>1</v>
      </c>
      <c r="E140" s="5">
        <v>100</v>
      </c>
      <c r="F140" s="5">
        <v>100</v>
      </c>
      <c r="G140" s="5">
        <v>200</v>
      </c>
      <c r="H140" s="5">
        <v>0</v>
      </c>
      <c r="I140" s="5">
        <v>0</v>
      </c>
      <c r="J140" s="5">
        <v>200</v>
      </c>
      <c r="K140" s="5">
        <v>100</v>
      </c>
      <c r="L140" t="s">
        <v>618</v>
      </c>
      <c r="M140" s="13">
        <v>2025</v>
      </c>
    </row>
    <row r="141" spans="1:13" x14ac:dyDescent="0.3">
      <c r="A141" t="s">
        <v>502</v>
      </c>
      <c r="B141" t="s">
        <v>502</v>
      </c>
      <c r="C141" t="s">
        <v>631</v>
      </c>
      <c r="D141">
        <v>1</v>
      </c>
      <c r="E141" s="5">
        <v>0</v>
      </c>
      <c r="F141" s="5">
        <v>0</v>
      </c>
      <c r="G141" s="5">
        <v>80</v>
      </c>
      <c r="H141" s="5">
        <v>0</v>
      </c>
      <c r="I141" s="5">
        <v>0</v>
      </c>
      <c r="J141" s="5">
        <v>80</v>
      </c>
      <c r="K141" s="5">
        <v>80</v>
      </c>
      <c r="L141" t="s">
        <v>618</v>
      </c>
      <c r="M141" s="13">
        <v>2025</v>
      </c>
    </row>
    <row r="142" spans="1:13" x14ac:dyDescent="0.3">
      <c r="A142" t="s">
        <v>502</v>
      </c>
      <c r="B142" t="s">
        <v>502</v>
      </c>
      <c r="C142" t="s">
        <v>632</v>
      </c>
      <c r="D142">
        <v>1</v>
      </c>
      <c r="E142" s="5">
        <v>400</v>
      </c>
      <c r="F142" s="5">
        <v>400</v>
      </c>
      <c r="G142" s="5">
        <v>600</v>
      </c>
      <c r="H142" s="5">
        <v>0</v>
      </c>
      <c r="I142" s="5">
        <v>0</v>
      </c>
      <c r="J142" s="5">
        <v>600</v>
      </c>
      <c r="K142" s="5">
        <v>200</v>
      </c>
      <c r="L142" t="s">
        <v>618</v>
      </c>
      <c r="M142" s="13">
        <v>2025</v>
      </c>
    </row>
    <row r="143" spans="1:13" x14ac:dyDescent="0.3">
      <c r="A143" t="s">
        <v>502</v>
      </c>
      <c r="B143" t="s">
        <v>502</v>
      </c>
      <c r="C143" t="s">
        <v>633</v>
      </c>
      <c r="D143">
        <v>1</v>
      </c>
      <c r="E143" s="5">
        <v>0</v>
      </c>
      <c r="F143" s="5">
        <v>0</v>
      </c>
      <c r="G143" s="5">
        <v>80</v>
      </c>
      <c r="H143" s="5">
        <v>0</v>
      </c>
      <c r="I143" s="5">
        <v>0</v>
      </c>
      <c r="J143" s="5">
        <v>80</v>
      </c>
      <c r="K143" s="5">
        <v>80</v>
      </c>
      <c r="L143" t="s">
        <v>618</v>
      </c>
      <c r="M143" s="13">
        <v>2025</v>
      </c>
    </row>
    <row r="144" spans="1:13" x14ac:dyDescent="0.3">
      <c r="A144" t="s">
        <v>634</v>
      </c>
      <c r="B144" t="s">
        <v>502</v>
      </c>
      <c r="C144" t="s">
        <v>635</v>
      </c>
      <c r="D144">
        <v>1</v>
      </c>
      <c r="E144" s="5">
        <v>3.53</v>
      </c>
      <c r="F144" s="5">
        <v>3.53</v>
      </c>
      <c r="G144" s="5">
        <v>8</v>
      </c>
      <c r="H144" s="5">
        <v>0</v>
      </c>
      <c r="I144" s="5">
        <v>0</v>
      </c>
      <c r="J144" s="5">
        <v>8</v>
      </c>
      <c r="K144" s="5">
        <v>4.47</v>
      </c>
      <c r="L144" t="s">
        <v>618</v>
      </c>
      <c r="M144" s="13">
        <v>2025</v>
      </c>
    </row>
    <row r="145" spans="1:13" x14ac:dyDescent="0.3">
      <c r="A145" t="s">
        <v>505</v>
      </c>
      <c r="B145" t="s">
        <v>502</v>
      </c>
      <c r="C145" t="s">
        <v>506</v>
      </c>
      <c r="D145">
        <v>2350</v>
      </c>
      <c r="E145" s="5">
        <v>2.5</v>
      </c>
      <c r="F145" s="5">
        <v>5875</v>
      </c>
      <c r="G145" s="5">
        <v>3</v>
      </c>
      <c r="H145" s="5">
        <v>8.6199999999999992</v>
      </c>
      <c r="I145" s="5">
        <v>0</v>
      </c>
      <c r="J145" s="5">
        <v>7041.38</v>
      </c>
      <c r="K145" s="5">
        <v>1166.3800000000001</v>
      </c>
      <c r="L145" t="s">
        <v>636</v>
      </c>
      <c r="M145" s="13">
        <v>2025</v>
      </c>
    </row>
    <row r="146" spans="1:13" x14ac:dyDescent="0.3">
      <c r="A146" t="s">
        <v>515</v>
      </c>
      <c r="B146" t="s">
        <v>502</v>
      </c>
      <c r="C146" t="s">
        <v>516</v>
      </c>
      <c r="D146">
        <v>201</v>
      </c>
      <c r="E146" s="5">
        <v>7.9</v>
      </c>
      <c r="F146" s="5">
        <v>1587.9</v>
      </c>
      <c r="G146" s="5">
        <v>28.64</v>
      </c>
      <c r="H146" s="5">
        <v>61.43</v>
      </c>
      <c r="I146" s="5">
        <v>18</v>
      </c>
      <c r="J146" s="5">
        <v>5756.57</v>
      </c>
      <c r="K146" s="5">
        <v>4168.67</v>
      </c>
      <c r="L146" t="s">
        <v>636</v>
      </c>
      <c r="M146" s="13">
        <v>2025</v>
      </c>
    </row>
    <row r="147" spans="1:13" x14ac:dyDescent="0.3">
      <c r="A147" t="s">
        <v>511</v>
      </c>
      <c r="B147" t="s">
        <v>502</v>
      </c>
      <c r="C147" t="s">
        <v>512</v>
      </c>
      <c r="D147">
        <v>174</v>
      </c>
      <c r="E147" s="5">
        <v>447</v>
      </c>
      <c r="F147" s="5">
        <v>77778</v>
      </c>
      <c r="G147" s="5">
        <v>629.21</v>
      </c>
      <c r="H147" s="5">
        <v>996.54</v>
      </c>
      <c r="I147" s="5">
        <v>85.71</v>
      </c>
      <c r="J147" s="5">
        <v>109482.98</v>
      </c>
      <c r="K147" s="5">
        <v>31704.98</v>
      </c>
      <c r="L147" t="s">
        <v>636</v>
      </c>
      <c r="M147" s="13">
        <v>2025</v>
      </c>
    </row>
    <row r="148" spans="1:13" x14ac:dyDescent="0.3">
      <c r="A148" t="s">
        <v>513</v>
      </c>
      <c r="B148" t="s">
        <v>502</v>
      </c>
      <c r="C148" t="s">
        <v>514</v>
      </c>
      <c r="D148">
        <v>174</v>
      </c>
      <c r="E148" s="5">
        <v>473</v>
      </c>
      <c r="F148" s="5">
        <v>82302</v>
      </c>
      <c r="G148" s="5">
        <v>642.14</v>
      </c>
      <c r="H148" s="5">
        <v>178.11</v>
      </c>
      <c r="I148" s="5">
        <v>103.21</v>
      </c>
      <c r="J148" s="5">
        <v>111732.1</v>
      </c>
      <c r="K148" s="5">
        <v>29430.1</v>
      </c>
      <c r="L148" t="s">
        <v>636</v>
      </c>
      <c r="M148" s="13">
        <v>2025</v>
      </c>
    </row>
    <row r="149" spans="1:13" x14ac:dyDescent="0.3">
      <c r="A149" t="s">
        <v>507</v>
      </c>
      <c r="B149" t="s">
        <v>502</v>
      </c>
      <c r="C149" t="s">
        <v>508</v>
      </c>
      <c r="D149">
        <v>100</v>
      </c>
      <c r="E149" s="5">
        <v>0.65</v>
      </c>
      <c r="F149" s="5">
        <v>65</v>
      </c>
      <c r="G149" s="5">
        <v>1</v>
      </c>
      <c r="H149" s="5">
        <v>0</v>
      </c>
      <c r="I149" s="5">
        <v>0</v>
      </c>
      <c r="J149" s="5">
        <v>100</v>
      </c>
      <c r="K149" s="5">
        <v>35</v>
      </c>
      <c r="L149" t="s">
        <v>636</v>
      </c>
      <c r="M149" s="13">
        <v>2025</v>
      </c>
    </row>
    <row r="150" spans="1:13" x14ac:dyDescent="0.3">
      <c r="A150" t="s">
        <v>509</v>
      </c>
      <c r="B150" t="s">
        <v>502</v>
      </c>
      <c r="C150" t="s">
        <v>510</v>
      </c>
      <c r="D150">
        <v>100</v>
      </c>
      <c r="E150" s="5">
        <v>0.65</v>
      </c>
      <c r="F150" s="5">
        <v>65</v>
      </c>
      <c r="G150" s="5">
        <v>1</v>
      </c>
      <c r="H150" s="5">
        <v>0</v>
      </c>
      <c r="I150" s="5">
        <v>0</v>
      </c>
      <c r="J150" s="5">
        <v>100</v>
      </c>
      <c r="K150" s="5">
        <v>35</v>
      </c>
      <c r="L150" t="s">
        <v>636</v>
      </c>
      <c r="M150" s="13">
        <v>2025</v>
      </c>
    </row>
    <row r="151" spans="1:13" x14ac:dyDescent="0.3">
      <c r="A151" t="s">
        <v>537</v>
      </c>
      <c r="B151" t="s">
        <v>502</v>
      </c>
      <c r="C151" t="s">
        <v>538</v>
      </c>
      <c r="D151">
        <v>86</v>
      </c>
      <c r="E151" s="5">
        <v>25</v>
      </c>
      <c r="F151" s="5">
        <v>2150</v>
      </c>
      <c r="G151" s="5">
        <v>29.89</v>
      </c>
      <c r="H151" s="5">
        <v>1.99</v>
      </c>
      <c r="I151" s="5">
        <v>12.86</v>
      </c>
      <c r="J151" s="5">
        <v>2570.87</v>
      </c>
      <c r="K151" s="5">
        <v>420.87</v>
      </c>
      <c r="L151" t="s">
        <v>636</v>
      </c>
      <c r="M151" s="13">
        <v>2025</v>
      </c>
    </row>
    <row r="152" spans="1:13" x14ac:dyDescent="0.3">
      <c r="A152" t="s">
        <v>525</v>
      </c>
      <c r="B152" t="s">
        <v>502</v>
      </c>
      <c r="C152" t="s">
        <v>526</v>
      </c>
      <c r="D152">
        <v>70</v>
      </c>
      <c r="E152" s="5">
        <v>409.87</v>
      </c>
      <c r="F152" s="5">
        <v>28690.9</v>
      </c>
      <c r="G152" s="5">
        <v>579.9</v>
      </c>
      <c r="H152" s="5">
        <v>21.98</v>
      </c>
      <c r="I152" s="5">
        <v>0</v>
      </c>
      <c r="J152" s="5">
        <v>40593.019999999997</v>
      </c>
      <c r="K152" s="5">
        <v>11902.12</v>
      </c>
      <c r="L152" t="s">
        <v>636</v>
      </c>
      <c r="M152" s="13">
        <v>2025</v>
      </c>
    </row>
    <row r="153" spans="1:13" x14ac:dyDescent="0.3">
      <c r="A153" t="s">
        <v>521</v>
      </c>
      <c r="B153" t="s">
        <v>502</v>
      </c>
      <c r="C153" t="s">
        <v>522</v>
      </c>
      <c r="D153">
        <v>69</v>
      </c>
      <c r="E153" s="5">
        <v>497</v>
      </c>
      <c r="F153" s="5">
        <v>34293</v>
      </c>
      <c r="G153" s="5">
        <v>750.33</v>
      </c>
      <c r="H153" s="5">
        <v>68.64</v>
      </c>
      <c r="I153" s="5">
        <v>74.040000000000006</v>
      </c>
      <c r="J153" s="5">
        <v>51772.7</v>
      </c>
      <c r="K153" s="5">
        <v>17479.7</v>
      </c>
      <c r="L153" t="s">
        <v>636</v>
      </c>
      <c r="M153" s="13">
        <v>2025</v>
      </c>
    </row>
    <row r="154" spans="1:13" x14ac:dyDescent="0.3">
      <c r="A154" t="s">
        <v>535</v>
      </c>
      <c r="B154" t="s">
        <v>502</v>
      </c>
      <c r="C154" t="s">
        <v>536</v>
      </c>
      <c r="D154">
        <v>62</v>
      </c>
      <c r="E154" s="5">
        <v>521</v>
      </c>
      <c r="F154" s="5">
        <v>32302</v>
      </c>
      <c r="G154" s="5">
        <v>812.37</v>
      </c>
      <c r="H154" s="5">
        <v>47.1</v>
      </c>
      <c r="I154" s="5">
        <v>35.840000000000003</v>
      </c>
      <c r="J154" s="5">
        <v>50366.94</v>
      </c>
      <c r="K154" s="5">
        <v>18064.939999999999</v>
      </c>
      <c r="L154" t="s">
        <v>636</v>
      </c>
      <c r="M154" s="13">
        <v>2025</v>
      </c>
    </row>
    <row r="155" spans="1:13" x14ac:dyDescent="0.3">
      <c r="A155" t="s">
        <v>620</v>
      </c>
      <c r="B155" t="s">
        <v>502</v>
      </c>
      <c r="C155" t="s">
        <v>621</v>
      </c>
      <c r="D155">
        <v>54</v>
      </c>
      <c r="E155" s="5">
        <v>41</v>
      </c>
      <c r="F155" s="5">
        <v>2214</v>
      </c>
      <c r="G155" s="5">
        <v>54.54</v>
      </c>
      <c r="H155" s="5">
        <v>4.82</v>
      </c>
      <c r="I155" s="5">
        <v>0</v>
      </c>
      <c r="J155" s="5">
        <v>2945.18</v>
      </c>
      <c r="K155" s="5">
        <v>731.18</v>
      </c>
      <c r="L155" t="s">
        <v>636</v>
      </c>
      <c r="M155" s="13">
        <v>2025</v>
      </c>
    </row>
    <row r="156" spans="1:13" x14ac:dyDescent="0.3">
      <c r="A156" t="s">
        <v>529</v>
      </c>
      <c r="B156" t="s">
        <v>502</v>
      </c>
      <c r="C156" t="s">
        <v>530</v>
      </c>
      <c r="D156">
        <v>48</v>
      </c>
      <c r="E156" s="5">
        <v>584</v>
      </c>
      <c r="F156" s="5">
        <v>28032</v>
      </c>
      <c r="G156" s="5">
        <v>863.88</v>
      </c>
      <c r="H156" s="5">
        <v>488.17</v>
      </c>
      <c r="I156" s="5">
        <v>234.18</v>
      </c>
      <c r="J156" s="5">
        <v>41466.03</v>
      </c>
      <c r="K156" s="5">
        <v>13434.03</v>
      </c>
      <c r="L156" t="s">
        <v>636</v>
      </c>
      <c r="M156" s="13">
        <v>2025</v>
      </c>
    </row>
    <row r="157" spans="1:13" x14ac:dyDescent="0.3">
      <c r="A157" t="s">
        <v>547</v>
      </c>
      <c r="B157" t="s">
        <v>502</v>
      </c>
      <c r="C157" t="s">
        <v>548</v>
      </c>
      <c r="D157">
        <v>41</v>
      </c>
      <c r="E157" s="5">
        <v>3.05</v>
      </c>
      <c r="F157" s="5">
        <v>125.05</v>
      </c>
      <c r="G157" s="5">
        <v>4.45</v>
      </c>
      <c r="H157" s="5">
        <v>0.21</v>
      </c>
      <c r="I157" s="5">
        <v>0</v>
      </c>
      <c r="J157" s="5">
        <v>182.29</v>
      </c>
      <c r="K157" s="5">
        <v>57.24</v>
      </c>
      <c r="L157" t="s">
        <v>636</v>
      </c>
      <c r="M157" s="13">
        <v>2025</v>
      </c>
    </row>
    <row r="158" spans="1:13" x14ac:dyDescent="0.3">
      <c r="A158" t="s">
        <v>531</v>
      </c>
      <c r="B158" t="s">
        <v>502</v>
      </c>
      <c r="C158" t="s">
        <v>532</v>
      </c>
      <c r="D158">
        <v>32</v>
      </c>
      <c r="E158" s="5">
        <v>12.2</v>
      </c>
      <c r="F158" s="5">
        <v>390.27</v>
      </c>
      <c r="G158" s="5">
        <v>16.45</v>
      </c>
      <c r="H158" s="5">
        <v>0</v>
      </c>
      <c r="I158" s="5">
        <v>0</v>
      </c>
      <c r="J158" s="5">
        <v>526.5</v>
      </c>
      <c r="K158" s="5">
        <v>136.22999999999999</v>
      </c>
      <c r="L158" t="s">
        <v>636</v>
      </c>
      <c r="M158" s="13">
        <v>2025</v>
      </c>
    </row>
    <row r="159" spans="1:13" x14ac:dyDescent="0.3">
      <c r="A159" t="s">
        <v>539</v>
      </c>
      <c r="B159" t="s">
        <v>502</v>
      </c>
      <c r="C159" t="s">
        <v>540</v>
      </c>
      <c r="D159">
        <v>28</v>
      </c>
      <c r="E159" s="5">
        <v>725</v>
      </c>
      <c r="F159" s="5">
        <v>20300</v>
      </c>
      <c r="G159" s="5">
        <v>1315.13</v>
      </c>
      <c r="H159" s="5">
        <v>26.47</v>
      </c>
      <c r="I159" s="5">
        <v>0</v>
      </c>
      <c r="J159" s="5">
        <v>36823.53</v>
      </c>
      <c r="K159" s="5">
        <v>16523.53</v>
      </c>
      <c r="L159" t="s">
        <v>636</v>
      </c>
      <c r="M159" s="13">
        <v>2025</v>
      </c>
    </row>
    <row r="160" spans="1:13" x14ac:dyDescent="0.3">
      <c r="A160" t="s">
        <v>559</v>
      </c>
      <c r="B160" t="s">
        <v>502</v>
      </c>
      <c r="C160" t="s">
        <v>560</v>
      </c>
      <c r="D160">
        <v>20</v>
      </c>
      <c r="E160" s="5">
        <v>49.21</v>
      </c>
      <c r="F160" s="5">
        <v>984.2</v>
      </c>
      <c r="G160" s="5">
        <v>79.16</v>
      </c>
      <c r="H160" s="5">
        <v>1.82</v>
      </c>
      <c r="I160" s="5">
        <v>0</v>
      </c>
      <c r="J160" s="5">
        <v>1583.18</v>
      </c>
      <c r="K160" s="5">
        <v>598.98</v>
      </c>
      <c r="L160" t="s">
        <v>636</v>
      </c>
      <c r="M160" s="13">
        <v>2025</v>
      </c>
    </row>
    <row r="161" spans="1:13" x14ac:dyDescent="0.3">
      <c r="A161" t="s">
        <v>545</v>
      </c>
      <c r="B161" t="s">
        <v>502</v>
      </c>
      <c r="C161" t="s">
        <v>546</v>
      </c>
      <c r="D161">
        <v>16</v>
      </c>
      <c r="E161" s="5">
        <v>13.69</v>
      </c>
      <c r="F161" s="5">
        <v>219.04</v>
      </c>
      <c r="G161" s="5">
        <v>63.13</v>
      </c>
      <c r="H161" s="5">
        <v>0</v>
      </c>
      <c r="I161" s="5">
        <v>0</v>
      </c>
      <c r="J161" s="5">
        <v>1010</v>
      </c>
      <c r="K161" s="5">
        <v>790.96</v>
      </c>
      <c r="L161" t="s">
        <v>636</v>
      </c>
      <c r="M161" s="13">
        <v>2025</v>
      </c>
    </row>
    <row r="162" spans="1:13" x14ac:dyDescent="0.3">
      <c r="A162" t="s">
        <v>563</v>
      </c>
      <c r="B162" t="s">
        <v>502</v>
      </c>
      <c r="C162" t="s">
        <v>564</v>
      </c>
      <c r="D162">
        <v>15</v>
      </c>
      <c r="E162" s="5">
        <v>33</v>
      </c>
      <c r="F162" s="5">
        <v>495</v>
      </c>
      <c r="G162" s="5">
        <v>145.72</v>
      </c>
      <c r="H162" s="5">
        <v>4.1500000000000004</v>
      </c>
      <c r="I162" s="5">
        <v>0</v>
      </c>
      <c r="J162" s="5">
        <v>2185.85</v>
      </c>
      <c r="K162" s="5">
        <v>1690.85</v>
      </c>
      <c r="L162" t="s">
        <v>636</v>
      </c>
      <c r="M162" s="13">
        <v>2025</v>
      </c>
    </row>
    <row r="163" spans="1:13" x14ac:dyDescent="0.3">
      <c r="A163" t="s">
        <v>541</v>
      </c>
      <c r="B163" t="s">
        <v>502</v>
      </c>
      <c r="C163" t="s">
        <v>542</v>
      </c>
      <c r="D163">
        <v>15</v>
      </c>
      <c r="E163" s="5">
        <v>710</v>
      </c>
      <c r="F163" s="5">
        <v>10650</v>
      </c>
      <c r="G163" s="5">
        <v>1248.72</v>
      </c>
      <c r="H163" s="5">
        <v>19.149999999999999</v>
      </c>
      <c r="I163" s="5">
        <v>0</v>
      </c>
      <c r="J163" s="5">
        <v>18730.849999999999</v>
      </c>
      <c r="K163" s="5">
        <v>8080.85</v>
      </c>
      <c r="L163" t="s">
        <v>636</v>
      </c>
      <c r="M163" s="13">
        <v>2025</v>
      </c>
    </row>
    <row r="164" spans="1:13" x14ac:dyDescent="0.3">
      <c r="A164" t="s">
        <v>557</v>
      </c>
      <c r="B164" t="s">
        <v>502</v>
      </c>
      <c r="C164" t="s">
        <v>558</v>
      </c>
      <c r="D164">
        <v>15</v>
      </c>
      <c r="E164" s="5">
        <v>268.45999999999998</v>
      </c>
      <c r="F164" s="5">
        <v>4026.9</v>
      </c>
      <c r="G164" s="5">
        <v>550.87</v>
      </c>
      <c r="H164" s="5">
        <v>0</v>
      </c>
      <c r="I164" s="5">
        <v>13</v>
      </c>
      <c r="J164" s="5">
        <v>8263</v>
      </c>
      <c r="K164" s="5">
        <v>4236.1000000000004</v>
      </c>
      <c r="L164" t="s">
        <v>636</v>
      </c>
      <c r="M164" s="13">
        <v>2025</v>
      </c>
    </row>
    <row r="165" spans="1:13" x14ac:dyDescent="0.3">
      <c r="A165" t="s">
        <v>565</v>
      </c>
      <c r="B165" t="s">
        <v>502</v>
      </c>
      <c r="C165" t="s">
        <v>566</v>
      </c>
      <c r="D165">
        <v>14</v>
      </c>
      <c r="E165" s="5">
        <v>90</v>
      </c>
      <c r="F165" s="5">
        <v>1260</v>
      </c>
      <c r="G165" s="5">
        <v>183.57</v>
      </c>
      <c r="H165" s="5">
        <v>0</v>
      </c>
      <c r="I165" s="5">
        <v>0</v>
      </c>
      <c r="J165" s="5">
        <v>2570</v>
      </c>
      <c r="K165" s="5">
        <v>1310</v>
      </c>
      <c r="L165" t="s">
        <v>636</v>
      </c>
      <c r="M165" s="13">
        <v>2025</v>
      </c>
    </row>
    <row r="166" spans="1:13" x14ac:dyDescent="0.3">
      <c r="A166" t="s">
        <v>553</v>
      </c>
      <c r="B166" t="s">
        <v>502</v>
      </c>
      <c r="C166" t="s">
        <v>554</v>
      </c>
      <c r="D166">
        <v>11</v>
      </c>
      <c r="E166" s="5">
        <v>740</v>
      </c>
      <c r="F166" s="5">
        <v>8140</v>
      </c>
      <c r="G166" s="5">
        <v>1440.91</v>
      </c>
      <c r="H166" s="5">
        <v>0</v>
      </c>
      <c r="I166" s="5">
        <v>0</v>
      </c>
      <c r="J166" s="5">
        <v>15850</v>
      </c>
      <c r="K166" s="5">
        <v>7710</v>
      </c>
      <c r="L166" t="s">
        <v>636</v>
      </c>
      <c r="M166" s="13">
        <v>2025</v>
      </c>
    </row>
    <row r="167" spans="1:13" x14ac:dyDescent="0.3">
      <c r="A167" t="s">
        <v>502</v>
      </c>
      <c r="B167" t="s">
        <v>502</v>
      </c>
      <c r="C167" t="s">
        <v>637</v>
      </c>
      <c r="D167">
        <v>10</v>
      </c>
      <c r="E167" s="5">
        <v>0</v>
      </c>
      <c r="F167" s="5">
        <v>0</v>
      </c>
      <c r="G167" s="5">
        <v>0.21</v>
      </c>
      <c r="H167" s="5">
        <v>0</v>
      </c>
      <c r="I167" s="5">
        <v>2.14</v>
      </c>
      <c r="J167" s="5">
        <v>2.14</v>
      </c>
      <c r="K167" s="5">
        <v>2.14</v>
      </c>
      <c r="L167" t="s">
        <v>636</v>
      </c>
      <c r="M167" s="13">
        <v>2025</v>
      </c>
    </row>
    <row r="168" spans="1:13" x14ac:dyDescent="0.3">
      <c r="A168" t="s">
        <v>638</v>
      </c>
      <c r="B168" t="s">
        <v>502</v>
      </c>
      <c r="C168" t="s">
        <v>639</v>
      </c>
      <c r="D168">
        <v>10</v>
      </c>
      <c r="E168" s="5">
        <v>14.44</v>
      </c>
      <c r="F168" s="5">
        <v>144.4</v>
      </c>
      <c r="G168" s="5">
        <v>12</v>
      </c>
      <c r="H168" s="5">
        <v>0</v>
      </c>
      <c r="I168" s="5">
        <v>0</v>
      </c>
      <c r="J168" s="5">
        <v>120</v>
      </c>
      <c r="K168" s="5">
        <v>-24.4</v>
      </c>
      <c r="L168" t="s">
        <v>636</v>
      </c>
      <c r="M168" s="13">
        <v>2025</v>
      </c>
    </row>
    <row r="169" spans="1:13" x14ac:dyDescent="0.3">
      <c r="A169" t="s">
        <v>551</v>
      </c>
      <c r="B169" t="s">
        <v>502</v>
      </c>
      <c r="C169" t="s">
        <v>552</v>
      </c>
      <c r="D169">
        <v>8</v>
      </c>
      <c r="E169" s="5">
        <v>61.37</v>
      </c>
      <c r="F169" s="5">
        <v>490.96</v>
      </c>
      <c r="G169" s="5">
        <v>86.25</v>
      </c>
      <c r="H169" s="5">
        <v>20</v>
      </c>
      <c r="I169" s="5">
        <v>0</v>
      </c>
      <c r="J169" s="5">
        <v>690</v>
      </c>
      <c r="K169" s="5">
        <v>199.04</v>
      </c>
      <c r="L169" t="s">
        <v>636</v>
      </c>
      <c r="M169" s="13">
        <v>2025</v>
      </c>
    </row>
    <row r="170" spans="1:13" x14ac:dyDescent="0.3">
      <c r="A170" t="s">
        <v>587</v>
      </c>
      <c r="B170" t="s">
        <v>502</v>
      </c>
      <c r="C170" t="s">
        <v>588</v>
      </c>
      <c r="D170">
        <v>6</v>
      </c>
      <c r="E170" s="5">
        <v>757</v>
      </c>
      <c r="F170" s="5">
        <v>4542</v>
      </c>
      <c r="G170" s="5">
        <v>1552.36</v>
      </c>
      <c r="H170" s="5">
        <v>0</v>
      </c>
      <c r="I170" s="5">
        <v>14.16</v>
      </c>
      <c r="J170" s="5">
        <v>9314.16</v>
      </c>
      <c r="K170" s="5">
        <v>4772.16</v>
      </c>
      <c r="L170" t="s">
        <v>636</v>
      </c>
      <c r="M170" s="13">
        <v>2025</v>
      </c>
    </row>
    <row r="171" spans="1:13" x14ac:dyDescent="0.3">
      <c r="A171" t="s">
        <v>591</v>
      </c>
      <c r="B171" t="s">
        <v>502</v>
      </c>
      <c r="C171" t="s">
        <v>592</v>
      </c>
      <c r="D171">
        <v>5</v>
      </c>
      <c r="E171" s="5">
        <v>33.56</v>
      </c>
      <c r="F171" s="5">
        <v>167.8</v>
      </c>
      <c r="G171" s="5">
        <v>85</v>
      </c>
      <c r="H171" s="5">
        <v>0</v>
      </c>
      <c r="I171" s="5">
        <v>0</v>
      </c>
      <c r="J171" s="5">
        <v>425</v>
      </c>
      <c r="K171" s="5">
        <v>257.2</v>
      </c>
      <c r="L171" t="s">
        <v>636</v>
      </c>
      <c r="M171" s="13">
        <v>2025</v>
      </c>
    </row>
    <row r="172" spans="1:13" x14ac:dyDescent="0.3">
      <c r="A172" t="s">
        <v>549</v>
      </c>
      <c r="B172" t="s">
        <v>502</v>
      </c>
      <c r="C172" t="s">
        <v>619</v>
      </c>
      <c r="D172">
        <v>5</v>
      </c>
      <c r="E172" s="5">
        <v>42</v>
      </c>
      <c r="F172" s="5">
        <v>210</v>
      </c>
      <c r="G172" s="5">
        <v>61</v>
      </c>
      <c r="H172" s="5">
        <v>0</v>
      </c>
      <c r="I172" s="5">
        <v>0</v>
      </c>
      <c r="J172" s="5">
        <v>305</v>
      </c>
      <c r="K172" s="5">
        <v>95</v>
      </c>
      <c r="L172" t="s">
        <v>636</v>
      </c>
      <c r="M172" s="13">
        <v>2025</v>
      </c>
    </row>
    <row r="173" spans="1:13" x14ac:dyDescent="0.3">
      <c r="A173" t="s">
        <v>622</v>
      </c>
      <c r="B173" t="s">
        <v>502</v>
      </c>
      <c r="C173" t="s">
        <v>623</v>
      </c>
      <c r="D173">
        <v>4</v>
      </c>
      <c r="E173" s="5">
        <v>773</v>
      </c>
      <c r="F173" s="5">
        <v>3092</v>
      </c>
      <c r="G173" s="5">
        <v>1650</v>
      </c>
      <c r="H173" s="5">
        <v>0</v>
      </c>
      <c r="I173" s="5">
        <v>0</v>
      </c>
      <c r="J173" s="5">
        <v>6600</v>
      </c>
      <c r="K173" s="5">
        <v>3508</v>
      </c>
      <c r="L173" t="s">
        <v>636</v>
      </c>
      <c r="M173" s="13">
        <v>2025</v>
      </c>
    </row>
    <row r="174" spans="1:13" x14ac:dyDescent="0.3">
      <c r="A174" t="s">
        <v>614</v>
      </c>
      <c r="B174" t="s">
        <v>502</v>
      </c>
      <c r="C174" t="s">
        <v>615</v>
      </c>
      <c r="D174">
        <v>3</v>
      </c>
      <c r="E174" s="5">
        <v>33.56</v>
      </c>
      <c r="F174" s="5">
        <v>100.68</v>
      </c>
      <c r="G174" s="5">
        <v>85</v>
      </c>
      <c r="H174" s="5">
        <v>0</v>
      </c>
      <c r="I174" s="5">
        <v>0</v>
      </c>
      <c r="J174" s="5">
        <v>255</v>
      </c>
      <c r="K174" s="5">
        <v>154.32</v>
      </c>
      <c r="L174" t="s">
        <v>636</v>
      </c>
      <c r="M174" s="13">
        <v>2025</v>
      </c>
    </row>
    <row r="175" spans="1:13" x14ac:dyDescent="0.3">
      <c r="A175" t="s">
        <v>502</v>
      </c>
      <c r="B175" t="s">
        <v>502</v>
      </c>
      <c r="C175" t="s">
        <v>640</v>
      </c>
      <c r="D175">
        <v>2</v>
      </c>
      <c r="E175" s="5">
        <v>0</v>
      </c>
      <c r="F175" s="5">
        <v>0</v>
      </c>
      <c r="G175" s="5">
        <v>80</v>
      </c>
      <c r="H175" s="5">
        <v>0</v>
      </c>
      <c r="I175" s="5">
        <v>0</v>
      </c>
      <c r="J175" s="5">
        <v>160</v>
      </c>
      <c r="K175" s="5">
        <v>160</v>
      </c>
      <c r="L175" t="s">
        <v>636</v>
      </c>
      <c r="M175" s="13">
        <v>2025</v>
      </c>
    </row>
    <row r="176" spans="1:13" x14ac:dyDescent="0.3">
      <c r="A176" t="s">
        <v>502</v>
      </c>
      <c r="B176" t="s">
        <v>502</v>
      </c>
      <c r="C176" t="s">
        <v>641</v>
      </c>
      <c r="D176">
        <v>2</v>
      </c>
      <c r="E176" s="5">
        <v>0</v>
      </c>
      <c r="F176" s="5">
        <v>0</v>
      </c>
      <c r="G176" s="5">
        <v>440</v>
      </c>
      <c r="H176" s="5">
        <v>0</v>
      </c>
      <c r="I176" s="5">
        <v>0</v>
      </c>
      <c r="J176" s="5">
        <v>880</v>
      </c>
      <c r="K176" s="5">
        <v>880</v>
      </c>
      <c r="L176" t="s">
        <v>636</v>
      </c>
      <c r="M176" s="13">
        <v>2025</v>
      </c>
    </row>
    <row r="177" spans="1:13" x14ac:dyDescent="0.3">
      <c r="A177" t="s">
        <v>502</v>
      </c>
      <c r="B177" t="s">
        <v>502</v>
      </c>
      <c r="C177" t="s">
        <v>642</v>
      </c>
      <c r="D177">
        <v>1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t="s">
        <v>636</v>
      </c>
      <c r="M177" s="13">
        <v>2025</v>
      </c>
    </row>
    <row r="178" spans="1:13" x14ac:dyDescent="0.3">
      <c r="A178" t="s">
        <v>577</v>
      </c>
      <c r="B178" t="s">
        <v>502</v>
      </c>
      <c r="C178" t="s">
        <v>578</v>
      </c>
      <c r="D178">
        <v>1</v>
      </c>
      <c r="E178" s="5">
        <v>30.49</v>
      </c>
      <c r="F178" s="5">
        <v>30.49</v>
      </c>
      <c r="G178" s="5">
        <v>45</v>
      </c>
      <c r="H178" s="5">
        <v>0</v>
      </c>
      <c r="I178" s="5">
        <v>0</v>
      </c>
      <c r="J178" s="5">
        <v>45</v>
      </c>
      <c r="K178" s="5">
        <v>14.51</v>
      </c>
      <c r="L178" t="s">
        <v>636</v>
      </c>
      <c r="M178" s="13">
        <v>2025</v>
      </c>
    </row>
    <row r="179" spans="1:13" x14ac:dyDescent="0.3">
      <c r="A179" t="s">
        <v>555</v>
      </c>
      <c r="B179" t="s">
        <v>502</v>
      </c>
      <c r="C179" t="s">
        <v>556</v>
      </c>
      <c r="D179">
        <v>1</v>
      </c>
      <c r="E179" s="5">
        <v>993</v>
      </c>
      <c r="F179" s="5">
        <v>993</v>
      </c>
      <c r="G179" s="5">
        <v>1370</v>
      </c>
      <c r="H179" s="5">
        <v>0</v>
      </c>
      <c r="I179" s="5">
        <v>0</v>
      </c>
      <c r="J179" s="5">
        <v>1370</v>
      </c>
      <c r="K179" s="5">
        <v>377</v>
      </c>
      <c r="L179" t="s">
        <v>636</v>
      </c>
      <c r="M179" s="13">
        <v>2025</v>
      </c>
    </row>
    <row r="180" spans="1:13" x14ac:dyDescent="0.3">
      <c r="A180" t="s">
        <v>502</v>
      </c>
      <c r="B180" t="s">
        <v>502</v>
      </c>
      <c r="C180" t="s">
        <v>643</v>
      </c>
      <c r="D180">
        <v>1</v>
      </c>
      <c r="E180" s="5">
        <v>0</v>
      </c>
      <c r="F180" s="5">
        <v>0</v>
      </c>
      <c r="G180" s="5">
        <v>8.0399999999999991</v>
      </c>
      <c r="H180" s="5">
        <v>1.81</v>
      </c>
      <c r="I180" s="5">
        <v>9.85</v>
      </c>
      <c r="J180" s="5">
        <v>8.0399999999999991</v>
      </c>
      <c r="K180" s="5">
        <v>8.0399999999999991</v>
      </c>
      <c r="L180" t="s">
        <v>636</v>
      </c>
      <c r="M180" s="13">
        <v>2025</v>
      </c>
    </row>
    <row r="181" spans="1:13" x14ac:dyDescent="0.3">
      <c r="A181" t="s">
        <v>585</v>
      </c>
      <c r="B181" t="s">
        <v>502</v>
      </c>
      <c r="C181" t="s">
        <v>586</v>
      </c>
      <c r="D181">
        <v>1</v>
      </c>
      <c r="E181" s="5">
        <v>1025</v>
      </c>
      <c r="F181" s="5">
        <v>1025</v>
      </c>
      <c r="G181" s="5">
        <v>1700</v>
      </c>
      <c r="H181" s="5">
        <v>0</v>
      </c>
      <c r="I181" s="5">
        <v>0</v>
      </c>
      <c r="J181" s="5">
        <v>1700</v>
      </c>
      <c r="K181" s="5">
        <v>675</v>
      </c>
      <c r="L181" t="s">
        <v>636</v>
      </c>
      <c r="M181" s="13">
        <v>2025</v>
      </c>
    </row>
    <row r="182" spans="1:13" x14ac:dyDescent="0.3">
      <c r="A182" t="s">
        <v>569</v>
      </c>
      <c r="B182" t="s">
        <v>502</v>
      </c>
      <c r="C182" t="s">
        <v>570</v>
      </c>
      <c r="D182">
        <v>1</v>
      </c>
      <c r="E182" s="5">
        <v>9.3800000000000008</v>
      </c>
      <c r="F182" s="5">
        <v>9.3800000000000008</v>
      </c>
      <c r="G182" s="5">
        <v>15</v>
      </c>
      <c r="H182" s="5">
        <v>0</v>
      </c>
      <c r="I182" s="5">
        <v>0</v>
      </c>
      <c r="J182" s="5">
        <v>15</v>
      </c>
      <c r="K182" s="5">
        <v>5.62</v>
      </c>
      <c r="L182" t="s">
        <v>636</v>
      </c>
      <c r="M182" s="13">
        <v>2025</v>
      </c>
    </row>
    <row r="183" spans="1:13" x14ac:dyDescent="0.3">
      <c r="A183" t="s">
        <v>644</v>
      </c>
      <c r="B183" t="s">
        <v>502</v>
      </c>
      <c r="C183" t="s">
        <v>645</v>
      </c>
      <c r="D183">
        <v>1</v>
      </c>
      <c r="E183" s="5">
        <v>0</v>
      </c>
      <c r="F183" s="5">
        <v>0</v>
      </c>
      <c r="G183" s="5">
        <v>180</v>
      </c>
      <c r="H183" s="5">
        <v>0</v>
      </c>
      <c r="I183" s="5">
        <v>0</v>
      </c>
      <c r="J183" s="5">
        <v>180</v>
      </c>
      <c r="K183" s="5">
        <v>180</v>
      </c>
      <c r="L183" t="s">
        <v>636</v>
      </c>
      <c r="M183" s="13">
        <v>2025</v>
      </c>
    </row>
    <row r="184" spans="1:13" x14ac:dyDescent="0.3">
      <c r="A184" t="s">
        <v>502</v>
      </c>
      <c r="B184" t="s">
        <v>502</v>
      </c>
      <c r="C184" t="s">
        <v>646</v>
      </c>
      <c r="D184">
        <v>1</v>
      </c>
      <c r="E184" s="5">
        <v>0</v>
      </c>
      <c r="F184" s="5">
        <v>0</v>
      </c>
      <c r="G184" s="5">
        <v>200</v>
      </c>
      <c r="H184" s="5">
        <v>0</v>
      </c>
      <c r="I184" s="5">
        <v>0</v>
      </c>
      <c r="J184" s="5">
        <v>200</v>
      </c>
      <c r="K184" s="5">
        <v>200</v>
      </c>
      <c r="L184" t="s">
        <v>636</v>
      </c>
      <c r="M184" s="13">
        <v>2025</v>
      </c>
    </row>
    <row r="185" spans="1:13" x14ac:dyDescent="0.3">
      <c r="A185" t="s">
        <v>527</v>
      </c>
      <c r="B185" t="s">
        <v>502</v>
      </c>
      <c r="C185" t="s">
        <v>528</v>
      </c>
      <c r="D185">
        <v>1</v>
      </c>
      <c r="E185" s="5">
        <v>57.13</v>
      </c>
      <c r="F185" s="5">
        <v>57.13</v>
      </c>
      <c r="G185" s="5">
        <v>200</v>
      </c>
      <c r="H185" s="5">
        <v>0</v>
      </c>
      <c r="I185" s="5">
        <v>0</v>
      </c>
      <c r="J185" s="5">
        <v>200</v>
      </c>
      <c r="K185" s="5">
        <v>142.87</v>
      </c>
      <c r="L185" t="s">
        <v>636</v>
      </c>
      <c r="M185" s="13">
        <v>2025</v>
      </c>
    </row>
    <row r="186" spans="1:13" x14ac:dyDescent="0.3">
      <c r="A186" t="s">
        <v>597</v>
      </c>
      <c r="B186" t="s">
        <v>502</v>
      </c>
      <c r="C186" t="s">
        <v>598</v>
      </c>
      <c r="D186">
        <v>1</v>
      </c>
      <c r="E186" s="5">
        <v>0</v>
      </c>
      <c r="F186" s="5">
        <v>0</v>
      </c>
      <c r="G186" s="5">
        <v>180</v>
      </c>
      <c r="H186" s="5">
        <v>0</v>
      </c>
      <c r="I186" s="5">
        <v>0</v>
      </c>
      <c r="J186" s="5">
        <v>180</v>
      </c>
      <c r="K186" s="5">
        <v>180</v>
      </c>
      <c r="L186" t="s">
        <v>636</v>
      </c>
      <c r="M186" s="13">
        <v>2025</v>
      </c>
    </row>
    <row r="187" spans="1:13" x14ac:dyDescent="0.3">
      <c r="A187" t="s">
        <v>502</v>
      </c>
      <c r="B187" t="s">
        <v>502</v>
      </c>
      <c r="C187" t="s">
        <v>647</v>
      </c>
      <c r="D187">
        <v>1</v>
      </c>
      <c r="E187" s="5">
        <v>0</v>
      </c>
      <c r="F187" s="5">
        <v>0</v>
      </c>
      <c r="G187" s="5">
        <v>189.9</v>
      </c>
      <c r="H187" s="5">
        <v>0</v>
      </c>
      <c r="I187" s="5">
        <v>0</v>
      </c>
      <c r="J187" s="5">
        <v>189.9</v>
      </c>
      <c r="K187" s="5">
        <v>189.9</v>
      </c>
      <c r="L187" t="s">
        <v>636</v>
      </c>
      <c r="M187" s="13">
        <v>2025</v>
      </c>
    </row>
    <row r="188" spans="1:13" x14ac:dyDescent="0.3">
      <c r="A188" t="s">
        <v>629</v>
      </c>
      <c r="B188" t="s">
        <v>502</v>
      </c>
      <c r="C188" t="s">
        <v>630</v>
      </c>
      <c r="D188">
        <v>1</v>
      </c>
      <c r="E188" s="5">
        <v>10.58</v>
      </c>
      <c r="F188" s="5">
        <v>10.58</v>
      </c>
      <c r="G188" s="5">
        <v>22</v>
      </c>
      <c r="H188" s="5">
        <v>0</v>
      </c>
      <c r="I188" s="5">
        <v>0</v>
      </c>
      <c r="J188" s="5">
        <v>22</v>
      </c>
      <c r="K188" s="5">
        <v>11.42</v>
      </c>
      <c r="L188" t="s">
        <v>636</v>
      </c>
      <c r="M188" s="13">
        <v>2025</v>
      </c>
    </row>
    <row r="189" spans="1:13" x14ac:dyDescent="0.3">
      <c r="A189" t="s">
        <v>502</v>
      </c>
      <c r="B189" t="s">
        <v>502</v>
      </c>
      <c r="C189" t="s">
        <v>590</v>
      </c>
      <c r="D189">
        <v>1</v>
      </c>
      <c r="E189" s="5">
        <v>0</v>
      </c>
      <c r="F189" s="5">
        <v>0</v>
      </c>
      <c r="G189" s="5">
        <v>590</v>
      </c>
      <c r="H189" s="5">
        <v>0</v>
      </c>
      <c r="I189" s="5">
        <v>0</v>
      </c>
      <c r="J189" s="5">
        <v>590</v>
      </c>
      <c r="K189" s="5">
        <v>590</v>
      </c>
      <c r="L189" t="s">
        <v>636</v>
      </c>
      <c r="M189" s="13">
        <v>2025</v>
      </c>
    </row>
    <row r="190" spans="1:13" x14ac:dyDescent="0.3">
      <c r="A190" t="s">
        <v>505</v>
      </c>
      <c r="B190" t="s">
        <v>502</v>
      </c>
      <c r="C190" t="s">
        <v>506</v>
      </c>
      <c r="D190">
        <v>700</v>
      </c>
      <c r="E190" s="5">
        <v>2.5</v>
      </c>
      <c r="F190" s="5">
        <v>1750</v>
      </c>
      <c r="G190" s="5">
        <v>3.02</v>
      </c>
      <c r="H190" s="5">
        <v>0</v>
      </c>
      <c r="I190" s="5">
        <v>11.04</v>
      </c>
      <c r="J190" s="5">
        <v>2111.04</v>
      </c>
      <c r="K190" s="5">
        <v>361.04</v>
      </c>
      <c r="L190" t="s">
        <v>648</v>
      </c>
      <c r="M190" s="13">
        <v>2025</v>
      </c>
    </row>
    <row r="191" spans="1:13" x14ac:dyDescent="0.3">
      <c r="A191" t="s">
        <v>507</v>
      </c>
      <c r="B191" t="s">
        <v>502</v>
      </c>
      <c r="C191" t="s">
        <v>508</v>
      </c>
      <c r="D191">
        <v>508</v>
      </c>
      <c r="E191" s="5">
        <v>0.65</v>
      </c>
      <c r="F191" s="5">
        <v>330.2</v>
      </c>
      <c r="G191" s="5">
        <v>1.96</v>
      </c>
      <c r="H191" s="5">
        <v>0</v>
      </c>
      <c r="I191" s="5">
        <v>0</v>
      </c>
      <c r="J191" s="5">
        <v>994.4</v>
      </c>
      <c r="K191" s="5">
        <v>664.2</v>
      </c>
      <c r="L191" t="s">
        <v>648</v>
      </c>
      <c r="M191" s="13">
        <v>2025</v>
      </c>
    </row>
    <row r="192" spans="1:13" x14ac:dyDescent="0.3">
      <c r="A192" t="s">
        <v>509</v>
      </c>
      <c r="B192" t="s">
        <v>502</v>
      </c>
      <c r="C192" t="s">
        <v>510</v>
      </c>
      <c r="D192">
        <v>500</v>
      </c>
      <c r="E192" s="5">
        <v>0.65</v>
      </c>
      <c r="F192" s="5">
        <v>325</v>
      </c>
      <c r="G192" s="5">
        <v>1</v>
      </c>
      <c r="H192" s="5">
        <v>0</v>
      </c>
      <c r="I192" s="5">
        <v>0</v>
      </c>
      <c r="J192" s="5">
        <v>500</v>
      </c>
      <c r="K192" s="5">
        <v>175</v>
      </c>
      <c r="L192" t="s">
        <v>648</v>
      </c>
      <c r="M192" s="13">
        <v>2025</v>
      </c>
    </row>
    <row r="193" spans="1:13" x14ac:dyDescent="0.3">
      <c r="A193" t="s">
        <v>515</v>
      </c>
      <c r="B193" t="s">
        <v>502</v>
      </c>
      <c r="C193" t="s">
        <v>516</v>
      </c>
      <c r="D193">
        <v>337</v>
      </c>
      <c r="E193" s="5">
        <v>7.9</v>
      </c>
      <c r="F193" s="5">
        <v>2662.3</v>
      </c>
      <c r="G193" s="5">
        <v>23.1</v>
      </c>
      <c r="H193" s="5">
        <v>14.98</v>
      </c>
      <c r="I193" s="5">
        <v>0</v>
      </c>
      <c r="J193" s="5">
        <v>7785.02</v>
      </c>
      <c r="K193" s="5">
        <v>5122.72</v>
      </c>
      <c r="L193" t="s">
        <v>648</v>
      </c>
      <c r="M193" s="13">
        <v>2025</v>
      </c>
    </row>
    <row r="194" spans="1:13" x14ac:dyDescent="0.3">
      <c r="A194" t="s">
        <v>525</v>
      </c>
      <c r="B194" t="s">
        <v>502</v>
      </c>
      <c r="C194" t="s">
        <v>526</v>
      </c>
      <c r="D194">
        <v>203</v>
      </c>
      <c r="E194" s="5">
        <v>409.87</v>
      </c>
      <c r="F194" s="5">
        <v>83203.61</v>
      </c>
      <c r="G194" s="5">
        <v>561.42999999999995</v>
      </c>
      <c r="H194" s="5">
        <v>459.01</v>
      </c>
      <c r="I194" s="5">
        <v>0</v>
      </c>
      <c r="J194" s="5">
        <v>113970.99</v>
      </c>
      <c r="K194" s="5">
        <v>30767.38</v>
      </c>
      <c r="L194" t="s">
        <v>648</v>
      </c>
      <c r="M194" s="13">
        <v>2025</v>
      </c>
    </row>
    <row r="195" spans="1:13" x14ac:dyDescent="0.3">
      <c r="A195" t="s">
        <v>513</v>
      </c>
      <c r="B195" t="s">
        <v>502</v>
      </c>
      <c r="C195" t="s">
        <v>514</v>
      </c>
      <c r="D195">
        <v>188</v>
      </c>
      <c r="E195" s="5">
        <v>473</v>
      </c>
      <c r="F195" s="5">
        <v>88924</v>
      </c>
      <c r="G195" s="5">
        <v>657.07</v>
      </c>
      <c r="H195" s="5">
        <v>1275.51</v>
      </c>
      <c r="I195" s="5">
        <v>24.72</v>
      </c>
      <c r="J195" s="5">
        <v>123529.21</v>
      </c>
      <c r="K195" s="5">
        <v>34605.21</v>
      </c>
      <c r="L195" t="s">
        <v>648</v>
      </c>
      <c r="M195" s="13">
        <v>2025</v>
      </c>
    </row>
    <row r="196" spans="1:13" x14ac:dyDescent="0.3">
      <c r="A196" t="s">
        <v>547</v>
      </c>
      <c r="B196" t="s">
        <v>502</v>
      </c>
      <c r="C196" t="s">
        <v>548</v>
      </c>
      <c r="D196">
        <v>146</v>
      </c>
      <c r="E196" s="5">
        <v>3.05</v>
      </c>
      <c r="F196" s="5">
        <v>445.3</v>
      </c>
      <c r="G196" s="5">
        <v>4.21</v>
      </c>
      <c r="H196" s="5">
        <v>0.2</v>
      </c>
      <c r="I196" s="5">
        <v>6.18</v>
      </c>
      <c r="J196" s="5">
        <v>614.98</v>
      </c>
      <c r="K196" s="5">
        <v>169.68</v>
      </c>
      <c r="L196" t="s">
        <v>648</v>
      </c>
      <c r="M196" s="13">
        <v>2025</v>
      </c>
    </row>
    <row r="197" spans="1:13" x14ac:dyDescent="0.3">
      <c r="A197" t="s">
        <v>511</v>
      </c>
      <c r="B197" t="s">
        <v>502</v>
      </c>
      <c r="C197" t="s">
        <v>512</v>
      </c>
      <c r="D197">
        <v>139</v>
      </c>
      <c r="E197" s="5">
        <v>447</v>
      </c>
      <c r="F197" s="5">
        <v>62133</v>
      </c>
      <c r="G197" s="5">
        <v>617.62</v>
      </c>
      <c r="H197" s="5">
        <v>779.58</v>
      </c>
      <c r="I197" s="5">
        <v>53.22</v>
      </c>
      <c r="J197" s="5">
        <v>85848.63</v>
      </c>
      <c r="K197" s="5">
        <v>23715.63</v>
      </c>
      <c r="L197" t="s">
        <v>648</v>
      </c>
      <c r="M197" s="13">
        <v>2025</v>
      </c>
    </row>
    <row r="198" spans="1:13" x14ac:dyDescent="0.3">
      <c r="A198" t="s">
        <v>537</v>
      </c>
      <c r="B198" t="s">
        <v>502</v>
      </c>
      <c r="C198" t="s">
        <v>538</v>
      </c>
      <c r="D198">
        <v>114</v>
      </c>
      <c r="E198" s="5">
        <v>25</v>
      </c>
      <c r="F198" s="5">
        <v>2850</v>
      </c>
      <c r="G198" s="5">
        <v>29.8</v>
      </c>
      <c r="H198" s="5">
        <v>0.26</v>
      </c>
      <c r="I198" s="5">
        <v>2.06</v>
      </c>
      <c r="J198" s="5">
        <v>3396.8</v>
      </c>
      <c r="K198" s="5">
        <v>546.79999999999995</v>
      </c>
      <c r="L198" t="s">
        <v>648</v>
      </c>
      <c r="M198" s="13">
        <v>2025</v>
      </c>
    </row>
    <row r="199" spans="1:13" x14ac:dyDescent="0.3">
      <c r="A199" t="s">
        <v>531</v>
      </c>
      <c r="B199" t="s">
        <v>502</v>
      </c>
      <c r="C199" t="s">
        <v>532</v>
      </c>
      <c r="D199">
        <v>110</v>
      </c>
      <c r="E199" s="5">
        <v>12.19</v>
      </c>
      <c r="F199" s="5">
        <v>1340.9</v>
      </c>
      <c r="G199" s="5">
        <v>16.010000000000002</v>
      </c>
      <c r="H199" s="5">
        <v>0.4</v>
      </c>
      <c r="I199" s="5">
        <v>0</v>
      </c>
      <c r="J199" s="5">
        <v>1761.1</v>
      </c>
      <c r="K199" s="5">
        <v>420.2</v>
      </c>
      <c r="L199" t="s">
        <v>648</v>
      </c>
      <c r="M199" s="13">
        <v>2025</v>
      </c>
    </row>
    <row r="200" spans="1:13" x14ac:dyDescent="0.3">
      <c r="A200" t="s">
        <v>535</v>
      </c>
      <c r="B200" t="s">
        <v>502</v>
      </c>
      <c r="C200" t="s">
        <v>536</v>
      </c>
      <c r="D200">
        <v>88</v>
      </c>
      <c r="E200" s="5">
        <v>521</v>
      </c>
      <c r="F200" s="5">
        <v>45848</v>
      </c>
      <c r="G200" s="5">
        <v>789.8</v>
      </c>
      <c r="H200" s="5">
        <v>137.34</v>
      </c>
      <c r="I200" s="5">
        <v>0</v>
      </c>
      <c r="J200" s="5">
        <v>69502.66</v>
      </c>
      <c r="K200" s="5">
        <v>23654.66</v>
      </c>
      <c r="L200" t="s">
        <v>648</v>
      </c>
      <c r="M200" s="13">
        <v>2025</v>
      </c>
    </row>
    <row r="201" spans="1:13" x14ac:dyDescent="0.3">
      <c r="A201" t="s">
        <v>519</v>
      </c>
      <c r="B201" t="s">
        <v>502</v>
      </c>
      <c r="C201" t="s">
        <v>520</v>
      </c>
      <c r="D201">
        <v>75</v>
      </c>
      <c r="E201" s="5">
        <v>0.96</v>
      </c>
      <c r="F201" s="5">
        <v>72</v>
      </c>
      <c r="G201" s="5">
        <v>0</v>
      </c>
      <c r="H201" s="5">
        <v>0</v>
      </c>
      <c r="I201" s="5">
        <v>0</v>
      </c>
      <c r="J201" s="5">
        <v>0</v>
      </c>
      <c r="K201" s="5">
        <v>-72</v>
      </c>
      <c r="L201" t="s">
        <v>648</v>
      </c>
      <c r="M201" s="13">
        <v>2025</v>
      </c>
    </row>
    <row r="202" spans="1:13" x14ac:dyDescent="0.3">
      <c r="A202" t="s">
        <v>529</v>
      </c>
      <c r="B202" t="s">
        <v>502</v>
      </c>
      <c r="C202" t="s">
        <v>530</v>
      </c>
      <c r="D202">
        <v>53</v>
      </c>
      <c r="E202" s="5">
        <v>584</v>
      </c>
      <c r="F202" s="5">
        <v>30952</v>
      </c>
      <c r="G202" s="5">
        <v>853.21</v>
      </c>
      <c r="H202" s="5">
        <v>255</v>
      </c>
      <c r="I202" s="5">
        <v>0</v>
      </c>
      <c r="J202" s="5">
        <v>45220</v>
      </c>
      <c r="K202" s="5">
        <v>14268</v>
      </c>
      <c r="L202" t="s">
        <v>648</v>
      </c>
      <c r="M202" s="13">
        <v>2025</v>
      </c>
    </row>
    <row r="203" spans="1:13" x14ac:dyDescent="0.3">
      <c r="A203" t="s">
        <v>595</v>
      </c>
      <c r="B203" t="s">
        <v>502</v>
      </c>
      <c r="C203" t="s">
        <v>596</v>
      </c>
      <c r="D203">
        <v>50</v>
      </c>
      <c r="E203" s="5">
        <v>1.47</v>
      </c>
      <c r="F203" s="5">
        <v>73.5</v>
      </c>
      <c r="G203" s="5">
        <v>1.99</v>
      </c>
      <c r="H203" s="5">
        <v>0.41</v>
      </c>
      <c r="I203" s="5">
        <v>0</v>
      </c>
      <c r="J203" s="5">
        <v>99.59</v>
      </c>
      <c r="K203" s="5">
        <v>26.09</v>
      </c>
      <c r="L203" t="s">
        <v>648</v>
      </c>
      <c r="M203" s="13">
        <v>2025</v>
      </c>
    </row>
    <row r="204" spans="1:13" x14ac:dyDescent="0.3">
      <c r="A204" t="s">
        <v>521</v>
      </c>
      <c r="B204" t="s">
        <v>502</v>
      </c>
      <c r="C204" t="s">
        <v>522</v>
      </c>
      <c r="D204">
        <v>49</v>
      </c>
      <c r="E204" s="5">
        <v>497</v>
      </c>
      <c r="F204" s="5">
        <v>24353</v>
      </c>
      <c r="G204" s="5">
        <v>746.17</v>
      </c>
      <c r="H204" s="5">
        <v>230.29</v>
      </c>
      <c r="I204" s="5">
        <v>57.78</v>
      </c>
      <c r="J204" s="5">
        <v>36562.49</v>
      </c>
      <c r="K204" s="5">
        <v>12209.49</v>
      </c>
      <c r="L204" t="s">
        <v>648</v>
      </c>
      <c r="M204" s="13">
        <v>2025</v>
      </c>
    </row>
    <row r="205" spans="1:13" x14ac:dyDescent="0.3">
      <c r="A205" t="s">
        <v>563</v>
      </c>
      <c r="B205" t="s">
        <v>502</v>
      </c>
      <c r="C205" t="s">
        <v>564</v>
      </c>
      <c r="D205">
        <v>17</v>
      </c>
      <c r="E205" s="5">
        <v>33</v>
      </c>
      <c r="F205" s="5">
        <v>561</v>
      </c>
      <c r="G205" s="5">
        <v>149.12</v>
      </c>
      <c r="H205" s="5">
        <v>44.99</v>
      </c>
      <c r="I205" s="5">
        <v>0</v>
      </c>
      <c r="J205" s="5">
        <v>2535.0100000000002</v>
      </c>
      <c r="K205" s="5">
        <v>1974.01</v>
      </c>
      <c r="L205" t="s">
        <v>648</v>
      </c>
      <c r="M205" s="13">
        <v>2025</v>
      </c>
    </row>
    <row r="206" spans="1:13" x14ac:dyDescent="0.3">
      <c r="A206" t="s">
        <v>545</v>
      </c>
      <c r="B206" t="s">
        <v>502</v>
      </c>
      <c r="C206" t="s">
        <v>546</v>
      </c>
      <c r="D206">
        <v>17</v>
      </c>
      <c r="E206" s="5">
        <v>13.69</v>
      </c>
      <c r="F206" s="5">
        <v>232.73</v>
      </c>
      <c r="G206" s="5">
        <v>98.41</v>
      </c>
      <c r="H206" s="5">
        <v>100</v>
      </c>
      <c r="I206" s="5">
        <v>12.94</v>
      </c>
      <c r="J206" s="5">
        <v>1672.94</v>
      </c>
      <c r="K206" s="5">
        <v>1440.21</v>
      </c>
      <c r="L206" t="s">
        <v>648</v>
      </c>
      <c r="M206" s="13">
        <v>2025</v>
      </c>
    </row>
    <row r="207" spans="1:13" x14ac:dyDescent="0.3">
      <c r="A207" t="s">
        <v>502</v>
      </c>
      <c r="B207" t="s">
        <v>502</v>
      </c>
      <c r="C207" t="s">
        <v>637</v>
      </c>
      <c r="D207">
        <v>15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t="s">
        <v>648</v>
      </c>
      <c r="M207" s="13">
        <v>2025</v>
      </c>
    </row>
    <row r="208" spans="1:13" x14ac:dyDescent="0.3">
      <c r="A208" t="s">
        <v>549</v>
      </c>
      <c r="B208" t="s">
        <v>502</v>
      </c>
      <c r="C208" t="s">
        <v>619</v>
      </c>
      <c r="D208">
        <v>13</v>
      </c>
      <c r="E208" s="5">
        <v>42</v>
      </c>
      <c r="F208" s="5">
        <v>546</v>
      </c>
      <c r="G208" s="5">
        <v>56.77</v>
      </c>
      <c r="H208" s="5">
        <v>0</v>
      </c>
      <c r="I208" s="5">
        <v>3.06</v>
      </c>
      <c r="J208" s="5">
        <v>738.06</v>
      </c>
      <c r="K208" s="5">
        <v>192.06</v>
      </c>
      <c r="L208" t="s">
        <v>648</v>
      </c>
      <c r="M208" s="13">
        <v>2025</v>
      </c>
    </row>
    <row r="209" spans="1:13" x14ac:dyDescent="0.3">
      <c r="A209" t="s">
        <v>585</v>
      </c>
      <c r="B209" t="s">
        <v>502</v>
      </c>
      <c r="C209" t="s">
        <v>586</v>
      </c>
      <c r="D209">
        <v>11</v>
      </c>
      <c r="E209" s="5">
        <v>1025</v>
      </c>
      <c r="F209" s="5">
        <v>11275</v>
      </c>
      <c r="G209" s="5">
        <v>1504.55</v>
      </c>
      <c r="H209" s="5">
        <v>350</v>
      </c>
      <c r="I209" s="5">
        <v>0</v>
      </c>
      <c r="J209" s="5">
        <v>16550</v>
      </c>
      <c r="K209" s="5">
        <v>5275</v>
      </c>
      <c r="L209" t="s">
        <v>648</v>
      </c>
      <c r="M209" s="13">
        <v>2025</v>
      </c>
    </row>
    <row r="210" spans="1:13" x14ac:dyDescent="0.3">
      <c r="A210" t="s">
        <v>551</v>
      </c>
      <c r="B210" t="s">
        <v>502</v>
      </c>
      <c r="C210" t="s">
        <v>552</v>
      </c>
      <c r="D210">
        <v>10</v>
      </c>
      <c r="E210" s="5">
        <v>61.37</v>
      </c>
      <c r="F210" s="5">
        <v>613.70000000000005</v>
      </c>
      <c r="G210" s="5">
        <v>90.3</v>
      </c>
      <c r="H210" s="5">
        <v>0</v>
      </c>
      <c r="I210" s="5">
        <v>23</v>
      </c>
      <c r="J210" s="5">
        <v>903</v>
      </c>
      <c r="K210" s="5">
        <v>289.3</v>
      </c>
      <c r="L210" t="s">
        <v>648</v>
      </c>
      <c r="M210" s="13">
        <v>2025</v>
      </c>
    </row>
    <row r="211" spans="1:13" x14ac:dyDescent="0.3">
      <c r="A211" t="s">
        <v>624</v>
      </c>
      <c r="B211" t="s">
        <v>502</v>
      </c>
      <c r="C211" t="s">
        <v>625</v>
      </c>
      <c r="D211">
        <v>8</v>
      </c>
      <c r="E211" s="5">
        <v>35</v>
      </c>
      <c r="F211" s="5">
        <v>280</v>
      </c>
      <c r="G211" s="5">
        <v>33.75</v>
      </c>
      <c r="H211" s="5">
        <v>40</v>
      </c>
      <c r="I211" s="5">
        <v>0</v>
      </c>
      <c r="J211" s="5">
        <v>270</v>
      </c>
      <c r="K211" s="5">
        <v>-10</v>
      </c>
      <c r="L211" t="s">
        <v>648</v>
      </c>
      <c r="M211" s="13">
        <v>2025</v>
      </c>
    </row>
    <row r="212" spans="1:13" x14ac:dyDescent="0.3">
      <c r="A212" t="s">
        <v>620</v>
      </c>
      <c r="B212" t="s">
        <v>502</v>
      </c>
      <c r="C212" t="s">
        <v>621</v>
      </c>
      <c r="D212">
        <v>8</v>
      </c>
      <c r="E212" s="5">
        <v>41</v>
      </c>
      <c r="F212" s="5">
        <v>328</v>
      </c>
      <c r="G212" s="5">
        <v>55</v>
      </c>
      <c r="H212" s="5">
        <v>0</v>
      </c>
      <c r="I212" s="5">
        <v>0</v>
      </c>
      <c r="J212" s="5">
        <v>440</v>
      </c>
      <c r="K212" s="5">
        <v>112</v>
      </c>
      <c r="L212" t="s">
        <v>648</v>
      </c>
      <c r="M212" s="13">
        <v>2025</v>
      </c>
    </row>
    <row r="213" spans="1:13" x14ac:dyDescent="0.3">
      <c r="A213" t="s">
        <v>559</v>
      </c>
      <c r="B213" t="s">
        <v>502</v>
      </c>
      <c r="C213" t="s">
        <v>560</v>
      </c>
      <c r="D213">
        <v>8</v>
      </c>
      <c r="E213" s="5">
        <v>49.21</v>
      </c>
      <c r="F213" s="5">
        <v>393.68</v>
      </c>
      <c r="G213" s="5">
        <v>80</v>
      </c>
      <c r="H213" s="5">
        <v>10</v>
      </c>
      <c r="I213" s="5">
        <v>0</v>
      </c>
      <c r="J213" s="5">
        <v>640</v>
      </c>
      <c r="K213" s="5">
        <v>246.32</v>
      </c>
      <c r="L213" t="s">
        <v>648</v>
      </c>
      <c r="M213" s="13">
        <v>2025</v>
      </c>
    </row>
    <row r="214" spans="1:13" x14ac:dyDescent="0.3">
      <c r="A214" t="s">
        <v>577</v>
      </c>
      <c r="B214" t="s">
        <v>502</v>
      </c>
      <c r="C214" t="s">
        <v>578</v>
      </c>
      <c r="D214">
        <v>7</v>
      </c>
      <c r="E214" s="5">
        <v>30.49</v>
      </c>
      <c r="F214" s="5">
        <v>213.43</v>
      </c>
      <c r="G214" s="5">
        <v>39.94</v>
      </c>
      <c r="H214" s="5">
        <v>5.44</v>
      </c>
      <c r="I214" s="5">
        <v>0</v>
      </c>
      <c r="J214" s="5">
        <v>279.56</v>
      </c>
      <c r="K214" s="5">
        <v>66.13</v>
      </c>
      <c r="L214" t="s">
        <v>648</v>
      </c>
      <c r="M214" s="13">
        <v>2025</v>
      </c>
    </row>
    <row r="215" spans="1:13" x14ac:dyDescent="0.3">
      <c r="A215" t="s">
        <v>561</v>
      </c>
      <c r="B215" t="s">
        <v>502</v>
      </c>
      <c r="C215" t="s">
        <v>562</v>
      </c>
      <c r="D215">
        <v>6</v>
      </c>
      <c r="E215" s="5">
        <v>5</v>
      </c>
      <c r="F215" s="5">
        <v>30</v>
      </c>
      <c r="G215" s="5">
        <v>8.33</v>
      </c>
      <c r="H215" s="5">
        <v>0.04</v>
      </c>
      <c r="I215" s="5">
        <v>0</v>
      </c>
      <c r="J215" s="5">
        <v>49.96</v>
      </c>
      <c r="K215" s="5">
        <v>19.96</v>
      </c>
      <c r="L215" t="s">
        <v>648</v>
      </c>
      <c r="M215" s="13">
        <v>2025</v>
      </c>
    </row>
    <row r="216" spans="1:13" x14ac:dyDescent="0.3">
      <c r="A216" t="s">
        <v>591</v>
      </c>
      <c r="B216" t="s">
        <v>502</v>
      </c>
      <c r="C216" t="s">
        <v>592</v>
      </c>
      <c r="D216">
        <v>4</v>
      </c>
      <c r="E216" s="5">
        <v>33.56</v>
      </c>
      <c r="F216" s="5">
        <v>134.24</v>
      </c>
      <c r="G216" s="5">
        <v>83.75</v>
      </c>
      <c r="H216" s="5">
        <v>5</v>
      </c>
      <c r="I216" s="5">
        <v>0</v>
      </c>
      <c r="J216" s="5">
        <v>335</v>
      </c>
      <c r="K216" s="5">
        <v>200.76</v>
      </c>
      <c r="L216" t="s">
        <v>648</v>
      </c>
      <c r="M216" s="13">
        <v>2025</v>
      </c>
    </row>
    <row r="217" spans="1:13" x14ac:dyDescent="0.3">
      <c r="A217" t="s">
        <v>597</v>
      </c>
      <c r="B217" t="s">
        <v>502</v>
      </c>
      <c r="C217" t="s">
        <v>598</v>
      </c>
      <c r="D217">
        <v>3</v>
      </c>
      <c r="E217" s="5">
        <v>0</v>
      </c>
      <c r="F217" s="5">
        <v>0</v>
      </c>
      <c r="G217" s="5">
        <v>180</v>
      </c>
      <c r="H217" s="5">
        <v>0</v>
      </c>
      <c r="I217" s="5">
        <v>0</v>
      </c>
      <c r="J217" s="5">
        <v>540</v>
      </c>
      <c r="K217" s="5">
        <v>540</v>
      </c>
      <c r="L217" t="s">
        <v>648</v>
      </c>
      <c r="M217" s="13">
        <v>2025</v>
      </c>
    </row>
    <row r="218" spans="1:13" x14ac:dyDescent="0.3">
      <c r="A218" t="s">
        <v>555</v>
      </c>
      <c r="B218" t="s">
        <v>502</v>
      </c>
      <c r="C218" t="s">
        <v>556</v>
      </c>
      <c r="D218">
        <v>3</v>
      </c>
      <c r="E218" s="5">
        <v>993</v>
      </c>
      <c r="F218" s="5">
        <v>2979</v>
      </c>
      <c r="G218" s="5">
        <v>1450</v>
      </c>
      <c r="H218" s="5">
        <v>0</v>
      </c>
      <c r="I218" s="5">
        <v>0</v>
      </c>
      <c r="J218" s="5">
        <v>4350</v>
      </c>
      <c r="K218" s="5">
        <v>1371</v>
      </c>
      <c r="L218" t="s">
        <v>648</v>
      </c>
      <c r="M218" s="13">
        <v>2025</v>
      </c>
    </row>
    <row r="219" spans="1:13" x14ac:dyDescent="0.3">
      <c r="A219" t="s">
        <v>565</v>
      </c>
      <c r="B219" t="s">
        <v>502</v>
      </c>
      <c r="C219" t="s">
        <v>566</v>
      </c>
      <c r="D219">
        <v>3</v>
      </c>
      <c r="E219" s="5">
        <v>90</v>
      </c>
      <c r="F219" s="5">
        <v>270</v>
      </c>
      <c r="G219" s="5">
        <v>180</v>
      </c>
      <c r="H219" s="5">
        <v>0</v>
      </c>
      <c r="I219" s="5">
        <v>0</v>
      </c>
      <c r="J219" s="5">
        <v>540</v>
      </c>
      <c r="K219" s="5">
        <v>270</v>
      </c>
      <c r="L219" t="s">
        <v>648</v>
      </c>
      <c r="M219" s="13">
        <v>2025</v>
      </c>
    </row>
    <row r="220" spans="1:13" x14ac:dyDescent="0.3">
      <c r="A220" t="s">
        <v>502</v>
      </c>
      <c r="B220" t="s">
        <v>502</v>
      </c>
      <c r="C220" t="s">
        <v>649</v>
      </c>
      <c r="D220">
        <v>2</v>
      </c>
      <c r="E220" s="5">
        <v>0</v>
      </c>
      <c r="F220" s="5">
        <v>0</v>
      </c>
      <c r="G220" s="5">
        <v>4.9800000000000004</v>
      </c>
      <c r="H220" s="5">
        <v>0.04</v>
      </c>
      <c r="I220" s="5">
        <v>0</v>
      </c>
      <c r="J220" s="5">
        <v>9.9600000000000009</v>
      </c>
      <c r="K220" s="5">
        <v>9.9600000000000009</v>
      </c>
      <c r="L220" t="s">
        <v>648</v>
      </c>
      <c r="M220" s="13">
        <v>2025</v>
      </c>
    </row>
    <row r="221" spans="1:13" x14ac:dyDescent="0.3">
      <c r="A221" t="s">
        <v>502</v>
      </c>
      <c r="B221" t="s">
        <v>502</v>
      </c>
      <c r="C221" t="s">
        <v>650</v>
      </c>
      <c r="D221">
        <v>2</v>
      </c>
      <c r="E221" s="5">
        <v>0</v>
      </c>
      <c r="F221" s="5">
        <v>0</v>
      </c>
      <c r="G221" s="5">
        <v>180</v>
      </c>
      <c r="H221" s="5">
        <v>0</v>
      </c>
      <c r="I221" s="5">
        <v>0</v>
      </c>
      <c r="J221" s="5">
        <v>360</v>
      </c>
      <c r="K221" s="5">
        <v>360</v>
      </c>
      <c r="L221" t="s">
        <v>648</v>
      </c>
      <c r="M221" s="13">
        <v>2025</v>
      </c>
    </row>
    <row r="222" spans="1:13" x14ac:dyDescent="0.3">
      <c r="A222" t="s">
        <v>557</v>
      </c>
      <c r="B222" t="s">
        <v>502</v>
      </c>
      <c r="C222" t="s">
        <v>558</v>
      </c>
      <c r="D222">
        <v>2</v>
      </c>
      <c r="E222" s="5">
        <v>268.45999999999998</v>
      </c>
      <c r="F222" s="5">
        <v>536.91999999999996</v>
      </c>
      <c r="G222" s="5">
        <v>575</v>
      </c>
      <c r="H222" s="5">
        <v>0</v>
      </c>
      <c r="I222" s="5">
        <v>0</v>
      </c>
      <c r="J222" s="5">
        <v>1150</v>
      </c>
      <c r="K222" s="5">
        <v>613.08000000000004</v>
      </c>
      <c r="L222" t="s">
        <v>648</v>
      </c>
      <c r="M222" s="13">
        <v>2025</v>
      </c>
    </row>
    <row r="223" spans="1:13" x14ac:dyDescent="0.3">
      <c r="A223" t="s">
        <v>569</v>
      </c>
      <c r="B223" t="s">
        <v>502</v>
      </c>
      <c r="C223" t="s">
        <v>570</v>
      </c>
      <c r="D223">
        <v>2</v>
      </c>
      <c r="E223" s="5">
        <v>9.3800000000000008</v>
      </c>
      <c r="F223" s="5">
        <v>18.760000000000002</v>
      </c>
      <c r="G223" s="5">
        <v>15</v>
      </c>
      <c r="H223" s="5">
        <v>0</v>
      </c>
      <c r="I223" s="5">
        <v>0</v>
      </c>
      <c r="J223" s="5">
        <v>30</v>
      </c>
      <c r="K223" s="5">
        <v>11.24</v>
      </c>
      <c r="L223" t="s">
        <v>648</v>
      </c>
      <c r="M223" s="13">
        <v>2025</v>
      </c>
    </row>
    <row r="224" spans="1:13" x14ac:dyDescent="0.3">
      <c r="A224" t="s">
        <v>502</v>
      </c>
      <c r="B224" t="s">
        <v>502</v>
      </c>
      <c r="C224" t="s">
        <v>646</v>
      </c>
      <c r="D224">
        <v>2</v>
      </c>
      <c r="E224" s="5">
        <v>0</v>
      </c>
      <c r="F224" s="5">
        <v>0</v>
      </c>
      <c r="G224" s="5">
        <v>200</v>
      </c>
      <c r="H224" s="5">
        <v>0</v>
      </c>
      <c r="I224" s="5">
        <v>0</v>
      </c>
      <c r="J224" s="5">
        <v>400</v>
      </c>
      <c r="K224" s="5">
        <v>400</v>
      </c>
      <c r="L224" t="s">
        <v>648</v>
      </c>
      <c r="M224" s="13">
        <v>2025</v>
      </c>
    </row>
    <row r="225" spans="1:13" x14ac:dyDescent="0.3">
      <c r="A225" t="s">
        <v>527</v>
      </c>
      <c r="B225" t="s">
        <v>502</v>
      </c>
      <c r="C225" t="s">
        <v>528</v>
      </c>
      <c r="D225">
        <v>1</v>
      </c>
      <c r="E225" s="5">
        <v>57.13</v>
      </c>
      <c r="F225" s="5">
        <v>57.13</v>
      </c>
      <c r="G225" s="5">
        <v>350</v>
      </c>
      <c r="H225" s="5">
        <v>0</v>
      </c>
      <c r="I225" s="5">
        <v>0</v>
      </c>
      <c r="J225" s="5">
        <v>350</v>
      </c>
      <c r="K225" s="5">
        <v>292.87</v>
      </c>
      <c r="L225" t="s">
        <v>648</v>
      </c>
      <c r="M225" s="13">
        <v>2025</v>
      </c>
    </row>
    <row r="226" spans="1:13" x14ac:dyDescent="0.3">
      <c r="A226" t="s">
        <v>502</v>
      </c>
      <c r="B226" t="s">
        <v>502</v>
      </c>
      <c r="C226" t="s">
        <v>651</v>
      </c>
      <c r="D226">
        <v>1</v>
      </c>
      <c r="E226" s="5">
        <v>0</v>
      </c>
      <c r="F226" s="5">
        <v>0</v>
      </c>
      <c r="G226" s="5">
        <v>845</v>
      </c>
      <c r="H226" s="5">
        <v>0</v>
      </c>
      <c r="I226" s="5">
        <v>0</v>
      </c>
      <c r="J226" s="5">
        <v>845</v>
      </c>
      <c r="K226" s="5">
        <v>845</v>
      </c>
      <c r="L226" t="s">
        <v>648</v>
      </c>
      <c r="M226" s="13">
        <v>2025</v>
      </c>
    </row>
    <row r="227" spans="1:13" x14ac:dyDescent="0.3">
      <c r="A227" t="s">
        <v>575</v>
      </c>
      <c r="B227" t="s">
        <v>502</v>
      </c>
      <c r="C227" t="s">
        <v>576</v>
      </c>
      <c r="D227">
        <v>1</v>
      </c>
      <c r="E227" s="5">
        <v>3</v>
      </c>
      <c r="F227" s="5">
        <v>3</v>
      </c>
      <c r="G227" s="5">
        <v>35</v>
      </c>
      <c r="H227" s="5">
        <v>0</v>
      </c>
      <c r="I227" s="5">
        <v>0</v>
      </c>
      <c r="J227" s="5">
        <v>35</v>
      </c>
      <c r="K227" s="5">
        <v>32</v>
      </c>
      <c r="L227" t="s">
        <v>648</v>
      </c>
      <c r="M227" s="13">
        <v>2025</v>
      </c>
    </row>
    <row r="228" spans="1:13" x14ac:dyDescent="0.3">
      <c r="A228" t="s">
        <v>502</v>
      </c>
      <c r="B228" t="s">
        <v>502</v>
      </c>
      <c r="C228" t="s">
        <v>652</v>
      </c>
      <c r="D228">
        <v>1</v>
      </c>
      <c r="E228" s="5">
        <v>0</v>
      </c>
      <c r="F228" s="5">
        <v>0</v>
      </c>
      <c r="G228" s="5">
        <v>180</v>
      </c>
      <c r="H228" s="5">
        <v>0</v>
      </c>
      <c r="I228" s="5">
        <v>0</v>
      </c>
      <c r="J228" s="5">
        <v>180</v>
      </c>
      <c r="K228" s="5">
        <v>180</v>
      </c>
      <c r="L228" t="s">
        <v>648</v>
      </c>
      <c r="M228" s="13">
        <v>2025</v>
      </c>
    </row>
    <row r="229" spans="1:13" x14ac:dyDescent="0.3">
      <c r="A229" t="s">
        <v>502</v>
      </c>
      <c r="B229" t="s">
        <v>502</v>
      </c>
      <c r="C229" t="s">
        <v>653</v>
      </c>
      <c r="D229">
        <v>1</v>
      </c>
      <c r="E229" s="5">
        <v>0</v>
      </c>
      <c r="F229" s="5">
        <v>0</v>
      </c>
      <c r="G229" s="5">
        <v>350</v>
      </c>
      <c r="H229" s="5">
        <v>0</v>
      </c>
      <c r="I229" s="5">
        <v>0</v>
      </c>
      <c r="J229" s="5">
        <v>350</v>
      </c>
      <c r="K229" s="5">
        <v>350</v>
      </c>
      <c r="L229" t="s">
        <v>648</v>
      </c>
      <c r="M229" s="13">
        <v>2025</v>
      </c>
    </row>
    <row r="230" spans="1:13" x14ac:dyDescent="0.3">
      <c r="A230" t="s">
        <v>505</v>
      </c>
      <c r="B230" t="s">
        <v>502</v>
      </c>
      <c r="C230" t="s">
        <v>506</v>
      </c>
      <c r="D230">
        <v>1950</v>
      </c>
      <c r="E230" s="5">
        <v>2.5</v>
      </c>
      <c r="F230" s="5">
        <v>4875</v>
      </c>
      <c r="G230" s="5">
        <v>2.96</v>
      </c>
      <c r="H230" s="5">
        <v>4.1500000000000004</v>
      </c>
      <c r="I230" s="5">
        <v>0</v>
      </c>
      <c r="J230" s="5">
        <v>5765.85</v>
      </c>
      <c r="K230" s="5">
        <v>890.85</v>
      </c>
      <c r="L230" t="s">
        <v>654</v>
      </c>
      <c r="M230" s="13">
        <v>2025</v>
      </c>
    </row>
    <row r="231" spans="1:13" x14ac:dyDescent="0.3">
      <c r="A231" t="s">
        <v>515</v>
      </c>
      <c r="B231" t="s">
        <v>502</v>
      </c>
      <c r="C231" t="s">
        <v>516</v>
      </c>
      <c r="D231">
        <v>428</v>
      </c>
      <c r="E231" s="5">
        <v>7.9</v>
      </c>
      <c r="F231" s="5">
        <v>3381.2</v>
      </c>
      <c r="G231" s="5">
        <v>24.23</v>
      </c>
      <c r="H231" s="5">
        <v>80.680000000000007</v>
      </c>
      <c r="I231" s="5">
        <v>34.340000000000003</v>
      </c>
      <c r="J231" s="5">
        <v>10368.66</v>
      </c>
      <c r="K231" s="5">
        <v>6987.46</v>
      </c>
      <c r="L231" t="s">
        <v>654</v>
      </c>
      <c r="M231" s="13">
        <v>2025</v>
      </c>
    </row>
    <row r="232" spans="1:13" x14ac:dyDescent="0.3">
      <c r="A232" t="s">
        <v>513</v>
      </c>
      <c r="B232" t="s">
        <v>502</v>
      </c>
      <c r="C232" t="s">
        <v>514</v>
      </c>
      <c r="D232">
        <v>242</v>
      </c>
      <c r="E232" s="5">
        <v>473</v>
      </c>
      <c r="F232" s="5">
        <v>114466</v>
      </c>
      <c r="G232" s="5">
        <v>654.55999999999995</v>
      </c>
      <c r="H232" s="5">
        <v>792.65</v>
      </c>
      <c r="I232" s="5">
        <v>153.84</v>
      </c>
      <c r="J232" s="5">
        <v>158403.39000000001</v>
      </c>
      <c r="K232" s="5">
        <v>43937.39</v>
      </c>
      <c r="L232" t="s">
        <v>654</v>
      </c>
      <c r="M232" s="13">
        <v>2025</v>
      </c>
    </row>
    <row r="233" spans="1:13" x14ac:dyDescent="0.3">
      <c r="A233" t="s">
        <v>525</v>
      </c>
      <c r="B233" t="s">
        <v>502</v>
      </c>
      <c r="C233" t="s">
        <v>526</v>
      </c>
      <c r="D233">
        <v>175</v>
      </c>
      <c r="E233" s="5">
        <v>409.87</v>
      </c>
      <c r="F233" s="5">
        <v>71727.25</v>
      </c>
      <c r="G233" s="5">
        <v>572.99</v>
      </c>
      <c r="H233" s="5">
        <v>131.61000000000001</v>
      </c>
      <c r="I233" s="5">
        <v>4.76</v>
      </c>
      <c r="J233" s="5">
        <v>100273.15</v>
      </c>
      <c r="K233" s="5">
        <v>28545.9</v>
      </c>
      <c r="L233" t="s">
        <v>654</v>
      </c>
      <c r="M233" s="13">
        <v>2025</v>
      </c>
    </row>
    <row r="234" spans="1:13" x14ac:dyDescent="0.3">
      <c r="A234" t="s">
        <v>509</v>
      </c>
      <c r="B234" t="s">
        <v>502</v>
      </c>
      <c r="C234" t="s">
        <v>510</v>
      </c>
      <c r="D234">
        <v>150</v>
      </c>
      <c r="E234" s="5">
        <v>0.65</v>
      </c>
      <c r="F234" s="5">
        <v>97.5</v>
      </c>
      <c r="G234" s="5">
        <v>1</v>
      </c>
      <c r="H234" s="5">
        <v>0</v>
      </c>
      <c r="I234" s="5">
        <v>0</v>
      </c>
      <c r="J234" s="5">
        <v>150</v>
      </c>
      <c r="K234" s="5">
        <v>52.5</v>
      </c>
      <c r="L234" t="s">
        <v>654</v>
      </c>
      <c r="M234" s="13">
        <v>2025</v>
      </c>
    </row>
    <row r="235" spans="1:13" x14ac:dyDescent="0.3">
      <c r="A235" t="s">
        <v>507</v>
      </c>
      <c r="B235" t="s">
        <v>502</v>
      </c>
      <c r="C235" t="s">
        <v>508</v>
      </c>
      <c r="D235">
        <v>150</v>
      </c>
      <c r="E235" s="5">
        <v>0.65</v>
      </c>
      <c r="F235" s="5">
        <v>97.5</v>
      </c>
      <c r="G235" s="5">
        <v>1</v>
      </c>
      <c r="H235" s="5">
        <v>0</v>
      </c>
      <c r="I235" s="5">
        <v>0</v>
      </c>
      <c r="J235" s="5">
        <v>150</v>
      </c>
      <c r="K235" s="5">
        <v>52.5</v>
      </c>
      <c r="L235" t="s">
        <v>654</v>
      </c>
      <c r="M235" s="13">
        <v>2025</v>
      </c>
    </row>
    <row r="236" spans="1:13" x14ac:dyDescent="0.3">
      <c r="A236" t="s">
        <v>511</v>
      </c>
      <c r="B236" t="s">
        <v>502</v>
      </c>
      <c r="C236" t="s">
        <v>512</v>
      </c>
      <c r="D236">
        <v>112</v>
      </c>
      <c r="E236" s="5">
        <v>447</v>
      </c>
      <c r="F236" s="5">
        <v>50064</v>
      </c>
      <c r="G236" s="5">
        <v>607.65</v>
      </c>
      <c r="H236" s="5">
        <v>700.04</v>
      </c>
      <c r="I236" s="5">
        <v>36.799999999999997</v>
      </c>
      <c r="J236" s="5">
        <v>68056.759999999995</v>
      </c>
      <c r="K236" s="5">
        <v>17992.759999999998</v>
      </c>
      <c r="L236" t="s">
        <v>654</v>
      </c>
      <c r="M236" s="13">
        <v>2025</v>
      </c>
    </row>
    <row r="237" spans="1:13" x14ac:dyDescent="0.3">
      <c r="A237" t="s">
        <v>547</v>
      </c>
      <c r="B237" t="s">
        <v>502</v>
      </c>
      <c r="C237" t="s">
        <v>655</v>
      </c>
      <c r="D237">
        <v>106</v>
      </c>
      <c r="E237" s="5">
        <v>3.05</v>
      </c>
      <c r="F237" s="5">
        <v>323.3</v>
      </c>
      <c r="G237" s="5">
        <v>3.98</v>
      </c>
      <c r="H237" s="5">
        <v>9.0500000000000007</v>
      </c>
      <c r="I237" s="5">
        <v>0</v>
      </c>
      <c r="J237" s="5">
        <v>421.95</v>
      </c>
      <c r="K237" s="5">
        <v>98.65</v>
      </c>
      <c r="L237" t="s">
        <v>654</v>
      </c>
      <c r="M237" s="13">
        <v>2025</v>
      </c>
    </row>
    <row r="238" spans="1:13" x14ac:dyDescent="0.3">
      <c r="A238" t="s">
        <v>529</v>
      </c>
      <c r="B238" t="s">
        <v>502</v>
      </c>
      <c r="C238" t="s">
        <v>530</v>
      </c>
      <c r="D238">
        <v>93</v>
      </c>
      <c r="E238" s="5">
        <v>584</v>
      </c>
      <c r="F238" s="5">
        <v>54312</v>
      </c>
      <c r="G238" s="5">
        <v>822.91</v>
      </c>
      <c r="H238" s="5">
        <v>502.45</v>
      </c>
      <c r="I238" s="5">
        <v>25.52</v>
      </c>
      <c r="J238" s="5">
        <v>76531.070000000007</v>
      </c>
      <c r="K238" s="5">
        <v>22219.07</v>
      </c>
      <c r="L238" t="s">
        <v>654</v>
      </c>
      <c r="M238" s="13">
        <v>2025</v>
      </c>
    </row>
    <row r="239" spans="1:13" x14ac:dyDescent="0.3">
      <c r="A239" t="s">
        <v>521</v>
      </c>
      <c r="B239" t="s">
        <v>502</v>
      </c>
      <c r="C239" t="s">
        <v>522</v>
      </c>
      <c r="D239">
        <v>79</v>
      </c>
      <c r="E239" s="5">
        <v>497</v>
      </c>
      <c r="F239" s="5">
        <v>39263</v>
      </c>
      <c r="G239" s="5">
        <v>727.78</v>
      </c>
      <c r="H239" s="5">
        <v>650</v>
      </c>
      <c r="I239" s="5">
        <v>0</v>
      </c>
      <c r="J239" s="5">
        <v>57495</v>
      </c>
      <c r="K239" s="5">
        <v>18232</v>
      </c>
      <c r="L239" t="s">
        <v>654</v>
      </c>
      <c r="M239" s="13">
        <v>2025</v>
      </c>
    </row>
    <row r="240" spans="1:13" x14ac:dyDescent="0.3">
      <c r="A240" t="s">
        <v>537</v>
      </c>
      <c r="B240" t="s">
        <v>502</v>
      </c>
      <c r="C240" t="s">
        <v>538</v>
      </c>
      <c r="D240">
        <v>76</v>
      </c>
      <c r="E240" s="5">
        <v>25</v>
      </c>
      <c r="F240" s="5">
        <v>1900</v>
      </c>
      <c r="G240" s="5">
        <v>29.66</v>
      </c>
      <c r="H240" s="5">
        <v>0.9</v>
      </c>
      <c r="I240" s="5">
        <v>0</v>
      </c>
      <c r="J240" s="5">
        <v>2254.1</v>
      </c>
      <c r="K240" s="5">
        <v>354.1</v>
      </c>
      <c r="L240" t="s">
        <v>654</v>
      </c>
      <c r="M240" s="13">
        <v>2025</v>
      </c>
    </row>
    <row r="241" spans="1:13" x14ac:dyDescent="0.3">
      <c r="A241" t="s">
        <v>519</v>
      </c>
      <c r="B241" t="s">
        <v>502</v>
      </c>
      <c r="C241" t="s">
        <v>520</v>
      </c>
      <c r="D241">
        <v>75</v>
      </c>
      <c r="E241" s="5">
        <v>0.96</v>
      </c>
      <c r="F241" s="5">
        <v>72</v>
      </c>
      <c r="G241" s="5">
        <v>0</v>
      </c>
      <c r="H241" s="5">
        <v>0</v>
      </c>
      <c r="I241" s="5">
        <v>0</v>
      </c>
      <c r="J241" s="5">
        <v>0</v>
      </c>
      <c r="K241" s="5">
        <v>-72</v>
      </c>
      <c r="L241" t="s">
        <v>654</v>
      </c>
      <c r="M241" s="13">
        <v>2025</v>
      </c>
    </row>
    <row r="242" spans="1:13" x14ac:dyDescent="0.3">
      <c r="A242" t="s">
        <v>545</v>
      </c>
      <c r="B242" t="s">
        <v>502</v>
      </c>
      <c r="C242" t="s">
        <v>546</v>
      </c>
      <c r="D242">
        <v>70</v>
      </c>
      <c r="E242" s="5">
        <v>13.69</v>
      </c>
      <c r="F242" s="5">
        <v>958.3</v>
      </c>
      <c r="G242" s="5">
        <v>92.29</v>
      </c>
      <c r="H242" s="5">
        <v>0</v>
      </c>
      <c r="I242" s="5">
        <v>0</v>
      </c>
      <c r="J242" s="5">
        <v>6460</v>
      </c>
      <c r="K242" s="5">
        <v>5501.7</v>
      </c>
      <c r="L242" t="s">
        <v>654</v>
      </c>
      <c r="M242" s="13">
        <v>2025</v>
      </c>
    </row>
    <row r="243" spans="1:13" x14ac:dyDescent="0.3">
      <c r="A243" t="s">
        <v>535</v>
      </c>
      <c r="B243" t="s">
        <v>502</v>
      </c>
      <c r="C243" t="s">
        <v>536</v>
      </c>
      <c r="D243">
        <v>70</v>
      </c>
      <c r="E243" s="5">
        <v>521</v>
      </c>
      <c r="F243" s="5">
        <v>36470</v>
      </c>
      <c r="G243" s="5">
        <v>778.79</v>
      </c>
      <c r="H243" s="5">
        <v>136.66999999999999</v>
      </c>
      <c r="I243" s="5">
        <v>37</v>
      </c>
      <c r="J243" s="5">
        <v>54515.33</v>
      </c>
      <c r="K243" s="5">
        <v>18045.330000000002</v>
      </c>
      <c r="L243" t="s">
        <v>654</v>
      </c>
      <c r="M243" s="13">
        <v>2025</v>
      </c>
    </row>
    <row r="244" spans="1:13" x14ac:dyDescent="0.3">
      <c r="A244" t="s">
        <v>531</v>
      </c>
      <c r="B244" t="s">
        <v>502</v>
      </c>
      <c r="C244" t="s">
        <v>532</v>
      </c>
      <c r="D244">
        <v>61</v>
      </c>
      <c r="E244" s="5">
        <v>12.19</v>
      </c>
      <c r="F244" s="5">
        <v>743.59</v>
      </c>
      <c r="G244" s="5">
        <v>15.11</v>
      </c>
      <c r="H244" s="5">
        <v>0</v>
      </c>
      <c r="I244" s="5">
        <v>0</v>
      </c>
      <c r="J244" s="5">
        <v>921.5</v>
      </c>
      <c r="K244" s="5">
        <v>177.91</v>
      </c>
      <c r="L244" t="s">
        <v>654</v>
      </c>
      <c r="M244" s="13">
        <v>2025</v>
      </c>
    </row>
    <row r="245" spans="1:13" x14ac:dyDescent="0.3">
      <c r="A245" t="s">
        <v>656</v>
      </c>
      <c r="B245" t="s">
        <v>502</v>
      </c>
      <c r="C245" t="s">
        <v>657</v>
      </c>
      <c r="D245">
        <v>55</v>
      </c>
      <c r="E245" s="5">
        <v>40</v>
      </c>
      <c r="F245" s="5">
        <v>2200</v>
      </c>
      <c r="G245" s="5">
        <v>60.45</v>
      </c>
      <c r="H245" s="5">
        <v>0</v>
      </c>
      <c r="I245" s="5">
        <v>0</v>
      </c>
      <c r="J245" s="5">
        <v>3325</v>
      </c>
      <c r="K245" s="5">
        <v>1125</v>
      </c>
      <c r="L245" t="s">
        <v>654</v>
      </c>
      <c r="M245" s="13">
        <v>2025</v>
      </c>
    </row>
    <row r="246" spans="1:13" x14ac:dyDescent="0.3">
      <c r="A246" t="s">
        <v>517</v>
      </c>
      <c r="B246" t="s">
        <v>502</v>
      </c>
      <c r="C246" t="s">
        <v>518</v>
      </c>
      <c r="D246">
        <v>50</v>
      </c>
      <c r="E246" s="5">
        <v>3.26</v>
      </c>
      <c r="F246" s="5">
        <v>163</v>
      </c>
      <c r="G246" s="5">
        <v>0</v>
      </c>
      <c r="H246" s="5">
        <v>0</v>
      </c>
      <c r="I246" s="5">
        <v>0</v>
      </c>
      <c r="J246" s="5">
        <v>0</v>
      </c>
      <c r="K246" s="5">
        <v>-163</v>
      </c>
      <c r="L246" t="s">
        <v>654</v>
      </c>
      <c r="M246" s="13">
        <v>2025</v>
      </c>
    </row>
    <row r="247" spans="1:13" x14ac:dyDescent="0.3">
      <c r="A247" t="s">
        <v>541</v>
      </c>
      <c r="B247" t="s">
        <v>502</v>
      </c>
      <c r="C247" t="s">
        <v>542</v>
      </c>
      <c r="D247">
        <v>47</v>
      </c>
      <c r="E247" s="5">
        <v>710</v>
      </c>
      <c r="F247" s="5">
        <v>33370</v>
      </c>
      <c r="G247" s="5">
        <v>1161.1300000000001</v>
      </c>
      <c r="H247" s="5">
        <v>779.11</v>
      </c>
      <c r="I247" s="5">
        <v>32.14</v>
      </c>
      <c r="J247" s="5">
        <v>54573.03</v>
      </c>
      <c r="K247" s="5">
        <v>21203.03</v>
      </c>
      <c r="L247" t="s">
        <v>654</v>
      </c>
      <c r="M247" s="13">
        <v>2025</v>
      </c>
    </row>
    <row r="248" spans="1:13" x14ac:dyDescent="0.3">
      <c r="A248" t="s">
        <v>539</v>
      </c>
      <c r="B248" t="s">
        <v>502</v>
      </c>
      <c r="C248" t="s">
        <v>540</v>
      </c>
      <c r="D248">
        <v>40</v>
      </c>
      <c r="E248" s="5">
        <v>725</v>
      </c>
      <c r="F248" s="5">
        <v>29000</v>
      </c>
      <c r="G248" s="5">
        <v>1243.04</v>
      </c>
      <c r="H248" s="5">
        <v>128.35</v>
      </c>
      <c r="I248" s="5">
        <v>0</v>
      </c>
      <c r="J248" s="5">
        <v>49721.65</v>
      </c>
      <c r="K248" s="5">
        <v>20721.650000000001</v>
      </c>
      <c r="L248" t="s">
        <v>654</v>
      </c>
      <c r="M248" s="13">
        <v>2025</v>
      </c>
    </row>
    <row r="249" spans="1:13" x14ac:dyDescent="0.3">
      <c r="A249" t="s">
        <v>549</v>
      </c>
      <c r="B249" t="s">
        <v>502</v>
      </c>
      <c r="C249" t="s">
        <v>619</v>
      </c>
      <c r="D249">
        <v>34</v>
      </c>
      <c r="E249" s="5">
        <v>42</v>
      </c>
      <c r="F249" s="5">
        <v>1428</v>
      </c>
      <c r="G249" s="5">
        <v>55.36</v>
      </c>
      <c r="H249" s="5">
        <v>12.82</v>
      </c>
      <c r="I249" s="5">
        <v>15.11</v>
      </c>
      <c r="J249" s="5">
        <v>1882.29</v>
      </c>
      <c r="K249" s="5">
        <v>454.29</v>
      </c>
      <c r="L249" t="s">
        <v>654</v>
      </c>
      <c r="M249" s="13">
        <v>2025</v>
      </c>
    </row>
    <row r="250" spans="1:13" x14ac:dyDescent="0.3">
      <c r="A250" t="s">
        <v>502</v>
      </c>
      <c r="B250" t="s">
        <v>502</v>
      </c>
      <c r="C250" t="s">
        <v>658</v>
      </c>
      <c r="D250">
        <v>30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t="s">
        <v>654</v>
      </c>
      <c r="M250" s="13">
        <v>2025</v>
      </c>
    </row>
    <row r="251" spans="1:13" x14ac:dyDescent="0.3">
      <c r="A251" t="s">
        <v>557</v>
      </c>
      <c r="B251" t="s">
        <v>502</v>
      </c>
      <c r="C251" t="s">
        <v>558</v>
      </c>
      <c r="D251">
        <v>25</v>
      </c>
      <c r="E251" s="5">
        <v>268.45999999999998</v>
      </c>
      <c r="F251" s="5">
        <v>6711.5</v>
      </c>
      <c r="G251" s="5">
        <v>516.59</v>
      </c>
      <c r="H251" s="5">
        <v>181.48</v>
      </c>
      <c r="I251" s="5">
        <v>76.22</v>
      </c>
      <c r="J251" s="5">
        <v>12914.74</v>
      </c>
      <c r="K251" s="5">
        <v>6203.24</v>
      </c>
      <c r="L251" t="s">
        <v>654</v>
      </c>
      <c r="M251" s="13">
        <v>2025</v>
      </c>
    </row>
    <row r="252" spans="1:13" x14ac:dyDescent="0.3">
      <c r="A252" t="s">
        <v>527</v>
      </c>
      <c r="B252" t="s">
        <v>502</v>
      </c>
      <c r="C252" t="s">
        <v>528</v>
      </c>
      <c r="D252">
        <v>24</v>
      </c>
      <c r="E252" s="5">
        <v>57.13</v>
      </c>
      <c r="F252" s="5">
        <v>1371.12</v>
      </c>
      <c r="G252" s="5">
        <v>196.68</v>
      </c>
      <c r="H252" s="5">
        <v>1.69</v>
      </c>
      <c r="I252" s="5">
        <v>59.39</v>
      </c>
      <c r="J252" s="5">
        <v>4720.2</v>
      </c>
      <c r="K252" s="5">
        <v>3349.08</v>
      </c>
      <c r="L252" t="s">
        <v>654</v>
      </c>
      <c r="M252" s="13">
        <v>2025</v>
      </c>
    </row>
    <row r="253" spans="1:13" x14ac:dyDescent="0.3">
      <c r="A253" t="s">
        <v>620</v>
      </c>
      <c r="B253" t="s">
        <v>502</v>
      </c>
      <c r="C253" t="s">
        <v>621</v>
      </c>
      <c r="D253">
        <v>23</v>
      </c>
      <c r="E253" s="5">
        <v>41</v>
      </c>
      <c r="F253" s="5">
        <v>943</v>
      </c>
      <c r="G253" s="5">
        <v>58.26</v>
      </c>
      <c r="H253" s="5">
        <v>0</v>
      </c>
      <c r="I253" s="5">
        <v>75</v>
      </c>
      <c r="J253" s="5">
        <v>1340</v>
      </c>
      <c r="K253" s="5">
        <v>397</v>
      </c>
      <c r="L253" t="s">
        <v>654</v>
      </c>
      <c r="M253" s="13">
        <v>2025</v>
      </c>
    </row>
    <row r="254" spans="1:13" x14ac:dyDescent="0.3">
      <c r="A254" t="s">
        <v>638</v>
      </c>
      <c r="B254" t="s">
        <v>502</v>
      </c>
      <c r="C254" t="s">
        <v>639</v>
      </c>
      <c r="D254">
        <v>20</v>
      </c>
      <c r="E254" s="5">
        <v>14.44</v>
      </c>
      <c r="F254" s="5">
        <v>288.8</v>
      </c>
      <c r="G254" s="5">
        <v>12</v>
      </c>
      <c r="H254" s="5">
        <v>0</v>
      </c>
      <c r="I254" s="5">
        <v>0</v>
      </c>
      <c r="J254" s="5">
        <v>240</v>
      </c>
      <c r="K254" s="5">
        <v>-48.8</v>
      </c>
      <c r="L254" t="s">
        <v>654</v>
      </c>
      <c r="M254" s="13">
        <v>2025</v>
      </c>
    </row>
    <row r="255" spans="1:13" x14ac:dyDescent="0.3">
      <c r="A255" t="s">
        <v>551</v>
      </c>
      <c r="B255" t="s">
        <v>502</v>
      </c>
      <c r="C255" t="s">
        <v>552</v>
      </c>
      <c r="D255">
        <v>20</v>
      </c>
      <c r="E255" s="5">
        <v>61.37</v>
      </c>
      <c r="F255" s="5">
        <v>1227.4000000000001</v>
      </c>
      <c r="G255" s="5">
        <v>84.92</v>
      </c>
      <c r="H255" s="5">
        <v>14.6</v>
      </c>
      <c r="I255" s="5">
        <v>12.91</v>
      </c>
      <c r="J255" s="5">
        <v>1698.32</v>
      </c>
      <c r="K255" s="5">
        <v>470.92</v>
      </c>
      <c r="L255" t="s">
        <v>654</v>
      </c>
      <c r="M255" s="13">
        <v>2025</v>
      </c>
    </row>
    <row r="256" spans="1:13" x14ac:dyDescent="0.3">
      <c r="A256" t="s">
        <v>559</v>
      </c>
      <c r="B256" t="s">
        <v>502</v>
      </c>
      <c r="C256" t="s">
        <v>560</v>
      </c>
      <c r="D256">
        <v>16</v>
      </c>
      <c r="E256" s="5">
        <v>49.21</v>
      </c>
      <c r="F256" s="5">
        <v>787.36</v>
      </c>
      <c r="G256" s="5">
        <v>79.64</v>
      </c>
      <c r="H256" s="5">
        <v>10.78</v>
      </c>
      <c r="I256" s="5">
        <v>0</v>
      </c>
      <c r="J256" s="5">
        <v>1274.22</v>
      </c>
      <c r="K256" s="5">
        <v>486.86</v>
      </c>
      <c r="L256" t="s">
        <v>654</v>
      </c>
      <c r="M256" s="13">
        <v>2025</v>
      </c>
    </row>
    <row r="257" spans="1:13" x14ac:dyDescent="0.3">
      <c r="A257" t="s">
        <v>563</v>
      </c>
      <c r="B257" t="s">
        <v>502</v>
      </c>
      <c r="C257" t="s">
        <v>564</v>
      </c>
      <c r="D257">
        <v>16</v>
      </c>
      <c r="E257" s="5">
        <v>33</v>
      </c>
      <c r="F257" s="5">
        <v>528</v>
      </c>
      <c r="G257" s="5">
        <v>152.58000000000001</v>
      </c>
      <c r="H257" s="5">
        <v>0</v>
      </c>
      <c r="I257" s="5">
        <v>41.21</v>
      </c>
      <c r="J257" s="5">
        <v>2441.21</v>
      </c>
      <c r="K257" s="5">
        <v>1913.21</v>
      </c>
      <c r="L257" t="s">
        <v>654</v>
      </c>
      <c r="M257" s="13">
        <v>2025</v>
      </c>
    </row>
    <row r="258" spans="1:13" x14ac:dyDescent="0.3">
      <c r="A258" t="s">
        <v>553</v>
      </c>
      <c r="B258" t="s">
        <v>502</v>
      </c>
      <c r="C258" t="s">
        <v>554</v>
      </c>
      <c r="D258">
        <v>16</v>
      </c>
      <c r="E258" s="5">
        <v>740</v>
      </c>
      <c r="F258" s="5">
        <v>11840</v>
      </c>
      <c r="G258" s="5">
        <v>1366.88</v>
      </c>
      <c r="H258" s="5">
        <v>200</v>
      </c>
      <c r="I258" s="5">
        <v>0</v>
      </c>
      <c r="J258" s="5">
        <v>21870</v>
      </c>
      <c r="K258" s="5">
        <v>10030</v>
      </c>
      <c r="L258" t="s">
        <v>654</v>
      </c>
      <c r="M258" s="13">
        <v>2025</v>
      </c>
    </row>
    <row r="259" spans="1:13" x14ac:dyDescent="0.3">
      <c r="A259" t="s">
        <v>502</v>
      </c>
      <c r="B259" t="s">
        <v>502</v>
      </c>
      <c r="C259" t="s">
        <v>659</v>
      </c>
      <c r="D259">
        <v>15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t="s">
        <v>654</v>
      </c>
      <c r="M259" s="13">
        <v>2025</v>
      </c>
    </row>
    <row r="260" spans="1:13" x14ac:dyDescent="0.3">
      <c r="A260" t="s">
        <v>624</v>
      </c>
      <c r="B260" t="s">
        <v>502</v>
      </c>
      <c r="C260" t="s">
        <v>625</v>
      </c>
      <c r="D260">
        <v>13</v>
      </c>
      <c r="E260" s="5">
        <v>35</v>
      </c>
      <c r="F260" s="5">
        <v>455</v>
      </c>
      <c r="G260" s="5">
        <v>40.85</v>
      </c>
      <c r="H260" s="5">
        <v>0</v>
      </c>
      <c r="I260" s="5">
        <v>10.99</v>
      </c>
      <c r="J260" s="5">
        <v>530.99</v>
      </c>
      <c r="K260" s="5">
        <v>75.989999999999995</v>
      </c>
      <c r="L260" t="s">
        <v>654</v>
      </c>
      <c r="M260" s="13">
        <v>2025</v>
      </c>
    </row>
    <row r="261" spans="1:13" x14ac:dyDescent="0.3">
      <c r="A261" t="s">
        <v>565</v>
      </c>
      <c r="B261" t="s">
        <v>502</v>
      </c>
      <c r="C261" t="s">
        <v>566</v>
      </c>
      <c r="D261">
        <v>13</v>
      </c>
      <c r="E261" s="5">
        <v>90</v>
      </c>
      <c r="F261" s="5">
        <v>1170</v>
      </c>
      <c r="G261" s="5">
        <v>152.31</v>
      </c>
      <c r="H261" s="5">
        <v>0</v>
      </c>
      <c r="I261" s="5">
        <v>0</v>
      </c>
      <c r="J261" s="5">
        <v>1980</v>
      </c>
      <c r="K261" s="5">
        <v>810</v>
      </c>
      <c r="L261" t="s">
        <v>654</v>
      </c>
      <c r="M261" s="13">
        <v>2025</v>
      </c>
    </row>
    <row r="262" spans="1:13" x14ac:dyDescent="0.3">
      <c r="A262" t="s">
        <v>571</v>
      </c>
      <c r="B262" t="s">
        <v>502</v>
      </c>
      <c r="C262" t="s">
        <v>572</v>
      </c>
      <c r="D262">
        <v>11</v>
      </c>
      <c r="E262" s="5">
        <v>540.99</v>
      </c>
      <c r="F262" s="5">
        <v>5950.89</v>
      </c>
      <c r="G262" s="5">
        <v>856.07</v>
      </c>
      <c r="H262" s="5">
        <v>0</v>
      </c>
      <c r="I262" s="5">
        <v>116.76</v>
      </c>
      <c r="J262" s="5">
        <v>9416.76</v>
      </c>
      <c r="K262" s="5">
        <v>3465.87</v>
      </c>
      <c r="L262" t="s">
        <v>654</v>
      </c>
      <c r="M262" s="13">
        <v>2025</v>
      </c>
    </row>
    <row r="263" spans="1:13" x14ac:dyDescent="0.3">
      <c r="A263" t="s">
        <v>502</v>
      </c>
      <c r="B263" t="s">
        <v>502</v>
      </c>
      <c r="C263" t="s">
        <v>660</v>
      </c>
      <c r="D263">
        <v>10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t="s">
        <v>654</v>
      </c>
      <c r="M263" s="13">
        <v>2025</v>
      </c>
    </row>
    <row r="264" spans="1:13" x14ac:dyDescent="0.3">
      <c r="A264" t="s">
        <v>587</v>
      </c>
      <c r="B264" t="s">
        <v>502</v>
      </c>
      <c r="C264" t="s">
        <v>588</v>
      </c>
      <c r="D264">
        <v>8</v>
      </c>
      <c r="E264" s="5">
        <v>757</v>
      </c>
      <c r="F264" s="5">
        <v>6056</v>
      </c>
      <c r="G264" s="5">
        <v>1472.5</v>
      </c>
      <c r="H264" s="5">
        <v>0</v>
      </c>
      <c r="I264" s="5">
        <v>0</v>
      </c>
      <c r="J264" s="5">
        <v>11780</v>
      </c>
      <c r="K264" s="5">
        <v>5724</v>
      </c>
      <c r="L264" t="s">
        <v>654</v>
      </c>
      <c r="M264" s="13">
        <v>2025</v>
      </c>
    </row>
    <row r="265" spans="1:13" x14ac:dyDescent="0.3">
      <c r="A265" t="s">
        <v>591</v>
      </c>
      <c r="B265" t="s">
        <v>502</v>
      </c>
      <c r="C265" t="s">
        <v>592</v>
      </c>
      <c r="D265">
        <v>8</v>
      </c>
      <c r="E265" s="5">
        <v>33.56</v>
      </c>
      <c r="F265" s="5">
        <v>268.48</v>
      </c>
      <c r="G265" s="5">
        <v>84.45</v>
      </c>
      <c r="H265" s="5">
        <v>4.4400000000000004</v>
      </c>
      <c r="I265" s="5">
        <v>0</v>
      </c>
      <c r="J265" s="5">
        <v>675.56</v>
      </c>
      <c r="K265" s="5">
        <v>407.08</v>
      </c>
      <c r="L265" t="s">
        <v>654</v>
      </c>
      <c r="M265" s="13">
        <v>2025</v>
      </c>
    </row>
    <row r="266" spans="1:13" x14ac:dyDescent="0.3">
      <c r="A266" t="s">
        <v>502</v>
      </c>
      <c r="B266" t="s">
        <v>502</v>
      </c>
      <c r="C266" t="s">
        <v>661</v>
      </c>
      <c r="D266">
        <v>7</v>
      </c>
      <c r="E266" s="5">
        <v>0</v>
      </c>
      <c r="F266" s="5">
        <v>0</v>
      </c>
      <c r="G266" s="5">
        <v>50</v>
      </c>
      <c r="H266" s="5">
        <v>0</v>
      </c>
      <c r="I266" s="5">
        <v>0</v>
      </c>
      <c r="J266" s="5">
        <v>350</v>
      </c>
      <c r="K266" s="5">
        <v>350</v>
      </c>
      <c r="L266" t="s">
        <v>654</v>
      </c>
      <c r="M266" s="13">
        <v>2025</v>
      </c>
    </row>
    <row r="267" spans="1:13" x14ac:dyDescent="0.3">
      <c r="A267" t="s">
        <v>662</v>
      </c>
      <c r="B267" t="s">
        <v>502</v>
      </c>
      <c r="C267" t="s">
        <v>663</v>
      </c>
      <c r="D267">
        <v>7</v>
      </c>
      <c r="E267" s="5">
        <v>293.13</v>
      </c>
      <c r="F267" s="5">
        <v>2051.91</v>
      </c>
      <c r="G267" s="5">
        <v>458.14</v>
      </c>
      <c r="H267" s="5">
        <v>0</v>
      </c>
      <c r="I267" s="5">
        <v>0</v>
      </c>
      <c r="J267" s="5">
        <v>3207</v>
      </c>
      <c r="K267" s="5">
        <v>1155.0899999999999</v>
      </c>
      <c r="L267" t="s">
        <v>654</v>
      </c>
      <c r="M267" s="13">
        <v>2025</v>
      </c>
    </row>
    <row r="268" spans="1:13" x14ac:dyDescent="0.3">
      <c r="A268" t="s">
        <v>585</v>
      </c>
      <c r="B268" t="s">
        <v>502</v>
      </c>
      <c r="C268" t="s">
        <v>586</v>
      </c>
      <c r="D268">
        <v>3</v>
      </c>
      <c r="E268" s="5">
        <v>1025</v>
      </c>
      <c r="F268" s="5">
        <v>3075</v>
      </c>
      <c r="G268" s="5">
        <v>1619.54</v>
      </c>
      <c r="H268" s="5">
        <v>91.38</v>
      </c>
      <c r="I268" s="5">
        <v>0</v>
      </c>
      <c r="J268" s="5">
        <v>4858.62</v>
      </c>
      <c r="K268" s="5">
        <v>1783.62</v>
      </c>
      <c r="L268" t="s">
        <v>654</v>
      </c>
      <c r="M268" s="13">
        <v>2025</v>
      </c>
    </row>
    <row r="269" spans="1:13" x14ac:dyDescent="0.3">
      <c r="A269" t="s">
        <v>502</v>
      </c>
      <c r="B269" t="s">
        <v>502</v>
      </c>
      <c r="C269" t="s">
        <v>664</v>
      </c>
      <c r="D269">
        <v>2</v>
      </c>
      <c r="E269" s="5">
        <v>0</v>
      </c>
      <c r="F269" s="5">
        <v>0</v>
      </c>
      <c r="G269" s="5">
        <v>150</v>
      </c>
      <c r="H269" s="5">
        <v>0</v>
      </c>
      <c r="I269" s="5">
        <v>0</v>
      </c>
      <c r="J269" s="5">
        <v>300</v>
      </c>
      <c r="K269" s="5">
        <v>300</v>
      </c>
      <c r="L269" t="s">
        <v>654</v>
      </c>
      <c r="M269" s="13">
        <v>2025</v>
      </c>
    </row>
    <row r="270" spans="1:13" x14ac:dyDescent="0.3">
      <c r="A270" t="s">
        <v>502</v>
      </c>
      <c r="B270" t="s">
        <v>502</v>
      </c>
      <c r="C270" t="s">
        <v>665</v>
      </c>
      <c r="D270">
        <v>2</v>
      </c>
      <c r="E270" s="5">
        <v>0</v>
      </c>
      <c r="F270" s="5">
        <v>0</v>
      </c>
      <c r="G270" s="5">
        <v>400</v>
      </c>
      <c r="H270" s="5">
        <v>0</v>
      </c>
      <c r="I270" s="5">
        <v>0</v>
      </c>
      <c r="J270" s="5">
        <v>800</v>
      </c>
      <c r="K270" s="5">
        <v>800</v>
      </c>
      <c r="L270" t="s">
        <v>654</v>
      </c>
      <c r="M270" s="13">
        <v>2025</v>
      </c>
    </row>
    <row r="271" spans="1:13" x14ac:dyDescent="0.3">
      <c r="A271" t="s">
        <v>597</v>
      </c>
      <c r="B271" t="s">
        <v>502</v>
      </c>
      <c r="C271" t="s">
        <v>598</v>
      </c>
      <c r="D271">
        <v>2</v>
      </c>
      <c r="E271" s="5">
        <v>0</v>
      </c>
      <c r="F271" s="5">
        <v>0</v>
      </c>
      <c r="G271" s="5">
        <v>180</v>
      </c>
      <c r="H271" s="5">
        <v>0</v>
      </c>
      <c r="I271" s="5">
        <v>0</v>
      </c>
      <c r="J271" s="5">
        <v>360</v>
      </c>
      <c r="K271" s="5">
        <v>360</v>
      </c>
      <c r="L271" t="s">
        <v>654</v>
      </c>
      <c r="M271" s="13">
        <v>2025</v>
      </c>
    </row>
    <row r="272" spans="1:13" x14ac:dyDescent="0.3">
      <c r="A272" t="s">
        <v>569</v>
      </c>
      <c r="B272" t="s">
        <v>502</v>
      </c>
      <c r="C272" t="s">
        <v>570</v>
      </c>
      <c r="D272">
        <v>2</v>
      </c>
      <c r="E272" s="5">
        <v>9.3800000000000008</v>
      </c>
      <c r="F272" s="5">
        <v>18.760000000000002</v>
      </c>
      <c r="G272" s="5">
        <v>7.5</v>
      </c>
      <c r="H272" s="5">
        <v>0</v>
      </c>
      <c r="I272" s="5">
        <v>0</v>
      </c>
      <c r="J272" s="5">
        <v>15</v>
      </c>
      <c r="K272" s="5">
        <v>-3.76</v>
      </c>
      <c r="L272" t="s">
        <v>654</v>
      </c>
      <c r="M272" s="13">
        <v>2025</v>
      </c>
    </row>
    <row r="273" spans="1:13" x14ac:dyDescent="0.3">
      <c r="A273" t="s">
        <v>622</v>
      </c>
      <c r="B273" t="s">
        <v>502</v>
      </c>
      <c r="C273" t="s">
        <v>623</v>
      </c>
      <c r="D273">
        <v>2</v>
      </c>
      <c r="E273" s="5">
        <v>773</v>
      </c>
      <c r="F273" s="5">
        <v>1546</v>
      </c>
      <c r="G273" s="5">
        <v>1575</v>
      </c>
      <c r="H273" s="5">
        <v>100</v>
      </c>
      <c r="I273" s="5">
        <v>0</v>
      </c>
      <c r="J273" s="5">
        <v>3150</v>
      </c>
      <c r="K273" s="5">
        <v>1604</v>
      </c>
      <c r="L273" t="s">
        <v>654</v>
      </c>
      <c r="M273" s="13">
        <v>2025</v>
      </c>
    </row>
    <row r="274" spans="1:13" x14ac:dyDescent="0.3">
      <c r="A274" t="s">
        <v>502</v>
      </c>
      <c r="B274" t="s">
        <v>502</v>
      </c>
      <c r="C274" t="s">
        <v>593</v>
      </c>
      <c r="D274">
        <v>2</v>
      </c>
      <c r="E274" s="5">
        <v>0</v>
      </c>
      <c r="F274" s="5">
        <v>0</v>
      </c>
      <c r="G274" s="5">
        <v>200</v>
      </c>
      <c r="H274" s="5">
        <v>0</v>
      </c>
      <c r="I274" s="5">
        <v>0</v>
      </c>
      <c r="J274" s="5">
        <v>400</v>
      </c>
      <c r="K274" s="5">
        <v>400</v>
      </c>
      <c r="L274" t="s">
        <v>654</v>
      </c>
      <c r="M274" s="13">
        <v>2025</v>
      </c>
    </row>
    <row r="275" spans="1:13" x14ac:dyDescent="0.3">
      <c r="A275" t="s">
        <v>567</v>
      </c>
      <c r="B275" t="s">
        <v>502</v>
      </c>
      <c r="C275" t="s">
        <v>609</v>
      </c>
      <c r="D275">
        <v>2</v>
      </c>
      <c r="E275" s="5">
        <v>0</v>
      </c>
      <c r="F275" s="5">
        <v>0</v>
      </c>
      <c r="G275" s="5">
        <v>180</v>
      </c>
      <c r="H275" s="5">
        <v>0</v>
      </c>
      <c r="I275" s="5">
        <v>0</v>
      </c>
      <c r="J275" s="5">
        <v>360</v>
      </c>
      <c r="K275" s="5">
        <v>360</v>
      </c>
      <c r="L275" t="s">
        <v>654</v>
      </c>
      <c r="M275" s="13">
        <v>2025</v>
      </c>
    </row>
    <row r="276" spans="1:13" x14ac:dyDescent="0.3">
      <c r="A276" t="s">
        <v>502</v>
      </c>
      <c r="B276" t="s">
        <v>502</v>
      </c>
      <c r="C276" t="s">
        <v>666</v>
      </c>
      <c r="D276">
        <v>1</v>
      </c>
      <c r="E276" s="5">
        <v>0</v>
      </c>
      <c r="F276" s="5">
        <v>0</v>
      </c>
      <c r="G276" s="5">
        <v>220</v>
      </c>
      <c r="H276" s="5">
        <v>0</v>
      </c>
      <c r="I276" s="5">
        <v>0</v>
      </c>
      <c r="J276" s="5">
        <v>220</v>
      </c>
      <c r="K276" s="5">
        <v>220</v>
      </c>
      <c r="L276" t="s">
        <v>654</v>
      </c>
      <c r="M276" s="13">
        <v>2025</v>
      </c>
    </row>
    <row r="277" spans="1:13" x14ac:dyDescent="0.3">
      <c r="A277" t="s">
        <v>634</v>
      </c>
      <c r="B277" t="s">
        <v>502</v>
      </c>
      <c r="C277" t="s">
        <v>635</v>
      </c>
      <c r="D277">
        <v>1</v>
      </c>
      <c r="E277" s="5">
        <v>3.53</v>
      </c>
      <c r="F277" s="5">
        <v>3.53</v>
      </c>
      <c r="G277" s="5">
        <v>7.86</v>
      </c>
      <c r="H277" s="5">
        <v>0.14000000000000001</v>
      </c>
      <c r="I277" s="5">
        <v>0</v>
      </c>
      <c r="J277" s="5">
        <v>7.86</v>
      </c>
      <c r="K277" s="5">
        <v>4.33</v>
      </c>
      <c r="L277" t="s">
        <v>654</v>
      </c>
      <c r="M277" s="13">
        <v>2025</v>
      </c>
    </row>
    <row r="278" spans="1:13" x14ac:dyDescent="0.3">
      <c r="A278" t="s">
        <v>605</v>
      </c>
      <c r="B278" t="s">
        <v>502</v>
      </c>
      <c r="C278" t="s">
        <v>606</v>
      </c>
      <c r="D278">
        <v>1</v>
      </c>
      <c r="E278" s="5">
        <v>20</v>
      </c>
      <c r="F278" s="5">
        <v>20</v>
      </c>
      <c r="G278" s="5">
        <v>10</v>
      </c>
      <c r="H278" s="5">
        <v>0</v>
      </c>
      <c r="I278" s="5">
        <v>0</v>
      </c>
      <c r="J278" s="5">
        <v>10</v>
      </c>
      <c r="K278" s="5">
        <v>-10</v>
      </c>
      <c r="L278" t="s">
        <v>654</v>
      </c>
      <c r="M278" s="13">
        <v>2025</v>
      </c>
    </row>
    <row r="279" spans="1:13" x14ac:dyDescent="0.3">
      <c r="A279" t="s">
        <v>502</v>
      </c>
      <c r="B279" t="s">
        <v>502</v>
      </c>
      <c r="C279" t="s">
        <v>667</v>
      </c>
      <c r="D279">
        <v>1</v>
      </c>
      <c r="E279" s="5">
        <v>0</v>
      </c>
      <c r="F279" s="5">
        <v>0</v>
      </c>
      <c r="G279" s="5">
        <v>180</v>
      </c>
      <c r="H279" s="5">
        <v>0</v>
      </c>
      <c r="I279" s="5">
        <v>0</v>
      </c>
      <c r="J279" s="5">
        <v>180</v>
      </c>
      <c r="K279" s="5">
        <v>180</v>
      </c>
      <c r="L279" t="s">
        <v>654</v>
      </c>
      <c r="M279" s="13">
        <v>2025</v>
      </c>
    </row>
    <row r="280" spans="1:13" x14ac:dyDescent="0.3">
      <c r="A280" t="s">
        <v>577</v>
      </c>
      <c r="B280" t="s">
        <v>502</v>
      </c>
      <c r="C280" t="s">
        <v>578</v>
      </c>
      <c r="D280">
        <v>1</v>
      </c>
      <c r="E280" s="5">
        <v>30.49</v>
      </c>
      <c r="F280" s="5">
        <v>30.49</v>
      </c>
      <c r="G280" s="5">
        <v>40</v>
      </c>
      <c r="H280" s="5">
        <v>0</v>
      </c>
      <c r="I280" s="5">
        <v>0</v>
      </c>
      <c r="J280" s="5">
        <v>40</v>
      </c>
      <c r="K280" s="5">
        <v>9.51</v>
      </c>
      <c r="L280" t="s">
        <v>654</v>
      </c>
      <c r="M280" s="13">
        <v>2025</v>
      </c>
    </row>
    <row r="281" spans="1:13" x14ac:dyDescent="0.3">
      <c r="A281" t="s">
        <v>505</v>
      </c>
      <c r="B281" t="s">
        <v>502</v>
      </c>
      <c r="C281" t="s">
        <v>506</v>
      </c>
      <c r="D281">
        <v>2250</v>
      </c>
      <c r="E281" s="5">
        <v>2.5</v>
      </c>
      <c r="F281" s="5">
        <v>5625</v>
      </c>
      <c r="G281" s="5">
        <v>2.99</v>
      </c>
      <c r="H281" s="5">
        <v>1.19</v>
      </c>
      <c r="I281" s="5">
        <v>10.119999999999999</v>
      </c>
      <c r="J281" s="5">
        <v>6733.93</v>
      </c>
      <c r="K281" s="5">
        <v>1108.93</v>
      </c>
      <c r="L281" t="s">
        <v>668</v>
      </c>
      <c r="M281" s="13">
        <v>2025</v>
      </c>
    </row>
    <row r="282" spans="1:13" x14ac:dyDescent="0.3">
      <c r="A282" t="s">
        <v>511</v>
      </c>
      <c r="B282" t="s">
        <v>502</v>
      </c>
      <c r="C282" t="s">
        <v>512</v>
      </c>
      <c r="D282">
        <v>381</v>
      </c>
      <c r="E282" s="5">
        <v>403.22</v>
      </c>
      <c r="F282" s="5">
        <v>153628.20000000001</v>
      </c>
      <c r="G282" s="5">
        <v>592.41999999999996</v>
      </c>
      <c r="H282" s="5">
        <v>1228.82</v>
      </c>
      <c r="I282" s="5">
        <v>60</v>
      </c>
      <c r="J282" s="5">
        <v>225711.18</v>
      </c>
      <c r="K282" s="5">
        <v>72082.98</v>
      </c>
      <c r="L282" t="s">
        <v>668</v>
      </c>
      <c r="M282" s="13">
        <v>2025</v>
      </c>
    </row>
    <row r="283" spans="1:13" x14ac:dyDescent="0.3">
      <c r="A283" t="s">
        <v>515</v>
      </c>
      <c r="B283" t="s">
        <v>502</v>
      </c>
      <c r="C283" t="s">
        <v>516</v>
      </c>
      <c r="D283">
        <v>318</v>
      </c>
      <c r="E283" s="5">
        <v>7.59</v>
      </c>
      <c r="F283" s="5">
        <v>2414.91</v>
      </c>
      <c r="G283" s="5">
        <v>17.13</v>
      </c>
      <c r="H283" s="5">
        <v>30</v>
      </c>
      <c r="I283" s="5">
        <v>0</v>
      </c>
      <c r="J283" s="5">
        <v>5446</v>
      </c>
      <c r="K283" s="5">
        <v>3031.09</v>
      </c>
      <c r="L283" t="s">
        <v>668</v>
      </c>
      <c r="M283" s="13">
        <v>2025</v>
      </c>
    </row>
    <row r="284" spans="1:13" x14ac:dyDescent="0.3">
      <c r="A284" t="s">
        <v>513</v>
      </c>
      <c r="B284" t="s">
        <v>502</v>
      </c>
      <c r="C284" t="s">
        <v>514</v>
      </c>
      <c r="D284">
        <v>237</v>
      </c>
      <c r="E284" s="5">
        <v>453.89</v>
      </c>
      <c r="F284" s="5">
        <v>107572.62</v>
      </c>
      <c r="G284" s="5">
        <v>639.72</v>
      </c>
      <c r="H284" s="5">
        <v>1030.54</v>
      </c>
      <c r="I284" s="5">
        <v>0</v>
      </c>
      <c r="J284" s="5">
        <v>151614.46</v>
      </c>
      <c r="K284" s="5">
        <v>44041.84</v>
      </c>
      <c r="L284" t="s">
        <v>668</v>
      </c>
      <c r="M284" s="13">
        <v>2025</v>
      </c>
    </row>
    <row r="285" spans="1:13" x14ac:dyDescent="0.3">
      <c r="A285" t="s">
        <v>547</v>
      </c>
      <c r="B285" t="s">
        <v>502</v>
      </c>
      <c r="C285" t="s">
        <v>655</v>
      </c>
      <c r="D285">
        <v>196</v>
      </c>
      <c r="E285" s="5">
        <v>3.05</v>
      </c>
      <c r="F285" s="5">
        <v>597.79999999999995</v>
      </c>
      <c r="G285" s="5">
        <v>4.04</v>
      </c>
      <c r="H285" s="5">
        <v>5.03</v>
      </c>
      <c r="I285" s="5">
        <v>0</v>
      </c>
      <c r="J285" s="5">
        <v>791.97</v>
      </c>
      <c r="K285" s="5">
        <v>194.17</v>
      </c>
      <c r="L285" t="s">
        <v>668</v>
      </c>
      <c r="M285" s="13">
        <v>2025</v>
      </c>
    </row>
    <row r="286" spans="1:13" x14ac:dyDescent="0.3">
      <c r="A286" t="s">
        <v>507</v>
      </c>
      <c r="B286" t="s">
        <v>502</v>
      </c>
      <c r="C286" t="s">
        <v>508</v>
      </c>
      <c r="D286">
        <v>150</v>
      </c>
      <c r="E286" s="5">
        <v>0.65</v>
      </c>
      <c r="F286" s="5">
        <v>97.5</v>
      </c>
      <c r="G286" s="5">
        <v>0.93</v>
      </c>
      <c r="H286" s="5">
        <v>0</v>
      </c>
      <c r="I286" s="5">
        <v>0</v>
      </c>
      <c r="J286" s="5">
        <v>140</v>
      </c>
      <c r="K286" s="5">
        <v>42.5</v>
      </c>
      <c r="L286" t="s">
        <v>668</v>
      </c>
      <c r="M286" s="13">
        <v>2025</v>
      </c>
    </row>
    <row r="287" spans="1:13" x14ac:dyDescent="0.3">
      <c r="A287" t="s">
        <v>509</v>
      </c>
      <c r="B287" t="s">
        <v>502</v>
      </c>
      <c r="C287" t="s">
        <v>510</v>
      </c>
      <c r="D287">
        <v>150</v>
      </c>
      <c r="E287" s="5">
        <v>0.65</v>
      </c>
      <c r="F287" s="5">
        <v>97.5</v>
      </c>
      <c r="G287" s="5">
        <v>0.93</v>
      </c>
      <c r="H287" s="5">
        <v>0</v>
      </c>
      <c r="I287" s="5">
        <v>0</v>
      </c>
      <c r="J287" s="5">
        <v>140</v>
      </c>
      <c r="K287" s="5">
        <v>42.5</v>
      </c>
      <c r="L287" t="s">
        <v>668</v>
      </c>
      <c r="M287" s="13">
        <v>2025</v>
      </c>
    </row>
    <row r="288" spans="1:13" x14ac:dyDescent="0.3">
      <c r="A288" t="s">
        <v>521</v>
      </c>
      <c r="B288" t="s">
        <v>502</v>
      </c>
      <c r="C288" t="s">
        <v>522</v>
      </c>
      <c r="D288">
        <v>140</v>
      </c>
      <c r="E288" s="5">
        <v>483.8</v>
      </c>
      <c r="F288" s="5">
        <v>67732</v>
      </c>
      <c r="G288" s="5">
        <v>730.69</v>
      </c>
      <c r="H288" s="5">
        <v>652.96</v>
      </c>
      <c r="I288" s="5">
        <v>0</v>
      </c>
      <c r="J288" s="5">
        <v>102297.04</v>
      </c>
      <c r="K288" s="5">
        <v>34565.040000000001</v>
      </c>
      <c r="L288" t="s">
        <v>668</v>
      </c>
      <c r="M288" s="13">
        <v>2025</v>
      </c>
    </row>
    <row r="289" spans="1:13" x14ac:dyDescent="0.3">
      <c r="A289" t="s">
        <v>535</v>
      </c>
      <c r="B289" t="s">
        <v>502</v>
      </c>
      <c r="C289" t="s">
        <v>536</v>
      </c>
      <c r="D289">
        <v>131</v>
      </c>
      <c r="E289" s="5">
        <v>504.54</v>
      </c>
      <c r="F289" s="5">
        <v>66095</v>
      </c>
      <c r="G289" s="5">
        <v>775.24</v>
      </c>
      <c r="H289" s="5">
        <v>568.17999999999995</v>
      </c>
      <c r="I289" s="5">
        <v>0</v>
      </c>
      <c r="J289" s="5">
        <v>101556.82</v>
      </c>
      <c r="K289" s="5">
        <v>35461.82</v>
      </c>
      <c r="L289" t="s">
        <v>668</v>
      </c>
      <c r="M289" s="13">
        <v>2025</v>
      </c>
    </row>
    <row r="290" spans="1:13" x14ac:dyDescent="0.3">
      <c r="A290" t="s">
        <v>529</v>
      </c>
      <c r="B290" t="s">
        <v>502</v>
      </c>
      <c r="C290" t="s">
        <v>530</v>
      </c>
      <c r="D290">
        <v>125</v>
      </c>
      <c r="E290" s="5">
        <v>561.79999999999995</v>
      </c>
      <c r="F290" s="5">
        <v>70225</v>
      </c>
      <c r="G290" s="5">
        <v>817.23</v>
      </c>
      <c r="H290" s="5">
        <v>538.94000000000005</v>
      </c>
      <c r="I290" s="5">
        <v>30</v>
      </c>
      <c r="J290" s="5">
        <v>102154.06</v>
      </c>
      <c r="K290" s="5">
        <v>31929.06</v>
      </c>
      <c r="L290" t="s">
        <v>668</v>
      </c>
      <c r="M290" s="13">
        <v>2025</v>
      </c>
    </row>
    <row r="291" spans="1:13" x14ac:dyDescent="0.3">
      <c r="A291" t="s">
        <v>537</v>
      </c>
      <c r="B291" t="s">
        <v>502</v>
      </c>
      <c r="C291" t="s">
        <v>538</v>
      </c>
      <c r="D291">
        <v>122</v>
      </c>
      <c r="E291" s="5">
        <v>25</v>
      </c>
      <c r="F291" s="5">
        <v>3050</v>
      </c>
      <c r="G291" s="5">
        <v>29.89</v>
      </c>
      <c r="H291" s="5">
        <v>0.24</v>
      </c>
      <c r="I291" s="5">
        <v>2.02</v>
      </c>
      <c r="J291" s="5">
        <v>3646.79</v>
      </c>
      <c r="K291" s="5">
        <v>596.79</v>
      </c>
      <c r="L291" t="s">
        <v>668</v>
      </c>
      <c r="M291" s="13">
        <v>2025</v>
      </c>
    </row>
    <row r="292" spans="1:13" x14ac:dyDescent="0.3">
      <c r="A292" t="s">
        <v>541</v>
      </c>
      <c r="B292" t="s">
        <v>502</v>
      </c>
      <c r="C292" t="s">
        <v>542</v>
      </c>
      <c r="D292">
        <v>54</v>
      </c>
      <c r="E292" s="5">
        <v>683.31</v>
      </c>
      <c r="F292" s="5">
        <v>36899</v>
      </c>
      <c r="G292" s="5">
        <v>1175.0999999999999</v>
      </c>
      <c r="H292" s="5">
        <v>815.32</v>
      </c>
      <c r="I292" s="5">
        <v>25.57</v>
      </c>
      <c r="J292" s="5">
        <v>63455.25</v>
      </c>
      <c r="K292" s="5">
        <v>26556.25</v>
      </c>
      <c r="L292" t="s">
        <v>668</v>
      </c>
      <c r="M292" s="13">
        <v>2025</v>
      </c>
    </row>
    <row r="293" spans="1:13" x14ac:dyDescent="0.3">
      <c r="A293" t="s">
        <v>656</v>
      </c>
      <c r="B293" t="s">
        <v>502</v>
      </c>
      <c r="C293" t="s">
        <v>657</v>
      </c>
      <c r="D293">
        <v>51</v>
      </c>
      <c r="E293" s="5">
        <v>40</v>
      </c>
      <c r="F293" s="5">
        <v>2040</v>
      </c>
      <c r="G293" s="5">
        <v>59.9</v>
      </c>
      <c r="H293" s="5">
        <v>0</v>
      </c>
      <c r="I293" s="5">
        <v>0</v>
      </c>
      <c r="J293" s="5">
        <v>3055</v>
      </c>
      <c r="K293" s="5">
        <v>1015</v>
      </c>
      <c r="L293" t="s">
        <v>668</v>
      </c>
      <c r="M293" s="13">
        <v>2025</v>
      </c>
    </row>
    <row r="294" spans="1:13" x14ac:dyDescent="0.3">
      <c r="A294" t="s">
        <v>551</v>
      </c>
      <c r="B294" t="s">
        <v>502</v>
      </c>
      <c r="C294" t="s">
        <v>552</v>
      </c>
      <c r="D294">
        <v>48</v>
      </c>
      <c r="E294" s="5">
        <v>61.37</v>
      </c>
      <c r="F294" s="5">
        <v>2945.76</v>
      </c>
      <c r="G294" s="5">
        <v>54.38</v>
      </c>
      <c r="H294" s="5">
        <v>0</v>
      </c>
      <c r="I294" s="5">
        <v>0</v>
      </c>
      <c r="J294" s="5">
        <v>2610</v>
      </c>
      <c r="K294" s="5">
        <v>-335.76</v>
      </c>
      <c r="L294" t="s">
        <v>668</v>
      </c>
      <c r="M294" s="13">
        <v>2025</v>
      </c>
    </row>
    <row r="295" spans="1:13" x14ac:dyDescent="0.3">
      <c r="A295" t="s">
        <v>531</v>
      </c>
      <c r="B295" t="s">
        <v>502</v>
      </c>
      <c r="C295" t="s">
        <v>532</v>
      </c>
      <c r="D295">
        <v>45</v>
      </c>
      <c r="E295" s="5">
        <v>12.19</v>
      </c>
      <c r="F295" s="5">
        <v>548.54999999999995</v>
      </c>
      <c r="G295" s="5">
        <v>15.2</v>
      </c>
      <c r="H295" s="5">
        <v>0</v>
      </c>
      <c r="I295" s="5">
        <v>0</v>
      </c>
      <c r="J295" s="5">
        <v>684</v>
      </c>
      <c r="K295" s="5">
        <v>135.44999999999999</v>
      </c>
      <c r="L295" t="s">
        <v>668</v>
      </c>
      <c r="M295" s="13">
        <v>2025</v>
      </c>
    </row>
    <row r="296" spans="1:13" x14ac:dyDescent="0.3">
      <c r="A296" t="s">
        <v>539</v>
      </c>
      <c r="B296" t="s">
        <v>502</v>
      </c>
      <c r="C296" t="s">
        <v>540</v>
      </c>
      <c r="D296">
        <v>44</v>
      </c>
      <c r="E296" s="5">
        <v>706.98</v>
      </c>
      <c r="F296" s="5">
        <v>31107</v>
      </c>
      <c r="G296" s="5">
        <v>1253.55</v>
      </c>
      <c r="H296" s="5">
        <v>248.79</v>
      </c>
      <c r="I296" s="5">
        <v>0</v>
      </c>
      <c r="J296" s="5">
        <v>55156.21</v>
      </c>
      <c r="K296" s="5">
        <v>24049.21</v>
      </c>
      <c r="L296" t="s">
        <v>668</v>
      </c>
      <c r="M296" s="13">
        <v>2025</v>
      </c>
    </row>
    <row r="297" spans="1:13" x14ac:dyDescent="0.3">
      <c r="A297" t="s">
        <v>549</v>
      </c>
      <c r="B297" t="s">
        <v>502</v>
      </c>
      <c r="C297" t="s">
        <v>619</v>
      </c>
      <c r="D297">
        <v>40</v>
      </c>
      <c r="E297" s="5">
        <v>42</v>
      </c>
      <c r="F297" s="5">
        <v>1680</v>
      </c>
      <c r="G297" s="5">
        <v>55.1</v>
      </c>
      <c r="H297" s="5">
        <v>0.78</v>
      </c>
      <c r="I297" s="5">
        <v>4.8600000000000003</v>
      </c>
      <c r="J297" s="5">
        <v>2204.0700000000002</v>
      </c>
      <c r="K297" s="5">
        <v>524.07000000000005</v>
      </c>
      <c r="L297" t="s">
        <v>668</v>
      </c>
      <c r="M297" s="13">
        <v>2025</v>
      </c>
    </row>
    <row r="298" spans="1:13" x14ac:dyDescent="0.3">
      <c r="A298" t="s">
        <v>527</v>
      </c>
      <c r="B298" t="s">
        <v>502</v>
      </c>
      <c r="C298" t="s">
        <v>528</v>
      </c>
      <c r="D298">
        <v>37</v>
      </c>
      <c r="E298" s="5">
        <v>56.21</v>
      </c>
      <c r="F298" s="5">
        <v>2079.73</v>
      </c>
      <c r="G298" s="5">
        <v>185.77</v>
      </c>
      <c r="H298" s="5">
        <v>60.98</v>
      </c>
      <c r="I298" s="5">
        <v>39.43</v>
      </c>
      <c r="J298" s="5">
        <v>6873.44</v>
      </c>
      <c r="K298" s="5">
        <v>4793.71</v>
      </c>
      <c r="L298" t="s">
        <v>668</v>
      </c>
      <c r="M298" s="13">
        <v>2025</v>
      </c>
    </row>
    <row r="299" spans="1:13" x14ac:dyDescent="0.3">
      <c r="A299" t="s">
        <v>563</v>
      </c>
      <c r="B299" t="s">
        <v>502</v>
      </c>
      <c r="C299" t="s">
        <v>564</v>
      </c>
      <c r="D299">
        <v>28</v>
      </c>
      <c r="E299" s="5">
        <v>33</v>
      </c>
      <c r="F299" s="5">
        <v>924</v>
      </c>
      <c r="G299" s="5">
        <v>147.72</v>
      </c>
      <c r="H299" s="5">
        <v>33.9</v>
      </c>
      <c r="I299" s="5">
        <v>0</v>
      </c>
      <c r="J299" s="5">
        <v>4136.1000000000004</v>
      </c>
      <c r="K299" s="5">
        <v>3212.1</v>
      </c>
      <c r="L299" t="s">
        <v>668</v>
      </c>
      <c r="M299" s="13">
        <v>2025</v>
      </c>
    </row>
    <row r="300" spans="1:13" x14ac:dyDescent="0.3">
      <c r="A300" t="s">
        <v>545</v>
      </c>
      <c r="B300" t="s">
        <v>502</v>
      </c>
      <c r="C300" t="s">
        <v>546</v>
      </c>
      <c r="D300">
        <v>26</v>
      </c>
      <c r="E300" s="5">
        <v>13.69</v>
      </c>
      <c r="F300" s="5">
        <v>355.94</v>
      </c>
      <c r="G300" s="5">
        <v>104.04</v>
      </c>
      <c r="H300" s="5">
        <v>0</v>
      </c>
      <c r="I300" s="5">
        <v>0</v>
      </c>
      <c r="J300" s="5">
        <v>2705</v>
      </c>
      <c r="K300" s="5">
        <v>2349.06</v>
      </c>
      <c r="L300" t="s">
        <v>668</v>
      </c>
      <c r="M300" s="13">
        <v>2025</v>
      </c>
    </row>
    <row r="301" spans="1:13" x14ac:dyDescent="0.3">
      <c r="A301" t="s">
        <v>502</v>
      </c>
      <c r="B301" t="s">
        <v>502</v>
      </c>
      <c r="C301" t="s">
        <v>669</v>
      </c>
      <c r="D301">
        <v>20</v>
      </c>
      <c r="E301" s="5">
        <v>0</v>
      </c>
      <c r="F301" s="5">
        <v>0</v>
      </c>
      <c r="G301" s="5">
        <v>15</v>
      </c>
      <c r="H301" s="5">
        <v>0</v>
      </c>
      <c r="I301" s="5">
        <v>0</v>
      </c>
      <c r="J301" s="5">
        <v>300</v>
      </c>
      <c r="K301" s="5">
        <v>300</v>
      </c>
      <c r="L301" t="s">
        <v>668</v>
      </c>
      <c r="M301" s="13">
        <v>2025</v>
      </c>
    </row>
    <row r="302" spans="1:13" x14ac:dyDescent="0.3">
      <c r="A302" t="s">
        <v>662</v>
      </c>
      <c r="B302" t="s">
        <v>502</v>
      </c>
      <c r="C302" t="s">
        <v>663</v>
      </c>
      <c r="D302">
        <v>16</v>
      </c>
      <c r="E302" s="5">
        <v>293.13</v>
      </c>
      <c r="F302" s="5">
        <v>4690.08</v>
      </c>
      <c r="G302" s="5">
        <v>481.81</v>
      </c>
      <c r="H302" s="5">
        <v>0</v>
      </c>
      <c r="I302" s="5">
        <v>0</v>
      </c>
      <c r="J302" s="5">
        <v>7709</v>
      </c>
      <c r="K302" s="5">
        <v>3018.92</v>
      </c>
      <c r="L302" t="s">
        <v>668</v>
      </c>
      <c r="M302" s="13">
        <v>2025</v>
      </c>
    </row>
    <row r="303" spans="1:13" x14ac:dyDescent="0.3">
      <c r="A303" t="s">
        <v>557</v>
      </c>
      <c r="B303" t="s">
        <v>502</v>
      </c>
      <c r="C303" t="s">
        <v>558</v>
      </c>
      <c r="D303">
        <v>16</v>
      </c>
      <c r="E303" s="5">
        <v>278.73</v>
      </c>
      <c r="F303" s="5">
        <v>4459.68</v>
      </c>
      <c r="G303" s="5">
        <v>547.80999999999995</v>
      </c>
      <c r="H303" s="5">
        <v>100</v>
      </c>
      <c r="I303" s="5">
        <v>15</v>
      </c>
      <c r="J303" s="5">
        <v>8765</v>
      </c>
      <c r="K303" s="5">
        <v>4305.32</v>
      </c>
      <c r="L303" t="s">
        <v>668</v>
      </c>
      <c r="M303" s="13">
        <v>2025</v>
      </c>
    </row>
    <row r="304" spans="1:13" x14ac:dyDescent="0.3">
      <c r="A304" t="s">
        <v>620</v>
      </c>
      <c r="B304" t="s">
        <v>502</v>
      </c>
      <c r="C304" t="s">
        <v>621</v>
      </c>
      <c r="D304">
        <v>14</v>
      </c>
      <c r="E304" s="5">
        <v>41</v>
      </c>
      <c r="F304" s="5">
        <v>574</v>
      </c>
      <c r="G304" s="5">
        <v>55</v>
      </c>
      <c r="H304" s="5">
        <v>0</v>
      </c>
      <c r="I304" s="5">
        <v>0</v>
      </c>
      <c r="J304" s="5">
        <v>770</v>
      </c>
      <c r="K304" s="5">
        <v>196</v>
      </c>
      <c r="L304" t="s">
        <v>668</v>
      </c>
      <c r="M304" s="13">
        <v>2025</v>
      </c>
    </row>
    <row r="305" spans="1:13" x14ac:dyDescent="0.3">
      <c r="A305" t="s">
        <v>571</v>
      </c>
      <c r="B305" t="s">
        <v>502</v>
      </c>
      <c r="C305" t="s">
        <v>572</v>
      </c>
      <c r="D305">
        <v>14</v>
      </c>
      <c r="E305" s="5">
        <v>484.43</v>
      </c>
      <c r="F305" s="5">
        <v>6781.97</v>
      </c>
      <c r="G305" s="5">
        <v>814.5</v>
      </c>
      <c r="H305" s="5">
        <v>137</v>
      </c>
      <c r="I305" s="5">
        <v>0</v>
      </c>
      <c r="J305" s="5">
        <v>11403</v>
      </c>
      <c r="K305" s="5">
        <v>4621.03</v>
      </c>
      <c r="L305" t="s">
        <v>668</v>
      </c>
      <c r="M305" s="13">
        <v>2025</v>
      </c>
    </row>
    <row r="306" spans="1:13" x14ac:dyDescent="0.3">
      <c r="A306" t="s">
        <v>585</v>
      </c>
      <c r="B306" t="s">
        <v>502</v>
      </c>
      <c r="C306" t="s">
        <v>586</v>
      </c>
      <c r="D306">
        <v>13</v>
      </c>
      <c r="E306" s="5">
        <v>995.23</v>
      </c>
      <c r="F306" s="5">
        <v>12938</v>
      </c>
      <c r="G306" s="5">
        <v>1540.38</v>
      </c>
      <c r="H306" s="5">
        <v>475.11</v>
      </c>
      <c r="I306" s="5">
        <v>0</v>
      </c>
      <c r="J306" s="5">
        <v>20024.89</v>
      </c>
      <c r="K306" s="5">
        <v>7086.89</v>
      </c>
      <c r="L306" t="s">
        <v>668</v>
      </c>
      <c r="M306" s="13">
        <v>2025</v>
      </c>
    </row>
    <row r="307" spans="1:13" x14ac:dyDescent="0.3">
      <c r="A307" t="s">
        <v>587</v>
      </c>
      <c r="B307" t="s">
        <v>502</v>
      </c>
      <c r="C307" t="s">
        <v>588</v>
      </c>
      <c r="D307">
        <v>13</v>
      </c>
      <c r="E307" s="5">
        <v>737.31</v>
      </c>
      <c r="F307" s="5">
        <v>9585</v>
      </c>
      <c r="G307" s="5">
        <v>1500</v>
      </c>
      <c r="H307" s="5">
        <v>0</v>
      </c>
      <c r="I307" s="5">
        <v>0</v>
      </c>
      <c r="J307" s="5">
        <v>19500</v>
      </c>
      <c r="K307" s="5">
        <v>9915</v>
      </c>
      <c r="L307" t="s">
        <v>668</v>
      </c>
      <c r="M307" s="13">
        <v>2025</v>
      </c>
    </row>
    <row r="308" spans="1:13" x14ac:dyDescent="0.3">
      <c r="A308" t="s">
        <v>502</v>
      </c>
      <c r="B308" t="s">
        <v>502</v>
      </c>
      <c r="C308" t="s">
        <v>670</v>
      </c>
      <c r="D308">
        <v>13</v>
      </c>
      <c r="E308" s="5">
        <v>0</v>
      </c>
      <c r="F308" s="5">
        <v>0</v>
      </c>
      <c r="G308" s="5">
        <v>400</v>
      </c>
      <c r="H308" s="5">
        <v>0</v>
      </c>
      <c r="I308" s="5">
        <v>0</v>
      </c>
      <c r="J308" s="5">
        <v>5200</v>
      </c>
      <c r="K308" s="5">
        <v>5200</v>
      </c>
      <c r="L308" t="s">
        <v>668</v>
      </c>
      <c r="M308" s="13">
        <v>2025</v>
      </c>
    </row>
    <row r="309" spans="1:13" x14ac:dyDescent="0.3">
      <c r="A309" t="s">
        <v>591</v>
      </c>
      <c r="B309" t="s">
        <v>502</v>
      </c>
      <c r="C309" t="s">
        <v>592</v>
      </c>
      <c r="D309">
        <v>12</v>
      </c>
      <c r="E309" s="5">
        <v>33.56</v>
      </c>
      <c r="F309" s="5">
        <v>402.72</v>
      </c>
      <c r="G309" s="5">
        <v>72.92</v>
      </c>
      <c r="H309" s="5">
        <v>0</v>
      </c>
      <c r="I309" s="5">
        <v>0</v>
      </c>
      <c r="J309" s="5">
        <v>875</v>
      </c>
      <c r="K309" s="5">
        <v>472.28</v>
      </c>
      <c r="L309" t="s">
        <v>668</v>
      </c>
      <c r="M309" s="13">
        <v>2025</v>
      </c>
    </row>
    <row r="310" spans="1:13" x14ac:dyDescent="0.3">
      <c r="A310" t="s">
        <v>622</v>
      </c>
      <c r="B310" t="s">
        <v>502</v>
      </c>
      <c r="C310" t="s">
        <v>623</v>
      </c>
      <c r="D310">
        <v>11</v>
      </c>
      <c r="E310" s="5">
        <v>748.27</v>
      </c>
      <c r="F310" s="5">
        <v>8231</v>
      </c>
      <c r="G310" s="5">
        <v>1545.45</v>
      </c>
      <c r="H310" s="5">
        <v>100</v>
      </c>
      <c r="I310" s="5">
        <v>0</v>
      </c>
      <c r="J310" s="5">
        <v>17000</v>
      </c>
      <c r="K310" s="5">
        <v>8769</v>
      </c>
      <c r="L310" t="s">
        <v>668</v>
      </c>
      <c r="M310" s="13">
        <v>2025</v>
      </c>
    </row>
    <row r="311" spans="1:13" x14ac:dyDescent="0.3">
      <c r="A311" t="s">
        <v>502</v>
      </c>
      <c r="B311" t="s">
        <v>502</v>
      </c>
      <c r="C311" t="s">
        <v>671</v>
      </c>
      <c r="D311">
        <v>10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t="s">
        <v>668</v>
      </c>
      <c r="M311" s="13">
        <v>2025</v>
      </c>
    </row>
    <row r="312" spans="1:13" x14ac:dyDescent="0.3">
      <c r="A312" t="s">
        <v>553</v>
      </c>
      <c r="B312" t="s">
        <v>502</v>
      </c>
      <c r="C312" t="s">
        <v>554</v>
      </c>
      <c r="D312">
        <v>10</v>
      </c>
      <c r="E312" s="5">
        <v>715.6</v>
      </c>
      <c r="F312" s="5">
        <v>7156</v>
      </c>
      <c r="G312" s="5">
        <v>1387.35</v>
      </c>
      <c r="H312" s="5">
        <v>151.46</v>
      </c>
      <c r="I312" s="5">
        <v>0</v>
      </c>
      <c r="J312" s="5">
        <v>13873.54</v>
      </c>
      <c r="K312" s="5">
        <v>6717.54</v>
      </c>
      <c r="L312" t="s">
        <v>668</v>
      </c>
      <c r="M312" s="13">
        <v>2025</v>
      </c>
    </row>
    <row r="313" spans="1:13" x14ac:dyDescent="0.3">
      <c r="A313" t="s">
        <v>502</v>
      </c>
      <c r="B313" t="s">
        <v>502</v>
      </c>
      <c r="C313" t="s">
        <v>672</v>
      </c>
      <c r="D313">
        <v>10</v>
      </c>
      <c r="E313" s="5">
        <v>0</v>
      </c>
      <c r="F313" s="5">
        <v>0</v>
      </c>
      <c r="G313" s="5">
        <v>20</v>
      </c>
      <c r="H313" s="5">
        <v>0</v>
      </c>
      <c r="I313" s="5">
        <v>0</v>
      </c>
      <c r="J313" s="5">
        <v>200</v>
      </c>
      <c r="K313" s="5">
        <v>200</v>
      </c>
      <c r="L313" t="s">
        <v>668</v>
      </c>
      <c r="M313" s="13">
        <v>2025</v>
      </c>
    </row>
    <row r="314" spans="1:13" x14ac:dyDescent="0.3">
      <c r="A314" t="s">
        <v>502</v>
      </c>
      <c r="B314" t="s">
        <v>502</v>
      </c>
      <c r="C314" t="s">
        <v>673</v>
      </c>
      <c r="D314">
        <v>10</v>
      </c>
      <c r="E314" s="5">
        <v>0</v>
      </c>
      <c r="F314" s="5">
        <v>0</v>
      </c>
      <c r="G314" s="5">
        <v>25</v>
      </c>
      <c r="H314" s="5">
        <v>0</v>
      </c>
      <c r="I314" s="5">
        <v>0</v>
      </c>
      <c r="J314" s="5">
        <v>250</v>
      </c>
      <c r="K314" s="5">
        <v>250</v>
      </c>
      <c r="L314" t="s">
        <v>668</v>
      </c>
      <c r="M314" s="13">
        <v>2025</v>
      </c>
    </row>
    <row r="315" spans="1:13" x14ac:dyDescent="0.3">
      <c r="A315" t="s">
        <v>638</v>
      </c>
      <c r="B315" t="s">
        <v>502</v>
      </c>
      <c r="C315" t="s">
        <v>639</v>
      </c>
      <c r="D315">
        <v>10</v>
      </c>
      <c r="E315" s="5">
        <v>14.44</v>
      </c>
      <c r="F315" s="5">
        <v>144.4</v>
      </c>
      <c r="G315" s="5">
        <v>11.5</v>
      </c>
      <c r="H315" s="5">
        <v>0</v>
      </c>
      <c r="I315" s="5">
        <v>0</v>
      </c>
      <c r="J315" s="5">
        <v>115</v>
      </c>
      <c r="K315" s="5">
        <v>-29.4</v>
      </c>
      <c r="L315" t="s">
        <v>668</v>
      </c>
      <c r="M315" s="13">
        <v>2025</v>
      </c>
    </row>
    <row r="316" spans="1:13" x14ac:dyDescent="0.3">
      <c r="A316" t="s">
        <v>565</v>
      </c>
      <c r="B316" t="s">
        <v>502</v>
      </c>
      <c r="C316" t="s">
        <v>566</v>
      </c>
      <c r="D316">
        <v>9</v>
      </c>
      <c r="E316" s="5">
        <v>90</v>
      </c>
      <c r="F316" s="5">
        <v>810</v>
      </c>
      <c r="G316" s="5">
        <v>186.67</v>
      </c>
      <c r="H316" s="5">
        <v>0</v>
      </c>
      <c r="I316" s="5">
        <v>0</v>
      </c>
      <c r="J316" s="5">
        <v>1680</v>
      </c>
      <c r="K316" s="5">
        <v>870</v>
      </c>
      <c r="L316" t="s">
        <v>668</v>
      </c>
      <c r="M316" s="13">
        <v>2025</v>
      </c>
    </row>
    <row r="317" spans="1:13" x14ac:dyDescent="0.3">
      <c r="A317" t="s">
        <v>555</v>
      </c>
      <c r="B317" t="s">
        <v>502</v>
      </c>
      <c r="C317" t="s">
        <v>556</v>
      </c>
      <c r="D317">
        <v>9</v>
      </c>
      <c r="E317" s="5">
        <v>946.33</v>
      </c>
      <c r="F317" s="5">
        <v>8517</v>
      </c>
      <c r="G317" s="5">
        <v>1322.31</v>
      </c>
      <c r="H317" s="5">
        <v>149.22999999999999</v>
      </c>
      <c r="I317" s="5">
        <v>0</v>
      </c>
      <c r="J317" s="5">
        <v>11900.77</v>
      </c>
      <c r="K317" s="5">
        <v>3383.77</v>
      </c>
      <c r="L317" t="s">
        <v>668</v>
      </c>
      <c r="M317" s="13">
        <v>2025</v>
      </c>
    </row>
    <row r="318" spans="1:13" x14ac:dyDescent="0.3">
      <c r="A318" t="s">
        <v>559</v>
      </c>
      <c r="B318" t="s">
        <v>502</v>
      </c>
      <c r="C318" t="s">
        <v>560</v>
      </c>
      <c r="D318">
        <v>9</v>
      </c>
      <c r="E318" s="5">
        <v>49.21</v>
      </c>
      <c r="F318" s="5">
        <v>442.89</v>
      </c>
      <c r="G318" s="5">
        <v>79.97</v>
      </c>
      <c r="H318" s="5">
        <v>0.31</v>
      </c>
      <c r="I318" s="5">
        <v>0</v>
      </c>
      <c r="J318" s="5">
        <v>719.69</v>
      </c>
      <c r="K318" s="5">
        <v>276.8</v>
      </c>
      <c r="L318" t="s">
        <v>668</v>
      </c>
      <c r="M318" s="13">
        <v>2025</v>
      </c>
    </row>
    <row r="319" spans="1:13" x14ac:dyDescent="0.3">
      <c r="A319" t="s">
        <v>674</v>
      </c>
      <c r="B319" t="s">
        <v>502</v>
      </c>
      <c r="C319" t="s">
        <v>675</v>
      </c>
      <c r="D319">
        <v>8</v>
      </c>
      <c r="E319" s="5">
        <v>429.73</v>
      </c>
      <c r="F319" s="5">
        <v>3437.8</v>
      </c>
      <c r="G319" s="5">
        <v>668.14</v>
      </c>
      <c r="H319" s="5">
        <v>4.8899999999999997</v>
      </c>
      <c r="I319" s="5">
        <v>0</v>
      </c>
      <c r="J319" s="5">
        <v>5345.11</v>
      </c>
      <c r="K319" s="5">
        <v>1907.31</v>
      </c>
      <c r="L319" t="s">
        <v>668</v>
      </c>
      <c r="M319" s="13">
        <v>2025</v>
      </c>
    </row>
    <row r="320" spans="1:13" x14ac:dyDescent="0.3">
      <c r="A320" t="s">
        <v>502</v>
      </c>
      <c r="B320" t="s">
        <v>502</v>
      </c>
      <c r="C320" t="s">
        <v>676</v>
      </c>
      <c r="D320">
        <v>5</v>
      </c>
      <c r="E320" s="5">
        <v>0</v>
      </c>
      <c r="F320" s="5">
        <v>0</v>
      </c>
      <c r="G320" s="5">
        <v>430</v>
      </c>
      <c r="H320" s="5">
        <v>0</v>
      </c>
      <c r="I320" s="5">
        <v>0</v>
      </c>
      <c r="J320" s="5">
        <v>2150</v>
      </c>
      <c r="K320" s="5">
        <v>2150</v>
      </c>
      <c r="L320" t="s">
        <v>668</v>
      </c>
      <c r="M320" s="13">
        <v>2025</v>
      </c>
    </row>
    <row r="321" spans="1:13" x14ac:dyDescent="0.3">
      <c r="A321" t="s">
        <v>575</v>
      </c>
      <c r="B321" t="s">
        <v>502</v>
      </c>
      <c r="C321" t="s">
        <v>576</v>
      </c>
      <c r="D321">
        <v>5</v>
      </c>
      <c r="E321" s="5">
        <v>3</v>
      </c>
      <c r="F321" s="5">
        <v>15</v>
      </c>
      <c r="G321" s="5">
        <v>48</v>
      </c>
      <c r="H321" s="5">
        <v>0</v>
      </c>
      <c r="I321" s="5">
        <v>0</v>
      </c>
      <c r="J321" s="5">
        <v>240</v>
      </c>
      <c r="K321" s="5">
        <v>225</v>
      </c>
      <c r="L321" t="s">
        <v>668</v>
      </c>
      <c r="M321" s="13">
        <v>2025</v>
      </c>
    </row>
    <row r="322" spans="1:13" x14ac:dyDescent="0.3">
      <c r="A322" t="s">
        <v>517</v>
      </c>
      <c r="B322" t="s">
        <v>502</v>
      </c>
      <c r="C322" t="s">
        <v>518</v>
      </c>
      <c r="D322">
        <v>4</v>
      </c>
      <c r="E322" s="5">
        <v>3.26</v>
      </c>
      <c r="F322" s="5">
        <v>13.04</v>
      </c>
      <c r="G322" s="5">
        <v>5.76</v>
      </c>
      <c r="H322" s="5">
        <v>0</v>
      </c>
      <c r="I322" s="5">
        <v>0</v>
      </c>
      <c r="J322" s="5">
        <v>23.04</v>
      </c>
      <c r="K322" s="5">
        <v>10</v>
      </c>
      <c r="L322" t="s">
        <v>668</v>
      </c>
      <c r="M322" s="13">
        <v>2025</v>
      </c>
    </row>
    <row r="323" spans="1:13" x14ac:dyDescent="0.3">
      <c r="A323" t="s">
        <v>502</v>
      </c>
      <c r="B323" t="s">
        <v>502</v>
      </c>
      <c r="C323" t="s">
        <v>677</v>
      </c>
      <c r="D323">
        <v>3</v>
      </c>
      <c r="E323" s="5">
        <v>0</v>
      </c>
      <c r="F323" s="5">
        <v>0</v>
      </c>
      <c r="G323" s="5">
        <v>90</v>
      </c>
      <c r="H323" s="5">
        <v>0</v>
      </c>
      <c r="I323" s="5">
        <v>0</v>
      </c>
      <c r="J323" s="5">
        <v>270</v>
      </c>
      <c r="K323" s="5">
        <v>270</v>
      </c>
      <c r="L323" t="s">
        <v>668</v>
      </c>
      <c r="M323" s="13">
        <v>2025</v>
      </c>
    </row>
    <row r="324" spans="1:13" x14ac:dyDescent="0.3">
      <c r="A324" t="s">
        <v>502</v>
      </c>
      <c r="B324" t="s">
        <v>502</v>
      </c>
      <c r="C324" t="s">
        <v>678</v>
      </c>
      <c r="D324">
        <v>2</v>
      </c>
      <c r="E324" s="5">
        <v>0</v>
      </c>
      <c r="F324" s="5">
        <v>0</v>
      </c>
      <c r="G324" s="5">
        <v>50</v>
      </c>
      <c r="H324" s="5">
        <v>0</v>
      </c>
      <c r="I324" s="5">
        <v>0</v>
      </c>
      <c r="J324" s="5">
        <v>100</v>
      </c>
      <c r="K324" s="5">
        <v>100</v>
      </c>
      <c r="L324" t="s">
        <v>668</v>
      </c>
      <c r="M324" s="13">
        <v>2025</v>
      </c>
    </row>
    <row r="325" spans="1:13" x14ac:dyDescent="0.3">
      <c r="A325" t="s">
        <v>502</v>
      </c>
      <c r="B325" t="s">
        <v>502</v>
      </c>
      <c r="C325" t="s">
        <v>526</v>
      </c>
      <c r="D325">
        <v>2</v>
      </c>
      <c r="E325" s="5">
        <v>409.87</v>
      </c>
      <c r="F325" s="5">
        <v>819.74</v>
      </c>
      <c r="G325" s="5">
        <v>547.89</v>
      </c>
      <c r="H325" s="5">
        <v>4.21</v>
      </c>
      <c r="I325" s="5">
        <v>0</v>
      </c>
      <c r="J325" s="5">
        <v>1095.79</v>
      </c>
      <c r="K325" s="5">
        <v>276.05</v>
      </c>
      <c r="L325" t="s">
        <v>668</v>
      </c>
      <c r="M325" s="13">
        <v>2025</v>
      </c>
    </row>
    <row r="326" spans="1:13" x14ac:dyDescent="0.3">
      <c r="A326" t="s">
        <v>502</v>
      </c>
      <c r="B326" t="s">
        <v>502</v>
      </c>
      <c r="C326" t="s">
        <v>679</v>
      </c>
      <c r="D326">
        <v>2</v>
      </c>
      <c r="E326" s="5">
        <v>0</v>
      </c>
      <c r="F326" s="5">
        <v>0</v>
      </c>
      <c r="G326" s="5">
        <v>40</v>
      </c>
      <c r="H326" s="5">
        <v>0</v>
      </c>
      <c r="I326" s="5">
        <v>0</v>
      </c>
      <c r="J326" s="5">
        <v>80</v>
      </c>
      <c r="K326" s="5">
        <v>80</v>
      </c>
      <c r="L326" t="s">
        <v>668</v>
      </c>
      <c r="M326" s="13">
        <v>2025</v>
      </c>
    </row>
    <row r="327" spans="1:13" x14ac:dyDescent="0.3">
      <c r="A327" t="s">
        <v>597</v>
      </c>
      <c r="B327" t="s">
        <v>502</v>
      </c>
      <c r="C327" t="s">
        <v>598</v>
      </c>
      <c r="D327">
        <v>2</v>
      </c>
      <c r="E327" s="5">
        <v>0</v>
      </c>
      <c r="F327" s="5">
        <v>0</v>
      </c>
      <c r="G327" s="5">
        <v>180</v>
      </c>
      <c r="H327" s="5">
        <v>0</v>
      </c>
      <c r="I327" s="5">
        <v>0</v>
      </c>
      <c r="J327" s="5">
        <v>360</v>
      </c>
      <c r="K327" s="5">
        <v>360</v>
      </c>
      <c r="L327" t="s">
        <v>668</v>
      </c>
      <c r="M327" s="13">
        <v>2025</v>
      </c>
    </row>
    <row r="328" spans="1:13" x14ac:dyDescent="0.3">
      <c r="A328" t="s">
        <v>569</v>
      </c>
      <c r="B328" t="s">
        <v>502</v>
      </c>
      <c r="C328" t="s">
        <v>570</v>
      </c>
      <c r="D328">
        <v>1</v>
      </c>
      <c r="E328" s="5">
        <v>9.3800000000000008</v>
      </c>
      <c r="F328" s="5">
        <v>9.3800000000000008</v>
      </c>
      <c r="G328" s="5">
        <v>0</v>
      </c>
      <c r="H328" s="5">
        <v>0</v>
      </c>
      <c r="I328" s="5">
        <v>0</v>
      </c>
      <c r="J328" s="5">
        <v>0</v>
      </c>
      <c r="K328" s="5">
        <v>-9.3800000000000008</v>
      </c>
      <c r="L328" t="s">
        <v>668</v>
      </c>
      <c r="M328" s="13">
        <v>2025</v>
      </c>
    </row>
    <row r="329" spans="1:13" x14ac:dyDescent="0.3">
      <c r="A329" t="s">
        <v>577</v>
      </c>
      <c r="B329" t="s">
        <v>502</v>
      </c>
      <c r="C329" t="s">
        <v>578</v>
      </c>
      <c r="D329">
        <v>1</v>
      </c>
      <c r="E329" s="5">
        <v>30.49</v>
      </c>
      <c r="F329" s="5">
        <v>30.49</v>
      </c>
      <c r="G329" s="5">
        <v>40</v>
      </c>
      <c r="H329" s="5">
        <v>0</v>
      </c>
      <c r="I329" s="5">
        <v>0</v>
      </c>
      <c r="J329" s="5">
        <v>40</v>
      </c>
      <c r="K329" s="5">
        <v>9.51</v>
      </c>
      <c r="L329" t="s">
        <v>668</v>
      </c>
      <c r="M329" s="13">
        <v>2025</v>
      </c>
    </row>
    <row r="330" spans="1:13" x14ac:dyDescent="0.3">
      <c r="A330" t="s">
        <v>502</v>
      </c>
      <c r="B330" t="s">
        <v>502</v>
      </c>
      <c r="C330" t="s">
        <v>680</v>
      </c>
      <c r="D330">
        <v>1</v>
      </c>
      <c r="E330" s="5">
        <v>0</v>
      </c>
      <c r="F330" s="5">
        <v>0</v>
      </c>
      <c r="G330" s="5">
        <v>80</v>
      </c>
      <c r="H330" s="5">
        <v>0</v>
      </c>
      <c r="I330" s="5">
        <v>0</v>
      </c>
      <c r="J330" s="5">
        <v>80</v>
      </c>
      <c r="K330" s="5">
        <v>80</v>
      </c>
      <c r="L330" t="s">
        <v>668</v>
      </c>
      <c r="M330" s="13">
        <v>2025</v>
      </c>
    </row>
    <row r="331" spans="1:13" x14ac:dyDescent="0.3">
      <c r="A331" t="s">
        <v>624</v>
      </c>
      <c r="B331" t="s">
        <v>502</v>
      </c>
      <c r="C331" t="s">
        <v>625</v>
      </c>
      <c r="D331">
        <v>1</v>
      </c>
      <c r="E331" s="5">
        <v>35</v>
      </c>
      <c r="F331" s="5">
        <v>35</v>
      </c>
      <c r="G331" s="5">
        <v>44.89</v>
      </c>
      <c r="H331" s="5">
        <v>0.11</v>
      </c>
      <c r="I331" s="5">
        <v>0</v>
      </c>
      <c r="J331" s="5">
        <v>44.89</v>
      </c>
      <c r="K331" s="5">
        <v>9.89</v>
      </c>
      <c r="L331" t="s">
        <v>668</v>
      </c>
      <c r="M331" s="13">
        <v>2025</v>
      </c>
    </row>
    <row r="332" spans="1:13" x14ac:dyDescent="0.3">
      <c r="A332" t="s">
        <v>502</v>
      </c>
      <c r="B332" t="s">
        <v>502</v>
      </c>
      <c r="C332" t="s">
        <v>681</v>
      </c>
      <c r="D332">
        <v>1</v>
      </c>
      <c r="E332" s="5">
        <v>0</v>
      </c>
      <c r="F332" s="5">
        <v>0</v>
      </c>
      <c r="G332" s="5">
        <v>150</v>
      </c>
      <c r="H332" s="5">
        <v>0</v>
      </c>
      <c r="I332" s="5">
        <v>0</v>
      </c>
      <c r="J332" s="5">
        <v>150</v>
      </c>
      <c r="K332" s="5">
        <v>150</v>
      </c>
      <c r="L332" t="s">
        <v>668</v>
      </c>
      <c r="M332" s="13">
        <v>2025</v>
      </c>
    </row>
    <row r="333" spans="1:13" x14ac:dyDescent="0.3">
      <c r="A333" t="s">
        <v>502</v>
      </c>
      <c r="B333" t="s">
        <v>502</v>
      </c>
      <c r="C333" t="s">
        <v>682</v>
      </c>
      <c r="D333">
        <v>1</v>
      </c>
      <c r="E333" s="5">
        <v>0</v>
      </c>
      <c r="F333" s="5">
        <v>0</v>
      </c>
      <c r="G333" s="5">
        <v>250</v>
      </c>
      <c r="H333" s="5">
        <v>0</v>
      </c>
      <c r="I333" s="5">
        <v>0</v>
      </c>
      <c r="J333" s="5">
        <v>250</v>
      </c>
      <c r="K333" s="5">
        <v>250</v>
      </c>
      <c r="L333" t="s">
        <v>668</v>
      </c>
      <c r="M333" s="13">
        <v>2025</v>
      </c>
    </row>
    <row r="334" spans="1:13" x14ac:dyDescent="0.3">
      <c r="A334" t="s">
        <v>605</v>
      </c>
      <c r="B334" t="s">
        <v>502</v>
      </c>
      <c r="C334" t="s">
        <v>606</v>
      </c>
      <c r="D334">
        <v>1</v>
      </c>
      <c r="E334" s="5">
        <v>20</v>
      </c>
      <c r="F334" s="5">
        <v>20</v>
      </c>
      <c r="G334" s="5">
        <v>70</v>
      </c>
      <c r="H334" s="5">
        <v>0</v>
      </c>
      <c r="I334" s="5">
        <v>0</v>
      </c>
      <c r="J334" s="5">
        <v>70</v>
      </c>
      <c r="K334" s="5">
        <v>50</v>
      </c>
      <c r="L334" t="s">
        <v>668</v>
      </c>
      <c r="M334" s="13">
        <v>2025</v>
      </c>
    </row>
    <row r="335" spans="1:13" x14ac:dyDescent="0.3">
      <c r="A335" t="s">
        <v>502</v>
      </c>
      <c r="B335" t="s">
        <v>502</v>
      </c>
      <c r="C335" t="s">
        <v>683</v>
      </c>
      <c r="D335">
        <v>1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t="s">
        <v>668</v>
      </c>
      <c r="M335" s="13">
        <v>2025</v>
      </c>
    </row>
    <row r="336" spans="1:13" x14ac:dyDescent="0.3">
      <c r="A336" t="s">
        <v>602</v>
      </c>
      <c r="B336" t="s">
        <v>502</v>
      </c>
      <c r="C336" t="s">
        <v>603</v>
      </c>
      <c r="D336">
        <v>1</v>
      </c>
      <c r="E336" s="5">
        <v>54.43</v>
      </c>
      <c r="F336" s="5">
        <v>54.43</v>
      </c>
      <c r="G336" s="5">
        <v>60</v>
      </c>
      <c r="H336" s="5">
        <v>0</v>
      </c>
      <c r="I336" s="5">
        <v>0</v>
      </c>
      <c r="J336" s="5">
        <v>60</v>
      </c>
      <c r="K336" s="5">
        <v>5.57</v>
      </c>
      <c r="L336" t="s">
        <v>668</v>
      </c>
      <c r="M336" s="13">
        <v>2025</v>
      </c>
    </row>
    <row r="337" spans="1:13" x14ac:dyDescent="0.3">
      <c r="A337" t="s">
        <v>505</v>
      </c>
      <c r="B337" t="s">
        <v>502</v>
      </c>
      <c r="C337" t="s">
        <v>506</v>
      </c>
      <c r="D337">
        <v>2250</v>
      </c>
      <c r="E337" s="5">
        <v>2.5</v>
      </c>
      <c r="F337" s="5">
        <v>5625</v>
      </c>
      <c r="G337" s="5">
        <v>3</v>
      </c>
      <c r="H337" s="5">
        <v>1.76</v>
      </c>
      <c r="I337" s="5">
        <v>15</v>
      </c>
      <c r="J337" s="5">
        <v>6743.24</v>
      </c>
      <c r="K337" s="5">
        <v>1118.24</v>
      </c>
      <c r="L337" t="s">
        <v>684</v>
      </c>
      <c r="M337" s="13">
        <v>2025</v>
      </c>
    </row>
    <row r="338" spans="1:13" x14ac:dyDescent="0.3">
      <c r="A338" t="s">
        <v>511</v>
      </c>
      <c r="B338" t="s">
        <v>502</v>
      </c>
      <c r="C338" t="s">
        <v>512</v>
      </c>
      <c r="D338">
        <v>412</v>
      </c>
      <c r="E338" s="5">
        <v>382.3</v>
      </c>
      <c r="F338" s="5">
        <v>157507.6</v>
      </c>
      <c r="G338" s="5">
        <v>596.41999999999996</v>
      </c>
      <c r="H338" s="5">
        <v>2659.01</v>
      </c>
      <c r="I338" s="5">
        <v>59.22</v>
      </c>
      <c r="J338" s="5">
        <v>245724.21</v>
      </c>
      <c r="K338" s="5">
        <v>88216.61</v>
      </c>
      <c r="L338" t="s">
        <v>684</v>
      </c>
      <c r="M338" s="13">
        <v>2025</v>
      </c>
    </row>
    <row r="339" spans="1:13" x14ac:dyDescent="0.3">
      <c r="A339" t="s">
        <v>515</v>
      </c>
      <c r="B339" t="s">
        <v>502</v>
      </c>
      <c r="C339" t="s">
        <v>516</v>
      </c>
      <c r="D339">
        <v>328</v>
      </c>
      <c r="E339" s="5">
        <v>7.21</v>
      </c>
      <c r="F339" s="5">
        <v>2364.88</v>
      </c>
      <c r="G339" s="5">
        <v>21.97</v>
      </c>
      <c r="H339" s="5">
        <v>167.97</v>
      </c>
      <c r="I339" s="5">
        <v>0</v>
      </c>
      <c r="J339" s="5">
        <v>7207.03</v>
      </c>
      <c r="K339" s="5">
        <v>4842.1499999999996</v>
      </c>
      <c r="L339" t="s">
        <v>684</v>
      </c>
      <c r="M339" s="13">
        <v>2025</v>
      </c>
    </row>
    <row r="340" spans="1:13" x14ac:dyDescent="0.3">
      <c r="A340" t="s">
        <v>513</v>
      </c>
      <c r="B340" t="s">
        <v>502</v>
      </c>
      <c r="C340" t="s">
        <v>514</v>
      </c>
      <c r="D340">
        <v>325</v>
      </c>
      <c r="E340" s="5">
        <v>432.79</v>
      </c>
      <c r="F340" s="5">
        <v>140656.75</v>
      </c>
      <c r="G340" s="5">
        <v>631.59</v>
      </c>
      <c r="H340" s="5">
        <v>1975.96</v>
      </c>
      <c r="I340" s="5">
        <v>21.19</v>
      </c>
      <c r="J340" s="5">
        <v>205266.23</v>
      </c>
      <c r="K340" s="5">
        <v>64609.48</v>
      </c>
      <c r="L340" t="s">
        <v>684</v>
      </c>
      <c r="M340" s="13">
        <v>2025</v>
      </c>
    </row>
    <row r="341" spans="1:13" x14ac:dyDescent="0.3">
      <c r="A341" t="s">
        <v>502</v>
      </c>
      <c r="B341" t="s">
        <v>502</v>
      </c>
      <c r="C341" t="s">
        <v>658</v>
      </c>
      <c r="D341">
        <v>142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t="s">
        <v>684</v>
      </c>
      <c r="M341" s="13">
        <v>2025</v>
      </c>
    </row>
    <row r="342" spans="1:13" x14ac:dyDescent="0.3">
      <c r="A342" t="s">
        <v>521</v>
      </c>
      <c r="B342" t="s">
        <v>502</v>
      </c>
      <c r="C342" t="s">
        <v>522</v>
      </c>
      <c r="D342">
        <v>142</v>
      </c>
      <c r="E342" s="5">
        <v>455</v>
      </c>
      <c r="F342" s="5">
        <v>64610</v>
      </c>
      <c r="G342" s="5">
        <v>725.49</v>
      </c>
      <c r="H342" s="5">
        <v>1104.3599999999999</v>
      </c>
      <c r="I342" s="5">
        <v>0</v>
      </c>
      <c r="J342" s="5">
        <v>103019.64</v>
      </c>
      <c r="K342" s="5">
        <v>38409.64</v>
      </c>
      <c r="L342" t="s">
        <v>684</v>
      </c>
      <c r="M342" s="13">
        <v>2025</v>
      </c>
    </row>
    <row r="343" spans="1:13" x14ac:dyDescent="0.3">
      <c r="A343" t="s">
        <v>527</v>
      </c>
      <c r="B343" t="s">
        <v>502</v>
      </c>
      <c r="C343" t="s">
        <v>528</v>
      </c>
      <c r="D343">
        <v>122</v>
      </c>
      <c r="E343" s="5">
        <v>55</v>
      </c>
      <c r="F343" s="5">
        <v>6710</v>
      </c>
      <c r="G343" s="5">
        <v>157.85</v>
      </c>
      <c r="H343" s="5">
        <v>67.78</v>
      </c>
      <c r="I343" s="5">
        <v>0</v>
      </c>
      <c r="J343" s="5">
        <v>19257.22</v>
      </c>
      <c r="K343" s="5">
        <v>12547.22</v>
      </c>
      <c r="L343" t="s">
        <v>684</v>
      </c>
      <c r="M343" s="13">
        <v>2025</v>
      </c>
    </row>
    <row r="344" spans="1:13" x14ac:dyDescent="0.3">
      <c r="A344" t="s">
        <v>529</v>
      </c>
      <c r="B344" t="s">
        <v>502</v>
      </c>
      <c r="C344" t="s">
        <v>530</v>
      </c>
      <c r="D344">
        <v>103</v>
      </c>
      <c r="E344" s="5">
        <v>534</v>
      </c>
      <c r="F344" s="5">
        <v>55002</v>
      </c>
      <c r="G344" s="5">
        <v>819.51</v>
      </c>
      <c r="H344" s="5">
        <v>903.97</v>
      </c>
      <c r="I344" s="5">
        <v>0</v>
      </c>
      <c r="J344" s="5">
        <v>84409.03</v>
      </c>
      <c r="K344" s="5">
        <v>29407.03</v>
      </c>
      <c r="L344" t="s">
        <v>684</v>
      </c>
      <c r="M344" s="13">
        <v>2025</v>
      </c>
    </row>
    <row r="345" spans="1:13" x14ac:dyDescent="0.3">
      <c r="A345" t="s">
        <v>537</v>
      </c>
      <c r="B345" t="s">
        <v>502</v>
      </c>
      <c r="C345" t="s">
        <v>538</v>
      </c>
      <c r="D345">
        <v>79</v>
      </c>
      <c r="E345" s="5">
        <v>25</v>
      </c>
      <c r="F345" s="5">
        <v>1975</v>
      </c>
      <c r="G345" s="5">
        <v>29.92</v>
      </c>
      <c r="H345" s="5">
        <v>1.45</v>
      </c>
      <c r="I345" s="5">
        <v>0</v>
      </c>
      <c r="J345" s="5">
        <v>2363.5500000000002</v>
      </c>
      <c r="K345" s="5">
        <v>388.55</v>
      </c>
      <c r="L345" t="s">
        <v>684</v>
      </c>
      <c r="M345" s="13">
        <v>2025</v>
      </c>
    </row>
    <row r="346" spans="1:13" x14ac:dyDescent="0.3">
      <c r="A346" t="s">
        <v>507</v>
      </c>
      <c r="B346" t="s">
        <v>502</v>
      </c>
      <c r="C346" t="s">
        <v>508</v>
      </c>
      <c r="D346">
        <v>75</v>
      </c>
      <c r="E346" s="5">
        <v>0.65</v>
      </c>
      <c r="F346" s="5">
        <v>48.75</v>
      </c>
      <c r="G346" s="5">
        <v>0.99</v>
      </c>
      <c r="H346" s="5">
        <v>0.53</v>
      </c>
      <c r="I346" s="5">
        <v>0</v>
      </c>
      <c r="J346" s="5">
        <v>74.47</v>
      </c>
      <c r="K346" s="5">
        <v>25.72</v>
      </c>
      <c r="L346" t="s">
        <v>684</v>
      </c>
      <c r="M346" s="13">
        <v>2025</v>
      </c>
    </row>
    <row r="347" spans="1:13" x14ac:dyDescent="0.3">
      <c r="A347" t="s">
        <v>509</v>
      </c>
      <c r="B347" t="s">
        <v>502</v>
      </c>
      <c r="C347" t="s">
        <v>510</v>
      </c>
      <c r="D347">
        <v>75</v>
      </c>
      <c r="E347" s="5">
        <v>0.65</v>
      </c>
      <c r="F347" s="5">
        <v>48.75</v>
      </c>
      <c r="G347" s="5">
        <v>0.99</v>
      </c>
      <c r="H347" s="5">
        <v>0.53</v>
      </c>
      <c r="I347" s="5">
        <v>0</v>
      </c>
      <c r="J347" s="5">
        <v>74.47</v>
      </c>
      <c r="K347" s="5">
        <v>25.72</v>
      </c>
      <c r="L347" t="s">
        <v>684</v>
      </c>
      <c r="M347" s="13">
        <v>2025</v>
      </c>
    </row>
    <row r="348" spans="1:13" x14ac:dyDescent="0.3">
      <c r="A348" t="s">
        <v>531</v>
      </c>
      <c r="B348" t="s">
        <v>502</v>
      </c>
      <c r="C348" t="s">
        <v>532</v>
      </c>
      <c r="D348">
        <v>67</v>
      </c>
      <c r="E348" s="5">
        <v>12.19</v>
      </c>
      <c r="F348" s="5">
        <v>816.73</v>
      </c>
      <c r="G348" s="5">
        <v>15.09</v>
      </c>
      <c r="H348" s="5">
        <v>4.54</v>
      </c>
      <c r="I348" s="5">
        <v>0</v>
      </c>
      <c r="J348" s="5">
        <v>1010.96</v>
      </c>
      <c r="K348" s="5">
        <v>194.23</v>
      </c>
      <c r="L348" t="s">
        <v>684</v>
      </c>
      <c r="M348" s="13">
        <v>2025</v>
      </c>
    </row>
    <row r="349" spans="1:13" x14ac:dyDescent="0.3">
      <c r="A349" t="s">
        <v>535</v>
      </c>
      <c r="B349" t="s">
        <v>502</v>
      </c>
      <c r="C349" t="s">
        <v>536</v>
      </c>
      <c r="D349">
        <v>65</v>
      </c>
      <c r="E349" s="5">
        <v>477</v>
      </c>
      <c r="F349" s="5">
        <v>31005</v>
      </c>
      <c r="G349" s="5">
        <v>775.9</v>
      </c>
      <c r="H349" s="5">
        <v>704.4</v>
      </c>
      <c r="I349" s="5">
        <v>0</v>
      </c>
      <c r="J349" s="5">
        <v>50433.599999999999</v>
      </c>
      <c r="K349" s="5">
        <v>19428.599999999999</v>
      </c>
      <c r="L349" t="s">
        <v>684</v>
      </c>
      <c r="M349" s="13">
        <v>2025</v>
      </c>
    </row>
    <row r="350" spans="1:13" x14ac:dyDescent="0.3">
      <c r="A350" t="s">
        <v>547</v>
      </c>
      <c r="B350" t="s">
        <v>502</v>
      </c>
      <c r="C350" t="s">
        <v>655</v>
      </c>
      <c r="D350">
        <v>60</v>
      </c>
      <c r="E350" s="5">
        <v>3.05</v>
      </c>
      <c r="F350" s="5">
        <v>183</v>
      </c>
      <c r="G350" s="5">
        <v>3.71</v>
      </c>
      <c r="H350" s="5">
        <v>0.63</v>
      </c>
      <c r="I350" s="5">
        <v>0</v>
      </c>
      <c r="J350" s="5">
        <v>222.37</v>
      </c>
      <c r="K350" s="5">
        <v>39.369999999999997</v>
      </c>
      <c r="L350" t="s">
        <v>684</v>
      </c>
      <c r="M350" s="13">
        <v>2025</v>
      </c>
    </row>
    <row r="351" spans="1:13" x14ac:dyDescent="0.3">
      <c r="A351" t="s">
        <v>541</v>
      </c>
      <c r="B351" t="s">
        <v>502</v>
      </c>
      <c r="C351" t="s">
        <v>542</v>
      </c>
      <c r="D351">
        <v>41</v>
      </c>
      <c r="E351" s="5">
        <v>649</v>
      </c>
      <c r="F351" s="5">
        <v>26609</v>
      </c>
      <c r="G351" s="5">
        <v>1191.1199999999999</v>
      </c>
      <c r="H351" s="5">
        <v>64.12</v>
      </c>
      <c r="I351" s="5">
        <v>0</v>
      </c>
      <c r="J351" s="5">
        <v>48835.88</v>
      </c>
      <c r="K351" s="5">
        <v>22226.880000000001</v>
      </c>
      <c r="L351" t="s">
        <v>684</v>
      </c>
      <c r="M351" s="13">
        <v>2025</v>
      </c>
    </row>
    <row r="352" spans="1:13" x14ac:dyDescent="0.3">
      <c r="A352" t="s">
        <v>674</v>
      </c>
      <c r="B352" t="s">
        <v>502</v>
      </c>
      <c r="C352" t="s">
        <v>675</v>
      </c>
      <c r="D352">
        <v>41</v>
      </c>
      <c r="E352" s="5">
        <v>491</v>
      </c>
      <c r="F352" s="5">
        <v>20131</v>
      </c>
      <c r="G352" s="5">
        <v>666.1</v>
      </c>
      <c r="H352" s="5">
        <v>0</v>
      </c>
      <c r="I352" s="5">
        <v>0</v>
      </c>
      <c r="J352" s="5">
        <v>27310</v>
      </c>
      <c r="K352" s="5">
        <v>7179</v>
      </c>
      <c r="L352" t="s">
        <v>684</v>
      </c>
      <c r="M352" s="13">
        <v>2025</v>
      </c>
    </row>
    <row r="353" spans="1:13" x14ac:dyDescent="0.3">
      <c r="A353" t="s">
        <v>539</v>
      </c>
      <c r="B353" t="s">
        <v>502</v>
      </c>
      <c r="C353" t="s">
        <v>540</v>
      </c>
      <c r="D353">
        <v>40</v>
      </c>
      <c r="E353" s="5">
        <v>664</v>
      </c>
      <c r="F353" s="5">
        <v>26560</v>
      </c>
      <c r="G353" s="5">
        <v>1278.8599999999999</v>
      </c>
      <c r="H353" s="5">
        <v>125.78</v>
      </c>
      <c r="I353" s="5">
        <v>0</v>
      </c>
      <c r="J353" s="5">
        <v>51154.22</v>
      </c>
      <c r="K353" s="5">
        <v>24594.22</v>
      </c>
      <c r="L353" t="s">
        <v>684</v>
      </c>
      <c r="M353" s="13">
        <v>2025</v>
      </c>
    </row>
    <row r="354" spans="1:13" x14ac:dyDescent="0.3">
      <c r="A354" t="s">
        <v>565</v>
      </c>
      <c r="B354" t="s">
        <v>502</v>
      </c>
      <c r="C354" t="s">
        <v>566</v>
      </c>
      <c r="D354">
        <v>38</v>
      </c>
      <c r="E354" s="5">
        <v>90</v>
      </c>
      <c r="F354" s="5">
        <v>3420</v>
      </c>
      <c r="G354" s="5">
        <v>150</v>
      </c>
      <c r="H354" s="5">
        <v>0</v>
      </c>
      <c r="I354" s="5">
        <v>0</v>
      </c>
      <c r="J354" s="5">
        <v>5700</v>
      </c>
      <c r="K354" s="5">
        <v>2280</v>
      </c>
      <c r="L354" t="s">
        <v>684</v>
      </c>
      <c r="M354" s="13">
        <v>2025</v>
      </c>
    </row>
    <row r="355" spans="1:13" x14ac:dyDescent="0.3">
      <c r="A355" t="s">
        <v>551</v>
      </c>
      <c r="B355" t="s">
        <v>502</v>
      </c>
      <c r="C355" t="s">
        <v>552</v>
      </c>
      <c r="D355">
        <v>29</v>
      </c>
      <c r="E355" s="5">
        <v>61.37</v>
      </c>
      <c r="F355" s="5">
        <v>1779.73</v>
      </c>
      <c r="G355" s="5">
        <v>88.62</v>
      </c>
      <c r="H355" s="5">
        <v>23</v>
      </c>
      <c r="I355" s="5">
        <v>23</v>
      </c>
      <c r="J355" s="5">
        <v>2570</v>
      </c>
      <c r="K355" s="5">
        <v>790.27</v>
      </c>
      <c r="L355" t="s">
        <v>684</v>
      </c>
      <c r="M355" s="13">
        <v>2025</v>
      </c>
    </row>
    <row r="356" spans="1:13" x14ac:dyDescent="0.3">
      <c r="A356" t="s">
        <v>555</v>
      </c>
      <c r="B356" t="s">
        <v>502</v>
      </c>
      <c r="C356" t="s">
        <v>556</v>
      </c>
      <c r="D356">
        <v>26</v>
      </c>
      <c r="E356" s="5">
        <v>909</v>
      </c>
      <c r="F356" s="5">
        <v>23634</v>
      </c>
      <c r="G356" s="5">
        <v>1289.8699999999999</v>
      </c>
      <c r="H356" s="5">
        <v>467.32</v>
      </c>
      <c r="I356" s="5">
        <v>0</v>
      </c>
      <c r="J356" s="5">
        <v>33536.68</v>
      </c>
      <c r="K356" s="5">
        <v>9902.68</v>
      </c>
      <c r="L356" t="s">
        <v>684</v>
      </c>
      <c r="M356" s="13">
        <v>2025</v>
      </c>
    </row>
    <row r="357" spans="1:13" x14ac:dyDescent="0.3">
      <c r="A357" t="s">
        <v>685</v>
      </c>
      <c r="B357" t="s">
        <v>502</v>
      </c>
      <c r="C357" t="s">
        <v>686</v>
      </c>
      <c r="D357">
        <v>20</v>
      </c>
      <c r="E357" s="5">
        <v>2</v>
      </c>
      <c r="F357" s="5">
        <v>40</v>
      </c>
      <c r="G357" s="5">
        <v>3</v>
      </c>
      <c r="H357" s="5">
        <v>0.03</v>
      </c>
      <c r="I357" s="5">
        <v>0</v>
      </c>
      <c r="J357" s="5">
        <v>59.97</v>
      </c>
      <c r="K357" s="5">
        <v>19.97</v>
      </c>
      <c r="L357" t="s">
        <v>684</v>
      </c>
      <c r="M357" s="13">
        <v>2025</v>
      </c>
    </row>
    <row r="358" spans="1:13" x14ac:dyDescent="0.3">
      <c r="A358" t="s">
        <v>549</v>
      </c>
      <c r="B358" t="s">
        <v>502</v>
      </c>
      <c r="C358" t="s">
        <v>619</v>
      </c>
      <c r="D358">
        <v>17</v>
      </c>
      <c r="E358" s="5">
        <v>42</v>
      </c>
      <c r="F358" s="5">
        <v>714</v>
      </c>
      <c r="G358" s="5">
        <v>54.71</v>
      </c>
      <c r="H358" s="5">
        <v>5</v>
      </c>
      <c r="I358" s="5">
        <v>0</v>
      </c>
      <c r="J358" s="5">
        <v>930</v>
      </c>
      <c r="K358" s="5">
        <v>216</v>
      </c>
      <c r="L358" t="s">
        <v>684</v>
      </c>
      <c r="M358" s="13">
        <v>2025</v>
      </c>
    </row>
    <row r="359" spans="1:13" x14ac:dyDescent="0.3">
      <c r="A359" t="s">
        <v>662</v>
      </c>
      <c r="B359" t="s">
        <v>502</v>
      </c>
      <c r="C359" t="s">
        <v>663</v>
      </c>
      <c r="D359">
        <v>16</v>
      </c>
      <c r="E359" s="5">
        <v>293.13</v>
      </c>
      <c r="F359" s="5">
        <v>4690.08</v>
      </c>
      <c r="G359" s="5">
        <v>429.83</v>
      </c>
      <c r="H359" s="5">
        <v>50</v>
      </c>
      <c r="I359" s="5">
        <v>0</v>
      </c>
      <c r="J359" s="5">
        <v>6877.2</v>
      </c>
      <c r="K359" s="5">
        <v>2187.12</v>
      </c>
      <c r="L359" t="s">
        <v>684</v>
      </c>
      <c r="M359" s="13">
        <v>2025</v>
      </c>
    </row>
    <row r="360" spans="1:13" x14ac:dyDescent="0.3">
      <c r="A360" t="s">
        <v>656</v>
      </c>
      <c r="B360" t="s">
        <v>502</v>
      </c>
      <c r="C360" t="s">
        <v>657</v>
      </c>
      <c r="D360">
        <v>15</v>
      </c>
      <c r="E360" s="5">
        <v>40</v>
      </c>
      <c r="F360" s="5">
        <v>600</v>
      </c>
      <c r="G360" s="5">
        <v>66.17</v>
      </c>
      <c r="H360" s="5">
        <v>2.41</v>
      </c>
      <c r="I360" s="5">
        <v>0</v>
      </c>
      <c r="J360" s="5">
        <v>992.59</v>
      </c>
      <c r="K360" s="5">
        <v>392.59</v>
      </c>
      <c r="L360" t="s">
        <v>684</v>
      </c>
      <c r="M360" s="13">
        <v>2025</v>
      </c>
    </row>
    <row r="361" spans="1:13" x14ac:dyDescent="0.3">
      <c r="A361" t="s">
        <v>553</v>
      </c>
      <c r="B361" t="s">
        <v>502</v>
      </c>
      <c r="C361" t="s">
        <v>554</v>
      </c>
      <c r="D361">
        <v>15</v>
      </c>
      <c r="E361" s="5">
        <v>679</v>
      </c>
      <c r="F361" s="5">
        <v>10185</v>
      </c>
      <c r="G361" s="5">
        <v>1380.96</v>
      </c>
      <c r="H361" s="5">
        <v>35.65</v>
      </c>
      <c r="I361" s="5">
        <v>0</v>
      </c>
      <c r="J361" s="5">
        <v>20714.349999999999</v>
      </c>
      <c r="K361" s="5">
        <v>10529.35</v>
      </c>
      <c r="L361" t="s">
        <v>684</v>
      </c>
      <c r="M361" s="13">
        <v>2025</v>
      </c>
    </row>
    <row r="362" spans="1:13" x14ac:dyDescent="0.3">
      <c r="A362" t="s">
        <v>502</v>
      </c>
      <c r="B362" t="s">
        <v>502</v>
      </c>
      <c r="C362" t="s">
        <v>687</v>
      </c>
      <c r="D362">
        <v>15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t="s">
        <v>684</v>
      </c>
      <c r="M362" s="13">
        <v>2025</v>
      </c>
    </row>
    <row r="363" spans="1:13" x14ac:dyDescent="0.3">
      <c r="A363" t="s">
        <v>545</v>
      </c>
      <c r="B363" t="s">
        <v>502</v>
      </c>
      <c r="C363" t="s">
        <v>546</v>
      </c>
      <c r="D363">
        <v>14</v>
      </c>
      <c r="E363" s="5">
        <v>13.69</v>
      </c>
      <c r="F363" s="5">
        <v>191.66</v>
      </c>
      <c r="G363" s="5">
        <v>100.65</v>
      </c>
      <c r="H363" s="5">
        <v>20.95</v>
      </c>
      <c r="I363" s="5">
        <v>0</v>
      </c>
      <c r="J363" s="5">
        <v>1409.05</v>
      </c>
      <c r="K363" s="5">
        <v>1217.3900000000001</v>
      </c>
      <c r="L363" t="s">
        <v>684</v>
      </c>
      <c r="M363" s="13">
        <v>2025</v>
      </c>
    </row>
    <row r="364" spans="1:13" x14ac:dyDescent="0.3">
      <c r="A364" t="s">
        <v>559</v>
      </c>
      <c r="B364" t="s">
        <v>502</v>
      </c>
      <c r="C364" t="s">
        <v>560</v>
      </c>
      <c r="D364">
        <v>13</v>
      </c>
      <c r="E364" s="5">
        <v>46.16</v>
      </c>
      <c r="F364" s="5">
        <v>600.02</v>
      </c>
      <c r="G364" s="5">
        <v>71.069999999999993</v>
      </c>
      <c r="H364" s="5">
        <v>6.07</v>
      </c>
      <c r="I364" s="5">
        <v>0</v>
      </c>
      <c r="J364" s="5">
        <v>923.93</v>
      </c>
      <c r="K364" s="5">
        <v>323.91000000000003</v>
      </c>
      <c r="L364" t="s">
        <v>684</v>
      </c>
      <c r="M364" s="13">
        <v>2025</v>
      </c>
    </row>
    <row r="365" spans="1:13" x14ac:dyDescent="0.3">
      <c r="A365" t="s">
        <v>502</v>
      </c>
      <c r="B365" t="s">
        <v>502</v>
      </c>
      <c r="C365" t="s">
        <v>688</v>
      </c>
      <c r="D365">
        <v>13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t="s">
        <v>684</v>
      </c>
      <c r="M365" s="13">
        <v>2025</v>
      </c>
    </row>
    <row r="366" spans="1:13" x14ac:dyDescent="0.3">
      <c r="A366" t="s">
        <v>689</v>
      </c>
      <c r="B366" t="s">
        <v>502</v>
      </c>
      <c r="C366" t="s">
        <v>673</v>
      </c>
      <c r="D366">
        <v>13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t="s">
        <v>684</v>
      </c>
      <c r="M366" s="13">
        <v>2025</v>
      </c>
    </row>
    <row r="367" spans="1:13" x14ac:dyDescent="0.3">
      <c r="A367" t="s">
        <v>690</v>
      </c>
      <c r="B367" t="s">
        <v>502</v>
      </c>
      <c r="C367" t="s">
        <v>691</v>
      </c>
      <c r="D367">
        <v>13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t="s">
        <v>684</v>
      </c>
      <c r="M367" s="13">
        <v>2025</v>
      </c>
    </row>
    <row r="368" spans="1:13" x14ac:dyDescent="0.3">
      <c r="A368" t="s">
        <v>502</v>
      </c>
      <c r="B368" t="s">
        <v>502</v>
      </c>
      <c r="C368" t="s">
        <v>692</v>
      </c>
      <c r="D368">
        <v>12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t="s">
        <v>684</v>
      </c>
      <c r="M368" s="13">
        <v>2025</v>
      </c>
    </row>
    <row r="369" spans="1:13" x14ac:dyDescent="0.3">
      <c r="A369" t="s">
        <v>557</v>
      </c>
      <c r="B369" t="s">
        <v>502</v>
      </c>
      <c r="C369" t="s">
        <v>558</v>
      </c>
      <c r="D369">
        <v>12</v>
      </c>
      <c r="E369" s="5">
        <v>289</v>
      </c>
      <c r="F369" s="5">
        <v>3468</v>
      </c>
      <c r="G369" s="5">
        <v>435.67</v>
      </c>
      <c r="H369" s="5">
        <v>0</v>
      </c>
      <c r="I369" s="5">
        <v>0</v>
      </c>
      <c r="J369" s="5">
        <v>5228</v>
      </c>
      <c r="K369" s="5">
        <v>1760</v>
      </c>
      <c r="L369" t="s">
        <v>684</v>
      </c>
      <c r="M369" s="13">
        <v>2025</v>
      </c>
    </row>
    <row r="370" spans="1:13" x14ac:dyDescent="0.3">
      <c r="A370" t="s">
        <v>620</v>
      </c>
      <c r="B370" t="s">
        <v>502</v>
      </c>
      <c r="C370" t="s">
        <v>621</v>
      </c>
      <c r="D370">
        <v>12</v>
      </c>
      <c r="E370" s="5">
        <v>41</v>
      </c>
      <c r="F370" s="5">
        <v>492</v>
      </c>
      <c r="G370" s="5">
        <v>55.35</v>
      </c>
      <c r="H370" s="5">
        <v>0.86</v>
      </c>
      <c r="I370" s="5">
        <v>0</v>
      </c>
      <c r="J370" s="5">
        <v>664.14</v>
      </c>
      <c r="K370" s="5">
        <v>172.14</v>
      </c>
      <c r="L370" t="s">
        <v>684</v>
      </c>
      <c r="M370" s="13">
        <v>2025</v>
      </c>
    </row>
    <row r="371" spans="1:13" x14ac:dyDescent="0.3">
      <c r="A371" t="s">
        <v>591</v>
      </c>
      <c r="B371" t="s">
        <v>502</v>
      </c>
      <c r="C371" t="s">
        <v>592</v>
      </c>
      <c r="D371">
        <v>11</v>
      </c>
      <c r="E371" s="5">
        <v>33.56</v>
      </c>
      <c r="F371" s="5">
        <v>369.16</v>
      </c>
      <c r="G371" s="5">
        <v>85</v>
      </c>
      <c r="H371" s="5">
        <v>0</v>
      </c>
      <c r="I371" s="5">
        <v>0</v>
      </c>
      <c r="J371" s="5">
        <v>935</v>
      </c>
      <c r="K371" s="5">
        <v>565.84</v>
      </c>
      <c r="L371" t="s">
        <v>684</v>
      </c>
      <c r="M371" s="13">
        <v>2025</v>
      </c>
    </row>
    <row r="372" spans="1:13" x14ac:dyDescent="0.3">
      <c r="A372" t="s">
        <v>563</v>
      </c>
      <c r="B372" t="s">
        <v>502</v>
      </c>
      <c r="C372" t="s">
        <v>564</v>
      </c>
      <c r="D372">
        <v>10</v>
      </c>
      <c r="E372" s="5">
        <v>33</v>
      </c>
      <c r="F372" s="5">
        <v>330</v>
      </c>
      <c r="G372" s="5">
        <v>148.29</v>
      </c>
      <c r="H372" s="5">
        <v>0</v>
      </c>
      <c r="I372" s="5">
        <v>2.86</v>
      </c>
      <c r="J372" s="5">
        <v>1482.86</v>
      </c>
      <c r="K372" s="5">
        <v>1152.8599999999999</v>
      </c>
      <c r="L372" t="s">
        <v>684</v>
      </c>
      <c r="M372" s="13">
        <v>2025</v>
      </c>
    </row>
    <row r="373" spans="1:13" x14ac:dyDescent="0.3">
      <c r="A373" t="s">
        <v>502</v>
      </c>
      <c r="B373" t="s">
        <v>502</v>
      </c>
      <c r="C373" t="s">
        <v>686</v>
      </c>
      <c r="D373">
        <v>10</v>
      </c>
      <c r="E373" s="5">
        <v>0</v>
      </c>
      <c r="F373" s="5">
        <v>0</v>
      </c>
      <c r="G373" s="5">
        <v>3</v>
      </c>
      <c r="H373" s="5">
        <v>0</v>
      </c>
      <c r="I373" s="5">
        <v>0</v>
      </c>
      <c r="J373" s="5">
        <v>30</v>
      </c>
      <c r="K373" s="5">
        <v>30</v>
      </c>
      <c r="L373" t="s">
        <v>684</v>
      </c>
      <c r="M373" s="13">
        <v>2025</v>
      </c>
    </row>
    <row r="374" spans="1:13" x14ac:dyDescent="0.3">
      <c r="A374" t="s">
        <v>587</v>
      </c>
      <c r="B374" t="s">
        <v>502</v>
      </c>
      <c r="C374" t="s">
        <v>588</v>
      </c>
      <c r="D374">
        <v>9</v>
      </c>
      <c r="E374" s="5">
        <v>693</v>
      </c>
      <c r="F374" s="5">
        <v>6237</v>
      </c>
      <c r="G374" s="5">
        <v>1399.78</v>
      </c>
      <c r="H374" s="5">
        <v>252</v>
      </c>
      <c r="I374" s="5">
        <v>0</v>
      </c>
      <c r="J374" s="5">
        <v>12598</v>
      </c>
      <c r="K374" s="5">
        <v>6361</v>
      </c>
      <c r="L374" t="s">
        <v>684</v>
      </c>
      <c r="M374" s="13">
        <v>2025</v>
      </c>
    </row>
    <row r="375" spans="1:13" x14ac:dyDescent="0.3">
      <c r="A375" t="s">
        <v>614</v>
      </c>
      <c r="B375" t="s">
        <v>502</v>
      </c>
      <c r="C375" t="s">
        <v>615</v>
      </c>
      <c r="D375">
        <v>8</v>
      </c>
      <c r="E375" s="5">
        <v>33.56</v>
      </c>
      <c r="F375" s="5">
        <v>268.48</v>
      </c>
      <c r="G375" s="5">
        <v>50.63</v>
      </c>
      <c r="H375" s="5">
        <v>0</v>
      </c>
      <c r="I375" s="5">
        <v>0</v>
      </c>
      <c r="J375" s="5">
        <v>405</v>
      </c>
      <c r="K375" s="5">
        <v>136.52000000000001</v>
      </c>
      <c r="L375" t="s">
        <v>684</v>
      </c>
      <c r="M375" s="13">
        <v>2025</v>
      </c>
    </row>
    <row r="376" spans="1:13" x14ac:dyDescent="0.3">
      <c r="A376" t="s">
        <v>585</v>
      </c>
      <c r="B376" t="s">
        <v>502</v>
      </c>
      <c r="C376" t="s">
        <v>586</v>
      </c>
      <c r="D376">
        <v>8</v>
      </c>
      <c r="E376" s="5">
        <v>938</v>
      </c>
      <c r="F376" s="5">
        <v>7504</v>
      </c>
      <c r="G376" s="5">
        <v>1431.25</v>
      </c>
      <c r="H376" s="5">
        <v>0</v>
      </c>
      <c r="I376" s="5">
        <v>0</v>
      </c>
      <c r="J376" s="5">
        <v>11450</v>
      </c>
      <c r="K376" s="5">
        <v>3946</v>
      </c>
      <c r="L376" t="s">
        <v>684</v>
      </c>
      <c r="M376" s="13">
        <v>2025</v>
      </c>
    </row>
    <row r="377" spans="1:13" x14ac:dyDescent="0.3">
      <c r="A377" t="s">
        <v>571</v>
      </c>
      <c r="B377" t="s">
        <v>502</v>
      </c>
      <c r="C377" t="s">
        <v>572</v>
      </c>
      <c r="D377">
        <v>8</v>
      </c>
      <c r="E377" s="5">
        <v>469</v>
      </c>
      <c r="F377" s="5">
        <v>3752</v>
      </c>
      <c r="G377" s="5">
        <v>826.97</v>
      </c>
      <c r="H377" s="5">
        <v>0</v>
      </c>
      <c r="I377" s="5">
        <v>13.73</v>
      </c>
      <c r="J377" s="5">
        <v>6615.73</v>
      </c>
      <c r="K377" s="5">
        <v>2863.73</v>
      </c>
      <c r="L377" t="s">
        <v>684</v>
      </c>
      <c r="M377" s="13">
        <v>2025</v>
      </c>
    </row>
    <row r="378" spans="1:13" x14ac:dyDescent="0.3">
      <c r="A378" t="s">
        <v>622</v>
      </c>
      <c r="B378" t="s">
        <v>502</v>
      </c>
      <c r="C378" t="s">
        <v>623</v>
      </c>
      <c r="D378">
        <v>7</v>
      </c>
      <c r="E378" s="5">
        <v>705</v>
      </c>
      <c r="F378" s="5">
        <v>4935</v>
      </c>
      <c r="G378" s="5">
        <v>1366.47</v>
      </c>
      <c r="H378" s="5">
        <v>84.74</v>
      </c>
      <c r="I378" s="5">
        <v>0</v>
      </c>
      <c r="J378" s="5">
        <v>9565.26</v>
      </c>
      <c r="K378" s="5">
        <v>4630.26</v>
      </c>
      <c r="L378" t="s">
        <v>684</v>
      </c>
      <c r="M378" s="13">
        <v>2025</v>
      </c>
    </row>
    <row r="379" spans="1:13" x14ac:dyDescent="0.3">
      <c r="A379" t="s">
        <v>693</v>
      </c>
      <c r="B379" t="s">
        <v>502</v>
      </c>
      <c r="C379" t="s">
        <v>679</v>
      </c>
      <c r="D379">
        <v>5</v>
      </c>
      <c r="E379" s="5">
        <v>10</v>
      </c>
      <c r="F379" s="5">
        <v>50</v>
      </c>
      <c r="G379" s="5">
        <v>35</v>
      </c>
      <c r="H379" s="5">
        <v>0</v>
      </c>
      <c r="I379" s="5">
        <v>0</v>
      </c>
      <c r="J379" s="5">
        <v>175</v>
      </c>
      <c r="K379" s="5">
        <v>125</v>
      </c>
      <c r="L379" t="s">
        <v>684</v>
      </c>
      <c r="M379" s="13">
        <v>2025</v>
      </c>
    </row>
    <row r="380" spans="1:13" x14ac:dyDescent="0.3">
      <c r="A380" t="s">
        <v>597</v>
      </c>
      <c r="B380" t="s">
        <v>502</v>
      </c>
      <c r="C380" t="s">
        <v>598</v>
      </c>
      <c r="D380">
        <v>4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t="s">
        <v>684</v>
      </c>
      <c r="M380" s="13">
        <v>2025</v>
      </c>
    </row>
    <row r="381" spans="1:13" x14ac:dyDescent="0.3">
      <c r="A381" t="s">
        <v>602</v>
      </c>
      <c r="B381" t="s">
        <v>502</v>
      </c>
      <c r="C381" t="s">
        <v>603</v>
      </c>
      <c r="D381">
        <v>4</v>
      </c>
      <c r="E381" s="5">
        <v>54.43</v>
      </c>
      <c r="F381" s="5">
        <v>217.72</v>
      </c>
      <c r="G381" s="5">
        <v>69.349999999999994</v>
      </c>
      <c r="H381" s="5">
        <v>2.59</v>
      </c>
      <c r="I381" s="5">
        <v>0</v>
      </c>
      <c r="J381" s="5">
        <v>277.41000000000003</v>
      </c>
      <c r="K381" s="5">
        <v>59.69</v>
      </c>
      <c r="L381" t="s">
        <v>684</v>
      </c>
      <c r="M381" s="13">
        <v>2025</v>
      </c>
    </row>
    <row r="382" spans="1:13" x14ac:dyDescent="0.3">
      <c r="A382" t="s">
        <v>502</v>
      </c>
      <c r="B382" t="s">
        <v>502</v>
      </c>
      <c r="C382" t="s">
        <v>694</v>
      </c>
      <c r="D382">
        <v>4</v>
      </c>
      <c r="E382" s="5">
        <v>0</v>
      </c>
      <c r="F382" s="5">
        <v>0</v>
      </c>
      <c r="G382" s="5">
        <v>30</v>
      </c>
      <c r="H382" s="5">
        <v>0</v>
      </c>
      <c r="I382" s="5">
        <v>0</v>
      </c>
      <c r="J382" s="5">
        <v>120</v>
      </c>
      <c r="K382" s="5">
        <v>120</v>
      </c>
      <c r="L382" t="s">
        <v>684</v>
      </c>
      <c r="M382" s="13">
        <v>2025</v>
      </c>
    </row>
    <row r="383" spans="1:13" x14ac:dyDescent="0.3">
      <c r="A383" t="s">
        <v>502</v>
      </c>
      <c r="B383" t="s">
        <v>502</v>
      </c>
      <c r="C383" t="s">
        <v>695</v>
      </c>
      <c r="D383">
        <v>3</v>
      </c>
      <c r="E383" s="5">
        <v>0</v>
      </c>
      <c r="F383" s="5">
        <v>0</v>
      </c>
      <c r="G383" s="5">
        <v>50</v>
      </c>
      <c r="H383" s="5">
        <v>0</v>
      </c>
      <c r="I383" s="5">
        <v>0</v>
      </c>
      <c r="J383" s="5">
        <v>150</v>
      </c>
      <c r="K383" s="5">
        <v>150</v>
      </c>
      <c r="L383" t="s">
        <v>684</v>
      </c>
      <c r="M383" s="13">
        <v>2025</v>
      </c>
    </row>
    <row r="384" spans="1:13" x14ac:dyDescent="0.3">
      <c r="A384" t="s">
        <v>502</v>
      </c>
      <c r="B384" t="s">
        <v>502</v>
      </c>
      <c r="C384" t="s">
        <v>696</v>
      </c>
      <c r="D384">
        <v>3</v>
      </c>
      <c r="E384" s="5">
        <v>0</v>
      </c>
      <c r="F384" s="5">
        <v>0</v>
      </c>
      <c r="G384" s="5">
        <v>15</v>
      </c>
      <c r="H384" s="5">
        <v>0</v>
      </c>
      <c r="I384" s="5">
        <v>0</v>
      </c>
      <c r="J384" s="5">
        <v>45</v>
      </c>
      <c r="K384" s="5">
        <v>45</v>
      </c>
      <c r="L384" t="s">
        <v>684</v>
      </c>
      <c r="M384" s="13">
        <v>2025</v>
      </c>
    </row>
    <row r="385" spans="1:13" x14ac:dyDescent="0.3">
      <c r="A385" t="s">
        <v>517</v>
      </c>
      <c r="B385" t="s">
        <v>502</v>
      </c>
      <c r="C385" t="s">
        <v>518</v>
      </c>
      <c r="D385">
        <v>3</v>
      </c>
      <c r="E385" s="5">
        <v>3.26</v>
      </c>
      <c r="F385" s="5">
        <v>9.7799999999999994</v>
      </c>
      <c r="G385" s="5">
        <v>0</v>
      </c>
      <c r="H385" s="5">
        <v>0</v>
      </c>
      <c r="I385" s="5">
        <v>0</v>
      </c>
      <c r="J385" s="5">
        <v>0</v>
      </c>
      <c r="K385" s="5">
        <v>-9.7799999999999994</v>
      </c>
      <c r="L385" t="s">
        <v>684</v>
      </c>
      <c r="M385" s="13">
        <v>2025</v>
      </c>
    </row>
    <row r="386" spans="1:13" x14ac:dyDescent="0.3">
      <c r="A386" t="s">
        <v>561</v>
      </c>
      <c r="B386" t="s">
        <v>502</v>
      </c>
      <c r="C386" t="s">
        <v>562</v>
      </c>
      <c r="D386">
        <v>3</v>
      </c>
      <c r="E386" s="5">
        <v>5</v>
      </c>
      <c r="F386" s="5">
        <v>15</v>
      </c>
      <c r="G386" s="5">
        <v>7.81</v>
      </c>
      <c r="H386" s="5">
        <v>0.08</v>
      </c>
      <c r="I386" s="5">
        <v>0</v>
      </c>
      <c r="J386" s="5">
        <v>23.42</v>
      </c>
      <c r="K386" s="5">
        <v>8.42</v>
      </c>
      <c r="L386" t="s">
        <v>684</v>
      </c>
      <c r="M386" s="13">
        <v>2025</v>
      </c>
    </row>
    <row r="387" spans="1:13" x14ac:dyDescent="0.3">
      <c r="A387" t="s">
        <v>697</v>
      </c>
      <c r="B387" t="s">
        <v>502</v>
      </c>
      <c r="C387" t="s">
        <v>698</v>
      </c>
      <c r="D387">
        <v>2</v>
      </c>
      <c r="E387" s="5">
        <v>65</v>
      </c>
      <c r="F387" s="5">
        <v>130</v>
      </c>
      <c r="G387" s="5">
        <v>95</v>
      </c>
      <c r="H387" s="5">
        <v>0</v>
      </c>
      <c r="I387" s="5">
        <v>0</v>
      </c>
      <c r="J387" s="5">
        <v>190</v>
      </c>
      <c r="K387" s="5">
        <v>60</v>
      </c>
      <c r="L387" t="s">
        <v>684</v>
      </c>
      <c r="M387" s="13">
        <v>2025</v>
      </c>
    </row>
    <row r="388" spans="1:13" x14ac:dyDescent="0.3">
      <c r="A388" t="s">
        <v>577</v>
      </c>
      <c r="B388" t="s">
        <v>502</v>
      </c>
      <c r="C388" t="s">
        <v>578</v>
      </c>
      <c r="D388">
        <v>2</v>
      </c>
      <c r="E388" s="5">
        <v>30.49</v>
      </c>
      <c r="F388" s="5">
        <v>60.98</v>
      </c>
      <c r="G388" s="5">
        <v>40</v>
      </c>
      <c r="H388" s="5">
        <v>0</v>
      </c>
      <c r="I388" s="5">
        <v>0</v>
      </c>
      <c r="J388" s="5">
        <v>80</v>
      </c>
      <c r="K388" s="5">
        <v>19.02</v>
      </c>
      <c r="L388" t="s">
        <v>684</v>
      </c>
      <c r="M388" s="13">
        <v>2025</v>
      </c>
    </row>
    <row r="389" spans="1:13" x14ac:dyDescent="0.3">
      <c r="A389" t="s">
        <v>567</v>
      </c>
      <c r="B389" t="s">
        <v>502</v>
      </c>
      <c r="C389" t="s">
        <v>609</v>
      </c>
      <c r="D389">
        <v>2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t="s">
        <v>684</v>
      </c>
      <c r="M389" s="13">
        <v>2025</v>
      </c>
    </row>
    <row r="390" spans="1:13" x14ac:dyDescent="0.3">
      <c r="A390" t="s">
        <v>569</v>
      </c>
      <c r="B390" t="s">
        <v>502</v>
      </c>
      <c r="C390" t="s">
        <v>570</v>
      </c>
      <c r="D390">
        <v>1</v>
      </c>
      <c r="E390" s="5">
        <v>9.3800000000000008</v>
      </c>
      <c r="F390" s="5">
        <v>9.3800000000000008</v>
      </c>
      <c r="G390" s="5">
        <v>16</v>
      </c>
      <c r="H390" s="5">
        <v>0</v>
      </c>
      <c r="I390" s="5">
        <v>0</v>
      </c>
      <c r="J390" s="5">
        <v>16</v>
      </c>
      <c r="K390" s="5">
        <v>6.62</v>
      </c>
      <c r="L390" t="s">
        <v>684</v>
      </c>
      <c r="M390" s="13">
        <v>2025</v>
      </c>
    </row>
    <row r="391" spans="1:13" x14ac:dyDescent="0.3">
      <c r="A391" t="s">
        <v>502</v>
      </c>
      <c r="B391" t="s">
        <v>502</v>
      </c>
      <c r="C391" t="s">
        <v>699</v>
      </c>
      <c r="D391">
        <v>1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t="s">
        <v>684</v>
      </c>
      <c r="M391" s="13">
        <v>2025</v>
      </c>
    </row>
    <row r="392" spans="1:13" x14ac:dyDescent="0.3">
      <c r="A392" t="s">
        <v>502</v>
      </c>
      <c r="B392" t="s">
        <v>502</v>
      </c>
      <c r="C392" t="s">
        <v>700</v>
      </c>
      <c r="D392">
        <v>1</v>
      </c>
      <c r="E392" s="5">
        <v>0</v>
      </c>
      <c r="F392" s="5">
        <v>0</v>
      </c>
      <c r="G392" s="5">
        <v>190</v>
      </c>
      <c r="H392" s="5">
        <v>0</v>
      </c>
      <c r="I392" s="5">
        <v>0</v>
      </c>
      <c r="J392" s="5">
        <v>190</v>
      </c>
      <c r="K392" s="5">
        <v>190</v>
      </c>
      <c r="L392" t="s">
        <v>684</v>
      </c>
      <c r="M392" s="13">
        <v>2025</v>
      </c>
    </row>
    <row r="393" spans="1:13" x14ac:dyDescent="0.3">
      <c r="A393" t="s">
        <v>502</v>
      </c>
      <c r="B393" t="s">
        <v>502</v>
      </c>
      <c r="C393" t="s">
        <v>701</v>
      </c>
      <c r="D393">
        <v>1</v>
      </c>
      <c r="E393" s="5">
        <v>0</v>
      </c>
      <c r="F393" s="5">
        <v>0</v>
      </c>
      <c r="G393" s="5">
        <v>320</v>
      </c>
      <c r="H393" s="5">
        <v>0</v>
      </c>
      <c r="I393" s="5">
        <v>0</v>
      </c>
      <c r="J393" s="5">
        <v>320</v>
      </c>
      <c r="K393" s="5">
        <v>320</v>
      </c>
      <c r="L393" t="s">
        <v>684</v>
      </c>
      <c r="M393" s="13">
        <v>2025</v>
      </c>
    </row>
    <row r="394" spans="1:13" x14ac:dyDescent="0.3">
      <c r="A394" t="s">
        <v>502</v>
      </c>
      <c r="B394" t="s">
        <v>502</v>
      </c>
      <c r="C394" t="s">
        <v>678</v>
      </c>
      <c r="D394">
        <v>1</v>
      </c>
      <c r="E394" s="5">
        <v>0</v>
      </c>
      <c r="F394" s="5">
        <v>0</v>
      </c>
      <c r="G394" s="5">
        <v>60</v>
      </c>
      <c r="H394" s="5">
        <v>0</v>
      </c>
      <c r="I394" s="5">
        <v>0</v>
      </c>
      <c r="J394" s="5">
        <v>60</v>
      </c>
      <c r="K394" s="5">
        <v>60</v>
      </c>
      <c r="L394" t="s">
        <v>684</v>
      </c>
      <c r="M394" s="13">
        <v>2025</v>
      </c>
    </row>
    <row r="395" spans="1:13" x14ac:dyDescent="0.3">
      <c r="A395" t="s">
        <v>502</v>
      </c>
      <c r="B395" t="s">
        <v>502</v>
      </c>
      <c r="C395" t="s">
        <v>702</v>
      </c>
      <c r="D395">
        <v>1</v>
      </c>
      <c r="E395" s="5">
        <v>0</v>
      </c>
      <c r="F395" s="5">
        <v>0</v>
      </c>
      <c r="G395" s="5">
        <v>600</v>
      </c>
      <c r="H395" s="5">
        <v>0</v>
      </c>
      <c r="I395" s="5">
        <v>0</v>
      </c>
      <c r="J395" s="5">
        <v>600</v>
      </c>
      <c r="K395" s="5">
        <v>600</v>
      </c>
      <c r="L395" t="s">
        <v>684</v>
      </c>
      <c r="M395" s="13">
        <v>2025</v>
      </c>
    </row>
    <row r="396" spans="1:13" x14ac:dyDescent="0.3">
      <c r="A396" t="s">
        <v>502</v>
      </c>
      <c r="B396" t="s">
        <v>502</v>
      </c>
      <c r="C396" t="s">
        <v>703</v>
      </c>
      <c r="D396">
        <v>1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t="s">
        <v>684</v>
      </c>
      <c r="M396" s="13">
        <v>2025</v>
      </c>
    </row>
    <row r="397" spans="1:13" x14ac:dyDescent="0.3">
      <c r="A397" t="s">
        <v>575</v>
      </c>
      <c r="B397" t="s">
        <v>502</v>
      </c>
      <c r="C397" t="s">
        <v>576</v>
      </c>
      <c r="D397">
        <v>1</v>
      </c>
      <c r="E397" s="5">
        <v>3</v>
      </c>
      <c r="F397" s="5">
        <v>3</v>
      </c>
      <c r="G397" s="5">
        <v>50</v>
      </c>
      <c r="H397" s="5">
        <v>0</v>
      </c>
      <c r="I397" s="5">
        <v>0</v>
      </c>
      <c r="J397" s="5">
        <v>50</v>
      </c>
      <c r="K397" s="5">
        <v>47</v>
      </c>
      <c r="L397" t="s">
        <v>684</v>
      </c>
      <c r="M397" s="13">
        <v>2025</v>
      </c>
    </row>
    <row r="398" spans="1:13" x14ac:dyDescent="0.3">
      <c r="A398" t="s">
        <v>502</v>
      </c>
      <c r="B398" t="s">
        <v>502</v>
      </c>
      <c r="C398" t="s">
        <v>704</v>
      </c>
      <c r="D398">
        <v>1</v>
      </c>
      <c r="E398" s="5">
        <v>0</v>
      </c>
      <c r="F398" s="5">
        <v>0</v>
      </c>
      <c r="G398" s="5">
        <v>249.46</v>
      </c>
      <c r="H398" s="5">
        <v>0.54</v>
      </c>
      <c r="I398" s="5">
        <v>0</v>
      </c>
      <c r="J398" s="5">
        <v>249.46</v>
      </c>
      <c r="K398" s="5">
        <v>249.46</v>
      </c>
      <c r="L398" t="s">
        <v>684</v>
      </c>
      <c r="M398" s="13">
        <v>2025</v>
      </c>
    </row>
    <row r="399" spans="1:13" x14ac:dyDescent="0.3">
      <c r="A399" t="s">
        <v>629</v>
      </c>
      <c r="B399" t="s">
        <v>502</v>
      </c>
      <c r="C399" t="s">
        <v>630</v>
      </c>
      <c r="D399">
        <v>1</v>
      </c>
      <c r="E399" s="5">
        <v>10.58</v>
      </c>
      <c r="F399" s="5">
        <v>10.58</v>
      </c>
      <c r="G399" s="5">
        <v>25</v>
      </c>
      <c r="H399" s="5">
        <v>0</v>
      </c>
      <c r="I399" s="5">
        <v>0</v>
      </c>
      <c r="J399" s="5">
        <v>25</v>
      </c>
      <c r="K399" s="5">
        <v>14.42</v>
      </c>
      <c r="L399" t="s">
        <v>684</v>
      </c>
      <c r="M399" s="13">
        <v>2025</v>
      </c>
    </row>
    <row r="400" spans="1:13" x14ac:dyDescent="0.3">
      <c r="A400" t="s">
        <v>502</v>
      </c>
      <c r="B400" t="s">
        <v>502</v>
      </c>
      <c r="C400" t="s">
        <v>705</v>
      </c>
      <c r="D400">
        <v>1</v>
      </c>
      <c r="E400" s="5">
        <v>0</v>
      </c>
      <c r="F400" s="5">
        <v>0</v>
      </c>
      <c r="G400" s="5">
        <v>300</v>
      </c>
      <c r="H400" s="5">
        <v>0</v>
      </c>
      <c r="I400" s="5">
        <v>0</v>
      </c>
      <c r="J400" s="5">
        <v>300</v>
      </c>
      <c r="K400" s="5">
        <v>300</v>
      </c>
      <c r="L400" t="s">
        <v>684</v>
      </c>
      <c r="M400" s="13">
        <v>2025</v>
      </c>
    </row>
    <row r="401" spans="1:13" x14ac:dyDescent="0.3">
      <c r="A401" t="s">
        <v>502</v>
      </c>
      <c r="B401" t="s">
        <v>502</v>
      </c>
      <c r="C401" t="s">
        <v>706</v>
      </c>
      <c r="D401">
        <v>1</v>
      </c>
      <c r="E401" s="5">
        <v>0</v>
      </c>
      <c r="F401" s="5">
        <v>0</v>
      </c>
      <c r="G401" s="5">
        <v>250</v>
      </c>
      <c r="H401" s="5">
        <v>0</v>
      </c>
      <c r="I401" s="5">
        <v>0</v>
      </c>
      <c r="J401" s="5">
        <v>250</v>
      </c>
      <c r="K401" s="5">
        <v>250</v>
      </c>
      <c r="L401" t="s">
        <v>684</v>
      </c>
      <c r="M401" s="13">
        <v>2025</v>
      </c>
    </row>
    <row r="402" spans="1:13" x14ac:dyDescent="0.3">
      <c r="A402" t="s">
        <v>502</v>
      </c>
      <c r="B402" t="s">
        <v>502</v>
      </c>
      <c r="C402" t="s">
        <v>707</v>
      </c>
      <c r="D402">
        <v>1</v>
      </c>
      <c r="E402" s="5">
        <v>0</v>
      </c>
      <c r="F402" s="5">
        <v>0</v>
      </c>
      <c r="G402" s="5">
        <v>15</v>
      </c>
      <c r="H402" s="5">
        <v>0</v>
      </c>
      <c r="I402" s="5">
        <v>0</v>
      </c>
      <c r="J402" s="5">
        <v>15</v>
      </c>
      <c r="K402" s="5">
        <v>15</v>
      </c>
      <c r="L402" t="s">
        <v>684</v>
      </c>
      <c r="M402" s="13">
        <v>2025</v>
      </c>
    </row>
    <row r="403" spans="1:13" x14ac:dyDescent="0.3">
      <c r="A403" t="s">
        <v>502</v>
      </c>
      <c r="B403" t="s">
        <v>502</v>
      </c>
      <c r="C403" t="s">
        <v>708</v>
      </c>
      <c r="D403">
        <v>1</v>
      </c>
      <c r="E403" s="5">
        <v>0</v>
      </c>
      <c r="F403" s="5">
        <v>0</v>
      </c>
      <c r="G403" s="5">
        <v>700</v>
      </c>
      <c r="H403" s="5">
        <v>0</v>
      </c>
      <c r="I403" s="5">
        <v>0</v>
      </c>
      <c r="J403" s="5">
        <v>700</v>
      </c>
      <c r="K403" s="5">
        <v>700</v>
      </c>
      <c r="L403" t="s">
        <v>684</v>
      </c>
      <c r="M403" s="13">
        <v>2025</v>
      </c>
    </row>
    <row r="404" spans="1:13" x14ac:dyDescent="0.3">
      <c r="A404" t="s">
        <v>505</v>
      </c>
      <c r="B404" t="s">
        <v>502</v>
      </c>
      <c r="C404" t="s">
        <v>506</v>
      </c>
      <c r="D404">
        <v>4151</v>
      </c>
      <c r="E404" s="5">
        <v>2.5</v>
      </c>
      <c r="F404" s="5">
        <v>10377.5</v>
      </c>
      <c r="G404" s="5">
        <v>2.96</v>
      </c>
      <c r="H404" s="5">
        <v>0.25</v>
      </c>
      <c r="I404" s="5">
        <v>0</v>
      </c>
      <c r="J404" s="5">
        <v>12282.75</v>
      </c>
      <c r="K404" s="5">
        <v>1905.25</v>
      </c>
      <c r="L404" t="s">
        <v>709</v>
      </c>
      <c r="M404" s="13">
        <v>2025</v>
      </c>
    </row>
    <row r="405" spans="1:13" x14ac:dyDescent="0.3">
      <c r="A405" t="s">
        <v>507</v>
      </c>
      <c r="B405" t="s">
        <v>502</v>
      </c>
      <c r="C405" t="s">
        <v>508</v>
      </c>
      <c r="D405">
        <v>1228</v>
      </c>
      <c r="E405" s="5">
        <v>0.65</v>
      </c>
      <c r="F405" s="5">
        <v>798.2</v>
      </c>
      <c r="G405" s="5">
        <v>1</v>
      </c>
      <c r="H405" s="5">
        <v>12.5</v>
      </c>
      <c r="I405" s="5">
        <v>0</v>
      </c>
      <c r="J405" s="5">
        <v>1223.5</v>
      </c>
      <c r="K405" s="5">
        <v>425.3</v>
      </c>
      <c r="L405" t="s">
        <v>709</v>
      </c>
      <c r="M405" s="13">
        <v>2025</v>
      </c>
    </row>
    <row r="406" spans="1:13" x14ac:dyDescent="0.3">
      <c r="A406" t="s">
        <v>509</v>
      </c>
      <c r="B406" t="s">
        <v>502</v>
      </c>
      <c r="C406" t="s">
        <v>510</v>
      </c>
      <c r="D406">
        <v>1213</v>
      </c>
      <c r="E406" s="5">
        <v>0.65</v>
      </c>
      <c r="F406" s="5">
        <v>788.45</v>
      </c>
      <c r="G406" s="5">
        <v>0.99</v>
      </c>
      <c r="H406" s="5">
        <v>12.5</v>
      </c>
      <c r="I406" s="5">
        <v>0</v>
      </c>
      <c r="J406" s="5">
        <v>1205.5</v>
      </c>
      <c r="K406" s="5">
        <v>417.05</v>
      </c>
      <c r="L406" t="s">
        <v>709</v>
      </c>
      <c r="M406" s="13">
        <v>2025</v>
      </c>
    </row>
    <row r="407" spans="1:13" x14ac:dyDescent="0.3">
      <c r="A407" t="s">
        <v>515</v>
      </c>
      <c r="B407" t="s">
        <v>502</v>
      </c>
      <c r="C407" t="s">
        <v>516</v>
      </c>
      <c r="D407">
        <v>551</v>
      </c>
      <c r="E407" s="5">
        <v>7.21</v>
      </c>
      <c r="F407" s="5">
        <v>3972.71</v>
      </c>
      <c r="G407" s="5">
        <v>17.09</v>
      </c>
      <c r="H407" s="5">
        <v>45.11</v>
      </c>
      <c r="I407" s="5">
        <v>61.7</v>
      </c>
      <c r="J407" s="5">
        <v>9414.89</v>
      </c>
      <c r="K407" s="5">
        <v>5442.18</v>
      </c>
      <c r="L407" t="s">
        <v>709</v>
      </c>
      <c r="M407" s="13">
        <v>2025</v>
      </c>
    </row>
    <row r="408" spans="1:13" x14ac:dyDescent="0.3">
      <c r="A408" t="s">
        <v>547</v>
      </c>
      <c r="B408" t="s">
        <v>502</v>
      </c>
      <c r="C408" t="s">
        <v>655</v>
      </c>
      <c r="D408">
        <v>466</v>
      </c>
      <c r="E408" s="5">
        <v>3.05</v>
      </c>
      <c r="F408" s="5">
        <v>1421.3</v>
      </c>
      <c r="G408" s="5">
        <v>3.88</v>
      </c>
      <c r="H408" s="5">
        <v>0.49</v>
      </c>
      <c r="I408" s="5">
        <v>0</v>
      </c>
      <c r="J408" s="5">
        <v>1808.51</v>
      </c>
      <c r="K408" s="5">
        <v>387.21</v>
      </c>
      <c r="L408" t="s">
        <v>709</v>
      </c>
      <c r="M408" s="13">
        <v>2025</v>
      </c>
    </row>
    <row r="409" spans="1:13" x14ac:dyDescent="0.3">
      <c r="A409" t="s">
        <v>511</v>
      </c>
      <c r="B409" t="s">
        <v>502</v>
      </c>
      <c r="C409" t="s">
        <v>512</v>
      </c>
      <c r="D409">
        <v>434</v>
      </c>
      <c r="E409" s="5">
        <v>382.3</v>
      </c>
      <c r="F409" s="5">
        <v>165918.20000000001</v>
      </c>
      <c r="G409" s="5">
        <v>587.83000000000004</v>
      </c>
      <c r="H409" s="5">
        <v>3768.39</v>
      </c>
      <c r="I409" s="5">
        <v>575.58000000000004</v>
      </c>
      <c r="J409" s="5">
        <v>255116.19</v>
      </c>
      <c r="K409" s="5">
        <v>89197.99</v>
      </c>
      <c r="L409" t="s">
        <v>709</v>
      </c>
      <c r="M409" s="13">
        <v>2025</v>
      </c>
    </row>
    <row r="410" spans="1:13" x14ac:dyDescent="0.3">
      <c r="A410" t="s">
        <v>519</v>
      </c>
      <c r="B410" t="s">
        <v>502</v>
      </c>
      <c r="C410" t="s">
        <v>520</v>
      </c>
      <c r="D410">
        <v>425</v>
      </c>
      <c r="E410" s="5">
        <v>0.96</v>
      </c>
      <c r="F410" s="5">
        <v>408</v>
      </c>
      <c r="G410" s="5">
        <v>0.55000000000000004</v>
      </c>
      <c r="H410" s="5">
        <v>0</v>
      </c>
      <c r="I410" s="5">
        <v>0</v>
      </c>
      <c r="J410" s="5">
        <v>234.35</v>
      </c>
      <c r="K410" s="5">
        <v>-173.65</v>
      </c>
      <c r="L410" t="s">
        <v>709</v>
      </c>
      <c r="M410" s="13">
        <v>2025</v>
      </c>
    </row>
    <row r="411" spans="1:13" x14ac:dyDescent="0.3">
      <c r="A411" t="s">
        <v>513</v>
      </c>
      <c r="B411" t="s">
        <v>502</v>
      </c>
      <c r="C411" t="s">
        <v>514</v>
      </c>
      <c r="D411">
        <v>213</v>
      </c>
      <c r="E411" s="5">
        <v>432.79</v>
      </c>
      <c r="F411" s="5">
        <v>92184.27</v>
      </c>
      <c r="G411" s="5">
        <v>620.80999999999995</v>
      </c>
      <c r="H411" s="5">
        <v>1731.58</v>
      </c>
      <c r="I411" s="5">
        <v>142.43</v>
      </c>
      <c r="J411" s="5">
        <v>132232.85</v>
      </c>
      <c r="K411" s="5">
        <v>40048.58</v>
      </c>
      <c r="L411" t="s">
        <v>709</v>
      </c>
      <c r="M411" s="13">
        <v>2025</v>
      </c>
    </row>
    <row r="412" spans="1:13" x14ac:dyDescent="0.3">
      <c r="A412" t="s">
        <v>537</v>
      </c>
      <c r="B412" t="s">
        <v>502</v>
      </c>
      <c r="C412" t="s">
        <v>538</v>
      </c>
      <c r="D412">
        <v>194</v>
      </c>
      <c r="E412" s="5">
        <v>25</v>
      </c>
      <c r="F412" s="5">
        <v>4850</v>
      </c>
      <c r="G412" s="5">
        <v>29.3</v>
      </c>
      <c r="H412" s="5">
        <v>14.86</v>
      </c>
      <c r="I412" s="5">
        <v>0</v>
      </c>
      <c r="J412" s="5">
        <v>5685.14</v>
      </c>
      <c r="K412" s="5">
        <v>835.14</v>
      </c>
      <c r="L412" t="s">
        <v>709</v>
      </c>
      <c r="M412" s="13">
        <v>2025</v>
      </c>
    </row>
    <row r="413" spans="1:13" x14ac:dyDescent="0.3">
      <c r="A413" t="s">
        <v>521</v>
      </c>
      <c r="B413" t="s">
        <v>502</v>
      </c>
      <c r="C413" t="s">
        <v>522</v>
      </c>
      <c r="D413">
        <v>136</v>
      </c>
      <c r="E413" s="5">
        <v>455</v>
      </c>
      <c r="F413" s="5">
        <v>61880</v>
      </c>
      <c r="G413" s="5">
        <v>702.86</v>
      </c>
      <c r="H413" s="5">
        <v>1616.4</v>
      </c>
      <c r="I413" s="5">
        <v>430.14</v>
      </c>
      <c r="J413" s="5">
        <v>95588.74</v>
      </c>
      <c r="K413" s="5">
        <v>33708.74</v>
      </c>
      <c r="L413" t="s">
        <v>709</v>
      </c>
      <c r="M413" s="13">
        <v>2025</v>
      </c>
    </row>
    <row r="414" spans="1:13" x14ac:dyDescent="0.3">
      <c r="A414" t="s">
        <v>535</v>
      </c>
      <c r="B414" t="s">
        <v>502</v>
      </c>
      <c r="C414" t="s">
        <v>536</v>
      </c>
      <c r="D414">
        <v>84</v>
      </c>
      <c r="E414" s="5">
        <v>477</v>
      </c>
      <c r="F414" s="5">
        <v>40068</v>
      </c>
      <c r="G414" s="5">
        <v>764.86</v>
      </c>
      <c r="H414" s="5">
        <v>897.07</v>
      </c>
      <c r="I414" s="5">
        <v>0</v>
      </c>
      <c r="J414" s="5">
        <v>64247.93</v>
      </c>
      <c r="K414" s="5">
        <v>24179.93</v>
      </c>
      <c r="L414" t="s">
        <v>709</v>
      </c>
      <c r="M414" s="13">
        <v>2025</v>
      </c>
    </row>
    <row r="415" spans="1:13" x14ac:dyDescent="0.3">
      <c r="A415" t="s">
        <v>539</v>
      </c>
      <c r="B415" t="s">
        <v>502</v>
      </c>
      <c r="C415" t="s">
        <v>540</v>
      </c>
      <c r="D415">
        <v>70</v>
      </c>
      <c r="E415" s="5">
        <v>664</v>
      </c>
      <c r="F415" s="5">
        <v>46480</v>
      </c>
      <c r="G415" s="5">
        <v>1251.79</v>
      </c>
      <c r="H415" s="5">
        <v>164.93</v>
      </c>
      <c r="I415" s="5">
        <v>0</v>
      </c>
      <c r="J415" s="5">
        <v>87625.07</v>
      </c>
      <c r="K415" s="5">
        <v>41145.07</v>
      </c>
      <c r="L415" t="s">
        <v>709</v>
      </c>
      <c r="M415" s="13">
        <v>2025</v>
      </c>
    </row>
    <row r="416" spans="1:13" x14ac:dyDescent="0.3">
      <c r="A416" t="s">
        <v>529</v>
      </c>
      <c r="B416" t="s">
        <v>502</v>
      </c>
      <c r="C416" t="s">
        <v>530</v>
      </c>
      <c r="D416">
        <v>68</v>
      </c>
      <c r="E416" s="5">
        <v>534</v>
      </c>
      <c r="F416" s="5">
        <v>36312</v>
      </c>
      <c r="G416" s="5">
        <v>811.27</v>
      </c>
      <c r="H416" s="5">
        <v>759.99</v>
      </c>
      <c r="I416" s="5">
        <v>656.13</v>
      </c>
      <c r="J416" s="5">
        <v>55166.14</v>
      </c>
      <c r="K416" s="5">
        <v>18854.14</v>
      </c>
      <c r="L416" t="s">
        <v>709</v>
      </c>
      <c r="M416" s="13">
        <v>2025</v>
      </c>
    </row>
    <row r="417" spans="1:13" x14ac:dyDescent="0.3">
      <c r="A417" t="s">
        <v>541</v>
      </c>
      <c r="B417" t="s">
        <v>502</v>
      </c>
      <c r="C417" t="s">
        <v>542</v>
      </c>
      <c r="D417">
        <v>64</v>
      </c>
      <c r="E417" s="5">
        <v>649</v>
      </c>
      <c r="F417" s="5">
        <v>41536</v>
      </c>
      <c r="G417" s="5">
        <v>1136.19</v>
      </c>
      <c r="H417" s="5">
        <v>180.96</v>
      </c>
      <c r="I417" s="5">
        <v>0</v>
      </c>
      <c r="J417" s="5">
        <v>72716.039999999994</v>
      </c>
      <c r="K417" s="5">
        <v>31180.04</v>
      </c>
      <c r="L417" t="s">
        <v>709</v>
      </c>
      <c r="M417" s="13">
        <v>2025</v>
      </c>
    </row>
    <row r="418" spans="1:13" x14ac:dyDescent="0.3">
      <c r="A418" t="s">
        <v>531</v>
      </c>
      <c r="B418" t="s">
        <v>502</v>
      </c>
      <c r="C418" t="s">
        <v>532</v>
      </c>
      <c r="D418">
        <v>63</v>
      </c>
      <c r="E418" s="5">
        <v>12.19</v>
      </c>
      <c r="F418" s="5">
        <v>767.97</v>
      </c>
      <c r="G418" s="5">
        <v>15.3</v>
      </c>
      <c r="H418" s="5">
        <v>0.71</v>
      </c>
      <c r="I418" s="5">
        <v>0</v>
      </c>
      <c r="J418" s="5">
        <v>963.79</v>
      </c>
      <c r="K418" s="5">
        <v>195.82</v>
      </c>
      <c r="L418" t="s">
        <v>709</v>
      </c>
      <c r="M418" s="13">
        <v>2025</v>
      </c>
    </row>
    <row r="419" spans="1:13" x14ac:dyDescent="0.3">
      <c r="A419" t="s">
        <v>527</v>
      </c>
      <c r="B419" t="s">
        <v>502</v>
      </c>
      <c r="C419" t="s">
        <v>528</v>
      </c>
      <c r="D419">
        <v>55</v>
      </c>
      <c r="E419" s="5">
        <v>55</v>
      </c>
      <c r="F419" s="5">
        <v>3025</v>
      </c>
      <c r="G419" s="5">
        <v>171.61</v>
      </c>
      <c r="H419" s="5">
        <v>44.24</v>
      </c>
      <c r="I419" s="5">
        <v>67.88</v>
      </c>
      <c r="J419" s="5">
        <v>9438.6299999999992</v>
      </c>
      <c r="K419" s="5">
        <v>6413.63</v>
      </c>
      <c r="L419" t="s">
        <v>709</v>
      </c>
      <c r="M419" s="13">
        <v>2025</v>
      </c>
    </row>
    <row r="420" spans="1:13" x14ac:dyDescent="0.3">
      <c r="A420" t="s">
        <v>549</v>
      </c>
      <c r="B420" t="s">
        <v>502</v>
      </c>
      <c r="C420" t="s">
        <v>619</v>
      </c>
      <c r="D420">
        <v>37</v>
      </c>
      <c r="E420" s="5">
        <v>42</v>
      </c>
      <c r="F420" s="5">
        <v>1554</v>
      </c>
      <c r="G420" s="5">
        <v>53.63</v>
      </c>
      <c r="H420" s="5">
        <v>0.81</v>
      </c>
      <c r="I420" s="5">
        <v>0</v>
      </c>
      <c r="J420" s="5">
        <v>1984.19</v>
      </c>
      <c r="K420" s="5">
        <v>430.19</v>
      </c>
      <c r="L420" t="s">
        <v>709</v>
      </c>
      <c r="M420" s="13">
        <v>2025</v>
      </c>
    </row>
    <row r="421" spans="1:13" x14ac:dyDescent="0.3">
      <c r="A421" t="s">
        <v>545</v>
      </c>
      <c r="B421" t="s">
        <v>502</v>
      </c>
      <c r="C421" t="s">
        <v>546</v>
      </c>
      <c r="D421">
        <v>32</v>
      </c>
      <c r="E421" s="5">
        <v>13.69</v>
      </c>
      <c r="F421" s="5">
        <v>438.08</v>
      </c>
      <c r="G421" s="5">
        <v>84.58</v>
      </c>
      <c r="H421" s="5">
        <v>5.47</v>
      </c>
      <c r="I421" s="5">
        <v>0</v>
      </c>
      <c r="J421" s="5">
        <v>2706.61</v>
      </c>
      <c r="K421" s="5">
        <v>2268.5300000000002</v>
      </c>
      <c r="L421" t="s">
        <v>709</v>
      </c>
      <c r="M421" s="13">
        <v>2025</v>
      </c>
    </row>
    <row r="422" spans="1:13" x14ac:dyDescent="0.3">
      <c r="A422" t="s">
        <v>591</v>
      </c>
      <c r="B422" t="s">
        <v>502</v>
      </c>
      <c r="C422" t="s">
        <v>592</v>
      </c>
      <c r="D422">
        <v>30</v>
      </c>
      <c r="E422" s="5">
        <v>33.56</v>
      </c>
      <c r="F422" s="5">
        <v>1006.8</v>
      </c>
      <c r="G422" s="5">
        <v>66.53</v>
      </c>
      <c r="H422" s="5">
        <v>56.26</v>
      </c>
      <c r="I422" s="5">
        <v>23.76</v>
      </c>
      <c r="J422" s="5">
        <v>1995.92</v>
      </c>
      <c r="K422" s="5">
        <v>989.12</v>
      </c>
      <c r="L422" t="s">
        <v>709</v>
      </c>
      <c r="M422" s="13">
        <v>2025</v>
      </c>
    </row>
    <row r="423" spans="1:13" x14ac:dyDescent="0.3">
      <c r="A423" t="s">
        <v>674</v>
      </c>
      <c r="B423" t="s">
        <v>502</v>
      </c>
      <c r="C423" t="s">
        <v>675</v>
      </c>
      <c r="D423">
        <v>25</v>
      </c>
      <c r="E423" s="5">
        <v>491</v>
      </c>
      <c r="F423" s="5">
        <v>12275</v>
      </c>
      <c r="G423" s="5">
        <v>661.89</v>
      </c>
      <c r="H423" s="5">
        <v>52.64</v>
      </c>
      <c r="I423" s="5">
        <v>0</v>
      </c>
      <c r="J423" s="5">
        <v>16547.36</v>
      </c>
      <c r="K423" s="5">
        <v>4272.3599999999997</v>
      </c>
      <c r="L423" t="s">
        <v>709</v>
      </c>
      <c r="M423" s="13">
        <v>2025</v>
      </c>
    </row>
    <row r="424" spans="1:13" x14ac:dyDescent="0.3">
      <c r="A424" t="s">
        <v>551</v>
      </c>
      <c r="B424" t="s">
        <v>502</v>
      </c>
      <c r="C424" t="s">
        <v>552</v>
      </c>
      <c r="D424">
        <v>24</v>
      </c>
      <c r="E424" s="5">
        <v>61.37</v>
      </c>
      <c r="F424" s="5">
        <v>1472.88</v>
      </c>
      <c r="G424" s="5">
        <v>80.12</v>
      </c>
      <c r="H424" s="5">
        <v>0</v>
      </c>
      <c r="I424" s="5">
        <v>22.93</v>
      </c>
      <c r="J424" s="5">
        <v>1922.93</v>
      </c>
      <c r="K424" s="5">
        <v>450.05</v>
      </c>
      <c r="L424" t="s">
        <v>709</v>
      </c>
      <c r="M424" s="13">
        <v>2025</v>
      </c>
    </row>
    <row r="425" spans="1:13" x14ac:dyDescent="0.3">
      <c r="A425" t="s">
        <v>553</v>
      </c>
      <c r="B425" t="s">
        <v>502</v>
      </c>
      <c r="C425" t="s">
        <v>554</v>
      </c>
      <c r="D425">
        <v>23</v>
      </c>
      <c r="E425" s="5">
        <v>679</v>
      </c>
      <c r="F425" s="5">
        <v>15617</v>
      </c>
      <c r="G425" s="5">
        <v>1329.32</v>
      </c>
      <c r="H425" s="5">
        <v>90.29</v>
      </c>
      <c r="I425" s="5">
        <v>14.7</v>
      </c>
      <c r="J425" s="5">
        <v>30574.41</v>
      </c>
      <c r="K425" s="5">
        <v>14957.41</v>
      </c>
      <c r="L425" t="s">
        <v>709</v>
      </c>
      <c r="M425" s="13">
        <v>2025</v>
      </c>
    </row>
    <row r="426" spans="1:13" x14ac:dyDescent="0.3">
      <c r="A426" t="s">
        <v>559</v>
      </c>
      <c r="B426" t="s">
        <v>502</v>
      </c>
      <c r="C426" t="s">
        <v>560</v>
      </c>
      <c r="D426">
        <v>19</v>
      </c>
      <c r="E426" s="5">
        <v>45.6</v>
      </c>
      <c r="F426" s="5">
        <v>866.4</v>
      </c>
      <c r="G426" s="5">
        <v>70.41</v>
      </c>
      <c r="H426" s="5">
        <v>7.13</v>
      </c>
      <c r="I426" s="5">
        <v>0</v>
      </c>
      <c r="J426" s="5">
        <v>1337.87</v>
      </c>
      <c r="K426" s="5">
        <v>471.47</v>
      </c>
      <c r="L426" t="s">
        <v>709</v>
      </c>
      <c r="M426" s="13">
        <v>2025</v>
      </c>
    </row>
    <row r="427" spans="1:13" x14ac:dyDescent="0.3">
      <c r="A427" t="s">
        <v>571</v>
      </c>
      <c r="B427" t="s">
        <v>502</v>
      </c>
      <c r="C427" t="s">
        <v>572</v>
      </c>
      <c r="D427">
        <v>18</v>
      </c>
      <c r="E427" s="5">
        <v>469</v>
      </c>
      <c r="F427" s="5">
        <v>8442</v>
      </c>
      <c r="G427" s="5">
        <v>802.29</v>
      </c>
      <c r="H427" s="5">
        <v>467.82</v>
      </c>
      <c r="I427" s="5">
        <v>279.10000000000002</v>
      </c>
      <c r="J427" s="5">
        <v>14441.29</v>
      </c>
      <c r="K427" s="5">
        <v>5999.29</v>
      </c>
      <c r="L427" t="s">
        <v>709</v>
      </c>
      <c r="M427" s="13">
        <v>2025</v>
      </c>
    </row>
    <row r="428" spans="1:13" x14ac:dyDescent="0.3">
      <c r="A428" t="s">
        <v>662</v>
      </c>
      <c r="B428" t="s">
        <v>502</v>
      </c>
      <c r="C428" t="s">
        <v>663</v>
      </c>
      <c r="D428">
        <v>18</v>
      </c>
      <c r="E428" s="5">
        <v>293.13</v>
      </c>
      <c r="F428" s="5">
        <v>5276.34</v>
      </c>
      <c r="G428" s="5">
        <v>424.33</v>
      </c>
      <c r="H428" s="5">
        <v>0</v>
      </c>
      <c r="I428" s="5">
        <v>15</v>
      </c>
      <c r="J428" s="5">
        <v>7637.98</v>
      </c>
      <c r="K428" s="5">
        <v>2361.64</v>
      </c>
      <c r="L428" t="s">
        <v>709</v>
      </c>
      <c r="M428" s="13">
        <v>2025</v>
      </c>
    </row>
    <row r="429" spans="1:13" x14ac:dyDescent="0.3">
      <c r="A429" t="s">
        <v>565</v>
      </c>
      <c r="B429" t="s">
        <v>502</v>
      </c>
      <c r="C429" t="s">
        <v>566</v>
      </c>
      <c r="D429">
        <v>17</v>
      </c>
      <c r="E429" s="5">
        <v>90</v>
      </c>
      <c r="F429" s="5">
        <v>1530</v>
      </c>
      <c r="G429" s="5">
        <v>149.38</v>
      </c>
      <c r="H429" s="5">
        <v>0.49</v>
      </c>
      <c r="I429" s="5">
        <v>0</v>
      </c>
      <c r="J429" s="5">
        <v>2539.5100000000002</v>
      </c>
      <c r="K429" s="5">
        <v>1009.51</v>
      </c>
      <c r="L429" t="s">
        <v>709</v>
      </c>
      <c r="M429" s="13">
        <v>2025</v>
      </c>
    </row>
    <row r="430" spans="1:13" x14ac:dyDescent="0.3">
      <c r="A430" t="s">
        <v>557</v>
      </c>
      <c r="B430" t="s">
        <v>502</v>
      </c>
      <c r="C430" t="s">
        <v>558</v>
      </c>
      <c r="D430">
        <v>16</v>
      </c>
      <c r="E430" s="5">
        <v>289</v>
      </c>
      <c r="F430" s="5">
        <v>4624</v>
      </c>
      <c r="G430" s="5">
        <v>536.42999999999995</v>
      </c>
      <c r="H430" s="5">
        <v>16.66</v>
      </c>
      <c r="I430" s="5">
        <v>0</v>
      </c>
      <c r="J430" s="5">
        <v>8582.84</v>
      </c>
      <c r="K430" s="5">
        <v>3958.84</v>
      </c>
      <c r="L430" t="s">
        <v>709</v>
      </c>
      <c r="M430" s="13">
        <v>2025</v>
      </c>
    </row>
    <row r="431" spans="1:13" x14ac:dyDescent="0.3">
      <c r="A431" t="s">
        <v>555</v>
      </c>
      <c r="B431" t="s">
        <v>502</v>
      </c>
      <c r="C431" t="s">
        <v>556</v>
      </c>
      <c r="D431">
        <v>15</v>
      </c>
      <c r="E431" s="5">
        <v>909</v>
      </c>
      <c r="F431" s="5">
        <v>13635</v>
      </c>
      <c r="G431" s="5">
        <v>1304.78</v>
      </c>
      <c r="H431" s="5">
        <v>222.57</v>
      </c>
      <c r="I431" s="5">
        <v>135.22</v>
      </c>
      <c r="J431" s="5">
        <v>19571.650000000001</v>
      </c>
      <c r="K431" s="5">
        <v>5936.65</v>
      </c>
      <c r="L431" t="s">
        <v>709</v>
      </c>
      <c r="M431" s="13">
        <v>2025</v>
      </c>
    </row>
    <row r="432" spans="1:13" x14ac:dyDescent="0.3">
      <c r="A432" t="s">
        <v>585</v>
      </c>
      <c r="B432" t="s">
        <v>502</v>
      </c>
      <c r="C432" t="s">
        <v>586</v>
      </c>
      <c r="D432">
        <v>13</v>
      </c>
      <c r="E432" s="5">
        <v>938</v>
      </c>
      <c r="F432" s="5">
        <v>12194</v>
      </c>
      <c r="G432" s="5">
        <v>1585.58</v>
      </c>
      <c r="H432" s="5">
        <v>247.48</v>
      </c>
      <c r="I432" s="5">
        <v>0</v>
      </c>
      <c r="J432" s="5">
        <v>20612.52</v>
      </c>
      <c r="K432" s="5">
        <v>8418.52</v>
      </c>
      <c r="L432" t="s">
        <v>709</v>
      </c>
      <c r="M432" s="13">
        <v>2025</v>
      </c>
    </row>
    <row r="433" spans="1:13" x14ac:dyDescent="0.3">
      <c r="A433" t="s">
        <v>597</v>
      </c>
      <c r="B433" t="s">
        <v>502</v>
      </c>
      <c r="C433" t="s">
        <v>598</v>
      </c>
      <c r="D433">
        <v>12</v>
      </c>
      <c r="E433" s="5">
        <v>0</v>
      </c>
      <c r="F433" s="5">
        <v>0</v>
      </c>
      <c r="G433" s="5">
        <v>188.26</v>
      </c>
      <c r="H433" s="5">
        <v>0.84</v>
      </c>
      <c r="I433" s="5">
        <v>0</v>
      </c>
      <c r="J433" s="5">
        <v>2259.16</v>
      </c>
      <c r="K433" s="5">
        <v>2259.16</v>
      </c>
      <c r="L433" t="s">
        <v>709</v>
      </c>
      <c r="M433" s="13">
        <v>2025</v>
      </c>
    </row>
    <row r="434" spans="1:13" x14ac:dyDescent="0.3">
      <c r="A434" t="s">
        <v>502</v>
      </c>
      <c r="B434" t="s">
        <v>502</v>
      </c>
      <c r="C434" t="s">
        <v>710</v>
      </c>
      <c r="D434">
        <v>10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t="s">
        <v>709</v>
      </c>
      <c r="M434" s="13">
        <v>2025</v>
      </c>
    </row>
    <row r="435" spans="1:13" x14ac:dyDescent="0.3">
      <c r="A435" t="s">
        <v>685</v>
      </c>
      <c r="B435" t="s">
        <v>502</v>
      </c>
      <c r="C435" t="s">
        <v>686</v>
      </c>
      <c r="D435">
        <v>10</v>
      </c>
      <c r="E435" s="5">
        <v>2</v>
      </c>
      <c r="F435" s="5">
        <v>20</v>
      </c>
      <c r="G435" s="5">
        <v>3.25</v>
      </c>
      <c r="H435" s="5">
        <v>0</v>
      </c>
      <c r="I435" s="5">
        <v>0</v>
      </c>
      <c r="J435" s="5">
        <v>32.5</v>
      </c>
      <c r="K435" s="5">
        <v>12.5</v>
      </c>
      <c r="L435" t="s">
        <v>709</v>
      </c>
      <c r="M435" s="13">
        <v>2025</v>
      </c>
    </row>
    <row r="436" spans="1:13" x14ac:dyDescent="0.3">
      <c r="A436" t="s">
        <v>622</v>
      </c>
      <c r="B436" t="s">
        <v>502</v>
      </c>
      <c r="C436" t="s">
        <v>623</v>
      </c>
      <c r="D436">
        <v>8</v>
      </c>
      <c r="E436" s="5">
        <v>705</v>
      </c>
      <c r="F436" s="5">
        <v>5640</v>
      </c>
      <c r="G436" s="5">
        <v>1570.82</v>
      </c>
      <c r="H436" s="5">
        <v>25.84</v>
      </c>
      <c r="I436" s="5">
        <v>42.44</v>
      </c>
      <c r="J436" s="5">
        <v>12566.6</v>
      </c>
      <c r="K436" s="5">
        <v>6926.6</v>
      </c>
      <c r="L436" t="s">
        <v>709</v>
      </c>
      <c r="M436" s="13">
        <v>2025</v>
      </c>
    </row>
    <row r="437" spans="1:13" x14ac:dyDescent="0.3">
      <c r="A437" t="s">
        <v>587</v>
      </c>
      <c r="B437" t="s">
        <v>502</v>
      </c>
      <c r="C437" t="s">
        <v>588</v>
      </c>
      <c r="D437">
        <v>8</v>
      </c>
      <c r="E437" s="5">
        <v>693</v>
      </c>
      <c r="F437" s="5">
        <v>5544</v>
      </c>
      <c r="G437" s="5">
        <v>1437.5</v>
      </c>
      <c r="H437" s="5">
        <v>0</v>
      </c>
      <c r="I437" s="5">
        <v>0</v>
      </c>
      <c r="J437" s="5">
        <v>11500</v>
      </c>
      <c r="K437" s="5">
        <v>5956</v>
      </c>
      <c r="L437" t="s">
        <v>709</v>
      </c>
      <c r="M437" s="13">
        <v>2025</v>
      </c>
    </row>
    <row r="438" spans="1:13" x14ac:dyDescent="0.3">
      <c r="A438" t="s">
        <v>624</v>
      </c>
      <c r="B438" t="s">
        <v>502</v>
      </c>
      <c r="C438" t="s">
        <v>625</v>
      </c>
      <c r="D438">
        <v>6</v>
      </c>
      <c r="E438" s="5">
        <v>35</v>
      </c>
      <c r="F438" s="5">
        <v>210</v>
      </c>
      <c r="G438" s="5">
        <v>41.67</v>
      </c>
      <c r="H438" s="5">
        <v>0</v>
      </c>
      <c r="I438" s="5">
        <v>0</v>
      </c>
      <c r="J438" s="5">
        <v>250</v>
      </c>
      <c r="K438" s="5">
        <v>40</v>
      </c>
      <c r="L438" t="s">
        <v>709</v>
      </c>
      <c r="M438" s="13">
        <v>2025</v>
      </c>
    </row>
    <row r="439" spans="1:13" x14ac:dyDescent="0.3">
      <c r="A439" t="s">
        <v>644</v>
      </c>
      <c r="B439" t="s">
        <v>502</v>
      </c>
      <c r="C439" t="s">
        <v>645</v>
      </c>
      <c r="D439">
        <v>6</v>
      </c>
      <c r="E439" s="5">
        <v>0</v>
      </c>
      <c r="F439" s="5">
        <v>0</v>
      </c>
      <c r="G439" s="5">
        <v>199.94</v>
      </c>
      <c r="H439" s="5">
        <v>0.35</v>
      </c>
      <c r="I439" s="5">
        <v>0</v>
      </c>
      <c r="J439" s="5">
        <v>1199.6500000000001</v>
      </c>
      <c r="K439" s="5">
        <v>1199.6500000000001</v>
      </c>
      <c r="L439" t="s">
        <v>709</v>
      </c>
      <c r="M439" s="13">
        <v>2025</v>
      </c>
    </row>
    <row r="440" spans="1:13" x14ac:dyDescent="0.3">
      <c r="A440" t="s">
        <v>502</v>
      </c>
      <c r="B440" t="s">
        <v>502</v>
      </c>
      <c r="C440" t="s">
        <v>711</v>
      </c>
      <c r="D440">
        <v>5</v>
      </c>
      <c r="E440" s="5">
        <v>0</v>
      </c>
      <c r="F440" s="5">
        <v>0</v>
      </c>
      <c r="G440" s="5">
        <v>45</v>
      </c>
      <c r="H440" s="5">
        <v>0</v>
      </c>
      <c r="I440" s="5">
        <v>0</v>
      </c>
      <c r="J440" s="5">
        <v>225</v>
      </c>
      <c r="K440" s="5">
        <v>225</v>
      </c>
      <c r="L440" t="s">
        <v>709</v>
      </c>
      <c r="M440" s="13">
        <v>2025</v>
      </c>
    </row>
    <row r="441" spans="1:13" x14ac:dyDescent="0.3">
      <c r="A441" t="s">
        <v>502</v>
      </c>
      <c r="B441" t="s">
        <v>502</v>
      </c>
      <c r="C441" t="s">
        <v>712</v>
      </c>
      <c r="D441">
        <v>4</v>
      </c>
      <c r="E441" s="5">
        <v>0</v>
      </c>
      <c r="F441" s="5">
        <v>0</v>
      </c>
      <c r="G441" s="5">
        <v>49.62</v>
      </c>
      <c r="H441" s="5">
        <v>1.52</v>
      </c>
      <c r="I441" s="5">
        <v>0</v>
      </c>
      <c r="J441" s="5">
        <v>198.48</v>
      </c>
      <c r="K441" s="5">
        <v>198.48</v>
      </c>
      <c r="L441" t="s">
        <v>709</v>
      </c>
      <c r="M441" s="13">
        <v>2025</v>
      </c>
    </row>
    <row r="442" spans="1:13" x14ac:dyDescent="0.3">
      <c r="A442" t="s">
        <v>697</v>
      </c>
      <c r="B442" t="s">
        <v>502</v>
      </c>
      <c r="C442" t="s">
        <v>698</v>
      </c>
      <c r="D442">
        <v>3</v>
      </c>
      <c r="E442" s="5">
        <v>65</v>
      </c>
      <c r="F442" s="5">
        <v>195</v>
      </c>
      <c r="G442" s="5">
        <v>81.58</v>
      </c>
      <c r="H442" s="5">
        <v>10</v>
      </c>
      <c r="I442" s="5">
        <v>0</v>
      </c>
      <c r="J442" s="5">
        <v>244.74</v>
      </c>
      <c r="K442" s="5">
        <v>49.74</v>
      </c>
      <c r="L442" t="s">
        <v>709</v>
      </c>
      <c r="M442" s="13">
        <v>2025</v>
      </c>
    </row>
    <row r="443" spans="1:13" x14ac:dyDescent="0.3">
      <c r="A443" t="s">
        <v>602</v>
      </c>
      <c r="B443" t="s">
        <v>502</v>
      </c>
      <c r="C443" t="s">
        <v>603</v>
      </c>
      <c r="D443">
        <v>3</v>
      </c>
      <c r="E443" s="5">
        <v>54.43</v>
      </c>
      <c r="F443" s="5">
        <v>163.29</v>
      </c>
      <c r="G443" s="5">
        <v>58.33</v>
      </c>
      <c r="H443" s="5">
        <v>0</v>
      </c>
      <c r="I443" s="5">
        <v>0</v>
      </c>
      <c r="J443" s="5">
        <v>175</v>
      </c>
      <c r="K443" s="5">
        <v>11.71</v>
      </c>
      <c r="L443" t="s">
        <v>709</v>
      </c>
      <c r="M443" s="13">
        <v>2025</v>
      </c>
    </row>
    <row r="444" spans="1:13" x14ac:dyDescent="0.3">
      <c r="A444" t="s">
        <v>502</v>
      </c>
      <c r="B444" t="s">
        <v>502</v>
      </c>
      <c r="C444" t="s">
        <v>713</v>
      </c>
      <c r="D444">
        <v>3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t="s">
        <v>709</v>
      </c>
      <c r="M444" s="13">
        <v>2025</v>
      </c>
    </row>
    <row r="445" spans="1:13" x14ac:dyDescent="0.3">
      <c r="A445" t="s">
        <v>502</v>
      </c>
      <c r="B445" t="s">
        <v>502</v>
      </c>
      <c r="C445" t="s">
        <v>714</v>
      </c>
      <c r="D445">
        <v>3</v>
      </c>
      <c r="E445" s="5">
        <v>0</v>
      </c>
      <c r="F445" s="5">
        <v>0</v>
      </c>
      <c r="G445" s="5">
        <v>150</v>
      </c>
      <c r="H445" s="5">
        <v>0</v>
      </c>
      <c r="I445" s="5">
        <v>0</v>
      </c>
      <c r="J445" s="5">
        <v>450</v>
      </c>
      <c r="K445" s="5">
        <v>450</v>
      </c>
      <c r="L445" t="s">
        <v>709</v>
      </c>
      <c r="M445" s="13">
        <v>2025</v>
      </c>
    </row>
    <row r="446" spans="1:13" x14ac:dyDescent="0.3">
      <c r="A446" t="s">
        <v>577</v>
      </c>
      <c r="B446" t="s">
        <v>502</v>
      </c>
      <c r="C446" t="s">
        <v>578</v>
      </c>
      <c r="D446">
        <v>3</v>
      </c>
      <c r="E446" s="5">
        <v>30.49</v>
      </c>
      <c r="F446" s="5">
        <v>91.47</v>
      </c>
      <c r="G446" s="5">
        <v>43.33</v>
      </c>
      <c r="H446" s="5">
        <v>0</v>
      </c>
      <c r="I446" s="5">
        <v>0</v>
      </c>
      <c r="J446" s="5">
        <v>130</v>
      </c>
      <c r="K446" s="5">
        <v>38.53</v>
      </c>
      <c r="L446" t="s">
        <v>709</v>
      </c>
      <c r="M446" s="13">
        <v>2025</v>
      </c>
    </row>
    <row r="447" spans="1:13" x14ac:dyDescent="0.3">
      <c r="A447" t="s">
        <v>605</v>
      </c>
      <c r="B447" t="s">
        <v>502</v>
      </c>
      <c r="C447" t="s">
        <v>606</v>
      </c>
      <c r="D447">
        <v>2</v>
      </c>
      <c r="E447" s="5">
        <v>20</v>
      </c>
      <c r="F447" s="5">
        <v>40</v>
      </c>
      <c r="G447" s="5">
        <v>50</v>
      </c>
      <c r="H447" s="5">
        <v>0</v>
      </c>
      <c r="I447" s="5">
        <v>0</v>
      </c>
      <c r="J447" s="5">
        <v>100</v>
      </c>
      <c r="K447" s="5">
        <v>60</v>
      </c>
      <c r="L447" t="s">
        <v>709</v>
      </c>
      <c r="M447" s="13">
        <v>2025</v>
      </c>
    </row>
    <row r="448" spans="1:13" x14ac:dyDescent="0.3">
      <c r="A448" t="s">
        <v>620</v>
      </c>
      <c r="B448" t="s">
        <v>502</v>
      </c>
      <c r="C448" t="s">
        <v>621</v>
      </c>
      <c r="D448">
        <v>2</v>
      </c>
      <c r="E448" s="5">
        <v>41</v>
      </c>
      <c r="F448" s="5">
        <v>82</v>
      </c>
      <c r="G448" s="5">
        <v>55</v>
      </c>
      <c r="H448" s="5">
        <v>0</v>
      </c>
      <c r="I448" s="5">
        <v>0</v>
      </c>
      <c r="J448" s="5">
        <v>110</v>
      </c>
      <c r="K448" s="5">
        <v>28</v>
      </c>
      <c r="L448" t="s">
        <v>709</v>
      </c>
      <c r="M448" s="13">
        <v>2025</v>
      </c>
    </row>
    <row r="449" spans="1:13" x14ac:dyDescent="0.3">
      <c r="A449" t="s">
        <v>567</v>
      </c>
      <c r="B449" t="s">
        <v>502</v>
      </c>
      <c r="C449" t="s">
        <v>609</v>
      </c>
      <c r="D449">
        <v>2</v>
      </c>
      <c r="E449" s="5">
        <v>0</v>
      </c>
      <c r="F449" s="5">
        <v>0</v>
      </c>
      <c r="G449" s="5">
        <v>150</v>
      </c>
      <c r="H449" s="5">
        <v>0</v>
      </c>
      <c r="I449" s="5">
        <v>0</v>
      </c>
      <c r="J449" s="5">
        <v>300</v>
      </c>
      <c r="K449" s="5">
        <v>300</v>
      </c>
      <c r="L449" t="s">
        <v>709</v>
      </c>
      <c r="M449" s="13">
        <v>2025</v>
      </c>
    </row>
    <row r="450" spans="1:13" x14ac:dyDescent="0.3">
      <c r="A450" t="s">
        <v>502</v>
      </c>
      <c r="B450" t="s">
        <v>502</v>
      </c>
      <c r="C450" t="s">
        <v>715</v>
      </c>
      <c r="D450">
        <v>2</v>
      </c>
      <c r="E450" s="5">
        <v>0</v>
      </c>
      <c r="F450" s="5">
        <v>0</v>
      </c>
      <c r="G450" s="5">
        <v>450</v>
      </c>
      <c r="H450" s="5">
        <v>0</v>
      </c>
      <c r="I450" s="5">
        <v>0</v>
      </c>
      <c r="J450" s="5">
        <v>900</v>
      </c>
      <c r="K450" s="5">
        <v>900</v>
      </c>
      <c r="L450" t="s">
        <v>709</v>
      </c>
      <c r="M450" s="13">
        <v>2025</v>
      </c>
    </row>
    <row r="451" spans="1:13" x14ac:dyDescent="0.3">
      <c r="A451" t="s">
        <v>716</v>
      </c>
      <c r="B451" t="s">
        <v>502</v>
      </c>
      <c r="C451" t="s">
        <v>717</v>
      </c>
      <c r="D451">
        <v>1</v>
      </c>
      <c r="E451" s="5">
        <v>1652.88</v>
      </c>
      <c r="F451" s="5">
        <v>1652.88</v>
      </c>
      <c r="G451" s="5">
        <v>2500</v>
      </c>
      <c r="H451" s="5">
        <v>0</v>
      </c>
      <c r="I451" s="5">
        <v>0</v>
      </c>
      <c r="J451" s="5">
        <v>2500</v>
      </c>
      <c r="K451" s="5">
        <v>847.12</v>
      </c>
      <c r="L451" t="s">
        <v>709</v>
      </c>
      <c r="M451" s="13">
        <v>2025</v>
      </c>
    </row>
    <row r="452" spans="1:13" x14ac:dyDescent="0.3">
      <c r="A452" t="s">
        <v>502</v>
      </c>
      <c r="B452" t="s">
        <v>502</v>
      </c>
      <c r="C452" t="s">
        <v>718</v>
      </c>
      <c r="D452">
        <v>1</v>
      </c>
      <c r="E452" s="5">
        <v>0</v>
      </c>
      <c r="F452" s="5">
        <v>0</v>
      </c>
      <c r="G452" s="5">
        <v>45</v>
      </c>
      <c r="H452" s="5">
        <v>0</v>
      </c>
      <c r="I452" s="5">
        <v>0</v>
      </c>
      <c r="J452" s="5">
        <v>45</v>
      </c>
      <c r="K452" s="5">
        <v>45</v>
      </c>
      <c r="L452" t="s">
        <v>709</v>
      </c>
      <c r="M452" s="13">
        <v>2025</v>
      </c>
    </row>
    <row r="453" spans="1:13" x14ac:dyDescent="0.3">
      <c r="A453" t="s">
        <v>502</v>
      </c>
      <c r="B453" t="s">
        <v>502</v>
      </c>
      <c r="C453" t="s">
        <v>719</v>
      </c>
      <c r="D453">
        <v>1</v>
      </c>
      <c r="E453" s="5">
        <v>0</v>
      </c>
      <c r="F453" s="5">
        <v>0</v>
      </c>
      <c r="G453" s="5">
        <v>450</v>
      </c>
      <c r="H453" s="5">
        <v>0</v>
      </c>
      <c r="I453" s="5">
        <v>0</v>
      </c>
      <c r="J453" s="5">
        <v>450</v>
      </c>
      <c r="K453" s="5">
        <v>450</v>
      </c>
      <c r="L453" t="s">
        <v>709</v>
      </c>
      <c r="M453" s="13">
        <v>2025</v>
      </c>
    </row>
    <row r="454" spans="1:13" x14ac:dyDescent="0.3">
      <c r="A454" t="s">
        <v>502</v>
      </c>
      <c r="B454" t="s">
        <v>502</v>
      </c>
      <c r="C454" t="s">
        <v>720</v>
      </c>
      <c r="D454">
        <v>1</v>
      </c>
      <c r="E454" s="5">
        <v>0</v>
      </c>
      <c r="F454" s="5">
        <v>0</v>
      </c>
      <c r="G454" s="5">
        <v>50</v>
      </c>
      <c r="H454" s="5">
        <v>0</v>
      </c>
      <c r="I454" s="5">
        <v>0</v>
      </c>
      <c r="J454" s="5">
        <v>50</v>
      </c>
      <c r="K454" s="5">
        <v>50</v>
      </c>
      <c r="L454" t="s">
        <v>709</v>
      </c>
      <c r="M454" s="13">
        <v>2025</v>
      </c>
    </row>
    <row r="455" spans="1:13" x14ac:dyDescent="0.3">
      <c r="A455" t="s">
        <v>502</v>
      </c>
      <c r="B455" t="s">
        <v>502</v>
      </c>
      <c r="C455" t="s">
        <v>721</v>
      </c>
      <c r="D455">
        <v>1</v>
      </c>
      <c r="E455" s="5">
        <v>0</v>
      </c>
      <c r="F455" s="5">
        <v>0</v>
      </c>
      <c r="G455" s="5">
        <v>900</v>
      </c>
      <c r="H455" s="5">
        <v>0</v>
      </c>
      <c r="I455" s="5">
        <v>0</v>
      </c>
      <c r="J455" s="5">
        <v>900</v>
      </c>
      <c r="K455" s="5">
        <v>900</v>
      </c>
      <c r="L455" t="s">
        <v>709</v>
      </c>
      <c r="M455" s="13">
        <v>2025</v>
      </c>
    </row>
    <row r="456" spans="1:13" x14ac:dyDescent="0.3">
      <c r="A456" t="s">
        <v>502</v>
      </c>
      <c r="B456" t="s">
        <v>502</v>
      </c>
      <c r="C456" t="s">
        <v>722</v>
      </c>
      <c r="D456">
        <v>1</v>
      </c>
      <c r="E456" s="5">
        <v>0</v>
      </c>
      <c r="F456" s="5">
        <v>0</v>
      </c>
      <c r="G456" s="5">
        <v>30</v>
      </c>
      <c r="H456" s="5">
        <v>0</v>
      </c>
      <c r="I456" s="5">
        <v>0</v>
      </c>
      <c r="J456" s="5">
        <v>30</v>
      </c>
      <c r="K456" s="5">
        <v>30</v>
      </c>
      <c r="L456" t="s">
        <v>709</v>
      </c>
      <c r="M456" s="13">
        <v>2025</v>
      </c>
    </row>
    <row r="457" spans="1:13" x14ac:dyDescent="0.3">
      <c r="A457" t="s">
        <v>502</v>
      </c>
      <c r="B457" t="s">
        <v>502</v>
      </c>
      <c r="C457" t="s">
        <v>723</v>
      </c>
      <c r="D457">
        <v>1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t="s">
        <v>709</v>
      </c>
      <c r="M457" s="13">
        <v>2025</v>
      </c>
    </row>
    <row r="458" spans="1:13" x14ac:dyDescent="0.3">
      <c r="A458" t="s">
        <v>502</v>
      </c>
      <c r="B458" t="s">
        <v>502</v>
      </c>
      <c r="C458" t="s">
        <v>724</v>
      </c>
      <c r="D458">
        <v>1</v>
      </c>
      <c r="E458" s="5">
        <v>0</v>
      </c>
      <c r="F458" s="5">
        <v>0</v>
      </c>
      <c r="G458" s="5">
        <v>250</v>
      </c>
      <c r="H458" s="5">
        <v>0</v>
      </c>
      <c r="I458" s="5">
        <v>0</v>
      </c>
      <c r="J458" s="5">
        <v>250</v>
      </c>
      <c r="K458" s="5">
        <v>250</v>
      </c>
      <c r="L458" t="s">
        <v>709</v>
      </c>
      <c r="M458" s="13">
        <v>2025</v>
      </c>
    </row>
    <row r="459" spans="1:13" x14ac:dyDescent="0.3">
      <c r="A459" t="s">
        <v>505</v>
      </c>
      <c r="B459" t="s">
        <v>502</v>
      </c>
      <c r="C459" t="s">
        <v>506</v>
      </c>
      <c r="D459">
        <v>5201</v>
      </c>
      <c r="E459" s="5">
        <v>2.5</v>
      </c>
      <c r="F459" s="5">
        <v>13002.5</v>
      </c>
      <c r="G459" s="5">
        <v>2.98</v>
      </c>
      <c r="H459" s="5">
        <v>12.03</v>
      </c>
      <c r="I459" s="5">
        <v>112.27</v>
      </c>
      <c r="J459" s="5">
        <v>15510.84</v>
      </c>
      <c r="K459" s="5">
        <v>2508.34</v>
      </c>
      <c r="L459" t="s">
        <v>725</v>
      </c>
      <c r="M459" s="13">
        <v>2025</v>
      </c>
    </row>
    <row r="460" spans="1:13" x14ac:dyDescent="0.3">
      <c r="A460" t="s">
        <v>547</v>
      </c>
      <c r="B460" t="s">
        <v>502</v>
      </c>
      <c r="C460" t="s">
        <v>655</v>
      </c>
      <c r="D460">
        <v>1120</v>
      </c>
      <c r="E460" s="5">
        <v>3.05</v>
      </c>
      <c r="F460" s="5">
        <v>3416</v>
      </c>
      <c r="G460" s="5">
        <v>4.07</v>
      </c>
      <c r="H460" s="5">
        <v>7.0000000000000007E-2</v>
      </c>
      <c r="I460" s="5">
        <v>196</v>
      </c>
      <c r="J460" s="5">
        <v>4556.43</v>
      </c>
      <c r="K460" s="5">
        <v>1140.43</v>
      </c>
      <c r="L460" t="s">
        <v>725</v>
      </c>
      <c r="M460" s="13">
        <v>2025</v>
      </c>
    </row>
    <row r="461" spans="1:13" x14ac:dyDescent="0.3">
      <c r="A461" t="s">
        <v>515</v>
      </c>
      <c r="B461" t="s">
        <v>502</v>
      </c>
      <c r="C461" t="s">
        <v>516</v>
      </c>
      <c r="D461">
        <v>586</v>
      </c>
      <c r="E461" s="5">
        <v>7.21</v>
      </c>
      <c r="F461" s="5">
        <v>4225.0600000000004</v>
      </c>
      <c r="G461" s="5">
        <v>18.440000000000001</v>
      </c>
      <c r="H461" s="5">
        <v>24.74</v>
      </c>
      <c r="I461" s="5">
        <v>32.049999999999997</v>
      </c>
      <c r="J461" s="5">
        <v>10807.31</v>
      </c>
      <c r="K461" s="5">
        <v>6582.25</v>
      </c>
      <c r="L461" t="s">
        <v>725</v>
      </c>
      <c r="M461" s="13">
        <v>2025</v>
      </c>
    </row>
    <row r="462" spans="1:13" x14ac:dyDescent="0.3">
      <c r="A462" t="s">
        <v>511</v>
      </c>
      <c r="B462" t="s">
        <v>502</v>
      </c>
      <c r="C462" t="s">
        <v>512</v>
      </c>
      <c r="D462">
        <v>433</v>
      </c>
      <c r="E462" s="5">
        <v>382.86</v>
      </c>
      <c r="F462" s="5">
        <v>165778.9</v>
      </c>
      <c r="G462" s="5">
        <v>576.76</v>
      </c>
      <c r="H462" s="5">
        <v>1687.66</v>
      </c>
      <c r="I462" s="5">
        <v>520.61</v>
      </c>
      <c r="J462" s="5">
        <v>249735.94</v>
      </c>
      <c r="K462" s="5">
        <v>83957.04</v>
      </c>
      <c r="L462" t="s">
        <v>725</v>
      </c>
      <c r="M462" s="13">
        <v>2025</v>
      </c>
    </row>
    <row r="463" spans="1:13" x14ac:dyDescent="0.3">
      <c r="A463" t="s">
        <v>513</v>
      </c>
      <c r="B463" t="s">
        <v>502</v>
      </c>
      <c r="C463" t="s">
        <v>514</v>
      </c>
      <c r="D463">
        <v>319</v>
      </c>
      <c r="E463" s="5">
        <v>432.79</v>
      </c>
      <c r="F463" s="5">
        <v>138060.01</v>
      </c>
      <c r="G463" s="5">
        <v>619</v>
      </c>
      <c r="H463" s="5">
        <v>1272.17</v>
      </c>
      <c r="I463" s="5">
        <v>1584.06</v>
      </c>
      <c r="J463" s="5">
        <v>197461.89</v>
      </c>
      <c r="K463" s="5">
        <v>59401.88</v>
      </c>
      <c r="L463" t="s">
        <v>725</v>
      </c>
      <c r="M463" s="13">
        <v>2025</v>
      </c>
    </row>
    <row r="464" spans="1:13" x14ac:dyDescent="0.3">
      <c r="A464" t="s">
        <v>509</v>
      </c>
      <c r="B464" t="s">
        <v>502</v>
      </c>
      <c r="C464" t="s">
        <v>510</v>
      </c>
      <c r="D464">
        <v>275</v>
      </c>
      <c r="E464" s="5">
        <v>0.65</v>
      </c>
      <c r="F464" s="5">
        <v>178.75</v>
      </c>
      <c r="G464" s="5">
        <v>1</v>
      </c>
      <c r="H464" s="5">
        <v>0</v>
      </c>
      <c r="I464" s="5">
        <v>0</v>
      </c>
      <c r="J464" s="5">
        <v>275</v>
      </c>
      <c r="K464" s="5">
        <v>96.25</v>
      </c>
      <c r="L464" t="s">
        <v>725</v>
      </c>
      <c r="M464" s="13">
        <v>2025</v>
      </c>
    </row>
    <row r="465" spans="1:13" x14ac:dyDescent="0.3">
      <c r="A465" t="s">
        <v>507</v>
      </c>
      <c r="B465" t="s">
        <v>502</v>
      </c>
      <c r="C465" t="s">
        <v>508</v>
      </c>
      <c r="D465">
        <v>275</v>
      </c>
      <c r="E465" s="5">
        <v>0.65</v>
      </c>
      <c r="F465" s="5">
        <v>178.75</v>
      </c>
      <c r="G465" s="5">
        <v>1</v>
      </c>
      <c r="H465" s="5">
        <v>0</v>
      </c>
      <c r="I465" s="5">
        <v>0</v>
      </c>
      <c r="J465" s="5">
        <v>275</v>
      </c>
      <c r="K465" s="5">
        <v>96.25</v>
      </c>
      <c r="L465" t="s">
        <v>725</v>
      </c>
      <c r="M465" s="13">
        <v>2025</v>
      </c>
    </row>
    <row r="466" spans="1:13" x14ac:dyDescent="0.3">
      <c r="A466" t="s">
        <v>521</v>
      </c>
      <c r="B466" t="s">
        <v>502</v>
      </c>
      <c r="C466" t="s">
        <v>522</v>
      </c>
      <c r="D466">
        <v>196</v>
      </c>
      <c r="E466" s="5">
        <v>456.39</v>
      </c>
      <c r="F466" s="5">
        <v>89452</v>
      </c>
      <c r="G466" s="5">
        <v>705.43</v>
      </c>
      <c r="H466" s="5">
        <v>668.94</v>
      </c>
      <c r="I466" s="5">
        <v>835.85</v>
      </c>
      <c r="J466" s="5">
        <v>138263.9</v>
      </c>
      <c r="K466" s="5">
        <v>48811.9</v>
      </c>
      <c r="L466" t="s">
        <v>725</v>
      </c>
      <c r="M466" s="13">
        <v>2025</v>
      </c>
    </row>
    <row r="467" spans="1:13" x14ac:dyDescent="0.3">
      <c r="A467" t="s">
        <v>531</v>
      </c>
      <c r="B467" t="s">
        <v>502</v>
      </c>
      <c r="C467" t="s">
        <v>532</v>
      </c>
      <c r="D467">
        <v>176</v>
      </c>
      <c r="E467" s="5">
        <v>12.19</v>
      </c>
      <c r="F467" s="5">
        <v>2145.44</v>
      </c>
      <c r="G467" s="5">
        <v>14.99</v>
      </c>
      <c r="H467" s="5">
        <v>2.4900000000000002</v>
      </c>
      <c r="I467" s="5">
        <v>0</v>
      </c>
      <c r="J467" s="5">
        <v>2638.51</v>
      </c>
      <c r="K467" s="5">
        <v>493.07</v>
      </c>
      <c r="L467" t="s">
        <v>725</v>
      </c>
      <c r="M467" s="13">
        <v>2025</v>
      </c>
    </row>
    <row r="468" spans="1:13" x14ac:dyDescent="0.3">
      <c r="A468" t="s">
        <v>537</v>
      </c>
      <c r="B468" t="s">
        <v>502</v>
      </c>
      <c r="C468" t="s">
        <v>538</v>
      </c>
      <c r="D468">
        <v>161</v>
      </c>
      <c r="E468" s="5">
        <v>25</v>
      </c>
      <c r="F468" s="5">
        <v>4025</v>
      </c>
      <c r="G468" s="5">
        <v>29.48</v>
      </c>
      <c r="H468" s="5">
        <v>1.92</v>
      </c>
      <c r="I468" s="5">
        <v>9.48</v>
      </c>
      <c r="J468" s="5">
        <v>4745.55</v>
      </c>
      <c r="K468" s="5">
        <v>720.55</v>
      </c>
      <c r="L468" t="s">
        <v>725</v>
      </c>
      <c r="M468" s="13">
        <v>2025</v>
      </c>
    </row>
    <row r="469" spans="1:13" x14ac:dyDescent="0.3">
      <c r="A469" t="s">
        <v>527</v>
      </c>
      <c r="B469" t="s">
        <v>502</v>
      </c>
      <c r="C469" t="s">
        <v>528</v>
      </c>
      <c r="D469">
        <v>110</v>
      </c>
      <c r="E469" s="5">
        <v>55</v>
      </c>
      <c r="F469" s="5">
        <v>6050</v>
      </c>
      <c r="G469" s="5">
        <v>151.63</v>
      </c>
      <c r="H469" s="5">
        <v>79.61</v>
      </c>
      <c r="I469" s="5">
        <v>299.01</v>
      </c>
      <c r="J469" s="5">
        <v>16679.400000000001</v>
      </c>
      <c r="K469" s="5">
        <v>10629.4</v>
      </c>
      <c r="L469" t="s">
        <v>725</v>
      </c>
      <c r="M469" s="13">
        <v>2025</v>
      </c>
    </row>
    <row r="470" spans="1:13" x14ac:dyDescent="0.3">
      <c r="A470" t="s">
        <v>535</v>
      </c>
      <c r="B470" t="s">
        <v>502</v>
      </c>
      <c r="C470" t="s">
        <v>536</v>
      </c>
      <c r="D470">
        <v>105</v>
      </c>
      <c r="E470" s="5">
        <v>479.44</v>
      </c>
      <c r="F470" s="5">
        <v>50341</v>
      </c>
      <c r="G470" s="5">
        <v>766.47</v>
      </c>
      <c r="H470" s="5">
        <v>645.63</v>
      </c>
      <c r="I470" s="5">
        <v>0</v>
      </c>
      <c r="J470" s="5">
        <v>80479.37</v>
      </c>
      <c r="K470" s="5">
        <v>30138.37</v>
      </c>
      <c r="L470" t="s">
        <v>725</v>
      </c>
      <c r="M470" s="13">
        <v>2025</v>
      </c>
    </row>
    <row r="471" spans="1:13" x14ac:dyDescent="0.3">
      <c r="A471" t="s">
        <v>726</v>
      </c>
      <c r="B471" t="s">
        <v>502</v>
      </c>
      <c r="C471" t="s">
        <v>727</v>
      </c>
      <c r="D471">
        <v>98</v>
      </c>
      <c r="E471" s="5">
        <v>3.5</v>
      </c>
      <c r="F471" s="5">
        <v>343</v>
      </c>
      <c r="G471" s="5">
        <v>6.89</v>
      </c>
      <c r="H471" s="5">
        <v>0.2</v>
      </c>
      <c r="I471" s="5">
        <v>185.2</v>
      </c>
      <c r="J471" s="5">
        <v>675</v>
      </c>
      <c r="K471" s="5">
        <v>332</v>
      </c>
      <c r="L471" t="s">
        <v>725</v>
      </c>
      <c r="M471" s="13">
        <v>2025</v>
      </c>
    </row>
    <row r="472" spans="1:13" x14ac:dyDescent="0.3">
      <c r="A472" t="s">
        <v>529</v>
      </c>
      <c r="B472" t="s">
        <v>502</v>
      </c>
      <c r="C472" t="s">
        <v>530</v>
      </c>
      <c r="D472">
        <v>97</v>
      </c>
      <c r="E472" s="5">
        <v>535.86</v>
      </c>
      <c r="F472" s="5">
        <v>51978</v>
      </c>
      <c r="G472" s="5">
        <v>818.83</v>
      </c>
      <c r="H472" s="5">
        <v>869.52</v>
      </c>
      <c r="I472" s="5">
        <v>373.1</v>
      </c>
      <c r="J472" s="5">
        <v>79426.58</v>
      </c>
      <c r="K472" s="5">
        <v>27448.58</v>
      </c>
      <c r="L472" t="s">
        <v>725</v>
      </c>
      <c r="M472" s="13">
        <v>2025</v>
      </c>
    </row>
    <row r="473" spans="1:13" x14ac:dyDescent="0.3">
      <c r="A473" t="s">
        <v>545</v>
      </c>
      <c r="B473" t="s">
        <v>502</v>
      </c>
      <c r="C473" t="s">
        <v>546</v>
      </c>
      <c r="D473">
        <v>71</v>
      </c>
      <c r="E473" s="5">
        <v>13.69</v>
      </c>
      <c r="F473" s="5">
        <v>971.99</v>
      </c>
      <c r="G473" s="5">
        <v>83.66</v>
      </c>
      <c r="H473" s="5">
        <v>9.9499999999999993</v>
      </c>
      <c r="I473" s="5">
        <v>0</v>
      </c>
      <c r="J473" s="5">
        <v>5940.05</v>
      </c>
      <c r="K473" s="5">
        <v>4968.0600000000004</v>
      </c>
      <c r="L473" t="s">
        <v>725</v>
      </c>
      <c r="M473" s="13">
        <v>2025</v>
      </c>
    </row>
    <row r="474" spans="1:13" x14ac:dyDescent="0.3">
      <c r="A474" t="s">
        <v>551</v>
      </c>
      <c r="B474" t="s">
        <v>502</v>
      </c>
      <c r="C474" t="s">
        <v>552</v>
      </c>
      <c r="D474">
        <v>66</v>
      </c>
      <c r="E474" s="5">
        <v>47.9</v>
      </c>
      <c r="F474" s="5">
        <v>3161.34</v>
      </c>
      <c r="G474" s="5">
        <v>65.08</v>
      </c>
      <c r="H474" s="5">
        <v>20</v>
      </c>
      <c r="I474" s="5">
        <v>0</v>
      </c>
      <c r="J474" s="5">
        <v>4295</v>
      </c>
      <c r="K474" s="5">
        <v>1133.6600000000001</v>
      </c>
      <c r="L474" t="s">
        <v>725</v>
      </c>
      <c r="M474" s="13">
        <v>2025</v>
      </c>
    </row>
    <row r="475" spans="1:13" x14ac:dyDescent="0.3">
      <c r="A475" t="s">
        <v>541</v>
      </c>
      <c r="B475" t="s">
        <v>502</v>
      </c>
      <c r="C475" t="s">
        <v>542</v>
      </c>
      <c r="D475">
        <v>62</v>
      </c>
      <c r="E475" s="5">
        <v>649</v>
      </c>
      <c r="F475" s="5">
        <v>40238</v>
      </c>
      <c r="G475" s="5">
        <v>988.73</v>
      </c>
      <c r="H475" s="5">
        <v>164.5</v>
      </c>
      <c r="I475" s="5">
        <v>46</v>
      </c>
      <c r="J475" s="5">
        <v>61301.5</v>
      </c>
      <c r="K475" s="5">
        <v>21063.5</v>
      </c>
      <c r="L475" t="s">
        <v>725</v>
      </c>
      <c r="M475" s="13">
        <v>2025</v>
      </c>
    </row>
    <row r="476" spans="1:13" x14ac:dyDescent="0.3">
      <c r="A476" t="s">
        <v>539</v>
      </c>
      <c r="B476" t="s">
        <v>502</v>
      </c>
      <c r="C476" t="s">
        <v>540</v>
      </c>
      <c r="D476">
        <v>51</v>
      </c>
      <c r="E476" s="5">
        <v>664</v>
      </c>
      <c r="F476" s="5">
        <v>33864</v>
      </c>
      <c r="G476" s="5">
        <v>1073.96</v>
      </c>
      <c r="H476" s="5">
        <v>748.24</v>
      </c>
      <c r="I476" s="5">
        <v>0</v>
      </c>
      <c r="J476" s="5">
        <v>54771.76</v>
      </c>
      <c r="K476" s="5">
        <v>20907.759999999998</v>
      </c>
      <c r="L476" t="s">
        <v>725</v>
      </c>
      <c r="M476" s="13">
        <v>2025</v>
      </c>
    </row>
    <row r="477" spans="1:13" x14ac:dyDescent="0.3">
      <c r="A477" t="s">
        <v>685</v>
      </c>
      <c r="B477" t="s">
        <v>502</v>
      </c>
      <c r="C477" t="s">
        <v>686</v>
      </c>
      <c r="D477">
        <v>40</v>
      </c>
      <c r="E477" s="5">
        <v>2</v>
      </c>
      <c r="F477" s="5">
        <v>80</v>
      </c>
      <c r="G477" s="5">
        <v>5.51</v>
      </c>
      <c r="H477" s="5">
        <v>0</v>
      </c>
      <c r="I477" s="5">
        <v>100.47</v>
      </c>
      <c r="J477" s="5">
        <v>220.47</v>
      </c>
      <c r="K477" s="5">
        <v>140.47</v>
      </c>
      <c r="L477" t="s">
        <v>725</v>
      </c>
      <c r="M477" s="13">
        <v>2025</v>
      </c>
    </row>
    <row r="478" spans="1:13" x14ac:dyDescent="0.3">
      <c r="A478" t="s">
        <v>549</v>
      </c>
      <c r="B478" t="s">
        <v>502</v>
      </c>
      <c r="C478" t="s">
        <v>619</v>
      </c>
      <c r="D478">
        <v>39</v>
      </c>
      <c r="E478" s="5">
        <v>42</v>
      </c>
      <c r="F478" s="5">
        <v>1638</v>
      </c>
      <c r="G478" s="5">
        <v>57.18</v>
      </c>
      <c r="H478" s="5">
        <v>2.87</v>
      </c>
      <c r="I478" s="5">
        <v>47.74</v>
      </c>
      <c r="J478" s="5">
        <v>2229.87</v>
      </c>
      <c r="K478" s="5">
        <v>591.87</v>
      </c>
      <c r="L478" t="s">
        <v>725</v>
      </c>
      <c r="M478" s="13">
        <v>2025</v>
      </c>
    </row>
    <row r="479" spans="1:13" x14ac:dyDescent="0.3">
      <c r="A479" t="s">
        <v>591</v>
      </c>
      <c r="B479" t="s">
        <v>502</v>
      </c>
      <c r="C479" t="s">
        <v>592</v>
      </c>
      <c r="D479">
        <v>30</v>
      </c>
      <c r="E479" s="5">
        <v>33.56</v>
      </c>
      <c r="F479" s="5">
        <v>1006.8</v>
      </c>
      <c r="G479" s="5">
        <v>62.14</v>
      </c>
      <c r="H479" s="5">
        <v>0</v>
      </c>
      <c r="I479" s="5">
        <v>194.2</v>
      </c>
      <c r="J479" s="5">
        <v>1864.2</v>
      </c>
      <c r="K479" s="5">
        <v>857.4</v>
      </c>
      <c r="L479" t="s">
        <v>725</v>
      </c>
      <c r="M479" s="13">
        <v>2025</v>
      </c>
    </row>
    <row r="480" spans="1:13" x14ac:dyDescent="0.3">
      <c r="A480" t="s">
        <v>502</v>
      </c>
      <c r="B480" t="s">
        <v>502</v>
      </c>
      <c r="C480" t="s">
        <v>728</v>
      </c>
      <c r="D480">
        <v>30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t="s">
        <v>725</v>
      </c>
      <c r="M480" s="13">
        <v>2025</v>
      </c>
    </row>
    <row r="481" spans="1:13" x14ac:dyDescent="0.3">
      <c r="A481" t="s">
        <v>587</v>
      </c>
      <c r="B481" t="s">
        <v>502</v>
      </c>
      <c r="C481" t="s">
        <v>588</v>
      </c>
      <c r="D481">
        <v>27</v>
      </c>
      <c r="E481" s="5">
        <v>693</v>
      </c>
      <c r="F481" s="5">
        <v>18711</v>
      </c>
      <c r="G481" s="5">
        <v>1238.8900000000001</v>
      </c>
      <c r="H481" s="5">
        <v>150</v>
      </c>
      <c r="I481" s="5">
        <v>0</v>
      </c>
      <c r="J481" s="5">
        <v>33450</v>
      </c>
      <c r="K481" s="5">
        <v>14739</v>
      </c>
      <c r="L481" t="s">
        <v>725</v>
      </c>
      <c r="M481" s="13">
        <v>2025</v>
      </c>
    </row>
    <row r="482" spans="1:13" x14ac:dyDescent="0.3">
      <c r="A482" t="s">
        <v>553</v>
      </c>
      <c r="B482" t="s">
        <v>502</v>
      </c>
      <c r="C482" t="s">
        <v>554</v>
      </c>
      <c r="D482">
        <v>24</v>
      </c>
      <c r="E482" s="5">
        <v>679</v>
      </c>
      <c r="F482" s="5">
        <v>16296</v>
      </c>
      <c r="G482" s="5">
        <v>1147.72</v>
      </c>
      <c r="H482" s="5">
        <v>42</v>
      </c>
      <c r="I482" s="5">
        <v>287.20999999999998</v>
      </c>
      <c r="J482" s="5">
        <v>27545.21</v>
      </c>
      <c r="K482" s="5">
        <v>11249.21</v>
      </c>
      <c r="L482" t="s">
        <v>725</v>
      </c>
      <c r="M482" s="13">
        <v>2025</v>
      </c>
    </row>
    <row r="483" spans="1:13" x14ac:dyDescent="0.3">
      <c r="A483" t="s">
        <v>565</v>
      </c>
      <c r="B483" t="s">
        <v>502</v>
      </c>
      <c r="C483" t="s">
        <v>566</v>
      </c>
      <c r="D483">
        <v>23</v>
      </c>
      <c r="E483" s="5">
        <v>90</v>
      </c>
      <c r="F483" s="5">
        <v>2070</v>
      </c>
      <c r="G483" s="5">
        <v>141.52000000000001</v>
      </c>
      <c r="H483" s="5">
        <v>0</v>
      </c>
      <c r="I483" s="5">
        <v>0</v>
      </c>
      <c r="J483" s="5">
        <v>3255</v>
      </c>
      <c r="K483" s="5">
        <v>1185</v>
      </c>
      <c r="L483" t="s">
        <v>725</v>
      </c>
      <c r="M483" s="13">
        <v>2025</v>
      </c>
    </row>
    <row r="484" spans="1:13" x14ac:dyDescent="0.3">
      <c r="A484" t="s">
        <v>502</v>
      </c>
      <c r="B484" t="s">
        <v>502</v>
      </c>
      <c r="C484" t="s">
        <v>729</v>
      </c>
      <c r="D484">
        <v>20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t="s">
        <v>725</v>
      </c>
      <c r="M484" s="13">
        <v>2025</v>
      </c>
    </row>
    <row r="485" spans="1:13" x14ac:dyDescent="0.3">
      <c r="A485" t="s">
        <v>559</v>
      </c>
      <c r="B485" t="s">
        <v>502</v>
      </c>
      <c r="C485" t="s">
        <v>560</v>
      </c>
      <c r="D485">
        <v>19</v>
      </c>
      <c r="E485" s="5">
        <v>45.6</v>
      </c>
      <c r="F485" s="5">
        <v>866.4</v>
      </c>
      <c r="G485" s="5">
        <v>70.31</v>
      </c>
      <c r="H485" s="5">
        <v>0</v>
      </c>
      <c r="I485" s="5">
        <v>5.96</v>
      </c>
      <c r="J485" s="5">
        <v>1335.96</v>
      </c>
      <c r="K485" s="5">
        <v>469.56</v>
      </c>
      <c r="L485" t="s">
        <v>725</v>
      </c>
      <c r="M485" s="13">
        <v>2025</v>
      </c>
    </row>
    <row r="486" spans="1:13" x14ac:dyDescent="0.3">
      <c r="A486" t="s">
        <v>557</v>
      </c>
      <c r="B486" t="s">
        <v>502</v>
      </c>
      <c r="C486" t="s">
        <v>558</v>
      </c>
      <c r="D486">
        <v>19</v>
      </c>
      <c r="E486" s="5">
        <v>289</v>
      </c>
      <c r="F486" s="5">
        <v>5491</v>
      </c>
      <c r="G486" s="5">
        <v>525.05999999999995</v>
      </c>
      <c r="H486" s="5">
        <v>4.91</v>
      </c>
      <c r="I486" s="5">
        <v>26</v>
      </c>
      <c r="J486" s="5">
        <v>9976.09</v>
      </c>
      <c r="K486" s="5">
        <v>4485.09</v>
      </c>
      <c r="L486" t="s">
        <v>725</v>
      </c>
      <c r="M486" s="13">
        <v>2025</v>
      </c>
    </row>
    <row r="487" spans="1:13" x14ac:dyDescent="0.3">
      <c r="A487" t="s">
        <v>622</v>
      </c>
      <c r="B487" t="s">
        <v>502</v>
      </c>
      <c r="C487" t="s">
        <v>623</v>
      </c>
      <c r="D487">
        <v>18</v>
      </c>
      <c r="E487" s="5">
        <v>705</v>
      </c>
      <c r="F487" s="5">
        <v>12690</v>
      </c>
      <c r="G487" s="5">
        <v>1366.67</v>
      </c>
      <c r="H487" s="5">
        <v>100</v>
      </c>
      <c r="I487" s="5">
        <v>0</v>
      </c>
      <c r="J487" s="5">
        <v>24600</v>
      </c>
      <c r="K487" s="5">
        <v>11910</v>
      </c>
      <c r="L487" t="s">
        <v>725</v>
      </c>
      <c r="M487" s="13">
        <v>2025</v>
      </c>
    </row>
    <row r="488" spans="1:13" x14ac:dyDescent="0.3">
      <c r="A488" t="s">
        <v>502</v>
      </c>
      <c r="B488" t="s">
        <v>502</v>
      </c>
      <c r="C488" t="s">
        <v>730</v>
      </c>
      <c r="D488">
        <v>10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t="s">
        <v>725</v>
      </c>
      <c r="M488" s="13">
        <v>2025</v>
      </c>
    </row>
    <row r="489" spans="1:13" x14ac:dyDescent="0.3">
      <c r="A489" t="s">
        <v>502</v>
      </c>
      <c r="B489" t="s">
        <v>502</v>
      </c>
      <c r="C489" t="s">
        <v>731</v>
      </c>
      <c r="D489">
        <v>10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t="s">
        <v>725</v>
      </c>
      <c r="M489" s="13">
        <v>2025</v>
      </c>
    </row>
    <row r="490" spans="1:13" x14ac:dyDescent="0.3">
      <c r="A490" t="s">
        <v>674</v>
      </c>
      <c r="B490" t="s">
        <v>502</v>
      </c>
      <c r="C490" t="s">
        <v>675</v>
      </c>
      <c r="D490">
        <v>8</v>
      </c>
      <c r="E490" s="5">
        <v>491</v>
      </c>
      <c r="F490" s="5">
        <v>3928</v>
      </c>
      <c r="G490" s="5">
        <v>743.25</v>
      </c>
      <c r="H490" s="5">
        <v>0</v>
      </c>
      <c r="I490" s="5">
        <v>46</v>
      </c>
      <c r="J490" s="5">
        <v>5946</v>
      </c>
      <c r="K490" s="5">
        <v>2018</v>
      </c>
      <c r="L490" t="s">
        <v>725</v>
      </c>
      <c r="M490" s="13">
        <v>2025</v>
      </c>
    </row>
    <row r="491" spans="1:13" x14ac:dyDescent="0.3">
      <c r="A491" t="s">
        <v>662</v>
      </c>
      <c r="B491" t="s">
        <v>502</v>
      </c>
      <c r="C491" t="s">
        <v>663</v>
      </c>
      <c r="D491">
        <v>7</v>
      </c>
      <c r="E491" s="5">
        <v>293.13</v>
      </c>
      <c r="F491" s="5">
        <v>2051.91</v>
      </c>
      <c r="G491" s="5">
        <v>430</v>
      </c>
      <c r="H491" s="5">
        <v>0</v>
      </c>
      <c r="I491" s="5">
        <v>0</v>
      </c>
      <c r="J491" s="5">
        <v>3010</v>
      </c>
      <c r="K491" s="5">
        <v>958.09</v>
      </c>
      <c r="L491" t="s">
        <v>725</v>
      </c>
      <c r="M491" s="13">
        <v>2025</v>
      </c>
    </row>
    <row r="492" spans="1:13" x14ac:dyDescent="0.3">
      <c r="A492" t="s">
        <v>697</v>
      </c>
      <c r="B492" t="s">
        <v>502</v>
      </c>
      <c r="C492" t="s">
        <v>698</v>
      </c>
      <c r="D492">
        <v>6</v>
      </c>
      <c r="E492" s="5">
        <v>65</v>
      </c>
      <c r="F492" s="5">
        <v>390</v>
      </c>
      <c r="G492" s="5">
        <v>85</v>
      </c>
      <c r="H492" s="5">
        <v>0</v>
      </c>
      <c r="I492" s="5">
        <v>0</v>
      </c>
      <c r="J492" s="5">
        <v>510</v>
      </c>
      <c r="K492" s="5">
        <v>120</v>
      </c>
      <c r="L492" t="s">
        <v>725</v>
      </c>
      <c r="M492" s="13">
        <v>2025</v>
      </c>
    </row>
    <row r="493" spans="1:13" x14ac:dyDescent="0.3">
      <c r="A493" t="s">
        <v>624</v>
      </c>
      <c r="B493" t="s">
        <v>502</v>
      </c>
      <c r="C493" t="s">
        <v>625</v>
      </c>
      <c r="D493">
        <v>4</v>
      </c>
      <c r="E493" s="5">
        <v>35</v>
      </c>
      <c r="F493" s="5">
        <v>140</v>
      </c>
      <c r="G493" s="5">
        <v>44.78</v>
      </c>
      <c r="H493" s="5">
        <v>0.88</v>
      </c>
      <c r="I493" s="5">
        <v>0</v>
      </c>
      <c r="J493" s="5">
        <v>179.12</v>
      </c>
      <c r="K493" s="5">
        <v>39.119999999999997</v>
      </c>
      <c r="L493" t="s">
        <v>725</v>
      </c>
      <c r="M493" s="13">
        <v>2025</v>
      </c>
    </row>
    <row r="494" spans="1:13" x14ac:dyDescent="0.3">
      <c r="A494" t="s">
        <v>502</v>
      </c>
      <c r="B494" t="s">
        <v>502</v>
      </c>
      <c r="C494" t="s">
        <v>732</v>
      </c>
      <c r="D494">
        <v>3</v>
      </c>
      <c r="E494" s="5">
        <v>0</v>
      </c>
      <c r="F494" s="5">
        <v>0</v>
      </c>
      <c r="G494" s="5">
        <v>450</v>
      </c>
      <c r="H494" s="5">
        <v>0</v>
      </c>
      <c r="I494" s="5">
        <v>0</v>
      </c>
      <c r="J494" s="5">
        <v>1350</v>
      </c>
      <c r="K494" s="5">
        <v>1350</v>
      </c>
      <c r="L494" t="s">
        <v>725</v>
      </c>
      <c r="M494" s="13">
        <v>2025</v>
      </c>
    </row>
    <row r="495" spans="1:13" x14ac:dyDescent="0.3">
      <c r="A495" t="s">
        <v>577</v>
      </c>
      <c r="B495" t="s">
        <v>502</v>
      </c>
      <c r="C495" t="s">
        <v>578</v>
      </c>
      <c r="D495">
        <v>3</v>
      </c>
      <c r="E495" s="5">
        <v>30.49</v>
      </c>
      <c r="F495" s="5">
        <v>91.47</v>
      </c>
      <c r="G495" s="5">
        <v>42.3</v>
      </c>
      <c r="H495" s="5">
        <v>3.11</v>
      </c>
      <c r="I495" s="5">
        <v>0</v>
      </c>
      <c r="J495" s="5">
        <v>126.89</v>
      </c>
      <c r="K495" s="5">
        <v>35.42</v>
      </c>
      <c r="L495" t="s">
        <v>725</v>
      </c>
      <c r="M495" s="13">
        <v>2025</v>
      </c>
    </row>
    <row r="496" spans="1:13" x14ac:dyDescent="0.3">
      <c r="A496" t="s">
        <v>517</v>
      </c>
      <c r="B496" t="s">
        <v>502</v>
      </c>
      <c r="C496" t="s">
        <v>518</v>
      </c>
      <c r="D496">
        <v>3</v>
      </c>
      <c r="E496" s="5">
        <v>3.26</v>
      </c>
      <c r="F496" s="5">
        <v>9.7799999999999994</v>
      </c>
      <c r="G496" s="5">
        <v>4</v>
      </c>
      <c r="H496" s="5">
        <v>0</v>
      </c>
      <c r="I496" s="5">
        <v>0</v>
      </c>
      <c r="J496" s="5">
        <v>12</v>
      </c>
      <c r="K496" s="5">
        <v>2.2200000000000002</v>
      </c>
      <c r="L496" t="s">
        <v>725</v>
      </c>
      <c r="M496" s="13">
        <v>2025</v>
      </c>
    </row>
    <row r="497" spans="1:13" x14ac:dyDescent="0.3">
      <c r="A497" t="s">
        <v>733</v>
      </c>
      <c r="B497" t="s">
        <v>502</v>
      </c>
      <c r="C497" t="s">
        <v>734</v>
      </c>
      <c r="D497">
        <v>2</v>
      </c>
      <c r="E497" s="5">
        <v>0</v>
      </c>
      <c r="F497" s="5">
        <v>0</v>
      </c>
      <c r="G497" s="5">
        <v>350</v>
      </c>
      <c r="H497" s="5">
        <v>0</v>
      </c>
      <c r="I497" s="5">
        <v>0</v>
      </c>
      <c r="J497" s="5">
        <v>700</v>
      </c>
      <c r="K497" s="5">
        <v>700</v>
      </c>
      <c r="L497" t="s">
        <v>725</v>
      </c>
      <c r="M497" s="13">
        <v>2025</v>
      </c>
    </row>
    <row r="498" spans="1:13" x14ac:dyDescent="0.3">
      <c r="A498" t="s">
        <v>597</v>
      </c>
      <c r="B498" t="s">
        <v>502</v>
      </c>
      <c r="C498" t="s">
        <v>598</v>
      </c>
      <c r="D498">
        <v>2</v>
      </c>
      <c r="E498" s="5">
        <v>0</v>
      </c>
      <c r="F498" s="5">
        <v>0</v>
      </c>
      <c r="G498" s="5">
        <v>125</v>
      </c>
      <c r="H498" s="5">
        <v>0</v>
      </c>
      <c r="I498" s="5">
        <v>0</v>
      </c>
      <c r="J498" s="5">
        <v>250</v>
      </c>
      <c r="K498" s="5">
        <v>250</v>
      </c>
      <c r="L498" t="s">
        <v>725</v>
      </c>
      <c r="M498" s="13">
        <v>2025</v>
      </c>
    </row>
    <row r="499" spans="1:13" x14ac:dyDescent="0.3">
      <c r="A499" t="s">
        <v>563</v>
      </c>
      <c r="B499" t="s">
        <v>502</v>
      </c>
      <c r="C499" t="s">
        <v>564</v>
      </c>
      <c r="D499">
        <v>2</v>
      </c>
      <c r="E499" s="5">
        <v>33</v>
      </c>
      <c r="F499" s="5">
        <v>66</v>
      </c>
      <c r="G499" s="5">
        <v>105</v>
      </c>
      <c r="H499" s="5">
        <v>0</v>
      </c>
      <c r="I499" s="5">
        <v>0</v>
      </c>
      <c r="J499" s="5">
        <v>210</v>
      </c>
      <c r="K499" s="5">
        <v>144</v>
      </c>
      <c r="L499" t="s">
        <v>725</v>
      </c>
      <c r="M499" s="13">
        <v>2025</v>
      </c>
    </row>
    <row r="500" spans="1:13" x14ac:dyDescent="0.3">
      <c r="A500" t="s">
        <v>575</v>
      </c>
      <c r="B500" t="s">
        <v>502</v>
      </c>
      <c r="C500" t="s">
        <v>576</v>
      </c>
      <c r="D500">
        <v>1</v>
      </c>
      <c r="E500" s="5">
        <v>3</v>
      </c>
      <c r="F500" s="5">
        <v>3</v>
      </c>
      <c r="G500" s="5">
        <v>40</v>
      </c>
      <c r="H500" s="5">
        <v>0</v>
      </c>
      <c r="I500" s="5">
        <v>0</v>
      </c>
      <c r="J500" s="5">
        <v>40</v>
      </c>
      <c r="K500" s="5">
        <v>37</v>
      </c>
      <c r="L500" t="s">
        <v>725</v>
      </c>
      <c r="M500" s="13">
        <v>2025</v>
      </c>
    </row>
    <row r="501" spans="1:13" x14ac:dyDescent="0.3">
      <c r="A501" t="s">
        <v>629</v>
      </c>
      <c r="B501" t="s">
        <v>502</v>
      </c>
      <c r="C501" t="s">
        <v>630</v>
      </c>
      <c r="D501">
        <v>1</v>
      </c>
      <c r="E501" s="5">
        <v>10.58</v>
      </c>
      <c r="F501" s="5">
        <v>10.58</v>
      </c>
      <c r="G501" s="5">
        <v>30</v>
      </c>
      <c r="H501" s="5">
        <v>0</v>
      </c>
      <c r="I501" s="5">
        <v>0</v>
      </c>
      <c r="J501" s="5">
        <v>30</v>
      </c>
      <c r="K501" s="5">
        <v>19.420000000000002</v>
      </c>
      <c r="L501" t="s">
        <v>725</v>
      </c>
      <c r="M501" s="13">
        <v>2025</v>
      </c>
    </row>
    <row r="502" spans="1:13" x14ac:dyDescent="0.3">
      <c r="A502" t="s">
        <v>644</v>
      </c>
      <c r="B502" t="s">
        <v>502</v>
      </c>
      <c r="C502" t="s">
        <v>645</v>
      </c>
      <c r="D502">
        <v>1</v>
      </c>
      <c r="E502" s="5">
        <v>0</v>
      </c>
      <c r="F502" s="5">
        <v>0</v>
      </c>
      <c r="G502" s="5">
        <v>150</v>
      </c>
      <c r="H502" s="5">
        <v>0</v>
      </c>
      <c r="I502" s="5">
        <v>0</v>
      </c>
      <c r="J502" s="5">
        <v>150</v>
      </c>
      <c r="K502" s="5">
        <v>150</v>
      </c>
      <c r="L502" t="s">
        <v>725</v>
      </c>
      <c r="M502" s="13">
        <v>2025</v>
      </c>
    </row>
    <row r="503" spans="1:13" x14ac:dyDescent="0.3">
      <c r="A503" t="s">
        <v>571</v>
      </c>
      <c r="B503" t="s">
        <v>502</v>
      </c>
      <c r="C503" t="s">
        <v>572</v>
      </c>
      <c r="D503">
        <v>1</v>
      </c>
      <c r="E503" s="5">
        <v>469</v>
      </c>
      <c r="F503" s="5">
        <v>469</v>
      </c>
      <c r="G503" s="5">
        <v>800</v>
      </c>
      <c r="H503" s="5">
        <v>100</v>
      </c>
      <c r="I503" s="5">
        <v>0</v>
      </c>
      <c r="J503" s="5">
        <v>800</v>
      </c>
      <c r="K503" s="5">
        <v>331</v>
      </c>
      <c r="L503" t="s">
        <v>725</v>
      </c>
      <c r="M503" s="13">
        <v>2025</v>
      </c>
    </row>
    <row r="504" spans="1:13" x14ac:dyDescent="0.3">
      <c r="A504" t="s">
        <v>602</v>
      </c>
      <c r="B504" t="s">
        <v>502</v>
      </c>
      <c r="C504" t="s">
        <v>603</v>
      </c>
      <c r="D504">
        <v>1</v>
      </c>
      <c r="E504" s="5">
        <v>54.43</v>
      </c>
      <c r="F504" s="5">
        <v>54.43</v>
      </c>
      <c r="G504" s="5">
        <v>52.11</v>
      </c>
      <c r="H504" s="5">
        <v>2.89</v>
      </c>
      <c r="I504" s="5">
        <v>0</v>
      </c>
      <c r="J504" s="5">
        <v>52.11</v>
      </c>
      <c r="K504" s="5">
        <v>-2.3199999999999998</v>
      </c>
      <c r="L504" t="s">
        <v>725</v>
      </c>
      <c r="M504" s="13">
        <v>2025</v>
      </c>
    </row>
    <row r="505" spans="1:13" x14ac:dyDescent="0.3">
      <c r="A505" t="s">
        <v>656</v>
      </c>
      <c r="B505" t="s">
        <v>502</v>
      </c>
      <c r="C505" t="s">
        <v>657</v>
      </c>
      <c r="D505">
        <v>1</v>
      </c>
      <c r="E505" s="5">
        <v>40</v>
      </c>
      <c r="F505" s="5">
        <v>40</v>
      </c>
      <c r="G505" s="5">
        <v>149.94</v>
      </c>
      <c r="H505" s="5">
        <v>0.06</v>
      </c>
      <c r="I505" s="5">
        <v>0</v>
      </c>
      <c r="J505" s="5">
        <v>149.94</v>
      </c>
      <c r="K505" s="5">
        <v>109.94</v>
      </c>
      <c r="L505" t="s">
        <v>725</v>
      </c>
      <c r="M505" s="13">
        <v>2025</v>
      </c>
    </row>
    <row r="506" spans="1:13" x14ac:dyDescent="0.3">
      <c r="A506" t="s">
        <v>555</v>
      </c>
      <c r="B506" t="s">
        <v>502</v>
      </c>
      <c r="C506" t="s">
        <v>556</v>
      </c>
      <c r="D506">
        <v>1</v>
      </c>
      <c r="E506" s="5">
        <v>909</v>
      </c>
      <c r="F506" s="5">
        <v>909</v>
      </c>
      <c r="G506" s="5">
        <v>900</v>
      </c>
      <c r="H506" s="5">
        <v>0</v>
      </c>
      <c r="I506" s="5">
        <v>0</v>
      </c>
      <c r="J506" s="5">
        <v>900</v>
      </c>
      <c r="K506" s="5">
        <v>-9</v>
      </c>
      <c r="L506" t="s">
        <v>725</v>
      </c>
      <c r="M506" s="13">
        <v>2025</v>
      </c>
    </row>
    <row r="507" spans="1:13" x14ac:dyDescent="0.3">
      <c r="A507" t="s">
        <v>567</v>
      </c>
      <c r="B507" t="s">
        <v>502</v>
      </c>
      <c r="C507" t="s">
        <v>609</v>
      </c>
      <c r="D507">
        <v>1</v>
      </c>
      <c r="E507" s="5">
        <v>0</v>
      </c>
      <c r="F507" s="5">
        <v>0</v>
      </c>
      <c r="G507" s="5">
        <v>180</v>
      </c>
      <c r="H507" s="5">
        <v>0</v>
      </c>
      <c r="I507" s="5">
        <v>0</v>
      </c>
      <c r="J507" s="5">
        <v>180</v>
      </c>
      <c r="K507" s="5">
        <v>180</v>
      </c>
      <c r="L507" t="s">
        <v>725</v>
      </c>
      <c r="M507" s="13">
        <v>2025</v>
      </c>
    </row>
    <row r="508" spans="1:13" x14ac:dyDescent="0.3">
      <c r="A508" t="s">
        <v>505</v>
      </c>
      <c r="B508" t="s">
        <v>502</v>
      </c>
      <c r="C508" t="s">
        <v>506</v>
      </c>
      <c r="D508">
        <v>2650</v>
      </c>
      <c r="E508" s="5">
        <v>2.5</v>
      </c>
      <c r="F508" s="5">
        <v>6625</v>
      </c>
      <c r="G508" s="5">
        <v>2.94</v>
      </c>
      <c r="H508" s="5">
        <v>0</v>
      </c>
      <c r="I508" s="5">
        <v>0</v>
      </c>
      <c r="J508" s="5">
        <v>7790</v>
      </c>
      <c r="K508" s="5">
        <v>1165</v>
      </c>
      <c r="L508" t="s">
        <v>735</v>
      </c>
      <c r="M508" s="13">
        <v>2025</v>
      </c>
    </row>
    <row r="509" spans="1:13" x14ac:dyDescent="0.3">
      <c r="A509" t="s">
        <v>515</v>
      </c>
      <c r="B509" t="s">
        <v>502</v>
      </c>
      <c r="C509" t="s">
        <v>516</v>
      </c>
      <c r="D509">
        <v>754</v>
      </c>
      <c r="E509" s="5">
        <v>7.21</v>
      </c>
      <c r="F509" s="5">
        <v>5436.34</v>
      </c>
      <c r="G509" s="5">
        <v>18.329999999999998</v>
      </c>
      <c r="H509" s="5">
        <v>9.83</v>
      </c>
      <c r="I509" s="5">
        <v>23.9</v>
      </c>
      <c r="J509" s="5">
        <v>13817.57</v>
      </c>
      <c r="K509" s="5">
        <v>8381.23</v>
      </c>
      <c r="L509" t="s">
        <v>735</v>
      </c>
      <c r="M509" s="13">
        <v>2025</v>
      </c>
    </row>
    <row r="510" spans="1:13" x14ac:dyDescent="0.3">
      <c r="A510" t="s">
        <v>509</v>
      </c>
      <c r="B510" t="s">
        <v>502</v>
      </c>
      <c r="C510" t="s">
        <v>510</v>
      </c>
      <c r="D510">
        <v>725</v>
      </c>
      <c r="E510" s="5">
        <v>0.65</v>
      </c>
      <c r="F510" s="5">
        <v>471.25</v>
      </c>
      <c r="G510" s="5">
        <v>1</v>
      </c>
      <c r="H510" s="5">
        <v>0</v>
      </c>
      <c r="I510" s="5">
        <v>0</v>
      </c>
      <c r="J510" s="5">
        <v>725</v>
      </c>
      <c r="K510" s="5">
        <v>253.75</v>
      </c>
      <c r="L510" t="s">
        <v>735</v>
      </c>
      <c r="M510" s="13">
        <v>2025</v>
      </c>
    </row>
    <row r="511" spans="1:13" x14ac:dyDescent="0.3">
      <c r="A511" t="s">
        <v>507</v>
      </c>
      <c r="B511" t="s">
        <v>502</v>
      </c>
      <c r="C511" t="s">
        <v>508</v>
      </c>
      <c r="D511">
        <v>725</v>
      </c>
      <c r="E511" s="5">
        <v>0.65</v>
      </c>
      <c r="F511" s="5">
        <v>471.25</v>
      </c>
      <c r="G511" s="5">
        <v>1</v>
      </c>
      <c r="H511" s="5">
        <v>0</v>
      </c>
      <c r="I511" s="5">
        <v>0</v>
      </c>
      <c r="J511" s="5">
        <v>725</v>
      </c>
      <c r="K511" s="5">
        <v>253.75</v>
      </c>
      <c r="L511" t="s">
        <v>735</v>
      </c>
      <c r="M511" s="13">
        <v>2025</v>
      </c>
    </row>
    <row r="512" spans="1:13" x14ac:dyDescent="0.3">
      <c r="A512" t="s">
        <v>547</v>
      </c>
      <c r="B512" t="s">
        <v>502</v>
      </c>
      <c r="C512" t="s">
        <v>655</v>
      </c>
      <c r="D512">
        <v>391</v>
      </c>
      <c r="E512" s="5">
        <v>3.05</v>
      </c>
      <c r="F512" s="5">
        <v>1192.55</v>
      </c>
      <c r="G512" s="5">
        <v>3.85</v>
      </c>
      <c r="H512" s="5">
        <v>0</v>
      </c>
      <c r="I512" s="5">
        <v>0.32</v>
      </c>
      <c r="J512" s="5">
        <v>1504.32</v>
      </c>
      <c r="K512" s="5">
        <v>311.77</v>
      </c>
      <c r="L512" t="s">
        <v>735</v>
      </c>
      <c r="M512" s="13">
        <v>2025</v>
      </c>
    </row>
    <row r="513" spans="1:13" x14ac:dyDescent="0.3">
      <c r="A513" t="s">
        <v>513</v>
      </c>
      <c r="B513" t="s">
        <v>502</v>
      </c>
      <c r="C513" t="s">
        <v>514</v>
      </c>
      <c r="D513">
        <v>331</v>
      </c>
      <c r="E513" s="5">
        <v>432.79</v>
      </c>
      <c r="F513" s="5">
        <v>143253.49</v>
      </c>
      <c r="G513" s="5">
        <v>621.85</v>
      </c>
      <c r="H513" s="5">
        <v>776.52</v>
      </c>
      <c r="I513" s="5">
        <v>1538.14</v>
      </c>
      <c r="J513" s="5">
        <v>205831.61</v>
      </c>
      <c r="K513" s="5">
        <v>62578.12</v>
      </c>
      <c r="L513" t="s">
        <v>735</v>
      </c>
      <c r="M513" s="13">
        <v>2025</v>
      </c>
    </row>
    <row r="514" spans="1:13" x14ac:dyDescent="0.3">
      <c r="A514" t="s">
        <v>511</v>
      </c>
      <c r="B514" t="s">
        <v>502</v>
      </c>
      <c r="C514" t="s">
        <v>512</v>
      </c>
      <c r="D514">
        <v>275</v>
      </c>
      <c r="E514" s="5">
        <v>385</v>
      </c>
      <c r="F514" s="5">
        <v>105875</v>
      </c>
      <c r="G514" s="5">
        <v>580.09</v>
      </c>
      <c r="H514" s="5">
        <v>515.30999999999995</v>
      </c>
      <c r="I514" s="5">
        <v>627.91</v>
      </c>
      <c r="J514" s="5">
        <v>159523.6</v>
      </c>
      <c r="K514" s="5">
        <v>53648.6</v>
      </c>
      <c r="L514" t="s">
        <v>735</v>
      </c>
      <c r="M514" s="13">
        <v>2025</v>
      </c>
    </row>
    <row r="515" spans="1:13" x14ac:dyDescent="0.3">
      <c r="A515" t="s">
        <v>521</v>
      </c>
      <c r="B515" t="s">
        <v>502</v>
      </c>
      <c r="C515" t="s">
        <v>522</v>
      </c>
      <c r="D515">
        <v>152</v>
      </c>
      <c r="E515" s="5">
        <v>463</v>
      </c>
      <c r="F515" s="5">
        <v>70376</v>
      </c>
      <c r="G515" s="5">
        <v>719.9</v>
      </c>
      <c r="H515" s="5">
        <v>683.54</v>
      </c>
      <c r="I515" s="5">
        <v>882.61</v>
      </c>
      <c r="J515" s="5">
        <v>109424.07</v>
      </c>
      <c r="K515" s="5">
        <v>39048.07</v>
      </c>
      <c r="L515" t="s">
        <v>735</v>
      </c>
      <c r="M515" s="13">
        <v>2025</v>
      </c>
    </row>
    <row r="516" spans="1:13" x14ac:dyDescent="0.3">
      <c r="A516" t="s">
        <v>531</v>
      </c>
      <c r="B516" t="s">
        <v>502</v>
      </c>
      <c r="C516" t="s">
        <v>532</v>
      </c>
      <c r="D516">
        <v>123</v>
      </c>
      <c r="E516" s="5">
        <v>12.19</v>
      </c>
      <c r="F516" s="5">
        <v>1499.37</v>
      </c>
      <c r="G516" s="5">
        <v>14.78</v>
      </c>
      <c r="H516" s="5">
        <v>2.5299999999999998</v>
      </c>
      <c r="I516" s="5">
        <v>0</v>
      </c>
      <c r="J516" s="5">
        <v>1817.97</v>
      </c>
      <c r="K516" s="5">
        <v>318.60000000000002</v>
      </c>
      <c r="L516" t="s">
        <v>735</v>
      </c>
      <c r="M516" s="13">
        <v>2025</v>
      </c>
    </row>
    <row r="517" spans="1:13" x14ac:dyDescent="0.3">
      <c r="A517" t="s">
        <v>527</v>
      </c>
      <c r="B517" t="s">
        <v>502</v>
      </c>
      <c r="C517" t="s">
        <v>528</v>
      </c>
      <c r="D517">
        <v>117</v>
      </c>
      <c r="E517" s="5">
        <v>55</v>
      </c>
      <c r="F517" s="5">
        <v>6435</v>
      </c>
      <c r="G517" s="5">
        <v>130.37</v>
      </c>
      <c r="H517" s="5">
        <v>41.32</v>
      </c>
      <c r="I517" s="5">
        <v>141.18</v>
      </c>
      <c r="J517" s="5">
        <v>15252.85</v>
      </c>
      <c r="K517" s="5">
        <v>8817.85</v>
      </c>
      <c r="L517" t="s">
        <v>735</v>
      </c>
      <c r="M517" s="13">
        <v>2025</v>
      </c>
    </row>
    <row r="518" spans="1:13" x14ac:dyDescent="0.3">
      <c r="A518" t="s">
        <v>529</v>
      </c>
      <c r="B518" t="s">
        <v>502</v>
      </c>
      <c r="C518" t="s">
        <v>530</v>
      </c>
      <c r="D518">
        <v>102</v>
      </c>
      <c r="E518" s="5">
        <v>544</v>
      </c>
      <c r="F518" s="5">
        <v>55488</v>
      </c>
      <c r="G518" s="5">
        <v>797.53</v>
      </c>
      <c r="H518" s="5">
        <v>139.04</v>
      </c>
      <c r="I518" s="5">
        <v>492.96</v>
      </c>
      <c r="J518" s="5">
        <v>81348.02</v>
      </c>
      <c r="K518" s="5">
        <v>25860.02</v>
      </c>
      <c r="L518" t="s">
        <v>735</v>
      </c>
      <c r="M518" s="13">
        <v>2025</v>
      </c>
    </row>
    <row r="519" spans="1:13" x14ac:dyDescent="0.3">
      <c r="A519" t="s">
        <v>541</v>
      </c>
      <c r="B519" t="s">
        <v>502</v>
      </c>
      <c r="C519" t="s">
        <v>542</v>
      </c>
      <c r="D519">
        <v>72</v>
      </c>
      <c r="E519" s="5">
        <v>649</v>
      </c>
      <c r="F519" s="5">
        <v>46728</v>
      </c>
      <c r="G519" s="5">
        <v>911.13</v>
      </c>
      <c r="H519" s="5">
        <v>45.94</v>
      </c>
      <c r="I519" s="5">
        <v>0</v>
      </c>
      <c r="J519" s="5">
        <v>65601.06</v>
      </c>
      <c r="K519" s="5">
        <v>18873.060000000001</v>
      </c>
      <c r="L519" t="s">
        <v>735</v>
      </c>
      <c r="M519" s="13">
        <v>2025</v>
      </c>
    </row>
    <row r="520" spans="1:13" x14ac:dyDescent="0.3">
      <c r="A520" t="s">
        <v>535</v>
      </c>
      <c r="B520" t="s">
        <v>502</v>
      </c>
      <c r="C520" t="s">
        <v>536</v>
      </c>
      <c r="D520">
        <v>70</v>
      </c>
      <c r="E520" s="5">
        <v>485</v>
      </c>
      <c r="F520" s="5">
        <v>33950</v>
      </c>
      <c r="G520" s="5">
        <v>770.8</v>
      </c>
      <c r="H520" s="5">
        <v>399.16</v>
      </c>
      <c r="I520" s="5">
        <v>0</v>
      </c>
      <c r="J520" s="5">
        <v>53955.839999999997</v>
      </c>
      <c r="K520" s="5">
        <v>20005.84</v>
      </c>
      <c r="L520" t="s">
        <v>735</v>
      </c>
      <c r="M520" s="13">
        <v>2025</v>
      </c>
    </row>
    <row r="521" spans="1:13" x14ac:dyDescent="0.3">
      <c r="A521" t="s">
        <v>537</v>
      </c>
      <c r="B521" t="s">
        <v>502</v>
      </c>
      <c r="C521" t="s">
        <v>538</v>
      </c>
      <c r="D521">
        <v>64</v>
      </c>
      <c r="E521" s="5">
        <v>25</v>
      </c>
      <c r="F521" s="5">
        <v>1600</v>
      </c>
      <c r="G521" s="5">
        <v>29.75</v>
      </c>
      <c r="H521" s="5">
        <v>6.04</v>
      </c>
      <c r="I521" s="5">
        <v>0</v>
      </c>
      <c r="J521" s="5">
        <v>1903.96</v>
      </c>
      <c r="K521" s="5">
        <v>303.95999999999998</v>
      </c>
      <c r="L521" t="s">
        <v>735</v>
      </c>
      <c r="M521" s="13">
        <v>2025</v>
      </c>
    </row>
    <row r="522" spans="1:13" x14ac:dyDescent="0.3">
      <c r="A522" t="s">
        <v>519</v>
      </c>
      <c r="B522" t="s">
        <v>502</v>
      </c>
      <c r="C522" t="s">
        <v>520</v>
      </c>
      <c r="D522">
        <v>50</v>
      </c>
      <c r="E522" s="5">
        <v>0.96</v>
      </c>
      <c r="F522" s="5">
        <v>48</v>
      </c>
      <c r="G522" s="5">
        <v>1.2</v>
      </c>
      <c r="H522" s="5">
        <v>0</v>
      </c>
      <c r="I522" s="5">
        <v>0</v>
      </c>
      <c r="J522" s="5">
        <v>60</v>
      </c>
      <c r="K522" s="5">
        <v>12</v>
      </c>
      <c r="L522" t="s">
        <v>735</v>
      </c>
      <c r="M522" s="13">
        <v>2025</v>
      </c>
    </row>
    <row r="523" spans="1:13" x14ac:dyDescent="0.3">
      <c r="A523" t="s">
        <v>539</v>
      </c>
      <c r="B523" t="s">
        <v>502</v>
      </c>
      <c r="C523" t="s">
        <v>540</v>
      </c>
      <c r="D523">
        <v>44</v>
      </c>
      <c r="E523" s="5">
        <v>664</v>
      </c>
      <c r="F523" s="5">
        <v>29216</v>
      </c>
      <c r="G523" s="5">
        <v>1024.76</v>
      </c>
      <c r="H523" s="5">
        <v>0.45</v>
      </c>
      <c r="I523" s="5">
        <v>0</v>
      </c>
      <c r="J523" s="5">
        <v>45089.55</v>
      </c>
      <c r="K523" s="5">
        <v>15873.55</v>
      </c>
      <c r="L523" t="s">
        <v>735</v>
      </c>
      <c r="M523" s="13">
        <v>2025</v>
      </c>
    </row>
    <row r="524" spans="1:13" x14ac:dyDescent="0.3">
      <c r="A524" t="s">
        <v>549</v>
      </c>
      <c r="B524" t="s">
        <v>502</v>
      </c>
      <c r="C524" t="s">
        <v>619</v>
      </c>
      <c r="D524">
        <v>31</v>
      </c>
      <c r="E524" s="5">
        <v>42</v>
      </c>
      <c r="F524" s="5">
        <v>1302</v>
      </c>
      <c r="G524" s="5">
        <v>54.25</v>
      </c>
      <c r="H524" s="5">
        <v>1.1599999999999999</v>
      </c>
      <c r="I524" s="5">
        <v>0</v>
      </c>
      <c r="J524" s="5">
        <v>1681.84</v>
      </c>
      <c r="K524" s="5">
        <v>379.84</v>
      </c>
      <c r="L524" t="s">
        <v>735</v>
      </c>
      <c r="M524" s="13">
        <v>2025</v>
      </c>
    </row>
    <row r="525" spans="1:13" x14ac:dyDescent="0.3">
      <c r="A525" t="s">
        <v>545</v>
      </c>
      <c r="B525" t="s">
        <v>502</v>
      </c>
      <c r="C525" t="s">
        <v>546</v>
      </c>
      <c r="D525">
        <v>30</v>
      </c>
      <c r="E525" s="5">
        <v>13.69</v>
      </c>
      <c r="F525" s="5">
        <v>410.7</v>
      </c>
      <c r="G525" s="5">
        <v>97.77</v>
      </c>
      <c r="H525" s="5">
        <v>2.0299999999999998</v>
      </c>
      <c r="I525" s="5">
        <v>0</v>
      </c>
      <c r="J525" s="5">
        <v>2932.97</v>
      </c>
      <c r="K525" s="5">
        <v>2522.27</v>
      </c>
      <c r="L525" t="s">
        <v>735</v>
      </c>
      <c r="M525" s="13">
        <v>2025</v>
      </c>
    </row>
    <row r="526" spans="1:13" x14ac:dyDescent="0.3">
      <c r="A526" t="s">
        <v>551</v>
      </c>
      <c r="B526" t="s">
        <v>502</v>
      </c>
      <c r="C526" t="s">
        <v>552</v>
      </c>
      <c r="D526">
        <v>26</v>
      </c>
      <c r="E526" s="5">
        <v>47.03</v>
      </c>
      <c r="F526" s="5">
        <v>1222.78</v>
      </c>
      <c r="G526" s="5">
        <v>51.46</v>
      </c>
      <c r="H526" s="5">
        <v>0</v>
      </c>
      <c r="I526" s="5">
        <v>0</v>
      </c>
      <c r="J526" s="5">
        <v>1338</v>
      </c>
      <c r="K526" s="5">
        <v>115.22</v>
      </c>
      <c r="L526" t="s">
        <v>735</v>
      </c>
      <c r="M526" s="13">
        <v>2025</v>
      </c>
    </row>
    <row r="527" spans="1:13" x14ac:dyDescent="0.3">
      <c r="A527" t="s">
        <v>517</v>
      </c>
      <c r="B527" t="s">
        <v>502</v>
      </c>
      <c r="C527" t="s">
        <v>518</v>
      </c>
      <c r="D527">
        <v>25</v>
      </c>
      <c r="E527" s="5">
        <v>3.26</v>
      </c>
      <c r="F527" s="5">
        <v>81.5</v>
      </c>
      <c r="G527" s="5">
        <v>3.6</v>
      </c>
      <c r="H527" s="5">
        <v>0</v>
      </c>
      <c r="I527" s="5">
        <v>0</v>
      </c>
      <c r="J527" s="5">
        <v>90</v>
      </c>
      <c r="K527" s="5">
        <v>8.5</v>
      </c>
      <c r="L527" t="s">
        <v>735</v>
      </c>
      <c r="M527" s="13">
        <v>2025</v>
      </c>
    </row>
    <row r="528" spans="1:13" x14ac:dyDescent="0.3">
      <c r="A528" t="s">
        <v>685</v>
      </c>
      <c r="B528" t="s">
        <v>502</v>
      </c>
      <c r="C528" t="s">
        <v>686</v>
      </c>
      <c r="D528">
        <v>25</v>
      </c>
      <c r="E528" s="5">
        <v>2</v>
      </c>
      <c r="F528" s="5">
        <v>50</v>
      </c>
      <c r="G528" s="5">
        <v>3</v>
      </c>
      <c r="H528" s="5">
        <v>0</v>
      </c>
      <c r="I528" s="5">
        <v>0</v>
      </c>
      <c r="J528" s="5">
        <v>75</v>
      </c>
      <c r="K528" s="5">
        <v>25</v>
      </c>
      <c r="L528" t="s">
        <v>735</v>
      </c>
      <c r="M528" s="13">
        <v>2025</v>
      </c>
    </row>
    <row r="529" spans="1:13" x14ac:dyDescent="0.3">
      <c r="A529" t="s">
        <v>502</v>
      </c>
      <c r="B529" t="s">
        <v>502</v>
      </c>
      <c r="C529" t="s">
        <v>649</v>
      </c>
      <c r="D529">
        <v>20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t="s">
        <v>735</v>
      </c>
      <c r="M529" s="13">
        <v>2025</v>
      </c>
    </row>
    <row r="530" spans="1:13" x14ac:dyDescent="0.3">
      <c r="A530" t="s">
        <v>565</v>
      </c>
      <c r="B530" t="s">
        <v>502</v>
      </c>
      <c r="C530" t="s">
        <v>566</v>
      </c>
      <c r="D530">
        <v>18</v>
      </c>
      <c r="E530" s="5">
        <v>90</v>
      </c>
      <c r="F530" s="5">
        <v>1620</v>
      </c>
      <c r="G530" s="5">
        <v>71.5</v>
      </c>
      <c r="H530" s="5">
        <v>3.08</v>
      </c>
      <c r="I530" s="5">
        <v>0</v>
      </c>
      <c r="J530" s="5">
        <v>1286.92</v>
      </c>
      <c r="K530" s="5">
        <v>-333.08</v>
      </c>
      <c r="L530" t="s">
        <v>735</v>
      </c>
      <c r="M530" s="13">
        <v>2025</v>
      </c>
    </row>
    <row r="531" spans="1:13" x14ac:dyDescent="0.3">
      <c r="A531" t="s">
        <v>553</v>
      </c>
      <c r="B531" t="s">
        <v>502</v>
      </c>
      <c r="C531" t="s">
        <v>554</v>
      </c>
      <c r="D531">
        <v>17</v>
      </c>
      <c r="E531" s="5">
        <v>679</v>
      </c>
      <c r="F531" s="5">
        <v>11543</v>
      </c>
      <c r="G531" s="5">
        <v>1082.75</v>
      </c>
      <c r="H531" s="5">
        <v>103.32</v>
      </c>
      <c r="I531" s="5">
        <v>0</v>
      </c>
      <c r="J531" s="5">
        <v>18406.68</v>
      </c>
      <c r="K531" s="5">
        <v>6863.68</v>
      </c>
      <c r="L531" t="s">
        <v>735</v>
      </c>
      <c r="M531" s="13">
        <v>2025</v>
      </c>
    </row>
    <row r="532" spans="1:13" x14ac:dyDescent="0.3">
      <c r="A532" t="s">
        <v>587</v>
      </c>
      <c r="B532" t="s">
        <v>502</v>
      </c>
      <c r="C532" t="s">
        <v>588</v>
      </c>
      <c r="D532">
        <v>14</v>
      </c>
      <c r="E532" s="5">
        <v>693</v>
      </c>
      <c r="F532" s="5">
        <v>9702</v>
      </c>
      <c r="G532" s="5">
        <v>1234.29</v>
      </c>
      <c r="H532" s="5">
        <v>0</v>
      </c>
      <c r="I532" s="5">
        <v>0</v>
      </c>
      <c r="J532" s="5">
        <v>17280</v>
      </c>
      <c r="K532" s="5">
        <v>7578</v>
      </c>
      <c r="L532" t="s">
        <v>735</v>
      </c>
      <c r="M532" s="13">
        <v>2025</v>
      </c>
    </row>
    <row r="533" spans="1:13" x14ac:dyDescent="0.3">
      <c r="A533" t="s">
        <v>557</v>
      </c>
      <c r="B533" t="s">
        <v>502</v>
      </c>
      <c r="C533" t="s">
        <v>558</v>
      </c>
      <c r="D533">
        <v>14</v>
      </c>
      <c r="E533" s="5">
        <v>289</v>
      </c>
      <c r="F533" s="5">
        <v>4046</v>
      </c>
      <c r="G533" s="5">
        <v>545.94000000000005</v>
      </c>
      <c r="H533" s="5">
        <v>51.87</v>
      </c>
      <c r="I533" s="5">
        <v>0</v>
      </c>
      <c r="J533" s="5">
        <v>7643.13</v>
      </c>
      <c r="K533" s="5">
        <v>3597.13</v>
      </c>
      <c r="L533" t="s">
        <v>735</v>
      </c>
      <c r="M533" s="13">
        <v>2025</v>
      </c>
    </row>
    <row r="534" spans="1:13" x14ac:dyDescent="0.3">
      <c r="A534" t="s">
        <v>559</v>
      </c>
      <c r="B534" t="s">
        <v>502</v>
      </c>
      <c r="C534" t="s">
        <v>560</v>
      </c>
      <c r="D534">
        <v>13</v>
      </c>
      <c r="E534" s="5">
        <v>45.6</v>
      </c>
      <c r="F534" s="5">
        <v>592.79999999999995</v>
      </c>
      <c r="G534" s="5">
        <v>73.08</v>
      </c>
      <c r="H534" s="5">
        <v>0</v>
      </c>
      <c r="I534" s="5">
        <v>0</v>
      </c>
      <c r="J534" s="5">
        <v>950</v>
      </c>
      <c r="K534" s="5">
        <v>357.2</v>
      </c>
      <c r="L534" t="s">
        <v>735</v>
      </c>
      <c r="M534" s="13">
        <v>2025</v>
      </c>
    </row>
    <row r="535" spans="1:13" x14ac:dyDescent="0.3">
      <c r="A535" t="s">
        <v>624</v>
      </c>
      <c r="B535" t="s">
        <v>502</v>
      </c>
      <c r="C535" t="s">
        <v>625</v>
      </c>
      <c r="D535">
        <v>10</v>
      </c>
      <c r="E535" s="5">
        <v>35</v>
      </c>
      <c r="F535" s="5">
        <v>350</v>
      </c>
      <c r="G535" s="5">
        <v>36</v>
      </c>
      <c r="H535" s="5">
        <v>0</v>
      </c>
      <c r="I535" s="5">
        <v>0</v>
      </c>
      <c r="J535" s="5">
        <v>360</v>
      </c>
      <c r="K535" s="5">
        <v>10</v>
      </c>
      <c r="L535" t="s">
        <v>735</v>
      </c>
      <c r="M535" s="13">
        <v>2025</v>
      </c>
    </row>
    <row r="536" spans="1:13" x14ac:dyDescent="0.3">
      <c r="A536" t="s">
        <v>622</v>
      </c>
      <c r="B536" t="s">
        <v>502</v>
      </c>
      <c r="C536" t="s">
        <v>623</v>
      </c>
      <c r="D536">
        <v>9</v>
      </c>
      <c r="E536" s="5">
        <v>705</v>
      </c>
      <c r="F536" s="5">
        <v>6345</v>
      </c>
      <c r="G536" s="5">
        <v>1311.11</v>
      </c>
      <c r="H536" s="5">
        <v>0</v>
      </c>
      <c r="I536" s="5">
        <v>0</v>
      </c>
      <c r="J536" s="5">
        <v>11800</v>
      </c>
      <c r="K536" s="5">
        <v>5455</v>
      </c>
      <c r="L536" t="s">
        <v>735</v>
      </c>
      <c r="M536" s="13">
        <v>2025</v>
      </c>
    </row>
    <row r="537" spans="1:13" x14ac:dyDescent="0.3">
      <c r="A537" t="s">
        <v>662</v>
      </c>
      <c r="B537" t="s">
        <v>502</v>
      </c>
      <c r="C537" t="s">
        <v>663</v>
      </c>
      <c r="D537">
        <v>8</v>
      </c>
      <c r="E537" s="5">
        <v>293.13</v>
      </c>
      <c r="F537" s="5">
        <v>2345.04</v>
      </c>
      <c r="G537" s="5">
        <v>421.25</v>
      </c>
      <c r="H537" s="5">
        <v>0</v>
      </c>
      <c r="I537" s="5">
        <v>0</v>
      </c>
      <c r="J537" s="5">
        <v>3370</v>
      </c>
      <c r="K537" s="5">
        <v>1024.96</v>
      </c>
      <c r="L537" t="s">
        <v>735</v>
      </c>
      <c r="M537" s="13">
        <v>2025</v>
      </c>
    </row>
    <row r="538" spans="1:13" x14ac:dyDescent="0.3">
      <c r="A538" t="s">
        <v>597</v>
      </c>
      <c r="B538" t="s">
        <v>502</v>
      </c>
      <c r="C538" t="s">
        <v>598</v>
      </c>
      <c r="D538">
        <v>7</v>
      </c>
      <c r="E538" s="5">
        <v>0</v>
      </c>
      <c r="F538" s="5">
        <v>0</v>
      </c>
      <c r="G538" s="5">
        <v>154.29</v>
      </c>
      <c r="H538" s="5">
        <v>0</v>
      </c>
      <c r="I538" s="5">
        <v>0</v>
      </c>
      <c r="J538" s="5">
        <v>1080</v>
      </c>
      <c r="K538" s="5">
        <v>1080</v>
      </c>
      <c r="L538" t="s">
        <v>735</v>
      </c>
      <c r="M538" s="13">
        <v>2025</v>
      </c>
    </row>
    <row r="539" spans="1:13" x14ac:dyDescent="0.3">
      <c r="A539" t="s">
        <v>577</v>
      </c>
      <c r="B539" t="s">
        <v>502</v>
      </c>
      <c r="C539" t="s">
        <v>578</v>
      </c>
      <c r="D539">
        <v>7</v>
      </c>
      <c r="E539" s="5">
        <v>30.49</v>
      </c>
      <c r="F539" s="5">
        <v>213.43</v>
      </c>
      <c r="G539" s="5">
        <v>44.99</v>
      </c>
      <c r="H539" s="5">
        <v>0.04</v>
      </c>
      <c r="I539" s="5">
        <v>0</v>
      </c>
      <c r="J539" s="5">
        <v>314.95999999999998</v>
      </c>
      <c r="K539" s="5">
        <v>101.53</v>
      </c>
      <c r="L539" t="s">
        <v>735</v>
      </c>
      <c r="M539" s="13">
        <v>2025</v>
      </c>
    </row>
    <row r="540" spans="1:13" x14ac:dyDescent="0.3">
      <c r="A540" t="s">
        <v>591</v>
      </c>
      <c r="B540" t="s">
        <v>502</v>
      </c>
      <c r="C540" t="s">
        <v>592</v>
      </c>
      <c r="D540">
        <v>6</v>
      </c>
      <c r="E540" s="5">
        <v>33.56</v>
      </c>
      <c r="F540" s="5">
        <v>201.36</v>
      </c>
      <c r="G540" s="5">
        <v>67.48</v>
      </c>
      <c r="H540" s="5">
        <v>0.08</v>
      </c>
      <c r="I540" s="5">
        <v>0</v>
      </c>
      <c r="J540" s="5">
        <v>404.9</v>
      </c>
      <c r="K540" s="5">
        <v>203.54</v>
      </c>
      <c r="L540" t="s">
        <v>735</v>
      </c>
      <c r="M540" s="13">
        <v>2025</v>
      </c>
    </row>
    <row r="541" spans="1:13" x14ac:dyDescent="0.3">
      <c r="A541" t="s">
        <v>674</v>
      </c>
      <c r="B541" t="s">
        <v>502</v>
      </c>
      <c r="C541" t="s">
        <v>675</v>
      </c>
      <c r="D541">
        <v>3</v>
      </c>
      <c r="E541" s="5">
        <v>491</v>
      </c>
      <c r="F541" s="5">
        <v>1473</v>
      </c>
      <c r="G541" s="5">
        <v>740</v>
      </c>
      <c r="H541" s="5">
        <v>0</v>
      </c>
      <c r="I541" s="5">
        <v>0</v>
      </c>
      <c r="J541" s="5">
        <v>2220</v>
      </c>
      <c r="K541" s="5">
        <v>747</v>
      </c>
      <c r="L541" t="s">
        <v>735</v>
      </c>
      <c r="M541" s="13">
        <v>2025</v>
      </c>
    </row>
    <row r="542" spans="1:13" x14ac:dyDescent="0.3">
      <c r="A542" t="s">
        <v>502</v>
      </c>
      <c r="B542" t="s">
        <v>502</v>
      </c>
      <c r="C542" t="s">
        <v>606</v>
      </c>
      <c r="D542">
        <v>3</v>
      </c>
      <c r="E542" s="5">
        <v>0</v>
      </c>
      <c r="F542" s="5">
        <v>0</v>
      </c>
      <c r="G542" s="5">
        <v>30</v>
      </c>
      <c r="H542" s="5">
        <v>0</v>
      </c>
      <c r="I542" s="5">
        <v>0</v>
      </c>
      <c r="J542" s="5">
        <v>90</v>
      </c>
      <c r="K542" s="5">
        <v>90</v>
      </c>
      <c r="L542" t="s">
        <v>735</v>
      </c>
      <c r="M542" s="13">
        <v>2025</v>
      </c>
    </row>
    <row r="543" spans="1:13" x14ac:dyDescent="0.3">
      <c r="A543" t="s">
        <v>605</v>
      </c>
      <c r="B543" t="s">
        <v>502</v>
      </c>
      <c r="C543" t="s">
        <v>606</v>
      </c>
      <c r="D543">
        <v>3</v>
      </c>
      <c r="E543" s="5">
        <v>20</v>
      </c>
      <c r="F543" s="5">
        <v>60</v>
      </c>
      <c r="G543" s="5">
        <v>35</v>
      </c>
      <c r="H543" s="5">
        <v>0</v>
      </c>
      <c r="I543" s="5">
        <v>0</v>
      </c>
      <c r="J543" s="5">
        <v>105</v>
      </c>
      <c r="K543" s="5">
        <v>45</v>
      </c>
      <c r="L543" t="s">
        <v>735</v>
      </c>
      <c r="M543" s="13">
        <v>2025</v>
      </c>
    </row>
    <row r="544" spans="1:13" x14ac:dyDescent="0.3">
      <c r="A544" t="s">
        <v>567</v>
      </c>
      <c r="B544" t="s">
        <v>502</v>
      </c>
      <c r="C544" t="s">
        <v>609</v>
      </c>
      <c r="D544">
        <v>2</v>
      </c>
      <c r="E544" s="5">
        <v>0</v>
      </c>
      <c r="F544" s="5">
        <v>0</v>
      </c>
      <c r="G544" s="5">
        <v>150</v>
      </c>
      <c r="H544" s="5">
        <v>0</v>
      </c>
      <c r="I544" s="5">
        <v>0</v>
      </c>
      <c r="J544" s="5">
        <v>300</v>
      </c>
      <c r="K544" s="5">
        <v>300</v>
      </c>
      <c r="L544" t="s">
        <v>735</v>
      </c>
      <c r="M544" s="13">
        <v>2025</v>
      </c>
    </row>
    <row r="545" spans="1:13" x14ac:dyDescent="0.3">
      <c r="A545" t="s">
        <v>736</v>
      </c>
      <c r="B545" t="s">
        <v>502</v>
      </c>
      <c r="C545" t="s">
        <v>737</v>
      </c>
      <c r="D545">
        <v>2</v>
      </c>
      <c r="E545" s="5">
        <v>50</v>
      </c>
      <c r="F545" s="5">
        <v>100</v>
      </c>
      <c r="G545" s="5">
        <v>0</v>
      </c>
      <c r="H545" s="5">
        <v>0</v>
      </c>
      <c r="I545" s="5">
        <v>0</v>
      </c>
      <c r="J545" s="5">
        <v>0</v>
      </c>
      <c r="K545" s="5">
        <v>-100</v>
      </c>
      <c r="L545" t="s">
        <v>735</v>
      </c>
      <c r="M545" s="13">
        <v>2025</v>
      </c>
    </row>
    <row r="546" spans="1:13" x14ac:dyDescent="0.3">
      <c r="A546" t="s">
        <v>502</v>
      </c>
      <c r="B546" t="s">
        <v>502</v>
      </c>
      <c r="C546" t="s">
        <v>738</v>
      </c>
      <c r="D546">
        <v>1</v>
      </c>
      <c r="E546" s="5">
        <v>0</v>
      </c>
      <c r="F546" s="5">
        <v>0</v>
      </c>
      <c r="G546" s="5">
        <v>35</v>
      </c>
      <c r="H546" s="5">
        <v>0</v>
      </c>
      <c r="I546" s="5">
        <v>0</v>
      </c>
      <c r="J546" s="5">
        <v>35</v>
      </c>
      <c r="K546" s="5">
        <v>35</v>
      </c>
      <c r="L546" t="s">
        <v>735</v>
      </c>
      <c r="M546" s="13">
        <v>2025</v>
      </c>
    </row>
    <row r="547" spans="1:13" x14ac:dyDescent="0.3">
      <c r="A547" t="s">
        <v>614</v>
      </c>
      <c r="B547" t="s">
        <v>502</v>
      </c>
      <c r="C547" t="s">
        <v>615</v>
      </c>
      <c r="D547">
        <v>1</v>
      </c>
      <c r="E547" s="5">
        <v>33.56</v>
      </c>
      <c r="F547" s="5">
        <v>33.56</v>
      </c>
      <c r="G547" s="5">
        <v>180</v>
      </c>
      <c r="H547" s="5">
        <v>0</v>
      </c>
      <c r="I547" s="5">
        <v>0</v>
      </c>
      <c r="J547" s="5">
        <v>180</v>
      </c>
      <c r="K547" s="5">
        <v>146.44</v>
      </c>
      <c r="L547" t="s">
        <v>735</v>
      </c>
      <c r="M547" s="13">
        <v>2025</v>
      </c>
    </row>
    <row r="548" spans="1:13" x14ac:dyDescent="0.3">
      <c r="A548" t="s">
        <v>602</v>
      </c>
      <c r="B548" t="s">
        <v>502</v>
      </c>
      <c r="C548" t="s">
        <v>603</v>
      </c>
      <c r="D548">
        <v>1</v>
      </c>
      <c r="E548" s="5">
        <v>54.43</v>
      </c>
      <c r="F548" s="5">
        <v>54.43</v>
      </c>
      <c r="G548" s="5">
        <v>70</v>
      </c>
      <c r="H548" s="5">
        <v>0</v>
      </c>
      <c r="I548" s="5">
        <v>0</v>
      </c>
      <c r="J548" s="5">
        <v>70</v>
      </c>
      <c r="K548" s="5">
        <v>15.57</v>
      </c>
      <c r="L548" t="s">
        <v>735</v>
      </c>
      <c r="M548" s="13">
        <v>2025</v>
      </c>
    </row>
    <row r="549" spans="1:13" x14ac:dyDescent="0.3">
      <c r="A549" t="s">
        <v>502</v>
      </c>
      <c r="B549" t="s">
        <v>502</v>
      </c>
      <c r="C549" t="s">
        <v>700</v>
      </c>
      <c r="D549">
        <v>1</v>
      </c>
      <c r="E549" s="5">
        <v>0</v>
      </c>
      <c r="F549" s="5">
        <v>0</v>
      </c>
      <c r="G549" s="5">
        <v>278.88</v>
      </c>
      <c r="H549" s="5">
        <v>1.1200000000000001</v>
      </c>
      <c r="I549" s="5">
        <v>0</v>
      </c>
      <c r="J549" s="5">
        <v>278.88</v>
      </c>
      <c r="K549" s="5">
        <v>278.88</v>
      </c>
      <c r="L549" t="s">
        <v>735</v>
      </c>
      <c r="M549" s="13">
        <v>2025</v>
      </c>
    </row>
    <row r="550" spans="1:13" x14ac:dyDescent="0.3">
      <c r="A550" t="s">
        <v>505</v>
      </c>
      <c r="B550" t="s">
        <v>502</v>
      </c>
      <c r="C550" t="s">
        <v>506</v>
      </c>
      <c r="D550">
        <v>2150</v>
      </c>
      <c r="E550" s="5">
        <v>2.5</v>
      </c>
      <c r="F550" s="5">
        <v>5375</v>
      </c>
      <c r="G550" s="5">
        <v>3</v>
      </c>
      <c r="H550" s="5">
        <v>0</v>
      </c>
      <c r="I550" s="5">
        <v>30.2</v>
      </c>
      <c r="J550" s="5">
        <v>6440.2</v>
      </c>
      <c r="K550" s="5">
        <v>1065.2</v>
      </c>
      <c r="L550" t="s">
        <v>739</v>
      </c>
      <c r="M550" s="13">
        <v>2025</v>
      </c>
    </row>
    <row r="551" spans="1:13" x14ac:dyDescent="0.3">
      <c r="A551" t="s">
        <v>509</v>
      </c>
      <c r="B551" t="s">
        <v>502</v>
      </c>
      <c r="C551" t="s">
        <v>510</v>
      </c>
      <c r="D551">
        <v>425</v>
      </c>
      <c r="E551" s="5">
        <v>0.65</v>
      </c>
      <c r="F551" s="5">
        <v>276.25</v>
      </c>
      <c r="G551" s="5">
        <v>1.01</v>
      </c>
      <c r="H551" s="5">
        <v>0</v>
      </c>
      <c r="I551" s="5">
        <v>5.41</v>
      </c>
      <c r="J551" s="5">
        <v>430.41</v>
      </c>
      <c r="K551" s="5">
        <v>154.16</v>
      </c>
      <c r="L551" t="s">
        <v>739</v>
      </c>
      <c r="M551" s="13">
        <v>2025</v>
      </c>
    </row>
    <row r="552" spans="1:13" x14ac:dyDescent="0.3">
      <c r="A552" t="s">
        <v>507</v>
      </c>
      <c r="B552" t="s">
        <v>502</v>
      </c>
      <c r="C552" t="s">
        <v>508</v>
      </c>
      <c r="D552">
        <v>350</v>
      </c>
      <c r="E552" s="5">
        <v>0.65</v>
      </c>
      <c r="F552" s="5">
        <v>227.5</v>
      </c>
      <c r="G552" s="5">
        <v>1.02</v>
      </c>
      <c r="H552" s="5">
        <v>0</v>
      </c>
      <c r="I552" s="5">
        <v>7.14</v>
      </c>
      <c r="J552" s="5">
        <v>357.14</v>
      </c>
      <c r="K552" s="5">
        <v>129.63999999999999</v>
      </c>
      <c r="L552" t="s">
        <v>739</v>
      </c>
      <c r="M552" s="13">
        <v>2025</v>
      </c>
    </row>
    <row r="553" spans="1:13" x14ac:dyDescent="0.3">
      <c r="A553" t="s">
        <v>515</v>
      </c>
      <c r="B553" t="s">
        <v>502</v>
      </c>
      <c r="C553" t="s">
        <v>516</v>
      </c>
      <c r="D553">
        <v>279</v>
      </c>
      <c r="E553" s="5">
        <v>7.23</v>
      </c>
      <c r="F553" s="5">
        <v>2017.29</v>
      </c>
      <c r="G553" s="5">
        <v>21.93</v>
      </c>
      <c r="H553" s="5">
        <v>4.75</v>
      </c>
      <c r="I553" s="5">
        <v>0</v>
      </c>
      <c r="J553" s="5">
        <v>6117.25</v>
      </c>
      <c r="K553" s="5">
        <v>4099.96</v>
      </c>
      <c r="L553" t="s">
        <v>739</v>
      </c>
      <c r="M553" s="13">
        <v>2025</v>
      </c>
    </row>
    <row r="554" spans="1:13" x14ac:dyDescent="0.3">
      <c r="A554" t="s">
        <v>547</v>
      </c>
      <c r="B554" t="s">
        <v>502</v>
      </c>
      <c r="C554" t="s">
        <v>655</v>
      </c>
      <c r="D554">
        <v>207</v>
      </c>
      <c r="E554" s="5">
        <v>3.05</v>
      </c>
      <c r="F554" s="5">
        <v>631.35</v>
      </c>
      <c r="G554" s="5">
        <v>3.95</v>
      </c>
      <c r="H554" s="5">
        <v>0.04</v>
      </c>
      <c r="I554" s="5">
        <v>0</v>
      </c>
      <c r="J554" s="5">
        <v>817.96</v>
      </c>
      <c r="K554" s="5">
        <v>186.61</v>
      </c>
      <c r="L554" t="s">
        <v>739</v>
      </c>
      <c r="M554" s="13">
        <v>2025</v>
      </c>
    </row>
    <row r="555" spans="1:13" x14ac:dyDescent="0.3">
      <c r="A555" t="s">
        <v>513</v>
      </c>
      <c r="B555" t="s">
        <v>502</v>
      </c>
      <c r="C555" t="s">
        <v>514</v>
      </c>
      <c r="D555">
        <v>177</v>
      </c>
      <c r="E555" s="5">
        <v>439.31</v>
      </c>
      <c r="F555" s="5">
        <v>77757.509999999995</v>
      </c>
      <c r="G555" s="5">
        <v>632.63</v>
      </c>
      <c r="H555" s="5">
        <v>315.77</v>
      </c>
      <c r="I555" s="5">
        <v>215.98</v>
      </c>
      <c r="J555" s="5">
        <v>111975.2</v>
      </c>
      <c r="K555" s="5">
        <v>34217.69</v>
      </c>
      <c r="L555" t="s">
        <v>739</v>
      </c>
      <c r="M555" s="13">
        <v>2025</v>
      </c>
    </row>
    <row r="556" spans="1:13" x14ac:dyDescent="0.3">
      <c r="A556" t="s">
        <v>511</v>
      </c>
      <c r="B556" t="s">
        <v>502</v>
      </c>
      <c r="C556" t="s">
        <v>512</v>
      </c>
      <c r="D556">
        <v>140</v>
      </c>
      <c r="E556" s="5">
        <v>380.51</v>
      </c>
      <c r="F556" s="5">
        <v>53270.8</v>
      </c>
      <c r="G556" s="5">
        <v>577.34</v>
      </c>
      <c r="H556" s="5">
        <v>131.37</v>
      </c>
      <c r="I556" s="5">
        <v>0</v>
      </c>
      <c r="J556" s="5">
        <v>80827.53</v>
      </c>
      <c r="K556" s="5">
        <v>27556.73</v>
      </c>
      <c r="L556" t="s">
        <v>739</v>
      </c>
      <c r="M556" s="13">
        <v>2025</v>
      </c>
    </row>
    <row r="557" spans="1:13" x14ac:dyDescent="0.3">
      <c r="A557" t="s">
        <v>537</v>
      </c>
      <c r="B557" t="s">
        <v>502</v>
      </c>
      <c r="C557" t="s">
        <v>538</v>
      </c>
      <c r="D557">
        <v>134</v>
      </c>
      <c r="E557" s="5">
        <v>25</v>
      </c>
      <c r="F557" s="5">
        <v>3350</v>
      </c>
      <c r="G557" s="5">
        <v>29.26</v>
      </c>
      <c r="H557" s="5">
        <v>0</v>
      </c>
      <c r="I557" s="5">
        <v>11.26</v>
      </c>
      <c r="J557" s="5">
        <v>3921.26</v>
      </c>
      <c r="K557" s="5">
        <v>571.26</v>
      </c>
      <c r="L557" t="s">
        <v>739</v>
      </c>
      <c r="M557" s="13">
        <v>2025</v>
      </c>
    </row>
    <row r="558" spans="1:13" x14ac:dyDescent="0.3">
      <c r="A558" t="s">
        <v>529</v>
      </c>
      <c r="B558" t="s">
        <v>502</v>
      </c>
      <c r="C558" t="s">
        <v>530</v>
      </c>
      <c r="D558">
        <v>91</v>
      </c>
      <c r="E558" s="5">
        <v>548.24</v>
      </c>
      <c r="F558" s="5">
        <v>49889.56</v>
      </c>
      <c r="G558" s="5">
        <v>785.74</v>
      </c>
      <c r="H558" s="5">
        <v>28.82</v>
      </c>
      <c r="I558" s="5">
        <v>275.18</v>
      </c>
      <c r="J558" s="5">
        <v>71502.350000000006</v>
      </c>
      <c r="K558" s="5">
        <v>21612.79</v>
      </c>
      <c r="L558" t="s">
        <v>739</v>
      </c>
      <c r="M558" s="13">
        <v>2025</v>
      </c>
    </row>
    <row r="559" spans="1:13" x14ac:dyDescent="0.3">
      <c r="A559" t="s">
        <v>685</v>
      </c>
      <c r="B559" t="s">
        <v>502</v>
      </c>
      <c r="C559" t="s">
        <v>686</v>
      </c>
      <c r="D559">
        <v>90</v>
      </c>
      <c r="E559" s="5">
        <v>2</v>
      </c>
      <c r="F559" s="5">
        <v>180</v>
      </c>
      <c r="G559" s="5">
        <v>3</v>
      </c>
      <c r="H559" s="5">
        <v>0</v>
      </c>
      <c r="I559" s="5">
        <v>0</v>
      </c>
      <c r="J559" s="5">
        <v>270</v>
      </c>
      <c r="K559" s="5">
        <v>90</v>
      </c>
      <c r="L559" t="s">
        <v>739</v>
      </c>
      <c r="M559" s="13">
        <v>2025</v>
      </c>
    </row>
    <row r="560" spans="1:13" x14ac:dyDescent="0.3">
      <c r="A560" t="s">
        <v>549</v>
      </c>
      <c r="B560" t="s">
        <v>502</v>
      </c>
      <c r="C560" t="s">
        <v>619</v>
      </c>
      <c r="D560">
        <v>49</v>
      </c>
      <c r="E560" s="5">
        <v>42</v>
      </c>
      <c r="F560" s="5">
        <v>2058</v>
      </c>
      <c r="G560" s="5">
        <v>59.54</v>
      </c>
      <c r="H560" s="5">
        <v>32.520000000000003</v>
      </c>
      <c r="I560" s="5">
        <v>230</v>
      </c>
      <c r="J560" s="5">
        <v>2917.48</v>
      </c>
      <c r="K560" s="5">
        <v>859.48</v>
      </c>
      <c r="L560" t="s">
        <v>739</v>
      </c>
      <c r="M560" s="13">
        <v>2025</v>
      </c>
    </row>
    <row r="561" spans="1:13" x14ac:dyDescent="0.3">
      <c r="A561" t="s">
        <v>535</v>
      </c>
      <c r="B561" t="s">
        <v>502</v>
      </c>
      <c r="C561" t="s">
        <v>536</v>
      </c>
      <c r="D561">
        <v>49</v>
      </c>
      <c r="E561" s="5">
        <v>486.89</v>
      </c>
      <c r="F561" s="5">
        <v>23857.7</v>
      </c>
      <c r="G561" s="5">
        <v>780.38</v>
      </c>
      <c r="H561" s="5">
        <v>1.44</v>
      </c>
      <c r="I561" s="5">
        <v>0</v>
      </c>
      <c r="J561" s="5">
        <v>38238.559999999998</v>
      </c>
      <c r="K561" s="5">
        <v>14380.86</v>
      </c>
      <c r="L561" t="s">
        <v>739</v>
      </c>
      <c r="M561" s="13">
        <v>2025</v>
      </c>
    </row>
    <row r="562" spans="1:13" x14ac:dyDescent="0.3">
      <c r="A562" t="s">
        <v>521</v>
      </c>
      <c r="B562" t="s">
        <v>502</v>
      </c>
      <c r="C562" t="s">
        <v>522</v>
      </c>
      <c r="D562">
        <v>49</v>
      </c>
      <c r="E562" s="5">
        <v>468.59</v>
      </c>
      <c r="F562" s="5">
        <v>22961.119999999999</v>
      </c>
      <c r="G562" s="5">
        <v>723.87</v>
      </c>
      <c r="H562" s="5">
        <v>65.400000000000006</v>
      </c>
      <c r="I562" s="5">
        <v>75.12</v>
      </c>
      <c r="J562" s="5">
        <v>35469.730000000003</v>
      </c>
      <c r="K562" s="5">
        <v>12508.61</v>
      </c>
      <c r="L562" t="s">
        <v>739</v>
      </c>
      <c r="M562" s="13">
        <v>2025</v>
      </c>
    </row>
    <row r="563" spans="1:13" x14ac:dyDescent="0.3">
      <c r="A563" t="s">
        <v>539</v>
      </c>
      <c r="B563" t="s">
        <v>502</v>
      </c>
      <c r="C563" t="s">
        <v>540</v>
      </c>
      <c r="D563">
        <v>49</v>
      </c>
      <c r="E563" s="5">
        <v>672.99</v>
      </c>
      <c r="F563" s="5">
        <v>32976.370000000003</v>
      </c>
      <c r="G563" s="5">
        <v>956.09</v>
      </c>
      <c r="H563" s="5">
        <v>0.61</v>
      </c>
      <c r="I563" s="5">
        <v>48.89</v>
      </c>
      <c r="J563" s="5">
        <v>46848.28</v>
      </c>
      <c r="K563" s="5">
        <v>13871.91</v>
      </c>
      <c r="L563" t="s">
        <v>739</v>
      </c>
      <c r="M563" s="13">
        <v>2025</v>
      </c>
    </row>
    <row r="564" spans="1:13" x14ac:dyDescent="0.3">
      <c r="A564" t="s">
        <v>541</v>
      </c>
      <c r="B564" t="s">
        <v>502</v>
      </c>
      <c r="C564" t="s">
        <v>542</v>
      </c>
      <c r="D564">
        <v>42</v>
      </c>
      <c r="E564" s="5">
        <v>654.82000000000005</v>
      </c>
      <c r="F564" s="5">
        <v>27502.6</v>
      </c>
      <c r="G564" s="5">
        <v>880.95</v>
      </c>
      <c r="H564" s="5">
        <v>0</v>
      </c>
      <c r="I564" s="5">
        <v>0</v>
      </c>
      <c r="J564" s="5">
        <v>37000</v>
      </c>
      <c r="K564" s="5">
        <v>9497.4</v>
      </c>
      <c r="L564" t="s">
        <v>739</v>
      </c>
      <c r="M564" s="13">
        <v>2025</v>
      </c>
    </row>
    <row r="565" spans="1:13" x14ac:dyDescent="0.3">
      <c r="A565" t="s">
        <v>531</v>
      </c>
      <c r="B565" t="s">
        <v>502</v>
      </c>
      <c r="C565" t="s">
        <v>532</v>
      </c>
      <c r="D565">
        <v>40</v>
      </c>
      <c r="E565" s="5">
        <v>12.19</v>
      </c>
      <c r="F565" s="5">
        <v>487.6</v>
      </c>
      <c r="G565" s="5">
        <v>15.57</v>
      </c>
      <c r="H565" s="5">
        <v>0.26</v>
      </c>
      <c r="I565" s="5">
        <v>0</v>
      </c>
      <c r="J565" s="5">
        <v>622.76</v>
      </c>
      <c r="K565" s="5">
        <v>135.16</v>
      </c>
      <c r="L565" t="s">
        <v>739</v>
      </c>
      <c r="M565" s="13">
        <v>2025</v>
      </c>
    </row>
    <row r="566" spans="1:13" x14ac:dyDescent="0.3">
      <c r="A566" t="s">
        <v>591</v>
      </c>
      <c r="B566" t="s">
        <v>502</v>
      </c>
      <c r="C566" t="s">
        <v>592</v>
      </c>
      <c r="D566">
        <v>40</v>
      </c>
      <c r="E566" s="5">
        <v>33.56</v>
      </c>
      <c r="F566" s="5">
        <v>1342.4</v>
      </c>
      <c r="G566" s="5">
        <v>66.25</v>
      </c>
      <c r="H566" s="5">
        <v>0</v>
      </c>
      <c r="I566" s="5">
        <v>100</v>
      </c>
      <c r="J566" s="5">
        <v>2650</v>
      </c>
      <c r="K566" s="5">
        <v>1307.5999999999999</v>
      </c>
      <c r="L566" t="s">
        <v>739</v>
      </c>
      <c r="M566" s="13">
        <v>2025</v>
      </c>
    </row>
    <row r="567" spans="1:13" x14ac:dyDescent="0.3">
      <c r="A567" t="s">
        <v>551</v>
      </c>
      <c r="B567" t="s">
        <v>502</v>
      </c>
      <c r="C567" t="s">
        <v>552</v>
      </c>
      <c r="D567">
        <v>34</v>
      </c>
      <c r="E567" s="5">
        <v>46.68</v>
      </c>
      <c r="F567" s="5">
        <v>1587.02</v>
      </c>
      <c r="G567" s="5">
        <v>83.53</v>
      </c>
      <c r="H567" s="5">
        <v>0</v>
      </c>
      <c r="I567" s="5">
        <v>0</v>
      </c>
      <c r="J567" s="5">
        <v>2840</v>
      </c>
      <c r="K567" s="5">
        <v>1252.98</v>
      </c>
      <c r="L567" t="s">
        <v>739</v>
      </c>
      <c r="M567" s="13">
        <v>2025</v>
      </c>
    </row>
    <row r="568" spans="1:13" x14ac:dyDescent="0.3">
      <c r="A568" t="s">
        <v>527</v>
      </c>
      <c r="B568" t="s">
        <v>502</v>
      </c>
      <c r="C568" t="s">
        <v>528</v>
      </c>
      <c r="D568">
        <v>29</v>
      </c>
      <c r="E568" s="5">
        <v>55.44</v>
      </c>
      <c r="F568" s="5">
        <v>1607.8</v>
      </c>
      <c r="G568" s="5">
        <v>115</v>
      </c>
      <c r="H568" s="5">
        <v>255</v>
      </c>
      <c r="I568" s="5">
        <v>40</v>
      </c>
      <c r="J568" s="5">
        <v>3335</v>
      </c>
      <c r="K568" s="5">
        <v>1727.2</v>
      </c>
      <c r="L568" t="s">
        <v>739</v>
      </c>
      <c r="M568" s="13">
        <v>2025</v>
      </c>
    </row>
    <row r="569" spans="1:13" x14ac:dyDescent="0.3">
      <c r="A569" t="s">
        <v>565</v>
      </c>
      <c r="B569" t="s">
        <v>502</v>
      </c>
      <c r="C569" t="s">
        <v>566</v>
      </c>
      <c r="D569">
        <v>20</v>
      </c>
      <c r="E569" s="5">
        <v>90</v>
      </c>
      <c r="F569" s="5">
        <v>1800</v>
      </c>
      <c r="G569" s="5">
        <v>150</v>
      </c>
      <c r="H569" s="5">
        <v>0</v>
      </c>
      <c r="I569" s="5">
        <v>0</v>
      </c>
      <c r="J569" s="5">
        <v>3000</v>
      </c>
      <c r="K569" s="5">
        <v>1200</v>
      </c>
      <c r="L569" t="s">
        <v>739</v>
      </c>
      <c r="M569" s="13">
        <v>2025</v>
      </c>
    </row>
    <row r="570" spans="1:13" x14ac:dyDescent="0.3">
      <c r="A570" t="s">
        <v>553</v>
      </c>
      <c r="B570" t="s">
        <v>502</v>
      </c>
      <c r="C570" t="s">
        <v>554</v>
      </c>
      <c r="D570">
        <v>15</v>
      </c>
      <c r="E570" s="5">
        <v>688.79</v>
      </c>
      <c r="F570" s="5">
        <v>10331.82</v>
      </c>
      <c r="G570" s="5">
        <v>1106.1600000000001</v>
      </c>
      <c r="H570" s="5">
        <v>7.65</v>
      </c>
      <c r="I570" s="5">
        <v>0</v>
      </c>
      <c r="J570" s="5">
        <v>16592.349999999999</v>
      </c>
      <c r="K570" s="5">
        <v>6260.53</v>
      </c>
      <c r="L570" t="s">
        <v>739</v>
      </c>
      <c r="M570" s="13">
        <v>2025</v>
      </c>
    </row>
    <row r="571" spans="1:13" x14ac:dyDescent="0.3">
      <c r="A571" t="s">
        <v>502</v>
      </c>
      <c r="B571" t="s">
        <v>502</v>
      </c>
      <c r="C571" t="s">
        <v>740</v>
      </c>
      <c r="D571">
        <v>14</v>
      </c>
      <c r="E571" s="5">
        <v>0</v>
      </c>
      <c r="F571" s="5">
        <v>0</v>
      </c>
      <c r="G571" s="5">
        <v>5</v>
      </c>
      <c r="H571" s="5">
        <v>0</v>
      </c>
      <c r="I571" s="5">
        <v>0</v>
      </c>
      <c r="J571" s="5">
        <v>70</v>
      </c>
      <c r="K571" s="5">
        <v>70</v>
      </c>
      <c r="L571" t="s">
        <v>739</v>
      </c>
      <c r="M571" s="13">
        <v>2025</v>
      </c>
    </row>
    <row r="572" spans="1:13" x14ac:dyDescent="0.3">
      <c r="A572" t="s">
        <v>587</v>
      </c>
      <c r="B572" t="s">
        <v>502</v>
      </c>
      <c r="C572" t="s">
        <v>588</v>
      </c>
      <c r="D572">
        <v>13</v>
      </c>
      <c r="E572" s="5">
        <v>704.53</v>
      </c>
      <c r="F572" s="5">
        <v>9158.85</v>
      </c>
      <c r="G572" s="5">
        <v>1203.8499999999999</v>
      </c>
      <c r="H572" s="5">
        <v>0</v>
      </c>
      <c r="I572" s="5">
        <v>0</v>
      </c>
      <c r="J572" s="5">
        <v>15650</v>
      </c>
      <c r="K572" s="5">
        <v>6491.15</v>
      </c>
      <c r="L572" t="s">
        <v>739</v>
      </c>
      <c r="M572" s="13">
        <v>2025</v>
      </c>
    </row>
    <row r="573" spans="1:13" x14ac:dyDescent="0.3">
      <c r="A573" t="s">
        <v>557</v>
      </c>
      <c r="B573" t="s">
        <v>502</v>
      </c>
      <c r="C573" t="s">
        <v>558</v>
      </c>
      <c r="D573">
        <v>12</v>
      </c>
      <c r="E573" s="5">
        <v>291.8</v>
      </c>
      <c r="F573" s="5">
        <v>3501.54</v>
      </c>
      <c r="G573" s="5">
        <v>498.27</v>
      </c>
      <c r="H573" s="5">
        <v>22.6</v>
      </c>
      <c r="I573" s="5">
        <v>111.87</v>
      </c>
      <c r="J573" s="5">
        <v>5979.27</v>
      </c>
      <c r="K573" s="5">
        <v>2477.73</v>
      </c>
      <c r="L573" t="s">
        <v>739</v>
      </c>
      <c r="M573" s="13">
        <v>2025</v>
      </c>
    </row>
    <row r="574" spans="1:13" x14ac:dyDescent="0.3">
      <c r="A574" t="s">
        <v>674</v>
      </c>
      <c r="B574" t="s">
        <v>502</v>
      </c>
      <c r="C574" t="s">
        <v>675</v>
      </c>
      <c r="D574">
        <v>12</v>
      </c>
      <c r="E574" s="5">
        <v>510.31</v>
      </c>
      <c r="F574" s="5">
        <v>6123.72</v>
      </c>
      <c r="G574" s="5">
        <v>750</v>
      </c>
      <c r="H574" s="5">
        <v>100</v>
      </c>
      <c r="I574" s="5">
        <v>0</v>
      </c>
      <c r="J574" s="5">
        <v>9000</v>
      </c>
      <c r="K574" s="5">
        <v>2876.28</v>
      </c>
      <c r="L574" t="s">
        <v>739</v>
      </c>
      <c r="M574" s="13">
        <v>2025</v>
      </c>
    </row>
    <row r="575" spans="1:13" x14ac:dyDescent="0.3">
      <c r="A575" t="s">
        <v>559</v>
      </c>
      <c r="B575" t="s">
        <v>502</v>
      </c>
      <c r="C575" t="s">
        <v>560</v>
      </c>
      <c r="D575">
        <v>12</v>
      </c>
      <c r="E575" s="5">
        <v>45.6</v>
      </c>
      <c r="F575" s="5">
        <v>547.20000000000005</v>
      </c>
      <c r="G575" s="5">
        <v>67.900000000000006</v>
      </c>
      <c r="H575" s="5">
        <v>1.27</v>
      </c>
      <c r="I575" s="5">
        <v>6.11</v>
      </c>
      <c r="J575" s="5">
        <v>814.84</v>
      </c>
      <c r="K575" s="5">
        <v>267.64</v>
      </c>
      <c r="L575" t="s">
        <v>739</v>
      </c>
      <c r="M575" s="13">
        <v>2025</v>
      </c>
    </row>
    <row r="576" spans="1:13" x14ac:dyDescent="0.3">
      <c r="A576" t="s">
        <v>662</v>
      </c>
      <c r="B576" t="s">
        <v>502</v>
      </c>
      <c r="C576" t="s">
        <v>663</v>
      </c>
      <c r="D576">
        <v>11</v>
      </c>
      <c r="E576" s="5">
        <v>293.13</v>
      </c>
      <c r="F576" s="5">
        <v>3224.43</v>
      </c>
      <c r="G576" s="5">
        <v>416.36</v>
      </c>
      <c r="H576" s="5">
        <v>50</v>
      </c>
      <c r="I576" s="5">
        <v>0</v>
      </c>
      <c r="J576" s="5">
        <v>4580</v>
      </c>
      <c r="K576" s="5">
        <v>1355.57</v>
      </c>
      <c r="L576" t="s">
        <v>739</v>
      </c>
      <c r="M576" s="13">
        <v>2025</v>
      </c>
    </row>
    <row r="577" spans="1:13" x14ac:dyDescent="0.3">
      <c r="A577" t="s">
        <v>545</v>
      </c>
      <c r="B577" t="s">
        <v>502</v>
      </c>
      <c r="C577" t="s">
        <v>546</v>
      </c>
      <c r="D577">
        <v>11</v>
      </c>
      <c r="E577" s="5">
        <v>13.69</v>
      </c>
      <c r="F577" s="5">
        <v>150.59</v>
      </c>
      <c r="G577" s="5">
        <v>99.09</v>
      </c>
      <c r="H577" s="5">
        <v>0</v>
      </c>
      <c r="I577" s="5">
        <v>0</v>
      </c>
      <c r="J577" s="5">
        <v>1090</v>
      </c>
      <c r="K577" s="5">
        <v>939.41</v>
      </c>
      <c r="L577" t="s">
        <v>739</v>
      </c>
      <c r="M577" s="13">
        <v>2025</v>
      </c>
    </row>
    <row r="578" spans="1:13" x14ac:dyDescent="0.3">
      <c r="A578" t="s">
        <v>517</v>
      </c>
      <c r="B578" t="s">
        <v>502</v>
      </c>
      <c r="C578" t="s">
        <v>518</v>
      </c>
      <c r="D578">
        <v>10</v>
      </c>
      <c r="E578" s="5">
        <v>3.26</v>
      </c>
      <c r="F578" s="5">
        <v>32.6</v>
      </c>
      <c r="G578" s="5">
        <v>5</v>
      </c>
      <c r="H578" s="5">
        <v>0</v>
      </c>
      <c r="I578" s="5">
        <v>0</v>
      </c>
      <c r="J578" s="5">
        <v>50</v>
      </c>
      <c r="K578" s="5">
        <v>17.399999999999999</v>
      </c>
      <c r="L578" t="s">
        <v>739</v>
      </c>
      <c r="M578" s="13">
        <v>2025</v>
      </c>
    </row>
    <row r="579" spans="1:13" x14ac:dyDescent="0.3">
      <c r="A579" t="s">
        <v>555</v>
      </c>
      <c r="B579" t="s">
        <v>502</v>
      </c>
      <c r="C579" t="s">
        <v>556</v>
      </c>
      <c r="D579">
        <v>9</v>
      </c>
      <c r="E579" s="5">
        <v>945.57</v>
      </c>
      <c r="F579" s="5">
        <v>8510.1299999999992</v>
      </c>
      <c r="G579" s="5">
        <v>1355.72</v>
      </c>
      <c r="H579" s="5">
        <v>191.02</v>
      </c>
      <c r="I579" s="5">
        <v>172.51</v>
      </c>
      <c r="J579" s="5">
        <v>12201.5</v>
      </c>
      <c r="K579" s="5">
        <v>3691.37</v>
      </c>
      <c r="L579" t="s">
        <v>739</v>
      </c>
      <c r="M579" s="13">
        <v>2025</v>
      </c>
    </row>
    <row r="580" spans="1:13" x14ac:dyDescent="0.3">
      <c r="A580" t="s">
        <v>571</v>
      </c>
      <c r="B580" t="s">
        <v>502</v>
      </c>
      <c r="C580" t="s">
        <v>572</v>
      </c>
      <c r="D580">
        <v>9</v>
      </c>
      <c r="E580" s="5">
        <v>481.53</v>
      </c>
      <c r="F580" s="5">
        <v>4333.8</v>
      </c>
      <c r="G580" s="5">
        <v>743.78</v>
      </c>
      <c r="H580" s="5">
        <v>30.95</v>
      </c>
      <c r="I580" s="5">
        <v>45</v>
      </c>
      <c r="J580" s="5">
        <v>6694.05</v>
      </c>
      <c r="K580" s="5">
        <v>2360.25</v>
      </c>
      <c r="L580" t="s">
        <v>739</v>
      </c>
      <c r="M580" s="13">
        <v>2025</v>
      </c>
    </row>
    <row r="581" spans="1:13" x14ac:dyDescent="0.3">
      <c r="A581" t="s">
        <v>614</v>
      </c>
      <c r="B581" t="s">
        <v>502</v>
      </c>
      <c r="C581" t="s">
        <v>615</v>
      </c>
      <c r="D581">
        <v>7</v>
      </c>
      <c r="E581" s="5">
        <v>33.56</v>
      </c>
      <c r="F581" s="5">
        <v>234.92</v>
      </c>
      <c r="G581" s="5">
        <v>71.430000000000007</v>
      </c>
      <c r="H581" s="5">
        <v>18</v>
      </c>
      <c r="I581" s="5">
        <v>0</v>
      </c>
      <c r="J581" s="5">
        <v>500</v>
      </c>
      <c r="K581" s="5">
        <v>265.08</v>
      </c>
      <c r="L581" t="s">
        <v>739</v>
      </c>
      <c r="M581" s="13">
        <v>2025</v>
      </c>
    </row>
    <row r="582" spans="1:13" x14ac:dyDescent="0.3">
      <c r="A582" t="s">
        <v>622</v>
      </c>
      <c r="B582" t="s">
        <v>502</v>
      </c>
      <c r="C582" t="s">
        <v>623</v>
      </c>
      <c r="D582">
        <v>7</v>
      </c>
      <c r="E582" s="5">
        <v>727.7</v>
      </c>
      <c r="F582" s="5">
        <v>5093.88</v>
      </c>
      <c r="G582" s="5">
        <v>1305.71</v>
      </c>
      <c r="H582" s="5">
        <v>350</v>
      </c>
      <c r="I582" s="5">
        <v>40</v>
      </c>
      <c r="J582" s="5">
        <v>9140</v>
      </c>
      <c r="K582" s="5">
        <v>4046.12</v>
      </c>
      <c r="L582" t="s">
        <v>739</v>
      </c>
      <c r="M582" s="13">
        <v>2025</v>
      </c>
    </row>
    <row r="583" spans="1:13" x14ac:dyDescent="0.3">
      <c r="A583" t="s">
        <v>624</v>
      </c>
      <c r="B583" t="s">
        <v>502</v>
      </c>
      <c r="C583" t="s">
        <v>625</v>
      </c>
      <c r="D583">
        <v>7</v>
      </c>
      <c r="E583" s="5">
        <v>35</v>
      </c>
      <c r="F583" s="5">
        <v>245</v>
      </c>
      <c r="G583" s="5">
        <v>43.57</v>
      </c>
      <c r="H583" s="5">
        <v>40</v>
      </c>
      <c r="I583" s="5">
        <v>0</v>
      </c>
      <c r="J583" s="5">
        <v>305</v>
      </c>
      <c r="K583" s="5">
        <v>60</v>
      </c>
      <c r="L583" t="s">
        <v>739</v>
      </c>
      <c r="M583" s="13">
        <v>2025</v>
      </c>
    </row>
    <row r="584" spans="1:13" x14ac:dyDescent="0.3">
      <c r="A584" t="s">
        <v>502</v>
      </c>
      <c r="B584" t="s">
        <v>502</v>
      </c>
      <c r="C584" t="s">
        <v>715</v>
      </c>
      <c r="D584">
        <v>6</v>
      </c>
      <c r="E584" s="5">
        <v>0</v>
      </c>
      <c r="F584" s="5">
        <v>0</v>
      </c>
      <c r="G584" s="5">
        <v>400</v>
      </c>
      <c r="H584" s="5">
        <v>0</v>
      </c>
      <c r="I584" s="5">
        <v>0</v>
      </c>
      <c r="J584" s="5">
        <v>2400</v>
      </c>
      <c r="K584" s="5">
        <v>2400</v>
      </c>
      <c r="L584" t="s">
        <v>739</v>
      </c>
      <c r="M584" s="13">
        <v>2025</v>
      </c>
    </row>
    <row r="585" spans="1:13" x14ac:dyDescent="0.3">
      <c r="A585" t="s">
        <v>502</v>
      </c>
      <c r="B585" t="s">
        <v>502</v>
      </c>
      <c r="C585" t="s">
        <v>741</v>
      </c>
      <c r="D585">
        <v>6</v>
      </c>
      <c r="E585" s="5">
        <v>0</v>
      </c>
      <c r="F585" s="5">
        <v>0</v>
      </c>
      <c r="G585" s="5">
        <v>4.99</v>
      </c>
      <c r="H585" s="5">
        <v>0.04</v>
      </c>
      <c r="I585" s="5">
        <v>0</v>
      </c>
      <c r="J585" s="5">
        <v>29.96</v>
      </c>
      <c r="K585" s="5">
        <v>29.96</v>
      </c>
      <c r="L585" t="s">
        <v>739</v>
      </c>
      <c r="M585" s="13">
        <v>2025</v>
      </c>
    </row>
    <row r="586" spans="1:13" x14ac:dyDescent="0.3">
      <c r="A586" t="s">
        <v>605</v>
      </c>
      <c r="B586" t="s">
        <v>502</v>
      </c>
      <c r="C586" t="s">
        <v>606</v>
      </c>
      <c r="D586">
        <v>5</v>
      </c>
      <c r="E586" s="5">
        <v>20</v>
      </c>
      <c r="F586" s="5">
        <v>100</v>
      </c>
      <c r="G586" s="5">
        <v>46</v>
      </c>
      <c r="H586" s="5">
        <v>20</v>
      </c>
      <c r="I586" s="5">
        <v>0</v>
      </c>
      <c r="J586" s="5">
        <v>230</v>
      </c>
      <c r="K586" s="5">
        <v>130</v>
      </c>
      <c r="L586" t="s">
        <v>739</v>
      </c>
      <c r="M586" s="13">
        <v>2025</v>
      </c>
    </row>
    <row r="587" spans="1:13" x14ac:dyDescent="0.3">
      <c r="A587" t="s">
        <v>742</v>
      </c>
      <c r="B587" t="s">
        <v>502</v>
      </c>
      <c r="C587" t="s">
        <v>743</v>
      </c>
      <c r="D587">
        <v>4</v>
      </c>
      <c r="E587" s="5">
        <v>3.3</v>
      </c>
      <c r="F587" s="5">
        <v>13.2</v>
      </c>
      <c r="G587" s="5">
        <v>5</v>
      </c>
      <c r="H587" s="5">
        <v>0</v>
      </c>
      <c r="I587" s="5">
        <v>0</v>
      </c>
      <c r="J587" s="5">
        <v>20</v>
      </c>
      <c r="K587" s="5">
        <v>6.8</v>
      </c>
      <c r="L587" t="s">
        <v>739</v>
      </c>
      <c r="M587" s="13">
        <v>2025</v>
      </c>
    </row>
    <row r="588" spans="1:13" x14ac:dyDescent="0.3">
      <c r="A588" t="s">
        <v>585</v>
      </c>
      <c r="B588" t="s">
        <v>502</v>
      </c>
      <c r="C588" t="s">
        <v>586</v>
      </c>
      <c r="D588">
        <v>3</v>
      </c>
      <c r="E588" s="5">
        <v>975.59</v>
      </c>
      <c r="F588" s="5">
        <v>2926.77</v>
      </c>
      <c r="G588" s="5">
        <v>1443.08</v>
      </c>
      <c r="H588" s="5">
        <v>0</v>
      </c>
      <c r="I588" s="5">
        <v>179.23</v>
      </c>
      <c r="J588" s="5">
        <v>4329.2299999999996</v>
      </c>
      <c r="K588" s="5">
        <v>1402.46</v>
      </c>
      <c r="L588" t="s">
        <v>739</v>
      </c>
      <c r="M588" s="13">
        <v>2025</v>
      </c>
    </row>
    <row r="589" spans="1:13" x14ac:dyDescent="0.3">
      <c r="A589" t="s">
        <v>644</v>
      </c>
      <c r="B589" t="s">
        <v>502</v>
      </c>
      <c r="C589" t="s">
        <v>645</v>
      </c>
      <c r="D589">
        <v>2</v>
      </c>
      <c r="E589" s="5">
        <v>0</v>
      </c>
      <c r="F589" s="5">
        <v>0</v>
      </c>
      <c r="G589" s="5">
        <v>190</v>
      </c>
      <c r="H589" s="5">
        <v>0</v>
      </c>
      <c r="I589" s="5">
        <v>0</v>
      </c>
      <c r="J589" s="5">
        <v>380</v>
      </c>
      <c r="K589" s="5">
        <v>380</v>
      </c>
      <c r="L589" t="s">
        <v>739</v>
      </c>
      <c r="M589" s="13">
        <v>2025</v>
      </c>
    </row>
    <row r="590" spans="1:13" x14ac:dyDescent="0.3">
      <c r="A590" t="s">
        <v>502</v>
      </c>
      <c r="B590" t="s">
        <v>502</v>
      </c>
      <c r="C590" t="s">
        <v>744</v>
      </c>
      <c r="D590">
        <v>2</v>
      </c>
      <c r="E590" s="5">
        <v>0</v>
      </c>
      <c r="F590" s="5">
        <v>0</v>
      </c>
      <c r="G590" s="5">
        <v>15</v>
      </c>
      <c r="H590" s="5">
        <v>0</v>
      </c>
      <c r="I590" s="5">
        <v>0</v>
      </c>
      <c r="J590" s="5">
        <v>30</v>
      </c>
      <c r="K590" s="5">
        <v>30</v>
      </c>
      <c r="L590" t="s">
        <v>739</v>
      </c>
      <c r="M590" s="13">
        <v>2025</v>
      </c>
    </row>
    <row r="591" spans="1:13" x14ac:dyDescent="0.3">
      <c r="A591" t="s">
        <v>575</v>
      </c>
      <c r="B591" t="s">
        <v>502</v>
      </c>
      <c r="C591" t="s">
        <v>576</v>
      </c>
      <c r="D591">
        <v>1</v>
      </c>
      <c r="E591" s="5">
        <v>3</v>
      </c>
      <c r="F591" s="5">
        <v>3</v>
      </c>
      <c r="G591" s="5">
        <v>44.69</v>
      </c>
      <c r="H591" s="5">
        <v>0.31</v>
      </c>
      <c r="I591" s="5">
        <v>0</v>
      </c>
      <c r="J591" s="5">
        <v>44.69</v>
      </c>
      <c r="K591" s="5">
        <v>41.69</v>
      </c>
      <c r="L591" t="s">
        <v>739</v>
      </c>
      <c r="M591" s="13">
        <v>2025</v>
      </c>
    </row>
    <row r="592" spans="1:13" x14ac:dyDescent="0.3">
      <c r="A592" t="s">
        <v>577</v>
      </c>
      <c r="B592" t="s">
        <v>502</v>
      </c>
      <c r="C592" t="s">
        <v>578</v>
      </c>
      <c r="D592">
        <v>1</v>
      </c>
      <c r="E592" s="5">
        <v>30.49</v>
      </c>
      <c r="F592" s="5">
        <v>30.49</v>
      </c>
      <c r="G592" s="5">
        <v>45</v>
      </c>
      <c r="H592" s="5">
        <v>0</v>
      </c>
      <c r="I592" s="5">
        <v>0</v>
      </c>
      <c r="J592" s="5">
        <v>45</v>
      </c>
      <c r="K592" s="5">
        <v>14.51</v>
      </c>
      <c r="L592" t="s">
        <v>739</v>
      </c>
      <c r="M592" s="13">
        <v>2025</v>
      </c>
    </row>
    <row r="593" spans="1:13" x14ac:dyDescent="0.3">
      <c r="A593" t="s">
        <v>502</v>
      </c>
      <c r="B593" t="s">
        <v>502</v>
      </c>
      <c r="C593" t="s">
        <v>745</v>
      </c>
      <c r="D593">
        <v>1</v>
      </c>
      <c r="E593" s="5">
        <v>0</v>
      </c>
      <c r="F593" s="5">
        <v>0</v>
      </c>
      <c r="G593" s="5">
        <v>790</v>
      </c>
      <c r="H593" s="5">
        <v>0</v>
      </c>
      <c r="I593" s="5">
        <v>0</v>
      </c>
      <c r="J593" s="5">
        <v>790</v>
      </c>
      <c r="K593" s="5">
        <v>790</v>
      </c>
      <c r="L593" t="s">
        <v>739</v>
      </c>
      <c r="M593" s="13">
        <v>2025</v>
      </c>
    </row>
    <row r="594" spans="1:13" x14ac:dyDescent="0.3">
      <c r="A594" t="s">
        <v>693</v>
      </c>
      <c r="B594" t="s">
        <v>502</v>
      </c>
      <c r="C594" t="s">
        <v>679</v>
      </c>
      <c r="D594">
        <v>1</v>
      </c>
      <c r="E594" s="5">
        <v>10</v>
      </c>
      <c r="F594" s="5">
        <v>10</v>
      </c>
      <c r="G594" s="5">
        <v>100</v>
      </c>
      <c r="H594" s="5">
        <v>0</v>
      </c>
      <c r="I594" s="5">
        <v>0</v>
      </c>
      <c r="J594" s="5">
        <v>100</v>
      </c>
      <c r="K594" s="5">
        <v>90</v>
      </c>
      <c r="L594" t="s">
        <v>739</v>
      </c>
      <c r="M594" s="13">
        <v>2025</v>
      </c>
    </row>
    <row r="595" spans="1:13" x14ac:dyDescent="0.3">
      <c r="A595" t="s">
        <v>502</v>
      </c>
      <c r="B595" t="s">
        <v>502</v>
      </c>
      <c r="C595" t="s">
        <v>746</v>
      </c>
      <c r="D595">
        <v>1</v>
      </c>
      <c r="E595" s="5">
        <v>0</v>
      </c>
      <c r="F595" s="5">
        <v>0</v>
      </c>
      <c r="G595" s="5">
        <v>190</v>
      </c>
      <c r="H595" s="5">
        <v>0</v>
      </c>
      <c r="I595" s="5">
        <v>0</v>
      </c>
      <c r="J595" s="5">
        <v>190</v>
      </c>
      <c r="K595" s="5">
        <v>190</v>
      </c>
      <c r="L595" t="s">
        <v>739</v>
      </c>
      <c r="M595" s="13">
        <v>2025</v>
      </c>
    </row>
    <row r="596" spans="1:13" x14ac:dyDescent="0.3">
      <c r="A596" t="s">
        <v>502</v>
      </c>
      <c r="B596" t="s">
        <v>502</v>
      </c>
      <c r="C596" t="s">
        <v>747</v>
      </c>
      <c r="D596">
        <v>1</v>
      </c>
      <c r="E596" s="5">
        <v>0</v>
      </c>
      <c r="F596" s="5">
        <v>0</v>
      </c>
      <c r="G596" s="5">
        <v>65</v>
      </c>
      <c r="H596" s="5">
        <v>0</v>
      </c>
      <c r="I596" s="5">
        <v>0</v>
      </c>
      <c r="J596" s="5">
        <v>65</v>
      </c>
      <c r="K596" s="5">
        <v>65</v>
      </c>
      <c r="L596" t="s">
        <v>739</v>
      </c>
      <c r="M596" s="13">
        <v>2025</v>
      </c>
    </row>
    <row r="597" spans="1:13" x14ac:dyDescent="0.3">
      <c r="A597" t="s">
        <v>502</v>
      </c>
      <c r="B597" t="s">
        <v>502</v>
      </c>
      <c r="C597" t="s">
        <v>748</v>
      </c>
      <c r="D597">
        <v>1</v>
      </c>
      <c r="E597" s="5">
        <v>0</v>
      </c>
      <c r="F597" s="5">
        <v>0</v>
      </c>
      <c r="G597" s="5">
        <v>50</v>
      </c>
      <c r="H597" s="5">
        <v>0</v>
      </c>
      <c r="I597" s="5">
        <v>0</v>
      </c>
      <c r="J597" s="5">
        <v>50</v>
      </c>
      <c r="K597" s="5">
        <v>50</v>
      </c>
      <c r="L597" t="s">
        <v>739</v>
      </c>
      <c r="M597" s="13">
        <v>2025</v>
      </c>
    </row>
    <row r="598" spans="1:13" x14ac:dyDescent="0.3">
      <c r="A598" t="s">
        <v>502</v>
      </c>
      <c r="B598" t="s">
        <v>502</v>
      </c>
      <c r="C598" t="s">
        <v>749</v>
      </c>
      <c r="D598">
        <v>1</v>
      </c>
      <c r="E598" s="5">
        <v>0</v>
      </c>
      <c r="F598" s="5">
        <v>0</v>
      </c>
      <c r="G598" s="5">
        <v>35</v>
      </c>
      <c r="H598" s="5">
        <v>0</v>
      </c>
      <c r="I598" s="5">
        <v>0</v>
      </c>
      <c r="J598" s="5">
        <v>35</v>
      </c>
      <c r="K598" s="5">
        <v>35</v>
      </c>
      <c r="L598" t="s">
        <v>739</v>
      </c>
      <c r="M598" s="13">
        <v>2025</v>
      </c>
    </row>
    <row r="599" spans="1:13" x14ac:dyDescent="0.3">
      <c r="A599" t="s">
        <v>502</v>
      </c>
      <c r="B599" t="s">
        <v>502</v>
      </c>
      <c r="C599" t="s">
        <v>606</v>
      </c>
      <c r="D599">
        <v>1</v>
      </c>
      <c r="E599" s="5">
        <v>0</v>
      </c>
      <c r="F599" s="5">
        <v>0</v>
      </c>
      <c r="G599" s="5">
        <v>20</v>
      </c>
      <c r="H599" s="5">
        <v>0</v>
      </c>
      <c r="I599" s="5">
        <v>0</v>
      </c>
      <c r="J599" s="5">
        <v>20</v>
      </c>
      <c r="K599" s="5">
        <v>20</v>
      </c>
      <c r="L599" t="s">
        <v>739</v>
      </c>
      <c r="M599" s="13">
        <v>2025</v>
      </c>
    </row>
    <row r="600" spans="1:13" ht="15.6" x14ac:dyDescent="0.3">
      <c r="A600" t="s">
        <v>505</v>
      </c>
      <c r="B600" t="s">
        <v>502</v>
      </c>
      <c r="C600" t="s">
        <v>506</v>
      </c>
      <c r="D600">
        <v>3100</v>
      </c>
      <c r="E600" s="11">
        <v>2.5</v>
      </c>
      <c r="F600" s="11">
        <v>7750</v>
      </c>
      <c r="G600" s="11">
        <v>3.06</v>
      </c>
      <c r="H600" s="5">
        <v>0</v>
      </c>
      <c r="I600" s="5">
        <v>7.26</v>
      </c>
      <c r="J600" s="11">
        <v>9487.26</v>
      </c>
      <c r="K600" s="11">
        <v>1737.26</v>
      </c>
      <c r="L600" t="s">
        <v>504</v>
      </c>
      <c r="M600" s="13">
        <v>2026</v>
      </c>
    </row>
    <row r="601" spans="1:13" ht="15.6" x14ac:dyDescent="0.3">
      <c r="A601" t="s">
        <v>515</v>
      </c>
      <c r="B601" t="s">
        <v>502</v>
      </c>
      <c r="C601" t="s">
        <v>516</v>
      </c>
      <c r="D601">
        <v>1007</v>
      </c>
      <c r="E601" s="11">
        <v>7.51</v>
      </c>
      <c r="F601" s="11">
        <v>7562.57</v>
      </c>
      <c r="G601" s="11">
        <v>18.52</v>
      </c>
      <c r="H601" s="5">
        <v>48.56</v>
      </c>
      <c r="I601" s="5">
        <v>0</v>
      </c>
      <c r="J601" s="11">
        <v>18645.439999999999</v>
      </c>
      <c r="K601" s="11">
        <v>11082.87</v>
      </c>
      <c r="L601" t="s">
        <v>504</v>
      </c>
      <c r="M601" s="13">
        <v>2026</v>
      </c>
    </row>
    <row r="602" spans="1:13" ht="15.6" x14ac:dyDescent="0.3">
      <c r="A602" t="s">
        <v>507</v>
      </c>
      <c r="B602" t="s">
        <v>502</v>
      </c>
      <c r="C602" t="s">
        <v>508</v>
      </c>
      <c r="D602">
        <v>500</v>
      </c>
      <c r="E602" s="11">
        <v>0.93</v>
      </c>
      <c r="F602" s="11">
        <v>465</v>
      </c>
      <c r="G602" s="11">
        <v>1.2</v>
      </c>
      <c r="H602" s="5">
        <v>0</v>
      </c>
      <c r="I602" s="5">
        <v>0</v>
      </c>
      <c r="J602" s="11">
        <v>600</v>
      </c>
      <c r="K602" s="11">
        <v>135</v>
      </c>
      <c r="L602" t="s">
        <v>504</v>
      </c>
      <c r="M602" s="13">
        <v>2026</v>
      </c>
    </row>
    <row r="603" spans="1:13" ht="15.6" x14ac:dyDescent="0.3">
      <c r="A603" t="s">
        <v>509</v>
      </c>
      <c r="B603" t="s">
        <v>502</v>
      </c>
      <c r="C603" t="s">
        <v>510</v>
      </c>
      <c r="D603">
        <v>500</v>
      </c>
      <c r="E603" s="11">
        <v>0.93</v>
      </c>
      <c r="F603" s="11">
        <v>465</v>
      </c>
      <c r="G603" s="11">
        <v>1.2</v>
      </c>
      <c r="H603" s="5">
        <v>0</v>
      </c>
      <c r="I603" s="5">
        <v>0</v>
      </c>
      <c r="J603" s="11">
        <v>600</v>
      </c>
      <c r="K603" s="11">
        <v>135</v>
      </c>
      <c r="L603" t="s">
        <v>504</v>
      </c>
      <c r="M603" s="13">
        <v>2026</v>
      </c>
    </row>
    <row r="604" spans="1:13" ht="15.6" x14ac:dyDescent="0.3">
      <c r="A604" t="s">
        <v>656</v>
      </c>
      <c r="B604" t="s">
        <v>502</v>
      </c>
      <c r="C604" t="s">
        <v>657</v>
      </c>
      <c r="D604">
        <v>411</v>
      </c>
      <c r="E604" s="11">
        <v>48</v>
      </c>
      <c r="F604" s="11">
        <v>19728</v>
      </c>
      <c r="G604" s="11">
        <v>65.5</v>
      </c>
      <c r="H604" s="5">
        <v>0.01</v>
      </c>
      <c r="I604" s="5">
        <v>0</v>
      </c>
      <c r="J604" s="11">
        <v>26918.99</v>
      </c>
      <c r="K604" s="11">
        <v>7190.99</v>
      </c>
      <c r="L604" t="s">
        <v>504</v>
      </c>
      <c r="M604" s="13">
        <v>2026</v>
      </c>
    </row>
    <row r="605" spans="1:13" ht="15.6" x14ac:dyDescent="0.3">
      <c r="A605" t="s">
        <v>511</v>
      </c>
      <c r="B605" t="s">
        <v>502</v>
      </c>
      <c r="C605" t="s">
        <v>512</v>
      </c>
      <c r="D605">
        <v>323</v>
      </c>
      <c r="E605" s="11">
        <v>367.73</v>
      </c>
      <c r="F605" s="11">
        <v>118776.65</v>
      </c>
      <c r="G605" s="11">
        <v>585.76</v>
      </c>
      <c r="H605" s="5">
        <v>3133.67</v>
      </c>
      <c r="I605" s="5">
        <v>391.91</v>
      </c>
      <c r="J605" s="11">
        <v>189200.89</v>
      </c>
      <c r="K605" s="11">
        <v>70424.240000000005</v>
      </c>
      <c r="L605" t="s">
        <v>504</v>
      </c>
      <c r="M605" s="13">
        <v>2026</v>
      </c>
    </row>
    <row r="606" spans="1:13" ht="15.6" x14ac:dyDescent="0.3">
      <c r="A606" t="s">
        <v>547</v>
      </c>
      <c r="B606" t="s">
        <v>502</v>
      </c>
      <c r="C606" t="s">
        <v>655</v>
      </c>
      <c r="D606">
        <v>308</v>
      </c>
      <c r="E606" s="11">
        <v>3.05</v>
      </c>
      <c r="F606" s="11">
        <v>939.4</v>
      </c>
      <c r="G606" s="11">
        <v>3.94</v>
      </c>
      <c r="H606" s="5">
        <v>0</v>
      </c>
      <c r="I606" s="5">
        <v>0</v>
      </c>
      <c r="J606" s="11">
        <v>1212</v>
      </c>
      <c r="K606" s="11">
        <v>272.60000000000002</v>
      </c>
      <c r="L606" t="s">
        <v>504</v>
      </c>
      <c r="M606" s="13">
        <v>2026</v>
      </c>
    </row>
    <row r="607" spans="1:13" ht="15.6" x14ac:dyDescent="0.3">
      <c r="A607" t="s">
        <v>513</v>
      </c>
      <c r="B607" t="s">
        <v>502</v>
      </c>
      <c r="C607" t="s">
        <v>514</v>
      </c>
      <c r="D607">
        <v>301</v>
      </c>
      <c r="E607" s="11">
        <v>450.27</v>
      </c>
      <c r="F607" s="11">
        <v>135531.26999999999</v>
      </c>
      <c r="G607" s="11">
        <v>623.95000000000005</v>
      </c>
      <c r="H607" s="5">
        <v>1950.2</v>
      </c>
      <c r="I607" s="5">
        <v>939.88</v>
      </c>
      <c r="J607" s="11">
        <v>187808.43</v>
      </c>
      <c r="K607" s="11">
        <v>52277.16</v>
      </c>
      <c r="L607" t="s">
        <v>504</v>
      </c>
      <c r="M607" s="13">
        <v>2026</v>
      </c>
    </row>
    <row r="608" spans="1:13" ht="15.6" x14ac:dyDescent="0.3">
      <c r="A608" t="s">
        <v>502</v>
      </c>
      <c r="B608" t="s">
        <v>502</v>
      </c>
      <c r="C608" t="s">
        <v>520</v>
      </c>
      <c r="D608">
        <v>225</v>
      </c>
      <c r="E608" s="11">
        <v>0.96</v>
      </c>
      <c r="F608" s="11">
        <v>216</v>
      </c>
      <c r="G608" s="11">
        <v>0.66</v>
      </c>
      <c r="H608" s="5">
        <v>170.1</v>
      </c>
      <c r="I608" s="5">
        <v>0</v>
      </c>
      <c r="J608" s="11">
        <v>149.4</v>
      </c>
      <c r="K608" s="11">
        <v>-66.599999999999994</v>
      </c>
      <c r="L608" t="s">
        <v>504</v>
      </c>
      <c r="M608" s="13">
        <v>2026</v>
      </c>
    </row>
    <row r="609" spans="1:13" ht="15.6" x14ac:dyDescent="0.3">
      <c r="A609" t="s">
        <v>502</v>
      </c>
      <c r="B609" t="s">
        <v>502</v>
      </c>
      <c r="C609" t="s">
        <v>518</v>
      </c>
      <c r="D609">
        <v>125</v>
      </c>
      <c r="E609" s="11">
        <v>3.26</v>
      </c>
      <c r="F609" s="11">
        <v>407.5</v>
      </c>
      <c r="G609" s="11">
        <v>2.4</v>
      </c>
      <c r="H609" s="5">
        <v>514.4</v>
      </c>
      <c r="I609" s="5">
        <v>0</v>
      </c>
      <c r="J609" s="11">
        <v>300.60000000000002</v>
      </c>
      <c r="K609" s="11">
        <v>-106.9</v>
      </c>
      <c r="L609" t="s">
        <v>504</v>
      </c>
      <c r="M609" s="13">
        <v>2026</v>
      </c>
    </row>
    <row r="610" spans="1:13" ht="15.6" x14ac:dyDescent="0.3">
      <c r="A610" t="s">
        <v>521</v>
      </c>
      <c r="B610" t="s">
        <v>502</v>
      </c>
      <c r="C610" t="s">
        <v>522</v>
      </c>
      <c r="D610">
        <v>124</v>
      </c>
      <c r="E610" s="11">
        <v>472.79</v>
      </c>
      <c r="F610" s="11">
        <v>58625.96</v>
      </c>
      <c r="G610" s="11">
        <v>697.19</v>
      </c>
      <c r="H610" s="5">
        <v>1113.19</v>
      </c>
      <c r="I610" s="5">
        <v>319.35000000000002</v>
      </c>
      <c r="J610" s="11">
        <v>86451.17</v>
      </c>
      <c r="K610" s="11">
        <v>27825.21</v>
      </c>
      <c r="L610" t="s">
        <v>504</v>
      </c>
      <c r="M610" s="13">
        <v>2026</v>
      </c>
    </row>
    <row r="611" spans="1:13" ht="15.6" x14ac:dyDescent="0.3">
      <c r="A611" t="s">
        <v>537</v>
      </c>
      <c r="B611" t="s">
        <v>502</v>
      </c>
      <c r="C611" t="s">
        <v>538</v>
      </c>
      <c r="D611">
        <v>101</v>
      </c>
      <c r="E611" s="11">
        <v>25</v>
      </c>
      <c r="F611" s="11">
        <v>2525</v>
      </c>
      <c r="G611" s="11">
        <v>30.73</v>
      </c>
      <c r="H611" s="5">
        <v>0.04</v>
      </c>
      <c r="I611" s="5">
        <v>1.35</v>
      </c>
      <c r="J611" s="11">
        <v>3103.31</v>
      </c>
      <c r="K611" s="11">
        <v>578.30999999999995</v>
      </c>
      <c r="L611" t="s">
        <v>504</v>
      </c>
      <c r="M611" s="13">
        <v>2026</v>
      </c>
    </row>
    <row r="612" spans="1:13" ht="15.6" x14ac:dyDescent="0.3">
      <c r="A612" t="s">
        <v>527</v>
      </c>
      <c r="B612" t="s">
        <v>502</v>
      </c>
      <c r="C612" t="s">
        <v>528</v>
      </c>
      <c r="D612">
        <v>91</v>
      </c>
      <c r="E612" s="11">
        <v>56.28</v>
      </c>
      <c r="F612" s="11">
        <v>5121.4799999999996</v>
      </c>
      <c r="G612" s="11">
        <v>127.88</v>
      </c>
      <c r="H612" s="5">
        <v>53.17</v>
      </c>
      <c r="I612" s="5">
        <v>360.69</v>
      </c>
      <c r="J612" s="11">
        <v>11637.52</v>
      </c>
      <c r="K612" s="11">
        <v>6516.04</v>
      </c>
      <c r="L612" t="s">
        <v>504</v>
      </c>
      <c r="M612" s="13">
        <v>2026</v>
      </c>
    </row>
    <row r="613" spans="1:13" ht="15.6" x14ac:dyDescent="0.3">
      <c r="A613" t="s">
        <v>535</v>
      </c>
      <c r="B613" t="s">
        <v>502</v>
      </c>
      <c r="C613" t="s">
        <v>536</v>
      </c>
      <c r="D613">
        <v>76</v>
      </c>
      <c r="E613" s="11">
        <v>495.3</v>
      </c>
      <c r="F613" s="11">
        <v>37642.800000000003</v>
      </c>
      <c r="G613" s="11">
        <v>749.72</v>
      </c>
      <c r="H613" s="5">
        <v>1034.26</v>
      </c>
      <c r="I613" s="5">
        <v>42.87</v>
      </c>
      <c r="J613" s="11">
        <v>56978.61</v>
      </c>
      <c r="K613" s="11">
        <v>19335.810000000001</v>
      </c>
      <c r="L613" t="s">
        <v>504</v>
      </c>
      <c r="M613" s="13">
        <v>2026</v>
      </c>
    </row>
    <row r="614" spans="1:13" ht="15.6" x14ac:dyDescent="0.3">
      <c r="A614" t="s">
        <v>529</v>
      </c>
      <c r="B614" t="s">
        <v>502</v>
      </c>
      <c r="C614" t="s">
        <v>530</v>
      </c>
      <c r="D614">
        <v>68</v>
      </c>
      <c r="E614" s="11">
        <v>555.34</v>
      </c>
      <c r="F614" s="11">
        <v>37763.120000000003</v>
      </c>
      <c r="G614" s="11">
        <v>815.15</v>
      </c>
      <c r="H614" s="5">
        <v>585.94000000000005</v>
      </c>
      <c r="I614" s="5">
        <v>353.25</v>
      </c>
      <c r="J614" s="11">
        <v>55430.3</v>
      </c>
      <c r="K614" s="11">
        <v>17667.18</v>
      </c>
      <c r="L614" t="s">
        <v>504</v>
      </c>
      <c r="M614" s="13">
        <v>2026</v>
      </c>
    </row>
    <row r="615" spans="1:13" ht="15.6" x14ac:dyDescent="0.3">
      <c r="A615" t="s">
        <v>624</v>
      </c>
      <c r="B615" t="s">
        <v>502</v>
      </c>
      <c r="C615" t="s">
        <v>751</v>
      </c>
      <c r="D615">
        <v>63</v>
      </c>
      <c r="E615" s="11">
        <v>8.3699999999999992</v>
      </c>
      <c r="F615" s="11">
        <v>527.5</v>
      </c>
      <c r="G615" s="11">
        <v>18.690000000000001</v>
      </c>
      <c r="H615" s="5">
        <v>7.61</v>
      </c>
      <c r="I615" s="5">
        <v>0</v>
      </c>
      <c r="J615" s="11">
        <v>1177.3900000000001</v>
      </c>
      <c r="K615" s="11">
        <v>649.89</v>
      </c>
      <c r="L615" t="s">
        <v>504</v>
      </c>
      <c r="M615" s="13">
        <v>2026</v>
      </c>
    </row>
    <row r="616" spans="1:13" ht="15.6" x14ac:dyDescent="0.3">
      <c r="A616" t="s">
        <v>531</v>
      </c>
      <c r="B616" t="s">
        <v>502</v>
      </c>
      <c r="C616" t="s">
        <v>532</v>
      </c>
      <c r="D616">
        <v>61</v>
      </c>
      <c r="E616" s="11">
        <v>12.19</v>
      </c>
      <c r="F616" s="11">
        <v>743.59</v>
      </c>
      <c r="G616" s="11">
        <v>15.02</v>
      </c>
      <c r="H616" s="5">
        <v>0</v>
      </c>
      <c r="I616" s="5">
        <v>0</v>
      </c>
      <c r="J616" s="11">
        <v>916</v>
      </c>
      <c r="K616" s="11">
        <v>172.41</v>
      </c>
      <c r="L616" t="s">
        <v>504</v>
      </c>
      <c r="M616" s="13">
        <v>2026</v>
      </c>
    </row>
    <row r="617" spans="1:13" ht="15.6" x14ac:dyDescent="0.3">
      <c r="A617" t="s">
        <v>541</v>
      </c>
      <c r="B617" t="s">
        <v>502</v>
      </c>
      <c r="C617" t="s">
        <v>542</v>
      </c>
      <c r="D617">
        <v>59</v>
      </c>
      <c r="E617" s="11">
        <v>697.92</v>
      </c>
      <c r="F617" s="11">
        <v>41177.279999999999</v>
      </c>
      <c r="G617" s="11">
        <v>933.64</v>
      </c>
      <c r="H617" s="5">
        <v>290.38</v>
      </c>
      <c r="I617" s="5">
        <v>0</v>
      </c>
      <c r="J617" s="11">
        <v>55084.62</v>
      </c>
      <c r="K617" s="11">
        <v>13907.34</v>
      </c>
      <c r="L617" t="s">
        <v>504</v>
      </c>
      <c r="M617" s="13">
        <v>2026</v>
      </c>
    </row>
    <row r="618" spans="1:13" ht="15.6" x14ac:dyDescent="0.3">
      <c r="A618" t="s">
        <v>742</v>
      </c>
      <c r="B618" t="s">
        <v>502</v>
      </c>
      <c r="C618" t="s">
        <v>743</v>
      </c>
      <c r="D618">
        <v>56</v>
      </c>
      <c r="E618" s="11">
        <v>3.3</v>
      </c>
      <c r="F618" s="11">
        <v>184.8</v>
      </c>
      <c r="G618" s="11">
        <v>5.36</v>
      </c>
      <c r="H618" s="5">
        <v>0.08</v>
      </c>
      <c r="I618" s="5">
        <v>20</v>
      </c>
      <c r="J618" s="11">
        <v>299.92</v>
      </c>
      <c r="K618" s="11">
        <v>115.12</v>
      </c>
      <c r="L618" t="s">
        <v>504</v>
      </c>
      <c r="M618" s="13">
        <v>2026</v>
      </c>
    </row>
    <row r="619" spans="1:13" ht="15.6" x14ac:dyDescent="0.3">
      <c r="A619" t="s">
        <v>549</v>
      </c>
      <c r="B619" t="s">
        <v>502</v>
      </c>
      <c r="C619" t="s">
        <v>619</v>
      </c>
      <c r="D619">
        <v>51</v>
      </c>
      <c r="E619" s="11">
        <v>42</v>
      </c>
      <c r="F619" s="11">
        <v>2142</v>
      </c>
      <c r="G619" s="11">
        <v>57.51</v>
      </c>
      <c r="H619" s="5">
        <v>0</v>
      </c>
      <c r="I619" s="5">
        <v>133.06</v>
      </c>
      <c r="J619" s="11">
        <v>2933.06</v>
      </c>
      <c r="K619" s="11">
        <v>791.06</v>
      </c>
      <c r="L619" t="s">
        <v>504</v>
      </c>
      <c r="M619" s="13">
        <v>2026</v>
      </c>
    </row>
    <row r="620" spans="1:13" ht="15.6" x14ac:dyDescent="0.3">
      <c r="A620" t="s">
        <v>539</v>
      </c>
      <c r="B620" t="s">
        <v>502</v>
      </c>
      <c r="C620" t="s">
        <v>540</v>
      </c>
      <c r="D620">
        <v>37</v>
      </c>
      <c r="E620" s="11">
        <v>712.93</v>
      </c>
      <c r="F620" s="11">
        <v>26378.41</v>
      </c>
      <c r="G620" s="11">
        <v>1018.49</v>
      </c>
      <c r="H620" s="5">
        <v>365.81</v>
      </c>
      <c r="I620" s="5">
        <v>0</v>
      </c>
      <c r="J620" s="11">
        <v>37684.19</v>
      </c>
      <c r="K620" s="11">
        <v>11305.78</v>
      </c>
      <c r="L620" t="s">
        <v>504</v>
      </c>
      <c r="M620" s="13">
        <v>2026</v>
      </c>
    </row>
    <row r="621" spans="1:13" ht="15.6" x14ac:dyDescent="0.3">
      <c r="A621" t="s">
        <v>685</v>
      </c>
      <c r="B621" t="s">
        <v>502</v>
      </c>
      <c r="C621" t="s">
        <v>752</v>
      </c>
      <c r="D621">
        <v>36</v>
      </c>
      <c r="E621" s="11">
        <v>2</v>
      </c>
      <c r="F621" s="11">
        <v>72</v>
      </c>
      <c r="G621" s="11">
        <v>4.3099999999999996</v>
      </c>
      <c r="H621" s="5">
        <v>0</v>
      </c>
      <c r="I621" s="5">
        <v>0</v>
      </c>
      <c r="J621" s="11">
        <v>155</v>
      </c>
      <c r="K621" s="11">
        <v>83</v>
      </c>
      <c r="L621" t="s">
        <v>504</v>
      </c>
      <c r="M621" s="13">
        <v>2026</v>
      </c>
    </row>
    <row r="622" spans="1:13" ht="15.6" x14ac:dyDescent="0.3">
      <c r="A622" t="s">
        <v>551</v>
      </c>
      <c r="B622" t="s">
        <v>502</v>
      </c>
      <c r="C622" t="s">
        <v>552</v>
      </c>
      <c r="D622">
        <v>36</v>
      </c>
      <c r="E622" s="11">
        <v>45.03</v>
      </c>
      <c r="F622" s="11">
        <v>1621.08</v>
      </c>
      <c r="G622" s="11">
        <v>74.12</v>
      </c>
      <c r="H622" s="5">
        <v>31.54</v>
      </c>
      <c r="I622" s="5">
        <v>0</v>
      </c>
      <c r="J622" s="11">
        <v>2668.46</v>
      </c>
      <c r="K622" s="11">
        <v>1047.3800000000001</v>
      </c>
      <c r="L622" t="s">
        <v>504</v>
      </c>
      <c r="M622" s="13">
        <v>2026</v>
      </c>
    </row>
    <row r="623" spans="1:13" ht="15.6" x14ac:dyDescent="0.3">
      <c r="A623" t="s">
        <v>674</v>
      </c>
      <c r="B623" t="s">
        <v>502</v>
      </c>
      <c r="C623" t="s">
        <v>675</v>
      </c>
      <c r="D623">
        <v>34</v>
      </c>
      <c r="E623" s="11">
        <v>510.31</v>
      </c>
      <c r="F623" s="11">
        <v>17350.54</v>
      </c>
      <c r="G623" s="11">
        <v>750.18</v>
      </c>
      <c r="H623" s="5">
        <v>140</v>
      </c>
      <c r="I623" s="5">
        <v>11.24</v>
      </c>
      <c r="J623" s="11">
        <v>25506.240000000002</v>
      </c>
      <c r="K623" s="11">
        <v>8155.7</v>
      </c>
      <c r="L623" t="s">
        <v>504</v>
      </c>
      <c r="M623" s="13">
        <v>2026</v>
      </c>
    </row>
    <row r="624" spans="1:13" ht="15.6" x14ac:dyDescent="0.3">
      <c r="A624" t="s">
        <v>563</v>
      </c>
      <c r="B624" t="s">
        <v>502</v>
      </c>
      <c r="C624" t="s">
        <v>564</v>
      </c>
      <c r="D624">
        <v>31</v>
      </c>
      <c r="E624" s="11">
        <v>33</v>
      </c>
      <c r="F624" s="11">
        <v>1023</v>
      </c>
      <c r="G624" s="11">
        <v>153.35</v>
      </c>
      <c r="H624" s="5">
        <v>3.55</v>
      </c>
      <c r="I624" s="5">
        <v>187.26</v>
      </c>
      <c r="J624" s="11">
        <v>4753.71</v>
      </c>
      <c r="K624" s="11">
        <v>3730.71</v>
      </c>
      <c r="L624" t="s">
        <v>504</v>
      </c>
      <c r="M624" s="13">
        <v>2026</v>
      </c>
    </row>
    <row r="625" spans="1:13" ht="15.6" x14ac:dyDescent="0.3">
      <c r="A625" t="s">
        <v>557</v>
      </c>
      <c r="B625" t="s">
        <v>502</v>
      </c>
      <c r="C625" t="s">
        <v>558</v>
      </c>
      <c r="D625">
        <v>30</v>
      </c>
      <c r="E625" s="11">
        <v>300.18</v>
      </c>
      <c r="F625" s="11">
        <v>9005.4</v>
      </c>
      <c r="G625" s="11">
        <v>487.12</v>
      </c>
      <c r="H625" s="5">
        <v>137.80000000000001</v>
      </c>
      <c r="I625" s="5">
        <v>181.45</v>
      </c>
      <c r="J625" s="11">
        <v>14613.66</v>
      </c>
      <c r="K625" s="11">
        <v>5608.26</v>
      </c>
      <c r="L625" t="s">
        <v>504</v>
      </c>
      <c r="M625" s="13">
        <v>2026</v>
      </c>
    </row>
    <row r="626" spans="1:13" ht="15.6" x14ac:dyDescent="0.3">
      <c r="A626" t="s">
        <v>591</v>
      </c>
      <c r="B626" t="s">
        <v>502</v>
      </c>
      <c r="C626" t="s">
        <v>592</v>
      </c>
      <c r="D626">
        <v>29</v>
      </c>
      <c r="E626" s="11">
        <v>33.56</v>
      </c>
      <c r="F626" s="11">
        <v>973.24</v>
      </c>
      <c r="G626" s="11">
        <v>63.95</v>
      </c>
      <c r="H626" s="5">
        <v>0</v>
      </c>
      <c r="I626" s="5">
        <v>94.51</v>
      </c>
      <c r="J626" s="11">
        <v>1854.51</v>
      </c>
      <c r="K626" s="11">
        <v>881.27</v>
      </c>
      <c r="L626" t="s">
        <v>504</v>
      </c>
      <c r="M626" s="13">
        <v>2026</v>
      </c>
    </row>
    <row r="627" spans="1:13" ht="15.6" x14ac:dyDescent="0.3">
      <c r="A627" t="s">
        <v>753</v>
      </c>
      <c r="B627" t="s">
        <v>502</v>
      </c>
      <c r="C627" t="s">
        <v>754</v>
      </c>
      <c r="D627">
        <v>25</v>
      </c>
      <c r="E627" s="11">
        <v>1.67</v>
      </c>
      <c r="F627" s="11">
        <v>41.75</v>
      </c>
      <c r="G627" s="11">
        <v>3</v>
      </c>
      <c r="H627" s="5">
        <v>0</v>
      </c>
      <c r="I627" s="5">
        <v>0</v>
      </c>
      <c r="J627" s="11">
        <v>75</v>
      </c>
      <c r="K627" s="11">
        <v>33.25</v>
      </c>
      <c r="L627" t="s">
        <v>504</v>
      </c>
      <c r="M627" s="13">
        <v>2026</v>
      </c>
    </row>
    <row r="628" spans="1:13" ht="15.6" x14ac:dyDescent="0.3">
      <c r="A628" t="s">
        <v>571</v>
      </c>
      <c r="B628" t="s">
        <v>502</v>
      </c>
      <c r="C628" t="s">
        <v>572</v>
      </c>
      <c r="D628">
        <v>21</v>
      </c>
      <c r="E628" s="11">
        <v>487.8</v>
      </c>
      <c r="F628" s="11">
        <v>10243.799999999999</v>
      </c>
      <c r="G628" s="11">
        <v>888.29</v>
      </c>
      <c r="H628" s="5">
        <v>0</v>
      </c>
      <c r="I628" s="5">
        <v>1004.03</v>
      </c>
      <c r="J628" s="11">
        <v>18654.03</v>
      </c>
      <c r="K628" s="11">
        <v>8410.23</v>
      </c>
      <c r="L628" t="s">
        <v>504</v>
      </c>
      <c r="M628" s="13">
        <v>2026</v>
      </c>
    </row>
    <row r="629" spans="1:13" ht="15.6" x14ac:dyDescent="0.3">
      <c r="A629" t="s">
        <v>553</v>
      </c>
      <c r="B629" t="s">
        <v>502</v>
      </c>
      <c r="C629" t="s">
        <v>554</v>
      </c>
      <c r="D629">
        <v>14</v>
      </c>
      <c r="E629" s="11">
        <v>727.94</v>
      </c>
      <c r="F629" s="11">
        <v>10191.16</v>
      </c>
      <c r="G629" s="11">
        <v>1119.8800000000001</v>
      </c>
      <c r="H629" s="5">
        <v>0</v>
      </c>
      <c r="I629" s="5">
        <v>128.27000000000001</v>
      </c>
      <c r="J629" s="11">
        <v>15678.27</v>
      </c>
      <c r="K629" s="11">
        <v>5487.11</v>
      </c>
      <c r="L629" t="s">
        <v>504</v>
      </c>
      <c r="M629" s="13">
        <v>2026</v>
      </c>
    </row>
    <row r="630" spans="1:13" ht="15.6" x14ac:dyDescent="0.3">
      <c r="A630" t="s">
        <v>559</v>
      </c>
      <c r="B630" t="s">
        <v>502</v>
      </c>
      <c r="C630" t="s">
        <v>560</v>
      </c>
      <c r="D630">
        <v>13</v>
      </c>
      <c r="E630" s="11">
        <v>45.6</v>
      </c>
      <c r="F630" s="11">
        <v>592.79999999999995</v>
      </c>
      <c r="G630" s="11">
        <v>70</v>
      </c>
      <c r="H630" s="5">
        <v>0</v>
      </c>
      <c r="I630" s="5">
        <v>0</v>
      </c>
      <c r="J630" s="11">
        <v>910</v>
      </c>
      <c r="K630" s="11">
        <v>317.2</v>
      </c>
      <c r="L630" t="s">
        <v>504</v>
      </c>
      <c r="M630" s="13">
        <v>2026</v>
      </c>
    </row>
    <row r="631" spans="1:13" ht="15.6" x14ac:dyDescent="0.3">
      <c r="A631" t="s">
        <v>577</v>
      </c>
      <c r="B631" t="s">
        <v>502</v>
      </c>
      <c r="C631" t="s">
        <v>578</v>
      </c>
      <c r="D631">
        <v>12</v>
      </c>
      <c r="E631" s="11">
        <v>30.49</v>
      </c>
      <c r="F631" s="11">
        <v>365.88</v>
      </c>
      <c r="G631" s="11">
        <v>44.6</v>
      </c>
      <c r="H631" s="5">
        <v>0</v>
      </c>
      <c r="I631" s="5">
        <v>0</v>
      </c>
      <c r="J631" s="11">
        <v>535.25</v>
      </c>
      <c r="K631" s="11">
        <v>169.37</v>
      </c>
      <c r="L631" t="s">
        <v>504</v>
      </c>
      <c r="M631" s="13">
        <v>2026</v>
      </c>
    </row>
    <row r="632" spans="1:13" ht="15.6" x14ac:dyDescent="0.3">
      <c r="A632" t="s">
        <v>545</v>
      </c>
      <c r="B632" t="s">
        <v>502</v>
      </c>
      <c r="C632" t="s">
        <v>546</v>
      </c>
      <c r="D632">
        <v>12</v>
      </c>
      <c r="E632" s="11">
        <v>13.69</v>
      </c>
      <c r="F632" s="11">
        <v>164.28</v>
      </c>
      <c r="G632" s="11">
        <v>95</v>
      </c>
      <c r="H632" s="5">
        <v>0</v>
      </c>
      <c r="I632" s="5">
        <v>0</v>
      </c>
      <c r="J632" s="11">
        <v>1140</v>
      </c>
      <c r="K632" s="11">
        <v>975.72</v>
      </c>
      <c r="L632" t="s">
        <v>504</v>
      </c>
      <c r="M632" s="13">
        <v>2026</v>
      </c>
    </row>
    <row r="633" spans="1:13" ht="15.6" x14ac:dyDescent="0.3">
      <c r="A633" t="s">
        <v>755</v>
      </c>
      <c r="B633" t="s">
        <v>502</v>
      </c>
      <c r="C633" t="s">
        <v>756</v>
      </c>
      <c r="D633">
        <v>10</v>
      </c>
      <c r="E633" s="11">
        <v>2</v>
      </c>
      <c r="F633" s="11">
        <v>20</v>
      </c>
      <c r="G633" s="11">
        <v>4</v>
      </c>
      <c r="H633" s="5">
        <v>0</v>
      </c>
      <c r="I633" s="5">
        <v>0</v>
      </c>
      <c r="J633" s="11">
        <v>40</v>
      </c>
      <c r="K633" s="11">
        <v>20</v>
      </c>
      <c r="L633" t="s">
        <v>504</v>
      </c>
      <c r="M633" s="13">
        <v>2026</v>
      </c>
    </row>
    <row r="634" spans="1:13" ht="15.6" x14ac:dyDescent="0.3">
      <c r="A634" t="s">
        <v>587</v>
      </c>
      <c r="B634" t="s">
        <v>502</v>
      </c>
      <c r="C634" t="s">
        <v>588</v>
      </c>
      <c r="D634">
        <v>10</v>
      </c>
      <c r="E634" s="11">
        <v>742.95</v>
      </c>
      <c r="F634" s="11">
        <v>7429.5</v>
      </c>
      <c r="G634" s="11">
        <v>1200</v>
      </c>
      <c r="H634" s="5">
        <v>0</v>
      </c>
      <c r="I634" s="5">
        <v>0</v>
      </c>
      <c r="J634" s="11">
        <v>12000</v>
      </c>
      <c r="K634" s="11">
        <v>4570.5</v>
      </c>
      <c r="L634" t="s">
        <v>504</v>
      </c>
      <c r="M634" s="13">
        <v>2026</v>
      </c>
    </row>
    <row r="635" spans="1:13" ht="15.6" x14ac:dyDescent="0.3">
      <c r="A635" t="s">
        <v>502</v>
      </c>
      <c r="B635" t="s">
        <v>502</v>
      </c>
      <c r="C635" t="s">
        <v>757</v>
      </c>
      <c r="D635">
        <v>10</v>
      </c>
      <c r="E635" s="11">
        <v>0</v>
      </c>
      <c r="F635" s="11">
        <v>0</v>
      </c>
      <c r="G635" s="11">
        <v>425</v>
      </c>
      <c r="H635" s="5">
        <v>0</v>
      </c>
      <c r="I635" s="5">
        <v>0</v>
      </c>
      <c r="J635" s="11">
        <v>4250</v>
      </c>
      <c r="K635" s="11">
        <v>4250</v>
      </c>
      <c r="L635" t="s">
        <v>504</v>
      </c>
      <c r="M635" s="13">
        <v>2026</v>
      </c>
    </row>
    <row r="636" spans="1:13" ht="15.6" x14ac:dyDescent="0.3">
      <c r="A636" t="s">
        <v>502</v>
      </c>
      <c r="B636" t="s">
        <v>502</v>
      </c>
      <c r="C636" t="s">
        <v>758</v>
      </c>
      <c r="D636">
        <v>9</v>
      </c>
      <c r="E636" s="11">
        <v>0</v>
      </c>
      <c r="F636" s="11">
        <v>0</v>
      </c>
      <c r="G636" s="11">
        <v>5</v>
      </c>
      <c r="H636" s="5">
        <v>0</v>
      </c>
      <c r="I636" s="5">
        <v>0</v>
      </c>
      <c r="J636" s="11">
        <v>45</v>
      </c>
      <c r="K636" s="11">
        <v>45</v>
      </c>
      <c r="L636" t="s">
        <v>504</v>
      </c>
      <c r="M636" s="13">
        <v>2026</v>
      </c>
    </row>
    <row r="637" spans="1:13" ht="15.6" x14ac:dyDescent="0.3">
      <c r="A637" t="s">
        <v>662</v>
      </c>
      <c r="B637" t="s">
        <v>502</v>
      </c>
      <c r="C637" t="s">
        <v>663</v>
      </c>
      <c r="D637">
        <v>6</v>
      </c>
      <c r="E637" s="11">
        <v>293.13</v>
      </c>
      <c r="F637" s="11">
        <v>1758.78</v>
      </c>
      <c r="G637" s="11">
        <v>430</v>
      </c>
      <c r="H637" s="5">
        <v>0</v>
      </c>
      <c r="I637" s="5">
        <v>0</v>
      </c>
      <c r="J637" s="11">
        <v>2580</v>
      </c>
      <c r="K637" s="11">
        <v>821.22</v>
      </c>
      <c r="L637" t="s">
        <v>504</v>
      </c>
      <c r="M637" s="13">
        <v>2026</v>
      </c>
    </row>
    <row r="638" spans="1:13" ht="15.6" x14ac:dyDescent="0.3">
      <c r="A638" t="s">
        <v>555</v>
      </c>
      <c r="B638" t="s">
        <v>502</v>
      </c>
      <c r="C638" t="s">
        <v>556</v>
      </c>
      <c r="D638">
        <v>6</v>
      </c>
      <c r="E638" s="11">
        <v>945.57</v>
      </c>
      <c r="F638" s="11">
        <v>5673.42</v>
      </c>
      <c r="G638" s="11">
        <v>1375</v>
      </c>
      <c r="H638" s="5">
        <v>0</v>
      </c>
      <c r="I638" s="5">
        <v>0</v>
      </c>
      <c r="J638" s="11">
        <v>8250</v>
      </c>
      <c r="K638" s="11">
        <v>2576.58</v>
      </c>
      <c r="L638" t="s">
        <v>504</v>
      </c>
      <c r="M638" s="13">
        <v>2026</v>
      </c>
    </row>
    <row r="639" spans="1:13" ht="15.6" x14ac:dyDescent="0.3">
      <c r="A639" t="s">
        <v>565</v>
      </c>
      <c r="B639" t="s">
        <v>502</v>
      </c>
      <c r="C639" t="s">
        <v>566</v>
      </c>
      <c r="D639">
        <v>6</v>
      </c>
      <c r="E639" s="11">
        <v>90</v>
      </c>
      <c r="F639" s="11">
        <v>540</v>
      </c>
      <c r="G639" s="11">
        <v>192.46</v>
      </c>
      <c r="H639" s="5">
        <v>5.24</v>
      </c>
      <c r="I639" s="5">
        <v>0</v>
      </c>
      <c r="J639" s="11">
        <v>1154.76</v>
      </c>
      <c r="K639" s="11">
        <v>614.76</v>
      </c>
      <c r="L639" t="s">
        <v>504</v>
      </c>
      <c r="M639" s="13">
        <v>2026</v>
      </c>
    </row>
    <row r="640" spans="1:13" ht="15.6" x14ac:dyDescent="0.3">
      <c r="A640" t="s">
        <v>585</v>
      </c>
      <c r="B640" t="s">
        <v>502</v>
      </c>
      <c r="C640" t="s">
        <v>586</v>
      </c>
      <c r="D640">
        <v>5</v>
      </c>
      <c r="E640" s="11">
        <v>975.59</v>
      </c>
      <c r="F640" s="11">
        <v>4877.95</v>
      </c>
      <c r="G640" s="11">
        <v>1809.14</v>
      </c>
      <c r="H640" s="5">
        <v>0</v>
      </c>
      <c r="I640" s="5">
        <v>145.69</v>
      </c>
      <c r="J640" s="11">
        <v>9045.69</v>
      </c>
      <c r="K640" s="11">
        <v>4167.74</v>
      </c>
      <c r="L640" t="s">
        <v>504</v>
      </c>
      <c r="M640" s="13">
        <v>2026</v>
      </c>
    </row>
    <row r="641" spans="1:13" ht="15.6" x14ac:dyDescent="0.3">
      <c r="A641" t="s">
        <v>622</v>
      </c>
      <c r="B641" t="s">
        <v>502</v>
      </c>
      <c r="C641" t="s">
        <v>623</v>
      </c>
      <c r="D641">
        <v>4</v>
      </c>
      <c r="E641" s="11">
        <v>757.96</v>
      </c>
      <c r="F641" s="11">
        <v>3031.84</v>
      </c>
      <c r="G641" s="11">
        <v>1000</v>
      </c>
      <c r="H641" s="5">
        <v>0</v>
      </c>
      <c r="I641" s="5">
        <v>0</v>
      </c>
      <c r="J641" s="11">
        <v>4000</v>
      </c>
      <c r="K641" s="11">
        <v>968.16</v>
      </c>
      <c r="L641" t="s">
        <v>504</v>
      </c>
      <c r="M641" s="13">
        <v>2026</v>
      </c>
    </row>
    <row r="642" spans="1:13" ht="15.6" x14ac:dyDescent="0.3">
      <c r="A642" t="s">
        <v>502</v>
      </c>
      <c r="B642" t="s">
        <v>502</v>
      </c>
      <c r="C642" t="s">
        <v>747</v>
      </c>
      <c r="D642">
        <v>3</v>
      </c>
      <c r="E642" s="11">
        <v>0</v>
      </c>
      <c r="F642" s="11">
        <v>0</v>
      </c>
      <c r="G642" s="11">
        <v>45</v>
      </c>
      <c r="H642" s="5">
        <v>0</v>
      </c>
      <c r="I642" s="5">
        <v>0</v>
      </c>
      <c r="J642" s="11">
        <v>135</v>
      </c>
      <c r="K642" s="11">
        <v>135</v>
      </c>
      <c r="L642" t="s">
        <v>504</v>
      </c>
      <c r="M642" s="13">
        <v>2026</v>
      </c>
    </row>
    <row r="643" spans="1:13" ht="15.6" x14ac:dyDescent="0.3">
      <c r="A643" t="s">
        <v>614</v>
      </c>
      <c r="B643" t="s">
        <v>502</v>
      </c>
      <c r="C643" t="s">
        <v>615</v>
      </c>
      <c r="D643">
        <v>3</v>
      </c>
      <c r="E643" s="11">
        <v>33.56</v>
      </c>
      <c r="F643" s="11">
        <v>100.68</v>
      </c>
      <c r="G643" s="11">
        <v>53</v>
      </c>
      <c r="H643" s="5">
        <v>0</v>
      </c>
      <c r="I643" s="5">
        <v>0</v>
      </c>
      <c r="J643" s="11">
        <v>159</v>
      </c>
      <c r="K643" s="11">
        <v>58.32</v>
      </c>
      <c r="L643" t="s">
        <v>504</v>
      </c>
      <c r="M643" s="13">
        <v>2026</v>
      </c>
    </row>
    <row r="644" spans="1:13" ht="15.6" x14ac:dyDescent="0.3">
      <c r="A644" t="s">
        <v>597</v>
      </c>
      <c r="B644" t="s">
        <v>502</v>
      </c>
      <c r="C644" t="s">
        <v>598</v>
      </c>
      <c r="D644">
        <v>2</v>
      </c>
      <c r="E644" s="11">
        <v>0</v>
      </c>
      <c r="F644" s="11">
        <v>0</v>
      </c>
      <c r="G644" s="11">
        <v>199.98</v>
      </c>
      <c r="H644" s="5">
        <v>100.03</v>
      </c>
      <c r="I644" s="5">
        <v>0</v>
      </c>
      <c r="J644" s="11">
        <v>399.97</v>
      </c>
      <c r="K644" s="11">
        <v>399.97</v>
      </c>
      <c r="L644" t="s">
        <v>504</v>
      </c>
      <c r="M644" s="13">
        <v>2026</v>
      </c>
    </row>
    <row r="645" spans="1:13" ht="15.6" x14ac:dyDescent="0.3">
      <c r="A645" t="s">
        <v>605</v>
      </c>
      <c r="B645" t="s">
        <v>502</v>
      </c>
      <c r="C645" t="s">
        <v>606</v>
      </c>
      <c r="D645">
        <v>2</v>
      </c>
      <c r="E645" s="11">
        <v>20</v>
      </c>
      <c r="F645" s="11">
        <v>40</v>
      </c>
      <c r="G645" s="11">
        <v>40</v>
      </c>
      <c r="H645" s="5">
        <v>0</v>
      </c>
      <c r="I645" s="5">
        <v>0</v>
      </c>
      <c r="J645" s="11">
        <v>80</v>
      </c>
      <c r="K645" s="11">
        <v>40</v>
      </c>
      <c r="L645" t="s">
        <v>504</v>
      </c>
      <c r="M645" s="13">
        <v>2026</v>
      </c>
    </row>
    <row r="646" spans="1:13" ht="15.6" x14ac:dyDescent="0.3">
      <c r="A646" t="s">
        <v>502</v>
      </c>
      <c r="B646" t="s">
        <v>502</v>
      </c>
      <c r="C646" t="s">
        <v>759</v>
      </c>
      <c r="D646">
        <v>1</v>
      </c>
      <c r="E646" s="11">
        <v>0</v>
      </c>
      <c r="F646" s="11">
        <v>0</v>
      </c>
      <c r="G646" s="11">
        <v>45</v>
      </c>
      <c r="H646" s="5">
        <v>0</v>
      </c>
      <c r="I646" s="5">
        <v>0</v>
      </c>
      <c r="J646" s="11">
        <v>45</v>
      </c>
      <c r="K646" s="11">
        <v>45</v>
      </c>
      <c r="L646" t="s">
        <v>504</v>
      </c>
      <c r="M646" s="13">
        <v>2026</v>
      </c>
    </row>
    <row r="647" spans="1:13" ht="15.6" x14ac:dyDescent="0.3">
      <c r="A647" t="s">
        <v>575</v>
      </c>
      <c r="B647" t="s">
        <v>502</v>
      </c>
      <c r="C647" t="s">
        <v>576</v>
      </c>
      <c r="D647">
        <v>1</v>
      </c>
      <c r="E647" s="11">
        <v>3</v>
      </c>
      <c r="F647" s="11">
        <v>3</v>
      </c>
      <c r="G647" s="11">
        <v>45</v>
      </c>
      <c r="H647" s="5">
        <v>0</v>
      </c>
      <c r="I647" s="5">
        <v>0</v>
      </c>
      <c r="J647" s="11">
        <v>45</v>
      </c>
      <c r="K647" s="11">
        <v>42</v>
      </c>
      <c r="L647" t="s">
        <v>504</v>
      </c>
      <c r="M647" s="13">
        <v>2026</v>
      </c>
    </row>
    <row r="648" spans="1:13" ht="15.6" x14ac:dyDescent="0.3">
      <c r="A648" t="s">
        <v>693</v>
      </c>
      <c r="B648" t="s">
        <v>502</v>
      </c>
      <c r="C648" t="s">
        <v>679</v>
      </c>
      <c r="D648">
        <v>1</v>
      </c>
      <c r="E648" s="11">
        <v>10</v>
      </c>
      <c r="F648" s="11">
        <v>10</v>
      </c>
      <c r="G648" s="11">
        <v>37.020000000000003</v>
      </c>
      <c r="H648" s="5">
        <v>0</v>
      </c>
      <c r="I648" s="5">
        <v>2.02</v>
      </c>
      <c r="J648" s="11">
        <v>37.020000000000003</v>
      </c>
      <c r="K648" s="11">
        <v>27.02</v>
      </c>
      <c r="L648" t="s">
        <v>504</v>
      </c>
      <c r="M648" s="13">
        <v>2026</v>
      </c>
    </row>
    <row r="649" spans="1:13" ht="15.6" x14ac:dyDescent="0.3">
      <c r="A649" t="s">
        <v>502</v>
      </c>
      <c r="B649" t="s">
        <v>502</v>
      </c>
      <c r="C649" t="s">
        <v>724</v>
      </c>
      <c r="D649">
        <v>1</v>
      </c>
      <c r="E649" s="11">
        <v>0</v>
      </c>
      <c r="F649" s="11">
        <v>0</v>
      </c>
      <c r="G649" s="11">
        <v>150</v>
      </c>
      <c r="H649" s="5">
        <v>0</v>
      </c>
      <c r="I649" s="5">
        <v>0</v>
      </c>
      <c r="J649" s="11">
        <v>150</v>
      </c>
      <c r="K649" s="11">
        <v>150</v>
      </c>
      <c r="L649" t="s">
        <v>504</v>
      </c>
      <c r="M649" s="13">
        <v>2026</v>
      </c>
    </row>
    <row r="650" spans="1:13" ht="15.6" x14ac:dyDescent="0.3">
      <c r="A650" t="s">
        <v>760</v>
      </c>
      <c r="B650" t="s">
        <v>502</v>
      </c>
      <c r="C650" t="s">
        <v>761</v>
      </c>
      <c r="D650">
        <v>1</v>
      </c>
      <c r="E650" s="11">
        <v>15.34</v>
      </c>
      <c r="F650" s="11">
        <v>15.34</v>
      </c>
      <c r="G650" s="11">
        <v>20</v>
      </c>
      <c r="H650" s="5">
        <v>0</v>
      </c>
      <c r="I650" s="5">
        <v>0</v>
      </c>
      <c r="J650" s="11">
        <v>20</v>
      </c>
      <c r="K650" s="11">
        <v>4.66</v>
      </c>
      <c r="L650" t="s">
        <v>504</v>
      </c>
      <c r="M650" s="13">
        <v>2026</v>
      </c>
    </row>
    <row r="651" spans="1:13" ht="15.6" x14ac:dyDescent="0.3">
      <c r="A651" t="s">
        <v>762</v>
      </c>
      <c r="B651" t="s">
        <v>502</v>
      </c>
      <c r="C651" t="s">
        <v>763</v>
      </c>
      <c r="D651">
        <v>1</v>
      </c>
      <c r="E651" s="11">
        <v>0</v>
      </c>
      <c r="F651" s="11">
        <v>0</v>
      </c>
      <c r="G651" s="11">
        <v>45</v>
      </c>
      <c r="H651" s="5">
        <v>0</v>
      </c>
      <c r="I651" s="5">
        <v>0</v>
      </c>
      <c r="J651" s="11">
        <v>45</v>
      </c>
      <c r="K651" s="11">
        <v>45</v>
      </c>
      <c r="L651" t="s">
        <v>504</v>
      </c>
      <c r="M651" s="13">
        <v>2026</v>
      </c>
    </row>
    <row r="652" spans="1:13" ht="15.6" x14ac:dyDescent="0.3">
      <c r="A652" t="s">
        <v>561</v>
      </c>
      <c r="B652" t="s">
        <v>502</v>
      </c>
      <c r="C652" t="s">
        <v>562</v>
      </c>
      <c r="D652">
        <v>1</v>
      </c>
      <c r="E652" s="11">
        <v>5</v>
      </c>
      <c r="F652" s="11">
        <v>5</v>
      </c>
      <c r="G652" s="11">
        <v>8</v>
      </c>
      <c r="H652" s="5">
        <v>0</v>
      </c>
      <c r="I652" s="5">
        <v>0</v>
      </c>
      <c r="J652" s="11">
        <v>8</v>
      </c>
      <c r="K652" s="11">
        <v>3</v>
      </c>
      <c r="L652" t="s">
        <v>504</v>
      </c>
      <c r="M652" s="13">
        <v>2026</v>
      </c>
    </row>
    <row r="653" spans="1:13" ht="15.6" x14ac:dyDescent="0.3">
      <c r="A653" t="s">
        <v>629</v>
      </c>
      <c r="B653" t="s">
        <v>502</v>
      </c>
      <c r="C653" t="s">
        <v>630</v>
      </c>
      <c r="D653">
        <v>1</v>
      </c>
      <c r="E653" s="11">
        <v>10.58</v>
      </c>
      <c r="F653" s="11">
        <v>10.58</v>
      </c>
      <c r="G653" s="11">
        <v>22</v>
      </c>
      <c r="H653" s="5">
        <v>0</v>
      </c>
      <c r="I653" s="5">
        <v>0</v>
      </c>
      <c r="J653" s="11">
        <v>22</v>
      </c>
      <c r="K653" s="11">
        <v>11.42</v>
      </c>
      <c r="L653" t="s">
        <v>504</v>
      </c>
      <c r="M653" s="13">
        <v>2026</v>
      </c>
    </row>
    <row r="654" spans="1:13" ht="15.6" x14ac:dyDescent="0.3">
      <c r="A654" t="s">
        <v>733</v>
      </c>
      <c r="B654" t="s">
        <v>502</v>
      </c>
      <c r="C654" t="s">
        <v>734</v>
      </c>
      <c r="D654">
        <v>1</v>
      </c>
      <c r="E654" s="11">
        <v>0</v>
      </c>
      <c r="F654" s="11">
        <v>0</v>
      </c>
      <c r="G654" s="11">
        <v>350</v>
      </c>
      <c r="H654" s="5">
        <v>0</v>
      </c>
      <c r="I654" s="5">
        <v>0</v>
      </c>
      <c r="J654" s="11">
        <v>350</v>
      </c>
      <c r="K654" s="11">
        <v>350</v>
      </c>
      <c r="L654" t="s">
        <v>504</v>
      </c>
      <c r="M654" s="13">
        <v>2026</v>
      </c>
    </row>
    <row r="655" spans="1:13" ht="15.6" x14ac:dyDescent="0.3">
      <c r="A655" t="s">
        <v>697</v>
      </c>
      <c r="B655" t="s">
        <v>502</v>
      </c>
      <c r="C655" t="s">
        <v>698</v>
      </c>
      <c r="D655">
        <v>1</v>
      </c>
      <c r="E655" s="11">
        <v>65</v>
      </c>
      <c r="F655" s="11">
        <v>65</v>
      </c>
      <c r="G655" s="11">
        <v>95</v>
      </c>
      <c r="H655" s="5">
        <v>0</v>
      </c>
      <c r="I655" s="5">
        <v>0</v>
      </c>
      <c r="J655" s="11">
        <v>95</v>
      </c>
      <c r="K655" s="11">
        <v>30</v>
      </c>
      <c r="L655" t="s">
        <v>504</v>
      </c>
      <c r="M655" s="13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A442-9386-4A18-9F42-48D311BCAC64}">
  <dimension ref="A1:E334"/>
  <sheetViews>
    <sheetView showGridLines="0" topLeftCell="A311" workbookViewId="0">
      <selection activeCell="A2" sqref="A2:A334"/>
    </sheetView>
  </sheetViews>
  <sheetFormatPr defaultRowHeight="15.6" x14ac:dyDescent="0.3"/>
  <cols>
    <col min="1" max="1" width="71.6640625" style="1" bestFit="1" customWidth="1"/>
    <col min="2" max="2" width="24.109375" style="1" customWidth="1"/>
    <col min="3" max="3" width="8.88671875" style="1"/>
    <col min="4" max="4" width="25.21875" style="1" bestFit="1" customWidth="1"/>
    <col min="5" max="5" width="60.6640625" style="1" bestFit="1" customWidth="1"/>
    <col min="6" max="16384" width="8.88671875" style="1"/>
  </cols>
  <sheetData>
    <row r="1" spans="1:5" ht="30.6" customHeight="1" x14ac:dyDescent="0.3">
      <c r="A1" s="9" t="s">
        <v>359</v>
      </c>
      <c r="B1" s="9" t="s">
        <v>2</v>
      </c>
      <c r="C1" s="9" t="s">
        <v>3</v>
      </c>
      <c r="D1" s="9" t="s">
        <v>10</v>
      </c>
      <c r="E1" s="9" t="s">
        <v>11</v>
      </c>
    </row>
    <row r="2" spans="1:5" x14ac:dyDescent="0.3">
      <c r="A2" s="9" t="s">
        <v>106</v>
      </c>
      <c r="B2" s="9" t="s">
        <v>360</v>
      </c>
      <c r="C2" s="9" t="s">
        <v>361</v>
      </c>
      <c r="D2" s="9" t="s">
        <v>362</v>
      </c>
      <c r="E2" s="9" t="str">
        <f>VLOOKUP(A2,[1]relatorio_clientes!$C:$Q,15,0)</f>
        <v>26 DE SETEMBRO</v>
      </c>
    </row>
    <row r="3" spans="1:5" x14ac:dyDescent="0.3">
      <c r="A3" s="9" t="s">
        <v>66</v>
      </c>
      <c r="B3" s="9" t="s">
        <v>363</v>
      </c>
      <c r="C3" s="9" t="s">
        <v>364</v>
      </c>
      <c r="D3" s="9" t="s">
        <v>362</v>
      </c>
      <c r="E3" s="9" t="str">
        <f>B3</f>
        <v>Águas Lindas de Goiás</v>
      </c>
    </row>
    <row r="4" spans="1:5" x14ac:dyDescent="0.3">
      <c r="A4" s="9" t="s">
        <v>19</v>
      </c>
      <c r="B4" s="9" t="s">
        <v>363</v>
      </c>
      <c r="C4" s="9" t="s">
        <v>364</v>
      </c>
      <c r="D4" s="9" t="s">
        <v>365</v>
      </c>
      <c r="E4" s="9" t="str">
        <f t="shared" ref="E4:E33" si="0">B4</f>
        <v>Águas Lindas de Goiás</v>
      </c>
    </row>
    <row r="5" spans="1:5" x14ac:dyDescent="0.3">
      <c r="A5" s="9" t="s">
        <v>30</v>
      </c>
      <c r="B5" s="9" t="s">
        <v>363</v>
      </c>
      <c r="C5" s="9" t="s">
        <v>364</v>
      </c>
      <c r="D5" s="9" t="s">
        <v>365</v>
      </c>
      <c r="E5" s="9" t="str">
        <f t="shared" si="0"/>
        <v>Águas Lindas de Goiás</v>
      </c>
    </row>
    <row r="6" spans="1:5" x14ac:dyDescent="0.3">
      <c r="A6" s="9" t="s">
        <v>366</v>
      </c>
      <c r="B6" s="9" t="s">
        <v>363</v>
      </c>
      <c r="C6" s="9" t="s">
        <v>364</v>
      </c>
      <c r="D6" s="9" t="s">
        <v>365</v>
      </c>
      <c r="E6" s="9" t="str">
        <f t="shared" si="0"/>
        <v>Águas Lindas de Goiás</v>
      </c>
    </row>
    <row r="7" spans="1:5" x14ac:dyDescent="0.3">
      <c r="A7" s="9" t="s">
        <v>367</v>
      </c>
      <c r="B7" s="9" t="s">
        <v>363</v>
      </c>
      <c r="C7" s="9" t="s">
        <v>364</v>
      </c>
      <c r="D7" s="9" t="s">
        <v>368</v>
      </c>
      <c r="E7" s="9" t="str">
        <f t="shared" si="0"/>
        <v>Águas Lindas de Goiás</v>
      </c>
    </row>
    <row r="8" spans="1:5" x14ac:dyDescent="0.3">
      <c r="A8" s="9" t="s">
        <v>81</v>
      </c>
      <c r="B8" s="9" t="s">
        <v>363</v>
      </c>
      <c r="C8" s="9" t="s">
        <v>364</v>
      </c>
      <c r="D8" s="9" t="s">
        <v>368</v>
      </c>
      <c r="E8" s="9" t="str">
        <f t="shared" si="0"/>
        <v>Águas Lindas de Goiás</v>
      </c>
    </row>
    <row r="9" spans="1:5" x14ac:dyDescent="0.3">
      <c r="A9" s="9" t="s">
        <v>369</v>
      </c>
      <c r="B9" s="9" t="s">
        <v>363</v>
      </c>
      <c r="C9" s="9" t="s">
        <v>364</v>
      </c>
      <c r="D9" s="9" t="s">
        <v>368</v>
      </c>
      <c r="E9" s="9" t="str">
        <f t="shared" si="0"/>
        <v>Águas Lindas de Goiás</v>
      </c>
    </row>
    <row r="10" spans="1:5" x14ac:dyDescent="0.3">
      <c r="A10" s="9" t="s">
        <v>109</v>
      </c>
      <c r="B10" s="9" t="s">
        <v>363</v>
      </c>
      <c r="C10" s="9" t="s">
        <v>364</v>
      </c>
      <c r="D10" s="9" t="s">
        <v>365</v>
      </c>
      <c r="E10" s="9" t="str">
        <f t="shared" si="0"/>
        <v>Águas Lindas de Goiás</v>
      </c>
    </row>
    <row r="11" spans="1:5" x14ac:dyDescent="0.3">
      <c r="A11" s="9" t="s">
        <v>331</v>
      </c>
      <c r="B11" s="9" t="s">
        <v>363</v>
      </c>
      <c r="C11" s="9" t="s">
        <v>364</v>
      </c>
      <c r="D11" s="9" t="s">
        <v>370</v>
      </c>
      <c r="E11" s="9" t="str">
        <f t="shared" si="0"/>
        <v>Águas Lindas de Goiás</v>
      </c>
    </row>
    <row r="12" spans="1:5" x14ac:dyDescent="0.3">
      <c r="A12" s="9" t="s">
        <v>131</v>
      </c>
      <c r="B12" s="9" t="s">
        <v>363</v>
      </c>
      <c r="C12" s="9" t="s">
        <v>364</v>
      </c>
      <c r="D12" s="9" t="s">
        <v>365</v>
      </c>
      <c r="E12" s="9" t="str">
        <f t="shared" si="0"/>
        <v>Águas Lindas de Goiás</v>
      </c>
    </row>
    <row r="13" spans="1:5" x14ac:dyDescent="0.3">
      <c r="A13" s="9" t="s">
        <v>17</v>
      </c>
      <c r="B13" s="9" t="s">
        <v>363</v>
      </c>
      <c r="C13" s="9" t="s">
        <v>364</v>
      </c>
      <c r="D13" s="9" t="s">
        <v>365</v>
      </c>
      <c r="E13" s="9" t="str">
        <f t="shared" si="0"/>
        <v>Águas Lindas de Goiás</v>
      </c>
    </row>
    <row r="14" spans="1:5" x14ac:dyDescent="0.3">
      <c r="A14" s="9" t="s">
        <v>104</v>
      </c>
      <c r="B14" s="9" t="s">
        <v>363</v>
      </c>
      <c r="C14" s="9" t="s">
        <v>364</v>
      </c>
      <c r="D14" s="9" t="s">
        <v>370</v>
      </c>
      <c r="E14" s="9" t="str">
        <f t="shared" si="0"/>
        <v>Águas Lindas de Goiás</v>
      </c>
    </row>
    <row r="15" spans="1:5" x14ac:dyDescent="0.3">
      <c r="A15" s="9" t="s">
        <v>125</v>
      </c>
      <c r="B15" s="9" t="s">
        <v>363</v>
      </c>
      <c r="C15" s="9" t="s">
        <v>364</v>
      </c>
      <c r="D15" s="9" t="s">
        <v>368</v>
      </c>
      <c r="E15" s="9" t="str">
        <f t="shared" si="0"/>
        <v>Águas Lindas de Goiás</v>
      </c>
    </row>
    <row r="16" spans="1:5" x14ac:dyDescent="0.3">
      <c r="A16" s="9" t="s">
        <v>132</v>
      </c>
      <c r="B16" s="9" t="s">
        <v>363</v>
      </c>
      <c r="C16" s="9" t="s">
        <v>364</v>
      </c>
      <c r="D16" s="9" t="s">
        <v>365</v>
      </c>
      <c r="E16" s="9" t="str">
        <f t="shared" si="0"/>
        <v>Águas Lindas de Goiás</v>
      </c>
    </row>
    <row r="17" spans="1:5" x14ac:dyDescent="0.3">
      <c r="A17" s="9" t="s">
        <v>144</v>
      </c>
      <c r="B17" s="9" t="s">
        <v>371</v>
      </c>
      <c r="C17" s="9" t="s">
        <v>364</v>
      </c>
      <c r="D17" s="9" t="s">
        <v>365</v>
      </c>
      <c r="E17" s="9" t="str">
        <f t="shared" si="0"/>
        <v>Alexânia</v>
      </c>
    </row>
    <row r="18" spans="1:5" x14ac:dyDescent="0.3">
      <c r="A18" s="9" t="s">
        <v>145</v>
      </c>
      <c r="B18" s="9" t="s">
        <v>372</v>
      </c>
      <c r="C18" s="9" t="s">
        <v>373</v>
      </c>
      <c r="D18" s="9" t="s">
        <v>374</v>
      </c>
      <c r="E18" s="9" t="str">
        <f t="shared" si="0"/>
        <v>Ananindeua</v>
      </c>
    </row>
    <row r="19" spans="1:5" x14ac:dyDescent="0.3">
      <c r="A19" s="9" t="s">
        <v>149</v>
      </c>
      <c r="B19" s="9" t="s">
        <v>375</v>
      </c>
      <c r="C19" s="9" t="s">
        <v>364</v>
      </c>
      <c r="D19" s="9" t="s">
        <v>362</v>
      </c>
      <c r="E19" s="9" t="str">
        <f t="shared" si="0"/>
        <v>Anápolis</v>
      </c>
    </row>
    <row r="20" spans="1:5" x14ac:dyDescent="0.3">
      <c r="A20" s="9" t="s">
        <v>150</v>
      </c>
      <c r="B20" s="9" t="s">
        <v>375</v>
      </c>
      <c r="C20" s="9" t="s">
        <v>364</v>
      </c>
      <c r="D20" s="9" t="s">
        <v>362</v>
      </c>
      <c r="E20" s="9" t="str">
        <f t="shared" si="0"/>
        <v>Anápolis</v>
      </c>
    </row>
    <row r="21" spans="1:5" x14ac:dyDescent="0.3">
      <c r="A21" s="9" t="s">
        <v>152</v>
      </c>
      <c r="B21" s="9" t="s">
        <v>376</v>
      </c>
      <c r="C21" s="9" t="s">
        <v>364</v>
      </c>
      <c r="D21" s="9" t="s">
        <v>377</v>
      </c>
      <c r="E21" s="9" t="str">
        <f t="shared" si="0"/>
        <v>Aparecida de Goiânia</v>
      </c>
    </row>
    <row r="22" spans="1:5" x14ac:dyDescent="0.3">
      <c r="A22" s="9" t="s">
        <v>154</v>
      </c>
      <c r="B22" s="9" t="s">
        <v>376</v>
      </c>
      <c r="C22" s="9" t="s">
        <v>364</v>
      </c>
      <c r="D22" s="9" t="s">
        <v>377</v>
      </c>
      <c r="E22" s="9" t="str">
        <f t="shared" si="0"/>
        <v>Aparecida de Goiânia</v>
      </c>
    </row>
    <row r="23" spans="1:5" x14ac:dyDescent="0.3">
      <c r="A23" s="9" t="s">
        <v>151</v>
      </c>
      <c r="B23" s="9" t="s">
        <v>376</v>
      </c>
      <c r="C23" s="9" t="s">
        <v>364</v>
      </c>
      <c r="D23" s="9" t="s">
        <v>362</v>
      </c>
      <c r="E23" s="9" t="str">
        <f t="shared" si="0"/>
        <v>Aparecida de Goiânia</v>
      </c>
    </row>
    <row r="24" spans="1:5" x14ac:dyDescent="0.3">
      <c r="A24" s="9" t="s">
        <v>378</v>
      </c>
      <c r="B24" s="9" t="s">
        <v>376</v>
      </c>
      <c r="C24" s="9" t="s">
        <v>364</v>
      </c>
      <c r="D24" s="9" t="s">
        <v>362</v>
      </c>
      <c r="E24" s="9" t="str">
        <f t="shared" si="0"/>
        <v>Aparecida de Goiânia</v>
      </c>
    </row>
    <row r="25" spans="1:5" x14ac:dyDescent="0.3">
      <c r="A25" s="9" t="s">
        <v>379</v>
      </c>
      <c r="B25" s="9" t="s">
        <v>376</v>
      </c>
      <c r="C25" s="9" t="s">
        <v>364</v>
      </c>
      <c r="D25" s="9" t="s">
        <v>370</v>
      </c>
      <c r="E25" s="9" t="str">
        <f t="shared" si="0"/>
        <v>Aparecida de Goiânia</v>
      </c>
    </row>
    <row r="26" spans="1:5" x14ac:dyDescent="0.3">
      <c r="A26" s="9" t="s">
        <v>157</v>
      </c>
      <c r="B26" s="9" t="s">
        <v>376</v>
      </c>
      <c r="C26" s="9" t="s">
        <v>364</v>
      </c>
      <c r="D26" s="9" t="s">
        <v>362</v>
      </c>
      <c r="E26" s="9" t="str">
        <f t="shared" si="0"/>
        <v>Aparecida de Goiânia</v>
      </c>
    </row>
    <row r="27" spans="1:5" x14ac:dyDescent="0.3">
      <c r="A27" s="9" t="s">
        <v>175</v>
      </c>
      <c r="B27" s="9" t="s">
        <v>380</v>
      </c>
      <c r="C27" s="9" t="s">
        <v>381</v>
      </c>
      <c r="D27" s="9" t="s">
        <v>362</v>
      </c>
      <c r="E27" s="9" t="str">
        <f t="shared" si="0"/>
        <v>Araguari</v>
      </c>
    </row>
    <row r="28" spans="1:5" x14ac:dyDescent="0.3">
      <c r="A28" s="9" t="s">
        <v>174</v>
      </c>
      <c r="B28" s="9" t="s">
        <v>380</v>
      </c>
      <c r="C28" s="9" t="s">
        <v>381</v>
      </c>
      <c r="D28" s="9" t="s">
        <v>362</v>
      </c>
      <c r="E28" s="9" t="str">
        <f t="shared" si="0"/>
        <v>Araguari</v>
      </c>
    </row>
    <row r="29" spans="1:5" x14ac:dyDescent="0.3">
      <c r="A29" s="9" t="s">
        <v>177</v>
      </c>
      <c r="B29" s="9" t="s">
        <v>382</v>
      </c>
      <c r="C29" s="9" t="s">
        <v>373</v>
      </c>
      <c r="D29" s="9" t="s">
        <v>362</v>
      </c>
      <c r="E29" s="9" t="str">
        <f t="shared" si="0"/>
        <v xml:space="preserve">Belém </v>
      </c>
    </row>
    <row r="30" spans="1:5" x14ac:dyDescent="0.3">
      <c r="A30" s="9" t="s">
        <v>178</v>
      </c>
      <c r="B30" s="9" t="s">
        <v>382</v>
      </c>
      <c r="C30" s="9" t="s">
        <v>373</v>
      </c>
      <c r="D30" s="9" t="s">
        <v>362</v>
      </c>
      <c r="E30" s="9" t="str">
        <f t="shared" si="0"/>
        <v xml:space="preserve">Belém </v>
      </c>
    </row>
    <row r="31" spans="1:5" x14ac:dyDescent="0.3">
      <c r="A31" s="9" t="s">
        <v>179</v>
      </c>
      <c r="B31" s="9" t="s">
        <v>383</v>
      </c>
      <c r="C31" s="9" t="s">
        <v>381</v>
      </c>
      <c r="D31" s="9" t="s">
        <v>370</v>
      </c>
      <c r="E31" s="9" t="str">
        <f t="shared" si="0"/>
        <v>Brasilândia de Minas</v>
      </c>
    </row>
    <row r="32" spans="1:5" x14ac:dyDescent="0.3">
      <c r="A32" s="9" t="s">
        <v>181</v>
      </c>
      <c r="B32" s="9" t="s">
        <v>383</v>
      </c>
      <c r="C32" s="9" t="s">
        <v>381</v>
      </c>
      <c r="D32" s="9" t="s">
        <v>365</v>
      </c>
      <c r="E32" s="9" t="str">
        <f t="shared" si="0"/>
        <v>Brasilândia de Minas</v>
      </c>
    </row>
    <row r="33" spans="1:5" x14ac:dyDescent="0.3">
      <c r="A33" s="9" t="s">
        <v>182</v>
      </c>
      <c r="B33" s="9" t="s">
        <v>383</v>
      </c>
      <c r="C33" s="9" t="s">
        <v>381</v>
      </c>
      <c r="D33" s="9" t="s">
        <v>374</v>
      </c>
      <c r="E33" s="9" t="str">
        <f t="shared" si="0"/>
        <v>Brasilândia de Minas</v>
      </c>
    </row>
    <row r="34" spans="1:5" x14ac:dyDescent="0.3">
      <c r="A34" s="9" t="s">
        <v>99</v>
      </c>
      <c r="B34" s="9" t="s">
        <v>360</v>
      </c>
      <c r="C34" s="9" t="s">
        <v>361</v>
      </c>
      <c r="D34" s="9" t="s">
        <v>362</v>
      </c>
      <c r="E34" s="9" t="str">
        <f>VLOOKUP(A34,[1]relatorio_clientes!$C:$Q,15,0)</f>
        <v>ARAPOANGA (PLANALTINA)</v>
      </c>
    </row>
    <row r="35" spans="1:5" x14ac:dyDescent="0.3">
      <c r="A35" s="9" t="s">
        <v>57</v>
      </c>
      <c r="B35" s="9" t="s">
        <v>360</v>
      </c>
      <c r="C35" s="9" t="s">
        <v>361</v>
      </c>
      <c r="D35" s="9" t="s">
        <v>365</v>
      </c>
      <c r="E35" s="9" t="str">
        <f>VLOOKUP(A35,[1]relatorio_clientes!$C:$Q,15,0)</f>
        <v>ARAPOANGA (PLANALTINA)</v>
      </c>
    </row>
    <row r="36" spans="1:5" x14ac:dyDescent="0.3">
      <c r="A36" s="9" t="s">
        <v>100</v>
      </c>
      <c r="B36" s="9" t="s">
        <v>363</v>
      </c>
      <c r="C36" s="9" t="s">
        <v>364</v>
      </c>
      <c r="D36" s="9" t="s">
        <v>370</v>
      </c>
      <c r="E36" s="9" t="str">
        <f>B36</f>
        <v>Águas Lindas de Goiás</v>
      </c>
    </row>
    <row r="37" spans="1:5" x14ac:dyDescent="0.3">
      <c r="A37" s="9" t="s">
        <v>255</v>
      </c>
      <c r="B37" s="9" t="s">
        <v>360</v>
      </c>
      <c r="C37" s="9" t="s">
        <v>361</v>
      </c>
      <c r="D37" s="9" t="s">
        <v>362</v>
      </c>
      <c r="E37" s="9" t="s">
        <v>384</v>
      </c>
    </row>
    <row r="38" spans="1:5" x14ac:dyDescent="0.3">
      <c r="A38" s="9" t="s">
        <v>385</v>
      </c>
      <c r="B38" s="9" t="s">
        <v>360</v>
      </c>
      <c r="C38" s="9" t="s">
        <v>361</v>
      </c>
      <c r="D38" s="9" t="s">
        <v>368</v>
      </c>
      <c r="E38" s="9" t="s">
        <v>384</v>
      </c>
    </row>
    <row r="39" spans="1:5" x14ac:dyDescent="0.3">
      <c r="A39" s="9" t="s">
        <v>123</v>
      </c>
      <c r="B39" s="9" t="s">
        <v>360</v>
      </c>
      <c r="C39" s="9" t="s">
        <v>361</v>
      </c>
      <c r="D39" s="9" t="s">
        <v>362</v>
      </c>
      <c r="E39" s="9" t="s">
        <v>386</v>
      </c>
    </row>
    <row r="40" spans="1:5" x14ac:dyDescent="0.3">
      <c r="A40" s="9" t="s">
        <v>205</v>
      </c>
      <c r="B40" s="9" t="s">
        <v>360</v>
      </c>
      <c r="C40" s="9" t="s">
        <v>361</v>
      </c>
      <c r="D40" s="9" t="s">
        <v>387</v>
      </c>
      <c r="E40" s="9" t="str">
        <f>VLOOKUP(A40,[1]relatorio_clientes!$C:$Q,15,0)</f>
        <v>AREAL (AGUAS CLARAS)</v>
      </c>
    </row>
    <row r="41" spans="1:5" x14ac:dyDescent="0.3">
      <c r="A41" s="9" t="s">
        <v>147</v>
      </c>
      <c r="B41" s="9" t="s">
        <v>360</v>
      </c>
      <c r="C41" s="9" t="s">
        <v>361</v>
      </c>
      <c r="D41" s="9" t="s">
        <v>368</v>
      </c>
      <c r="E41" s="9" t="str">
        <f>VLOOKUP(A41,[1]relatorio_clientes!$C:$Q,15,0)</f>
        <v>AREAL (AGUAS CLARAS)</v>
      </c>
    </row>
    <row r="42" spans="1:5" x14ac:dyDescent="0.3">
      <c r="A42" s="9" t="s">
        <v>139</v>
      </c>
      <c r="B42" s="9" t="s">
        <v>360</v>
      </c>
      <c r="C42" s="9" t="s">
        <v>361</v>
      </c>
      <c r="D42" s="9" t="s">
        <v>368</v>
      </c>
      <c r="E42" s="9" t="str">
        <f>VLOOKUP(A42,[1]relatorio_clientes!$C:$Q,15,0)</f>
        <v>AREAL (AGUAS CLARAS)</v>
      </c>
    </row>
    <row r="43" spans="1:5" x14ac:dyDescent="0.3">
      <c r="A43" s="9" t="s">
        <v>232</v>
      </c>
      <c r="B43" s="9" t="s">
        <v>360</v>
      </c>
      <c r="C43" s="9" t="s">
        <v>361</v>
      </c>
      <c r="D43" s="9" t="s">
        <v>388</v>
      </c>
      <c r="E43" s="9" t="str">
        <f>VLOOKUP(A43,[1]relatorio_clientes!$B:$Q,16,0)</f>
        <v>Areal (Águas Claras)</v>
      </c>
    </row>
    <row r="44" spans="1:5" x14ac:dyDescent="0.3">
      <c r="A44" s="9" t="s">
        <v>282</v>
      </c>
      <c r="B44" s="9" t="s">
        <v>360</v>
      </c>
      <c r="C44" s="9" t="s">
        <v>361</v>
      </c>
      <c r="D44" s="9" t="s">
        <v>389</v>
      </c>
      <c r="E44" s="9" t="str">
        <f>VLOOKUP(A44,[1]relatorio_clientes!$B:$Q,16,0)</f>
        <v>Areal (Águas Claras)</v>
      </c>
    </row>
    <row r="45" spans="1:5" x14ac:dyDescent="0.3">
      <c r="A45" s="9" t="s">
        <v>226</v>
      </c>
      <c r="B45" s="9" t="s">
        <v>360</v>
      </c>
      <c r="C45" s="9" t="s">
        <v>361</v>
      </c>
      <c r="D45" s="9" t="s">
        <v>368</v>
      </c>
      <c r="E45" s="9" t="str">
        <f>VLOOKUP(A45,[1]relatorio_clientes!$B:$Q,16,0)</f>
        <v>Areal (Águas Claras)</v>
      </c>
    </row>
    <row r="46" spans="1:5" x14ac:dyDescent="0.3">
      <c r="A46" s="9" t="s">
        <v>240</v>
      </c>
      <c r="B46" s="9" t="s">
        <v>360</v>
      </c>
      <c r="C46" s="9" t="s">
        <v>361</v>
      </c>
      <c r="D46" s="9" t="s">
        <v>368</v>
      </c>
      <c r="E46" s="9" t="str">
        <f>VLOOKUP(A46,[1]relatorio_clientes!$B:$Q,16,0)</f>
        <v>Asa Norte</v>
      </c>
    </row>
    <row r="47" spans="1:5" x14ac:dyDescent="0.3">
      <c r="A47" s="9" t="s">
        <v>390</v>
      </c>
      <c r="B47" s="9" t="s">
        <v>360</v>
      </c>
      <c r="C47" s="9" t="s">
        <v>361</v>
      </c>
      <c r="D47" s="9" t="s">
        <v>368</v>
      </c>
      <c r="E47" s="9" t="str">
        <f>VLOOKUP(A47,[1]relatorio_clientes!$C:$Q,15,0)</f>
        <v>ASA NORTE</v>
      </c>
    </row>
    <row r="48" spans="1:5" x14ac:dyDescent="0.3">
      <c r="A48" s="9" t="s">
        <v>114</v>
      </c>
      <c r="B48" s="9" t="s">
        <v>360</v>
      </c>
      <c r="C48" s="9" t="s">
        <v>361</v>
      </c>
      <c r="D48" s="9" t="s">
        <v>368</v>
      </c>
      <c r="E48" s="9" t="str">
        <f>VLOOKUP(A48,[1]relatorio_clientes!$C:$Q,15,0)</f>
        <v>ASA NORTE</v>
      </c>
    </row>
    <row r="49" spans="1:5" x14ac:dyDescent="0.3">
      <c r="A49" s="9" t="s">
        <v>172</v>
      </c>
      <c r="B49" s="9" t="s">
        <v>360</v>
      </c>
      <c r="C49" s="9" t="s">
        <v>361</v>
      </c>
      <c r="D49" s="9" t="s">
        <v>368</v>
      </c>
      <c r="E49" s="9" t="str">
        <f>VLOOKUP(A49,[1]relatorio_clientes!$C:$Q,15,0)</f>
        <v>ASA SUL</v>
      </c>
    </row>
    <row r="50" spans="1:5" x14ac:dyDescent="0.3">
      <c r="A50" s="9" t="s">
        <v>121</v>
      </c>
      <c r="B50" s="9" t="s">
        <v>360</v>
      </c>
      <c r="C50" s="9" t="s">
        <v>361</v>
      </c>
      <c r="D50" s="9" t="s">
        <v>368</v>
      </c>
      <c r="E50" s="9" t="str">
        <f>VLOOKUP(A50,[1]relatorio_clientes!$C:$Q,15,0)</f>
        <v>Asa Sul</v>
      </c>
    </row>
    <row r="51" spans="1:5" x14ac:dyDescent="0.3">
      <c r="A51" s="9" t="s">
        <v>391</v>
      </c>
      <c r="B51" s="9" t="s">
        <v>360</v>
      </c>
      <c r="C51" s="9" t="s">
        <v>361</v>
      </c>
      <c r="D51" s="9" t="s">
        <v>368</v>
      </c>
      <c r="E51" s="9" t="str">
        <f>VLOOKUP(A51,[1]relatorio_clientes!$C:$Q,15,0)</f>
        <v>ASA SUL</v>
      </c>
    </row>
    <row r="52" spans="1:5" x14ac:dyDescent="0.3">
      <c r="A52" s="9" t="s">
        <v>13</v>
      </c>
      <c r="B52" s="9" t="s">
        <v>360</v>
      </c>
      <c r="C52" s="9" t="s">
        <v>361</v>
      </c>
      <c r="D52" s="9" t="s">
        <v>362</v>
      </c>
      <c r="E52" s="9" t="str">
        <f>VLOOKUP(A52,[1]relatorio_clientes!$C:$Q,15,0)</f>
        <v>CANDANGOLANDIA</v>
      </c>
    </row>
    <row r="53" spans="1:5" x14ac:dyDescent="0.3">
      <c r="A53" s="9" t="s">
        <v>167</v>
      </c>
      <c r="B53" s="9" t="s">
        <v>360</v>
      </c>
      <c r="C53" s="9" t="s">
        <v>361</v>
      </c>
      <c r="D53" s="9" t="s">
        <v>365</v>
      </c>
      <c r="E53" s="9" t="str">
        <f>VLOOKUP(A53,[1]relatorio_clientes!$C:$Q,15,0)</f>
        <v>CEILANDIA</v>
      </c>
    </row>
    <row r="54" spans="1:5" x14ac:dyDescent="0.3">
      <c r="A54" s="9" t="s">
        <v>162</v>
      </c>
      <c r="B54" s="9" t="s">
        <v>360</v>
      </c>
      <c r="C54" s="9" t="s">
        <v>361</v>
      </c>
      <c r="D54" s="9" t="s">
        <v>368</v>
      </c>
      <c r="E54" s="9" t="str">
        <f>VLOOKUP(A54,[1]relatorio_clientes!$C:$Q,15,0)</f>
        <v>CEILANDIA</v>
      </c>
    </row>
    <row r="55" spans="1:5" x14ac:dyDescent="0.3">
      <c r="A55" s="9" t="s">
        <v>97</v>
      </c>
      <c r="B55" s="9" t="s">
        <v>360</v>
      </c>
      <c r="C55" s="9" t="s">
        <v>361</v>
      </c>
      <c r="D55" s="9" t="s">
        <v>365</v>
      </c>
      <c r="E55" s="9" t="str">
        <f>VLOOKUP(A55,[1]relatorio_clientes!$C:$Q,15,0)</f>
        <v>CEILANDIA NORTE</v>
      </c>
    </row>
    <row r="56" spans="1:5" x14ac:dyDescent="0.3">
      <c r="A56" s="9" t="s">
        <v>176</v>
      </c>
      <c r="B56" s="9" t="s">
        <v>360</v>
      </c>
      <c r="C56" s="9" t="s">
        <v>361</v>
      </c>
      <c r="D56" s="9" t="s">
        <v>374</v>
      </c>
      <c r="E56" s="9" t="str">
        <f>VLOOKUP(A56,[1]relatorio_clientes!$C:$Q,15,0)</f>
        <v>CEILANDIA NORTE</v>
      </c>
    </row>
    <row r="57" spans="1:5" x14ac:dyDescent="0.3">
      <c r="A57" s="9" t="s">
        <v>138</v>
      </c>
      <c r="B57" s="9" t="s">
        <v>360</v>
      </c>
      <c r="C57" s="9" t="s">
        <v>361</v>
      </c>
      <c r="D57" s="9" t="s">
        <v>374</v>
      </c>
      <c r="E57" s="9" t="str">
        <f>VLOOKUP(A57,[1]relatorio_clientes!$C:$Q,15,0)</f>
        <v>CEILANDIA NORTE (CEILANDIA)</v>
      </c>
    </row>
    <row r="58" spans="1:5" x14ac:dyDescent="0.3">
      <c r="A58" s="9" t="s">
        <v>96</v>
      </c>
      <c r="B58" s="9" t="s">
        <v>360</v>
      </c>
      <c r="C58" s="9" t="s">
        <v>361</v>
      </c>
      <c r="D58" s="9" t="s">
        <v>370</v>
      </c>
      <c r="E58" s="9" t="str">
        <f>VLOOKUP(A58,[1]relatorio_clientes!$C:$Q,15,0)</f>
        <v>CEILANDIA NORTE (CEILANDIA)</v>
      </c>
    </row>
    <row r="59" spans="1:5" x14ac:dyDescent="0.3">
      <c r="A59" s="9" t="s">
        <v>25</v>
      </c>
      <c r="B59" s="9" t="s">
        <v>360</v>
      </c>
      <c r="C59" s="9" t="s">
        <v>361</v>
      </c>
      <c r="D59" s="9" t="s">
        <v>362</v>
      </c>
      <c r="E59" s="9" t="str">
        <f>VLOOKUP(A59,[1]relatorio_clientes!$C:$Q,15,0)</f>
        <v>CEILANDIA NORTE (CEILANDIA)</v>
      </c>
    </row>
    <row r="60" spans="1:5" x14ac:dyDescent="0.3">
      <c r="A60" s="9" t="s">
        <v>130</v>
      </c>
      <c r="B60" s="9" t="s">
        <v>360</v>
      </c>
      <c r="C60" s="9" t="s">
        <v>361</v>
      </c>
      <c r="D60" s="9" t="s">
        <v>370</v>
      </c>
      <c r="E60" s="9" t="str">
        <f>VLOOKUP(A60,[1]relatorio_clientes!$C:$Q,15,0)</f>
        <v>CEILANDIA NORTE (CEILANDIA)</v>
      </c>
    </row>
    <row r="61" spans="1:5" x14ac:dyDescent="0.3">
      <c r="A61" s="9" t="s">
        <v>160</v>
      </c>
      <c r="B61" s="9" t="s">
        <v>360</v>
      </c>
      <c r="C61" s="9" t="s">
        <v>361</v>
      </c>
      <c r="D61" s="9" t="s">
        <v>368</v>
      </c>
      <c r="E61" s="9" t="str">
        <f>VLOOKUP(A61,[1]relatorio_clientes!$B:$Q,16,0)</f>
        <v>Ceilândia Norte (Ceilândia)</v>
      </c>
    </row>
    <row r="62" spans="1:5" x14ac:dyDescent="0.3">
      <c r="A62" s="9" t="s">
        <v>257</v>
      </c>
      <c r="B62" s="9" t="s">
        <v>360</v>
      </c>
      <c r="C62" s="9" t="s">
        <v>361</v>
      </c>
      <c r="D62" s="9" t="s">
        <v>365</v>
      </c>
      <c r="E62" s="9" t="str">
        <f>VLOOKUP(A62,[1]relatorio_clientes!$B:$Q,16,0)</f>
        <v>Ceilândia Norte (Ceilândia)</v>
      </c>
    </row>
    <row r="63" spans="1:5" x14ac:dyDescent="0.3">
      <c r="A63" s="9" t="s">
        <v>392</v>
      </c>
      <c r="B63" s="9" t="s">
        <v>360</v>
      </c>
      <c r="C63" s="9" t="s">
        <v>361</v>
      </c>
      <c r="D63" s="9" t="s">
        <v>365</v>
      </c>
      <c r="E63" s="9" t="str">
        <f>VLOOKUP(A63,[1]relatorio_clientes!$B:$Q,16,0)</f>
        <v>Ceilândia Norte (Ceilândia)</v>
      </c>
    </row>
    <row r="64" spans="1:5" x14ac:dyDescent="0.3">
      <c r="A64" s="9" t="s">
        <v>187</v>
      </c>
      <c r="B64" s="9" t="s">
        <v>360</v>
      </c>
      <c r="C64" s="9" t="s">
        <v>361</v>
      </c>
      <c r="D64" s="9" t="s">
        <v>365</v>
      </c>
      <c r="E64" s="9" t="str">
        <f>VLOOKUP(A64,[1]relatorio_clientes!$C:$Q,15,0)</f>
        <v>CEILANDIA SUL (CEILANDIA)</v>
      </c>
    </row>
    <row r="65" spans="1:5" x14ac:dyDescent="0.3">
      <c r="A65" s="9" t="s">
        <v>36</v>
      </c>
      <c r="B65" s="9" t="s">
        <v>360</v>
      </c>
      <c r="C65" s="9" t="s">
        <v>361</v>
      </c>
      <c r="D65" s="9" t="s">
        <v>365</v>
      </c>
      <c r="E65" s="9" t="str">
        <f>VLOOKUP(A65,[1]relatorio_clientes!$C:$Q,15,0)</f>
        <v>CEILANDIA SUL (CEILANDIA)</v>
      </c>
    </row>
    <row r="66" spans="1:5" x14ac:dyDescent="0.3">
      <c r="A66" s="9" t="s">
        <v>127</v>
      </c>
      <c r="B66" s="9" t="s">
        <v>360</v>
      </c>
      <c r="C66" s="9" t="s">
        <v>361</v>
      </c>
      <c r="D66" s="9" t="s">
        <v>362</v>
      </c>
      <c r="E66" s="9" t="str">
        <f>VLOOKUP(A66,[1]relatorio_clientes!$C:$Q,15,0)</f>
        <v>CEILANDIA SUL (CEILANDIA)</v>
      </c>
    </row>
    <row r="67" spans="1:5" x14ac:dyDescent="0.3">
      <c r="A67" s="9" t="s">
        <v>52</v>
      </c>
      <c r="B67" s="9" t="s">
        <v>360</v>
      </c>
      <c r="C67" s="9" t="s">
        <v>361</v>
      </c>
      <c r="D67" s="9" t="s">
        <v>365</v>
      </c>
      <c r="E67" s="9" t="str">
        <f>VLOOKUP(A67,[1]relatorio_clientes!$B:$Q,16,0)</f>
        <v>Ceilândia Sul (Ceilândia)</v>
      </c>
    </row>
    <row r="68" spans="1:5" x14ac:dyDescent="0.3">
      <c r="A68" s="9" t="s">
        <v>280</v>
      </c>
      <c r="B68" s="9" t="s">
        <v>360</v>
      </c>
      <c r="C68" s="9" t="s">
        <v>361</v>
      </c>
      <c r="D68" s="9" t="s">
        <v>368</v>
      </c>
      <c r="E68" s="9" t="str">
        <f>VLOOKUP(A68,[1]relatorio_clientes!$B:$Q,16,0)</f>
        <v>Ceilândia Sul (Ceilândia)</v>
      </c>
    </row>
    <row r="69" spans="1:5" x14ac:dyDescent="0.3">
      <c r="A69" s="9" t="s">
        <v>113</v>
      </c>
      <c r="B69" s="9" t="s">
        <v>360</v>
      </c>
      <c r="C69" s="9" t="s">
        <v>361</v>
      </c>
      <c r="D69" s="9" t="s">
        <v>362</v>
      </c>
      <c r="E69" s="9" t="str">
        <f>VLOOKUP(A69,[1]relatorio_clientes!$C:$Q,15,0)</f>
        <v>FAZENDA MESTRE D'ARMAS (ETAPA I - PLANALTINA)</v>
      </c>
    </row>
    <row r="70" spans="1:5" x14ac:dyDescent="0.3">
      <c r="A70" s="9" t="s">
        <v>393</v>
      </c>
      <c r="B70" s="9" t="s">
        <v>360</v>
      </c>
      <c r="C70" s="9" t="s">
        <v>361</v>
      </c>
      <c r="D70" s="9" t="s">
        <v>365</v>
      </c>
      <c r="E70" s="9" t="str">
        <f>VLOOKUP(A70,[1]relatorio_clientes!$C:$Q,15,0)</f>
        <v>FAZENDINHA (ITAPOA)</v>
      </c>
    </row>
    <row r="71" spans="1:5" x14ac:dyDescent="0.3">
      <c r="A71" s="9" t="s">
        <v>80</v>
      </c>
      <c r="B71" s="9" t="s">
        <v>360</v>
      </c>
      <c r="C71" s="9" t="s">
        <v>361</v>
      </c>
      <c r="D71" s="9" t="s">
        <v>370</v>
      </c>
      <c r="E71" s="9" t="str">
        <f>VLOOKUP(A71,[1]relatorio_clientes!$B:$Q,16,0)</f>
        <v>JOKEY</v>
      </c>
    </row>
    <row r="72" spans="1:5" x14ac:dyDescent="0.3">
      <c r="A72" s="9" t="s">
        <v>115</v>
      </c>
      <c r="B72" s="9" t="s">
        <v>360</v>
      </c>
      <c r="C72" s="9" t="s">
        <v>361</v>
      </c>
      <c r="D72" s="9" t="s">
        <v>389</v>
      </c>
      <c r="E72" s="9" t="s">
        <v>394</v>
      </c>
    </row>
    <row r="73" spans="1:5" x14ac:dyDescent="0.3">
      <c r="A73" s="9" t="s">
        <v>20</v>
      </c>
      <c r="B73" s="9" t="s">
        <v>360</v>
      </c>
      <c r="C73" s="9" t="s">
        <v>361</v>
      </c>
      <c r="D73" s="9" t="s">
        <v>388</v>
      </c>
      <c r="E73" s="9" t="s">
        <v>394</v>
      </c>
    </row>
    <row r="74" spans="1:5" x14ac:dyDescent="0.3">
      <c r="A74" s="9" t="s">
        <v>120</v>
      </c>
      <c r="B74" s="9" t="s">
        <v>360</v>
      </c>
      <c r="C74" s="9" t="s">
        <v>361</v>
      </c>
      <c r="D74" s="9" t="s">
        <v>370</v>
      </c>
      <c r="E74" s="9" t="s">
        <v>395</v>
      </c>
    </row>
    <row r="75" spans="1:5" x14ac:dyDescent="0.3">
      <c r="A75" s="9" t="s">
        <v>396</v>
      </c>
      <c r="B75" s="9" t="s">
        <v>360</v>
      </c>
      <c r="C75" s="9" t="s">
        <v>361</v>
      </c>
      <c r="D75" s="9" t="s">
        <v>368</v>
      </c>
      <c r="E75" s="9" t="s">
        <v>394</v>
      </c>
    </row>
    <row r="76" spans="1:5" x14ac:dyDescent="0.3">
      <c r="A76" s="9" t="s">
        <v>397</v>
      </c>
      <c r="B76" s="9" t="s">
        <v>360</v>
      </c>
      <c r="C76" s="9" t="s">
        <v>361</v>
      </c>
      <c r="D76" s="9" t="s">
        <v>368</v>
      </c>
      <c r="E76" s="9" t="s">
        <v>394</v>
      </c>
    </row>
    <row r="77" spans="1:5" x14ac:dyDescent="0.3">
      <c r="A77" s="9" t="s">
        <v>297</v>
      </c>
      <c r="B77" s="9" t="s">
        <v>360</v>
      </c>
      <c r="C77" s="9" t="s">
        <v>361</v>
      </c>
      <c r="D77" s="9" t="s">
        <v>365</v>
      </c>
      <c r="E77" s="9" t="s">
        <v>394</v>
      </c>
    </row>
    <row r="78" spans="1:5" x14ac:dyDescent="0.3">
      <c r="A78" s="9" t="s">
        <v>293</v>
      </c>
      <c r="B78" s="9" t="s">
        <v>360</v>
      </c>
      <c r="C78" s="9" t="s">
        <v>361</v>
      </c>
      <c r="D78" s="9" t="s">
        <v>365</v>
      </c>
      <c r="E78" s="9" t="s">
        <v>394</v>
      </c>
    </row>
    <row r="79" spans="1:5" x14ac:dyDescent="0.3">
      <c r="A79" s="9" t="s">
        <v>263</v>
      </c>
      <c r="B79" s="9" t="s">
        <v>360</v>
      </c>
      <c r="C79" s="9" t="s">
        <v>361</v>
      </c>
      <c r="D79" s="9" t="s">
        <v>368</v>
      </c>
      <c r="E79" s="9" t="s">
        <v>394</v>
      </c>
    </row>
    <row r="80" spans="1:5" x14ac:dyDescent="0.3">
      <c r="A80" s="9" t="s">
        <v>248</v>
      </c>
      <c r="B80" s="9" t="s">
        <v>360</v>
      </c>
      <c r="C80" s="9" t="s">
        <v>361</v>
      </c>
      <c r="D80" s="9" t="s">
        <v>368</v>
      </c>
      <c r="E80" s="9" t="s">
        <v>394</v>
      </c>
    </row>
    <row r="81" spans="1:5" x14ac:dyDescent="0.3">
      <c r="A81" s="9" t="s">
        <v>285</v>
      </c>
      <c r="B81" s="9" t="s">
        <v>360</v>
      </c>
      <c r="C81" s="9" t="s">
        <v>361</v>
      </c>
      <c r="D81" s="9" t="s">
        <v>368</v>
      </c>
      <c r="E81" s="9" t="s">
        <v>394</v>
      </c>
    </row>
    <row r="82" spans="1:5" x14ac:dyDescent="0.3">
      <c r="A82" s="9" t="s">
        <v>270</v>
      </c>
      <c r="B82" s="9" t="s">
        <v>360</v>
      </c>
      <c r="C82" s="9" t="s">
        <v>361</v>
      </c>
      <c r="D82" s="9" t="s">
        <v>368</v>
      </c>
      <c r="E82" s="9" t="s">
        <v>394</v>
      </c>
    </row>
    <row r="83" spans="1:5" x14ac:dyDescent="0.3">
      <c r="A83" s="9" t="s">
        <v>249</v>
      </c>
      <c r="B83" s="9" t="s">
        <v>360</v>
      </c>
      <c r="C83" s="9" t="s">
        <v>361</v>
      </c>
      <c r="D83" s="9" t="s">
        <v>368</v>
      </c>
      <c r="E83" s="9" t="s">
        <v>394</v>
      </c>
    </row>
    <row r="84" spans="1:5" x14ac:dyDescent="0.3">
      <c r="A84" s="9" t="s">
        <v>261</v>
      </c>
      <c r="B84" s="9" t="s">
        <v>360</v>
      </c>
      <c r="C84" s="9" t="s">
        <v>361</v>
      </c>
      <c r="D84" s="9" t="s">
        <v>368</v>
      </c>
      <c r="E84" s="9" t="s">
        <v>394</v>
      </c>
    </row>
    <row r="85" spans="1:5" x14ac:dyDescent="0.3">
      <c r="A85" s="9" t="s">
        <v>268</v>
      </c>
      <c r="B85" s="9" t="s">
        <v>360</v>
      </c>
      <c r="C85" s="9" t="s">
        <v>361</v>
      </c>
      <c r="D85" s="9" t="s">
        <v>368</v>
      </c>
      <c r="E85" s="9" t="s">
        <v>394</v>
      </c>
    </row>
    <row r="86" spans="1:5" x14ac:dyDescent="0.3">
      <c r="A86" s="9" t="s">
        <v>327</v>
      </c>
      <c r="B86" s="9" t="s">
        <v>360</v>
      </c>
      <c r="C86" s="9" t="s">
        <v>361</v>
      </c>
      <c r="D86" s="9" t="s">
        <v>365</v>
      </c>
      <c r="E86" s="9" t="s">
        <v>394</v>
      </c>
    </row>
    <row r="87" spans="1:5" x14ac:dyDescent="0.3">
      <c r="A87" s="9" t="s">
        <v>398</v>
      </c>
      <c r="B87" s="9" t="s">
        <v>360</v>
      </c>
      <c r="C87" s="9" t="s">
        <v>361</v>
      </c>
      <c r="D87" s="9" t="s">
        <v>368</v>
      </c>
      <c r="E87" s="9" t="s">
        <v>394</v>
      </c>
    </row>
    <row r="88" spans="1:5" x14ac:dyDescent="0.3">
      <c r="A88" s="9" t="s">
        <v>399</v>
      </c>
      <c r="B88" s="9" t="s">
        <v>360</v>
      </c>
      <c r="C88" s="9" t="s">
        <v>361</v>
      </c>
      <c r="D88" s="9" t="s">
        <v>368</v>
      </c>
      <c r="E88" s="9" t="s">
        <v>394</v>
      </c>
    </row>
    <row r="89" spans="1:5" x14ac:dyDescent="0.3">
      <c r="A89" s="9" t="s">
        <v>400</v>
      </c>
      <c r="B89" s="9" t="s">
        <v>360</v>
      </c>
      <c r="C89" s="9" t="s">
        <v>361</v>
      </c>
      <c r="D89" s="9" t="s">
        <v>368</v>
      </c>
      <c r="E89" s="9" t="s">
        <v>394</v>
      </c>
    </row>
    <row r="90" spans="1:5" x14ac:dyDescent="0.3">
      <c r="A90" s="9" t="s">
        <v>401</v>
      </c>
      <c r="B90" s="9" t="s">
        <v>360</v>
      </c>
      <c r="C90" s="9" t="s">
        <v>361</v>
      </c>
      <c r="D90" s="9" t="s">
        <v>368</v>
      </c>
      <c r="E90" s="9" t="s">
        <v>394</v>
      </c>
    </row>
    <row r="91" spans="1:5" x14ac:dyDescent="0.3">
      <c r="A91" s="9" t="s">
        <v>402</v>
      </c>
      <c r="B91" s="9" t="s">
        <v>360</v>
      </c>
      <c r="C91" s="9" t="s">
        <v>361</v>
      </c>
      <c r="D91" s="9" t="s">
        <v>368</v>
      </c>
      <c r="E91" s="9" t="s">
        <v>394</v>
      </c>
    </row>
    <row r="92" spans="1:5" x14ac:dyDescent="0.3">
      <c r="A92" s="9" t="s">
        <v>403</v>
      </c>
      <c r="B92" s="9" t="s">
        <v>360</v>
      </c>
      <c r="C92" s="9" t="s">
        <v>361</v>
      </c>
      <c r="D92" s="9" t="s">
        <v>368</v>
      </c>
      <c r="E92" s="9" t="s">
        <v>394</v>
      </c>
    </row>
    <row r="93" spans="1:5" x14ac:dyDescent="0.3">
      <c r="A93" s="9" t="s">
        <v>404</v>
      </c>
      <c r="B93" s="9" t="s">
        <v>360</v>
      </c>
      <c r="C93" s="9" t="s">
        <v>361</v>
      </c>
      <c r="D93" s="9" t="s">
        <v>368</v>
      </c>
      <c r="E93" s="9" t="s">
        <v>394</v>
      </c>
    </row>
    <row r="94" spans="1:5" x14ac:dyDescent="0.3">
      <c r="A94" s="9" t="s">
        <v>405</v>
      </c>
      <c r="B94" s="9" t="s">
        <v>360</v>
      </c>
      <c r="C94" s="9" t="s">
        <v>361</v>
      </c>
      <c r="D94" s="9" t="s">
        <v>368</v>
      </c>
      <c r="E94" s="9" t="s">
        <v>394</v>
      </c>
    </row>
    <row r="95" spans="1:5" x14ac:dyDescent="0.3">
      <c r="A95" s="9" t="s">
        <v>406</v>
      </c>
      <c r="B95" s="9" t="s">
        <v>360</v>
      </c>
      <c r="C95" s="9" t="s">
        <v>361</v>
      </c>
      <c r="D95" s="9" t="s">
        <v>368</v>
      </c>
      <c r="E95" s="9" t="s">
        <v>394</v>
      </c>
    </row>
    <row r="96" spans="1:5" x14ac:dyDescent="0.3">
      <c r="A96" s="9" t="s">
        <v>407</v>
      </c>
      <c r="B96" s="9" t="s">
        <v>360</v>
      </c>
      <c r="C96" s="9" t="s">
        <v>361</v>
      </c>
      <c r="D96" s="9" t="s">
        <v>368</v>
      </c>
      <c r="E96" s="9" t="s">
        <v>394</v>
      </c>
    </row>
    <row r="97" spans="1:5" x14ac:dyDescent="0.3">
      <c r="A97" s="9" t="s">
        <v>408</v>
      </c>
      <c r="B97" s="9" t="s">
        <v>360</v>
      </c>
      <c r="C97" s="9" t="s">
        <v>361</v>
      </c>
      <c r="D97" s="9" t="s">
        <v>368</v>
      </c>
      <c r="E97" s="9" t="s">
        <v>394</v>
      </c>
    </row>
    <row r="98" spans="1:5" x14ac:dyDescent="0.3">
      <c r="A98" s="9" t="s">
        <v>245</v>
      </c>
      <c r="B98" s="9" t="s">
        <v>360</v>
      </c>
      <c r="C98" s="9" t="s">
        <v>361</v>
      </c>
      <c r="D98" s="9" t="s">
        <v>368</v>
      </c>
      <c r="E98" s="9" t="s">
        <v>394</v>
      </c>
    </row>
    <row r="99" spans="1:5" x14ac:dyDescent="0.3">
      <c r="A99" s="9" t="s">
        <v>409</v>
      </c>
      <c r="B99" s="9" t="s">
        <v>360</v>
      </c>
      <c r="C99" s="9" t="s">
        <v>361</v>
      </c>
      <c r="D99" s="9" t="s">
        <v>368</v>
      </c>
      <c r="E99" s="9" t="s">
        <v>410</v>
      </c>
    </row>
    <row r="100" spans="1:5" x14ac:dyDescent="0.3">
      <c r="A100" s="9" t="s">
        <v>411</v>
      </c>
      <c r="B100" s="9" t="s">
        <v>360</v>
      </c>
      <c r="C100" s="9" t="s">
        <v>361</v>
      </c>
      <c r="D100" s="9" t="s">
        <v>368</v>
      </c>
      <c r="E100" s="9" t="s">
        <v>410</v>
      </c>
    </row>
    <row r="101" spans="1:5" x14ac:dyDescent="0.3">
      <c r="A101" s="9" t="s">
        <v>159</v>
      </c>
      <c r="B101" s="9" t="s">
        <v>360</v>
      </c>
      <c r="C101" s="9" t="s">
        <v>361</v>
      </c>
      <c r="D101" s="9" t="s">
        <v>368</v>
      </c>
      <c r="E101" s="9" t="s">
        <v>410</v>
      </c>
    </row>
    <row r="102" spans="1:5" x14ac:dyDescent="0.3">
      <c r="A102" s="9" t="s">
        <v>210</v>
      </c>
      <c r="B102" s="9" t="s">
        <v>360</v>
      </c>
      <c r="C102" s="9" t="s">
        <v>361</v>
      </c>
      <c r="D102" s="9" t="s">
        <v>368</v>
      </c>
      <c r="E102" s="9" t="s">
        <v>410</v>
      </c>
    </row>
    <row r="103" spans="1:5" x14ac:dyDescent="0.3">
      <c r="A103" s="9" t="s">
        <v>269</v>
      </c>
      <c r="B103" s="9" t="s">
        <v>360</v>
      </c>
      <c r="C103" s="9" t="s">
        <v>361</v>
      </c>
      <c r="D103" s="9" t="s">
        <v>389</v>
      </c>
      <c r="E103" s="9" t="s">
        <v>410</v>
      </c>
    </row>
    <row r="104" spans="1:5" x14ac:dyDescent="0.3">
      <c r="A104" s="9" t="s">
        <v>326</v>
      </c>
      <c r="B104" s="9" t="s">
        <v>360</v>
      </c>
      <c r="C104" s="9" t="s">
        <v>361</v>
      </c>
      <c r="D104" s="9" t="s">
        <v>389</v>
      </c>
      <c r="E104" s="9" t="s">
        <v>410</v>
      </c>
    </row>
    <row r="105" spans="1:5" x14ac:dyDescent="0.3">
      <c r="A105" s="9" t="s">
        <v>118</v>
      </c>
      <c r="B105" s="9" t="s">
        <v>360</v>
      </c>
      <c r="C105" s="9" t="s">
        <v>361</v>
      </c>
      <c r="D105" s="9" t="s">
        <v>374</v>
      </c>
      <c r="E105" s="9" t="str">
        <f>VLOOKUP(A105,[1]relatorio_clientes!$C:$Q,15,0)</f>
        <v>PARANOA</v>
      </c>
    </row>
    <row r="106" spans="1:5" x14ac:dyDescent="0.3">
      <c r="A106" s="9" t="s">
        <v>105</v>
      </c>
      <c r="B106" s="9" t="s">
        <v>360</v>
      </c>
      <c r="C106" s="9" t="s">
        <v>361</v>
      </c>
      <c r="D106" s="9" t="s">
        <v>362</v>
      </c>
      <c r="E106" s="9" t="str">
        <f>VLOOKUP(A106,[1]relatorio_clientes!$C:$Q,15,0)</f>
        <v>PLANALTINA</v>
      </c>
    </row>
    <row r="107" spans="1:5" x14ac:dyDescent="0.3">
      <c r="A107" s="9" t="s">
        <v>153</v>
      </c>
      <c r="B107" s="9" t="s">
        <v>360</v>
      </c>
      <c r="C107" s="9" t="s">
        <v>361</v>
      </c>
      <c r="D107" s="9" t="s">
        <v>365</v>
      </c>
      <c r="E107" s="9" t="str">
        <f>VLOOKUP(A107,[1]relatorio_clientes!$C:$Q,15,0)</f>
        <v>PLANALTINA</v>
      </c>
    </row>
    <row r="108" spans="1:5" x14ac:dyDescent="0.3">
      <c r="A108" s="9" t="s">
        <v>169</v>
      </c>
      <c r="B108" s="9" t="s">
        <v>412</v>
      </c>
      <c r="C108" s="9" t="s">
        <v>364</v>
      </c>
      <c r="D108" s="9" t="s">
        <v>365</v>
      </c>
      <c r="E108" s="9" t="str">
        <f>B108</f>
        <v>Planaltina</v>
      </c>
    </row>
    <row r="109" spans="1:5" x14ac:dyDescent="0.3">
      <c r="A109" s="9" t="s">
        <v>38</v>
      </c>
      <c r="B109" s="9" t="s">
        <v>360</v>
      </c>
      <c r="C109" s="9" t="s">
        <v>361</v>
      </c>
      <c r="D109" s="9" t="s">
        <v>370</v>
      </c>
      <c r="E109" s="9" t="str">
        <f>VLOOKUP(A109,[1]relatorio_clientes!$C:$Q,15,0)</f>
        <v>PONTE ALTA NORTE (GAMA)</v>
      </c>
    </row>
    <row r="110" spans="1:5" x14ac:dyDescent="0.3">
      <c r="A110" s="9" t="s">
        <v>284</v>
      </c>
      <c r="B110" s="9" t="s">
        <v>360</v>
      </c>
      <c r="C110" s="9" t="s">
        <v>361</v>
      </c>
      <c r="D110" s="9" t="s">
        <v>368</v>
      </c>
      <c r="E110" s="9" t="str">
        <f>VLOOKUP(A110,[1]relatorio_clientes!$C:$Q,15,0)</f>
        <v>PONTE ALTA NORTE (GAMA)</v>
      </c>
    </row>
    <row r="111" spans="1:5" x14ac:dyDescent="0.3">
      <c r="A111" s="9" t="s">
        <v>233</v>
      </c>
      <c r="B111" s="9" t="s">
        <v>360</v>
      </c>
      <c r="C111" s="9" t="s">
        <v>361</v>
      </c>
      <c r="D111" s="9" t="s">
        <v>368</v>
      </c>
      <c r="E111" s="9" t="str">
        <f>VLOOKUP(A111,[1]relatorio_clientes!$B:$Q,16,0)</f>
        <v>Recanto das Emas</v>
      </c>
    </row>
    <row r="112" spans="1:5" x14ac:dyDescent="0.3">
      <c r="A112" s="9" t="s">
        <v>264</v>
      </c>
      <c r="B112" s="9" t="s">
        <v>360</v>
      </c>
      <c r="C112" s="9" t="s">
        <v>361</v>
      </c>
      <c r="D112" s="9" t="s">
        <v>365</v>
      </c>
      <c r="E112" s="9" t="str">
        <f>VLOOKUP(A112,[1]relatorio_clientes!$B:$Q,16,0)</f>
        <v>Recanto das emas</v>
      </c>
    </row>
    <row r="113" spans="1:5" x14ac:dyDescent="0.3">
      <c r="A113" s="9" t="s">
        <v>279</v>
      </c>
      <c r="B113" s="9" t="s">
        <v>360</v>
      </c>
      <c r="C113" s="9" t="s">
        <v>361</v>
      </c>
      <c r="D113" s="9" t="s">
        <v>368</v>
      </c>
      <c r="E113" s="9" t="str">
        <f>VLOOKUP(A113,[1]relatorio_clientes!$B:$Q,16,0)</f>
        <v>RECANTO DAS EMAS</v>
      </c>
    </row>
    <row r="114" spans="1:5" x14ac:dyDescent="0.3">
      <c r="A114" s="9" t="s">
        <v>413</v>
      </c>
      <c r="B114" s="9" t="s">
        <v>360</v>
      </c>
      <c r="C114" s="9" t="s">
        <v>361</v>
      </c>
      <c r="D114" s="9" t="s">
        <v>368</v>
      </c>
      <c r="E114" s="9" t="str">
        <f>VLOOKUP(A114,[1]relatorio_clientes!$C:$Q,15,0)</f>
        <v>RECANTO DAS EMAS</v>
      </c>
    </row>
    <row r="115" spans="1:5" x14ac:dyDescent="0.3">
      <c r="A115" s="9" t="s">
        <v>133</v>
      </c>
      <c r="B115" s="9" t="s">
        <v>360</v>
      </c>
      <c r="C115" s="9" t="s">
        <v>361</v>
      </c>
      <c r="D115" s="9" t="s">
        <v>365</v>
      </c>
      <c r="E115" s="9" t="str">
        <f>VLOOKUP(A115,[1]relatorio_clientes!$C:$Q,15,0)</f>
        <v>RECANTO DAS EMAS</v>
      </c>
    </row>
    <row r="116" spans="1:5" x14ac:dyDescent="0.3">
      <c r="A116" s="9" t="s">
        <v>414</v>
      </c>
      <c r="B116" s="9" t="s">
        <v>360</v>
      </c>
      <c r="C116" s="9" t="s">
        <v>361</v>
      </c>
      <c r="D116" s="9" t="s">
        <v>368</v>
      </c>
      <c r="E116" s="9" t="str">
        <f>VLOOKUP(A116,[1]relatorio_clientes!$C:$Q,15,0)</f>
        <v>RECANTO DAS EMAS</v>
      </c>
    </row>
    <row r="117" spans="1:5" x14ac:dyDescent="0.3">
      <c r="A117" s="9" t="s">
        <v>140</v>
      </c>
      <c r="B117" s="9" t="s">
        <v>360</v>
      </c>
      <c r="C117" s="9" t="s">
        <v>361</v>
      </c>
      <c r="D117" s="9" t="s">
        <v>362</v>
      </c>
      <c r="E117" s="9" t="str">
        <f>VLOOKUP(A117,[1]relatorio_clientes!$C:$Q,15,0)</f>
        <v>RECANTO DAS EMAS</v>
      </c>
    </row>
    <row r="118" spans="1:5" x14ac:dyDescent="0.3">
      <c r="A118" s="9" t="s">
        <v>34</v>
      </c>
      <c r="B118" s="9" t="s">
        <v>360</v>
      </c>
      <c r="C118" s="9" t="s">
        <v>361</v>
      </c>
      <c r="D118" s="9" t="s">
        <v>365</v>
      </c>
      <c r="E118" s="9" t="str">
        <f>VLOOKUP(A118,[1]relatorio_clientes!$C:$Q,15,0)</f>
        <v>RECANTO DAS EMAS</v>
      </c>
    </row>
    <row r="119" spans="1:5" x14ac:dyDescent="0.3">
      <c r="A119" s="9" t="s">
        <v>27</v>
      </c>
      <c r="B119" s="9" t="s">
        <v>360</v>
      </c>
      <c r="C119" s="9" t="s">
        <v>361</v>
      </c>
      <c r="D119" s="9" t="s">
        <v>370</v>
      </c>
      <c r="E119" s="9" t="str">
        <f>VLOOKUP(A119,[1]relatorio_clientes!$C:$Q,15,0)</f>
        <v>RECANTO DAS EMAS</v>
      </c>
    </row>
    <row r="120" spans="1:5" x14ac:dyDescent="0.3">
      <c r="A120" s="9" t="s">
        <v>55</v>
      </c>
      <c r="B120" s="9" t="s">
        <v>360</v>
      </c>
      <c r="C120" s="9" t="s">
        <v>361</v>
      </c>
      <c r="D120" s="9" t="s">
        <v>370</v>
      </c>
      <c r="E120" s="9" t="str">
        <f>VLOOKUP(A120,[1]relatorio_clientes!$C:$Q,15,0)</f>
        <v>RECANTO DAS EMAS</v>
      </c>
    </row>
    <row r="121" spans="1:5" x14ac:dyDescent="0.3">
      <c r="A121" s="9" t="s">
        <v>88</v>
      </c>
      <c r="B121" s="9" t="s">
        <v>360</v>
      </c>
      <c r="C121" s="9" t="s">
        <v>361</v>
      </c>
      <c r="D121" s="9" t="s">
        <v>365</v>
      </c>
      <c r="E121" s="9" t="str">
        <f>VLOOKUP(A121,[1]relatorio_clientes!$C:$Q,15,0)</f>
        <v>RECANTO DAS EMAS</v>
      </c>
    </row>
    <row r="122" spans="1:5" x14ac:dyDescent="0.3">
      <c r="A122" s="9" t="s">
        <v>208</v>
      </c>
      <c r="B122" s="9" t="s">
        <v>360</v>
      </c>
      <c r="C122" s="9" t="s">
        <v>361</v>
      </c>
      <c r="D122" s="9" t="s">
        <v>368</v>
      </c>
      <c r="E122" s="9" t="str">
        <f>VLOOKUP(A122,[1]relatorio_clientes!$B:$Q,16,0)</f>
        <v>Riacho Fundo I</v>
      </c>
    </row>
    <row r="123" spans="1:5" x14ac:dyDescent="0.3">
      <c r="A123" s="9" t="s">
        <v>112</v>
      </c>
      <c r="B123" s="9" t="s">
        <v>360</v>
      </c>
      <c r="C123" s="9" t="s">
        <v>361</v>
      </c>
      <c r="D123" s="9" t="s">
        <v>365</v>
      </c>
      <c r="E123" s="9" t="str">
        <f>VLOOKUP(A123,[1]relatorio_clientes!$C:$Q,15,0)</f>
        <v>RIACHO FUNDO I</v>
      </c>
    </row>
    <row r="124" spans="1:5" x14ac:dyDescent="0.3">
      <c r="A124" s="9" t="s">
        <v>190</v>
      </c>
      <c r="B124" s="9" t="s">
        <v>360</v>
      </c>
      <c r="C124" s="9" t="s">
        <v>361</v>
      </c>
      <c r="D124" s="9" t="s">
        <v>362</v>
      </c>
      <c r="E124" s="9" t="str">
        <f>VLOOKUP(A124,[1]relatorio_clientes!$C:$Q,15,0)</f>
        <v>RIACHO FUNDO I</v>
      </c>
    </row>
    <row r="125" spans="1:5" x14ac:dyDescent="0.3">
      <c r="A125" s="9" t="s">
        <v>415</v>
      </c>
      <c r="B125" s="9" t="s">
        <v>360</v>
      </c>
      <c r="C125" s="9" t="s">
        <v>361</v>
      </c>
      <c r="D125" s="9" t="s">
        <v>368</v>
      </c>
      <c r="E125" s="9" t="str">
        <f>VLOOKUP(A125,[1]relatorio_clientes!$C:$Q,15,0)</f>
        <v>RIACHO FUNDO I</v>
      </c>
    </row>
    <row r="126" spans="1:5" x14ac:dyDescent="0.3">
      <c r="A126" s="9" t="s">
        <v>322</v>
      </c>
      <c r="B126" s="9" t="s">
        <v>360</v>
      </c>
      <c r="C126" s="9" t="s">
        <v>361</v>
      </c>
      <c r="D126" s="9" t="s">
        <v>365</v>
      </c>
      <c r="E126" s="9" t="str">
        <f>VLOOKUP(A126,[1]relatorio_clientes!$C:$Q,15,0)</f>
        <v>RIACHO FUNDO I</v>
      </c>
    </row>
    <row r="127" spans="1:5" x14ac:dyDescent="0.3">
      <c r="A127" s="9" t="s">
        <v>305</v>
      </c>
      <c r="B127" s="9" t="s">
        <v>360</v>
      </c>
      <c r="C127" s="9" t="s">
        <v>361</v>
      </c>
      <c r="D127" s="9" t="s">
        <v>365</v>
      </c>
      <c r="E127" s="9" t="str">
        <f>VLOOKUP(A127,[1]relatorio_clientes!$C:$Q,15,0)</f>
        <v>RIACHO FUNDO I</v>
      </c>
    </row>
    <row r="128" spans="1:5" x14ac:dyDescent="0.3">
      <c r="A128" s="9" t="s">
        <v>218</v>
      </c>
      <c r="B128" s="9" t="s">
        <v>360</v>
      </c>
      <c r="C128" s="9" t="s">
        <v>361</v>
      </c>
      <c r="D128" s="9" t="s">
        <v>368</v>
      </c>
      <c r="E128" s="9" t="str">
        <f>VLOOKUP(A128,[1]relatorio_clientes!$B:$Q,16,0)</f>
        <v>Riacho Fundo II</v>
      </c>
    </row>
    <row r="129" spans="1:5" x14ac:dyDescent="0.3">
      <c r="A129" s="9" t="s">
        <v>21</v>
      </c>
      <c r="B129" s="9" t="s">
        <v>360</v>
      </c>
      <c r="C129" s="9" t="s">
        <v>361</v>
      </c>
      <c r="D129" s="9" t="s">
        <v>362</v>
      </c>
      <c r="E129" s="9" t="s">
        <v>416</v>
      </c>
    </row>
    <row r="130" spans="1:5" x14ac:dyDescent="0.3">
      <c r="A130" s="9" t="s">
        <v>417</v>
      </c>
      <c r="B130" s="9" t="s">
        <v>360</v>
      </c>
      <c r="C130" s="9" t="s">
        <v>361</v>
      </c>
      <c r="D130" s="9" t="s">
        <v>365</v>
      </c>
      <c r="E130" s="9" t="str">
        <f>VLOOKUP(A130,[1]relatorio_clientes!$C:$Q,15,0)</f>
        <v>Riacho Fundo II</v>
      </c>
    </row>
    <row r="131" spans="1:5" x14ac:dyDescent="0.3">
      <c r="A131" s="9" t="s">
        <v>156</v>
      </c>
      <c r="B131" s="9" t="s">
        <v>360</v>
      </c>
      <c r="C131" s="9" t="s">
        <v>361</v>
      </c>
      <c r="D131" s="9" t="s">
        <v>365</v>
      </c>
      <c r="E131" s="9" t="str">
        <f>VLOOKUP(A131,[1]relatorio_clientes!$C:$Q,15,0)</f>
        <v>RIACHO FUNDO II</v>
      </c>
    </row>
    <row r="132" spans="1:5" x14ac:dyDescent="0.3">
      <c r="A132" s="9" t="s">
        <v>216</v>
      </c>
      <c r="B132" s="9" t="s">
        <v>360</v>
      </c>
      <c r="C132" s="9" t="s">
        <v>361</v>
      </c>
      <c r="D132" s="9" t="s">
        <v>362</v>
      </c>
      <c r="E132" s="9" t="str">
        <f>VLOOKUP(A132,[1]relatorio_clientes!$C:$Q,15,0)</f>
        <v>RIACHO FUNDO II</v>
      </c>
    </row>
    <row r="133" spans="1:5" x14ac:dyDescent="0.3">
      <c r="A133" s="9" t="s">
        <v>239</v>
      </c>
      <c r="B133" s="9" t="s">
        <v>360</v>
      </c>
      <c r="C133" s="9" t="s">
        <v>361</v>
      </c>
      <c r="D133" s="9" t="s">
        <v>362</v>
      </c>
      <c r="E133" s="9" t="str">
        <f>VLOOKUP(A133,[1]relatorio_clientes!$C:$Q,15,0)</f>
        <v>RIACHO FUNDO II</v>
      </c>
    </row>
    <row r="134" spans="1:5" x14ac:dyDescent="0.3">
      <c r="A134" s="9" t="s">
        <v>142</v>
      </c>
      <c r="B134" s="9" t="s">
        <v>360</v>
      </c>
      <c r="C134" s="9" t="s">
        <v>361</v>
      </c>
      <c r="D134" s="9" t="s">
        <v>374</v>
      </c>
      <c r="E134" s="9" t="str">
        <f>VLOOKUP(A134,[1]relatorio_clientes!$C:$Q,15,0)</f>
        <v>RIACHO FUNDO II</v>
      </c>
    </row>
    <row r="135" spans="1:5" x14ac:dyDescent="0.3">
      <c r="A135" s="9" t="s">
        <v>161</v>
      </c>
      <c r="B135" s="9" t="s">
        <v>360</v>
      </c>
      <c r="C135" s="9" t="s">
        <v>361</v>
      </c>
      <c r="D135" s="9" t="s">
        <v>362</v>
      </c>
      <c r="E135" s="9" t="str">
        <f>VLOOKUP(A135,[1]relatorio_clientes!$C:$Q,15,0)</f>
        <v>RIACHO FUNDO II</v>
      </c>
    </row>
    <row r="136" spans="1:5" x14ac:dyDescent="0.3">
      <c r="A136" s="9" t="s">
        <v>42</v>
      </c>
      <c r="B136" s="9" t="s">
        <v>360</v>
      </c>
      <c r="C136" s="9" t="s">
        <v>361</v>
      </c>
      <c r="D136" s="9" t="s">
        <v>370</v>
      </c>
      <c r="E136" s="9" t="str">
        <f>VLOOKUP(A136,[1]relatorio_clientes!$C:$Q,15,0)</f>
        <v>SAMAMBAIA</v>
      </c>
    </row>
    <row r="137" spans="1:5" x14ac:dyDescent="0.3">
      <c r="A137" s="9" t="s">
        <v>418</v>
      </c>
      <c r="B137" s="9" t="s">
        <v>360</v>
      </c>
      <c r="C137" s="9" t="s">
        <v>361</v>
      </c>
      <c r="D137" s="9" t="s">
        <v>368</v>
      </c>
      <c r="E137" s="9" t="str">
        <f>VLOOKUP(A137,[1]relatorio_clientes!$C:$Q,15,0)</f>
        <v>SAMAMBAIA NORTE</v>
      </c>
    </row>
    <row r="138" spans="1:5" x14ac:dyDescent="0.3">
      <c r="A138" s="9" t="s">
        <v>419</v>
      </c>
      <c r="B138" s="9" t="s">
        <v>360</v>
      </c>
      <c r="C138" s="9" t="s">
        <v>361</v>
      </c>
      <c r="D138" s="9" t="s">
        <v>368</v>
      </c>
      <c r="E138" s="9" t="str">
        <f>VLOOKUP(A138,[1]relatorio_clientes!$B:$Q,16,0)</f>
        <v>Samambaia Norte (Samambaia)</v>
      </c>
    </row>
    <row r="139" spans="1:5" x14ac:dyDescent="0.3">
      <c r="A139" s="9" t="s">
        <v>102</v>
      </c>
      <c r="B139" s="9" t="s">
        <v>360</v>
      </c>
      <c r="C139" s="9" t="s">
        <v>361</v>
      </c>
      <c r="D139" s="9" t="s">
        <v>365</v>
      </c>
      <c r="E139" s="9" t="str">
        <f>VLOOKUP(A139,[1]relatorio_clientes!$B:$Q,16,0)</f>
        <v>Samambaia Norte (Samambaia)</v>
      </c>
    </row>
    <row r="140" spans="1:5" x14ac:dyDescent="0.3">
      <c r="A140" s="9" t="s">
        <v>136</v>
      </c>
      <c r="B140" s="9" t="s">
        <v>360</v>
      </c>
      <c r="C140" s="9" t="s">
        <v>361</v>
      </c>
      <c r="D140" s="9" t="s">
        <v>368</v>
      </c>
      <c r="E140" s="9" t="str">
        <f>VLOOKUP(A140,[1]relatorio_clientes!$C:$Q,15,0)</f>
        <v>SAMAMBAIA NORTE (SAMAMBAIA)</v>
      </c>
    </row>
    <row r="141" spans="1:5" x14ac:dyDescent="0.3">
      <c r="A141" s="9" t="s">
        <v>85</v>
      </c>
      <c r="B141" s="9" t="s">
        <v>360</v>
      </c>
      <c r="C141" s="9" t="s">
        <v>361</v>
      </c>
      <c r="D141" s="9" t="s">
        <v>365</v>
      </c>
      <c r="E141" s="9" t="str">
        <f>VLOOKUP(A141,[1]relatorio_clientes!$C:$Q,15,0)</f>
        <v>SAMAMBAIA NORTE (SAMAMBAIA)</v>
      </c>
    </row>
    <row r="142" spans="1:5" x14ac:dyDescent="0.3">
      <c r="A142" s="9" t="s">
        <v>158</v>
      </c>
      <c r="B142" s="9" t="s">
        <v>360</v>
      </c>
      <c r="C142" s="9" t="s">
        <v>361</v>
      </c>
      <c r="D142" s="9" t="s">
        <v>368</v>
      </c>
      <c r="E142" s="9" t="str">
        <f>VLOOKUP(A142,[1]relatorio_clientes!$B:$Q,16,0)</f>
        <v>Samambaia Sul (Samambaia)</v>
      </c>
    </row>
    <row r="143" spans="1:5" x14ac:dyDescent="0.3">
      <c r="A143" s="9" t="s">
        <v>68</v>
      </c>
      <c r="B143" s="9" t="s">
        <v>360</v>
      </c>
      <c r="C143" s="9" t="s">
        <v>361</v>
      </c>
      <c r="D143" s="9" t="s">
        <v>362</v>
      </c>
      <c r="E143" s="9" t="str">
        <f>VLOOKUP(A143,[1]relatorio_clientes!$C:$Q,15,0)</f>
        <v>SAMAMBAIA SUL (SAMAMBAIA)</v>
      </c>
    </row>
    <row r="144" spans="1:5" x14ac:dyDescent="0.3">
      <c r="A144" s="9" t="s">
        <v>135</v>
      </c>
      <c r="B144" s="9" t="s">
        <v>360</v>
      </c>
      <c r="C144" s="9" t="s">
        <v>361</v>
      </c>
      <c r="D144" s="9" t="s">
        <v>368</v>
      </c>
      <c r="E144" s="9" t="str">
        <f>VLOOKUP(A144,[1]relatorio_clientes!$B:$Q,16,0)</f>
        <v>Santa Maria</v>
      </c>
    </row>
    <row r="145" spans="1:5" x14ac:dyDescent="0.3">
      <c r="A145" s="9" t="s">
        <v>98</v>
      </c>
      <c r="B145" s="9" t="s">
        <v>360</v>
      </c>
      <c r="C145" s="9" t="s">
        <v>361</v>
      </c>
      <c r="D145" s="9" t="s">
        <v>365</v>
      </c>
      <c r="E145" s="9" t="str">
        <f>VLOOKUP(A145,[1]relatorio_clientes!$C:$Q,15,0)</f>
        <v>SANTA MARIA</v>
      </c>
    </row>
    <row r="146" spans="1:5" x14ac:dyDescent="0.3">
      <c r="A146" s="9" t="s">
        <v>420</v>
      </c>
      <c r="B146" s="9" t="s">
        <v>360</v>
      </c>
      <c r="C146" s="9" t="s">
        <v>361</v>
      </c>
      <c r="D146" s="9" t="s">
        <v>368</v>
      </c>
      <c r="E146" s="9" t="str">
        <f>VLOOKUP(A146,[1]relatorio_clientes!$C:$Q,15,0)</f>
        <v>SANTA MARIA</v>
      </c>
    </row>
    <row r="147" spans="1:5" x14ac:dyDescent="0.3">
      <c r="A147" s="9" t="s">
        <v>259</v>
      </c>
      <c r="B147" s="9" t="s">
        <v>360</v>
      </c>
      <c r="C147" s="9" t="s">
        <v>361</v>
      </c>
      <c r="D147" s="9" t="s">
        <v>368</v>
      </c>
      <c r="E147" s="9" t="str">
        <f>VLOOKUP(A147,[1]relatorio_clientes!$C:$Q,15,0)</f>
        <v>SANTA MARIA</v>
      </c>
    </row>
    <row r="148" spans="1:5" x14ac:dyDescent="0.3">
      <c r="A148" s="9" t="s">
        <v>421</v>
      </c>
      <c r="B148" s="9" t="s">
        <v>360</v>
      </c>
      <c r="C148" s="9" t="s">
        <v>361</v>
      </c>
      <c r="D148" s="9" t="s">
        <v>368</v>
      </c>
      <c r="E148" s="9" t="str">
        <f>VLOOKUP(A148,[1]relatorio_clientes!$C:$Q,15,0)</f>
        <v>SAO SEBASTIAO</v>
      </c>
    </row>
    <row r="149" spans="1:5" x14ac:dyDescent="0.3">
      <c r="A149" s="9" t="s">
        <v>277</v>
      </c>
      <c r="B149" s="9" t="s">
        <v>360</v>
      </c>
      <c r="C149" s="9" t="s">
        <v>361</v>
      </c>
      <c r="D149" s="9" t="s">
        <v>374</v>
      </c>
      <c r="E149" s="9" t="s">
        <v>422</v>
      </c>
    </row>
    <row r="150" spans="1:5" x14ac:dyDescent="0.3">
      <c r="A150" s="9" t="s">
        <v>62</v>
      </c>
      <c r="B150" s="9" t="s">
        <v>360</v>
      </c>
      <c r="C150" s="9" t="s">
        <v>361</v>
      </c>
      <c r="D150" s="9" t="s">
        <v>368</v>
      </c>
      <c r="E150" s="9" t="str">
        <f>VLOOKUP(A150,[1]relatorio_clientes!$C:$Q,15,0)</f>
        <v>SETOR DE INDUSTRIA E ABASTECIMENTO</v>
      </c>
    </row>
    <row r="151" spans="1:5" x14ac:dyDescent="0.3">
      <c r="A151" s="9" t="s">
        <v>298</v>
      </c>
      <c r="B151" s="9" t="s">
        <v>360</v>
      </c>
      <c r="C151" s="9" t="s">
        <v>361</v>
      </c>
      <c r="D151" s="9" t="s">
        <v>365</v>
      </c>
      <c r="E151" s="9" t="str">
        <f>VLOOKUP(A151,[1]relatorio_clientes!$C:$Q,15,0)</f>
        <v>SETOR DE MANSOES DE SOBRADINHO</v>
      </c>
    </row>
    <row r="152" spans="1:5" x14ac:dyDescent="0.3">
      <c r="A152" s="9" t="s">
        <v>126</v>
      </c>
      <c r="B152" s="9" t="s">
        <v>360</v>
      </c>
      <c r="C152" s="9" t="s">
        <v>361</v>
      </c>
      <c r="D152" s="9" t="s">
        <v>368</v>
      </c>
      <c r="E152" s="9" t="str">
        <f>VLOOKUP(A152,[1]relatorio_clientes!$C:$Q,15,0)</f>
        <v>SETOR HABITACIONAL ARNIQUEIRA (AGUAS CLARAS)</v>
      </c>
    </row>
    <row r="153" spans="1:5" x14ac:dyDescent="0.3">
      <c r="A153" s="9" t="s">
        <v>117</v>
      </c>
      <c r="B153" s="9" t="s">
        <v>360</v>
      </c>
      <c r="C153" s="9" t="s">
        <v>361</v>
      </c>
      <c r="D153" s="9" t="s">
        <v>362</v>
      </c>
      <c r="E153" s="9" t="str">
        <f>VLOOKUP(A153,[1]relatorio_clientes!$C:$Q,15,0)</f>
        <v>SETOR HABITACIONAL ARNIQUEIRA (AGUAS CLARAS)</v>
      </c>
    </row>
    <row r="154" spans="1:5" x14ac:dyDescent="0.3">
      <c r="A154" s="9" t="s">
        <v>271</v>
      </c>
      <c r="B154" s="9" t="s">
        <v>360</v>
      </c>
      <c r="C154" s="9" t="s">
        <v>361</v>
      </c>
      <c r="D154" s="9" t="s">
        <v>368</v>
      </c>
      <c r="E154" s="9" t="str">
        <f>VLOOKUP(A154,[1]relatorio_clientes!$C:$Q,15,0)</f>
        <v>SETOR HABITACIONAL ARNIQUEIRA (AGUAS CLARAS)</v>
      </c>
    </row>
    <row r="155" spans="1:5" x14ac:dyDescent="0.3">
      <c r="A155" s="9" t="s">
        <v>230</v>
      </c>
      <c r="B155" s="9" t="s">
        <v>360</v>
      </c>
      <c r="C155" s="9" t="s">
        <v>361</v>
      </c>
      <c r="D155" s="9" t="s">
        <v>365</v>
      </c>
      <c r="E155" s="9" t="str">
        <f>VLOOKUP(A155,[1]relatorio_clientes!$C:$Q,15,0)</f>
        <v>SETOR HABITACIONAL SAMAMBAIA (VICENTE PIRES)</v>
      </c>
    </row>
    <row r="156" spans="1:5" x14ac:dyDescent="0.3">
      <c r="A156" s="9" t="s">
        <v>231</v>
      </c>
      <c r="B156" s="9" t="s">
        <v>360</v>
      </c>
      <c r="C156" s="9" t="s">
        <v>361</v>
      </c>
      <c r="D156" s="9" t="s">
        <v>368</v>
      </c>
      <c r="E156" s="9" t="str">
        <f>VLOOKUP(A156,[1]relatorio_clientes!$B:$Q,16,0)</f>
        <v>Setor Habitacional Vicente Pires</v>
      </c>
    </row>
    <row r="157" spans="1:5" x14ac:dyDescent="0.3">
      <c r="A157" s="9" t="s">
        <v>423</v>
      </c>
      <c r="B157" s="9" t="s">
        <v>360</v>
      </c>
      <c r="C157" s="9" t="s">
        <v>361</v>
      </c>
      <c r="D157" s="9" t="s">
        <v>368</v>
      </c>
      <c r="E157" s="9" t="str">
        <f>VLOOKUP(A157,[1]relatorio_clientes!$B:$Q,16,0)</f>
        <v>Setor Habitacional Vicente Pires</v>
      </c>
    </row>
    <row r="158" spans="1:5" x14ac:dyDescent="0.3">
      <c r="A158" s="9" t="s">
        <v>44</v>
      </c>
      <c r="B158" s="9" t="s">
        <v>360</v>
      </c>
      <c r="C158" s="9" t="s">
        <v>361</v>
      </c>
      <c r="D158" s="9" t="s">
        <v>370</v>
      </c>
      <c r="E158" s="9" t="str">
        <f>VLOOKUP(A158,[1]relatorio_clientes!$C:$Q,15,0)</f>
        <v>SETOR HABITACIONAL VICENTE PIRES</v>
      </c>
    </row>
    <row r="159" spans="1:5" x14ac:dyDescent="0.3">
      <c r="A159" s="9" t="s">
        <v>165</v>
      </c>
      <c r="B159" s="9" t="s">
        <v>360</v>
      </c>
      <c r="C159" s="9" t="s">
        <v>361</v>
      </c>
      <c r="D159" s="9" t="s">
        <v>370</v>
      </c>
      <c r="E159" s="9" t="str">
        <f>VLOOKUP(A159,[1]relatorio_clientes!$C:$Q,15,0)</f>
        <v>SETOR HABITACIONAL VICENTE PIRES</v>
      </c>
    </row>
    <row r="160" spans="1:5" x14ac:dyDescent="0.3">
      <c r="A160" s="9" t="s">
        <v>59</v>
      </c>
      <c r="B160" s="9" t="s">
        <v>360</v>
      </c>
      <c r="C160" s="9" t="s">
        <v>361</v>
      </c>
      <c r="D160" s="9" t="s">
        <v>362</v>
      </c>
      <c r="E160" s="9" t="str">
        <f>VLOOKUP(A160,[1]relatorio_clientes!$C:$Q,15,0)</f>
        <v>SETOR HABITACIONAL VICENTE PIRES</v>
      </c>
    </row>
    <row r="161" spans="1:5" x14ac:dyDescent="0.3">
      <c r="A161" s="9" t="s">
        <v>217</v>
      </c>
      <c r="B161" s="9" t="s">
        <v>360</v>
      </c>
      <c r="C161" s="9" t="s">
        <v>361</v>
      </c>
      <c r="D161" s="9" t="s">
        <v>370</v>
      </c>
      <c r="E161" s="9" t="str">
        <f>VLOOKUP(A161,[1]relatorio_clientes!$C:$Q,15,0)</f>
        <v>SETOR HABITACIONAL VICENTE PIRES</v>
      </c>
    </row>
    <row r="162" spans="1:5" x14ac:dyDescent="0.3">
      <c r="A162" s="9" t="s">
        <v>15</v>
      </c>
      <c r="B162" s="9" t="s">
        <v>360</v>
      </c>
      <c r="C162" s="9" t="s">
        <v>361</v>
      </c>
      <c r="D162" s="9" t="s">
        <v>365</v>
      </c>
      <c r="E162" s="9" t="str">
        <f>VLOOKUP(A162,[1]relatorio_clientes!$C:$Q,15,0)</f>
        <v>SETOR HABITACIONAL VICENTE PIRES</v>
      </c>
    </row>
    <row r="163" spans="1:5" x14ac:dyDescent="0.3">
      <c r="A163" s="9" t="s">
        <v>424</v>
      </c>
      <c r="B163" s="9" t="s">
        <v>360</v>
      </c>
      <c r="C163" s="9" t="s">
        <v>361</v>
      </c>
      <c r="D163" s="9" t="s">
        <v>368</v>
      </c>
      <c r="E163" s="9" t="str">
        <f>VLOOKUP(A163,[1]relatorio_clientes!$C:$Q,15,0)</f>
        <v>SETOR INDUSTRIAL (CEILANDIA)</v>
      </c>
    </row>
    <row r="164" spans="1:5" x14ac:dyDescent="0.3">
      <c r="A164" s="9" t="s">
        <v>224</v>
      </c>
      <c r="B164" s="9" t="s">
        <v>360</v>
      </c>
      <c r="C164" s="9" t="s">
        <v>361</v>
      </c>
      <c r="D164" s="9" t="s">
        <v>362</v>
      </c>
      <c r="E164" s="9" t="str">
        <f>VLOOKUP(A164,[1]relatorio_clientes!$C:$Q,15,0)</f>
        <v>SETOR INDUSTRIAL (CEILANDIA)</v>
      </c>
    </row>
    <row r="165" spans="1:5" x14ac:dyDescent="0.3">
      <c r="A165" s="9" t="s">
        <v>244</v>
      </c>
      <c r="B165" s="9" t="s">
        <v>360</v>
      </c>
      <c r="C165" s="9" t="s">
        <v>361</v>
      </c>
      <c r="D165" s="9" t="s">
        <v>389</v>
      </c>
      <c r="E165" s="9" t="str">
        <f>VLOOKUP(A165,[1]relatorio_clientes!$B:$Q,16,0)</f>
        <v>Setor Industrial (Taguatinga)</v>
      </c>
    </row>
    <row r="166" spans="1:5" x14ac:dyDescent="0.3">
      <c r="A166" s="9" t="s">
        <v>262</v>
      </c>
      <c r="B166" s="9" t="s">
        <v>360</v>
      </c>
      <c r="C166" s="9" t="s">
        <v>361</v>
      </c>
      <c r="D166" s="9" t="s">
        <v>365</v>
      </c>
      <c r="E166" s="9" t="str">
        <f>VLOOKUP(A166,[1]relatorio_clientes!$B:$Q,16,0)</f>
        <v>SETOR INDUSTRIAL (TAGUATINGA)</v>
      </c>
    </row>
    <row r="167" spans="1:5" x14ac:dyDescent="0.3">
      <c r="A167" s="9" t="s">
        <v>180</v>
      </c>
      <c r="B167" s="9" t="s">
        <v>360</v>
      </c>
      <c r="C167" s="9" t="s">
        <v>361</v>
      </c>
      <c r="D167" s="9" t="s">
        <v>362</v>
      </c>
      <c r="E167" s="9" t="str">
        <f>VLOOKUP(A167,[1]relatorio_clientes!$C:$Q,15,0)</f>
        <v>SETOR INDUSTRIAL (TAGUATINGA)</v>
      </c>
    </row>
    <row r="168" spans="1:5" x14ac:dyDescent="0.3">
      <c r="A168" s="9" t="s">
        <v>425</v>
      </c>
      <c r="B168" s="9" t="s">
        <v>360</v>
      </c>
      <c r="C168" s="9" t="s">
        <v>361</v>
      </c>
      <c r="D168" s="9" t="s">
        <v>362</v>
      </c>
      <c r="E168" s="9" t="str">
        <f>VLOOKUP(A168,[1]relatorio_clientes!$C:$Q,15,0)</f>
        <v>SETOR INDUSTRIAL (TAGUATINGA)</v>
      </c>
    </row>
    <row r="169" spans="1:5" x14ac:dyDescent="0.3">
      <c r="A169" s="9" t="s">
        <v>23</v>
      </c>
      <c r="B169" s="9" t="s">
        <v>360</v>
      </c>
      <c r="C169" s="9" t="s">
        <v>361</v>
      </c>
      <c r="D169" s="9" t="s">
        <v>370</v>
      </c>
      <c r="E169" s="9" t="str">
        <f>VLOOKUP(A169,[1]relatorio_clientes!$C:$Q,15,0)</f>
        <v>SETOR INDUSTRIAL (TAGUATINGA)</v>
      </c>
    </row>
    <row r="170" spans="1:5" x14ac:dyDescent="0.3">
      <c r="A170" s="9" t="s">
        <v>426</v>
      </c>
      <c r="B170" s="9" t="s">
        <v>360</v>
      </c>
      <c r="C170" s="9" t="s">
        <v>361</v>
      </c>
      <c r="D170" s="9" t="s">
        <v>368</v>
      </c>
      <c r="E170" s="9" t="str">
        <f>VLOOKUP(A170,[1]relatorio_clientes!$C:$Q,15,0)</f>
        <v>SETOR INDUSTRIAL (TAGUATINGA)</v>
      </c>
    </row>
    <row r="171" spans="1:5" x14ac:dyDescent="0.3">
      <c r="A171" s="9" t="s">
        <v>107</v>
      </c>
      <c r="B171" s="9" t="s">
        <v>412</v>
      </c>
      <c r="C171" s="9" t="s">
        <v>361</v>
      </c>
      <c r="D171" s="9" t="s">
        <v>362</v>
      </c>
      <c r="E171" s="9" t="str">
        <f>VLOOKUP(A171,[1]relatorio_clientes!$C:$Q,15,0)</f>
        <v>SETOR LESTE</v>
      </c>
    </row>
    <row r="172" spans="1:5" x14ac:dyDescent="0.3">
      <c r="A172" s="9" t="s">
        <v>427</v>
      </c>
      <c r="B172" s="9" t="s">
        <v>360</v>
      </c>
      <c r="C172" s="9" t="s">
        <v>361</v>
      </c>
      <c r="D172" s="9" t="s">
        <v>368</v>
      </c>
      <c r="E172" s="9" t="str">
        <f>VLOOKUP(A172,[1]relatorio_clientes!$C:$Q,15,0)</f>
        <v>SETOR LESTE (GAMA)</v>
      </c>
    </row>
    <row r="173" spans="1:5" x14ac:dyDescent="0.3">
      <c r="A173" s="9" t="s">
        <v>428</v>
      </c>
      <c r="B173" s="9" t="s">
        <v>360</v>
      </c>
      <c r="C173" s="9" t="s">
        <v>361</v>
      </c>
      <c r="D173" s="9" t="s">
        <v>368</v>
      </c>
      <c r="E173" s="9" t="str">
        <f>VLOOKUP(A173,[1]relatorio_clientes!$C:$Q,15,0)</f>
        <v>SETOR LESTE (GAMA)</v>
      </c>
    </row>
    <row r="174" spans="1:5" x14ac:dyDescent="0.3">
      <c r="A174" s="9" t="s">
        <v>207</v>
      </c>
      <c r="B174" s="9" t="s">
        <v>360</v>
      </c>
      <c r="C174" s="9" t="s">
        <v>361</v>
      </c>
      <c r="D174" s="9" t="s">
        <v>368</v>
      </c>
      <c r="E174" s="9" t="str">
        <f>VLOOKUP(A174,[1]relatorio_clientes!$C:$Q,15,0)</f>
        <v>SETOR NORTE (BRAZLANDIA)</v>
      </c>
    </row>
    <row r="175" spans="1:5" x14ac:dyDescent="0.3">
      <c r="A175" s="9" t="s">
        <v>429</v>
      </c>
      <c r="B175" s="9" t="s">
        <v>360</v>
      </c>
      <c r="C175" s="9" t="s">
        <v>361</v>
      </c>
      <c r="D175" s="9" t="s">
        <v>368</v>
      </c>
      <c r="E175" s="9" t="str">
        <f>VLOOKUP(A175,[1]relatorio_clientes!$B:$Q,16,0)</f>
        <v>Setor Placa da Mercedes (Núcleo Bandeirante)</v>
      </c>
    </row>
    <row r="176" spans="1:5" x14ac:dyDescent="0.3">
      <c r="A176" s="9" t="s">
        <v>76</v>
      </c>
      <c r="B176" s="9" t="s">
        <v>360</v>
      </c>
      <c r="C176" s="9" t="s">
        <v>361</v>
      </c>
      <c r="D176" s="9" t="s">
        <v>362</v>
      </c>
      <c r="E176" s="9" t="str">
        <f>VLOOKUP(A176,[1]relatorio_clientes!$C:$Q,15,0)</f>
        <v>Setor Placa da Mercedes (Núcleo Bandeirante)</v>
      </c>
    </row>
    <row r="177" spans="1:5" x14ac:dyDescent="0.3">
      <c r="A177" s="9" t="s">
        <v>92</v>
      </c>
      <c r="B177" s="9" t="s">
        <v>360</v>
      </c>
      <c r="C177" s="9" t="s">
        <v>361</v>
      </c>
      <c r="D177" s="9" t="s">
        <v>370</v>
      </c>
      <c r="E177" s="9" t="str">
        <f>VLOOKUP(A177,[1]relatorio_clientes!$B:$Q,16,0)</f>
        <v>SOBRADINHO</v>
      </c>
    </row>
    <row r="178" spans="1:5" x14ac:dyDescent="0.3">
      <c r="A178" s="9" t="s">
        <v>235</v>
      </c>
      <c r="B178" s="9" t="s">
        <v>360</v>
      </c>
      <c r="C178" s="9" t="s">
        <v>361</v>
      </c>
      <c r="D178" s="9" t="s">
        <v>368</v>
      </c>
      <c r="E178" s="9" t="s">
        <v>410</v>
      </c>
    </row>
    <row r="179" spans="1:5" x14ac:dyDescent="0.3">
      <c r="A179" s="9" t="s">
        <v>143</v>
      </c>
      <c r="B179" s="9" t="s">
        <v>360</v>
      </c>
      <c r="C179" s="9" t="s">
        <v>361</v>
      </c>
      <c r="D179" s="9" t="s">
        <v>368</v>
      </c>
      <c r="E179" s="9" t="s">
        <v>410</v>
      </c>
    </row>
    <row r="180" spans="1:5" x14ac:dyDescent="0.3">
      <c r="A180" s="9" t="s">
        <v>281</v>
      </c>
      <c r="B180" s="9" t="s">
        <v>360</v>
      </c>
      <c r="C180" s="9" t="s">
        <v>361</v>
      </c>
      <c r="D180" s="9" t="s">
        <v>389</v>
      </c>
      <c r="E180" s="9" t="s">
        <v>410</v>
      </c>
    </row>
    <row r="181" spans="1:5" x14ac:dyDescent="0.3">
      <c r="A181" s="9" t="s">
        <v>237</v>
      </c>
      <c r="B181" s="9" t="s">
        <v>360</v>
      </c>
      <c r="C181" s="9" t="s">
        <v>361</v>
      </c>
      <c r="D181" s="9" t="s">
        <v>368</v>
      </c>
      <c r="E181" s="9" t="s">
        <v>410</v>
      </c>
    </row>
    <row r="182" spans="1:5" x14ac:dyDescent="0.3">
      <c r="A182" s="9" t="s">
        <v>212</v>
      </c>
      <c r="B182" s="9" t="s">
        <v>360</v>
      </c>
      <c r="C182" s="9" t="s">
        <v>361</v>
      </c>
      <c r="D182" s="9" t="s">
        <v>368</v>
      </c>
      <c r="E182" s="9" t="s">
        <v>410</v>
      </c>
    </row>
    <row r="183" spans="1:5" x14ac:dyDescent="0.3">
      <c r="A183" s="9" t="s">
        <v>155</v>
      </c>
      <c r="B183" s="9" t="s">
        <v>360</v>
      </c>
      <c r="C183" s="9" t="s">
        <v>361</v>
      </c>
      <c r="D183" s="9" t="s">
        <v>368</v>
      </c>
      <c r="E183" s="9" t="s">
        <v>410</v>
      </c>
    </row>
    <row r="184" spans="1:5" x14ac:dyDescent="0.3">
      <c r="A184" s="9" t="s">
        <v>141</v>
      </c>
      <c r="B184" s="9" t="s">
        <v>360</v>
      </c>
      <c r="C184" s="9" t="s">
        <v>361</v>
      </c>
      <c r="D184" s="9" t="s">
        <v>362</v>
      </c>
      <c r="E184" s="9" t="str">
        <f>VLOOKUP(A184,[1]relatorio_clientes!$C:$Q,15,0)</f>
        <v>TAGUATINGA</v>
      </c>
    </row>
    <row r="185" spans="1:5" x14ac:dyDescent="0.3">
      <c r="A185" s="9" t="s">
        <v>49</v>
      </c>
      <c r="B185" s="9" t="s">
        <v>360</v>
      </c>
      <c r="C185" s="9" t="s">
        <v>361</v>
      </c>
      <c r="D185" s="9" t="s">
        <v>362</v>
      </c>
      <c r="E185" s="9" t="str">
        <f>VLOOKUP(A185,[1]relatorio_clientes!$C:$Q,15,0)</f>
        <v>TAGUATINGA</v>
      </c>
    </row>
    <row r="186" spans="1:5" x14ac:dyDescent="0.3">
      <c r="A186" s="9" t="s">
        <v>128</v>
      </c>
      <c r="B186" s="9" t="s">
        <v>360</v>
      </c>
      <c r="C186" s="9" t="s">
        <v>361</v>
      </c>
      <c r="D186" s="9" t="s">
        <v>365</v>
      </c>
      <c r="E186" s="9" t="s">
        <v>430</v>
      </c>
    </row>
    <row r="187" spans="1:5" x14ac:dyDescent="0.3">
      <c r="A187" s="9" t="s">
        <v>267</v>
      </c>
      <c r="B187" s="9" t="s">
        <v>360</v>
      </c>
      <c r="C187" s="9" t="s">
        <v>361</v>
      </c>
      <c r="D187" s="9" t="s">
        <v>368</v>
      </c>
      <c r="E187" s="9" t="str">
        <f>VLOOKUP(A187,[1]relatorio_clientes!$B:$Q,16,0)</f>
        <v>TAGUATINGA NORTE</v>
      </c>
    </row>
    <row r="188" spans="1:5" x14ac:dyDescent="0.3">
      <c r="A188" s="9" t="s">
        <v>183</v>
      </c>
      <c r="B188" s="9" t="s">
        <v>431</v>
      </c>
      <c r="C188" s="9" t="s">
        <v>364</v>
      </c>
      <c r="D188" s="9" t="s">
        <v>362</v>
      </c>
      <c r="E188" s="9" t="str">
        <f t="shared" ref="E188:E224" si="1">B188</f>
        <v>Caldas Novas</v>
      </c>
    </row>
    <row r="189" spans="1:5" x14ac:dyDescent="0.3">
      <c r="A189" s="9" t="s">
        <v>184</v>
      </c>
      <c r="B189" s="9" t="s">
        <v>432</v>
      </c>
      <c r="C189" s="9" t="s">
        <v>373</v>
      </c>
      <c r="D189" s="9" t="s">
        <v>362</v>
      </c>
      <c r="E189" s="9" t="str">
        <f t="shared" si="1"/>
        <v>Castanhal</v>
      </c>
    </row>
    <row r="190" spans="1:5" x14ac:dyDescent="0.3">
      <c r="A190" s="9" t="s">
        <v>186</v>
      </c>
      <c r="B190" s="9" t="s">
        <v>433</v>
      </c>
      <c r="C190" s="9" t="s">
        <v>434</v>
      </c>
      <c r="D190" s="9" t="s">
        <v>370</v>
      </c>
      <c r="E190" s="9" t="str">
        <f t="shared" si="1"/>
        <v>Eunápolis</v>
      </c>
    </row>
    <row r="191" spans="1:5" x14ac:dyDescent="0.3">
      <c r="A191" s="9" t="s">
        <v>189</v>
      </c>
      <c r="B191" s="9" t="s">
        <v>435</v>
      </c>
      <c r="C191" s="9" t="s">
        <v>364</v>
      </c>
      <c r="D191" s="9" t="s">
        <v>368</v>
      </c>
      <c r="E191" s="9" t="str">
        <f t="shared" si="1"/>
        <v>Formosa</v>
      </c>
    </row>
    <row r="192" spans="1:5" x14ac:dyDescent="0.3">
      <c r="A192" s="9" t="s">
        <v>188</v>
      </c>
      <c r="B192" s="9" t="s">
        <v>435</v>
      </c>
      <c r="C192" s="9" t="s">
        <v>364</v>
      </c>
      <c r="D192" s="9" t="s">
        <v>368</v>
      </c>
      <c r="E192" s="9" t="str">
        <f t="shared" si="1"/>
        <v>Formosa</v>
      </c>
    </row>
    <row r="193" spans="1:5" x14ac:dyDescent="0.3">
      <c r="A193" s="9" t="s">
        <v>191</v>
      </c>
      <c r="B193" s="9" t="s">
        <v>436</v>
      </c>
      <c r="C193" s="9" t="s">
        <v>437</v>
      </c>
      <c r="D193" s="9" t="s">
        <v>362</v>
      </c>
      <c r="E193" s="9" t="str">
        <f t="shared" si="1"/>
        <v>Fortaleza</v>
      </c>
    </row>
    <row r="194" spans="1:5" x14ac:dyDescent="0.3">
      <c r="A194" s="9" t="s">
        <v>211</v>
      </c>
      <c r="B194" s="9" t="s">
        <v>438</v>
      </c>
      <c r="C194" s="9" t="s">
        <v>364</v>
      </c>
      <c r="D194" s="9" t="s">
        <v>362</v>
      </c>
      <c r="E194" s="9" t="str">
        <f t="shared" si="1"/>
        <v>Goiânia</v>
      </c>
    </row>
    <row r="195" spans="1:5" x14ac:dyDescent="0.3">
      <c r="A195" s="9" t="s">
        <v>199</v>
      </c>
      <c r="B195" s="9" t="s">
        <v>438</v>
      </c>
      <c r="C195" s="9" t="s">
        <v>364</v>
      </c>
      <c r="D195" s="9" t="s">
        <v>362</v>
      </c>
      <c r="E195" s="9" t="str">
        <f t="shared" si="1"/>
        <v>Goiânia</v>
      </c>
    </row>
    <row r="196" spans="1:5" x14ac:dyDescent="0.3">
      <c r="A196" s="9" t="s">
        <v>195</v>
      </c>
      <c r="B196" s="9" t="s">
        <v>438</v>
      </c>
      <c r="C196" s="9" t="s">
        <v>364</v>
      </c>
      <c r="D196" s="9" t="s">
        <v>362</v>
      </c>
      <c r="E196" s="9" t="str">
        <f t="shared" si="1"/>
        <v>Goiânia</v>
      </c>
    </row>
    <row r="197" spans="1:5" x14ac:dyDescent="0.3">
      <c r="A197" s="9" t="s">
        <v>206</v>
      </c>
      <c r="B197" s="9" t="s">
        <v>438</v>
      </c>
      <c r="C197" s="9" t="s">
        <v>364</v>
      </c>
      <c r="D197" s="9" t="s">
        <v>362</v>
      </c>
      <c r="E197" s="9" t="str">
        <f t="shared" si="1"/>
        <v>Goiânia</v>
      </c>
    </row>
    <row r="198" spans="1:5" x14ac:dyDescent="0.3">
      <c r="A198" s="9" t="s">
        <v>221</v>
      </c>
      <c r="B198" s="9" t="s">
        <v>438</v>
      </c>
      <c r="C198" s="9" t="s">
        <v>364</v>
      </c>
      <c r="D198" s="9" t="s">
        <v>362</v>
      </c>
      <c r="E198" s="9" t="str">
        <f t="shared" si="1"/>
        <v>Goiânia</v>
      </c>
    </row>
    <row r="199" spans="1:5" x14ac:dyDescent="0.3">
      <c r="A199" s="9" t="s">
        <v>213</v>
      </c>
      <c r="B199" s="9" t="s">
        <v>438</v>
      </c>
      <c r="C199" s="9" t="s">
        <v>364</v>
      </c>
      <c r="D199" s="9" t="s">
        <v>362</v>
      </c>
      <c r="E199" s="9" t="str">
        <f t="shared" si="1"/>
        <v>Goiânia</v>
      </c>
    </row>
    <row r="200" spans="1:5" x14ac:dyDescent="0.3">
      <c r="A200" s="9" t="s">
        <v>227</v>
      </c>
      <c r="B200" s="9" t="s">
        <v>438</v>
      </c>
      <c r="C200" s="9" t="s">
        <v>364</v>
      </c>
      <c r="D200" s="9" t="s">
        <v>370</v>
      </c>
      <c r="E200" s="9" t="str">
        <f t="shared" si="1"/>
        <v>Goiânia</v>
      </c>
    </row>
    <row r="201" spans="1:5" x14ac:dyDescent="0.3">
      <c r="A201" s="9" t="s">
        <v>223</v>
      </c>
      <c r="B201" s="9" t="s">
        <v>438</v>
      </c>
      <c r="C201" s="9" t="s">
        <v>364</v>
      </c>
      <c r="D201" s="9" t="s">
        <v>362</v>
      </c>
      <c r="E201" s="9" t="str">
        <f t="shared" si="1"/>
        <v>Goiânia</v>
      </c>
    </row>
    <row r="202" spans="1:5" x14ac:dyDescent="0.3">
      <c r="A202" s="9" t="s">
        <v>197</v>
      </c>
      <c r="B202" s="9" t="s">
        <v>438</v>
      </c>
      <c r="C202" s="9" t="s">
        <v>364</v>
      </c>
      <c r="D202" s="9" t="s">
        <v>362</v>
      </c>
      <c r="E202" s="9" t="str">
        <f t="shared" si="1"/>
        <v>Goiânia</v>
      </c>
    </row>
    <row r="203" spans="1:5" x14ac:dyDescent="0.3">
      <c r="A203" s="9" t="s">
        <v>204</v>
      </c>
      <c r="B203" s="9" t="s">
        <v>438</v>
      </c>
      <c r="C203" s="9" t="s">
        <v>364</v>
      </c>
      <c r="D203" s="9" t="s">
        <v>362</v>
      </c>
      <c r="E203" s="9" t="str">
        <f t="shared" si="1"/>
        <v>Goiânia</v>
      </c>
    </row>
    <row r="204" spans="1:5" x14ac:dyDescent="0.3">
      <c r="A204" s="9" t="s">
        <v>439</v>
      </c>
      <c r="B204" s="9" t="s">
        <v>438</v>
      </c>
      <c r="C204" s="9" t="s">
        <v>364</v>
      </c>
      <c r="D204" s="9" t="s">
        <v>362</v>
      </c>
      <c r="E204" s="9" t="str">
        <f t="shared" si="1"/>
        <v>Goiânia</v>
      </c>
    </row>
    <row r="205" spans="1:5" x14ac:dyDescent="0.3">
      <c r="A205" s="9" t="s">
        <v>440</v>
      </c>
      <c r="B205" s="9" t="s">
        <v>438</v>
      </c>
      <c r="C205" s="9" t="s">
        <v>364</v>
      </c>
      <c r="D205" s="9" t="s">
        <v>370</v>
      </c>
      <c r="E205" s="9" t="str">
        <f t="shared" si="1"/>
        <v>Goiânia</v>
      </c>
    </row>
    <row r="206" spans="1:5" x14ac:dyDescent="0.3">
      <c r="A206" s="9" t="s">
        <v>222</v>
      </c>
      <c r="B206" s="9" t="s">
        <v>438</v>
      </c>
      <c r="C206" s="9" t="s">
        <v>364</v>
      </c>
      <c r="D206" s="9" t="s">
        <v>362</v>
      </c>
      <c r="E206" s="9" t="str">
        <f t="shared" si="1"/>
        <v>Goiânia</v>
      </c>
    </row>
    <row r="207" spans="1:5" x14ac:dyDescent="0.3">
      <c r="A207" s="9" t="s">
        <v>203</v>
      </c>
      <c r="B207" s="9" t="s">
        <v>438</v>
      </c>
      <c r="C207" s="9" t="s">
        <v>364</v>
      </c>
      <c r="D207" s="9" t="s">
        <v>362</v>
      </c>
      <c r="E207" s="9" t="str">
        <f t="shared" si="1"/>
        <v>Goiânia</v>
      </c>
    </row>
    <row r="208" spans="1:5" x14ac:dyDescent="0.3">
      <c r="A208" s="9" t="s">
        <v>441</v>
      </c>
      <c r="B208" s="9" t="s">
        <v>438</v>
      </c>
      <c r="C208" s="9" t="s">
        <v>364</v>
      </c>
      <c r="D208" s="9" t="s">
        <v>368</v>
      </c>
      <c r="E208" s="9" t="str">
        <f t="shared" si="1"/>
        <v>Goiânia</v>
      </c>
    </row>
    <row r="209" spans="1:5" x14ac:dyDescent="0.3">
      <c r="A209" s="9" t="s">
        <v>214</v>
      </c>
      <c r="B209" s="9" t="s">
        <v>438</v>
      </c>
      <c r="C209" s="9" t="s">
        <v>364</v>
      </c>
      <c r="D209" s="9" t="s">
        <v>362</v>
      </c>
      <c r="E209" s="9" t="str">
        <f t="shared" si="1"/>
        <v>Goiânia</v>
      </c>
    </row>
    <row r="210" spans="1:5" x14ac:dyDescent="0.3">
      <c r="A210" s="9" t="s">
        <v>225</v>
      </c>
      <c r="B210" s="9" t="s">
        <v>438</v>
      </c>
      <c r="C210" s="9" t="s">
        <v>364</v>
      </c>
      <c r="D210" s="9" t="s">
        <v>370</v>
      </c>
      <c r="E210" s="9" t="str">
        <f t="shared" si="1"/>
        <v>Goiânia</v>
      </c>
    </row>
    <row r="211" spans="1:5" x14ac:dyDescent="0.3">
      <c r="A211" s="9" t="s">
        <v>236</v>
      </c>
      <c r="B211" s="9" t="s">
        <v>438</v>
      </c>
      <c r="C211" s="9" t="s">
        <v>364</v>
      </c>
      <c r="D211" s="9" t="s">
        <v>362</v>
      </c>
      <c r="E211" s="9" t="str">
        <f t="shared" si="1"/>
        <v>Goiânia</v>
      </c>
    </row>
    <row r="212" spans="1:5" x14ac:dyDescent="0.3">
      <c r="A212" s="9" t="s">
        <v>219</v>
      </c>
      <c r="B212" s="9" t="s">
        <v>438</v>
      </c>
      <c r="C212" s="9" t="s">
        <v>364</v>
      </c>
      <c r="D212" s="9" t="s">
        <v>362</v>
      </c>
      <c r="E212" s="9" t="str">
        <f t="shared" si="1"/>
        <v>Goiânia</v>
      </c>
    </row>
    <row r="213" spans="1:5" x14ac:dyDescent="0.3">
      <c r="A213" s="9" t="s">
        <v>215</v>
      </c>
      <c r="B213" s="9" t="s">
        <v>438</v>
      </c>
      <c r="C213" s="9" t="s">
        <v>364</v>
      </c>
      <c r="D213" s="9" t="s">
        <v>362</v>
      </c>
      <c r="E213" s="9" t="str">
        <f t="shared" si="1"/>
        <v>Goiânia</v>
      </c>
    </row>
    <row r="214" spans="1:5" x14ac:dyDescent="0.3">
      <c r="A214" s="9" t="s">
        <v>220</v>
      </c>
      <c r="B214" s="9" t="s">
        <v>438</v>
      </c>
      <c r="C214" s="9" t="s">
        <v>364</v>
      </c>
      <c r="D214" s="9" t="s">
        <v>362</v>
      </c>
      <c r="E214" s="9" t="str">
        <f t="shared" si="1"/>
        <v>Goiânia</v>
      </c>
    </row>
    <row r="215" spans="1:5" x14ac:dyDescent="0.3">
      <c r="A215" s="9" t="s">
        <v>241</v>
      </c>
      <c r="B215" s="9" t="s">
        <v>442</v>
      </c>
      <c r="C215" s="9" t="s">
        <v>364</v>
      </c>
      <c r="D215" s="9" t="s">
        <v>362</v>
      </c>
      <c r="E215" s="9" t="str">
        <f t="shared" si="1"/>
        <v>Goianira</v>
      </c>
    </row>
    <row r="216" spans="1:5" x14ac:dyDescent="0.3">
      <c r="A216" s="9" t="s">
        <v>247</v>
      </c>
      <c r="B216" s="9" t="s">
        <v>442</v>
      </c>
      <c r="C216" s="9" t="s">
        <v>364</v>
      </c>
      <c r="D216" s="9" t="s">
        <v>370</v>
      </c>
      <c r="E216" s="9" t="str">
        <f t="shared" si="1"/>
        <v>Goianira</v>
      </c>
    </row>
    <row r="217" spans="1:5" x14ac:dyDescent="0.3">
      <c r="A217" s="9" t="s">
        <v>250</v>
      </c>
      <c r="B217" s="9" t="s">
        <v>443</v>
      </c>
      <c r="C217" s="9" t="s">
        <v>434</v>
      </c>
      <c r="D217" s="9" t="s">
        <v>368</v>
      </c>
      <c r="E217" s="9" t="str">
        <f t="shared" si="1"/>
        <v>Livramento de Nossa Senhora</v>
      </c>
    </row>
    <row r="218" spans="1:5" x14ac:dyDescent="0.3">
      <c r="A218" s="9" t="s">
        <v>253</v>
      </c>
      <c r="B218" s="9" t="s">
        <v>444</v>
      </c>
      <c r="C218" s="9" t="s">
        <v>364</v>
      </c>
      <c r="D218" s="9" t="s">
        <v>362</v>
      </c>
      <c r="E218" s="9" t="str">
        <f t="shared" si="1"/>
        <v>Luziânia</v>
      </c>
    </row>
    <row r="219" spans="1:5" x14ac:dyDescent="0.3">
      <c r="A219" s="9" t="s">
        <v>252</v>
      </c>
      <c r="B219" s="9" t="s">
        <v>444</v>
      </c>
      <c r="C219" s="9" t="s">
        <v>364</v>
      </c>
      <c r="D219" s="9" t="s">
        <v>365</v>
      </c>
      <c r="E219" s="9" t="str">
        <f t="shared" si="1"/>
        <v>Luziânia</v>
      </c>
    </row>
    <row r="220" spans="1:5" x14ac:dyDescent="0.3">
      <c r="A220" s="9" t="s">
        <v>254</v>
      </c>
      <c r="B220" s="9" t="s">
        <v>444</v>
      </c>
      <c r="C220" s="9" t="s">
        <v>364</v>
      </c>
      <c r="D220" s="9" t="s">
        <v>365</v>
      </c>
      <c r="E220" s="9" t="str">
        <f t="shared" si="1"/>
        <v>Luziânia</v>
      </c>
    </row>
    <row r="221" spans="1:5" x14ac:dyDescent="0.3">
      <c r="A221" s="9" t="s">
        <v>256</v>
      </c>
      <c r="B221" s="9" t="s">
        <v>444</v>
      </c>
      <c r="C221" s="9" t="s">
        <v>364</v>
      </c>
      <c r="D221" s="9" t="s">
        <v>365</v>
      </c>
      <c r="E221" s="9" t="str">
        <f t="shared" si="1"/>
        <v>Luziânia</v>
      </c>
    </row>
    <row r="222" spans="1:5" x14ac:dyDescent="0.3">
      <c r="A222" s="9" t="s">
        <v>330</v>
      </c>
      <c r="B222" s="9" t="s">
        <v>445</v>
      </c>
      <c r="C222" s="9" t="s">
        <v>446</v>
      </c>
      <c r="D222" s="9" t="s">
        <v>362</v>
      </c>
      <c r="E222" s="9" t="str">
        <f t="shared" si="1"/>
        <v>Magé</v>
      </c>
    </row>
    <row r="223" spans="1:5" x14ac:dyDescent="0.3">
      <c r="A223" s="9" t="s">
        <v>265</v>
      </c>
      <c r="B223" s="9" t="s">
        <v>447</v>
      </c>
      <c r="C223" s="9" t="s">
        <v>448</v>
      </c>
      <c r="D223" s="9" t="s">
        <v>362</v>
      </c>
      <c r="E223" s="9" t="str">
        <f t="shared" si="1"/>
        <v>Manaus</v>
      </c>
    </row>
    <row r="224" spans="1:5" x14ac:dyDescent="0.3">
      <c r="A224" s="9" t="s">
        <v>260</v>
      </c>
      <c r="B224" s="9" t="s">
        <v>444</v>
      </c>
      <c r="C224" s="9" t="s">
        <v>364</v>
      </c>
      <c r="D224" s="9" t="s">
        <v>365</v>
      </c>
      <c r="E224" s="9" t="str">
        <f t="shared" si="1"/>
        <v>Luziânia</v>
      </c>
    </row>
    <row r="225" spans="1:5" x14ac:dyDescent="0.3">
      <c r="A225" s="9" t="s">
        <v>238</v>
      </c>
      <c r="B225" s="9" t="s">
        <v>360</v>
      </c>
      <c r="C225" s="9" t="s">
        <v>361</v>
      </c>
      <c r="D225" s="9" t="s">
        <v>389</v>
      </c>
      <c r="E225" s="9" t="str">
        <f>VLOOKUP(A225,[1]relatorio_clientes!$B:$Q,16,0)</f>
        <v>Taguatinga Norte (Taguatinga)</v>
      </c>
    </row>
    <row r="226" spans="1:5" x14ac:dyDescent="0.3">
      <c r="A226" s="9" t="s">
        <v>70</v>
      </c>
      <c r="B226" s="9" t="s">
        <v>360</v>
      </c>
      <c r="C226" s="9" t="s">
        <v>361</v>
      </c>
      <c r="D226" s="9" t="s">
        <v>362</v>
      </c>
      <c r="E226" s="9" t="str">
        <f>VLOOKUP(A226,[1]relatorio_clientes!$C:$Q,15,0)</f>
        <v>TAGUATINGA NORTE (TAGUATINGA)</v>
      </c>
    </row>
    <row r="227" spans="1:5" x14ac:dyDescent="0.3">
      <c r="A227" s="9" t="s">
        <v>209</v>
      </c>
      <c r="B227" s="9" t="s">
        <v>360</v>
      </c>
      <c r="C227" s="9" t="s">
        <v>361</v>
      </c>
      <c r="D227" s="9" t="s">
        <v>374</v>
      </c>
      <c r="E227" s="9" t="str">
        <f>VLOOKUP(A227,[1]relatorio_clientes!$C:$Q,15,0)</f>
        <v>TAGUATINGA NORTE (TAGUATINGA)</v>
      </c>
    </row>
    <row r="228" spans="1:5" x14ac:dyDescent="0.3">
      <c r="A228" s="9" t="s">
        <v>449</v>
      </c>
      <c r="B228" s="9" t="s">
        <v>360</v>
      </c>
      <c r="C228" s="9" t="s">
        <v>361</v>
      </c>
      <c r="D228" s="9" t="s">
        <v>368</v>
      </c>
      <c r="E228" s="9" t="str">
        <f>VLOOKUP(A228,[1]relatorio_clientes!$C:$Q,15,0)</f>
        <v>TAGUATINGA NORTE (TAGUATINGA)</v>
      </c>
    </row>
    <row r="229" spans="1:5" x14ac:dyDescent="0.3">
      <c r="A229" s="9" t="s">
        <v>110</v>
      </c>
      <c r="B229" s="9" t="s">
        <v>360</v>
      </c>
      <c r="C229" s="9" t="s">
        <v>361</v>
      </c>
      <c r="D229" s="9" t="s">
        <v>365</v>
      </c>
      <c r="E229" s="9" t="str">
        <f>VLOOKUP(A229,[1]relatorio_clientes!$B:$Q,16,0)</f>
        <v>Taguatinga sul</v>
      </c>
    </row>
    <row r="230" spans="1:5" x14ac:dyDescent="0.3">
      <c r="A230" s="9" t="s">
        <v>228</v>
      </c>
      <c r="B230" s="9" t="s">
        <v>360</v>
      </c>
      <c r="C230" s="9" t="s">
        <v>361</v>
      </c>
      <c r="D230" s="9" t="s">
        <v>450</v>
      </c>
      <c r="E230" s="9" t="str">
        <f>VLOOKUP(A230,[1]relatorio_clientes!$B:$Q,16,0)</f>
        <v>Taguatinga Sul (Taguatinga)</v>
      </c>
    </row>
    <row r="231" spans="1:5" x14ac:dyDescent="0.3">
      <c r="A231" s="9" t="s">
        <v>228</v>
      </c>
      <c r="B231" s="9" t="s">
        <v>360</v>
      </c>
      <c r="C231" s="9" t="s">
        <v>361</v>
      </c>
      <c r="D231" s="9" t="s">
        <v>450</v>
      </c>
      <c r="E231" s="9" t="str">
        <f>VLOOKUP(A231,[1]relatorio_clientes!$B:$Q,16,0)</f>
        <v>Taguatinga Sul (Taguatinga)</v>
      </c>
    </row>
    <row r="232" spans="1:5" x14ac:dyDescent="0.3">
      <c r="A232" s="9" t="s">
        <v>137</v>
      </c>
      <c r="B232" s="9" t="s">
        <v>360</v>
      </c>
      <c r="C232" s="9" t="s">
        <v>361</v>
      </c>
      <c r="D232" s="9" t="s">
        <v>451</v>
      </c>
      <c r="E232" s="9" t="str">
        <f>VLOOKUP(A232,[1]relatorio_clientes!$B:$Q,16,0)</f>
        <v>Taguatinga Sul (Taguatinga)</v>
      </c>
    </row>
    <row r="233" spans="1:5" x14ac:dyDescent="0.3">
      <c r="A233" s="9" t="s">
        <v>452</v>
      </c>
      <c r="B233" s="9" t="s">
        <v>360</v>
      </c>
      <c r="C233" s="9" t="s">
        <v>361</v>
      </c>
      <c r="D233" s="9" t="s">
        <v>453</v>
      </c>
      <c r="E233" s="9" t="str">
        <f>VLOOKUP(A233,[1]relatorio_clientes!$B:$Q,16,0)</f>
        <v>Taguatinga Sul (Taguatinga)</v>
      </c>
    </row>
    <row r="234" spans="1:5" x14ac:dyDescent="0.3">
      <c r="A234" s="9" t="s">
        <v>243</v>
      </c>
      <c r="B234" s="9" t="s">
        <v>360</v>
      </c>
      <c r="C234" s="9" t="s">
        <v>361</v>
      </c>
      <c r="D234" s="9" t="s">
        <v>365</v>
      </c>
      <c r="E234" s="9" t="str">
        <f>VLOOKUP(A234,[1]relatorio_clientes!$B:$Q,16,0)</f>
        <v>Taguatinga Sul (Taguatinga)</v>
      </c>
    </row>
    <row r="235" spans="1:5" x14ac:dyDescent="0.3">
      <c r="A235" s="9" t="s">
        <v>454</v>
      </c>
      <c r="B235" s="9" t="s">
        <v>360</v>
      </c>
      <c r="C235" s="9" t="s">
        <v>361</v>
      </c>
      <c r="D235" s="9" t="s">
        <v>368</v>
      </c>
      <c r="E235" s="9" t="str">
        <f>VLOOKUP(A235,[1]relatorio_clientes!$C:$Q,15,0)</f>
        <v>TAGUATINGA SUL (TAGUATINGA)</v>
      </c>
    </row>
    <row r="236" spans="1:5" x14ac:dyDescent="0.3">
      <c r="A236" s="9" t="s">
        <v>266</v>
      </c>
      <c r="B236" s="9" t="s">
        <v>266</v>
      </c>
      <c r="C236" s="9" t="s">
        <v>266</v>
      </c>
      <c r="D236" s="9" t="s">
        <v>374</v>
      </c>
      <c r="E236" s="9" t="str">
        <f>B236</f>
        <v>MERCADO LIVRE</v>
      </c>
    </row>
    <row r="237" spans="1:5" x14ac:dyDescent="0.3">
      <c r="A237" s="9" t="s">
        <v>173</v>
      </c>
      <c r="B237" s="9" t="s">
        <v>360</v>
      </c>
      <c r="C237" s="9" t="s">
        <v>361</v>
      </c>
      <c r="D237" s="9" t="s">
        <v>368</v>
      </c>
      <c r="E237" s="9" t="str">
        <f>VLOOKUP(A237,[1]relatorio_clientes!$C:$Q,15,0)</f>
        <v>TAGUATINGA SUL (TAGUATINGA)</v>
      </c>
    </row>
    <row r="238" spans="1:5" x14ac:dyDescent="0.3">
      <c r="A238" s="9" t="s">
        <v>111</v>
      </c>
      <c r="B238" s="9" t="s">
        <v>360</v>
      </c>
      <c r="C238" s="9" t="s">
        <v>361</v>
      </c>
      <c r="D238" s="9" t="s">
        <v>370</v>
      </c>
      <c r="E238" s="9" t="str">
        <f>VLOOKUP(A238,[1]relatorio_clientes!$C:$Q,15,0)</f>
        <v>TAGUATINGA SUL (TAGUATINGA)</v>
      </c>
    </row>
    <row r="239" spans="1:5" x14ac:dyDescent="0.3">
      <c r="A239" s="9" t="s">
        <v>193</v>
      </c>
      <c r="B239" s="9" t="s">
        <v>438</v>
      </c>
      <c r="C239" s="9" t="s">
        <v>364</v>
      </c>
      <c r="D239" s="9" t="s">
        <v>368</v>
      </c>
      <c r="E239" s="9" t="str">
        <f t="shared" ref="E239:E240" si="2">B239</f>
        <v>Goiânia</v>
      </c>
    </row>
    <row r="240" spans="1:5" x14ac:dyDescent="0.3">
      <c r="A240" s="9" t="s">
        <v>242</v>
      </c>
      <c r="B240" s="9" t="s">
        <v>442</v>
      </c>
      <c r="C240" s="9" t="s">
        <v>364</v>
      </c>
      <c r="D240" s="9" t="s">
        <v>368</v>
      </c>
      <c r="E240" s="9" t="str">
        <f t="shared" si="2"/>
        <v>Goianira</v>
      </c>
    </row>
    <row r="241" spans="1:5" x14ac:dyDescent="0.3">
      <c r="A241" s="9" t="s">
        <v>101</v>
      </c>
      <c r="B241" s="9" t="s">
        <v>360</v>
      </c>
      <c r="C241" s="9" t="s">
        <v>361</v>
      </c>
      <c r="D241" s="9" t="s">
        <v>365</v>
      </c>
      <c r="E241" s="9" t="str">
        <f>VLOOKUP(A241,[1]relatorio_clientes!$C:$Q,15,0)</f>
        <v>TAGUATINGA SUL (TAGUATINGA)</v>
      </c>
    </row>
    <row r="242" spans="1:5" x14ac:dyDescent="0.3">
      <c r="A242" s="9" t="s">
        <v>146</v>
      </c>
      <c r="B242" s="9" t="s">
        <v>360</v>
      </c>
      <c r="C242" s="9" t="s">
        <v>361</v>
      </c>
      <c r="D242" s="9" t="s">
        <v>368</v>
      </c>
      <c r="E242" s="9" t="str">
        <f>VLOOKUP(A242,[1]relatorio_clientes!$B:$Q,16,0)</f>
        <v>Vale do Amanhecer (Planaltina)</v>
      </c>
    </row>
    <row r="243" spans="1:5" x14ac:dyDescent="0.3">
      <c r="A243" s="9" t="s">
        <v>116</v>
      </c>
      <c r="B243" s="9" t="s">
        <v>360</v>
      </c>
      <c r="C243" s="9" t="s">
        <v>361</v>
      </c>
      <c r="D243" s="9" t="s">
        <v>368</v>
      </c>
      <c r="E243" s="9" t="str">
        <f>VLOOKUP(A243,[1]relatorio_clientes!$C:$Q,15,0)</f>
        <v>VALE DO AMANHECER (PLANALTINA)</v>
      </c>
    </row>
    <row r="244" spans="1:5" x14ac:dyDescent="0.3">
      <c r="A244" s="9" t="s">
        <v>116</v>
      </c>
      <c r="B244" s="9" t="s">
        <v>360</v>
      </c>
      <c r="C244" s="9" t="s">
        <v>361</v>
      </c>
      <c r="D244" s="9" t="s">
        <v>368</v>
      </c>
      <c r="E244" s="9" t="str">
        <f>VLOOKUP(A244,[1]relatorio_clientes!$C:$Q,15,0)</f>
        <v>VALE DO AMANHECER (PLANALTINA)</v>
      </c>
    </row>
    <row r="245" spans="1:5" x14ac:dyDescent="0.3">
      <c r="A245" s="9" t="s">
        <v>455</v>
      </c>
      <c r="B245" s="9" t="s">
        <v>360</v>
      </c>
      <c r="C245" s="9" t="s">
        <v>361</v>
      </c>
      <c r="D245" s="9" t="s">
        <v>368</v>
      </c>
      <c r="E245" s="9" t="str">
        <f>VLOOKUP(A245,[1]relatorio_clientes!$B:$Q,16,0)</f>
        <v>vicente pires</v>
      </c>
    </row>
    <row r="246" spans="1:5" x14ac:dyDescent="0.3">
      <c r="A246" s="9" t="s">
        <v>164</v>
      </c>
      <c r="B246" s="9" t="s">
        <v>360</v>
      </c>
      <c r="C246" s="9" t="s">
        <v>361</v>
      </c>
      <c r="D246" s="9" t="s">
        <v>368</v>
      </c>
      <c r="E246" s="9" t="str">
        <f>VLOOKUP(A246,[1]relatorio_clientes!$B:$Q,16,0)</f>
        <v>VICENTE PIRES</v>
      </c>
    </row>
    <row r="247" spans="1:5" x14ac:dyDescent="0.3">
      <c r="A247" s="9" t="s">
        <v>78</v>
      </c>
      <c r="B247" s="9" t="s">
        <v>360</v>
      </c>
      <c r="C247" s="9" t="s">
        <v>361</v>
      </c>
      <c r="D247" s="9" t="s">
        <v>365</v>
      </c>
      <c r="E247" s="9" t="str">
        <f>VLOOKUP(A247,[1]relatorio_clientes!$C:$Q,15,0)</f>
        <v>Vila do Boa (São Sebastião)</v>
      </c>
    </row>
    <row r="248" spans="1:5" x14ac:dyDescent="0.3">
      <c r="A248" s="9" t="s">
        <v>108</v>
      </c>
      <c r="B248" s="9" t="s">
        <v>360</v>
      </c>
      <c r="C248" s="9" t="s">
        <v>361</v>
      </c>
      <c r="D248" s="9" t="s">
        <v>365</v>
      </c>
      <c r="E248" s="9" t="str">
        <f>VLOOKUP(A248,[1]relatorio_clientes!$B:$Q,16,0)</f>
        <v>Vila Planalto</v>
      </c>
    </row>
    <row r="249" spans="1:5" x14ac:dyDescent="0.3">
      <c r="A249" s="9" t="s">
        <v>456</v>
      </c>
      <c r="B249" s="9" t="s">
        <v>360</v>
      </c>
      <c r="C249" s="9" t="s">
        <v>361</v>
      </c>
      <c r="D249" s="9" t="s">
        <v>368</v>
      </c>
      <c r="E249" s="9" t="str">
        <f>VLOOKUP(A249,[1]relatorio_clientes!$C:$Q,15,0)</f>
        <v>ZONA INDUSTRIAL (GUARA)</v>
      </c>
    </row>
    <row r="250" spans="1:5" x14ac:dyDescent="0.3">
      <c r="A250" s="9" t="s">
        <v>457</v>
      </c>
      <c r="B250" s="9" t="s">
        <v>360</v>
      </c>
      <c r="C250" s="9" t="s">
        <v>361</v>
      </c>
      <c r="D250" s="9" t="s">
        <v>368</v>
      </c>
      <c r="E250" s="9" t="str">
        <f>VLOOKUP(A250,[1]relatorio_clientes!$C:$Q,15,0)</f>
        <v>ZONA INDUSTRIAL (GUARA)</v>
      </c>
    </row>
    <row r="251" spans="1:5" x14ac:dyDescent="0.3">
      <c r="A251" s="9" t="s">
        <v>458</v>
      </c>
      <c r="B251" s="9" t="s">
        <v>360</v>
      </c>
      <c r="C251" s="9" t="s">
        <v>361</v>
      </c>
      <c r="D251" s="9" t="s">
        <v>459</v>
      </c>
      <c r="E251" s="9" t="str">
        <f>VLOOKUP(A251,[1]relatorio_clientes!$C:$Q,15,0)</f>
        <v>ZONA INDUSTRIAL (GUARA)</v>
      </c>
    </row>
    <row r="252" spans="1:5" x14ac:dyDescent="0.3">
      <c r="A252" s="9" t="s">
        <v>185</v>
      </c>
      <c r="B252" s="9" t="s">
        <v>432</v>
      </c>
      <c r="C252" s="9" t="s">
        <v>373</v>
      </c>
      <c r="D252" s="9" t="s">
        <v>368</v>
      </c>
      <c r="E252" s="9" t="str">
        <f t="shared" ref="E252:E258" si="3">B252</f>
        <v>Castanhal</v>
      </c>
    </row>
    <row r="253" spans="1:5" x14ac:dyDescent="0.3">
      <c r="A253" s="9" t="s">
        <v>272</v>
      </c>
      <c r="B253" s="9" t="s">
        <v>460</v>
      </c>
      <c r="C253" s="9" t="s">
        <v>461</v>
      </c>
      <c r="D253" s="9" t="s">
        <v>368</v>
      </c>
      <c r="E253" s="9" t="str">
        <f t="shared" si="3"/>
        <v>Nova Santa Rosa</v>
      </c>
    </row>
    <row r="254" spans="1:5" x14ac:dyDescent="0.3">
      <c r="A254" s="9" t="s">
        <v>273</v>
      </c>
      <c r="B254" s="9" t="s">
        <v>462</v>
      </c>
      <c r="C254" s="9" t="s">
        <v>463</v>
      </c>
      <c r="D254" s="9" t="s">
        <v>362</v>
      </c>
      <c r="E254" s="9" t="str">
        <f t="shared" si="3"/>
        <v>Palmas</v>
      </c>
    </row>
    <row r="255" spans="1:5" x14ac:dyDescent="0.3">
      <c r="A255" s="9" t="s">
        <v>274</v>
      </c>
      <c r="B255" s="9" t="s">
        <v>462</v>
      </c>
      <c r="C255" s="9" t="s">
        <v>463</v>
      </c>
      <c r="D255" s="9" t="s">
        <v>362</v>
      </c>
      <c r="E255" s="9" t="str">
        <f t="shared" si="3"/>
        <v>Palmas</v>
      </c>
    </row>
    <row r="256" spans="1:5" x14ac:dyDescent="0.3">
      <c r="A256" s="9" t="s">
        <v>275</v>
      </c>
      <c r="B256" s="9" t="s">
        <v>464</v>
      </c>
      <c r="C256" s="9" t="s">
        <v>364</v>
      </c>
      <c r="D256" s="9" t="s">
        <v>362</v>
      </c>
      <c r="E256" s="9" t="str">
        <f t="shared" si="3"/>
        <v>Palmeiras de Goiás</v>
      </c>
    </row>
    <row r="257" spans="1:5" x14ac:dyDescent="0.3">
      <c r="A257" s="9" t="s">
        <v>276</v>
      </c>
      <c r="B257" s="9" t="s">
        <v>465</v>
      </c>
      <c r="C257" s="9" t="s">
        <v>373</v>
      </c>
      <c r="D257" s="9" t="s">
        <v>362</v>
      </c>
      <c r="E257" s="9" t="str">
        <f t="shared" si="3"/>
        <v>Parauapebas</v>
      </c>
    </row>
    <row r="258" spans="1:5" x14ac:dyDescent="0.3">
      <c r="A258" s="9" t="s">
        <v>276</v>
      </c>
      <c r="B258" s="9" t="s">
        <v>465</v>
      </c>
      <c r="C258" s="9" t="s">
        <v>373</v>
      </c>
      <c r="D258" s="9" t="s">
        <v>362</v>
      </c>
      <c r="E258" s="9" t="str">
        <f t="shared" si="3"/>
        <v>Parauapebas</v>
      </c>
    </row>
    <row r="259" spans="1:5" x14ac:dyDescent="0.3">
      <c r="A259" s="9" t="s">
        <v>129</v>
      </c>
      <c r="B259" s="9" t="s">
        <v>360</v>
      </c>
      <c r="C259" s="9" t="s">
        <v>361</v>
      </c>
      <c r="D259" s="9" t="s">
        <v>368</v>
      </c>
      <c r="E259" s="9" t="str">
        <f>VLOOKUP(A259,[1]relatorio_clientes!$C:$Q,15,0)</f>
        <v>ZONA INDUSTRIAL (GUARA)</v>
      </c>
    </row>
    <row r="260" spans="1:5" x14ac:dyDescent="0.3">
      <c r="A260" s="9" t="s">
        <v>234</v>
      </c>
      <c r="B260" s="9" t="s">
        <v>360</v>
      </c>
      <c r="C260" s="9" t="s">
        <v>361</v>
      </c>
      <c r="D260" s="9" t="s">
        <v>368</v>
      </c>
      <c r="E260" s="9" t="str">
        <f>VLOOKUP(A260,[1]relatorio_clientes!$B:$Q,16,0)</f>
        <v>Zona Industrial (Guará)</v>
      </c>
    </row>
    <row r="261" spans="1:5" x14ac:dyDescent="0.3">
      <c r="A261" s="9" t="s">
        <v>283</v>
      </c>
      <c r="B261" s="9" t="s">
        <v>412</v>
      </c>
      <c r="C261" s="9" t="s">
        <v>364</v>
      </c>
      <c r="D261" s="9" t="s">
        <v>368</v>
      </c>
      <c r="E261" s="9" t="str">
        <f t="shared" ref="E261:E264" si="4">B261</f>
        <v>Planaltina</v>
      </c>
    </row>
    <row r="262" spans="1:5" x14ac:dyDescent="0.3">
      <c r="A262" s="9" t="s">
        <v>286</v>
      </c>
      <c r="B262" s="9" t="s">
        <v>412</v>
      </c>
      <c r="C262" s="9" t="s">
        <v>364</v>
      </c>
      <c r="D262" s="9" t="s">
        <v>365</v>
      </c>
      <c r="E262" s="9" t="str">
        <f t="shared" si="4"/>
        <v>Planaltina</v>
      </c>
    </row>
    <row r="263" spans="1:5" x14ac:dyDescent="0.3">
      <c r="A263" s="9" t="s">
        <v>287</v>
      </c>
      <c r="B263" s="9" t="s">
        <v>412</v>
      </c>
      <c r="C263" s="9" t="s">
        <v>364</v>
      </c>
      <c r="D263" s="9" t="s">
        <v>365</v>
      </c>
      <c r="E263" s="9" t="str">
        <f t="shared" si="4"/>
        <v>Planaltina</v>
      </c>
    </row>
    <row r="264" spans="1:5" x14ac:dyDescent="0.3">
      <c r="A264" s="9" t="s">
        <v>288</v>
      </c>
      <c r="B264" s="9" t="s">
        <v>466</v>
      </c>
      <c r="C264" s="9" t="s">
        <v>373</v>
      </c>
      <c r="D264" s="9" t="s">
        <v>362</v>
      </c>
      <c r="E264" s="9" t="str">
        <f t="shared" si="4"/>
        <v>Redenção</v>
      </c>
    </row>
    <row r="265" spans="1:5" x14ac:dyDescent="0.3">
      <c r="A265" s="9" t="s">
        <v>229</v>
      </c>
      <c r="B265" s="9" t="s">
        <v>360</v>
      </c>
      <c r="C265" s="9" t="s">
        <v>361</v>
      </c>
      <c r="D265" s="9" t="s">
        <v>368</v>
      </c>
      <c r="E265" s="9" t="str">
        <f>VLOOKUP(A265,[1]relatorio_clientes!$B:$Q,16,0)</f>
        <v>Zona Industrial (Guará)</v>
      </c>
    </row>
    <row r="266" spans="1:5" x14ac:dyDescent="0.3">
      <c r="A266" s="9" t="s">
        <v>290</v>
      </c>
      <c r="B266" s="9" t="s">
        <v>467</v>
      </c>
      <c r="C266" s="9" t="s">
        <v>364</v>
      </c>
      <c r="D266" s="9" t="s">
        <v>362</v>
      </c>
      <c r="E266" s="9" t="str">
        <f t="shared" ref="E266:E322" si="5">B266</f>
        <v>Rio Verde</v>
      </c>
    </row>
    <row r="267" spans="1:5" x14ac:dyDescent="0.3">
      <c r="A267" s="9" t="s">
        <v>291</v>
      </c>
      <c r="B267" s="9" t="s">
        <v>467</v>
      </c>
      <c r="C267" s="9" t="s">
        <v>364</v>
      </c>
      <c r="D267" s="9" t="s">
        <v>362</v>
      </c>
      <c r="E267" s="9" t="str">
        <f t="shared" si="5"/>
        <v>Rio Verde</v>
      </c>
    </row>
    <row r="268" spans="1:5" x14ac:dyDescent="0.3">
      <c r="A268" s="9" t="s">
        <v>294</v>
      </c>
      <c r="B268" s="9" t="s">
        <v>467</v>
      </c>
      <c r="C268" s="9" t="s">
        <v>364</v>
      </c>
      <c r="D268" s="9" t="s">
        <v>365</v>
      </c>
      <c r="E268" s="9" t="str">
        <f t="shared" si="5"/>
        <v>Rio Verde</v>
      </c>
    </row>
    <row r="269" spans="1:5" x14ac:dyDescent="0.3">
      <c r="A269" s="9" t="s">
        <v>329</v>
      </c>
      <c r="B269" s="9" t="s">
        <v>468</v>
      </c>
      <c r="C269" s="9" t="s">
        <v>469</v>
      </c>
      <c r="D269" s="9" t="s">
        <v>362</v>
      </c>
      <c r="E269" s="9" t="str">
        <f t="shared" si="5"/>
        <v>Rondonópolis</v>
      </c>
    </row>
    <row r="270" spans="1:5" x14ac:dyDescent="0.3">
      <c r="A270" s="9" t="s">
        <v>295</v>
      </c>
      <c r="B270" s="9" t="s">
        <v>470</v>
      </c>
      <c r="C270" s="9" t="s">
        <v>373</v>
      </c>
      <c r="D270" s="9" t="s">
        <v>362</v>
      </c>
      <c r="E270" s="9" t="str">
        <f t="shared" si="5"/>
        <v>Santarém</v>
      </c>
    </row>
    <row r="271" spans="1:5" x14ac:dyDescent="0.3">
      <c r="A271" s="9" t="s">
        <v>296</v>
      </c>
      <c r="B271" s="9" t="s">
        <v>471</v>
      </c>
      <c r="C271" s="9" t="s">
        <v>364</v>
      </c>
      <c r="D271" s="9" t="s">
        <v>362</v>
      </c>
      <c r="E271" s="9" t="str">
        <f t="shared" si="5"/>
        <v>Santo Antônio Descoberto</v>
      </c>
    </row>
    <row r="272" spans="1:5" x14ac:dyDescent="0.3">
      <c r="A272" s="9" t="s">
        <v>299</v>
      </c>
      <c r="B272" s="9" t="s">
        <v>471</v>
      </c>
      <c r="C272" s="9" t="s">
        <v>364</v>
      </c>
      <c r="D272" s="9" t="s">
        <v>365</v>
      </c>
      <c r="E272" s="9" t="str">
        <f t="shared" si="5"/>
        <v>Santo Antônio Descoberto</v>
      </c>
    </row>
    <row r="273" spans="1:5" x14ac:dyDescent="0.3">
      <c r="A273" s="9" t="s">
        <v>472</v>
      </c>
      <c r="B273" s="9" t="s">
        <v>473</v>
      </c>
      <c r="C273" s="9" t="s">
        <v>474</v>
      </c>
      <c r="D273" s="9" t="s">
        <v>368</v>
      </c>
      <c r="E273" s="9" t="str">
        <f t="shared" si="5"/>
        <v>São Paulo</v>
      </c>
    </row>
    <row r="274" spans="1:5" x14ac:dyDescent="0.3">
      <c r="A274" s="9" t="s">
        <v>301</v>
      </c>
      <c r="B274" s="9" t="s">
        <v>473</v>
      </c>
      <c r="C274" s="9" t="s">
        <v>474</v>
      </c>
      <c r="D274" s="9" t="s">
        <v>368</v>
      </c>
      <c r="E274" s="9" t="str">
        <f t="shared" si="5"/>
        <v>São Paulo</v>
      </c>
    </row>
    <row r="275" spans="1:5" x14ac:dyDescent="0.3">
      <c r="A275" s="9" t="s">
        <v>303</v>
      </c>
      <c r="B275" s="9" t="s">
        <v>475</v>
      </c>
      <c r="C275" s="9" t="s">
        <v>364</v>
      </c>
      <c r="D275" s="9" t="s">
        <v>362</v>
      </c>
      <c r="E275" s="9" t="str">
        <f t="shared" si="5"/>
        <v>Trindade</v>
      </c>
    </row>
    <row r="276" spans="1:5" x14ac:dyDescent="0.3">
      <c r="A276" s="9" t="s">
        <v>356</v>
      </c>
      <c r="B276" s="9" t="s">
        <v>475</v>
      </c>
      <c r="C276" s="9" t="s">
        <v>364</v>
      </c>
      <c r="D276" s="9" t="s">
        <v>365</v>
      </c>
      <c r="E276" s="9" t="str">
        <f t="shared" si="5"/>
        <v>Trindade</v>
      </c>
    </row>
    <row r="277" spans="1:5" x14ac:dyDescent="0.3">
      <c r="A277" s="9" t="s">
        <v>307</v>
      </c>
      <c r="B277" s="9" t="s">
        <v>476</v>
      </c>
      <c r="C277" s="9" t="s">
        <v>381</v>
      </c>
      <c r="D277" s="9" t="s">
        <v>362</v>
      </c>
      <c r="E277" s="9" t="str">
        <f t="shared" si="5"/>
        <v>Uberaba</v>
      </c>
    </row>
    <row r="278" spans="1:5" x14ac:dyDescent="0.3">
      <c r="A278" s="9" t="s">
        <v>308</v>
      </c>
      <c r="B278" s="9" t="s">
        <v>476</v>
      </c>
      <c r="C278" s="9" t="s">
        <v>381</v>
      </c>
      <c r="D278" s="9" t="s">
        <v>362</v>
      </c>
      <c r="E278" s="9" t="str">
        <f t="shared" si="5"/>
        <v>Uberaba</v>
      </c>
    </row>
    <row r="279" spans="1:5" x14ac:dyDescent="0.3">
      <c r="A279" s="9" t="s">
        <v>309</v>
      </c>
      <c r="B279" s="9" t="s">
        <v>477</v>
      </c>
      <c r="C279" s="9" t="s">
        <v>381</v>
      </c>
      <c r="D279" s="9" t="s">
        <v>362</v>
      </c>
      <c r="E279" s="9" t="str">
        <f t="shared" si="5"/>
        <v>Uberlândia</v>
      </c>
    </row>
    <row r="280" spans="1:5" x14ac:dyDescent="0.3">
      <c r="A280" s="9" t="s">
        <v>478</v>
      </c>
      <c r="B280" s="9" t="s">
        <v>477</v>
      </c>
      <c r="C280" s="9" t="s">
        <v>381</v>
      </c>
      <c r="D280" s="9" t="s">
        <v>368</v>
      </c>
      <c r="E280" s="9" t="str">
        <f t="shared" si="5"/>
        <v>Uberlândia</v>
      </c>
    </row>
    <row r="281" spans="1:5" x14ac:dyDescent="0.3">
      <c r="A281" s="9" t="s">
        <v>311</v>
      </c>
      <c r="B281" s="9" t="s">
        <v>477</v>
      </c>
      <c r="C281" s="9" t="s">
        <v>381</v>
      </c>
      <c r="D281" s="9" t="s">
        <v>362</v>
      </c>
      <c r="E281" s="9" t="str">
        <f t="shared" si="5"/>
        <v>Uberlândia</v>
      </c>
    </row>
    <row r="282" spans="1:5" x14ac:dyDescent="0.3">
      <c r="A282" s="9" t="s">
        <v>479</v>
      </c>
      <c r="B282" s="9" t="s">
        <v>477</v>
      </c>
      <c r="C282" s="9" t="s">
        <v>381</v>
      </c>
      <c r="D282" s="9" t="s">
        <v>362</v>
      </c>
      <c r="E282" s="9" t="str">
        <f t="shared" si="5"/>
        <v>Uberlândia</v>
      </c>
    </row>
    <row r="283" spans="1:5" x14ac:dyDescent="0.3">
      <c r="A283" s="9" t="s">
        <v>310</v>
      </c>
      <c r="B283" s="9" t="s">
        <v>477</v>
      </c>
      <c r="C283" s="9" t="s">
        <v>381</v>
      </c>
      <c r="D283" s="9" t="s">
        <v>362</v>
      </c>
      <c r="E283" s="9" t="str">
        <f t="shared" si="5"/>
        <v>Uberlândia</v>
      </c>
    </row>
    <row r="284" spans="1:5" x14ac:dyDescent="0.3">
      <c r="A284" s="9" t="s">
        <v>312</v>
      </c>
      <c r="B284" s="9" t="s">
        <v>477</v>
      </c>
      <c r="C284" s="9" t="s">
        <v>381</v>
      </c>
      <c r="D284" s="9" t="s">
        <v>362</v>
      </c>
      <c r="E284" s="9" t="str">
        <f t="shared" si="5"/>
        <v>Uberlândia</v>
      </c>
    </row>
    <row r="285" spans="1:5" x14ac:dyDescent="0.3">
      <c r="A285" s="9" t="s">
        <v>313</v>
      </c>
      <c r="B285" s="9" t="s">
        <v>480</v>
      </c>
      <c r="C285" s="9" t="s">
        <v>381</v>
      </c>
      <c r="D285" s="9" t="s">
        <v>368</v>
      </c>
      <c r="E285" s="9" t="str">
        <f t="shared" si="5"/>
        <v>Unaí</v>
      </c>
    </row>
    <row r="286" spans="1:5" x14ac:dyDescent="0.3">
      <c r="A286" s="9" t="s">
        <v>316</v>
      </c>
      <c r="B286" s="9" t="s">
        <v>481</v>
      </c>
      <c r="C286" s="9" t="s">
        <v>364</v>
      </c>
      <c r="D286" s="9" t="s">
        <v>365</v>
      </c>
      <c r="E286" s="9" t="str">
        <f t="shared" si="5"/>
        <v>Valparaíso de Goiás</v>
      </c>
    </row>
    <row r="287" spans="1:5" x14ac:dyDescent="0.3">
      <c r="A287" s="9" t="s">
        <v>482</v>
      </c>
      <c r="B287" s="9" t="s">
        <v>481</v>
      </c>
      <c r="C287" s="9" t="s">
        <v>364</v>
      </c>
      <c r="D287" s="9" t="s">
        <v>368</v>
      </c>
      <c r="E287" s="9" t="str">
        <f t="shared" si="5"/>
        <v>Valparaíso de Goiás</v>
      </c>
    </row>
    <row r="288" spans="1:5" x14ac:dyDescent="0.3">
      <c r="A288" s="9" t="s">
        <v>319</v>
      </c>
      <c r="B288" s="9" t="s">
        <v>481</v>
      </c>
      <c r="C288" s="9" t="s">
        <v>364</v>
      </c>
      <c r="D288" s="9" t="s">
        <v>362</v>
      </c>
      <c r="E288" s="9" t="str">
        <f t="shared" si="5"/>
        <v>Valparaíso de Goiás</v>
      </c>
    </row>
    <row r="289" spans="1:5" x14ac:dyDescent="0.3">
      <c r="A289" s="9" t="s">
        <v>321</v>
      </c>
      <c r="B289" s="9" t="s">
        <v>481</v>
      </c>
      <c r="C289" s="9" t="s">
        <v>364</v>
      </c>
      <c r="D289" s="9" t="s">
        <v>362</v>
      </c>
      <c r="E289" s="9" t="str">
        <f t="shared" si="5"/>
        <v>Valparaíso de Goiás</v>
      </c>
    </row>
    <row r="290" spans="1:5" x14ac:dyDescent="0.3">
      <c r="A290" s="9" t="s">
        <v>483</v>
      </c>
      <c r="B290" s="9" t="s">
        <v>481</v>
      </c>
      <c r="C290" s="9" t="s">
        <v>364</v>
      </c>
      <c r="D290" s="9" t="s">
        <v>374</v>
      </c>
      <c r="E290" s="9" t="str">
        <f t="shared" si="5"/>
        <v>Valparaíso de Goiás</v>
      </c>
    </row>
    <row r="291" spans="1:5" x14ac:dyDescent="0.3">
      <c r="A291" s="9" t="s">
        <v>325</v>
      </c>
      <c r="B291" s="9" t="s">
        <v>481</v>
      </c>
      <c r="C291" s="9" t="s">
        <v>364</v>
      </c>
      <c r="D291" s="9" t="s">
        <v>365</v>
      </c>
      <c r="E291" s="9" t="str">
        <f t="shared" si="5"/>
        <v>Valparaíso de Goiás</v>
      </c>
    </row>
    <row r="292" spans="1:5" x14ac:dyDescent="0.3">
      <c r="A292" s="9" t="s">
        <v>484</v>
      </c>
      <c r="B292" s="9" t="s">
        <v>481</v>
      </c>
      <c r="C292" s="9" t="s">
        <v>364</v>
      </c>
      <c r="D292" s="9" t="s">
        <v>459</v>
      </c>
      <c r="E292" s="9" t="str">
        <f t="shared" si="5"/>
        <v>Valparaíso de Goiás</v>
      </c>
    </row>
    <row r="293" spans="1:5" x14ac:dyDescent="0.3">
      <c r="A293" s="9" t="s">
        <v>320</v>
      </c>
      <c r="B293" s="9" t="s">
        <v>481</v>
      </c>
      <c r="C293" s="9" t="s">
        <v>364</v>
      </c>
      <c r="D293" s="9" t="s">
        <v>365</v>
      </c>
      <c r="E293" s="9" t="str">
        <f t="shared" si="5"/>
        <v>Valparaíso de Goiás</v>
      </c>
    </row>
    <row r="294" spans="1:5" x14ac:dyDescent="0.3">
      <c r="A294" s="9" t="s">
        <v>324</v>
      </c>
      <c r="B294" s="9" t="s">
        <v>481</v>
      </c>
      <c r="C294" s="9" t="s">
        <v>364</v>
      </c>
      <c r="D294" s="9" t="s">
        <v>368</v>
      </c>
      <c r="E294" s="9" t="str">
        <f t="shared" si="5"/>
        <v>Valparaíso de Goiás</v>
      </c>
    </row>
    <row r="295" spans="1:5" x14ac:dyDescent="0.3">
      <c r="A295" s="9" t="s">
        <v>314</v>
      </c>
      <c r="B295" s="9" t="s">
        <v>485</v>
      </c>
      <c r="C295" s="9" t="s">
        <v>364</v>
      </c>
      <c r="D295" s="9" t="s">
        <v>365</v>
      </c>
      <c r="E295" s="9" t="str">
        <f t="shared" si="5"/>
        <v xml:space="preserve">Valparaíso </v>
      </c>
    </row>
    <row r="296" spans="1:5" x14ac:dyDescent="0.3">
      <c r="A296" s="9" t="s">
        <v>328</v>
      </c>
      <c r="B296" s="9" t="s">
        <v>481</v>
      </c>
      <c r="C296" s="9" t="s">
        <v>364</v>
      </c>
      <c r="D296" s="9" t="s">
        <v>368</v>
      </c>
      <c r="E296" s="9" t="str">
        <f t="shared" si="5"/>
        <v>Valparaíso de Goiás</v>
      </c>
    </row>
    <row r="297" spans="1:5" x14ac:dyDescent="0.3">
      <c r="A297" s="9" t="s">
        <v>332</v>
      </c>
      <c r="B297" s="9" t="s">
        <v>447</v>
      </c>
      <c r="C297" s="9" t="s">
        <v>373</v>
      </c>
      <c r="D297" s="9" t="s">
        <v>486</v>
      </c>
      <c r="E297" s="9" t="str">
        <f t="shared" si="5"/>
        <v>Manaus</v>
      </c>
    </row>
    <row r="298" spans="1:5" x14ac:dyDescent="0.3">
      <c r="A298" s="9" t="s">
        <v>333</v>
      </c>
      <c r="B298" s="9" t="s">
        <v>360</v>
      </c>
      <c r="C298" s="9" t="s">
        <v>361</v>
      </c>
      <c r="D298" s="9" t="s">
        <v>486</v>
      </c>
      <c r="E298" s="9" t="str">
        <f t="shared" si="5"/>
        <v>Brasília</v>
      </c>
    </row>
    <row r="299" spans="1:5" x14ac:dyDescent="0.3">
      <c r="A299" s="9" t="s">
        <v>334</v>
      </c>
      <c r="B299" s="9" t="s">
        <v>487</v>
      </c>
      <c r="C299" s="9" t="s">
        <v>434</v>
      </c>
      <c r="D299" s="9" t="s">
        <v>486</v>
      </c>
      <c r="E299" s="9" t="str">
        <f t="shared" si="5"/>
        <v>Salvador</v>
      </c>
    </row>
    <row r="300" spans="1:5" x14ac:dyDescent="0.3">
      <c r="A300" s="9" t="s">
        <v>335</v>
      </c>
      <c r="B300" s="9" t="s">
        <v>360</v>
      </c>
      <c r="C300" s="9" t="s">
        <v>361</v>
      </c>
      <c r="D300" s="9" t="s">
        <v>486</v>
      </c>
      <c r="E300" s="9" t="str">
        <f t="shared" si="5"/>
        <v>Brasília</v>
      </c>
    </row>
    <row r="301" spans="1:5" x14ac:dyDescent="0.3">
      <c r="A301" s="9" t="s">
        <v>336</v>
      </c>
      <c r="B301" s="9" t="s">
        <v>444</v>
      </c>
      <c r="C301" s="9" t="s">
        <v>364</v>
      </c>
      <c r="D301" s="9" t="s">
        <v>486</v>
      </c>
      <c r="E301" s="9" t="str">
        <f t="shared" si="5"/>
        <v>Luziânia</v>
      </c>
    </row>
    <row r="302" spans="1:5" x14ac:dyDescent="0.3">
      <c r="A302" s="9" t="s">
        <v>337</v>
      </c>
      <c r="B302" s="9" t="s">
        <v>488</v>
      </c>
      <c r="C302" s="9" t="s">
        <v>381</v>
      </c>
      <c r="D302" s="9" t="s">
        <v>486</v>
      </c>
      <c r="E302" s="9" t="str">
        <f t="shared" si="5"/>
        <v>Conselheiro Lafaiete</v>
      </c>
    </row>
    <row r="303" spans="1:5" x14ac:dyDescent="0.3">
      <c r="A303" s="9" t="s">
        <v>338</v>
      </c>
      <c r="B303" s="9" t="s">
        <v>360</v>
      </c>
      <c r="C303" s="9" t="s">
        <v>361</v>
      </c>
      <c r="D303" s="9" t="s">
        <v>486</v>
      </c>
      <c r="E303" s="9" t="str">
        <f t="shared" si="5"/>
        <v>Brasília</v>
      </c>
    </row>
    <row r="304" spans="1:5" x14ac:dyDescent="0.3">
      <c r="A304" s="9" t="s">
        <v>339</v>
      </c>
      <c r="B304" s="9" t="s">
        <v>360</v>
      </c>
      <c r="C304" s="9" t="s">
        <v>361</v>
      </c>
      <c r="D304" s="9" t="s">
        <v>486</v>
      </c>
      <c r="E304" s="9" t="str">
        <f t="shared" si="5"/>
        <v>Brasília</v>
      </c>
    </row>
    <row r="305" spans="1:5" x14ac:dyDescent="0.3">
      <c r="A305" s="9" t="s">
        <v>340</v>
      </c>
      <c r="B305" s="9" t="s">
        <v>360</v>
      </c>
      <c r="C305" s="9" t="s">
        <v>361</v>
      </c>
      <c r="D305" s="9" t="s">
        <v>486</v>
      </c>
      <c r="E305" s="9" t="str">
        <f t="shared" si="5"/>
        <v>Brasília</v>
      </c>
    </row>
    <row r="306" spans="1:5" x14ac:dyDescent="0.3">
      <c r="A306" s="9" t="s">
        <v>341</v>
      </c>
      <c r="B306" s="9" t="s">
        <v>360</v>
      </c>
      <c r="C306" s="9" t="s">
        <v>361</v>
      </c>
      <c r="D306" s="9" t="s">
        <v>486</v>
      </c>
      <c r="E306" s="9" t="str">
        <f t="shared" si="5"/>
        <v>Brasília</v>
      </c>
    </row>
    <row r="307" spans="1:5" x14ac:dyDescent="0.3">
      <c r="A307" s="9" t="s">
        <v>342</v>
      </c>
      <c r="B307" s="9" t="s">
        <v>471</v>
      </c>
      <c r="C307" s="9" t="s">
        <v>364</v>
      </c>
      <c r="D307" s="9" t="s">
        <v>486</v>
      </c>
      <c r="E307" s="9" t="str">
        <f t="shared" si="5"/>
        <v>Santo Antônio Descoberto</v>
      </c>
    </row>
    <row r="308" spans="1:5" x14ac:dyDescent="0.3">
      <c r="A308" s="9" t="s">
        <v>343</v>
      </c>
      <c r="B308" s="9" t="s">
        <v>360</v>
      </c>
      <c r="C308" s="9" t="s">
        <v>361</v>
      </c>
      <c r="D308" s="9" t="s">
        <v>486</v>
      </c>
      <c r="E308" s="9" t="str">
        <f t="shared" si="5"/>
        <v>Brasília</v>
      </c>
    </row>
    <row r="309" spans="1:5" x14ac:dyDescent="0.3">
      <c r="A309" s="9" t="s">
        <v>344</v>
      </c>
      <c r="B309" s="9" t="s">
        <v>360</v>
      </c>
      <c r="C309" s="9" t="s">
        <v>361</v>
      </c>
      <c r="D309" s="9" t="s">
        <v>486</v>
      </c>
      <c r="E309" s="9" t="str">
        <f t="shared" si="5"/>
        <v>Brasília</v>
      </c>
    </row>
    <row r="310" spans="1:5" x14ac:dyDescent="0.3">
      <c r="A310" s="9" t="s">
        <v>345</v>
      </c>
      <c r="B310" s="9" t="s">
        <v>360</v>
      </c>
      <c r="C310" s="9" t="s">
        <v>361</v>
      </c>
      <c r="D310" s="9" t="s">
        <v>486</v>
      </c>
      <c r="E310" s="9" t="str">
        <f t="shared" si="5"/>
        <v>Brasília</v>
      </c>
    </row>
    <row r="311" spans="1:5" x14ac:dyDescent="0.3">
      <c r="A311" s="9" t="s">
        <v>346</v>
      </c>
      <c r="B311" s="9" t="s">
        <v>360</v>
      </c>
      <c r="C311" s="9" t="s">
        <v>361</v>
      </c>
      <c r="D311" s="9" t="s">
        <v>486</v>
      </c>
      <c r="E311" s="9" t="str">
        <f t="shared" si="5"/>
        <v>Brasília</v>
      </c>
    </row>
    <row r="312" spans="1:5" x14ac:dyDescent="0.3">
      <c r="A312" s="9" t="s">
        <v>347</v>
      </c>
      <c r="B312" s="9" t="s">
        <v>360</v>
      </c>
      <c r="C312" s="9" t="s">
        <v>361</v>
      </c>
      <c r="D312" s="9" t="s">
        <v>486</v>
      </c>
      <c r="E312" s="9" t="str">
        <f t="shared" si="5"/>
        <v>Brasília</v>
      </c>
    </row>
    <row r="313" spans="1:5" x14ac:dyDescent="0.3">
      <c r="A313" s="9" t="s">
        <v>348</v>
      </c>
      <c r="B313" s="9" t="s">
        <v>360</v>
      </c>
      <c r="C313" s="9" t="s">
        <v>361</v>
      </c>
      <c r="D313" s="9" t="s">
        <v>486</v>
      </c>
      <c r="E313" s="9" t="str">
        <f t="shared" si="5"/>
        <v>Brasília</v>
      </c>
    </row>
    <row r="314" spans="1:5" x14ac:dyDescent="0.3">
      <c r="A314" s="9" t="s">
        <v>342</v>
      </c>
      <c r="B314" s="9" t="s">
        <v>471</v>
      </c>
      <c r="C314" s="9" t="s">
        <v>364</v>
      </c>
      <c r="D314" s="9" t="s">
        <v>486</v>
      </c>
      <c r="E314" s="9" t="str">
        <f t="shared" si="5"/>
        <v>Santo Antônio Descoberto</v>
      </c>
    </row>
    <row r="315" spans="1:5" x14ac:dyDescent="0.3">
      <c r="A315" s="9" t="s">
        <v>349</v>
      </c>
      <c r="B315" s="9" t="s">
        <v>360</v>
      </c>
      <c r="C315" s="9" t="s">
        <v>361</v>
      </c>
      <c r="D315" s="9" t="s">
        <v>486</v>
      </c>
      <c r="E315" s="9" t="str">
        <f t="shared" si="5"/>
        <v>Brasília</v>
      </c>
    </row>
    <row r="316" spans="1:5" x14ac:dyDescent="0.3">
      <c r="A316" s="9" t="s">
        <v>350</v>
      </c>
      <c r="B316" s="9" t="s">
        <v>363</v>
      </c>
      <c r="C316" s="9" t="s">
        <v>364</v>
      </c>
      <c r="D316" s="9" t="s">
        <v>486</v>
      </c>
      <c r="E316" s="9" t="str">
        <f t="shared" si="5"/>
        <v>Águas Lindas de Goiás</v>
      </c>
    </row>
    <row r="317" spans="1:5" x14ac:dyDescent="0.3">
      <c r="A317" s="9" t="s">
        <v>351</v>
      </c>
      <c r="B317" s="9" t="s">
        <v>360</v>
      </c>
      <c r="C317" s="9" t="s">
        <v>361</v>
      </c>
      <c r="D317" s="9" t="s">
        <v>486</v>
      </c>
      <c r="E317" s="9" t="str">
        <f t="shared" si="5"/>
        <v>Brasília</v>
      </c>
    </row>
    <row r="318" spans="1:5" x14ac:dyDescent="0.3">
      <c r="A318" s="9" t="s">
        <v>352</v>
      </c>
      <c r="B318" s="9" t="s">
        <v>489</v>
      </c>
      <c r="C318" s="9" t="s">
        <v>461</v>
      </c>
      <c r="D318" s="9" t="s">
        <v>486</v>
      </c>
      <c r="E318" s="9" t="str">
        <f t="shared" si="5"/>
        <v>Foz do Iguaçu</v>
      </c>
    </row>
    <row r="319" spans="1:5" x14ac:dyDescent="0.3">
      <c r="A319" s="9" t="s">
        <v>353</v>
      </c>
      <c r="B319" s="9" t="s">
        <v>360</v>
      </c>
      <c r="C319" s="9" t="s">
        <v>361</v>
      </c>
      <c r="D319" s="9" t="s">
        <v>486</v>
      </c>
      <c r="E319" s="9" t="str">
        <f t="shared" si="5"/>
        <v>Brasília</v>
      </c>
    </row>
    <row r="320" spans="1:5" x14ac:dyDescent="0.3">
      <c r="A320" s="9" t="s">
        <v>354</v>
      </c>
      <c r="B320" s="9" t="s">
        <v>438</v>
      </c>
      <c r="C320" s="9" t="s">
        <v>364</v>
      </c>
      <c r="D320" s="9" t="s">
        <v>486</v>
      </c>
      <c r="E320" s="9" t="str">
        <f t="shared" si="5"/>
        <v>Goiânia</v>
      </c>
    </row>
    <row r="321" spans="1:5" x14ac:dyDescent="0.3">
      <c r="A321" s="9" t="s">
        <v>355</v>
      </c>
      <c r="B321" s="9" t="s">
        <v>481</v>
      </c>
      <c r="C321" s="9" t="s">
        <v>364</v>
      </c>
      <c r="D321" s="9" t="s">
        <v>486</v>
      </c>
      <c r="E321" s="9" t="str">
        <f t="shared" si="5"/>
        <v>Valparaíso de Goiás</v>
      </c>
    </row>
    <row r="322" spans="1:5" x14ac:dyDescent="0.3">
      <c r="A322" s="9" t="s">
        <v>357</v>
      </c>
      <c r="B322" s="9" t="s">
        <v>360</v>
      </c>
      <c r="C322" s="9" t="s">
        <v>361</v>
      </c>
      <c r="D322" s="9" t="s">
        <v>486</v>
      </c>
      <c r="E322" s="9" t="str">
        <f t="shared" si="5"/>
        <v>Brasília</v>
      </c>
    </row>
    <row r="323" spans="1:5" x14ac:dyDescent="0.3">
      <c r="A323" s="9" t="s">
        <v>358</v>
      </c>
      <c r="B323" s="9" t="s">
        <v>360</v>
      </c>
      <c r="C323" s="9" t="s">
        <v>361</v>
      </c>
      <c r="D323" s="9" t="s">
        <v>368</v>
      </c>
      <c r="E323" s="9" t="s">
        <v>394</v>
      </c>
    </row>
    <row r="324" spans="1:5" x14ac:dyDescent="0.3">
      <c r="A324" s="14" t="s">
        <v>764</v>
      </c>
      <c r="B324" s="1" t="s">
        <v>360</v>
      </c>
      <c r="C324" s="1" t="s">
        <v>361</v>
      </c>
      <c r="D324" s="1" t="s">
        <v>368</v>
      </c>
      <c r="E324" s="1" t="str">
        <f>B324</f>
        <v>Brasília</v>
      </c>
    </row>
    <row r="325" spans="1:5" x14ac:dyDescent="0.3">
      <c r="A325" s="14" t="s">
        <v>765</v>
      </c>
      <c r="B325" s="1" t="s">
        <v>360</v>
      </c>
      <c r="C325" s="1" t="s">
        <v>361</v>
      </c>
      <c r="D325" s="1" t="s">
        <v>368</v>
      </c>
      <c r="E325" s="1" t="s">
        <v>766</v>
      </c>
    </row>
    <row r="326" spans="1:5" x14ac:dyDescent="0.3">
      <c r="A326" s="14" t="s">
        <v>767</v>
      </c>
      <c r="B326" s="1" t="s">
        <v>768</v>
      </c>
      <c r="C326" s="1" t="s">
        <v>364</v>
      </c>
      <c r="D326" s="9" t="s">
        <v>486</v>
      </c>
      <c r="E326" s="1" t="s">
        <v>768</v>
      </c>
    </row>
    <row r="327" spans="1:5" x14ac:dyDescent="0.3">
      <c r="A327" s="14" t="s">
        <v>769</v>
      </c>
      <c r="B327" s="1" t="s">
        <v>360</v>
      </c>
      <c r="C327" s="1" t="s">
        <v>361</v>
      </c>
      <c r="D327" s="9" t="s">
        <v>486</v>
      </c>
      <c r="E327" s="1" t="s">
        <v>770</v>
      </c>
    </row>
    <row r="328" spans="1:5" x14ac:dyDescent="0.3">
      <c r="A328" s="14" t="s">
        <v>771</v>
      </c>
      <c r="B328" s="1" t="s">
        <v>360</v>
      </c>
      <c r="C328" s="1" t="s">
        <v>361</v>
      </c>
      <c r="D328" s="9" t="s">
        <v>486</v>
      </c>
      <c r="E328" s="1" t="s">
        <v>772</v>
      </c>
    </row>
    <row r="329" spans="1:5" x14ac:dyDescent="0.3">
      <c r="A329" s="14" t="s">
        <v>773</v>
      </c>
      <c r="B329" s="1" t="s">
        <v>360</v>
      </c>
      <c r="C329" s="1" t="s">
        <v>361</v>
      </c>
      <c r="D329" s="9" t="s">
        <v>486</v>
      </c>
      <c r="E329" s="1" t="s">
        <v>774</v>
      </c>
    </row>
    <row r="330" spans="1:5" x14ac:dyDescent="0.3">
      <c r="A330" s="14" t="s">
        <v>775</v>
      </c>
      <c r="B330" s="1" t="s">
        <v>360</v>
      </c>
      <c r="C330" s="1" t="s">
        <v>361</v>
      </c>
      <c r="D330" s="9" t="s">
        <v>486</v>
      </c>
      <c r="E330" s="1" t="s">
        <v>360</v>
      </c>
    </row>
    <row r="331" spans="1:5" x14ac:dyDescent="0.3">
      <c r="A331" s="14" t="s">
        <v>776</v>
      </c>
      <c r="B331" s="1" t="s">
        <v>360</v>
      </c>
      <c r="C331" s="1" t="s">
        <v>361</v>
      </c>
      <c r="D331" s="9" t="s">
        <v>486</v>
      </c>
      <c r="E331" s="1" t="s">
        <v>777</v>
      </c>
    </row>
    <row r="332" spans="1:5" x14ac:dyDescent="0.3">
      <c r="A332" s="14" t="s">
        <v>778</v>
      </c>
      <c r="B332" s="1" t="s">
        <v>360</v>
      </c>
      <c r="C332" s="1" t="s">
        <v>361</v>
      </c>
      <c r="D332" s="9" t="s">
        <v>486</v>
      </c>
      <c r="E332" s="1" t="s">
        <v>779</v>
      </c>
    </row>
    <row r="333" spans="1:5" x14ac:dyDescent="0.3">
      <c r="A333" s="14" t="s">
        <v>780</v>
      </c>
      <c r="B333" s="1" t="s">
        <v>360</v>
      </c>
      <c r="C333" s="1" t="s">
        <v>361</v>
      </c>
      <c r="D333" s="9" t="s">
        <v>486</v>
      </c>
      <c r="E333" s="1" t="s">
        <v>779</v>
      </c>
    </row>
    <row r="334" spans="1:5" x14ac:dyDescent="0.3">
      <c r="A334" s="14" t="s">
        <v>781</v>
      </c>
      <c r="B334" s="1" t="s">
        <v>360</v>
      </c>
      <c r="C334" s="1" t="s">
        <v>361</v>
      </c>
      <c r="D334" s="9" t="s">
        <v>486</v>
      </c>
      <c r="E334" s="1" t="s">
        <v>782</v>
      </c>
    </row>
  </sheetData>
  <autoFilter ref="A1:E323" xr:uid="{42BFCF7E-33CF-420C-AAF6-02F57F4EA0C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 DE VENDAS</vt:lpstr>
      <vt:lpstr>BASE DE PRODUTOS</vt:lpstr>
      <vt:lpstr>BASE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2026-02-05T11:55:54Z</dcterms:created>
  <dcterms:modified xsi:type="dcterms:W3CDTF">2026-02-05T16:14:07Z</dcterms:modified>
</cp:coreProperties>
</file>